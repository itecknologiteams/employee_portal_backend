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ayroll Sheet 2026\Payroll &amp; Allowance sheet - February 2026\"/>
    </mc:Choice>
  </mc:AlternateContent>
  <xr:revisionPtr revIDLastSave="0" documentId="13_ncr:1_{8A78EB8A-455C-42A4-9759-764AF5728506}" xr6:coauthVersionLast="47" xr6:coauthVersionMax="47" xr10:uidLastSave="{00000000-0000-0000-0000-000000000000}"/>
  <bookViews>
    <workbookView xWindow="-120" yWindow="-120" windowWidth="25440" windowHeight="15390" tabRatio="488" firstSheet="9" activeTab="11" xr2:uid="{00000000-000D-0000-FFFF-FFFF00000000}"/>
  </bookViews>
  <sheets>
    <sheet name="Tax 25-26" sheetId="1" r:id="rId1"/>
    <sheet name="Paid Tax" sheetId="20" r:id="rId2"/>
    <sheet name="Commision " sheetId="24" r:id="rId3"/>
    <sheet name="Incentives" sheetId="11" r:id="rId4"/>
    <sheet name="Comission Jul 25" sheetId="14" r:id="rId5"/>
    <sheet name="Comission Aug 2025" sheetId="18" r:id="rId6"/>
    <sheet name="Comission Sep 2025" sheetId="21" r:id="rId7"/>
    <sheet name="Comission Oct 2025" sheetId="25" r:id="rId8"/>
    <sheet name="Comission Nov 2025" sheetId="26" r:id="rId9"/>
    <sheet name="Comission Dec 2025" sheetId="27" r:id="rId10"/>
    <sheet name="Commission Jan 2026" sheetId="28" r:id="rId11"/>
    <sheet name="Comission Feb 2026" sheetId="29" r:id="rId12"/>
    <sheet name="Com summary" sheetId="17" r:id="rId13"/>
  </sheets>
  <definedNames>
    <definedName name="_xlnm._FilterDatabase" localSheetId="5" hidden="1">'Comission Aug 2025'!$A$1:$L$72</definedName>
    <definedName name="_xlnm._FilterDatabase" localSheetId="9" hidden="1">'Comission Dec 2025'!$A$1:$K$74</definedName>
    <definedName name="_xlnm._FilterDatabase" localSheetId="11" hidden="1">'Comission Feb 2026'!$H$1:$H$75</definedName>
    <definedName name="_xlnm._FilterDatabase" localSheetId="4" hidden="1">'Comission Jul 25'!$A$1:$K$56</definedName>
    <definedName name="_xlnm._FilterDatabase" localSheetId="8" hidden="1">'Comission Nov 2025'!$A$1:$L$72</definedName>
    <definedName name="_xlnm._FilterDatabase" localSheetId="7" hidden="1">'Comission Oct 2025'!$A$1:$K$76</definedName>
    <definedName name="_xlnm._FilterDatabase" localSheetId="6" hidden="1">'Comission Sep 2025'!$A$1:$K$83</definedName>
    <definedName name="_xlnm._FilterDatabase" localSheetId="10" hidden="1">'Commission Jan 2026'!$A$1:$K$65</definedName>
    <definedName name="_xlnm._FilterDatabase" localSheetId="3" hidden="1">Incentives!$A$1:$L$377</definedName>
    <definedName name="_xlnm._FilterDatabase" localSheetId="0" hidden="1">'Tax 25-26'!$A$1:$AU$416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349" i="1" l="1"/>
  <c r="N343" i="11"/>
  <c r="M366" i="20" l="1"/>
  <c r="AN371" i="1" s="1"/>
  <c r="M367" i="20"/>
  <c r="AN372" i="1" s="1"/>
  <c r="M368" i="20"/>
  <c r="AN373" i="1" s="1"/>
  <c r="M369" i="20"/>
  <c r="AN374" i="1" s="1"/>
  <c r="M370" i="20"/>
  <c r="AN375" i="1" s="1"/>
  <c r="M371" i="20"/>
  <c r="AN376" i="1" s="1"/>
  <c r="M372" i="20"/>
  <c r="AN377" i="1" s="1"/>
  <c r="M373" i="20"/>
  <c r="AN378" i="1" s="1"/>
  <c r="M374" i="20"/>
  <c r="AN379" i="1" s="1"/>
  <c r="M375" i="20"/>
  <c r="AN380" i="1" s="1"/>
  <c r="M376" i="20"/>
  <c r="AN381" i="1" s="1"/>
  <c r="M377" i="20"/>
  <c r="AN382" i="1" s="1"/>
  <c r="M378" i="20"/>
  <c r="AN383" i="1" s="1"/>
  <c r="M4" i="20"/>
  <c r="AN9" i="1" s="1"/>
  <c r="M5" i="20"/>
  <c r="AN10" i="1" s="1"/>
  <c r="M6" i="20"/>
  <c r="AN11" i="1" s="1"/>
  <c r="M7" i="20"/>
  <c r="AN12" i="1" s="1"/>
  <c r="M8" i="20"/>
  <c r="AN13" i="1" s="1"/>
  <c r="M9" i="20"/>
  <c r="AN14" i="1" s="1"/>
  <c r="M10" i="20"/>
  <c r="AN15" i="1" s="1"/>
  <c r="M11" i="20"/>
  <c r="AN16" i="1" s="1"/>
  <c r="M12" i="20"/>
  <c r="AN17" i="1" s="1"/>
  <c r="M13" i="20"/>
  <c r="AN18" i="1" s="1"/>
  <c r="M14" i="20"/>
  <c r="AN19" i="1" s="1"/>
  <c r="M15" i="20"/>
  <c r="AN20" i="1" s="1"/>
  <c r="M16" i="20"/>
  <c r="AN21" i="1" s="1"/>
  <c r="M17" i="20"/>
  <c r="AN22" i="1" s="1"/>
  <c r="M18" i="20"/>
  <c r="AN23" i="1" s="1"/>
  <c r="M19" i="20"/>
  <c r="AN24" i="1" s="1"/>
  <c r="M20" i="20"/>
  <c r="AN25" i="1" s="1"/>
  <c r="M21" i="20"/>
  <c r="AN26" i="1" s="1"/>
  <c r="M22" i="20"/>
  <c r="AN27" i="1" s="1"/>
  <c r="M23" i="20"/>
  <c r="AN28" i="1" s="1"/>
  <c r="M24" i="20"/>
  <c r="AN29" i="1" s="1"/>
  <c r="M25" i="20"/>
  <c r="AN30" i="1" s="1"/>
  <c r="M26" i="20"/>
  <c r="AN31" i="1" s="1"/>
  <c r="M27" i="20"/>
  <c r="AN32" i="1" s="1"/>
  <c r="M28" i="20"/>
  <c r="AN33" i="1" s="1"/>
  <c r="M29" i="20"/>
  <c r="AN34" i="1" s="1"/>
  <c r="M30" i="20"/>
  <c r="AN35" i="1" s="1"/>
  <c r="M31" i="20"/>
  <c r="AN36" i="1" s="1"/>
  <c r="M32" i="20"/>
  <c r="AN37" i="1" s="1"/>
  <c r="M33" i="20"/>
  <c r="AN38" i="1" s="1"/>
  <c r="M34" i="20"/>
  <c r="AN39" i="1" s="1"/>
  <c r="M35" i="20"/>
  <c r="AN40" i="1" s="1"/>
  <c r="M36" i="20"/>
  <c r="AN41" i="1" s="1"/>
  <c r="M37" i="20"/>
  <c r="AN42" i="1" s="1"/>
  <c r="M38" i="20"/>
  <c r="AN43" i="1" s="1"/>
  <c r="M39" i="20"/>
  <c r="AN44" i="1" s="1"/>
  <c r="M40" i="20"/>
  <c r="AN45" i="1" s="1"/>
  <c r="M41" i="20"/>
  <c r="AN46" i="1" s="1"/>
  <c r="M42" i="20"/>
  <c r="AN47" i="1" s="1"/>
  <c r="M43" i="20"/>
  <c r="AN48" i="1" s="1"/>
  <c r="M44" i="20"/>
  <c r="AN49" i="1" s="1"/>
  <c r="M45" i="20"/>
  <c r="AN50" i="1" s="1"/>
  <c r="M46" i="20"/>
  <c r="AN51" i="1" s="1"/>
  <c r="M47" i="20"/>
  <c r="AN52" i="1" s="1"/>
  <c r="M48" i="20"/>
  <c r="AN53" i="1" s="1"/>
  <c r="M49" i="20"/>
  <c r="AN54" i="1" s="1"/>
  <c r="M50" i="20"/>
  <c r="AN55" i="1" s="1"/>
  <c r="M51" i="20"/>
  <c r="AN56" i="1" s="1"/>
  <c r="M52" i="20"/>
  <c r="AN57" i="1" s="1"/>
  <c r="M53" i="20"/>
  <c r="AN58" i="1" s="1"/>
  <c r="M54" i="20"/>
  <c r="AN59" i="1" s="1"/>
  <c r="M55" i="20"/>
  <c r="AN60" i="1" s="1"/>
  <c r="M56" i="20"/>
  <c r="AN61" i="1" s="1"/>
  <c r="M57" i="20"/>
  <c r="AN62" i="1" s="1"/>
  <c r="M58" i="20"/>
  <c r="AN63" i="1" s="1"/>
  <c r="M59" i="20"/>
  <c r="AN64" i="1" s="1"/>
  <c r="M60" i="20"/>
  <c r="AN65" i="1" s="1"/>
  <c r="M61" i="20"/>
  <c r="AN66" i="1" s="1"/>
  <c r="M62" i="20"/>
  <c r="AN67" i="1" s="1"/>
  <c r="M63" i="20"/>
  <c r="AN68" i="1" s="1"/>
  <c r="M64" i="20"/>
  <c r="AN69" i="1" s="1"/>
  <c r="M65" i="20"/>
  <c r="AN70" i="1" s="1"/>
  <c r="M66" i="20"/>
  <c r="AN71" i="1" s="1"/>
  <c r="M67" i="20"/>
  <c r="AN72" i="1" s="1"/>
  <c r="M68" i="20"/>
  <c r="AN73" i="1" s="1"/>
  <c r="M69" i="20"/>
  <c r="AN74" i="1" s="1"/>
  <c r="M70" i="20"/>
  <c r="AN75" i="1" s="1"/>
  <c r="M71" i="20"/>
  <c r="AN76" i="1" s="1"/>
  <c r="M72" i="20"/>
  <c r="AN77" i="1" s="1"/>
  <c r="M73" i="20"/>
  <c r="AN78" i="1" s="1"/>
  <c r="M74" i="20"/>
  <c r="AN79" i="1" s="1"/>
  <c r="M75" i="20"/>
  <c r="AN80" i="1" s="1"/>
  <c r="M76" i="20"/>
  <c r="AN81" i="1" s="1"/>
  <c r="M77" i="20"/>
  <c r="AN82" i="1" s="1"/>
  <c r="M78" i="20"/>
  <c r="AN83" i="1" s="1"/>
  <c r="M79" i="20"/>
  <c r="AN84" i="1" s="1"/>
  <c r="M80" i="20"/>
  <c r="AN85" i="1" s="1"/>
  <c r="M81" i="20"/>
  <c r="AN86" i="1" s="1"/>
  <c r="M82" i="20"/>
  <c r="AN87" i="1" s="1"/>
  <c r="M83" i="20"/>
  <c r="AN88" i="1" s="1"/>
  <c r="M84" i="20"/>
  <c r="AN89" i="1" s="1"/>
  <c r="M85" i="20"/>
  <c r="AN90" i="1" s="1"/>
  <c r="M86" i="20"/>
  <c r="AN91" i="1" s="1"/>
  <c r="M87" i="20"/>
  <c r="AN92" i="1" s="1"/>
  <c r="M88" i="20"/>
  <c r="AN93" i="1" s="1"/>
  <c r="M89" i="20"/>
  <c r="AN94" i="1" s="1"/>
  <c r="M90" i="20"/>
  <c r="AN95" i="1" s="1"/>
  <c r="M91" i="20"/>
  <c r="AN96" i="1" s="1"/>
  <c r="M92" i="20"/>
  <c r="AN97" i="1" s="1"/>
  <c r="M93" i="20"/>
  <c r="AN98" i="1" s="1"/>
  <c r="M94" i="20"/>
  <c r="AN99" i="1" s="1"/>
  <c r="M95" i="20"/>
  <c r="AN100" i="1" s="1"/>
  <c r="M96" i="20"/>
  <c r="AN101" i="1" s="1"/>
  <c r="M97" i="20"/>
  <c r="AN102" i="1" s="1"/>
  <c r="M98" i="20"/>
  <c r="AN103" i="1" s="1"/>
  <c r="M99" i="20"/>
  <c r="AN104" i="1" s="1"/>
  <c r="M100" i="20"/>
  <c r="AN105" i="1" s="1"/>
  <c r="M101" i="20"/>
  <c r="AN106" i="1" s="1"/>
  <c r="M102" i="20"/>
  <c r="AN107" i="1" s="1"/>
  <c r="M103" i="20"/>
  <c r="AN108" i="1" s="1"/>
  <c r="M104" i="20"/>
  <c r="AN109" i="1" s="1"/>
  <c r="M105" i="20"/>
  <c r="AN110" i="1" s="1"/>
  <c r="M106" i="20"/>
  <c r="AN111" i="1" s="1"/>
  <c r="M107" i="20"/>
  <c r="AN112" i="1" s="1"/>
  <c r="M108" i="20"/>
  <c r="AN113" i="1" s="1"/>
  <c r="M109" i="20"/>
  <c r="AN114" i="1" s="1"/>
  <c r="M110" i="20"/>
  <c r="AN115" i="1" s="1"/>
  <c r="M111" i="20"/>
  <c r="AN116" i="1" s="1"/>
  <c r="M112" i="20"/>
  <c r="AN117" i="1" s="1"/>
  <c r="M113" i="20"/>
  <c r="AN118" i="1" s="1"/>
  <c r="M114" i="20"/>
  <c r="AN119" i="1" s="1"/>
  <c r="M115" i="20"/>
  <c r="AN120" i="1" s="1"/>
  <c r="M116" i="20"/>
  <c r="AN121" i="1" s="1"/>
  <c r="M117" i="20"/>
  <c r="AN122" i="1" s="1"/>
  <c r="M118" i="20"/>
  <c r="AN123" i="1" s="1"/>
  <c r="M119" i="20"/>
  <c r="AN124" i="1" s="1"/>
  <c r="M120" i="20"/>
  <c r="AN125" i="1" s="1"/>
  <c r="M121" i="20"/>
  <c r="AN126" i="1" s="1"/>
  <c r="M122" i="20"/>
  <c r="AN127" i="1" s="1"/>
  <c r="M123" i="20"/>
  <c r="AN128" i="1" s="1"/>
  <c r="M124" i="20"/>
  <c r="AN129" i="1" s="1"/>
  <c r="M125" i="20"/>
  <c r="AN130" i="1" s="1"/>
  <c r="M126" i="20"/>
  <c r="AN131" i="1" s="1"/>
  <c r="M127" i="20"/>
  <c r="AN132" i="1" s="1"/>
  <c r="M128" i="20"/>
  <c r="AN133" i="1" s="1"/>
  <c r="M129" i="20"/>
  <c r="AN134" i="1" s="1"/>
  <c r="M130" i="20"/>
  <c r="AN135" i="1" s="1"/>
  <c r="M131" i="20"/>
  <c r="AN136" i="1" s="1"/>
  <c r="M132" i="20"/>
  <c r="AN137" i="1" s="1"/>
  <c r="M133" i="20"/>
  <c r="AN138" i="1" s="1"/>
  <c r="M134" i="20"/>
  <c r="AN139" i="1" s="1"/>
  <c r="M135" i="20"/>
  <c r="AN140" i="1" s="1"/>
  <c r="M136" i="20"/>
  <c r="AN141" i="1" s="1"/>
  <c r="M137" i="20"/>
  <c r="AN142" i="1" s="1"/>
  <c r="M138" i="20"/>
  <c r="AN143" i="1" s="1"/>
  <c r="M139" i="20"/>
  <c r="AN144" i="1" s="1"/>
  <c r="M140" i="20"/>
  <c r="AN145" i="1" s="1"/>
  <c r="M141" i="20"/>
  <c r="AN146" i="1" s="1"/>
  <c r="M142" i="20"/>
  <c r="AN147" i="1" s="1"/>
  <c r="M143" i="20"/>
  <c r="AN148" i="1" s="1"/>
  <c r="M144" i="20"/>
  <c r="AN149" i="1" s="1"/>
  <c r="M145" i="20"/>
  <c r="AN150" i="1" s="1"/>
  <c r="M146" i="20"/>
  <c r="AN151" i="1" s="1"/>
  <c r="M147" i="20"/>
  <c r="AN152" i="1" s="1"/>
  <c r="M148" i="20"/>
  <c r="AN153" i="1" s="1"/>
  <c r="M149" i="20"/>
  <c r="AN154" i="1" s="1"/>
  <c r="M150" i="20"/>
  <c r="AN155" i="1" s="1"/>
  <c r="M151" i="20"/>
  <c r="AN156" i="1" s="1"/>
  <c r="M152" i="20"/>
  <c r="AN157" i="1" s="1"/>
  <c r="M153" i="20"/>
  <c r="AN158" i="1" s="1"/>
  <c r="M154" i="20"/>
  <c r="AN159" i="1" s="1"/>
  <c r="M155" i="20"/>
  <c r="AN160" i="1" s="1"/>
  <c r="M156" i="20"/>
  <c r="AN161" i="1" s="1"/>
  <c r="M157" i="20"/>
  <c r="AN162" i="1" s="1"/>
  <c r="M158" i="20"/>
  <c r="AN163" i="1" s="1"/>
  <c r="M159" i="20"/>
  <c r="AN164" i="1" s="1"/>
  <c r="M160" i="20"/>
  <c r="AN165" i="1" s="1"/>
  <c r="M161" i="20"/>
  <c r="AN166" i="1" s="1"/>
  <c r="M162" i="20"/>
  <c r="AN167" i="1" s="1"/>
  <c r="M163" i="20"/>
  <c r="AN168" i="1" s="1"/>
  <c r="M164" i="20"/>
  <c r="AN169" i="1" s="1"/>
  <c r="M165" i="20"/>
  <c r="AN170" i="1" s="1"/>
  <c r="M166" i="20"/>
  <c r="AN171" i="1" s="1"/>
  <c r="M167" i="20"/>
  <c r="AN172" i="1" s="1"/>
  <c r="M168" i="20"/>
  <c r="AN173" i="1" s="1"/>
  <c r="M169" i="20"/>
  <c r="AN174" i="1" s="1"/>
  <c r="M170" i="20"/>
  <c r="AN175" i="1" s="1"/>
  <c r="M171" i="20"/>
  <c r="AN176" i="1" s="1"/>
  <c r="M172" i="20"/>
  <c r="AN177" i="1" s="1"/>
  <c r="M173" i="20"/>
  <c r="AN178" i="1" s="1"/>
  <c r="M174" i="20"/>
  <c r="AN179" i="1" s="1"/>
  <c r="M175" i="20"/>
  <c r="AN180" i="1" s="1"/>
  <c r="M176" i="20"/>
  <c r="AN181" i="1" s="1"/>
  <c r="M177" i="20"/>
  <c r="AN182" i="1" s="1"/>
  <c r="M178" i="20"/>
  <c r="AN183" i="1" s="1"/>
  <c r="M179" i="20"/>
  <c r="AN184" i="1" s="1"/>
  <c r="M180" i="20"/>
  <c r="AN185" i="1" s="1"/>
  <c r="M181" i="20"/>
  <c r="AN186" i="1" s="1"/>
  <c r="M182" i="20"/>
  <c r="AN187" i="1" s="1"/>
  <c r="M183" i="20"/>
  <c r="AN188" i="1" s="1"/>
  <c r="M184" i="20"/>
  <c r="AN189" i="1" s="1"/>
  <c r="M185" i="20"/>
  <c r="AN190" i="1" s="1"/>
  <c r="M186" i="20"/>
  <c r="AN191" i="1" s="1"/>
  <c r="M187" i="20"/>
  <c r="AN192" i="1" s="1"/>
  <c r="M188" i="20"/>
  <c r="AN193" i="1" s="1"/>
  <c r="M189" i="20"/>
  <c r="AN194" i="1" s="1"/>
  <c r="M190" i="20"/>
  <c r="AN195" i="1" s="1"/>
  <c r="M191" i="20"/>
  <c r="AN196" i="1" s="1"/>
  <c r="M192" i="20"/>
  <c r="AN197" i="1" s="1"/>
  <c r="M193" i="20"/>
  <c r="AN198" i="1" s="1"/>
  <c r="M194" i="20"/>
  <c r="AN199" i="1" s="1"/>
  <c r="M195" i="20"/>
  <c r="AN200" i="1" s="1"/>
  <c r="M196" i="20"/>
  <c r="AN201" i="1" s="1"/>
  <c r="M197" i="20"/>
  <c r="AN202" i="1" s="1"/>
  <c r="M198" i="20"/>
  <c r="AN203" i="1" s="1"/>
  <c r="M199" i="20"/>
  <c r="AN204" i="1" s="1"/>
  <c r="M200" i="20"/>
  <c r="AN205" i="1" s="1"/>
  <c r="M201" i="20"/>
  <c r="AN206" i="1" s="1"/>
  <c r="M202" i="20"/>
  <c r="AN207" i="1" s="1"/>
  <c r="M203" i="20"/>
  <c r="AN208" i="1" s="1"/>
  <c r="M204" i="20"/>
  <c r="AN209" i="1" s="1"/>
  <c r="M205" i="20"/>
  <c r="AN210" i="1" s="1"/>
  <c r="M206" i="20"/>
  <c r="AN211" i="1" s="1"/>
  <c r="M207" i="20"/>
  <c r="AN212" i="1" s="1"/>
  <c r="M208" i="20"/>
  <c r="AN213" i="1" s="1"/>
  <c r="M209" i="20"/>
  <c r="AN214" i="1" s="1"/>
  <c r="M210" i="20"/>
  <c r="AN215" i="1" s="1"/>
  <c r="M211" i="20"/>
  <c r="AN216" i="1" s="1"/>
  <c r="M212" i="20"/>
  <c r="AN217" i="1" s="1"/>
  <c r="M213" i="20"/>
  <c r="AN218" i="1" s="1"/>
  <c r="M214" i="20"/>
  <c r="AN219" i="1" s="1"/>
  <c r="M215" i="20"/>
  <c r="AN220" i="1" s="1"/>
  <c r="M216" i="20"/>
  <c r="AN221" i="1" s="1"/>
  <c r="M217" i="20"/>
  <c r="AN222" i="1" s="1"/>
  <c r="M218" i="20"/>
  <c r="AN223" i="1" s="1"/>
  <c r="M219" i="20"/>
  <c r="AN224" i="1" s="1"/>
  <c r="M220" i="20"/>
  <c r="AN225" i="1" s="1"/>
  <c r="M221" i="20"/>
  <c r="AN226" i="1" s="1"/>
  <c r="M222" i="20"/>
  <c r="AN227" i="1" s="1"/>
  <c r="M223" i="20"/>
  <c r="AN228" i="1" s="1"/>
  <c r="M224" i="20"/>
  <c r="AN229" i="1" s="1"/>
  <c r="M225" i="20"/>
  <c r="AN230" i="1" s="1"/>
  <c r="M226" i="20"/>
  <c r="AN231" i="1" s="1"/>
  <c r="M227" i="20"/>
  <c r="AN232" i="1" s="1"/>
  <c r="M228" i="20"/>
  <c r="AN233" i="1" s="1"/>
  <c r="M229" i="20"/>
  <c r="AN234" i="1" s="1"/>
  <c r="M230" i="20"/>
  <c r="AN235" i="1" s="1"/>
  <c r="M231" i="20"/>
  <c r="AN236" i="1" s="1"/>
  <c r="M232" i="20"/>
  <c r="AN237" i="1" s="1"/>
  <c r="M233" i="20"/>
  <c r="AN238" i="1" s="1"/>
  <c r="M234" i="20"/>
  <c r="AN239" i="1" s="1"/>
  <c r="M235" i="20"/>
  <c r="AN240" i="1" s="1"/>
  <c r="M236" i="20"/>
  <c r="AN241" i="1" s="1"/>
  <c r="M237" i="20"/>
  <c r="AN242" i="1" s="1"/>
  <c r="M238" i="20"/>
  <c r="AN243" i="1" s="1"/>
  <c r="M239" i="20"/>
  <c r="AN244" i="1" s="1"/>
  <c r="M240" i="20"/>
  <c r="AN245" i="1" s="1"/>
  <c r="M241" i="20"/>
  <c r="AN246" i="1" s="1"/>
  <c r="M242" i="20"/>
  <c r="AN247" i="1" s="1"/>
  <c r="M243" i="20"/>
  <c r="AN248" i="1" s="1"/>
  <c r="M244" i="20"/>
  <c r="AN249" i="1" s="1"/>
  <c r="M245" i="20"/>
  <c r="AN250" i="1" s="1"/>
  <c r="M246" i="20"/>
  <c r="AN251" i="1" s="1"/>
  <c r="M247" i="20"/>
  <c r="AN252" i="1" s="1"/>
  <c r="M248" i="20"/>
  <c r="AN253" i="1" s="1"/>
  <c r="M249" i="20"/>
  <c r="AN254" i="1" s="1"/>
  <c r="M250" i="20"/>
  <c r="AN255" i="1" s="1"/>
  <c r="M251" i="20"/>
  <c r="AN256" i="1" s="1"/>
  <c r="M252" i="20"/>
  <c r="AN257" i="1" s="1"/>
  <c r="M253" i="20"/>
  <c r="AN258" i="1" s="1"/>
  <c r="M254" i="20"/>
  <c r="AN259" i="1" s="1"/>
  <c r="M255" i="20"/>
  <c r="AN260" i="1" s="1"/>
  <c r="M256" i="20"/>
  <c r="AN261" i="1" s="1"/>
  <c r="M257" i="20"/>
  <c r="AN262" i="1" s="1"/>
  <c r="M258" i="20"/>
  <c r="AN263" i="1" s="1"/>
  <c r="M259" i="20"/>
  <c r="AN264" i="1" s="1"/>
  <c r="M260" i="20"/>
  <c r="AN265" i="1" s="1"/>
  <c r="M261" i="20"/>
  <c r="AN266" i="1" s="1"/>
  <c r="M262" i="20"/>
  <c r="AN267" i="1" s="1"/>
  <c r="M263" i="20"/>
  <c r="AN268" i="1" s="1"/>
  <c r="M264" i="20"/>
  <c r="AN269" i="1" s="1"/>
  <c r="M265" i="20"/>
  <c r="AN270" i="1" s="1"/>
  <c r="M266" i="20"/>
  <c r="AN271" i="1" s="1"/>
  <c r="M267" i="20"/>
  <c r="AN272" i="1" s="1"/>
  <c r="M268" i="20"/>
  <c r="AN273" i="1" s="1"/>
  <c r="M269" i="20"/>
  <c r="AN274" i="1" s="1"/>
  <c r="M270" i="20"/>
  <c r="AN275" i="1" s="1"/>
  <c r="M271" i="20"/>
  <c r="AN276" i="1" s="1"/>
  <c r="M272" i="20"/>
  <c r="AN277" i="1" s="1"/>
  <c r="M273" i="20"/>
  <c r="AN278" i="1" s="1"/>
  <c r="M274" i="20"/>
  <c r="AN279" i="1" s="1"/>
  <c r="M275" i="20"/>
  <c r="AN280" i="1" s="1"/>
  <c r="M276" i="20"/>
  <c r="AN281" i="1" s="1"/>
  <c r="M277" i="20"/>
  <c r="AN282" i="1" s="1"/>
  <c r="M278" i="20"/>
  <c r="AN283" i="1" s="1"/>
  <c r="M279" i="20"/>
  <c r="AN284" i="1" s="1"/>
  <c r="M280" i="20"/>
  <c r="AN285" i="1" s="1"/>
  <c r="M281" i="20"/>
  <c r="AN286" i="1" s="1"/>
  <c r="M282" i="20"/>
  <c r="AN287" i="1" s="1"/>
  <c r="M283" i="20"/>
  <c r="AN288" i="1" s="1"/>
  <c r="M284" i="20"/>
  <c r="AN289" i="1" s="1"/>
  <c r="M285" i="20"/>
  <c r="AN290" i="1" s="1"/>
  <c r="M286" i="20"/>
  <c r="AN291" i="1" s="1"/>
  <c r="M287" i="20"/>
  <c r="AN292" i="1" s="1"/>
  <c r="M288" i="20"/>
  <c r="AN293" i="1" s="1"/>
  <c r="M289" i="20"/>
  <c r="AN294" i="1" s="1"/>
  <c r="M290" i="20"/>
  <c r="AN295" i="1" s="1"/>
  <c r="M291" i="20"/>
  <c r="AN296" i="1" s="1"/>
  <c r="M292" i="20"/>
  <c r="AN297" i="1" s="1"/>
  <c r="M293" i="20"/>
  <c r="AN298" i="1" s="1"/>
  <c r="M294" i="20"/>
  <c r="AN299" i="1" s="1"/>
  <c r="M295" i="20"/>
  <c r="AN300" i="1" s="1"/>
  <c r="M296" i="20"/>
  <c r="AN301" i="1" s="1"/>
  <c r="M297" i="20"/>
  <c r="AN302" i="1" s="1"/>
  <c r="M298" i="20"/>
  <c r="AN303" i="1" s="1"/>
  <c r="M299" i="20"/>
  <c r="AN304" i="1" s="1"/>
  <c r="M300" i="20"/>
  <c r="AN305" i="1" s="1"/>
  <c r="M301" i="20"/>
  <c r="AN306" i="1" s="1"/>
  <c r="M302" i="20"/>
  <c r="AN307" i="1" s="1"/>
  <c r="M303" i="20"/>
  <c r="AN308" i="1" s="1"/>
  <c r="M304" i="20"/>
  <c r="AN309" i="1" s="1"/>
  <c r="M305" i="20"/>
  <c r="AN310" i="1" s="1"/>
  <c r="M306" i="20"/>
  <c r="AN311" i="1" s="1"/>
  <c r="M307" i="20"/>
  <c r="AN312" i="1" s="1"/>
  <c r="M308" i="20"/>
  <c r="AN313" i="1" s="1"/>
  <c r="M309" i="20"/>
  <c r="AN314" i="1" s="1"/>
  <c r="M310" i="20"/>
  <c r="AN315" i="1" s="1"/>
  <c r="M311" i="20"/>
  <c r="AN316" i="1" s="1"/>
  <c r="M312" i="20"/>
  <c r="AN317" i="1" s="1"/>
  <c r="M313" i="20"/>
  <c r="AN318" i="1" s="1"/>
  <c r="M314" i="20"/>
  <c r="AN319" i="1" s="1"/>
  <c r="M315" i="20"/>
  <c r="AN320" i="1" s="1"/>
  <c r="M316" i="20"/>
  <c r="AN321" i="1" s="1"/>
  <c r="M317" i="20"/>
  <c r="AN322" i="1" s="1"/>
  <c r="M318" i="20"/>
  <c r="AN323" i="1" s="1"/>
  <c r="M319" i="20"/>
  <c r="AN324" i="1" s="1"/>
  <c r="M320" i="20"/>
  <c r="AN325" i="1" s="1"/>
  <c r="M321" i="20"/>
  <c r="AN326" i="1" s="1"/>
  <c r="M322" i="20"/>
  <c r="AN327" i="1" s="1"/>
  <c r="M323" i="20"/>
  <c r="AN328" i="1" s="1"/>
  <c r="M324" i="20"/>
  <c r="AN329" i="1" s="1"/>
  <c r="M325" i="20"/>
  <c r="AN330" i="1" s="1"/>
  <c r="M326" i="20"/>
  <c r="AN331" i="1" s="1"/>
  <c r="M327" i="20"/>
  <c r="AN332" i="1" s="1"/>
  <c r="M328" i="20"/>
  <c r="AN333" i="1" s="1"/>
  <c r="M329" i="20"/>
  <c r="AN334" i="1" s="1"/>
  <c r="M330" i="20"/>
  <c r="AN335" i="1" s="1"/>
  <c r="M331" i="20"/>
  <c r="AN336" i="1" s="1"/>
  <c r="M332" i="20"/>
  <c r="AN337" i="1" s="1"/>
  <c r="M333" i="20"/>
  <c r="AN338" i="1" s="1"/>
  <c r="M334" i="20"/>
  <c r="AN339" i="1" s="1"/>
  <c r="M335" i="20"/>
  <c r="AN340" i="1" s="1"/>
  <c r="M336" i="20"/>
  <c r="AN341" i="1" s="1"/>
  <c r="M337" i="20"/>
  <c r="AN342" i="1" s="1"/>
  <c r="M338" i="20"/>
  <c r="AN343" i="1" s="1"/>
  <c r="M339" i="20"/>
  <c r="AN344" i="1" s="1"/>
  <c r="M340" i="20"/>
  <c r="AN345" i="1" s="1"/>
  <c r="M341" i="20"/>
  <c r="AN346" i="1" s="1"/>
  <c r="M342" i="20"/>
  <c r="AN347" i="1" s="1"/>
  <c r="M343" i="20"/>
  <c r="AN348" i="1" s="1"/>
  <c r="M344" i="20"/>
  <c r="AN349" i="1" s="1"/>
  <c r="M345" i="20"/>
  <c r="AN350" i="1" s="1"/>
  <c r="M346" i="20"/>
  <c r="AN351" i="1" s="1"/>
  <c r="M347" i="20"/>
  <c r="AN352" i="1" s="1"/>
  <c r="M348" i="20"/>
  <c r="AN353" i="1" s="1"/>
  <c r="M349" i="20"/>
  <c r="AN354" i="1" s="1"/>
  <c r="M350" i="20"/>
  <c r="AN355" i="1" s="1"/>
  <c r="M351" i="20"/>
  <c r="AN356" i="1" s="1"/>
  <c r="M352" i="20"/>
  <c r="AN357" i="1" s="1"/>
  <c r="M353" i="20"/>
  <c r="AN358" i="1" s="1"/>
  <c r="M354" i="20"/>
  <c r="AN359" i="1" s="1"/>
  <c r="M355" i="20"/>
  <c r="AN360" i="1" s="1"/>
  <c r="M356" i="20"/>
  <c r="AN361" i="1" s="1"/>
  <c r="M357" i="20"/>
  <c r="AN362" i="1" s="1"/>
  <c r="M358" i="20"/>
  <c r="AN363" i="1" s="1"/>
  <c r="M359" i="20"/>
  <c r="AN364" i="1" s="1"/>
  <c r="M360" i="20"/>
  <c r="AN365" i="1" s="1"/>
  <c r="M361" i="20"/>
  <c r="AN366" i="1" s="1"/>
  <c r="M362" i="20"/>
  <c r="AN367" i="1" s="1"/>
  <c r="M363" i="20"/>
  <c r="AN368" i="1" s="1"/>
  <c r="M364" i="20"/>
  <c r="AN369" i="1" s="1"/>
  <c r="M365" i="20"/>
  <c r="AN370" i="1" s="1"/>
  <c r="M3" i="20"/>
  <c r="AN8" i="1" s="1"/>
  <c r="L373" i="1" l="1"/>
  <c r="AK373" i="1"/>
  <c r="L374" i="1"/>
  <c r="AK374" i="1" s="1"/>
  <c r="L375" i="1"/>
  <c r="AK375" i="1" s="1"/>
  <c r="L376" i="1"/>
  <c r="AK376" i="1" s="1"/>
  <c r="L377" i="1"/>
  <c r="AK377" i="1" s="1"/>
  <c r="L378" i="1"/>
  <c r="AK378" i="1" s="1"/>
  <c r="L379" i="1"/>
  <c r="AK379" i="1" s="1"/>
  <c r="L380" i="1"/>
  <c r="AK380" i="1" s="1"/>
  <c r="L381" i="1"/>
  <c r="AK381" i="1" s="1"/>
  <c r="L382" i="1"/>
  <c r="AK382" i="1" s="1"/>
  <c r="L383" i="1"/>
  <c r="AK383" i="1" s="1"/>
  <c r="AL381" i="1" l="1"/>
  <c r="AM381" i="1"/>
  <c r="AL376" i="1"/>
  <c r="AM376" i="1"/>
  <c r="AL373" i="1"/>
  <c r="AM373" i="1"/>
  <c r="AL383" i="1"/>
  <c r="AM383" i="1"/>
  <c r="AL378" i="1"/>
  <c r="AM378" i="1"/>
  <c r="AL375" i="1"/>
  <c r="AM375" i="1"/>
  <c r="AL380" i="1"/>
  <c r="AM380" i="1"/>
  <c r="AL377" i="1"/>
  <c r="AM377" i="1"/>
  <c r="AL382" i="1"/>
  <c r="AM382" i="1"/>
  <c r="AL379" i="1"/>
  <c r="AM379" i="1"/>
  <c r="AL374" i="1"/>
  <c r="AM374" i="1"/>
  <c r="L370" i="1"/>
  <c r="AK370" i="1"/>
  <c r="AM370" i="1" s="1"/>
  <c r="AO370" i="1" s="1"/>
  <c r="AQ370" i="1" s="1"/>
  <c r="AS370" i="1" s="1"/>
  <c r="L371" i="1"/>
  <c r="AK371" i="1"/>
  <c r="AM371" i="1" s="1"/>
  <c r="AO371" i="1" s="1"/>
  <c r="AQ371" i="1" s="1"/>
  <c r="AS371" i="1" s="1"/>
  <c r="L372" i="1"/>
  <c r="AK372" i="1"/>
  <c r="AM372" i="1" s="1"/>
  <c r="AO372" i="1" s="1"/>
  <c r="AQ372" i="1" s="1"/>
  <c r="AS372" i="1" s="1"/>
  <c r="K117" i="24"/>
  <c r="K252" i="24"/>
  <c r="AE258" i="1"/>
  <c r="AE123" i="1"/>
  <c r="L355" i="1"/>
  <c r="AK355" i="1"/>
  <c r="AM355" i="1" s="1"/>
  <c r="AO355" i="1" s="1"/>
  <c r="AQ355" i="1" s="1"/>
  <c r="L356" i="1"/>
  <c r="AK356" i="1"/>
  <c r="AM356" i="1" s="1"/>
  <c r="AO356" i="1" s="1"/>
  <c r="AQ356" i="1" s="1"/>
  <c r="AS356" i="1" s="1"/>
  <c r="H274" i="1"/>
  <c r="H165" i="1"/>
  <c r="L364" i="1"/>
  <c r="AK364" i="1"/>
  <c r="AM364" i="1" s="1"/>
  <c r="AO364" i="1" s="1"/>
  <c r="AQ364" i="1" s="1"/>
  <c r="AS364" i="1" s="1"/>
  <c r="L365" i="1"/>
  <c r="AK365" i="1"/>
  <c r="AM365" i="1" s="1"/>
  <c r="AO365" i="1" s="1"/>
  <c r="AQ365" i="1" s="1"/>
  <c r="AS365" i="1" s="1"/>
  <c r="L366" i="1"/>
  <c r="AK366" i="1"/>
  <c r="AM366" i="1" s="1"/>
  <c r="AO366" i="1" s="1"/>
  <c r="AQ366" i="1" s="1"/>
  <c r="AS366" i="1" s="1"/>
  <c r="L367" i="1"/>
  <c r="AK367" i="1"/>
  <c r="AM367" i="1" s="1"/>
  <c r="AO367" i="1" s="1"/>
  <c r="AQ367" i="1" s="1"/>
  <c r="AS367" i="1" s="1"/>
  <c r="L368" i="1"/>
  <c r="AK368" i="1"/>
  <c r="AM368" i="1" s="1"/>
  <c r="AO368" i="1" s="1"/>
  <c r="AQ368" i="1" s="1"/>
  <c r="AS368" i="1" s="1"/>
  <c r="L369" i="1"/>
  <c r="AK369" i="1"/>
  <c r="AM369" i="1" s="1"/>
  <c r="AO369" i="1" s="1"/>
  <c r="AQ369" i="1" s="1"/>
  <c r="AS369" i="1" s="1"/>
  <c r="H155" i="1"/>
  <c r="H190" i="1"/>
  <c r="L190" i="1" s="1"/>
  <c r="H189" i="1"/>
  <c r="H195" i="1"/>
  <c r="H159" i="1"/>
  <c r="H313" i="1"/>
  <c r="L357" i="1"/>
  <c r="AK357" i="1"/>
  <c r="AM357" i="1" s="1"/>
  <c r="AO357" i="1" s="1"/>
  <c r="AQ357" i="1" s="1"/>
  <c r="AS357" i="1" s="1"/>
  <c r="L358" i="1"/>
  <c r="AK358" i="1"/>
  <c r="AM358" i="1" s="1"/>
  <c r="AO358" i="1" s="1"/>
  <c r="AQ358" i="1" s="1"/>
  <c r="AS358" i="1" s="1"/>
  <c r="L359" i="1"/>
  <c r="AK359" i="1"/>
  <c r="AM359" i="1" s="1"/>
  <c r="AO359" i="1" s="1"/>
  <c r="AQ359" i="1" s="1"/>
  <c r="AS359" i="1" s="1"/>
  <c r="L360" i="1"/>
  <c r="AK360" i="1"/>
  <c r="AM360" i="1" s="1"/>
  <c r="AO360" i="1" s="1"/>
  <c r="AQ360" i="1" s="1"/>
  <c r="AS360" i="1" s="1"/>
  <c r="L361" i="1"/>
  <c r="AK361" i="1"/>
  <c r="AM361" i="1" s="1"/>
  <c r="AO361" i="1" s="1"/>
  <c r="AQ361" i="1" s="1"/>
  <c r="AS361" i="1" s="1"/>
  <c r="L362" i="1"/>
  <c r="AK362" i="1"/>
  <c r="AM362" i="1" s="1"/>
  <c r="AO362" i="1" s="1"/>
  <c r="AQ362" i="1" s="1"/>
  <c r="AS362" i="1" s="1"/>
  <c r="L363" i="1"/>
  <c r="AK363" i="1"/>
  <c r="AM363" i="1" s="1"/>
  <c r="AO363" i="1" s="1"/>
  <c r="AQ363" i="1" s="1"/>
  <c r="AS363" i="1" s="1"/>
  <c r="J39" i="1"/>
  <c r="Q347" i="1"/>
  <c r="Q348" i="1"/>
  <c r="Q349" i="1"/>
  <c r="Q350" i="1"/>
  <c r="Q351" i="1"/>
  <c r="Q352" i="1"/>
  <c r="Q353" i="1"/>
  <c r="Q354" i="1"/>
  <c r="L347" i="1"/>
  <c r="L348" i="1"/>
  <c r="L349" i="1"/>
  <c r="AK349" i="1" s="1"/>
  <c r="AM349" i="1" s="1"/>
  <c r="L350" i="1"/>
  <c r="L351" i="1"/>
  <c r="L352" i="1"/>
  <c r="L353" i="1"/>
  <c r="L354" i="1"/>
  <c r="H302" i="1"/>
  <c r="L302" i="1" s="1"/>
  <c r="Q345" i="1"/>
  <c r="Q346" i="1"/>
  <c r="L345" i="1"/>
  <c r="L346" i="1"/>
  <c r="Q9" i="1"/>
  <c r="Q10" i="1"/>
  <c r="Q11" i="1"/>
  <c r="Q12" i="1"/>
  <c r="Q13" i="1"/>
  <c r="Q14" i="1"/>
  <c r="Q15" i="1"/>
  <c r="Q16" i="1"/>
  <c r="Q17" i="1"/>
  <c r="Q18" i="1"/>
  <c r="Q19" i="1"/>
  <c r="Q20" i="1"/>
  <c r="AK20" i="1" s="1"/>
  <c r="AM20" i="1" s="1"/>
  <c r="AO20" i="1" s="1"/>
  <c r="AQ20" i="1" s="1"/>
  <c r="AS20" i="1" s="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71"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L337" i="1"/>
  <c r="L338" i="1"/>
  <c r="L339" i="1"/>
  <c r="AK339" i="1" s="1"/>
  <c r="AM339" i="1" s="1"/>
  <c r="L340" i="1"/>
  <c r="L341" i="1"/>
  <c r="L342" i="1"/>
  <c r="L343" i="1"/>
  <c r="L344" i="1"/>
  <c r="Q8" i="1"/>
  <c r="H179" i="1"/>
  <c r="H158" i="1"/>
  <c r="L158" i="1" s="1"/>
  <c r="H177" i="1"/>
  <c r="H172" i="1"/>
  <c r="H167" i="1"/>
  <c r="H156" i="1"/>
  <c r="H296" i="1"/>
  <c r="H191" i="1"/>
  <c r="L191" i="1" s="1"/>
  <c r="L9" i="1"/>
  <c r="L10" i="1"/>
  <c r="L11" i="1"/>
  <c r="L12" i="1"/>
  <c r="L13" i="1"/>
  <c r="AK13" i="1" s="1"/>
  <c r="AM13" i="1" s="1"/>
  <c r="AO13" i="1" s="1"/>
  <c r="AQ13" i="1" s="1"/>
  <c r="AS13" i="1" s="1"/>
  <c r="L14" i="1"/>
  <c r="L15" i="1"/>
  <c r="L16" i="1"/>
  <c r="L17" i="1"/>
  <c r="L18" i="1"/>
  <c r="L19" i="1"/>
  <c r="L20" i="1"/>
  <c r="L21" i="1"/>
  <c r="L22" i="1"/>
  <c r="L23" i="1"/>
  <c r="L24" i="1"/>
  <c r="L25" i="1"/>
  <c r="L26" i="1"/>
  <c r="L27" i="1"/>
  <c r="L28" i="1"/>
  <c r="L29" i="1"/>
  <c r="L30" i="1"/>
  <c r="L31" i="1"/>
  <c r="L32" i="1"/>
  <c r="L33" i="1"/>
  <c r="L34" i="1"/>
  <c r="L35" i="1"/>
  <c r="L36" i="1"/>
  <c r="L37" i="1"/>
  <c r="L38" i="1"/>
  <c r="L40" i="1"/>
  <c r="L41" i="1"/>
  <c r="L42" i="1"/>
  <c r="L43" i="1"/>
  <c r="L44" i="1"/>
  <c r="L45" i="1"/>
  <c r="L46" i="1"/>
  <c r="L47" i="1"/>
  <c r="L48" i="1"/>
  <c r="L49" i="1"/>
  <c r="AK49" i="1" s="1"/>
  <c r="AM49" i="1" s="1"/>
  <c r="L50" i="1"/>
  <c r="L51" i="1"/>
  <c r="L52" i="1"/>
  <c r="L53" i="1"/>
  <c r="L54" i="1"/>
  <c r="L55" i="1"/>
  <c r="L56" i="1"/>
  <c r="L57" i="1"/>
  <c r="L58" i="1"/>
  <c r="L59" i="1"/>
  <c r="L60" i="1"/>
  <c r="L61" i="1"/>
  <c r="L62" i="1"/>
  <c r="L63" i="1"/>
  <c r="L64" i="1"/>
  <c r="L65" i="1"/>
  <c r="L66" i="1"/>
  <c r="L67" i="1"/>
  <c r="L68" i="1"/>
  <c r="L69" i="1"/>
  <c r="AK69" i="1" s="1"/>
  <c r="AM69" i="1" s="1"/>
  <c r="AO69" i="1" s="1"/>
  <c r="AQ69" i="1" s="1"/>
  <c r="AS69" i="1" s="1"/>
  <c r="L70" i="1"/>
  <c r="L71" i="1"/>
  <c r="L72" i="1"/>
  <c r="AK72" i="1" s="1"/>
  <c r="AM72" i="1" s="1"/>
  <c r="AO72" i="1" s="1"/>
  <c r="AQ72" i="1" s="1"/>
  <c r="AS72" i="1" s="1"/>
  <c r="L73" i="1"/>
  <c r="L74" i="1"/>
  <c r="L75" i="1"/>
  <c r="L76" i="1"/>
  <c r="L77" i="1"/>
  <c r="L78" i="1"/>
  <c r="L79" i="1"/>
  <c r="L80" i="1"/>
  <c r="L81" i="1"/>
  <c r="L82" i="1"/>
  <c r="L83" i="1"/>
  <c r="L84" i="1"/>
  <c r="L85" i="1"/>
  <c r="L86" i="1"/>
  <c r="L87" i="1"/>
  <c r="L88" i="1"/>
  <c r="L89" i="1"/>
  <c r="L90" i="1"/>
  <c r="L91" i="1"/>
  <c r="L92" i="1"/>
  <c r="L93" i="1"/>
  <c r="L94" i="1"/>
  <c r="L96" i="1"/>
  <c r="L97" i="1"/>
  <c r="L98" i="1"/>
  <c r="L99" i="1"/>
  <c r="AK99" i="1" s="1"/>
  <c r="AM99" i="1" s="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9" i="1"/>
  <c r="L131" i="1"/>
  <c r="L139" i="1"/>
  <c r="L140" i="1"/>
  <c r="L141" i="1"/>
  <c r="L142" i="1"/>
  <c r="L143" i="1"/>
  <c r="L144" i="1"/>
  <c r="L145" i="1"/>
  <c r="L146" i="1"/>
  <c r="L147" i="1"/>
  <c r="L148" i="1"/>
  <c r="L149" i="1"/>
  <c r="L150" i="1"/>
  <c r="L151" i="1"/>
  <c r="L152" i="1"/>
  <c r="L153" i="1"/>
  <c r="L155" i="1"/>
  <c r="L156" i="1"/>
  <c r="L157" i="1"/>
  <c r="L159" i="1"/>
  <c r="L161" i="1"/>
  <c r="L162" i="1"/>
  <c r="L165" i="1"/>
  <c r="L167" i="1"/>
  <c r="L169" i="1"/>
  <c r="L170" i="1"/>
  <c r="L171" i="1"/>
  <c r="L172" i="1"/>
  <c r="L173" i="1"/>
  <c r="L175" i="1"/>
  <c r="L177" i="1"/>
  <c r="L178" i="1"/>
  <c r="L179" i="1"/>
  <c r="L181" i="1"/>
  <c r="L183" i="1"/>
  <c r="L186" i="1"/>
  <c r="L187" i="1"/>
  <c r="AK187" i="1" s="1"/>
  <c r="AM187" i="1" s="1"/>
  <c r="L188" i="1"/>
  <c r="L189" i="1"/>
  <c r="AK189" i="1" s="1"/>
  <c r="AM189" i="1" s="1"/>
  <c r="L192"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30" i="1"/>
  <c r="L231" i="1"/>
  <c r="L232" i="1"/>
  <c r="L233" i="1"/>
  <c r="L234" i="1"/>
  <c r="L235" i="1"/>
  <c r="L236" i="1"/>
  <c r="L237" i="1"/>
  <c r="L239" i="1"/>
  <c r="L240" i="1"/>
  <c r="L241" i="1"/>
  <c r="L242" i="1"/>
  <c r="L243" i="1"/>
  <c r="L244" i="1"/>
  <c r="L245" i="1"/>
  <c r="AK245" i="1" s="1"/>
  <c r="AM245" i="1" s="1"/>
  <c r="L246" i="1"/>
  <c r="L247" i="1"/>
  <c r="L248" i="1"/>
  <c r="L249" i="1"/>
  <c r="L250" i="1"/>
  <c r="L251" i="1"/>
  <c r="L252" i="1"/>
  <c r="L253" i="1"/>
  <c r="AK253" i="1" s="1"/>
  <c r="AM253" i="1" s="1"/>
  <c r="L254" i="1"/>
  <c r="L255" i="1"/>
  <c r="L256" i="1"/>
  <c r="L257" i="1"/>
  <c r="L258" i="1"/>
  <c r="L259" i="1"/>
  <c r="L260" i="1"/>
  <c r="L261" i="1"/>
  <c r="AK261" i="1" s="1"/>
  <c r="L262" i="1"/>
  <c r="L263" i="1"/>
  <c r="L264" i="1"/>
  <c r="L265" i="1"/>
  <c r="L266" i="1"/>
  <c r="L267" i="1"/>
  <c r="L268" i="1"/>
  <c r="L269" i="1"/>
  <c r="L271" i="1"/>
  <c r="L272" i="1"/>
  <c r="L273" i="1"/>
  <c r="L274" i="1"/>
  <c r="L275" i="1"/>
  <c r="L276" i="1"/>
  <c r="L277" i="1"/>
  <c r="L278" i="1"/>
  <c r="L279" i="1"/>
  <c r="L280" i="1"/>
  <c r="L281" i="1"/>
  <c r="L282" i="1"/>
  <c r="L283" i="1"/>
  <c r="L284" i="1"/>
  <c r="L285" i="1"/>
  <c r="L286" i="1"/>
  <c r="L288" i="1"/>
  <c r="L289" i="1"/>
  <c r="L290" i="1"/>
  <c r="L291" i="1"/>
  <c r="L292" i="1"/>
  <c r="L293" i="1"/>
  <c r="L294" i="1"/>
  <c r="L295" i="1"/>
  <c r="L296" i="1"/>
  <c r="L297" i="1"/>
  <c r="L298" i="1"/>
  <c r="L299" i="1"/>
  <c r="L300" i="1"/>
  <c r="L301"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8" i="1"/>
  <c r="H184" i="1"/>
  <c r="L184" i="1"/>
  <c r="H128" i="1"/>
  <c r="L128" i="1"/>
  <c r="H161" i="1"/>
  <c r="H174" i="1"/>
  <c r="L174" i="1" s="1"/>
  <c r="H164" i="1"/>
  <c r="L164" i="1" s="1"/>
  <c r="H185" i="1"/>
  <c r="L185" i="1" s="1"/>
  <c r="H154" i="1"/>
  <c r="L154" i="1" s="1"/>
  <c r="H182" i="1"/>
  <c r="L182" i="1"/>
  <c r="H134" i="1"/>
  <c r="L134" i="1"/>
  <c r="H176" i="1"/>
  <c r="L176" i="1"/>
  <c r="AK176" i="1" s="1"/>
  <c r="AM176" i="1" s="1"/>
  <c r="H238" i="1"/>
  <c r="L238" i="1"/>
  <c r="H193" i="1"/>
  <c r="L193" i="1"/>
  <c r="H168" i="1"/>
  <c r="L168" i="1"/>
  <c r="H95" i="1"/>
  <c r="L95" i="1"/>
  <c r="H163" i="1"/>
  <c r="L163" i="1"/>
  <c r="H229" i="1"/>
  <c r="L229" i="1"/>
  <c r="AK229" i="1" s="1"/>
  <c r="AM229" i="1" s="1"/>
  <c r="H270" i="1"/>
  <c r="L270" i="1"/>
  <c r="H287" i="1"/>
  <c r="L287" i="1"/>
  <c r="H166" i="1"/>
  <c r="L166" i="1"/>
  <c r="H160" i="1"/>
  <c r="L160" i="1"/>
  <c r="H180" i="1"/>
  <c r="L180" i="1"/>
  <c r="H130" i="1"/>
  <c r="L130" i="1"/>
  <c r="H132" i="1"/>
  <c r="L132" i="1"/>
  <c r="C61" i="17"/>
  <c r="C62" i="17"/>
  <c r="C63" i="17"/>
  <c r="C64" i="17"/>
  <c r="C60" i="17"/>
  <c r="H39" i="1"/>
  <c r="G39" i="1"/>
  <c r="L39" i="1"/>
  <c r="H138" i="1"/>
  <c r="L138" i="1"/>
  <c r="K4" i="1"/>
  <c r="AQ384" i="1"/>
  <c r="AS384" i="1" s="1"/>
  <c r="AQ385" i="1"/>
  <c r="AS385" i="1" s="1"/>
  <c r="AQ386" i="1"/>
  <c r="AS386" i="1" s="1"/>
  <c r="AQ387" i="1"/>
  <c r="AS387" i="1" s="1"/>
  <c r="AQ388" i="1"/>
  <c r="AS388" i="1" s="1"/>
  <c r="AQ389" i="1"/>
  <c r="AS389" i="1"/>
  <c r="AQ390" i="1"/>
  <c r="AS390" i="1" s="1"/>
  <c r="AQ391" i="1"/>
  <c r="AS391" i="1" s="1"/>
  <c r="AQ392" i="1"/>
  <c r="AS392" i="1" s="1"/>
  <c r="AQ393" i="1"/>
  <c r="AS393" i="1" s="1"/>
  <c r="AQ394" i="1"/>
  <c r="AS394" i="1" s="1"/>
  <c r="AQ395" i="1"/>
  <c r="AS395" i="1" s="1"/>
  <c r="AQ396" i="1"/>
  <c r="AS396" i="1" s="1"/>
  <c r="AQ397" i="1"/>
  <c r="AS397" i="1" s="1"/>
  <c r="AQ398" i="1"/>
  <c r="AS398" i="1" s="1"/>
  <c r="AQ399" i="1"/>
  <c r="AS399" i="1" s="1"/>
  <c r="AQ400" i="1"/>
  <c r="AS400" i="1" s="1"/>
  <c r="AQ401" i="1"/>
  <c r="AS401" i="1" s="1"/>
  <c r="H137" i="1"/>
  <c r="L137" i="1"/>
  <c r="H136" i="1"/>
  <c r="L136" i="1"/>
  <c r="H135" i="1"/>
  <c r="L135" i="1"/>
  <c r="H133" i="1"/>
  <c r="L133" i="1"/>
  <c r="Z172" i="1"/>
  <c r="E37" i="17"/>
  <c r="Z100" i="1"/>
  <c r="E12" i="17"/>
  <c r="AK70" i="1"/>
  <c r="AM70" i="1" s="1"/>
  <c r="AO70" i="1" s="1"/>
  <c r="AQ70" i="1" s="1"/>
  <c r="AS70" i="1" s="1"/>
  <c r="AK353" i="1"/>
  <c r="AM353" i="1" s="1"/>
  <c r="AK384" i="1"/>
  <c r="AL384" i="1" s="1"/>
  <c r="AK385" i="1"/>
  <c r="AL385" i="1" s="1"/>
  <c r="AK386" i="1"/>
  <c r="AL386" i="1" s="1"/>
  <c r="AK387" i="1"/>
  <c r="AL387" i="1" s="1"/>
  <c r="AK388" i="1"/>
  <c r="AL388" i="1" s="1"/>
  <c r="AK389" i="1"/>
  <c r="AL389" i="1" s="1"/>
  <c r="AK390" i="1"/>
  <c r="AK391" i="1"/>
  <c r="AL391" i="1" s="1"/>
  <c r="AK392" i="1"/>
  <c r="AL392" i="1" s="1"/>
  <c r="AK393" i="1"/>
  <c r="AL393" i="1" s="1"/>
  <c r="AK394" i="1"/>
  <c r="AL394" i="1" s="1"/>
  <c r="AK395" i="1"/>
  <c r="AL395" i="1" s="1"/>
  <c r="AK396" i="1"/>
  <c r="AL396" i="1" s="1"/>
  <c r="AK397" i="1"/>
  <c r="AL397" i="1" s="1"/>
  <c r="AK398" i="1"/>
  <c r="AL398" i="1" s="1"/>
  <c r="AK399" i="1"/>
  <c r="AL399" i="1" s="1"/>
  <c r="AK400" i="1"/>
  <c r="AL400" i="1" s="1"/>
  <c r="AK401" i="1"/>
  <c r="AL401" i="1" s="1"/>
  <c r="AL390" i="1"/>
  <c r="AT9" i="1"/>
  <c r="AK275" i="1" l="1"/>
  <c r="AM275" i="1" s="1"/>
  <c r="AK147" i="1"/>
  <c r="AM147" i="1" s="1"/>
  <c r="AK32" i="1"/>
  <c r="AM32" i="1" s="1"/>
  <c r="AO32" i="1" s="1"/>
  <c r="AQ32" i="1" s="1"/>
  <c r="AS32" i="1" s="1"/>
  <c r="AK28" i="1"/>
  <c r="AM28" i="1" s="1"/>
  <c r="AO28" i="1" s="1"/>
  <c r="AQ28" i="1" s="1"/>
  <c r="AS28" i="1" s="1"/>
  <c r="AK24" i="1"/>
  <c r="AM24" i="1" s="1"/>
  <c r="AO24" i="1" s="1"/>
  <c r="AQ24" i="1" s="1"/>
  <c r="AS24" i="1" s="1"/>
  <c r="AK16" i="1"/>
  <c r="AM16" i="1" s="1"/>
  <c r="AO16" i="1" s="1"/>
  <c r="AQ16" i="1" s="1"/>
  <c r="AS16" i="1" s="1"/>
  <c r="AK12" i="1"/>
  <c r="AM12" i="1" s="1"/>
  <c r="AO12" i="1" s="1"/>
  <c r="AQ12" i="1" s="1"/>
  <c r="AS12" i="1" s="1"/>
  <c r="AK270" i="1"/>
  <c r="AM270" i="1" s="1"/>
  <c r="AK238" i="1"/>
  <c r="AM238" i="1" s="1"/>
  <c r="AK234" i="1"/>
  <c r="AK95" i="1"/>
  <c r="AM95" i="1" s="1"/>
  <c r="AK227" i="1"/>
  <c r="AM227" i="1" s="1"/>
  <c r="AK223" i="1"/>
  <c r="AM223" i="1" s="1"/>
  <c r="AK131" i="1"/>
  <c r="AM131" i="1" s="1"/>
  <c r="AK52" i="1"/>
  <c r="AM52" i="1" s="1"/>
  <c r="AK346" i="1"/>
  <c r="AM346" i="1" s="1"/>
  <c r="AO346" i="1" s="1"/>
  <c r="AQ346" i="1" s="1"/>
  <c r="AS346" i="1" s="1"/>
  <c r="AK100" i="1"/>
  <c r="AM100" i="1" s="1"/>
  <c r="AK91" i="1"/>
  <c r="AM91" i="1" s="1"/>
  <c r="AK87" i="1"/>
  <c r="AM87" i="1" s="1"/>
  <c r="AK79" i="1"/>
  <c r="AM79" i="1" s="1"/>
  <c r="AO79" i="1" s="1"/>
  <c r="AQ79" i="1" s="1"/>
  <c r="AS79" i="1" s="1"/>
  <c r="AK166" i="1"/>
  <c r="AM166" i="1" s="1"/>
  <c r="AK134" i="1"/>
  <c r="AK94" i="1"/>
  <c r="AK90" i="1"/>
  <c r="AM90" i="1" s="1"/>
  <c r="AO90" i="1" s="1"/>
  <c r="AQ90" i="1" s="1"/>
  <c r="AS90" i="1" s="1"/>
  <c r="AK86" i="1"/>
  <c r="AM86" i="1" s="1"/>
  <c r="AK82" i="1"/>
  <c r="AM82" i="1" s="1"/>
  <c r="AK78" i="1"/>
  <c r="AK74" i="1"/>
  <c r="AM74" i="1" s="1"/>
  <c r="AO74" i="1" s="1"/>
  <c r="AQ74" i="1" s="1"/>
  <c r="AS74" i="1" s="1"/>
  <c r="AK39" i="1"/>
  <c r="AM39" i="1" s="1"/>
  <c r="AL368" i="1"/>
  <c r="AK287" i="1"/>
  <c r="AM287" i="1" s="1"/>
  <c r="AK311" i="1"/>
  <c r="AM311" i="1" s="1"/>
  <c r="AO311" i="1" s="1"/>
  <c r="AQ311" i="1" s="1"/>
  <c r="AS311" i="1" s="1"/>
  <c r="AK8" i="1"/>
  <c r="AK301" i="1"/>
  <c r="AM301" i="1" s="1"/>
  <c r="AK169" i="1"/>
  <c r="AM169" i="1" s="1"/>
  <c r="AK42" i="1"/>
  <c r="AM42" i="1" s="1"/>
  <c r="AO42" i="1" s="1"/>
  <c r="AQ42" i="1" s="1"/>
  <c r="AS42" i="1" s="1"/>
  <c r="AK14" i="1"/>
  <c r="AM14" i="1" s="1"/>
  <c r="AO14" i="1" s="1"/>
  <c r="AQ14" i="1" s="1"/>
  <c r="AS14" i="1" s="1"/>
  <c r="AK101" i="1"/>
  <c r="AM101" i="1" s="1"/>
  <c r="AK33" i="1"/>
  <c r="AM33" i="1" s="1"/>
  <c r="AO33" i="1" s="1"/>
  <c r="AQ33" i="1" s="1"/>
  <c r="AS33" i="1" s="1"/>
  <c r="AK21" i="1"/>
  <c r="AM21" i="1" s="1"/>
  <c r="AO21" i="1" s="1"/>
  <c r="AQ21" i="1" s="1"/>
  <c r="AS21" i="1" s="1"/>
  <c r="AK17" i="1"/>
  <c r="AM17" i="1" s="1"/>
  <c r="AO17" i="1" s="1"/>
  <c r="AQ17" i="1" s="1"/>
  <c r="AS17" i="1" s="1"/>
  <c r="AK9" i="1"/>
  <c r="AM9" i="1" s="1"/>
  <c r="AO9" i="1" s="1"/>
  <c r="AQ9" i="1" s="1"/>
  <c r="AS9" i="1" s="1"/>
  <c r="AK25" i="1"/>
  <c r="AM25" i="1" s="1"/>
  <c r="AO25" i="1" s="1"/>
  <c r="AQ25" i="1" s="1"/>
  <c r="AS25" i="1" s="1"/>
  <c r="AK262" i="1"/>
  <c r="AM262" i="1" s="1"/>
  <c r="AO262" i="1" s="1"/>
  <c r="AQ262" i="1" s="1"/>
  <c r="AS262" i="1" s="1"/>
  <c r="AK254" i="1"/>
  <c r="AL254" i="1" s="1"/>
  <c r="AK246" i="1"/>
  <c r="AM246" i="1" s="1"/>
  <c r="AO246" i="1" s="1"/>
  <c r="AQ246" i="1" s="1"/>
  <c r="AS246" i="1" s="1"/>
  <c r="AK242" i="1"/>
  <c r="AL242" i="1" s="1"/>
  <c r="AK190" i="1"/>
  <c r="AM190" i="1" s="1"/>
  <c r="AO190" i="1" s="1"/>
  <c r="AQ190" i="1" s="1"/>
  <c r="AS190" i="1" s="1"/>
  <c r="AK174" i="1"/>
  <c r="AL174" i="1" s="1"/>
  <c r="AK122" i="1"/>
  <c r="AM122" i="1" s="1"/>
  <c r="AO122" i="1" s="1"/>
  <c r="AQ122" i="1" s="1"/>
  <c r="AS122" i="1" s="1"/>
  <c r="AK114" i="1"/>
  <c r="AM114" i="1" s="1"/>
  <c r="AO114" i="1" s="1"/>
  <c r="AQ114" i="1" s="1"/>
  <c r="AS114" i="1" s="1"/>
  <c r="AK106" i="1"/>
  <c r="AM106" i="1" s="1"/>
  <c r="AO106" i="1" s="1"/>
  <c r="AQ106" i="1" s="1"/>
  <c r="AS106" i="1" s="1"/>
  <c r="AK98" i="1"/>
  <c r="AL98" i="1" s="1"/>
  <c r="AK81" i="1"/>
  <c r="AM81" i="1" s="1"/>
  <c r="AO81" i="1" s="1"/>
  <c r="AQ81" i="1" s="1"/>
  <c r="AS81" i="1" s="1"/>
  <c r="AK129" i="1"/>
  <c r="AM129" i="1" s="1"/>
  <c r="AO129" i="1" s="1"/>
  <c r="AQ129" i="1" s="1"/>
  <c r="AS129" i="1" s="1"/>
  <c r="AK34" i="1"/>
  <c r="AM34" i="1" s="1"/>
  <c r="AO34" i="1" s="1"/>
  <c r="AQ34" i="1" s="1"/>
  <c r="AS34" i="1" s="1"/>
  <c r="AK26" i="1"/>
  <c r="AM26" i="1" s="1"/>
  <c r="AO26" i="1" s="1"/>
  <c r="AQ26" i="1" s="1"/>
  <c r="AS26" i="1" s="1"/>
  <c r="AK342" i="1"/>
  <c r="AL342" i="1" s="1"/>
  <c r="AK266" i="1"/>
  <c r="AM266" i="1" s="1"/>
  <c r="AO266" i="1" s="1"/>
  <c r="AQ266" i="1" s="1"/>
  <c r="AS266" i="1" s="1"/>
  <c r="AK258" i="1"/>
  <c r="AM258" i="1" s="1"/>
  <c r="AO258" i="1" s="1"/>
  <c r="AQ258" i="1" s="1"/>
  <c r="AS258" i="1" s="1"/>
  <c r="AK250" i="1"/>
  <c r="AL250" i="1" s="1"/>
  <c r="AK186" i="1"/>
  <c r="AM186" i="1" s="1"/>
  <c r="AO186" i="1" s="1"/>
  <c r="AQ186" i="1" s="1"/>
  <c r="AS186" i="1" s="1"/>
  <c r="AK178" i="1"/>
  <c r="AM178" i="1" s="1"/>
  <c r="AO178" i="1" s="1"/>
  <c r="AQ178" i="1" s="1"/>
  <c r="AS178" i="1" s="1"/>
  <c r="AK126" i="1"/>
  <c r="AM126" i="1" s="1"/>
  <c r="AO126" i="1" s="1"/>
  <c r="AQ126" i="1" s="1"/>
  <c r="AS126" i="1" s="1"/>
  <c r="AK118" i="1"/>
  <c r="AM118" i="1" s="1"/>
  <c r="AO118" i="1" s="1"/>
  <c r="AQ118" i="1" s="1"/>
  <c r="AS118" i="1" s="1"/>
  <c r="AK110" i="1"/>
  <c r="AM110" i="1" s="1"/>
  <c r="AO110" i="1" s="1"/>
  <c r="AQ110" i="1" s="1"/>
  <c r="AS110" i="1" s="1"/>
  <c r="AK102" i="1"/>
  <c r="AM102" i="1" s="1"/>
  <c r="AO102" i="1" s="1"/>
  <c r="AQ102" i="1" s="1"/>
  <c r="AS102" i="1" s="1"/>
  <c r="AK93" i="1"/>
  <c r="AM93" i="1" s="1"/>
  <c r="AO93" i="1" s="1"/>
  <c r="AQ93" i="1" s="1"/>
  <c r="AS93" i="1" s="1"/>
  <c r="AK273" i="1"/>
  <c r="AM273" i="1" s="1"/>
  <c r="AO273" i="1" s="1"/>
  <c r="AQ273" i="1" s="1"/>
  <c r="AS273" i="1" s="1"/>
  <c r="AK30" i="1"/>
  <c r="AM30" i="1" s="1"/>
  <c r="AO30" i="1" s="1"/>
  <c r="AQ30" i="1" s="1"/>
  <c r="AS30" i="1" s="1"/>
  <c r="AK22" i="1"/>
  <c r="AM22" i="1" s="1"/>
  <c r="AO22" i="1" s="1"/>
  <c r="AQ22" i="1" s="1"/>
  <c r="AS22" i="1" s="1"/>
  <c r="AK29" i="1"/>
  <c r="AM29" i="1" s="1"/>
  <c r="AO29" i="1" s="1"/>
  <c r="AQ29" i="1" s="1"/>
  <c r="AS29" i="1" s="1"/>
  <c r="AK282" i="1"/>
  <c r="AL282" i="1" s="1"/>
  <c r="AK274" i="1"/>
  <c r="AM274" i="1" s="1"/>
  <c r="AO274" i="1" s="1"/>
  <c r="AQ274" i="1" s="1"/>
  <c r="AS274" i="1" s="1"/>
  <c r="AK154" i="1"/>
  <c r="AL154" i="1" s="1"/>
  <c r="AK142" i="1"/>
  <c r="AM142" i="1" s="1"/>
  <c r="AO142" i="1" s="1"/>
  <c r="AQ142" i="1" s="1"/>
  <c r="AS142" i="1" s="1"/>
  <c r="AK130" i="1"/>
  <c r="AM130" i="1" s="1"/>
  <c r="AO130" i="1" s="1"/>
  <c r="AQ130" i="1" s="1"/>
  <c r="AS130" i="1" s="1"/>
  <c r="AK31" i="1"/>
  <c r="AL31" i="1" s="1"/>
  <c r="AK23" i="1"/>
  <c r="AL23" i="1" s="1"/>
  <c r="AK334" i="1"/>
  <c r="AM334" i="1" s="1"/>
  <c r="AO334" i="1" s="1"/>
  <c r="AQ334" i="1" s="1"/>
  <c r="AS334" i="1" s="1"/>
  <c r="AK286" i="1"/>
  <c r="AM286" i="1" s="1"/>
  <c r="AO286" i="1" s="1"/>
  <c r="AQ286" i="1" s="1"/>
  <c r="AS286" i="1" s="1"/>
  <c r="AK278" i="1"/>
  <c r="AM278" i="1" s="1"/>
  <c r="AO278" i="1" s="1"/>
  <c r="AQ278" i="1" s="1"/>
  <c r="AS278" i="1" s="1"/>
  <c r="AK182" i="1"/>
  <c r="AM182" i="1" s="1"/>
  <c r="AO182" i="1" s="1"/>
  <c r="AQ182" i="1" s="1"/>
  <c r="AS182" i="1" s="1"/>
  <c r="AK158" i="1"/>
  <c r="AM158" i="1" s="1"/>
  <c r="AO158" i="1" s="1"/>
  <c r="AQ158" i="1" s="1"/>
  <c r="AS158" i="1" s="1"/>
  <c r="AK150" i="1"/>
  <c r="AM150" i="1" s="1"/>
  <c r="AO150" i="1" s="1"/>
  <c r="AQ150" i="1" s="1"/>
  <c r="AS150" i="1" s="1"/>
  <c r="AK146" i="1"/>
  <c r="AL146" i="1" s="1"/>
  <c r="AK138" i="1"/>
  <c r="AL138" i="1" s="1"/>
  <c r="AK35" i="1"/>
  <c r="AL35" i="1" s="1"/>
  <c r="AK27" i="1"/>
  <c r="AM27" i="1" s="1"/>
  <c r="AO27" i="1" s="1"/>
  <c r="AQ27" i="1" s="1"/>
  <c r="AS27" i="1" s="1"/>
  <c r="AK19" i="1"/>
  <c r="AM19" i="1" s="1"/>
  <c r="AO19" i="1" s="1"/>
  <c r="AQ19" i="1" s="1"/>
  <c r="AS19" i="1" s="1"/>
  <c r="AK347" i="1"/>
  <c r="AL347" i="1" s="1"/>
  <c r="AK326" i="1"/>
  <c r="AM326" i="1" s="1"/>
  <c r="AO326" i="1" s="1"/>
  <c r="AQ326" i="1" s="1"/>
  <c r="AS326" i="1" s="1"/>
  <c r="AK314" i="1"/>
  <c r="AM314" i="1" s="1"/>
  <c r="AK302" i="1"/>
  <c r="AM302" i="1" s="1"/>
  <c r="AK218" i="1"/>
  <c r="AL218" i="1" s="1"/>
  <c r="AK206" i="1"/>
  <c r="AM206" i="1" s="1"/>
  <c r="AO206" i="1" s="1"/>
  <c r="AQ206" i="1" s="1"/>
  <c r="AS206" i="1" s="1"/>
  <c r="AK59" i="1"/>
  <c r="AM59" i="1" s="1"/>
  <c r="AO59" i="1" s="1"/>
  <c r="AQ59" i="1" s="1"/>
  <c r="AS59" i="1" s="1"/>
  <c r="AK51" i="1"/>
  <c r="AL51" i="1" s="1"/>
  <c r="AK43" i="1"/>
  <c r="AM43" i="1" s="1"/>
  <c r="AO43" i="1" s="1"/>
  <c r="AQ43" i="1" s="1"/>
  <c r="AS43" i="1" s="1"/>
  <c r="AK230" i="1"/>
  <c r="AM230" i="1" s="1"/>
  <c r="AO230" i="1" s="1"/>
  <c r="AQ230" i="1" s="1"/>
  <c r="AS230" i="1" s="1"/>
  <c r="AK330" i="1"/>
  <c r="AL330" i="1" s="1"/>
  <c r="AK318" i="1"/>
  <c r="AL318" i="1" s="1"/>
  <c r="AK306" i="1"/>
  <c r="AM306" i="1" s="1"/>
  <c r="AO306" i="1" s="1"/>
  <c r="AQ306" i="1" s="1"/>
  <c r="AS306" i="1" s="1"/>
  <c r="AK294" i="1"/>
  <c r="AM294" i="1" s="1"/>
  <c r="AO294" i="1" s="1"/>
  <c r="AQ294" i="1" s="1"/>
  <c r="AS294" i="1" s="1"/>
  <c r="AK226" i="1"/>
  <c r="AM226" i="1" s="1"/>
  <c r="AO226" i="1" s="1"/>
  <c r="AQ226" i="1" s="1"/>
  <c r="AS226" i="1" s="1"/>
  <c r="AK214" i="1"/>
  <c r="AM214" i="1" s="1"/>
  <c r="AO214" i="1" s="1"/>
  <c r="AQ214" i="1" s="1"/>
  <c r="AS214" i="1" s="1"/>
  <c r="AK198" i="1"/>
  <c r="AM198" i="1" s="1"/>
  <c r="AO198" i="1" s="1"/>
  <c r="AQ198" i="1" s="1"/>
  <c r="AS198" i="1" s="1"/>
  <c r="AK170" i="1"/>
  <c r="AM170" i="1" s="1"/>
  <c r="AO170" i="1" s="1"/>
  <c r="AQ170" i="1" s="1"/>
  <c r="AS170" i="1" s="1"/>
  <c r="AK67" i="1"/>
  <c r="AL67" i="1" s="1"/>
  <c r="AK15" i="1"/>
  <c r="AM15" i="1" s="1"/>
  <c r="AO15" i="1" s="1"/>
  <c r="AQ15" i="1" s="1"/>
  <c r="AS15" i="1" s="1"/>
  <c r="AK322" i="1"/>
  <c r="AL322" i="1" s="1"/>
  <c r="AK310" i="1"/>
  <c r="AM310" i="1" s="1"/>
  <c r="AO310" i="1" s="1"/>
  <c r="AQ310" i="1" s="1"/>
  <c r="AS310" i="1" s="1"/>
  <c r="AK298" i="1"/>
  <c r="AM298" i="1" s="1"/>
  <c r="AO298" i="1" s="1"/>
  <c r="AQ298" i="1" s="1"/>
  <c r="AS298" i="1" s="1"/>
  <c r="AK290" i="1"/>
  <c r="AM290" i="1" s="1"/>
  <c r="AO290" i="1" s="1"/>
  <c r="AQ290" i="1" s="1"/>
  <c r="AS290" i="1" s="1"/>
  <c r="AK222" i="1"/>
  <c r="AM222" i="1" s="1"/>
  <c r="AO222" i="1" s="1"/>
  <c r="AQ222" i="1" s="1"/>
  <c r="AS222" i="1" s="1"/>
  <c r="AK210" i="1"/>
  <c r="AM210" i="1" s="1"/>
  <c r="AO210" i="1" s="1"/>
  <c r="AQ210" i="1" s="1"/>
  <c r="AS210" i="1" s="1"/>
  <c r="AK202" i="1"/>
  <c r="AM202" i="1" s="1"/>
  <c r="AO202" i="1" s="1"/>
  <c r="AQ202" i="1" s="1"/>
  <c r="AS202" i="1" s="1"/>
  <c r="AK194" i="1"/>
  <c r="AM194" i="1" s="1"/>
  <c r="AO194" i="1" s="1"/>
  <c r="AQ194" i="1" s="1"/>
  <c r="AS194" i="1" s="1"/>
  <c r="AK162" i="1"/>
  <c r="AM162" i="1" s="1"/>
  <c r="AO162" i="1" s="1"/>
  <c r="AQ162" i="1" s="1"/>
  <c r="AS162" i="1" s="1"/>
  <c r="AK63" i="1"/>
  <c r="AL63" i="1" s="1"/>
  <c r="AK55" i="1"/>
  <c r="AM55" i="1" s="1"/>
  <c r="AO55" i="1" s="1"/>
  <c r="AQ55" i="1" s="1"/>
  <c r="AS55" i="1" s="1"/>
  <c r="AK47" i="1"/>
  <c r="AM47" i="1" s="1"/>
  <c r="AO47" i="1" s="1"/>
  <c r="AQ47" i="1" s="1"/>
  <c r="AS47" i="1" s="1"/>
  <c r="AK11" i="1"/>
  <c r="AL11" i="1" s="1"/>
  <c r="AK351" i="1"/>
  <c r="AM351" i="1" s="1"/>
  <c r="AO351" i="1" s="1"/>
  <c r="AQ351" i="1" s="1"/>
  <c r="AS351" i="1" s="1"/>
  <c r="AK338" i="1"/>
  <c r="AM338" i="1" s="1"/>
  <c r="AK341" i="1"/>
  <c r="AM341" i="1" s="1"/>
  <c r="AO341" i="1" s="1"/>
  <c r="AQ341" i="1" s="1"/>
  <c r="AS341" i="1" s="1"/>
  <c r="AK337" i="1"/>
  <c r="AM337" i="1" s="1"/>
  <c r="AO337" i="1" s="1"/>
  <c r="AQ337" i="1" s="1"/>
  <c r="AS337" i="1" s="1"/>
  <c r="AK333" i="1"/>
  <c r="AM333" i="1" s="1"/>
  <c r="AO333" i="1" s="1"/>
  <c r="AQ333" i="1" s="1"/>
  <c r="AS333" i="1" s="1"/>
  <c r="AK329" i="1"/>
  <c r="AM329" i="1" s="1"/>
  <c r="AO329" i="1" s="1"/>
  <c r="AQ329" i="1" s="1"/>
  <c r="AS329" i="1" s="1"/>
  <c r="AK325" i="1"/>
  <c r="AL325" i="1" s="1"/>
  <c r="AK321" i="1"/>
  <c r="AM321" i="1" s="1"/>
  <c r="AO321" i="1" s="1"/>
  <c r="AQ321" i="1" s="1"/>
  <c r="AS321" i="1" s="1"/>
  <c r="AK317" i="1"/>
  <c r="AM317" i="1" s="1"/>
  <c r="AO317" i="1" s="1"/>
  <c r="AQ317" i="1" s="1"/>
  <c r="AS317" i="1" s="1"/>
  <c r="AK313" i="1"/>
  <c r="AM313" i="1" s="1"/>
  <c r="AO313" i="1" s="1"/>
  <c r="AQ313" i="1" s="1"/>
  <c r="AS313" i="1" s="1"/>
  <c r="AK309" i="1"/>
  <c r="AM309" i="1" s="1"/>
  <c r="AO309" i="1" s="1"/>
  <c r="AQ309" i="1" s="1"/>
  <c r="AS309" i="1" s="1"/>
  <c r="AK305" i="1"/>
  <c r="AM305" i="1" s="1"/>
  <c r="AO305" i="1" s="1"/>
  <c r="AQ305" i="1" s="1"/>
  <c r="AS305" i="1" s="1"/>
  <c r="AK297" i="1"/>
  <c r="AM297" i="1" s="1"/>
  <c r="AO297" i="1" s="1"/>
  <c r="AQ297" i="1" s="1"/>
  <c r="AS297" i="1" s="1"/>
  <c r="AK293" i="1"/>
  <c r="AL293" i="1" s="1"/>
  <c r="AK289" i="1"/>
  <c r="AM289" i="1" s="1"/>
  <c r="AO289" i="1" s="1"/>
  <c r="AQ289" i="1" s="1"/>
  <c r="AS289" i="1" s="1"/>
  <c r="AK285" i="1"/>
  <c r="AM285" i="1" s="1"/>
  <c r="AO285" i="1" s="1"/>
  <c r="AQ285" i="1" s="1"/>
  <c r="AS285" i="1" s="1"/>
  <c r="AK281" i="1"/>
  <c r="AL281" i="1" s="1"/>
  <c r="AK277" i="1"/>
  <c r="AM277" i="1" s="1"/>
  <c r="AO277" i="1" s="1"/>
  <c r="AQ277" i="1" s="1"/>
  <c r="AS277" i="1" s="1"/>
  <c r="AK269" i="1"/>
  <c r="AM269" i="1" s="1"/>
  <c r="AO269" i="1" s="1"/>
  <c r="AQ269" i="1" s="1"/>
  <c r="AS269" i="1" s="1"/>
  <c r="AK265" i="1"/>
  <c r="AM265" i="1" s="1"/>
  <c r="AO265" i="1" s="1"/>
  <c r="AQ265" i="1" s="1"/>
  <c r="AS265" i="1" s="1"/>
  <c r="AK257" i="1"/>
  <c r="AL257" i="1" s="1"/>
  <c r="AK249" i="1"/>
  <c r="AL249" i="1" s="1"/>
  <c r="AK241" i="1"/>
  <c r="AM241" i="1" s="1"/>
  <c r="AO241" i="1" s="1"/>
  <c r="AQ241" i="1" s="1"/>
  <c r="AS241" i="1" s="1"/>
  <c r="AK237" i="1"/>
  <c r="AM237" i="1" s="1"/>
  <c r="AO237" i="1" s="1"/>
  <c r="AQ237" i="1" s="1"/>
  <c r="AS237" i="1" s="1"/>
  <c r="AK233" i="1"/>
  <c r="AM233" i="1" s="1"/>
  <c r="AO233" i="1" s="1"/>
  <c r="AQ233" i="1" s="1"/>
  <c r="AS233" i="1" s="1"/>
  <c r="AK225" i="1"/>
  <c r="AM225" i="1" s="1"/>
  <c r="AK221" i="1"/>
  <c r="AM221" i="1" s="1"/>
  <c r="AO221" i="1" s="1"/>
  <c r="AQ221" i="1" s="1"/>
  <c r="AS221" i="1" s="1"/>
  <c r="AK217" i="1"/>
  <c r="AM217" i="1" s="1"/>
  <c r="AO217" i="1" s="1"/>
  <c r="AQ217" i="1" s="1"/>
  <c r="AS217" i="1" s="1"/>
  <c r="AK213" i="1"/>
  <c r="AL213" i="1" s="1"/>
  <c r="AK209" i="1"/>
  <c r="AM209" i="1" s="1"/>
  <c r="AO209" i="1" s="1"/>
  <c r="AQ209" i="1" s="1"/>
  <c r="AS209" i="1" s="1"/>
  <c r="AK205" i="1"/>
  <c r="AL205" i="1" s="1"/>
  <c r="AK201" i="1"/>
  <c r="AM201" i="1" s="1"/>
  <c r="AO201" i="1" s="1"/>
  <c r="AQ201" i="1" s="1"/>
  <c r="AS201" i="1" s="1"/>
  <c r="AK197" i="1"/>
  <c r="AL197" i="1" s="1"/>
  <c r="AK193" i="1"/>
  <c r="AM193" i="1" s="1"/>
  <c r="AO193" i="1" s="1"/>
  <c r="AQ193" i="1" s="1"/>
  <c r="AS193" i="1" s="1"/>
  <c r="AK185" i="1"/>
  <c r="AM185" i="1" s="1"/>
  <c r="AO185" i="1" s="1"/>
  <c r="AQ185" i="1" s="1"/>
  <c r="AS185" i="1" s="1"/>
  <c r="AK181" i="1"/>
  <c r="AM181" i="1" s="1"/>
  <c r="AO181" i="1" s="1"/>
  <c r="AQ181" i="1" s="1"/>
  <c r="AS181" i="1" s="1"/>
  <c r="AK177" i="1"/>
  <c r="AM177" i="1" s="1"/>
  <c r="AO177" i="1" s="1"/>
  <c r="AQ177" i="1" s="1"/>
  <c r="AS177" i="1" s="1"/>
  <c r="AK173" i="1"/>
  <c r="AL173" i="1" s="1"/>
  <c r="AK165" i="1"/>
  <c r="AM165" i="1" s="1"/>
  <c r="AO165" i="1" s="1"/>
  <c r="AQ165" i="1" s="1"/>
  <c r="AS165" i="1" s="1"/>
  <c r="AK161" i="1"/>
  <c r="AM161" i="1" s="1"/>
  <c r="AO161" i="1" s="1"/>
  <c r="AQ161" i="1" s="1"/>
  <c r="AS161" i="1" s="1"/>
  <c r="AK157" i="1"/>
  <c r="AM157" i="1" s="1"/>
  <c r="AO157" i="1" s="1"/>
  <c r="AQ157" i="1" s="1"/>
  <c r="AS157" i="1" s="1"/>
  <c r="AK153" i="1"/>
  <c r="AM153" i="1" s="1"/>
  <c r="AO153" i="1" s="1"/>
  <c r="AQ153" i="1" s="1"/>
  <c r="AS153" i="1" s="1"/>
  <c r="AK149" i="1"/>
  <c r="AM149" i="1" s="1"/>
  <c r="AO149" i="1" s="1"/>
  <c r="AQ149" i="1" s="1"/>
  <c r="AS149" i="1" s="1"/>
  <c r="AK145" i="1"/>
  <c r="AM145" i="1" s="1"/>
  <c r="AO145" i="1" s="1"/>
  <c r="AQ145" i="1" s="1"/>
  <c r="AS145" i="1" s="1"/>
  <c r="AK141" i="1"/>
  <c r="AM141" i="1" s="1"/>
  <c r="AO141" i="1" s="1"/>
  <c r="AQ141" i="1" s="1"/>
  <c r="AS141" i="1" s="1"/>
  <c r="AK137" i="1"/>
  <c r="AM137" i="1" s="1"/>
  <c r="AO137" i="1" s="1"/>
  <c r="AQ137" i="1" s="1"/>
  <c r="AS137" i="1" s="1"/>
  <c r="AK133" i="1"/>
  <c r="AM133" i="1" s="1"/>
  <c r="AK125" i="1"/>
  <c r="AM125" i="1" s="1"/>
  <c r="AO125" i="1" s="1"/>
  <c r="AQ125" i="1" s="1"/>
  <c r="AS125" i="1" s="1"/>
  <c r="AK121" i="1"/>
  <c r="AM121" i="1" s="1"/>
  <c r="AO121" i="1" s="1"/>
  <c r="AQ121" i="1" s="1"/>
  <c r="AS121" i="1" s="1"/>
  <c r="AK117" i="1"/>
  <c r="AM117" i="1" s="1"/>
  <c r="AO117" i="1" s="1"/>
  <c r="AQ117" i="1" s="1"/>
  <c r="AS117" i="1" s="1"/>
  <c r="AK113" i="1"/>
  <c r="AL113" i="1" s="1"/>
  <c r="AK109" i="1"/>
  <c r="AM109" i="1" s="1"/>
  <c r="AO109" i="1" s="1"/>
  <c r="AQ109" i="1" s="1"/>
  <c r="AS109" i="1" s="1"/>
  <c r="AK105" i="1"/>
  <c r="AM105" i="1" s="1"/>
  <c r="AO105" i="1" s="1"/>
  <c r="AQ105" i="1" s="1"/>
  <c r="AS105" i="1" s="1"/>
  <c r="AK97" i="1"/>
  <c r="AM97" i="1" s="1"/>
  <c r="AO97" i="1" s="1"/>
  <c r="AQ97" i="1" s="1"/>
  <c r="AS97" i="1" s="1"/>
  <c r="AK89" i="1"/>
  <c r="AM89" i="1" s="1"/>
  <c r="AO89" i="1" s="1"/>
  <c r="AQ89" i="1" s="1"/>
  <c r="AS89" i="1" s="1"/>
  <c r="AK85" i="1"/>
  <c r="AL85" i="1" s="1"/>
  <c r="AK77" i="1"/>
  <c r="AM77" i="1" s="1"/>
  <c r="AO77" i="1" s="1"/>
  <c r="AQ77" i="1" s="1"/>
  <c r="AS77" i="1" s="1"/>
  <c r="AK73" i="1"/>
  <c r="AL73" i="1" s="1"/>
  <c r="AK66" i="1"/>
  <c r="AM66" i="1" s="1"/>
  <c r="AO66" i="1" s="1"/>
  <c r="AQ66" i="1" s="1"/>
  <c r="AS66" i="1" s="1"/>
  <c r="AK62" i="1"/>
  <c r="AM62" i="1" s="1"/>
  <c r="AO62" i="1" s="1"/>
  <c r="AQ62" i="1" s="1"/>
  <c r="AS62" i="1" s="1"/>
  <c r="AK58" i="1"/>
  <c r="AM58" i="1" s="1"/>
  <c r="AO58" i="1" s="1"/>
  <c r="AQ58" i="1" s="1"/>
  <c r="AS58" i="1" s="1"/>
  <c r="AK54" i="1"/>
  <c r="AM54" i="1" s="1"/>
  <c r="AO54" i="1" s="1"/>
  <c r="AQ54" i="1" s="1"/>
  <c r="AS54" i="1" s="1"/>
  <c r="AK50" i="1"/>
  <c r="AL50" i="1" s="1"/>
  <c r="AK46" i="1"/>
  <c r="AM46" i="1" s="1"/>
  <c r="AO46" i="1" s="1"/>
  <c r="AQ46" i="1" s="1"/>
  <c r="AS46" i="1" s="1"/>
  <c r="AK38" i="1"/>
  <c r="AM38" i="1" s="1"/>
  <c r="AO38" i="1" s="1"/>
  <c r="AQ38" i="1" s="1"/>
  <c r="AS38" i="1" s="1"/>
  <c r="AK18" i="1"/>
  <c r="AM18" i="1" s="1"/>
  <c r="AO18" i="1" s="1"/>
  <c r="AQ18" i="1" s="1"/>
  <c r="AS18" i="1" s="1"/>
  <c r="AK10" i="1"/>
  <c r="AL10" i="1" s="1"/>
  <c r="AK354" i="1"/>
  <c r="AM354" i="1" s="1"/>
  <c r="AO354" i="1" s="1"/>
  <c r="AQ354" i="1" s="1"/>
  <c r="AS354" i="1" s="1"/>
  <c r="AK350" i="1"/>
  <c r="AM350" i="1" s="1"/>
  <c r="AO350" i="1" s="1"/>
  <c r="AQ350" i="1" s="1"/>
  <c r="AS350" i="1" s="1"/>
  <c r="AK344" i="1"/>
  <c r="AM344" i="1" s="1"/>
  <c r="AO344" i="1" s="1"/>
  <c r="AQ344" i="1" s="1"/>
  <c r="AS344" i="1" s="1"/>
  <c r="AK340" i="1"/>
  <c r="AM340" i="1" s="1"/>
  <c r="AK336" i="1"/>
  <c r="AM336" i="1" s="1"/>
  <c r="AK332" i="1"/>
  <c r="AM332" i="1" s="1"/>
  <c r="AK328" i="1"/>
  <c r="AM328" i="1" s="1"/>
  <c r="AK324" i="1"/>
  <c r="AM324" i="1" s="1"/>
  <c r="AK320" i="1"/>
  <c r="AM320" i="1" s="1"/>
  <c r="AO320" i="1" s="1"/>
  <c r="AQ320" i="1" s="1"/>
  <c r="AS320" i="1" s="1"/>
  <c r="AK316" i="1"/>
  <c r="AM316" i="1" s="1"/>
  <c r="AK312" i="1"/>
  <c r="AM312" i="1" s="1"/>
  <c r="AK308" i="1"/>
  <c r="AM308" i="1" s="1"/>
  <c r="AK304" i="1"/>
  <c r="AL304" i="1" s="1"/>
  <c r="AK300" i="1"/>
  <c r="AM300" i="1" s="1"/>
  <c r="AO300" i="1" s="1"/>
  <c r="AQ300" i="1" s="1"/>
  <c r="AK296" i="1"/>
  <c r="AM296" i="1" s="1"/>
  <c r="AK292" i="1"/>
  <c r="AM292" i="1" s="1"/>
  <c r="AK288" i="1"/>
  <c r="AM288" i="1" s="1"/>
  <c r="AO288" i="1" s="1"/>
  <c r="AQ288" i="1" s="1"/>
  <c r="AS288" i="1" s="1"/>
  <c r="AK284" i="1"/>
  <c r="AM284" i="1" s="1"/>
  <c r="AK280" i="1"/>
  <c r="AM280" i="1" s="1"/>
  <c r="AO280" i="1" s="1"/>
  <c r="AQ280" i="1" s="1"/>
  <c r="AS280" i="1" s="1"/>
  <c r="AK276" i="1"/>
  <c r="AM276" i="1" s="1"/>
  <c r="AO276" i="1" s="1"/>
  <c r="AQ276" i="1" s="1"/>
  <c r="AS276" i="1" s="1"/>
  <c r="AK272" i="1"/>
  <c r="AM272" i="1" s="1"/>
  <c r="AO272" i="1" s="1"/>
  <c r="AQ272" i="1" s="1"/>
  <c r="AS272" i="1" s="1"/>
  <c r="AK268" i="1"/>
  <c r="AM268" i="1" s="1"/>
  <c r="AK264" i="1"/>
  <c r="AM264" i="1" s="1"/>
  <c r="AK260" i="1"/>
  <c r="AM260" i="1" s="1"/>
  <c r="AO260" i="1" s="1"/>
  <c r="AQ260" i="1" s="1"/>
  <c r="AS260" i="1" s="1"/>
  <c r="AK256" i="1"/>
  <c r="AM256" i="1" s="1"/>
  <c r="AO256" i="1" s="1"/>
  <c r="AQ256" i="1" s="1"/>
  <c r="AS256" i="1" s="1"/>
  <c r="AK252" i="1"/>
  <c r="AM252" i="1" s="1"/>
  <c r="AO252" i="1" s="1"/>
  <c r="AQ252" i="1" s="1"/>
  <c r="AS252" i="1" s="1"/>
  <c r="AK248" i="1"/>
  <c r="AM248" i="1" s="1"/>
  <c r="AK244" i="1"/>
  <c r="AM244" i="1" s="1"/>
  <c r="AO244" i="1" s="1"/>
  <c r="AQ244" i="1" s="1"/>
  <c r="AS244" i="1" s="1"/>
  <c r="AK240" i="1"/>
  <c r="AM240" i="1" s="1"/>
  <c r="AK236" i="1"/>
  <c r="AM236" i="1" s="1"/>
  <c r="AK232" i="1"/>
  <c r="AM232" i="1" s="1"/>
  <c r="AO232" i="1" s="1"/>
  <c r="AQ232" i="1" s="1"/>
  <c r="AS232" i="1" s="1"/>
  <c r="AK228" i="1"/>
  <c r="AM228" i="1" s="1"/>
  <c r="AO228" i="1" s="1"/>
  <c r="AQ228" i="1" s="1"/>
  <c r="AK224" i="1"/>
  <c r="AM224" i="1" s="1"/>
  <c r="AO224" i="1" s="1"/>
  <c r="AQ224" i="1" s="1"/>
  <c r="AS224" i="1" s="1"/>
  <c r="AK220" i="1"/>
  <c r="AM220" i="1" s="1"/>
  <c r="AK216" i="1"/>
  <c r="AM216" i="1" s="1"/>
  <c r="AK212" i="1"/>
  <c r="AK208" i="1"/>
  <c r="AK204" i="1"/>
  <c r="AM204" i="1" s="1"/>
  <c r="AK200" i="1"/>
  <c r="AM200" i="1" s="1"/>
  <c r="AO200" i="1" s="1"/>
  <c r="AQ200" i="1" s="1"/>
  <c r="AS200" i="1" s="1"/>
  <c r="AK196" i="1"/>
  <c r="AM196" i="1" s="1"/>
  <c r="AO196" i="1" s="1"/>
  <c r="AQ196" i="1" s="1"/>
  <c r="AS196" i="1" s="1"/>
  <c r="AK192" i="1"/>
  <c r="AM192" i="1" s="1"/>
  <c r="AO192" i="1" s="1"/>
  <c r="AQ192" i="1" s="1"/>
  <c r="AS192" i="1" s="1"/>
  <c r="AK188" i="1"/>
  <c r="AM188" i="1" s="1"/>
  <c r="AO188" i="1" s="1"/>
  <c r="AQ188" i="1" s="1"/>
  <c r="AS188" i="1" s="1"/>
  <c r="AK184" i="1"/>
  <c r="AM184" i="1" s="1"/>
  <c r="AO184" i="1" s="1"/>
  <c r="AQ184" i="1" s="1"/>
  <c r="AS184" i="1" s="1"/>
  <c r="AK180" i="1"/>
  <c r="AM180" i="1" s="1"/>
  <c r="AO180" i="1" s="1"/>
  <c r="AQ180" i="1" s="1"/>
  <c r="AS180" i="1" s="1"/>
  <c r="AK172" i="1"/>
  <c r="AM172" i="1" s="1"/>
  <c r="AO172" i="1" s="1"/>
  <c r="AQ172" i="1" s="1"/>
  <c r="AS172" i="1" s="1"/>
  <c r="AK168" i="1"/>
  <c r="AM168" i="1" s="1"/>
  <c r="AO168" i="1" s="1"/>
  <c r="AQ168" i="1" s="1"/>
  <c r="AS168" i="1" s="1"/>
  <c r="AK164" i="1"/>
  <c r="AL164" i="1" s="1"/>
  <c r="AK160" i="1"/>
  <c r="AM160" i="1" s="1"/>
  <c r="AO160" i="1" s="1"/>
  <c r="AQ160" i="1" s="1"/>
  <c r="AS160" i="1" s="1"/>
  <c r="AK156" i="1"/>
  <c r="AM156" i="1" s="1"/>
  <c r="AO156" i="1" s="1"/>
  <c r="AQ156" i="1" s="1"/>
  <c r="AS156" i="1" s="1"/>
  <c r="AK152" i="1"/>
  <c r="AM152" i="1" s="1"/>
  <c r="AK148" i="1"/>
  <c r="AM148" i="1" s="1"/>
  <c r="AO148" i="1" s="1"/>
  <c r="AQ148" i="1" s="1"/>
  <c r="AS148" i="1" s="1"/>
  <c r="AK144" i="1"/>
  <c r="AM144" i="1" s="1"/>
  <c r="AO144" i="1" s="1"/>
  <c r="AQ144" i="1" s="1"/>
  <c r="AS144" i="1" s="1"/>
  <c r="AK140" i="1"/>
  <c r="AL140" i="1" s="1"/>
  <c r="AK136" i="1"/>
  <c r="AM136" i="1" s="1"/>
  <c r="AO136" i="1" s="1"/>
  <c r="AQ136" i="1" s="1"/>
  <c r="AS136" i="1" s="1"/>
  <c r="AK132" i="1"/>
  <c r="AM132" i="1" s="1"/>
  <c r="AO132" i="1" s="1"/>
  <c r="AQ132" i="1" s="1"/>
  <c r="AS132" i="1" s="1"/>
  <c r="AK128" i="1"/>
  <c r="AM128" i="1" s="1"/>
  <c r="AK124" i="1"/>
  <c r="AM124" i="1" s="1"/>
  <c r="AO124" i="1" s="1"/>
  <c r="AQ124" i="1" s="1"/>
  <c r="AS124" i="1" s="1"/>
  <c r="AK120" i="1"/>
  <c r="AM120" i="1" s="1"/>
  <c r="AK116" i="1"/>
  <c r="AM116" i="1" s="1"/>
  <c r="AO116" i="1" s="1"/>
  <c r="AQ116" i="1" s="1"/>
  <c r="AS116" i="1" s="1"/>
  <c r="AK112" i="1"/>
  <c r="AM112" i="1" s="1"/>
  <c r="AO112" i="1" s="1"/>
  <c r="AQ112" i="1" s="1"/>
  <c r="AS112" i="1" s="1"/>
  <c r="AK108" i="1"/>
  <c r="AM108" i="1" s="1"/>
  <c r="AK104" i="1"/>
  <c r="AM104" i="1" s="1"/>
  <c r="AO104" i="1" s="1"/>
  <c r="AQ104" i="1" s="1"/>
  <c r="AS104" i="1" s="1"/>
  <c r="AK96" i="1"/>
  <c r="AM96" i="1" s="1"/>
  <c r="AK92" i="1"/>
  <c r="AM92" i="1" s="1"/>
  <c r="AO92" i="1" s="1"/>
  <c r="AQ92" i="1" s="1"/>
  <c r="AS92" i="1" s="1"/>
  <c r="AK88" i="1"/>
  <c r="AM88" i="1" s="1"/>
  <c r="AO88" i="1" s="1"/>
  <c r="AQ88" i="1" s="1"/>
  <c r="AS88" i="1" s="1"/>
  <c r="AK84" i="1"/>
  <c r="AM84" i="1" s="1"/>
  <c r="AO84" i="1" s="1"/>
  <c r="AQ84" i="1" s="1"/>
  <c r="AS84" i="1" s="1"/>
  <c r="AK80" i="1"/>
  <c r="AM80" i="1" s="1"/>
  <c r="AO80" i="1" s="1"/>
  <c r="AQ80" i="1" s="1"/>
  <c r="AS80" i="1" s="1"/>
  <c r="AK76" i="1"/>
  <c r="AM76" i="1" s="1"/>
  <c r="AK71" i="1"/>
  <c r="AM71" i="1" s="1"/>
  <c r="AO71" i="1" s="1"/>
  <c r="AQ71" i="1" s="1"/>
  <c r="AS71" i="1" s="1"/>
  <c r="AK65" i="1"/>
  <c r="AM65" i="1" s="1"/>
  <c r="AK61" i="1"/>
  <c r="AM61" i="1" s="1"/>
  <c r="AK57" i="1"/>
  <c r="AL57" i="1" s="1"/>
  <c r="AK53" i="1"/>
  <c r="AM53" i="1" s="1"/>
  <c r="AK45" i="1"/>
  <c r="AM45" i="1" s="1"/>
  <c r="AK41" i="1"/>
  <c r="AM41" i="1" s="1"/>
  <c r="AO41" i="1" s="1"/>
  <c r="AQ41" i="1" s="1"/>
  <c r="AS41" i="1" s="1"/>
  <c r="AK37" i="1"/>
  <c r="AM37" i="1" s="1"/>
  <c r="AK345" i="1"/>
  <c r="AM345" i="1" s="1"/>
  <c r="AK343" i="1"/>
  <c r="AM343" i="1" s="1"/>
  <c r="AK335" i="1"/>
  <c r="AM335" i="1" s="1"/>
  <c r="AK331" i="1"/>
  <c r="AM331" i="1" s="1"/>
  <c r="AK327" i="1"/>
  <c r="AL327" i="1" s="1"/>
  <c r="AK323" i="1"/>
  <c r="AM323" i="1" s="1"/>
  <c r="AK319" i="1"/>
  <c r="AM319" i="1" s="1"/>
  <c r="AK315" i="1"/>
  <c r="AL315" i="1" s="1"/>
  <c r="AK307" i="1"/>
  <c r="AM307" i="1" s="1"/>
  <c r="AK303" i="1"/>
  <c r="AM303" i="1" s="1"/>
  <c r="AK299" i="1"/>
  <c r="AM299" i="1" s="1"/>
  <c r="AO299" i="1" s="1"/>
  <c r="AQ299" i="1" s="1"/>
  <c r="AS299" i="1" s="1"/>
  <c r="AK295" i="1"/>
  <c r="AM295" i="1" s="1"/>
  <c r="AK291" i="1"/>
  <c r="AM291" i="1" s="1"/>
  <c r="AO291" i="1" s="1"/>
  <c r="AQ291" i="1" s="1"/>
  <c r="AS291" i="1" s="1"/>
  <c r="AK283" i="1"/>
  <c r="AM283" i="1" s="1"/>
  <c r="AO283" i="1" s="1"/>
  <c r="AQ283" i="1" s="1"/>
  <c r="AS283" i="1" s="1"/>
  <c r="AK279" i="1"/>
  <c r="AM279" i="1" s="1"/>
  <c r="AO279" i="1" s="1"/>
  <c r="AQ279" i="1" s="1"/>
  <c r="AS279" i="1" s="1"/>
  <c r="AK271" i="1"/>
  <c r="AM271" i="1" s="1"/>
  <c r="AK267" i="1"/>
  <c r="AM267" i="1" s="1"/>
  <c r="AK263" i="1"/>
  <c r="AM263" i="1" s="1"/>
  <c r="AO263" i="1" s="1"/>
  <c r="AQ263" i="1" s="1"/>
  <c r="AS263" i="1" s="1"/>
  <c r="AK259" i="1"/>
  <c r="AM259" i="1" s="1"/>
  <c r="AO259" i="1" s="1"/>
  <c r="AQ259" i="1" s="1"/>
  <c r="AS259" i="1" s="1"/>
  <c r="AK255" i="1"/>
  <c r="AM255" i="1" s="1"/>
  <c r="AK251" i="1"/>
  <c r="AK247" i="1"/>
  <c r="AK243" i="1"/>
  <c r="AM243" i="1" s="1"/>
  <c r="AO243" i="1" s="1"/>
  <c r="AQ243" i="1" s="1"/>
  <c r="AS243" i="1" s="1"/>
  <c r="AK239" i="1"/>
  <c r="AK235" i="1"/>
  <c r="AM235" i="1" s="1"/>
  <c r="AO235" i="1" s="1"/>
  <c r="AQ235" i="1" s="1"/>
  <c r="AS235" i="1" s="1"/>
  <c r="AK231" i="1"/>
  <c r="AL231" i="1" s="1"/>
  <c r="AK219" i="1"/>
  <c r="AL219" i="1" s="1"/>
  <c r="AK215" i="1"/>
  <c r="AM215" i="1" s="1"/>
  <c r="AO215" i="1" s="1"/>
  <c r="AQ215" i="1" s="1"/>
  <c r="AS215" i="1" s="1"/>
  <c r="AK211" i="1"/>
  <c r="AK207" i="1"/>
  <c r="AL207" i="1" s="1"/>
  <c r="AK203" i="1"/>
  <c r="AM203" i="1" s="1"/>
  <c r="AO203" i="1" s="1"/>
  <c r="AQ203" i="1" s="1"/>
  <c r="AS203" i="1" s="1"/>
  <c r="AK199" i="1"/>
  <c r="AK195" i="1"/>
  <c r="AM195" i="1" s="1"/>
  <c r="AO195" i="1" s="1"/>
  <c r="AQ195" i="1" s="1"/>
  <c r="AS195" i="1" s="1"/>
  <c r="AK191" i="1"/>
  <c r="AM191" i="1" s="1"/>
  <c r="AO191" i="1" s="1"/>
  <c r="AQ191" i="1" s="1"/>
  <c r="AS191" i="1" s="1"/>
  <c r="AK183" i="1"/>
  <c r="AM183" i="1" s="1"/>
  <c r="AK179" i="1"/>
  <c r="AK175" i="1"/>
  <c r="AK171" i="1"/>
  <c r="AM171" i="1" s="1"/>
  <c r="AK167" i="1"/>
  <c r="AM167" i="1" s="1"/>
  <c r="AO167" i="1" s="1"/>
  <c r="AQ167" i="1" s="1"/>
  <c r="AS167" i="1" s="1"/>
  <c r="AK163" i="1"/>
  <c r="AM163" i="1" s="1"/>
  <c r="AO163" i="1" s="1"/>
  <c r="AQ163" i="1" s="1"/>
  <c r="AS163" i="1" s="1"/>
  <c r="AK159" i="1"/>
  <c r="AK155" i="1"/>
  <c r="AM155" i="1" s="1"/>
  <c r="AO155" i="1" s="1"/>
  <c r="AQ155" i="1" s="1"/>
  <c r="AS155" i="1" s="1"/>
  <c r="AK151" i="1"/>
  <c r="AM151" i="1" s="1"/>
  <c r="AO151" i="1" s="1"/>
  <c r="AQ151" i="1" s="1"/>
  <c r="AS151" i="1" s="1"/>
  <c r="AK143" i="1"/>
  <c r="AM143" i="1" s="1"/>
  <c r="AK139" i="1"/>
  <c r="AM139" i="1" s="1"/>
  <c r="AO139" i="1" s="1"/>
  <c r="AQ139" i="1" s="1"/>
  <c r="AS139" i="1" s="1"/>
  <c r="AK135" i="1"/>
  <c r="AM135" i="1" s="1"/>
  <c r="AK127" i="1"/>
  <c r="AM127" i="1" s="1"/>
  <c r="AK123" i="1"/>
  <c r="AK119" i="1"/>
  <c r="AK115" i="1"/>
  <c r="AM115" i="1" s="1"/>
  <c r="AK111" i="1"/>
  <c r="AM111" i="1" s="1"/>
  <c r="AO111" i="1" s="1"/>
  <c r="AQ111" i="1" s="1"/>
  <c r="AS111" i="1" s="1"/>
  <c r="AK107" i="1"/>
  <c r="AK103" i="1"/>
  <c r="AM103" i="1" s="1"/>
  <c r="AO103" i="1" s="1"/>
  <c r="AQ103" i="1" s="1"/>
  <c r="AS103" i="1" s="1"/>
  <c r="AK83" i="1"/>
  <c r="AK75" i="1"/>
  <c r="AM75" i="1" s="1"/>
  <c r="AK68" i="1"/>
  <c r="AM68" i="1" s="1"/>
  <c r="AO68" i="1" s="1"/>
  <c r="AQ68" i="1" s="1"/>
  <c r="AS68" i="1" s="1"/>
  <c r="AK64" i="1"/>
  <c r="AM64" i="1" s="1"/>
  <c r="AK60" i="1"/>
  <c r="AK56" i="1"/>
  <c r="AK48" i="1"/>
  <c r="AM48" i="1" s="1"/>
  <c r="AO48" i="1" s="1"/>
  <c r="AQ48" i="1" s="1"/>
  <c r="AS48" i="1" s="1"/>
  <c r="AK44" i="1"/>
  <c r="AM44" i="1" s="1"/>
  <c r="AO44" i="1" s="1"/>
  <c r="AQ44" i="1" s="1"/>
  <c r="AS44" i="1" s="1"/>
  <c r="AK40" i="1"/>
  <c r="AM40" i="1" s="1"/>
  <c r="AO40" i="1" s="1"/>
  <c r="AQ40" i="1" s="1"/>
  <c r="AS40" i="1" s="1"/>
  <c r="AK36" i="1"/>
  <c r="AM36" i="1" s="1"/>
  <c r="AO36" i="1" s="1"/>
  <c r="AQ36" i="1" s="1"/>
  <c r="AK352" i="1"/>
  <c r="AL352" i="1" s="1"/>
  <c r="AK348" i="1"/>
  <c r="AM348" i="1" s="1"/>
  <c r="AL13" i="1"/>
  <c r="AL100" i="1"/>
  <c r="AL72" i="1"/>
  <c r="AL91" i="1"/>
  <c r="AL16" i="1"/>
  <c r="AL99" i="1"/>
  <c r="AL131" i="1"/>
  <c r="AL243" i="1"/>
  <c r="AL365" i="1"/>
  <c r="AL70" i="1"/>
  <c r="AL353" i="1"/>
  <c r="AL364" i="1"/>
  <c r="AL369" i="1"/>
  <c r="AL360" i="1"/>
  <c r="AL87" i="1"/>
  <c r="AL28" i="1"/>
  <c r="AL24" i="1"/>
  <c r="AL367" i="1"/>
  <c r="AL366" i="1"/>
  <c r="AL69" i="1"/>
  <c r="AL362" i="1"/>
  <c r="AL355" i="1"/>
  <c r="AL358" i="1"/>
  <c r="AL372" i="1"/>
  <c r="AL361" i="1"/>
  <c r="AL357" i="1"/>
  <c r="AL356" i="1"/>
  <c r="AL363" i="1"/>
  <c r="AL359" i="1"/>
  <c r="AL370" i="1"/>
  <c r="AL371" i="1"/>
  <c r="AM8" i="1"/>
  <c r="AO8" i="1" s="1"/>
  <c r="AQ8" i="1" s="1"/>
  <c r="AS8" i="1" s="1"/>
  <c r="AL8" i="1"/>
  <c r="AM254" i="1"/>
  <c r="AO254" i="1" s="1"/>
  <c r="AQ254" i="1" s="1"/>
  <c r="AS254" i="1" s="1"/>
  <c r="AM234" i="1"/>
  <c r="AO234" i="1" s="1"/>
  <c r="AQ234" i="1" s="1"/>
  <c r="AS234" i="1" s="1"/>
  <c r="AL234" i="1"/>
  <c r="AM134" i="1"/>
  <c r="AO134" i="1" s="1"/>
  <c r="AQ134" i="1" s="1"/>
  <c r="AS134" i="1" s="1"/>
  <c r="AL134" i="1"/>
  <c r="AM94" i="1"/>
  <c r="AO94" i="1" s="1"/>
  <c r="AQ94" i="1" s="1"/>
  <c r="AS94" i="1" s="1"/>
  <c r="AL94" i="1"/>
  <c r="AM78" i="1"/>
  <c r="AO78" i="1" s="1"/>
  <c r="AQ78" i="1" s="1"/>
  <c r="AS78" i="1" s="1"/>
  <c r="AL78" i="1"/>
  <c r="AL52" i="1"/>
  <c r="AL32" i="1"/>
  <c r="AL346" i="1"/>
  <c r="AL229" i="1"/>
  <c r="AL169" i="1"/>
  <c r="AL189" i="1"/>
  <c r="AL238" i="1"/>
  <c r="AL14" i="1"/>
  <c r="AL110" i="1"/>
  <c r="AL86" i="1"/>
  <c r="AL261" i="1"/>
  <c r="AM261" i="1"/>
  <c r="AO261" i="1" s="1"/>
  <c r="AQ261" i="1" s="1"/>
  <c r="AS261" i="1" s="1"/>
  <c r="AL245" i="1"/>
  <c r="AL187" i="1"/>
  <c r="AL253" i="1"/>
  <c r="AL33" i="1"/>
  <c r="AL12" i="1"/>
  <c r="AL82" i="1"/>
  <c r="AL101" i="1"/>
  <c r="AL20" i="1"/>
  <c r="AO287" i="1"/>
  <c r="AQ287" i="1" s="1"/>
  <c r="AS287" i="1" s="1"/>
  <c r="AO187" i="1"/>
  <c r="AQ187" i="1" s="1"/>
  <c r="AS187" i="1" s="1"/>
  <c r="AO91" i="1"/>
  <c r="AQ91" i="1" s="1"/>
  <c r="AS91" i="1" s="1"/>
  <c r="AO166" i="1"/>
  <c r="AQ166" i="1" s="1"/>
  <c r="AS166" i="1" s="1"/>
  <c r="AO147" i="1"/>
  <c r="AQ147" i="1" s="1"/>
  <c r="AS147" i="1" s="1"/>
  <c r="AO99" i="1"/>
  <c r="AQ99" i="1" s="1"/>
  <c r="AS99" i="1" s="1"/>
  <c r="AO49" i="1"/>
  <c r="AQ49" i="1" s="1"/>
  <c r="AS49" i="1" s="1"/>
  <c r="AO227" i="1"/>
  <c r="AQ227" i="1" s="1"/>
  <c r="AS227" i="1" s="1"/>
  <c r="AO176" i="1"/>
  <c r="AQ176" i="1" s="1"/>
  <c r="AS176" i="1" s="1"/>
  <c r="AO95" i="1"/>
  <c r="AQ95" i="1" s="1"/>
  <c r="AS95" i="1" s="1"/>
  <c r="AO189" i="1"/>
  <c r="AQ189" i="1" s="1"/>
  <c r="AS189" i="1" s="1"/>
  <c r="AO223" i="1"/>
  <c r="AQ223" i="1" s="1"/>
  <c r="AS223" i="1" s="1"/>
  <c r="AO52" i="1"/>
  <c r="AQ52" i="1" s="1"/>
  <c r="AO87" i="1"/>
  <c r="AQ87" i="1" s="1"/>
  <c r="AS87" i="1" s="1"/>
  <c r="AO169" i="1"/>
  <c r="AQ169" i="1" s="1"/>
  <c r="AS169" i="1" s="1"/>
  <c r="AO100" i="1"/>
  <c r="AQ100" i="1" s="1"/>
  <c r="AS100" i="1" s="1"/>
  <c r="AO39" i="1"/>
  <c r="AQ39" i="1" s="1"/>
  <c r="AS39" i="1" s="1"/>
  <c r="AO101" i="1"/>
  <c r="AQ101" i="1" s="1"/>
  <c r="AS101" i="1" s="1"/>
  <c r="AO253" i="1"/>
  <c r="AQ253" i="1" s="1"/>
  <c r="AS253" i="1" s="1"/>
  <c r="AO275" i="1"/>
  <c r="AQ275" i="1" s="1"/>
  <c r="AS275" i="1" s="1"/>
  <c r="AO245" i="1"/>
  <c r="AQ245" i="1" s="1"/>
  <c r="AS245" i="1" s="1"/>
  <c r="AO131" i="1"/>
  <c r="AQ131" i="1" s="1"/>
  <c r="AS131" i="1" s="1"/>
  <c r="AO270" i="1"/>
  <c r="AQ270" i="1" s="1"/>
  <c r="AS270" i="1" s="1"/>
  <c r="AO86" i="1"/>
  <c r="AQ86" i="1" s="1"/>
  <c r="AS86" i="1" s="1"/>
  <c r="AO353" i="1"/>
  <c r="AQ353" i="1" s="1"/>
  <c r="AS353" i="1" s="1"/>
  <c r="AO238" i="1"/>
  <c r="AQ238" i="1" s="1"/>
  <c r="AS238" i="1" s="1"/>
  <c r="AO229" i="1"/>
  <c r="AQ229" i="1" s="1"/>
  <c r="AS229" i="1" s="1"/>
  <c r="AO82" i="1"/>
  <c r="AQ82" i="1" s="1"/>
  <c r="AS82" i="1" s="1"/>
  <c r="AL287" i="1"/>
  <c r="AO349" i="1"/>
  <c r="AQ349" i="1" s="1"/>
  <c r="AS349" i="1" s="1"/>
  <c r="AL223" i="1"/>
  <c r="AL339" i="1"/>
  <c r="AL176" i="1"/>
  <c r="AL39" i="1"/>
  <c r="AL49" i="1"/>
  <c r="AL147" i="1"/>
  <c r="AL275" i="1"/>
  <c r="AL349" i="1"/>
  <c r="AL166" i="1"/>
  <c r="AL95" i="1"/>
  <c r="AL301" i="1"/>
  <c r="AO381" i="1"/>
  <c r="AQ381" i="1" s="1"/>
  <c r="AS381" i="1" s="1"/>
  <c r="AO376" i="1"/>
  <c r="AQ376" i="1" s="1"/>
  <c r="AS376" i="1" s="1"/>
  <c r="AO380" i="1"/>
  <c r="AQ380" i="1" s="1"/>
  <c r="AS380" i="1" s="1"/>
  <c r="AO378" i="1"/>
  <c r="AQ378" i="1" s="1"/>
  <c r="AS378" i="1" s="1"/>
  <c r="AO375" i="1"/>
  <c r="AQ375" i="1" s="1"/>
  <c r="AS375" i="1" s="1"/>
  <c r="AO382" i="1"/>
  <c r="AQ382" i="1" s="1"/>
  <c r="AS382" i="1" s="1"/>
  <c r="AO383" i="1"/>
  <c r="AQ383" i="1" s="1"/>
  <c r="AS383" i="1" s="1"/>
  <c r="AO379" i="1"/>
  <c r="AQ379" i="1" s="1"/>
  <c r="AS379" i="1" s="1"/>
  <c r="AO377" i="1"/>
  <c r="AQ377" i="1" s="1"/>
  <c r="AS377" i="1" s="1"/>
  <c r="AO374" i="1"/>
  <c r="AQ374" i="1" s="1"/>
  <c r="AS374" i="1" s="1"/>
  <c r="AO373" i="1"/>
  <c r="AQ373" i="1" s="1"/>
  <c r="AL270" i="1" l="1"/>
  <c r="AL79" i="1"/>
  <c r="AL311" i="1"/>
  <c r="AL90" i="1"/>
  <c r="AL36" i="1"/>
  <c r="AL227" i="1"/>
  <c r="AL40" i="1"/>
  <c r="AL74" i="1"/>
  <c r="AL190" i="1"/>
  <c r="AL204" i="1"/>
  <c r="AL34" i="1"/>
  <c r="AL195" i="1"/>
  <c r="AL171" i="1"/>
  <c r="AL262" i="1"/>
  <c r="AL42" i="1"/>
  <c r="AL126" i="1"/>
  <c r="AL258" i="1"/>
  <c r="AL316" i="1"/>
  <c r="AL323" i="1"/>
  <c r="AL29" i="1"/>
  <c r="AL344" i="1"/>
  <c r="AL38" i="1"/>
  <c r="AL93" i="1"/>
  <c r="AL21" i="1"/>
  <c r="AL45" i="1"/>
  <c r="AL106" i="1"/>
  <c r="AL297" i="1"/>
  <c r="AM197" i="1"/>
  <c r="AO197" i="1" s="1"/>
  <c r="AQ197" i="1" s="1"/>
  <c r="AS197" i="1" s="1"/>
  <c r="AM282" i="1"/>
  <c r="AO282" i="1" s="1"/>
  <c r="AQ282" i="1" s="1"/>
  <c r="AS282" i="1" s="1"/>
  <c r="AL75" i="1"/>
  <c r="AL61" i="1"/>
  <c r="AL27" i="1"/>
  <c r="AL127" i="1"/>
  <c r="AL277" i="1"/>
  <c r="AM293" i="1"/>
  <c r="AO293" i="1" s="1"/>
  <c r="AQ293" i="1" s="1"/>
  <c r="AS293" i="1" s="1"/>
  <c r="AM174" i="1"/>
  <c r="AO174" i="1" s="1"/>
  <c r="AQ174" i="1" s="1"/>
  <c r="AS174" i="1" s="1"/>
  <c r="AL232" i="1"/>
  <c r="AM73" i="1"/>
  <c r="AO73" i="1" s="1"/>
  <c r="AQ73" i="1" s="1"/>
  <c r="AS73" i="1" s="1"/>
  <c r="AM98" i="1"/>
  <c r="AO98" i="1" s="1"/>
  <c r="AQ98" i="1" s="1"/>
  <c r="AS98" i="1" s="1"/>
  <c r="AL148" i="1"/>
  <c r="AL80" i="1"/>
  <c r="AL328" i="1"/>
  <c r="AL202" i="1"/>
  <c r="AM352" i="1"/>
  <c r="AO352" i="1" s="1"/>
  <c r="AQ352" i="1" s="1"/>
  <c r="AS352" i="1" s="1"/>
  <c r="AL137" i="1"/>
  <c r="AL329" i="1"/>
  <c r="AL59" i="1"/>
  <c r="AL314" i="1"/>
  <c r="AL194" i="1"/>
  <c r="AL116" i="1"/>
  <c r="AM173" i="1"/>
  <c r="AO173" i="1" s="1"/>
  <c r="AQ173" i="1" s="1"/>
  <c r="AS173" i="1" s="1"/>
  <c r="AM315" i="1"/>
  <c r="AO315" i="1" s="1"/>
  <c r="AQ315" i="1" s="1"/>
  <c r="AS315" i="1" s="1"/>
  <c r="AL280" i="1"/>
  <c r="AL296" i="1"/>
  <c r="AL216" i="1"/>
  <c r="AL17" i="1"/>
  <c r="AL26" i="1"/>
  <c r="AM50" i="1"/>
  <c r="AO50" i="1" s="1"/>
  <c r="AQ50" i="1" s="1"/>
  <c r="AS50" i="1" s="1"/>
  <c r="AL153" i="1"/>
  <c r="AL225" i="1"/>
  <c r="AM67" i="1"/>
  <c r="AO67" i="1" s="1"/>
  <c r="AQ67" i="1" s="1"/>
  <c r="AS67" i="1" s="1"/>
  <c r="AL118" i="1"/>
  <c r="AL298" i="1"/>
  <c r="AL203" i="1"/>
  <c r="AL151" i="1"/>
  <c r="AL130" i="1"/>
  <c r="AM51" i="1"/>
  <c r="AO51" i="1" s="1"/>
  <c r="AQ51" i="1" s="1"/>
  <c r="AS51" i="1" s="1"/>
  <c r="AL299" i="1"/>
  <c r="AL184" i="1"/>
  <c r="AL248" i="1"/>
  <c r="AL18" i="1"/>
  <c r="AL150" i="1"/>
  <c r="AL54" i="1"/>
  <c r="AM249" i="1"/>
  <c r="AO249" i="1" s="1"/>
  <c r="AQ249" i="1" s="1"/>
  <c r="AS249" i="1" s="1"/>
  <c r="AL259" i="1"/>
  <c r="AL167" i="1"/>
  <c r="AL25" i="1"/>
  <c r="AM23" i="1"/>
  <c r="AO23" i="1" s="1"/>
  <c r="AQ23" i="1" s="1"/>
  <c r="AS23" i="1" s="1"/>
  <c r="AL274" i="1"/>
  <c r="AL228" i="1"/>
  <c r="AL9" i="1"/>
  <c r="AL37" i="1"/>
  <c r="AM113" i="1"/>
  <c r="AO113" i="1" s="1"/>
  <c r="AQ113" i="1" s="1"/>
  <c r="AS113" i="1" s="1"/>
  <c r="AL246" i="1"/>
  <c r="AL47" i="1"/>
  <c r="AL48" i="1"/>
  <c r="AM57" i="1"/>
  <c r="AO57" i="1" s="1"/>
  <c r="AQ57" i="1" s="1"/>
  <c r="AS57" i="1" s="1"/>
  <c r="AL128" i="1"/>
  <c r="AL309" i="1"/>
  <c r="AL221" i="1"/>
  <c r="AL338" i="1"/>
  <c r="AL276" i="1"/>
  <c r="AL144" i="1"/>
  <c r="AL200" i="1"/>
  <c r="AL133" i="1"/>
  <c r="AL312" i="1"/>
  <c r="AL319" i="1"/>
  <c r="AL96" i="1"/>
  <c r="AL183" i="1"/>
  <c r="AL264" i="1"/>
  <c r="AL313" i="1"/>
  <c r="AM250" i="1"/>
  <c r="AO250" i="1" s="1"/>
  <c r="AQ250" i="1" s="1"/>
  <c r="AS250" i="1" s="1"/>
  <c r="AL260" i="1"/>
  <c r="AM342" i="1"/>
  <c r="AO342" i="1" s="1"/>
  <c r="AQ342" i="1" s="1"/>
  <c r="AS342" i="1" s="1"/>
  <c r="AM219" i="1"/>
  <c r="AO219" i="1" s="1"/>
  <c r="AQ219" i="1" s="1"/>
  <c r="AS219" i="1" s="1"/>
  <c r="AM330" i="1"/>
  <c r="AO330" i="1" s="1"/>
  <c r="AQ330" i="1" s="1"/>
  <c r="AS330" i="1" s="1"/>
  <c r="AL55" i="1"/>
  <c r="AL112" i="1"/>
  <c r="AM164" i="1"/>
  <c r="AO164" i="1" s="1"/>
  <c r="AQ164" i="1" s="1"/>
  <c r="AS164" i="1" s="1"/>
  <c r="AM325" i="1"/>
  <c r="AO325" i="1" s="1"/>
  <c r="AQ325" i="1" s="1"/>
  <c r="AS325" i="1" s="1"/>
  <c r="AM10" i="1"/>
  <c r="AO10" i="1" s="1"/>
  <c r="AQ10" i="1" s="1"/>
  <c r="AS10" i="1" s="1"/>
  <c r="AL97" i="1"/>
  <c r="AL165" i="1"/>
  <c r="AL193" i="1"/>
  <c r="AL241" i="1"/>
  <c r="AL15" i="1"/>
  <c r="AM146" i="1"/>
  <c r="AO146" i="1" s="1"/>
  <c r="AQ146" i="1" s="1"/>
  <c r="AS146" i="1" s="1"/>
  <c r="AL286" i="1"/>
  <c r="AL160" i="1"/>
  <c r="AL111" i="1"/>
  <c r="AL278" i="1"/>
  <c r="AL89" i="1"/>
  <c r="AL185" i="1"/>
  <c r="AL186" i="1"/>
  <c r="AL92" i="1"/>
  <c r="AL41" i="1"/>
  <c r="AL324" i="1"/>
  <c r="AL335" i="1"/>
  <c r="AL292" i="1"/>
  <c r="AL308" i="1"/>
  <c r="AL226" i="1"/>
  <c r="AL117" i="1"/>
  <c r="AL209" i="1"/>
  <c r="AL273" i="1"/>
  <c r="AL269" i="1"/>
  <c r="AL149" i="1"/>
  <c r="AL30" i="1"/>
  <c r="AM31" i="1"/>
  <c r="AO31" i="1" s="1"/>
  <c r="AQ31" i="1" s="1"/>
  <c r="AS31" i="1" s="1"/>
  <c r="AL279" i="1"/>
  <c r="AL132" i="1"/>
  <c r="AL178" i="1"/>
  <c r="AL289" i="1"/>
  <c r="AL295" i="1"/>
  <c r="AL340" i="1"/>
  <c r="AL76" i="1"/>
  <c r="AL255" i="1"/>
  <c r="AM318" i="1"/>
  <c r="AO318" i="1" s="1"/>
  <c r="AQ318" i="1" s="1"/>
  <c r="AS318" i="1" s="1"/>
  <c r="AL114" i="1"/>
  <c r="AL66" i="1"/>
  <c r="AL81" i="1"/>
  <c r="AL122" i="1"/>
  <c r="AM205" i="1"/>
  <c r="AO205" i="1" s="1"/>
  <c r="AQ205" i="1" s="1"/>
  <c r="AS205" i="1" s="1"/>
  <c r="AL19" i="1"/>
  <c r="AM154" i="1"/>
  <c r="AO154" i="1" s="1"/>
  <c r="AQ154" i="1" s="1"/>
  <c r="AS154" i="1" s="1"/>
  <c r="AM242" i="1"/>
  <c r="AO242" i="1" s="1"/>
  <c r="AQ242" i="1" s="1"/>
  <c r="AS242" i="1" s="1"/>
  <c r="AL215" i="1"/>
  <c r="AL306" i="1"/>
  <c r="AL266" i="1"/>
  <c r="AL22" i="1"/>
  <c r="AL102" i="1"/>
  <c r="AL180" i="1"/>
  <c r="AL214" i="1"/>
  <c r="AL196" i="1"/>
  <c r="AL302" i="1"/>
  <c r="AL331" i="1"/>
  <c r="AL143" i="1"/>
  <c r="AL271" i="1"/>
  <c r="AL341" i="1"/>
  <c r="AL290" i="1"/>
  <c r="AL244" i="1"/>
  <c r="AL129" i="1"/>
  <c r="AM347" i="1"/>
  <c r="AO347" i="1" s="1"/>
  <c r="AQ347" i="1" s="1"/>
  <c r="AS347" i="1" s="1"/>
  <c r="AM138" i="1"/>
  <c r="AO138" i="1" s="1"/>
  <c r="AQ138" i="1" s="1"/>
  <c r="AS138" i="1" s="1"/>
  <c r="AL163" i="1"/>
  <c r="AL320" i="1"/>
  <c r="AM63" i="1"/>
  <c r="AO63" i="1" s="1"/>
  <c r="AQ63" i="1" s="1"/>
  <c r="AS63" i="1" s="1"/>
  <c r="AM218" i="1"/>
  <c r="AO218" i="1" s="1"/>
  <c r="AQ218" i="1" s="1"/>
  <c r="AS218" i="1" s="1"/>
  <c r="AL170" i="1"/>
  <c r="AL310" i="1"/>
  <c r="AL233" i="1"/>
  <c r="AL206" i="1"/>
  <c r="AL333" i="1"/>
  <c r="AL77" i="1"/>
  <c r="AM213" i="1"/>
  <c r="AO213" i="1" s="1"/>
  <c r="AQ213" i="1" s="1"/>
  <c r="AS213" i="1" s="1"/>
  <c r="AL182" i="1"/>
  <c r="AL236" i="1"/>
  <c r="AL115" i="1"/>
  <c r="AL326" i="1"/>
  <c r="AL317" i="1"/>
  <c r="AL230" i="1"/>
  <c r="AL158" i="1"/>
  <c r="AL58" i="1"/>
  <c r="AL263" i="1"/>
  <c r="AL252" i="1"/>
  <c r="AL84" i="1"/>
  <c r="AL141" i="1"/>
  <c r="AL65" i="1"/>
  <c r="AL284" i="1"/>
  <c r="AL135" i="1"/>
  <c r="AL220" i="1"/>
  <c r="AL351" i="1"/>
  <c r="AM207" i="1"/>
  <c r="AO207" i="1" s="1"/>
  <c r="AQ207" i="1" s="1"/>
  <c r="AS207" i="1" s="1"/>
  <c r="AM231" i="1"/>
  <c r="AO231" i="1" s="1"/>
  <c r="AQ231" i="1" s="1"/>
  <c r="AS231" i="1" s="1"/>
  <c r="AL136" i="1"/>
  <c r="AM281" i="1"/>
  <c r="AO281" i="1" s="1"/>
  <c r="AQ281" i="1" s="1"/>
  <c r="AS281" i="1" s="1"/>
  <c r="AL350" i="1"/>
  <c r="AL105" i="1"/>
  <c r="AL121" i="1"/>
  <c r="AL161" i="1"/>
  <c r="AM257" i="1"/>
  <c r="AO257" i="1" s="1"/>
  <c r="AQ257" i="1" s="1"/>
  <c r="AS257" i="1" s="1"/>
  <c r="AM11" i="1"/>
  <c r="AO11" i="1" s="1"/>
  <c r="AQ11" i="1" s="1"/>
  <c r="AS11" i="1" s="1"/>
  <c r="AM35" i="1"/>
  <c r="AO35" i="1" s="1"/>
  <c r="AQ35" i="1" s="1"/>
  <c r="AS35" i="1" s="1"/>
  <c r="AM322" i="1"/>
  <c r="AO322" i="1" s="1"/>
  <c r="AQ322" i="1" s="1"/>
  <c r="AS322" i="1" s="1"/>
  <c r="AL283" i="1"/>
  <c r="AL235" i="1"/>
  <c r="AL156" i="1"/>
  <c r="AL288" i="1"/>
  <c r="AL104" i="1"/>
  <c r="AL142" i="1"/>
  <c r="AL268" i="1"/>
  <c r="AL155" i="1"/>
  <c r="AL188" i="1"/>
  <c r="AL168" i="1"/>
  <c r="AL291" i="1"/>
  <c r="AL177" i="1"/>
  <c r="AL303" i="1"/>
  <c r="AL343" i="1"/>
  <c r="AL332" i="1"/>
  <c r="AL120" i="1"/>
  <c r="AL152" i="1"/>
  <c r="AL157" i="1"/>
  <c r="AL210" i="1"/>
  <c r="AL294" i="1"/>
  <c r="AL321" i="1"/>
  <c r="AL334" i="1"/>
  <c r="AL191" i="1"/>
  <c r="AL300" i="1"/>
  <c r="AL198" i="1"/>
  <c r="AL46" i="1"/>
  <c r="AL109" i="1"/>
  <c r="AL162" i="1"/>
  <c r="AL222" i="1"/>
  <c r="AL256" i="1"/>
  <c r="AL354" i="1"/>
  <c r="AM85" i="1"/>
  <c r="AO85" i="1" s="1"/>
  <c r="AQ85" i="1" s="1"/>
  <c r="AS85" i="1" s="1"/>
  <c r="AL108" i="1"/>
  <c r="AL44" i="1"/>
  <c r="AL337" i="1"/>
  <c r="AL201" i="1"/>
  <c r="AL43" i="1"/>
  <c r="AL139" i="1"/>
  <c r="AM119" i="1"/>
  <c r="AO119" i="1" s="1"/>
  <c r="AQ119" i="1" s="1"/>
  <c r="AS119" i="1" s="1"/>
  <c r="AL119" i="1"/>
  <c r="AM159" i="1"/>
  <c r="AO159" i="1" s="1"/>
  <c r="AQ159" i="1" s="1"/>
  <c r="AS159" i="1" s="1"/>
  <c r="AL159" i="1"/>
  <c r="AM327" i="1"/>
  <c r="AO327" i="1" s="1"/>
  <c r="AQ327" i="1" s="1"/>
  <c r="AS327" i="1" s="1"/>
  <c r="AM107" i="1"/>
  <c r="AO107" i="1" s="1"/>
  <c r="AQ107" i="1" s="1"/>
  <c r="AS107" i="1" s="1"/>
  <c r="AL107" i="1"/>
  <c r="AM123" i="1"/>
  <c r="AO123" i="1" s="1"/>
  <c r="AQ123" i="1" s="1"/>
  <c r="AS123" i="1" s="1"/>
  <c r="AL123" i="1"/>
  <c r="AM179" i="1"/>
  <c r="AO179" i="1" s="1"/>
  <c r="AQ179" i="1" s="1"/>
  <c r="AS179" i="1" s="1"/>
  <c r="AL179" i="1"/>
  <c r="AM199" i="1"/>
  <c r="AO199" i="1" s="1"/>
  <c r="AQ199" i="1" s="1"/>
  <c r="AS199" i="1" s="1"/>
  <c r="AL199" i="1"/>
  <c r="AM239" i="1"/>
  <c r="AO239" i="1" s="1"/>
  <c r="AQ239" i="1" s="1"/>
  <c r="AS239" i="1" s="1"/>
  <c r="AL239" i="1"/>
  <c r="AM212" i="1"/>
  <c r="AO212" i="1" s="1"/>
  <c r="AQ212" i="1" s="1"/>
  <c r="AS212" i="1" s="1"/>
  <c r="AL212" i="1"/>
  <c r="AM208" i="1"/>
  <c r="AO208" i="1" s="1"/>
  <c r="AQ208" i="1" s="1"/>
  <c r="AS208" i="1" s="1"/>
  <c r="AL208" i="1"/>
  <c r="AL192" i="1"/>
  <c r="AL336" i="1"/>
  <c r="AM304" i="1"/>
  <c r="AO304" i="1" s="1"/>
  <c r="AQ304" i="1" s="1"/>
  <c r="AS304" i="1" s="1"/>
  <c r="AM140" i="1"/>
  <c r="AO140" i="1" s="1"/>
  <c r="AQ140" i="1" s="1"/>
  <c r="AS140" i="1" s="1"/>
  <c r="AL217" i="1"/>
  <c r="AL285" i="1"/>
  <c r="AL62" i="1"/>
  <c r="AL125" i="1"/>
  <c r="AL145" i="1"/>
  <c r="AL237" i="1"/>
  <c r="AL265" i="1"/>
  <c r="AL305" i="1"/>
  <c r="AL103" i="1"/>
  <c r="AL224" i="1"/>
  <c r="AM56" i="1"/>
  <c r="AO56" i="1" s="1"/>
  <c r="AQ56" i="1" s="1"/>
  <c r="AS56" i="1" s="1"/>
  <c r="AL56" i="1"/>
  <c r="AM175" i="1"/>
  <c r="AO175" i="1" s="1"/>
  <c r="AQ175" i="1" s="1"/>
  <c r="AS175" i="1" s="1"/>
  <c r="AL175" i="1"/>
  <c r="AM211" i="1"/>
  <c r="AO211" i="1" s="1"/>
  <c r="AQ211" i="1" s="1"/>
  <c r="AS211" i="1" s="1"/>
  <c r="AL211" i="1"/>
  <c r="AM251" i="1"/>
  <c r="AO251" i="1" s="1"/>
  <c r="AQ251" i="1" s="1"/>
  <c r="AS251" i="1" s="1"/>
  <c r="AL251" i="1"/>
  <c r="AL71" i="1"/>
  <c r="AL348" i="1"/>
  <c r="AL240" i="1"/>
  <c r="AL124" i="1"/>
  <c r="AL267" i="1"/>
  <c r="AL88" i="1"/>
  <c r="AL172" i="1"/>
  <c r="AL345" i="1"/>
  <c r="AL307" i="1"/>
  <c r="AL64" i="1"/>
  <c r="AL53" i="1"/>
  <c r="AL181" i="1"/>
  <c r="AL68" i="1"/>
  <c r="AL272" i="1"/>
  <c r="AM60" i="1"/>
  <c r="AO60" i="1" s="1"/>
  <c r="AQ60" i="1" s="1"/>
  <c r="AS60" i="1" s="1"/>
  <c r="AL60" i="1"/>
  <c r="AM83" i="1"/>
  <c r="AO83" i="1" s="1"/>
  <c r="AQ83" i="1" s="1"/>
  <c r="AS83" i="1" s="1"/>
  <c r="AL83" i="1"/>
  <c r="AM247" i="1"/>
  <c r="AO247" i="1" s="1"/>
  <c r="AQ247" i="1" s="1"/>
  <c r="AS247" i="1" s="1"/>
  <c r="AL247" i="1"/>
  <c r="AO295" i="1"/>
  <c r="AQ295" i="1" s="1"/>
  <c r="AS295" i="1" s="1"/>
  <c r="AO296" i="1"/>
  <c r="AQ296" i="1" s="1"/>
  <c r="AS296" i="1" s="1"/>
  <c r="AO340" i="1"/>
  <c r="AQ340" i="1" s="1"/>
  <c r="AS340" i="1" s="1"/>
  <c r="AO303" i="1"/>
  <c r="AQ303" i="1" s="1"/>
  <c r="AS303" i="1" s="1"/>
  <c r="AO319" i="1"/>
  <c r="AQ319" i="1" s="1"/>
  <c r="AS319" i="1" s="1"/>
  <c r="AO45" i="1"/>
  <c r="AQ45" i="1" s="1"/>
  <c r="AS45" i="1" s="1"/>
  <c r="AO65" i="1"/>
  <c r="AQ65" i="1" s="1"/>
  <c r="AS65" i="1" s="1"/>
  <c r="AO204" i="1"/>
  <c r="AQ204" i="1" s="1"/>
  <c r="AS204" i="1" s="1"/>
  <c r="AO284" i="1"/>
  <c r="AQ284" i="1" s="1"/>
  <c r="AS284" i="1" s="1"/>
  <c r="AO115" i="1"/>
  <c r="AQ115" i="1" s="1"/>
  <c r="AS115" i="1" s="1"/>
  <c r="AO143" i="1"/>
  <c r="AQ143" i="1" s="1"/>
  <c r="AS143" i="1" s="1"/>
  <c r="AO183" i="1"/>
  <c r="AQ183" i="1" s="1"/>
  <c r="AS183" i="1" s="1"/>
  <c r="AO267" i="1"/>
  <c r="AQ267" i="1" s="1"/>
  <c r="AS267" i="1" s="1"/>
  <c r="AO220" i="1"/>
  <c r="AQ220" i="1" s="1"/>
  <c r="AS220" i="1" s="1"/>
  <c r="AO248" i="1"/>
  <c r="AQ248" i="1" s="1"/>
  <c r="AS248" i="1" s="1"/>
  <c r="AO308" i="1"/>
  <c r="AQ308" i="1" s="1"/>
  <c r="AS308" i="1" s="1"/>
  <c r="AO316" i="1"/>
  <c r="AQ316" i="1" s="1"/>
  <c r="AS316" i="1" s="1"/>
  <c r="AO336" i="1"/>
  <c r="AQ336" i="1" s="1"/>
  <c r="AS336" i="1" s="1"/>
  <c r="AO302" i="1"/>
  <c r="AQ302" i="1" s="1"/>
  <c r="AS302" i="1" s="1"/>
  <c r="AO133" i="1"/>
  <c r="AQ133" i="1" s="1"/>
  <c r="AS133" i="1" s="1"/>
  <c r="AO75" i="1"/>
  <c r="AQ75" i="1" s="1"/>
  <c r="AS75" i="1" s="1"/>
  <c r="AO335" i="1"/>
  <c r="AQ335" i="1" s="1"/>
  <c r="AS335" i="1" s="1"/>
  <c r="AO61" i="1"/>
  <c r="AQ61" i="1" s="1"/>
  <c r="AS61" i="1" s="1"/>
  <c r="AO268" i="1"/>
  <c r="AQ268" i="1" s="1"/>
  <c r="AS268" i="1" s="1"/>
  <c r="AO64" i="1"/>
  <c r="AQ64" i="1" s="1"/>
  <c r="AS64" i="1" s="1"/>
  <c r="AO271" i="1"/>
  <c r="AQ271" i="1" s="1"/>
  <c r="AS271" i="1" s="1"/>
  <c r="AO312" i="1"/>
  <c r="AQ312" i="1" s="1"/>
  <c r="AS312" i="1" s="1"/>
  <c r="AO127" i="1"/>
  <c r="AQ127" i="1" s="1"/>
  <c r="AS127" i="1" s="1"/>
  <c r="AO307" i="1"/>
  <c r="AQ307" i="1" s="1"/>
  <c r="AS307" i="1" s="1"/>
  <c r="AO96" i="1"/>
  <c r="AQ96" i="1" s="1"/>
  <c r="AS96" i="1" s="1"/>
  <c r="AO332" i="1"/>
  <c r="AQ332" i="1" s="1"/>
  <c r="AS332" i="1" s="1"/>
  <c r="AO120" i="1"/>
  <c r="AQ120" i="1" s="1"/>
  <c r="AS120" i="1" s="1"/>
  <c r="AO236" i="1"/>
  <c r="AQ236" i="1" s="1"/>
  <c r="AS236" i="1" s="1"/>
  <c r="AO152" i="1"/>
  <c r="AQ152" i="1" s="1"/>
  <c r="AS152" i="1" s="1"/>
  <c r="AO292" i="1"/>
  <c r="AQ292" i="1" s="1"/>
  <c r="AS292" i="1" s="1"/>
  <c r="AO135" i="1"/>
  <c r="AQ135" i="1" s="1"/>
  <c r="AS135" i="1" s="1"/>
  <c r="AO171" i="1"/>
  <c r="AQ171" i="1" s="1"/>
  <c r="AS171" i="1" s="1"/>
  <c r="AO255" i="1"/>
  <c r="AQ255" i="1" s="1"/>
  <c r="AS255" i="1" s="1"/>
  <c r="AO348" i="1"/>
  <c r="AQ348" i="1" s="1"/>
  <c r="AS348" i="1" s="1"/>
  <c r="AO53" i="1"/>
  <c r="AQ53" i="1" s="1"/>
  <c r="AS53" i="1" s="1"/>
  <c r="AO240" i="1"/>
  <c r="AQ240" i="1" s="1"/>
  <c r="AS240" i="1" s="1"/>
  <c r="AO264" i="1"/>
  <c r="AQ264" i="1" s="1"/>
  <c r="AS264" i="1" s="1"/>
  <c r="AO301" i="1"/>
  <c r="AQ301" i="1" s="1"/>
  <c r="AS301" i="1" s="1"/>
  <c r="AO324" i="1"/>
  <c r="AQ324" i="1" s="1"/>
  <c r="AS324" i="1" s="1"/>
  <c r="AO338" i="1"/>
  <c r="AQ338" i="1" s="1"/>
  <c r="AS338" i="1" s="1"/>
  <c r="AO314" i="1"/>
  <c r="AQ314" i="1" s="1"/>
  <c r="AS314" i="1" s="1"/>
  <c r="AO128" i="1"/>
  <c r="AQ128" i="1" s="1"/>
  <c r="AS128" i="1" s="1"/>
  <c r="AO345" i="1"/>
  <c r="AQ345" i="1" s="1"/>
  <c r="AS345" i="1" s="1"/>
  <c r="AO339" i="1"/>
  <c r="AQ339" i="1" s="1"/>
  <c r="AS339" i="1" s="1"/>
  <c r="AO225" i="1"/>
  <c r="AQ225" i="1" s="1"/>
  <c r="AS225" i="1" s="1"/>
  <c r="AO331" i="1"/>
  <c r="AQ331" i="1" s="1"/>
  <c r="AS331" i="1" s="1"/>
  <c r="AO343" i="1"/>
  <c r="AQ343" i="1" s="1"/>
  <c r="AS343" i="1" s="1"/>
  <c r="AO108" i="1"/>
  <c r="AQ108" i="1" s="1"/>
  <c r="AS108" i="1" s="1"/>
  <c r="AO76" i="1"/>
  <c r="AQ76" i="1" s="1"/>
  <c r="AS76" i="1" s="1"/>
  <c r="AO216" i="1"/>
  <c r="AQ216" i="1" s="1"/>
  <c r="AS216" i="1" s="1"/>
  <c r="AO328" i="1"/>
  <c r="AQ328" i="1" s="1"/>
  <c r="AS328" i="1" s="1"/>
  <c r="AO323" i="1"/>
  <c r="AQ323" i="1" s="1"/>
  <c r="AS323" i="1" s="1"/>
  <c r="AO37" i="1"/>
  <c r="AQ37" i="1" s="1"/>
  <c r="AS37" i="1" s="1"/>
  <c r="AS373" i="1"/>
  <c r="AS402" i="1" l="1"/>
  <c r="AQ402" i="1"/>
  <c r="AQ403" i="1" s="1"/>
</calcChain>
</file>

<file path=xl/sharedStrings.xml><?xml version="1.0" encoding="utf-8"?>
<sst xmlns="http://schemas.openxmlformats.org/spreadsheetml/2006/main" count="8019" uniqueCount="1325">
  <si>
    <t>Employee ID</t>
  </si>
  <si>
    <t>Name</t>
  </si>
  <si>
    <t>Designation</t>
  </si>
  <si>
    <t>Syed Salman Hussain</t>
  </si>
  <si>
    <t>CEO</t>
  </si>
  <si>
    <t>Nadeem Qasim</t>
  </si>
  <si>
    <t>Personal Assistant</t>
  </si>
  <si>
    <t>Ubaid Ullah</t>
  </si>
  <si>
    <t>Furqan</t>
  </si>
  <si>
    <t>Supervisor, Admin</t>
  </si>
  <si>
    <t>Syed Omar Farooq Naqvi</t>
  </si>
  <si>
    <t>Officer, Admin</t>
  </si>
  <si>
    <t>Humna Altamash Yousuf</t>
  </si>
  <si>
    <t>Muhammad Fahad</t>
  </si>
  <si>
    <t>Muhammad Shaukat</t>
  </si>
  <si>
    <t>Vivian Charles Paul</t>
  </si>
  <si>
    <t>Head - Corporate Services &amp; Renewal</t>
  </si>
  <si>
    <t>Sidra</t>
  </si>
  <si>
    <t>Dawood</t>
  </si>
  <si>
    <t>Supervisor, CS</t>
  </si>
  <si>
    <t>Syed Zia Abid Naqvi</t>
  </si>
  <si>
    <t>Sobia Ali</t>
  </si>
  <si>
    <t>Syed Ayyan Ali</t>
  </si>
  <si>
    <t>CRO</t>
  </si>
  <si>
    <t>Joseph Henry</t>
  </si>
  <si>
    <t>Anil</t>
  </si>
  <si>
    <t>Moses Akhter</t>
  </si>
  <si>
    <t>Muhammad Shakir</t>
  </si>
  <si>
    <t>Supervisor - CRO</t>
  </si>
  <si>
    <t>Rahat Gul</t>
  </si>
  <si>
    <t>Supervisor - Removal</t>
  </si>
  <si>
    <t>Syed Asad Raza</t>
  </si>
  <si>
    <t>Supervisor - CR</t>
  </si>
  <si>
    <t>Noman Khan</t>
  </si>
  <si>
    <t>Harkas Basharat</t>
  </si>
  <si>
    <t>Alishba Naveed</t>
  </si>
  <si>
    <t>Muhammad Ayan Ateeb</t>
  </si>
  <si>
    <t>Yashdial</t>
  </si>
  <si>
    <t>Muhammad Zakir</t>
  </si>
  <si>
    <t>Manager, IT</t>
  </si>
  <si>
    <t>Waseem ul Haq</t>
  </si>
  <si>
    <t>IT Support Executive</t>
  </si>
  <si>
    <t>Tariq Shahzad</t>
  </si>
  <si>
    <t>Muhammad Umer Azeem</t>
  </si>
  <si>
    <t xml:space="preserve">Assistant Manager, Sales &amp;Marketing </t>
  </si>
  <si>
    <t>Hassan Mustafa</t>
  </si>
  <si>
    <t>Farjad Latif</t>
  </si>
  <si>
    <t>BDO</t>
  </si>
  <si>
    <t xml:space="preserve">Farhana </t>
  </si>
  <si>
    <t>Sales Coordinator</t>
  </si>
  <si>
    <t>Riasat Ali</t>
  </si>
  <si>
    <t>Security Officer</t>
  </si>
  <si>
    <t>Ali Muhammad</t>
  </si>
  <si>
    <t>Driver</t>
  </si>
  <si>
    <t>Muhammad Riyasat</t>
  </si>
  <si>
    <t>Housekeeping Staff</t>
  </si>
  <si>
    <t>Farmanullah Khan</t>
  </si>
  <si>
    <t>Karan Kumar</t>
  </si>
  <si>
    <t>Vishal Fazal</t>
  </si>
  <si>
    <t>Wasif</t>
  </si>
  <si>
    <t>Sunil</t>
  </si>
  <si>
    <t>Muhammad Asad Khan</t>
  </si>
  <si>
    <t xml:space="preserve">Assistant Manager, Technical </t>
  </si>
  <si>
    <t>Mashooq Ali Hyder</t>
  </si>
  <si>
    <t>Fahim Ali</t>
  </si>
  <si>
    <t>Mujahid</t>
  </si>
  <si>
    <t>Silvester</t>
  </si>
  <si>
    <t xml:space="preserve">Shaool Arnold </t>
  </si>
  <si>
    <t>Muhammad Imran</t>
  </si>
  <si>
    <t>Technician</t>
  </si>
  <si>
    <t>Ghazi Naveed Hussain</t>
  </si>
  <si>
    <t>Kamran Afzal</t>
  </si>
  <si>
    <t>Mohsin Raza</t>
  </si>
  <si>
    <t>Muhammad Imran Khan</t>
  </si>
  <si>
    <t>Afser Ali Khan</t>
  </si>
  <si>
    <t>Assistant Manager, Inventory</t>
  </si>
  <si>
    <t>Adnan Abdul Rasheed</t>
  </si>
  <si>
    <t>Executive</t>
  </si>
  <si>
    <t>Shariq Ahmed</t>
  </si>
  <si>
    <t>Owais Raza</t>
  </si>
  <si>
    <t>Mairaj ul Haq</t>
  </si>
  <si>
    <t>Muhammad Jawad Ali Khan</t>
  </si>
  <si>
    <t>Assistant Manager, Diagnostics</t>
  </si>
  <si>
    <t>Zeeshan Noor</t>
  </si>
  <si>
    <t>Technician Harness Production</t>
  </si>
  <si>
    <t>Muhammad Mansoor</t>
  </si>
  <si>
    <t>Raja Muhammad Ashir Kamal</t>
  </si>
  <si>
    <t>Diagnostics Officer</t>
  </si>
  <si>
    <t>Taha Mehmood</t>
  </si>
  <si>
    <t>Junior Harness Technician</t>
  </si>
  <si>
    <t>Fahad Ali Khan</t>
  </si>
  <si>
    <t>Regional Head - South</t>
  </si>
  <si>
    <t>Naveed Shahzad</t>
  </si>
  <si>
    <t>Sheraz Khalid</t>
  </si>
  <si>
    <t>Zohra Abbasi</t>
  </si>
  <si>
    <t>Ayaz Ul Islam</t>
  </si>
  <si>
    <t>Officer, Finance</t>
  </si>
  <si>
    <t>Danish Akbar Memon</t>
  </si>
  <si>
    <t>Mirza taimoor baig</t>
  </si>
  <si>
    <t>Customer Services Executive</t>
  </si>
  <si>
    <t>Lawrence John</t>
  </si>
  <si>
    <t>Muhammad Asif</t>
  </si>
  <si>
    <t>Renewal Executive</t>
  </si>
  <si>
    <t>Abdul Mateen</t>
  </si>
  <si>
    <t>Muhammad Yaqoob</t>
  </si>
  <si>
    <t>Nasir</t>
  </si>
  <si>
    <t>Rider</t>
  </si>
  <si>
    <t>Adnan</t>
  </si>
  <si>
    <t>Syed Muhammad Hasnain</t>
  </si>
  <si>
    <t>Removal Officer</t>
  </si>
  <si>
    <t>Arnold Gill</t>
  </si>
  <si>
    <t>Awaiz Javed</t>
  </si>
  <si>
    <t>Muhammad Saif Malik</t>
  </si>
  <si>
    <t>Officer, Removal</t>
  </si>
  <si>
    <t>Shayan Zafar Ullah Khan</t>
  </si>
  <si>
    <t>Muhammad Afser</t>
  </si>
  <si>
    <t>Adnan Ali</t>
  </si>
  <si>
    <t xml:space="preserve">Muhammad Sufiyan </t>
  </si>
  <si>
    <t>Daiya Sagar</t>
  </si>
  <si>
    <t>Anas Kamil</t>
  </si>
  <si>
    <t>Zubair Shahzad (Patel)</t>
  </si>
  <si>
    <t>Mustafa</t>
  </si>
  <si>
    <t>Muhammad Yousuf</t>
  </si>
  <si>
    <t>Brian Ajaz</t>
  </si>
  <si>
    <t>Khizar Awan</t>
  </si>
  <si>
    <t>Umer Ilyas</t>
  </si>
  <si>
    <t>Shahzor Domnic</t>
  </si>
  <si>
    <t>Samuel Nawab</t>
  </si>
  <si>
    <t>Syed Muhammad Asad</t>
  </si>
  <si>
    <t>Assistant Coordinator</t>
  </si>
  <si>
    <t>Zeeshan Khan</t>
  </si>
  <si>
    <t>Sheikh Muhammad Bilal</t>
  </si>
  <si>
    <t>NR Executive</t>
  </si>
  <si>
    <t>Shahzaib Ahmed</t>
  </si>
  <si>
    <t>Rimarrio Shahzad</t>
  </si>
  <si>
    <t>Alister Goden Gilbert</t>
  </si>
  <si>
    <t>Saba Aurangzaib</t>
  </si>
  <si>
    <t>Muhammad Nafay</t>
  </si>
  <si>
    <t>Muhammad Uzaif</t>
  </si>
  <si>
    <t>Faizan</t>
  </si>
  <si>
    <t>Muhammad Faizan</t>
  </si>
  <si>
    <t>Syed Hussain Raza Rizvi</t>
  </si>
  <si>
    <t>Anas Muzaffar</t>
  </si>
  <si>
    <t>Bilal Yab Ali</t>
  </si>
  <si>
    <t>Assistant Manager</t>
  </si>
  <si>
    <t>Hasnain Akram</t>
  </si>
  <si>
    <t>Supervisor</t>
  </si>
  <si>
    <t>Arbaz Sohail</t>
  </si>
  <si>
    <t>Jr. Harness Technician</t>
  </si>
  <si>
    <t>Harness Technician</t>
  </si>
  <si>
    <t>Auto Registration Officer</t>
  </si>
  <si>
    <t>Syed Sajid Hussain Shah</t>
  </si>
  <si>
    <t>Sales Executive</t>
  </si>
  <si>
    <t>Abdul Karim Khan</t>
  </si>
  <si>
    <t>Faraz Ahmed</t>
  </si>
  <si>
    <t>Syed Shabbir Hussain</t>
  </si>
  <si>
    <t>Head - Security</t>
  </si>
  <si>
    <t>Syed Zeeshan Ahmed</t>
  </si>
  <si>
    <t>Head - Satellite Services/Customer Care</t>
  </si>
  <si>
    <t>Abdus Subhan</t>
  </si>
  <si>
    <t>Owais Akhlaq</t>
  </si>
  <si>
    <t>Muhammad Anas</t>
  </si>
  <si>
    <t>Embedded Engineer</t>
  </si>
  <si>
    <t>Arshan Ahmed</t>
  </si>
  <si>
    <t>Technical Support Executive</t>
  </si>
  <si>
    <t xml:space="preserve">Kamran Jamal </t>
  </si>
  <si>
    <t>ERP Manager</t>
  </si>
  <si>
    <t>Muhammad Zeeshan</t>
  </si>
  <si>
    <t>Software Engineer - I</t>
  </si>
  <si>
    <t>Muhammad Hamza Khan</t>
  </si>
  <si>
    <t>Software Engineer - II</t>
  </si>
  <si>
    <t>Rao Aaraf Younus</t>
  </si>
  <si>
    <t>Omar Ahmed</t>
  </si>
  <si>
    <t>Muhammad Atif Khattri</t>
  </si>
  <si>
    <t>Ayesha Shahzad</t>
  </si>
  <si>
    <t>Jr.Developer, Python</t>
  </si>
  <si>
    <t>Muhammad Ishtiaq</t>
  </si>
  <si>
    <t>Muhammad Hanif</t>
  </si>
  <si>
    <t>Muhamma Arbaz Khan</t>
  </si>
  <si>
    <t>Zubair Dilshad</t>
  </si>
  <si>
    <t>Rashid Baig  </t>
  </si>
  <si>
    <t>Technical Executive</t>
  </si>
  <si>
    <t>Sohail Ahmed</t>
  </si>
  <si>
    <t>Syed Adnan Mansoor</t>
  </si>
  <si>
    <t>Creative Specialist</t>
  </si>
  <si>
    <t>Muhammad Owais</t>
  </si>
  <si>
    <t>Kantish</t>
  </si>
  <si>
    <t>Syed Muneeb Hussain</t>
  </si>
  <si>
    <t>Digital Sales Marketing</t>
  </si>
  <si>
    <t>Syed Saboor Ali</t>
  </si>
  <si>
    <t>TL - Digital Sales Marketing</t>
  </si>
  <si>
    <t xml:space="preserve">Babar Ali </t>
  </si>
  <si>
    <t xml:space="preserve">Zafar Ali </t>
  </si>
  <si>
    <t>Muhammad Shahzad Aziz Bhatti</t>
  </si>
  <si>
    <t>Muhammad Luqman Farooq</t>
  </si>
  <si>
    <t>M.Ali Asim Agha</t>
  </si>
  <si>
    <t>Surat Khan</t>
  </si>
  <si>
    <t>Guard</t>
  </si>
  <si>
    <t>Shabbir Ahmed</t>
  </si>
  <si>
    <t>Maali</t>
  </si>
  <si>
    <t>Muhammad Imran Mughal</t>
  </si>
  <si>
    <t>Muhammad Usman</t>
  </si>
  <si>
    <t>Nadeem Amir</t>
  </si>
  <si>
    <t>Kamal Ahmad</t>
  </si>
  <si>
    <t>Rocks mubarik</t>
  </si>
  <si>
    <t>Office Boy</t>
  </si>
  <si>
    <t>Sikandar Malik</t>
  </si>
  <si>
    <t>Ali Hassan</t>
  </si>
  <si>
    <t>Assistant Manager, Branch</t>
  </si>
  <si>
    <t>Bilal Mughal</t>
  </si>
  <si>
    <t>Ghulam Fareed</t>
  </si>
  <si>
    <t xml:space="preserve">Muhammad Ali Javed </t>
  </si>
  <si>
    <t>Waseem</t>
  </si>
  <si>
    <t>Asad Shabbir</t>
  </si>
  <si>
    <t>Akhter Ali</t>
  </si>
  <si>
    <t>Muhammad Atif</t>
  </si>
  <si>
    <t>Abu Huraira</t>
  </si>
  <si>
    <t>Muhammad Salman</t>
  </si>
  <si>
    <t>Waqar ul Nabi</t>
  </si>
  <si>
    <t>Branch Coordinator</t>
  </si>
  <si>
    <t>Muhammad Asad</t>
  </si>
  <si>
    <t>Sakhawat Ali</t>
  </si>
  <si>
    <t>Muzammil Hussain</t>
  </si>
  <si>
    <t>Shafqat Jaffari</t>
  </si>
  <si>
    <t>Hassan Faroze Arfan</t>
  </si>
  <si>
    <t>Muhammad Imran Tahir</t>
  </si>
  <si>
    <t>Office boy</t>
  </si>
  <si>
    <t>Amjad</t>
  </si>
  <si>
    <t>Sweeper</t>
  </si>
  <si>
    <t>Jamila Kosar</t>
  </si>
  <si>
    <t>Nadeem Ahmed</t>
  </si>
  <si>
    <t>Zeeshan Sagar</t>
  </si>
  <si>
    <t>Naveed Ahmed</t>
  </si>
  <si>
    <t>Muhammad Misum Taimur</t>
  </si>
  <si>
    <t>Raja Muhammad Bilal Azeem</t>
  </si>
  <si>
    <t>Kamran Rasheed</t>
  </si>
  <si>
    <t>Abdul Khaliq</t>
  </si>
  <si>
    <t xml:space="preserve">Ibrar Ahmed </t>
  </si>
  <si>
    <t>Muhammad Farhan</t>
  </si>
  <si>
    <t>Islam Javed</t>
  </si>
  <si>
    <t>Regional Head - North</t>
  </si>
  <si>
    <t>Tanvir Ahmed</t>
  </si>
  <si>
    <t>Manager Sales</t>
  </si>
  <si>
    <t>Hannan Ali</t>
  </si>
  <si>
    <t>Chand Ali Ansari</t>
  </si>
  <si>
    <t>Zahid Iqbal</t>
  </si>
  <si>
    <t>Muhammad Mughera Ismail</t>
  </si>
  <si>
    <t>Muhammad Ajmal Khan</t>
  </si>
  <si>
    <t>Muhammad Arif</t>
  </si>
  <si>
    <t>Umer Rasheed  </t>
  </si>
  <si>
    <t>Irshad Ahmed</t>
  </si>
  <si>
    <t>Ateeq Ur Rehman</t>
  </si>
  <si>
    <t>Ishfaq Ahmed</t>
  </si>
  <si>
    <t xml:space="preserve">Muhammad Bilal Ali </t>
  </si>
  <si>
    <t>Abdul Manan</t>
  </si>
  <si>
    <t>Salman</t>
  </si>
  <si>
    <t>Abdul Noman Rasheed</t>
  </si>
  <si>
    <t>Ayaz ahmed</t>
  </si>
  <si>
    <t xml:space="preserve">AtaUllah </t>
  </si>
  <si>
    <t>Haji Noman Ullah</t>
  </si>
  <si>
    <t>Duad</t>
  </si>
  <si>
    <t>Muhammad Waqas</t>
  </si>
  <si>
    <t>Usman Ali</t>
  </si>
  <si>
    <t>Muhammad Arsalan Baig</t>
  </si>
  <si>
    <t>Muhammad Shafiq</t>
  </si>
  <si>
    <t>Sajid Rafiq</t>
  </si>
  <si>
    <t>Tanveer Ahmad</t>
  </si>
  <si>
    <t>Mehran Ali</t>
  </si>
  <si>
    <t>Zahid Akhter</t>
  </si>
  <si>
    <t>Mola Bux</t>
  </si>
  <si>
    <t>Muhammad Ejaz</t>
  </si>
  <si>
    <t>Zuaib Hassan</t>
  </si>
  <si>
    <t>Muhammad Yaseen</t>
  </si>
  <si>
    <t xml:space="preserve">Department </t>
  </si>
  <si>
    <t>Management</t>
  </si>
  <si>
    <t>Admin</t>
  </si>
  <si>
    <t>Human Resources</t>
  </si>
  <si>
    <t>Accounts &amp; Finance</t>
  </si>
  <si>
    <t>Corporate Services</t>
  </si>
  <si>
    <t>Control Center</t>
  </si>
  <si>
    <t>Diagnostics &amp; Harness</t>
  </si>
  <si>
    <t xml:space="preserve">Removal </t>
  </si>
  <si>
    <t>Information Technology</t>
  </si>
  <si>
    <t>Sales &amp; Marketing</t>
  </si>
  <si>
    <t>Technical</t>
  </si>
  <si>
    <t>Inventory &amp; Procurement</t>
  </si>
  <si>
    <t>Renewal &amp; Collection</t>
  </si>
  <si>
    <t>Marketing</t>
  </si>
  <si>
    <t>Security department</t>
  </si>
  <si>
    <t>Customer Care</t>
  </si>
  <si>
    <t>Technology Development</t>
  </si>
  <si>
    <t>Software Development</t>
  </si>
  <si>
    <t>Region</t>
  </si>
  <si>
    <t>Karachi</t>
  </si>
  <si>
    <t>Islamabad</t>
  </si>
  <si>
    <t>Lahore</t>
  </si>
  <si>
    <t>Multan</t>
  </si>
  <si>
    <t>Faisalabad</t>
  </si>
  <si>
    <t>Net Salary</t>
  </si>
  <si>
    <t>S. no</t>
  </si>
  <si>
    <t>SUM of Year Salary</t>
  </si>
  <si>
    <t>TOTAL SALARY + TOTAL COM &amp; INCEN.</t>
  </si>
  <si>
    <t>TOTAL SALARY + TOTAL COM &amp; INCEN/12</t>
  </si>
  <si>
    <t>Yearly Tax</t>
  </si>
  <si>
    <t>AlreadyTax Paid</t>
  </si>
  <si>
    <t>Remaining Tax</t>
  </si>
  <si>
    <t>Pending Month</t>
  </si>
  <si>
    <t>Current Tax for deduction</t>
  </si>
  <si>
    <t>1200000 to 2200000</t>
  </si>
  <si>
    <t>2200000 to 3200000</t>
  </si>
  <si>
    <t>3200000 to 4100000</t>
  </si>
  <si>
    <t>More than 4100000</t>
  </si>
  <si>
    <t>Sajid Mehmood</t>
  </si>
  <si>
    <t>Deduction in payroll</t>
  </si>
  <si>
    <t>Dawood Bose</t>
  </si>
  <si>
    <t>Mehwish</t>
  </si>
  <si>
    <t>Farrukh Imtiaz</t>
  </si>
  <si>
    <t>Mirza Asad Ali</t>
  </si>
  <si>
    <t>Zobia</t>
  </si>
  <si>
    <t>Finance Officer</t>
  </si>
  <si>
    <t>Security Briefing Officer</t>
  </si>
  <si>
    <t>ID</t>
  </si>
  <si>
    <t>Hyderabad</t>
  </si>
  <si>
    <t>Shahzaib Akhter</t>
  </si>
  <si>
    <t>Remarks</t>
  </si>
  <si>
    <t>Alisa Shah</t>
  </si>
  <si>
    <t xml:space="preserve">Muhammad Sajeel </t>
  </si>
  <si>
    <t>Uzair Ahmed Ansari</t>
  </si>
  <si>
    <t>Muhammad Mustafa</t>
  </si>
  <si>
    <t>Muhammad Rauf Akhtar</t>
  </si>
  <si>
    <t xml:space="preserve">Zeeshan Akram </t>
  </si>
  <si>
    <t>Regional Manager</t>
  </si>
  <si>
    <t>Corporate &amp; Direct Sales</t>
  </si>
  <si>
    <t>Abdul Haseeb</t>
  </si>
  <si>
    <t>Ahmed Farid Bokhari</t>
  </si>
  <si>
    <t>Syed Shahzaib Hussain</t>
  </si>
  <si>
    <t>Muhammad Khalid</t>
  </si>
  <si>
    <t>Collection Officer</t>
  </si>
  <si>
    <t>Syed Muhammad Rahat Ali</t>
  </si>
  <si>
    <t>Syed Amin Uddin Chishty</t>
  </si>
  <si>
    <t>Bilawal</t>
  </si>
  <si>
    <t>Wasiq Ullah Khan</t>
  </si>
  <si>
    <t>Digital Sales Officer</t>
  </si>
  <si>
    <t>Director</t>
  </si>
  <si>
    <t>Faris Ahmed</t>
  </si>
  <si>
    <t>Tayyab Bashir</t>
  </si>
  <si>
    <t>Muhammad Azeen</t>
  </si>
  <si>
    <t>Coordinator</t>
  </si>
  <si>
    <t>Inventory Officer</t>
  </si>
  <si>
    <t>Emp ID</t>
  </si>
  <si>
    <t>A/C Title name</t>
  </si>
  <si>
    <t>Farhana faisal</t>
  </si>
  <si>
    <t>Muhammad Umer Ilyas</t>
  </si>
  <si>
    <t>Muhammad Owais masood</t>
  </si>
  <si>
    <t>Hashaam Haroon</t>
  </si>
  <si>
    <t>Jahanzeb Khan</t>
  </si>
  <si>
    <t>S.No</t>
  </si>
  <si>
    <t>Drawer Name</t>
  </si>
  <si>
    <t>Bank</t>
  </si>
  <si>
    <t>Cheque No.</t>
  </si>
  <si>
    <t>Receiving Month</t>
  </si>
  <si>
    <t>Finance Date</t>
  </si>
  <si>
    <t>Detail</t>
  </si>
  <si>
    <t xml:space="preserve">   Amount </t>
  </si>
  <si>
    <t>Internal/Engine</t>
  </si>
  <si>
    <t>Itechnologi Tracking Services (PVT.) Ltd</t>
  </si>
  <si>
    <t>DIB</t>
  </si>
  <si>
    <t xml:space="preserve">Abdul Sammad </t>
  </si>
  <si>
    <t>Muhammad Faizan Siddiqui</t>
  </si>
  <si>
    <t>Digital Sales Executive</t>
  </si>
  <si>
    <t>HR Officer</t>
  </si>
  <si>
    <t>Muhammad Hassan Aslam</t>
  </si>
  <si>
    <t>Raja Farjad Manzoor</t>
  </si>
  <si>
    <t>Muhammad Khizar Sherwani</t>
  </si>
  <si>
    <t>Gulraiz Haider Jaffri</t>
  </si>
  <si>
    <t>Adit Jason</t>
  </si>
  <si>
    <t xml:space="preserve">Salman Ali </t>
  </si>
  <si>
    <t>Faisal Ali</t>
  </si>
  <si>
    <t>Manager, Sales</t>
  </si>
  <si>
    <t>Removal</t>
  </si>
  <si>
    <t>Rajesh Kumar</t>
  </si>
  <si>
    <t>Site Supervisor - IT</t>
  </si>
  <si>
    <t>Shayan</t>
  </si>
  <si>
    <t>Abdul Ahad Ali</t>
  </si>
  <si>
    <t>Nafees ur Rehman</t>
  </si>
  <si>
    <t>Sheikh Ali Asif</t>
  </si>
  <si>
    <t>Muqaddas Fatima</t>
  </si>
  <si>
    <t>Jawad Ahmed</t>
  </si>
  <si>
    <t>Abdul Waheed</t>
  </si>
  <si>
    <t>Muhammad Nabeel Khan</t>
  </si>
  <si>
    <t>Muhammad yousuf</t>
  </si>
  <si>
    <t>Inventroy &amp; procurement</t>
  </si>
  <si>
    <t>MTO, IT</t>
  </si>
  <si>
    <t>Jr. Design Specialist</t>
  </si>
  <si>
    <t>Muhammad Huzaifa Khan</t>
  </si>
  <si>
    <t>Babar Ali</t>
  </si>
  <si>
    <t>Nasreen</t>
  </si>
  <si>
    <t>Naresh</t>
  </si>
  <si>
    <t>MTO, Harness</t>
  </si>
  <si>
    <t>Ryder Ashraf</t>
  </si>
  <si>
    <t>Muhammad Ibrahim</t>
  </si>
  <si>
    <t>Muhammad Aman</t>
  </si>
  <si>
    <t>Joshua Jakson Johnson</t>
  </si>
  <si>
    <t>Muhammad Arham Hussain</t>
  </si>
  <si>
    <t>Baber Hussain</t>
  </si>
  <si>
    <t>Amjad Khan</t>
  </si>
  <si>
    <t>Ibrahim Sameed Ullah Khan</t>
  </si>
  <si>
    <t>Aryan</t>
  </si>
  <si>
    <t>Junaid</t>
  </si>
  <si>
    <t xml:space="preserve">Software Development </t>
  </si>
  <si>
    <t xml:space="preserve">Admin </t>
  </si>
  <si>
    <t>Sales &amp; marketing</t>
  </si>
  <si>
    <t>Amir Rafique Ghouri</t>
  </si>
  <si>
    <t>Muhammad Obaid Raza</t>
  </si>
  <si>
    <t xml:space="preserve">Nickson </t>
  </si>
  <si>
    <t xml:space="preserve">Iqra </t>
  </si>
  <si>
    <t>Syed Abdul Rafay</t>
  </si>
  <si>
    <t>Abdullah Yaseen</t>
  </si>
  <si>
    <t xml:space="preserve">Danish </t>
  </si>
  <si>
    <t>Mathew Anil</t>
  </si>
  <si>
    <t>Naheed Hanif</t>
  </si>
  <si>
    <t>Muhammad Ayub Khan</t>
  </si>
  <si>
    <t>Muhammad Hamza</t>
  </si>
  <si>
    <t>Mushtaq Ayub</t>
  </si>
  <si>
    <t>Mubashar Ijaz</t>
  </si>
  <si>
    <t>Head, Admin</t>
  </si>
  <si>
    <t>Head - HR &amp; Cultural Development</t>
  </si>
  <si>
    <t>Head - Financial Governance &amp; Compliance</t>
  </si>
  <si>
    <t>Supervisor, Recovery &amp; Collection</t>
  </si>
  <si>
    <t>Manager, CS</t>
  </si>
  <si>
    <t>Head - Client Services</t>
  </si>
  <si>
    <t>Head - Technical Operations &amp; Diagnostics</t>
  </si>
  <si>
    <t>Deputy Manager, CR</t>
  </si>
  <si>
    <t>Sr. IT Support Executive</t>
  </si>
  <si>
    <t>Director - Marketing &amp; Sales</t>
  </si>
  <si>
    <t xml:space="preserve">Manager, Sales &amp; Marketing </t>
  </si>
  <si>
    <t xml:space="preserve">BDO </t>
  </si>
  <si>
    <t>Manager, Finance</t>
  </si>
  <si>
    <t>Supervisor, Finance</t>
  </si>
  <si>
    <t>Assistant Manager, Finance</t>
  </si>
  <si>
    <t>Head, Inventory</t>
  </si>
  <si>
    <t>Supervisor, Removal</t>
  </si>
  <si>
    <t>Assistant Manager, HR</t>
  </si>
  <si>
    <t>Supervisor, Renewal &amp; Collection</t>
  </si>
  <si>
    <t>Supervisor, CR</t>
  </si>
  <si>
    <t>MTO, Andriod</t>
  </si>
  <si>
    <t>Head - Technical &amp; Product Development</t>
  </si>
  <si>
    <t xml:space="preserve">Marketing Officer </t>
  </si>
  <si>
    <t>Junior Developer, PHP</t>
  </si>
  <si>
    <t>Junior Frontend Developer</t>
  </si>
  <si>
    <t>Head - Markeking</t>
  </si>
  <si>
    <t>Supervisor, Technical</t>
  </si>
  <si>
    <t>Incentive (July)</t>
  </si>
  <si>
    <t>Incentive (August)</t>
  </si>
  <si>
    <t>Incentive (Sep)</t>
  </si>
  <si>
    <t>Incentive (Oct)</t>
  </si>
  <si>
    <t>Incentive (Nov)</t>
  </si>
  <si>
    <t>Incentive (Dec)</t>
  </si>
  <si>
    <t>Incentive (Jan)</t>
  </si>
  <si>
    <t>Incentive (Feb)</t>
  </si>
  <si>
    <t>Incentive (Mar)</t>
  </si>
  <si>
    <t>Incentive (Apr)</t>
  </si>
  <si>
    <t>Incentive (May)</t>
  </si>
  <si>
    <t>Incentive (Jun)</t>
  </si>
  <si>
    <t>Com (July)</t>
  </si>
  <si>
    <t>Com (August)</t>
  </si>
  <si>
    <t>Com (Sep)</t>
  </si>
  <si>
    <t>Com (Oct)</t>
  </si>
  <si>
    <t>Com (Nov)</t>
  </si>
  <si>
    <t>Com (Dec)</t>
  </si>
  <si>
    <t>Com (Jan)</t>
  </si>
  <si>
    <t>Com (Feb)</t>
  </si>
  <si>
    <t>Com (Mar)</t>
  </si>
  <si>
    <t>Com (Apr)</t>
  </si>
  <si>
    <t>Com (May)</t>
  </si>
  <si>
    <t>Com (Jun)</t>
  </si>
  <si>
    <t>appraisal amount (1)</t>
  </si>
  <si>
    <t>Moses Akhtar</t>
  </si>
  <si>
    <t>Chq 32705879 to Muhammad Umer Azeem against 100 Count Summary FMO Jun-2025</t>
  </si>
  <si>
    <t>Chq 32705880 to Hannan Ali against 100 Count Summary FMO Jun-2025</t>
  </si>
  <si>
    <t>Chq 32705881 to Anil against 100 Count Summary FMO Jun-2025</t>
  </si>
  <si>
    <t>Chq 32705882 to Syed Sajid Hussain shah against 100 Count Summary FMO Jun-2025</t>
  </si>
  <si>
    <t>Chq 32705883 to Muhammad Shahzad Aziz Bhatti against 100 Count Summary FMO Jun-2025</t>
  </si>
  <si>
    <t>Paid Cheque# 32705721 to Samuel Nawab (ID 10328) against Supervisor of the Month for the month of june 2025</t>
  </si>
  <si>
    <t>Paid Cheque# 32705764 to Uzair Ahmed Ansari (ID 10554) against CRO 1st Employee Incentive for the month of june 2025</t>
  </si>
  <si>
    <t>Paid Cheque# 32705765 to Dawood Bose (ID 10533) against CRO 2nd Employee Incentive for the month of june 2025</t>
  </si>
  <si>
    <t>Paid Cheque# 32705766 to Alister (ID 10135) against CRO 3rd Employee Incentive for the month of june 2025</t>
  </si>
  <si>
    <t>Paid Cheque# 32705767 to Syed Ayyan Ali (ID 10239) against CRO Employee Incentive for the month of june 2025</t>
  </si>
  <si>
    <t>Paid Cheque# 32705768 to Awaiz Javed (ID 10430) against CRO Employee Incentive for the month of April 2025</t>
  </si>
  <si>
    <t>Chq # 32705855 to Anil (ID 10019) against CR AM Commission FMO May,2025</t>
  </si>
  <si>
    <t>Chq # 32705856 to Joseph Henry (ID 10018) against CR AM Commission FMO May,2025</t>
  </si>
  <si>
    <t>Chq # 32705857 to Syed Zia Abid Naqvi (ID 10015) against CR AM Commission FMO May,2025</t>
  </si>
  <si>
    <t>Paid Cheque # 32705807 to Muhammad Faizan Siddiqui (ID 10587) against Digital Sales Marketing Incentive FMO JUNE 2025</t>
  </si>
  <si>
    <t>Paid Cheque # 32705808 to Muhammad Khizar Sherwani (ID 10597) against Digital Sales Marketing Incentive FMO JUNE 2025</t>
  </si>
  <si>
    <t>Paid Cheque # 32705809 to Shayan (ID 10605) against Digital Sales Marketing Incentive FMO JUNE 2025</t>
  </si>
  <si>
    <t>Paid Cheque # 32705810 to Syed Muneeb Hussain (ID 10505) against Digital Sales Marketing Incentive FMO JUNE 2025</t>
  </si>
  <si>
    <t>Paid Cheque # 32705811 to Syed Saboor Ali (ID 10419) against Digital Sales Marketing Incentive FMO JUNE 2025</t>
  </si>
  <si>
    <t>Paid Cheque # 32705812 to Wasiq Ullah Khan (ID 10573) against Digital Sales Marketing Incentive FMO JUNE 2025</t>
  </si>
  <si>
    <t>Paid Cheque # 32705813 to Syed Saboor Ali (ID 10419) against 250+ sales FMO JUNE 2025</t>
  </si>
  <si>
    <t>Paid Cheque # 32705814 to Muhammad Hamza Khan (ID 10636) against 250+ sales FMO JUNE 2025</t>
  </si>
  <si>
    <t>Paid Cheque # 32705818 to Syed Amin Uddin Chishty against Incentive FMO JUNE 2025</t>
  </si>
  <si>
    <t>Paid Cheque # 32705819 to Syed Muhammad Hasnain against Incentive FMO JUNE 2025</t>
  </si>
  <si>
    <t>Paid Cheque # 32705820 to Iqra against Incentive FMO JUNE 2025</t>
  </si>
  <si>
    <t>Paid Cheque # 32705821 to Muhammad Khalid against Incentive FMO JUNE 2025</t>
  </si>
  <si>
    <t>Paid Cheque # 32705822 to Moses Akhtar against Incentive FMO JUNE 2025</t>
  </si>
  <si>
    <t>Paid Cheque # 32705823 to Muhammad Owais against Incentive FMO JUNE 2025</t>
  </si>
  <si>
    <t>Paid Cheque # 32705824 to MUHAMMAD UMER against Incentive FMO JUNE 2025</t>
  </si>
  <si>
    <t>Paid Cheque # 32705825 to Rahat Gul against Incentive FMO JUNE 2025</t>
  </si>
  <si>
    <t>Paid Cheque # 32705826 to Muhammad Saif Malik against Incentive FMO JUNE 2025</t>
  </si>
  <si>
    <t>Paid Cheque # 32705827 to Shahzor Domnic against Incentive FMO JUNE 2025</t>
  </si>
  <si>
    <t>Paid Cheque # 32705828 to Mohammad Yousuf against Incentive FMO JUNE 2025</t>
  </si>
  <si>
    <t>Paid Cheque # 32705829 to Abdul Ahad Ali against Incentive FMO JUNE 2025</t>
  </si>
  <si>
    <t>Paid Cheque # 32705830 to Gulraiz Haider Jaffri against Incentive FMO JUNE 2025</t>
  </si>
  <si>
    <t>Paid Cheque # 32705831 to Muhammad Huzaifa Khan against Incentive FMO JUNE 2025</t>
  </si>
  <si>
    <t>Paid Cheque # 32705832 to Muhammad Mustafa against Incentive FMO JUNE 2025</t>
  </si>
  <si>
    <t>Paid Cheque # 32705833 to Syed Zia Abid Naqvi against Incentive FMO JUNE 2025</t>
  </si>
  <si>
    <t>Paid Cheque # 32705834 to Vivian Charles Paul against Incentive FMO JUNE 2025</t>
  </si>
  <si>
    <t>Chq 32705732 to Muhammad Umer Azeem E # 9148 INT COM</t>
  </si>
  <si>
    <t>Chq 32705733 to Muhammad Farhan (ID 10274) E # 249005 INT COM</t>
  </si>
  <si>
    <t>Chq 32705734 to Syed Amin Uddin Chishty E # 6R353495, G4NAMH303705 INT COM</t>
  </si>
  <si>
    <t>Chq 32705735 to Farhana Faisal E # Q374135(A) INT COM</t>
  </si>
  <si>
    <t>Chq 32705736 to Muhammad Saif Malik E # G4NANU677475 INT COM</t>
  </si>
  <si>
    <t>Chq 32705774 to Farhana Faisal E # R06D-K192197, K0565801K, 1GD1571617 INT COM</t>
  </si>
  <si>
    <t>Chq 32705776 to Syed Muhammad Hasnain E # 6R182632 INT COM</t>
  </si>
  <si>
    <t>Chq 32705777 to Mohammad Yousuf E # G3LALP044593 INT COM</t>
  </si>
  <si>
    <t>Chq 32705778 to Farhana Faisal E # PK10B122688 INT COM</t>
  </si>
  <si>
    <t>Chq 32705779 to Rahat Gul E # 2A19154 INT COM</t>
  </si>
  <si>
    <t>Chq 32705896 to Mohammad Yousuf E # 2KDU570312 INT COM</t>
  </si>
  <si>
    <t>Chq 32705897 to Farhana Faisal E # R060D-K148188, KF-G521073, Q032803 INT COM</t>
  </si>
  <si>
    <t>Chq 32705898 to Syed Muhammad Hasnain E # 6R249663 INT COM</t>
  </si>
  <si>
    <t>Chq 32705688 to Muhammad Umer Azeem E # G4NLRH068879 INT COM</t>
  </si>
  <si>
    <t>Chq 32705686 to Babar Ali E # 1GD0632256 INT COM</t>
  </si>
  <si>
    <t>Chq 32705687 to Syed Muhammad Hasnain E # 10TMA90006187,6R314029  INT COM</t>
  </si>
  <si>
    <t>Iqra</t>
  </si>
  <si>
    <t>E # 6R182632 INT COM</t>
  </si>
  <si>
    <t>E # 6R249663 INT COM</t>
  </si>
  <si>
    <t xml:space="preserve"> E # 10TMA90006187,6R314029  INT COM</t>
  </si>
  <si>
    <t xml:space="preserve"> E # 249005 INT COM</t>
  </si>
  <si>
    <t>E # 6R353495, G4NAMH303705 INT COM</t>
  </si>
  <si>
    <t xml:space="preserve"> E # Q374135(A) INT COM</t>
  </si>
  <si>
    <t>E # G4NANU677475 INT COM</t>
  </si>
  <si>
    <t xml:space="preserve"> E # G3LALP044593 INT COM</t>
  </si>
  <si>
    <t xml:space="preserve"> E # PK10B122688 INT COM</t>
  </si>
  <si>
    <t># 2A19154 INT COM</t>
  </si>
  <si>
    <t>E # R060D-K148188, KF-G521073, Q032803 INT COM</t>
  </si>
  <si>
    <t># 2KDU570312 INT COM</t>
  </si>
  <si>
    <t xml:space="preserve"> E # 1GD0632256 INT COM</t>
  </si>
  <si>
    <t>E # G4NLRH068879 INT COM</t>
  </si>
  <si>
    <t>E # R06D-K192197, K0565801K, 1GD1571617 INT COM</t>
  </si>
  <si>
    <t>32705774</t>
  </si>
  <si>
    <t xml:space="preserve">Umair Khan </t>
  </si>
  <si>
    <t xml:space="preserve">Muhammad Ayaz </t>
  </si>
  <si>
    <t>Israr Ahmed</t>
  </si>
  <si>
    <t>Business Development Officer</t>
  </si>
  <si>
    <t>Sr. Technical Support</t>
  </si>
  <si>
    <t xml:space="preserve">Amir Ahmed Qureshi </t>
  </si>
  <si>
    <t>Muhammad Sheheryar Izhar</t>
  </si>
  <si>
    <t>Dot Net developer</t>
  </si>
  <si>
    <t xml:space="preserve">Muhammad Mohsin </t>
  </si>
  <si>
    <t>Ninta</t>
  </si>
  <si>
    <t>Front Desk Officer</t>
  </si>
  <si>
    <t>Zaynab Mustafa</t>
  </si>
  <si>
    <t>Muhammad Sami</t>
  </si>
  <si>
    <t>Elisha Rayan</t>
  </si>
  <si>
    <t>Abdul Samad Khan</t>
  </si>
  <si>
    <t>Alvis Bainjo</t>
  </si>
  <si>
    <t>Jawahir Saeed</t>
  </si>
  <si>
    <t>Atif Farhan</t>
  </si>
  <si>
    <t>Shakir Ahmed</t>
  </si>
  <si>
    <t>Faiz Rana</t>
  </si>
  <si>
    <t>Muhammad Zubair (Hanif)</t>
  </si>
  <si>
    <t>Deputy Manager</t>
  </si>
  <si>
    <t>Administration</t>
  </si>
  <si>
    <t>Renewal Department</t>
  </si>
  <si>
    <t>Control room</t>
  </si>
  <si>
    <t>Removal Department</t>
  </si>
  <si>
    <t>Vehari</t>
  </si>
  <si>
    <t>appraisal amount (2)</t>
  </si>
  <si>
    <t>Muhammad Shakir Ghanchi (CRO Incentive)</t>
  </si>
  <si>
    <t>Alishba Naveed (CRO Incentive)</t>
  </si>
  <si>
    <t>Alister Goden Gilbert (CRO Incentive)</t>
  </si>
  <si>
    <t>Dawood Bose (CRO Incentive)</t>
  </si>
  <si>
    <t>Uzair Ahmed Ansari (CRO Incentive)</t>
  </si>
  <si>
    <t>Yashdial (CRO Incentive)</t>
  </si>
  <si>
    <t>Anil (CR AM incentive FMO July 225)</t>
  </si>
  <si>
    <t>Joseph Henry (CR AM incentive FMO July 225)</t>
  </si>
  <si>
    <t>Syed Zia Abid Naqvi (CR AM HOD Incentive FMO July 2025)</t>
  </si>
  <si>
    <t>Paid Chq. to Syed Amin Uddin Chishty agnst Incentive to recovary &amp; collection FTM Jul-25</t>
  </si>
  <si>
    <t>Paid Chq. to Syed Muhammad Hasnain agnst Incentive to recovary &amp; collection FTM Jul-25</t>
  </si>
  <si>
    <t>Paid Chq. to Iqra agnst Incentive to recovary &amp; collection FTM Jul-25</t>
  </si>
  <si>
    <t>Paid Chq. to Muhammad Khalid agnst Incentive to recovary &amp; collection FTM Jul-25</t>
  </si>
  <si>
    <t>Paid Chq. to Moses Akhtar agnst Incentive to recovary &amp; collection FTM Jul-25</t>
  </si>
  <si>
    <t>Paid Chq. to Muhammad Owais agnst Incentive to recovary &amp; collection FTM Jul-25</t>
  </si>
  <si>
    <t>Paid Chq. to Muhammad Umer agnst Incentive to recovary &amp; collection FTM Jul-25</t>
  </si>
  <si>
    <t>Paid Chq. to Rahat Gul agnst Incentive to recovary &amp; collection FTM Jul-25</t>
  </si>
  <si>
    <t>Paid Chq. to Muhammad Saif Malik agnst Incentive to recovary &amp; collection FTM Jul-25</t>
  </si>
  <si>
    <t>Paid Chq. to Shahzor Domnic agnst Incentive to recovary &amp; collection FTM Jul-25</t>
  </si>
  <si>
    <t>Paid Chq. to Mohammad Yousuf agnst Incentive to recovary &amp; collection FTM Jul-25</t>
  </si>
  <si>
    <t>Paid Chq. to Zia Abid agnst Incentive to recovary &amp; collection FTM Jul-25</t>
  </si>
  <si>
    <t>Muhammad Yousuf (Internal Commission)</t>
  </si>
  <si>
    <t>Muhammad Owais (Internal Commission)</t>
  </si>
  <si>
    <t>Syed Muhammad Hasnain (Internal Commission)</t>
  </si>
  <si>
    <t>Muhammad umer (Internal Commission)</t>
  </si>
  <si>
    <t>Rahat Gul (Internal Commission)</t>
  </si>
  <si>
    <t>LEH18-7865</t>
  </si>
  <si>
    <t>KF-K113674</t>
  </si>
  <si>
    <t>R18Z12951728,24431504510</t>
  </si>
  <si>
    <t>G4LERU494476, 6R197888</t>
  </si>
  <si>
    <t>LEB-3813814, G4NAMU173030</t>
  </si>
  <si>
    <t>Paid Chq to Tariq Shahzad against Sales Internal Incentives FMO AUG,SEP 2024</t>
  </si>
  <si>
    <t>Paid Chq  to Fahad Ali Khan against Sales Internal Incentives FMO DEC,2023 ,AUG2024, SEP 2024</t>
  </si>
  <si>
    <t xml:space="preserve">Paid Chq  to Muhammad Umer Azeem against Sales Internal Incentives FMO NOV,DEC 2023 </t>
  </si>
  <si>
    <t xml:space="preserve">Paid Chq to Farjad Latif against Sales Internal Incentives FMO FEB, MAY 2025 </t>
  </si>
  <si>
    <t xml:space="preserve">Paid Chq to Farhana Faisal against Sales Internal Incentives FMO FEB, MAY 2025 </t>
  </si>
  <si>
    <t xml:space="preserve">Paid Chq  to Syed Muhammad Rahat Ali against Sales Internal Incentives FMO MARCH, MAY, JUNE 2025 </t>
  </si>
  <si>
    <t>Muhammad Umer Azeem (Internal Commission)</t>
  </si>
  <si>
    <t>Farhana Faisal (Internal Commission)</t>
  </si>
  <si>
    <t>5460631, K120053</t>
  </si>
  <si>
    <t>Q058371, 6R241334, Q094458, BHE-712</t>
  </si>
  <si>
    <t>Paid Chq to Islam Javed against Sales Internal Incentives FMO MAY 2025</t>
  </si>
  <si>
    <t xml:space="preserve">Paid Chq to Muhammad Shahzad Aziz Bhatti against Sales Internal Incentives FMO NOV 2024,JAN 2025 </t>
  </si>
  <si>
    <t xml:space="preserve">Paid Chq to Shafqat Jaffari against Sales Internal Incentives FMO OCT, NOV 2024 </t>
  </si>
  <si>
    <t>Paid Chq to Syed Sajid Hussain shah against Sales Internal Incentives FMO MARCH,JUNE 2025</t>
  </si>
  <si>
    <t>Paid Chq to Hannan Ali against Sales Internal Incentives FMO NOV 2024, FEB 2025</t>
  </si>
  <si>
    <t xml:space="preserve">Paid Chq  to Hassan Faroze Arfan against Sales Internal Incentives FMO MARCH, APRIL, MAY, JUNE 2025 </t>
  </si>
  <si>
    <t>Paid Chq to Faisal Ali against Sales Internal Incentives FMO MARCH, MAY, JUNE 2025</t>
  </si>
  <si>
    <t>Paid Chq to Tanvir Ahmad against Sales Internal Incentives FMO MARCH, APRIL, MAY, JUNE 2025</t>
  </si>
  <si>
    <t>Paid Cheque  to Muhammad Faizan Siddiqui (ID 10587) against Digital Sales Marketing Incentive FMO JULY 2025</t>
  </si>
  <si>
    <t>Paid Cheque to Muhammad Khizar Sherwani (ID 10597) against Digital Sales Marketing Incentive FMO JULY 2025</t>
  </si>
  <si>
    <t>Paid Cheque  to Shayan (ID 10605) against Digital Sales Marketing Incentive FMO JULY 2025</t>
  </si>
  <si>
    <t>Paid Cheque to Syed Muneeb Hussain (ID 10505) against Digital Sales Marketing Incentive FMO JULY 2025</t>
  </si>
  <si>
    <t>Paid Cheque  to Syed Saboor Ali (ID 10419) against Digital Sales Marketing Incentive FMO JULY 2025</t>
  </si>
  <si>
    <t>Paid Cheque  to Wasiq Ullah Khan (ID 10573) against Digital Sales Marketing Incentive FMO JULY 2025</t>
  </si>
  <si>
    <t>Paid Cheque  to Syed Saboor Ali (ID 10419) Team Lead against Digital Sales Marketing Incentive FMO JULY 2025</t>
  </si>
  <si>
    <t>Paid Cheque to Muhammad Hamza Khan (ID 10636) against Team Lead against Digital Sales Marketing Incentive FMO JULY 2025</t>
  </si>
  <si>
    <t>Paid Chq. to Abdul Ahad Ali agnst Incentive to recovary &amp; collection FTM Jul-25</t>
  </si>
  <si>
    <t>Paid Chq. to Raja Farjad Manzoor agnst Incentive to recovary &amp; collection FTM Jul-25</t>
  </si>
  <si>
    <t>Paid Chq. to Muhammad Huzaifa Khan agnst Incentive to recovary &amp; collection FTM Jul-25</t>
  </si>
  <si>
    <t>Paid Chq. to Muhammad Mustafa agnst Incentive to recovary &amp; collection FTM Jul-25</t>
  </si>
  <si>
    <t>Paid Chq. to Zeeshan Khan agnst Incentive to recovary &amp; collection FTM Jul-25</t>
  </si>
  <si>
    <t>Paid Chq. to Vivian Charles Paul agnst Incentive to recovary &amp; collection FTM Jul-25</t>
  </si>
  <si>
    <t>Muhammad Mustafa (Internal Commission)</t>
  </si>
  <si>
    <t>Abdul Mateen (Internal Commission)</t>
  </si>
  <si>
    <t xml:space="preserve">6R204105 </t>
  </si>
  <si>
    <t xml:space="preserve">PKS13047747 </t>
  </si>
  <si>
    <t xml:space="preserve">Q094963 </t>
  </si>
  <si>
    <t xml:space="preserve">G4NANU262951 </t>
  </si>
  <si>
    <t xml:space="preserve">6R133328 </t>
  </si>
  <si>
    <t>Amir Ahmed Qureshi (Internal Commission)</t>
  </si>
  <si>
    <t>Muhammad Shafiq (Internal Commission)</t>
  </si>
  <si>
    <t>Ibrar Ahmed (Internal Commission)</t>
  </si>
  <si>
    <t>Muhammad Shakir Ghanchi</t>
  </si>
  <si>
    <t>Amir Ahmed Qureshi</t>
  </si>
  <si>
    <t>Ibrar Ahmed</t>
  </si>
  <si>
    <t>Iqra Khan</t>
  </si>
  <si>
    <t xml:space="preserve">Mohammad Yousuf </t>
  </si>
  <si>
    <t>Tanvir Ahmad</t>
  </si>
  <si>
    <t>Increment</t>
  </si>
  <si>
    <t>Sr. Software Engineer - I</t>
  </si>
  <si>
    <t>Incentive July 2025</t>
  </si>
  <si>
    <t>Muhammad Ahsan</t>
  </si>
  <si>
    <t>Aneel Ahmed Khan</t>
  </si>
  <si>
    <t>Sinthiya</t>
  </si>
  <si>
    <t>Increments</t>
  </si>
  <si>
    <t>S.no</t>
  </si>
  <si>
    <t>paid Tax - Jul</t>
  </si>
  <si>
    <t>paid Tax - Aug</t>
  </si>
  <si>
    <t>Sum</t>
  </si>
  <si>
    <t xml:space="preserve">Paid Cheque# 32912207 to Muhammad Shakir Ghanchi (ID 10020) against Supervisor of the Month FMO August-2025 </t>
  </si>
  <si>
    <t xml:space="preserve">Paid Cheque# 32912208 Uzair Ahmed Ansari (ID 10554) against CRO 1st Employee Incentive FMO August-2025 </t>
  </si>
  <si>
    <t>Paid Cheque# 32912209 to Dawood Bose (ID 10533) against CRO 2nd Employee Incentive FMO August-2025</t>
  </si>
  <si>
    <t>Paid Cheque# 32912210 to Yashdial (ID 10437) against CRO 3rd Employee Incentive FMO August-2025</t>
  </si>
  <si>
    <t>Paid Cheque# 32912211 to Muhammad Nafay (ID 10460) against CRO Employee Incentive FMO August-2025</t>
  </si>
  <si>
    <t>Paid Cheque# 32912212 to Syed Ayyan Ali (ID 10239) against CRO Employee Incentive FMO August-2025</t>
  </si>
  <si>
    <t xml:space="preserve">Paid Cheque # 32912219 to Syed Amin Uddin Chishty (ID # 10569) against Incentive FMO August-2025  </t>
  </si>
  <si>
    <t xml:space="preserve">Paid Cheque # 32912220 to Syed Muhammad Hasnain (ID #10163) against Incentive FMO August-2025  </t>
  </si>
  <si>
    <t xml:space="preserve">Paid Cheque # 32912221 to Iqra (ID # 10602) against Incentive FMO August-2025  </t>
  </si>
  <si>
    <t xml:space="preserve">Paid Cheque # 32912222 to Muhammad Khalid (ID # 10567) against Incentive FMO August-2025  </t>
  </si>
  <si>
    <t xml:space="preserve">Paid Cheque # 32912223 to Moses Akhtar (ID # 10498) against Incentive FMO August-2025  </t>
  </si>
  <si>
    <t xml:space="preserve">Paid Cheque # 32912224 to Muhammad Owais (ID # 10571) against Incentive FMO August-2025  </t>
  </si>
  <si>
    <t xml:space="preserve">Paid Cheque # 32912225 to Muhammad Umer Ilyas (ID # 10365) against Incentive FMO August-2025  </t>
  </si>
  <si>
    <t xml:space="preserve">Paid Cheque # 32912226 to Rahat Gul (ID # 10021) against Incentive FMO August-2025  </t>
  </si>
  <si>
    <t xml:space="preserve">Paid Cheque # 32912227 to Muhammad Saif Malik (ID # 10431) against Incentive FMO August-2025  </t>
  </si>
  <si>
    <t xml:space="preserve">Paid Cheque # 32912228 to Shahzor Domnic (ID #10326) against Incentive FMO August-2025  </t>
  </si>
  <si>
    <t xml:space="preserve">Paid Cheque # 32912229 to Mohammad Yousuf (ID # 10407) against Incentive FMO August-2025  </t>
  </si>
  <si>
    <t xml:space="preserve">Paid Cheque # 32912230 to Abdul Ahad Ali (ID # 10606) against Incentive FMO August-2025  </t>
  </si>
  <si>
    <t xml:space="preserve">Paid Cheque # 32912231 to Farjad Manzoor (ID # 10590) against Incentive FMO August-2025  </t>
  </si>
  <si>
    <t xml:space="preserve">Paid Cheque # 32912232 to Gulraiz Haider Jaffri (ID # 10598) against Incentive FMO August-2025  </t>
  </si>
  <si>
    <t xml:space="preserve">Paid Cheque # 32912233 to Muhammad Huzaifa Khan (ID #10562) against Incentive FMO August-2025  </t>
  </si>
  <si>
    <t xml:space="preserve">Paid Cheque # 32912234 to Muhammad Mustafa (ID # 10199) against Incentive FMO August-2025  </t>
  </si>
  <si>
    <t xml:space="preserve">Paid Cheque # 32912235 to Syed Zia Abid Naqvi (ID #10015) against Incentive FMO August-2025  </t>
  </si>
  <si>
    <t xml:space="preserve">Paid Cheque # 32912236 to Vivian Charles Paul (ID #10010) against Incentive FMO August-2025  </t>
  </si>
  <si>
    <t>Chq # 33001214 to Anil (ID 10019) against CR AM Commission FMO AUG,2025</t>
  </si>
  <si>
    <t>Chq # 33001215 to Joseph Henry (ID 10018) against CR AM Commission FMO AUG,2025</t>
  </si>
  <si>
    <t>Chq # 33001216 to to Syed Zia Abid Naqvi (ID 10015) against CR AM Commission FMO AUG,2025</t>
  </si>
  <si>
    <t xml:space="preserve">Paid Cheque # 33001221 to Muhammad Faizan Siddiqui (ID 10587) against Digital Sales Marketing Incentive FMO AUG,2025 </t>
  </si>
  <si>
    <t>Paid Cheque # 33001222 to Muhammad Khizar Sherwani (ID 10597) against Digital Sales Marketing Incentive FMO AUG,2025</t>
  </si>
  <si>
    <t>Paid Cheque # 33001223 to Shayan (ID 10605) against Digital Sales Marketing Incentive FMO AUG,2025</t>
  </si>
  <si>
    <t>Paid Cheque # 33001224 to Syed Muneeb Hussain (ID 10505) against Digital Sales Marketing Incentive FMO AUG,2025</t>
  </si>
  <si>
    <t>Paid Cheque # 33001225 to Syed Saboor Ali (ID 10419) against Digital Sales Marketing Incentive FMO AUG,2025</t>
  </si>
  <si>
    <t>Paid Cheque # 33001226 to Wasiq Ullah Khan (ID 10573) against Digital Sales Marketing Incentive FMO AUG,2025</t>
  </si>
  <si>
    <t>Paid Cheque # 33001227 to Syed Saboor Ali (ID 10419) Team Lead against Digital Sales Marketing Incentive FMO AUG,2025</t>
  </si>
  <si>
    <t>Paid Cheque # 33001228 to Muhammad Hamza Khan (ID 10636) against Team Lead against Digital Sales Marketing Incentive FMO AUG,2025</t>
  </si>
  <si>
    <t>Chq# 33001230 to Anil against 100 Count Summary FMO Jul-2025</t>
  </si>
  <si>
    <t>Chq# 33001231 to Farjad Latif against 100 Count Summary FMO Jul-2025</t>
  </si>
  <si>
    <t>Chq# 33001232 to Hannan Ali against 100 Count Summary FMO Jul-2025</t>
  </si>
  <si>
    <t>Chq# 33001233 to Shahzad Bhatti against 100 Count Summary FMO Jul-2025</t>
  </si>
  <si>
    <t>Chq# 33001234 to Syed Sajid Hussain against 100 Count Summary FMO Jul-2025</t>
  </si>
  <si>
    <t>Chq# 33001235 to Umer Azeem against 100 Count Summary FMO Jul-2025</t>
  </si>
  <si>
    <t>Paid Chq# 33001236 to Anil (100 Counts of August 2025)</t>
  </si>
  <si>
    <t>Paid Chq# 33001237 to Syed Saboor Ali (100 Counts of August 2025)</t>
  </si>
  <si>
    <t>Paid Chq# 33001238 to Shahzad Bhatti (100 Counts of August 2025)</t>
  </si>
  <si>
    <t>Paid Chq# 33001239 to Hannan Ali (100 Counts of August 2025)</t>
  </si>
  <si>
    <t>Paid Chq# 33001240 to Farjad Latif (100 Counts of August 2025)</t>
  </si>
  <si>
    <t>Paid Chq# 33001241 to Syed Sajid Hussain (100 Counts of August 2025)</t>
  </si>
  <si>
    <t>Paid Chq# 33001242 to Umer Azeem(100 Counts of August 2025)</t>
  </si>
  <si>
    <t xml:space="preserve">Paid Chq # 33001243 to Tariq Shahzad against Sales Internal Incentives FMO NOV, DEC 2024 </t>
  </si>
  <si>
    <t>Paid Chq # 33001244 to Fahad Ali Khan against Sales Internal Incentives FMO APRIL, JUNE 2024</t>
  </si>
  <si>
    <t>Paid Chq # 33001245 to Islam Javed against Sales Internal Incentives FMO MARCH 2025</t>
  </si>
  <si>
    <t>Paid Chq # 33001246 to Muhammad Umer Azeem against Sales Internal Incentives FMO FEB, APRIL 2024</t>
  </si>
  <si>
    <t>Paid Chq # 33001247 to Hassan Mustafa against Sales Internal Incentives FMO JUNE, NOV 2024</t>
  </si>
  <si>
    <t>Paid Chq # 33001248 to Muhammad Shahzad Aziz Bhatti against Sales Internal Incentives FMO FEB, MARCH 2025</t>
  </si>
  <si>
    <t>Paid Chq # 33001249 to Shafqat Jaffari against Sales Internal Incentives FMO DEC 2024, APRIL 2025</t>
  </si>
  <si>
    <t>Paid Chq # 33001250 to Syed Sajid Hussain shah against Sales Internal Incentives FMO JULY  2025</t>
  </si>
  <si>
    <t>Paid Chq # 33001251 to Hannan Ali against Sales Internal Incentives FMO MARCH, APRIL 2025</t>
  </si>
  <si>
    <t>Paid Chq # 33001252 to Farhana Faisal against Sales Internal Incentives FMO JUNE 2025</t>
  </si>
  <si>
    <t>Paid Chq # 33001253 to Jehanzeb Khan against Sales Internal Incentives FMO DEC 2024, FEB 2025</t>
  </si>
  <si>
    <t>Paid Chq # 33001254 to Hassan Faroze Arfan against Sales Internal Incentives FMO JULY 2025</t>
  </si>
  <si>
    <t>Paid Chq # 33001255 to Faisal Ali against Sales Internal Incentives FMO JULY 2025</t>
  </si>
  <si>
    <t xml:space="preserve">Paid Chq # 33001256 to Tanvir Ahmad against Sales Internal Incentives FMO JULY 2025 </t>
  </si>
  <si>
    <t>Mohammad Yousuf</t>
  </si>
  <si>
    <t>Iqra khan</t>
  </si>
  <si>
    <t>Muhammad Owais Masood</t>
  </si>
  <si>
    <t>Farhana Faisal</t>
  </si>
  <si>
    <t>Jehanzeb Khan</t>
  </si>
  <si>
    <t>Muhammad Asad khan</t>
  </si>
  <si>
    <t>Zubair Shahzad</t>
  </si>
  <si>
    <t xml:space="preserve">Chq 32912295 to Hassan Faroze Arfan </t>
  </si>
  <si>
    <t xml:space="preserve">Chq 32912312 to Muhammad Owais </t>
  </si>
  <si>
    <t xml:space="preserve">Chq 33001258 to Farhana Faisal </t>
  </si>
  <si>
    <t>Chq 32912178 to MUHAMMAD ASAD KHAN (EMP ID # 10043)</t>
  </si>
  <si>
    <t xml:space="preserve">Chq 32912340 to Farhana Faisal </t>
  </si>
  <si>
    <t>Chq 32912292 to Farhana Faisal</t>
  </si>
  <si>
    <t xml:space="preserve">Chq 33001201 to Zubair Shahzad (Patel) </t>
  </si>
  <si>
    <t xml:space="preserve">Chq 32912194 to Hannan Ali </t>
  </si>
  <si>
    <t xml:space="preserve">Chq 32912177 to Mohammad Yousuf (EMP ID # 10407) </t>
  </si>
  <si>
    <t>Chq 32912180 to Muhammad Owais (EMP ID # 10571)</t>
  </si>
  <si>
    <t xml:space="preserve">Chq 32912179 to Muhammad Saif Malik (EMP ID # 10431) </t>
  </si>
  <si>
    <t>Chq 32912341 to Rahat Gul</t>
  </si>
  <si>
    <t>Chq 32912342 to Hannan Ali</t>
  </si>
  <si>
    <t xml:space="preserve">Chq 32912343 to Mohammad Yousuf </t>
  </si>
  <si>
    <t xml:space="preserve">Chq 32912320 to Rahat Gul </t>
  </si>
  <si>
    <t xml:space="preserve">Chq 32912313 to Muhammad Saif Malik </t>
  </si>
  <si>
    <t xml:space="preserve">Chq 32912308 to Farhana Faisal </t>
  </si>
  <si>
    <t xml:space="preserve">Chq 32912335 to IQRA </t>
  </si>
  <si>
    <t xml:space="preserve">Chq 32912311 to Zubair Shahzad (Patel) </t>
  </si>
  <si>
    <t>Eng#Q337442INTCOM</t>
  </si>
  <si>
    <t>Eng#1GD5343461INTCOM</t>
  </si>
  <si>
    <t>Eng#LEB-5051936INTCOM</t>
  </si>
  <si>
    <t>Eng#G3LAMP030855INTCOM</t>
  </si>
  <si>
    <t>Eng#Q051037,6R183128INTCOM</t>
  </si>
  <si>
    <t>Eng#L15A79792922EXTCOM</t>
  </si>
  <si>
    <t>Eng#JL473ZQ7NN8AH331326INTCOM</t>
  </si>
  <si>
    <t>Eng#R18Z16927870INTCOM</t>
  </si>
  <si>
    <t>Eng#6R154160INTCOM</t>
  </si>
  <si>
    <t>Eng#K12MR1031975INTCOM</t>
  </si>
  <si>
    <t>Eng#1KR2699206INTCOM</t>
  </si>
  <si>
    <t>Eng#GM14647INTCOM</t>
  </si>
  <si>
    <t>Eng#G4NAPU342804INTCOM</t>
  </si>
  <si>
    <t>Eng# L12B51011364INTCOM</t>
  </si>
  <si>
    <t>Eng#Q053847INTCOM</t>
  </si>
  <si>
    <t>Eng#8AT0822INTCOM</t>
  </si>
  <si>
    <t>Eng#K12MR1030967INTCOM</t>
  </si>
  <si>
    <t>Eng#6R355227,R18Z12933137,6R114012,ZE1-202144INTCOM</t>
  </si>
  <si>
    <t>Eng#KHI275202518INTCOM</t>
  </si>
  <si>
    <t>Syed Faraz Ahsan</t>
  </si>
  <si>
    <t>Senior Sales Executive</t>
  </si>
  <si>
    <t>Farwa Batool</t>
  </si>
  <si>
    <t xml:space="preserve">Affan Siddiqui </t>
  </si>
  <si>
    <t>Syed Rahim Ali Zaidi</t>
  </si>
  <si>
    <t>Muhammad Rohab Saleem</t>
  </si>
  <si>
    <t>IT, Administrator</t>
  </si>
  <si>
    <t>Moiz Ali</t>
  </si>
  <si>
    <t>Security, Admin Officer</t>
  </si>
  <si>
    <t>Fahad Ali</t>
  </si>
  <si>
    <t>Yousuf Khan</t>
  </si>
  <si>
    <t>Daniyal Anwar</t>
  </si>
  <si>
    <t>Khalid Hussian</t>
  </si>
  <si>
    <t>Khurram Shahbaz</t>
  </si>
  <si>
    <t>Eng # G4NAMH315758, 1KZ-0394173 EXT COM</t>
  </si>
  <si>
    <t>First time tax will be / by 11</t>
  </si>
  <si>
    <t>paid Tax - Sep</t>
  </si>
  <si>
    <t>Iftikhar Haider</t>
  </si>
  <si>
    <t>First time tax will be / by 10</t>
  </si>
  <si>
    <t>Iqra (Internal Commission)</t>
  </si>
  <si>
    <t>Jawahir Saeed (Internal Commission)</t>
  </si>
  <si>
    <t>Samuel Nawab (CRO Sept 2025)</t>
  </si>
  <si>
    <t>Syed Ayyan Ali (CRO Sept 2025)</t>
  </si>
  <si>
    <t>Dawood Boss (CRO Sept 2025)</t>
  </si>
  <si>
    <t>Alister Goden Gilbert (Sept 2025)</t>
  </si>
  <si>
    <t>Muhammad Sajeel (CRO Sept 2025)</t>
  </si>
  <si>
    <t>Matthew Aneel (CRO Sept 2025)</t>
  </si>
  <si>
    <t>Syed Muhammad Hasnain (Incentive Sept 2025)</t>
  </si>
  <si>
    <t>Iqra (Incentive Sept 2025)</t>
  </si>
  <si>
    <t>Jawahir Saeed (Incentive Sept 2025)</t>
  </si>
  <si>
    <t>Muhammad Khalid (Incentive Sept 2025)</t>
  </si>
  <si>
    <t>Moses Akhtar (Incentive Sept 2025)</t>
  </si>
  <si>
    <t>Muhammad Owais (Incentive Sept 2025)</t>
  </si>
  <si>
    <t>Muhammad Umer (Incentive Sept 2025)</t>
  </si>
  <si>
    <t>Rahat Gul (Incentive Sept 2025)</t>
  </si>
  <si>
    <t>Saba Aurangzaib (Incentive Sept 2025)</t>
  </si>
  <si>
    <t>Shahroz Domnic (Incentive Sept 2025)</t>
  </si>
  <si>
    <t>Muhammad Yousuf  (Incentive Sept 2025)</t>
  </si>
  <si>
    <t>Muhammad Huzaifa Khan (Incentive Sept 2025)</t>
  </si>
  <si>
    <t>Muhammad Sami (Incentive Sept 2025)</t>
  </si>
  <si>
    <t>Syed Zia Abid Naqvi (Incentive Sept 2025)</t>
  </si>
  <si>
    <t>Vivian Charles Paul (Incentive Sept 2025)</t>
  </si>
  <si>
    <t>Syed Amin Ud din Chishty (Incentive Sept 2025)</t>
  </si>
  <si>
    <t>Muhammad Faizan Siddique (Incentive Sept 2025)</t>
  </si>
  <si>
    <t>Muhammad Khizar Sherwani  (Incentive Sept 2025)</t>
  </si>
  <si>
    <t>Shayan (Incentive Sept 2025)</t>
  </si>
  <si>
    <t>Syed Muneeb Hussain (Incentive Sept 2025)</t>
  </si>
  <si>
    <t>Syed Saboor Ali (Incentive Sept 2025)</t>
  </si>
  <si>
    <t>Wasiq Ullah Khan  (Incentive Sept 2025)</t>
  </si>
  <si>
    <t>Muhammad Hamza (Incentive Sept 2025)</t>
  </si>
  <si>
    <t>Muhammad Umer Azeem  (ID # 10030) against 100 Counts FMO Sep-2025</t>
  </si>
  <si>
    <t>Farjad Latif (ID # 10032) against 100 Counts FMO Sep-2025</t>
  </si>
  <si>
    <t>Anil (ID # 10019) against 100 Counts FMO Sep-2025</t>
  </si>
  <si>
    <t>Muhammad Shahzad Aziz Bhatti (ID # 10063) against 100 Counts FMO Sep-2025</t>
  </si>
  <si>
    <t>Syed Sajid Hussain shah (ID # 10290) against 100 Counts FMO Sep-2025</t>
  </si>
  <si>
    <t>Jehanzeb Khan (ID # 10558) against 100 Counts FMO Sep-2025</t>
  </si>
  <si>
    <t>Hannan Ali (ID # 10391) against 100 Counts FMO Sep-2025</t>
  </si>
  <si>
    <t>Hassan Faroze Arfan (ID # 10527) against 100 Counts FMO Sep-2025</t>
  </si>
  <si>
    <t xml:space="preserve"> Abdul Ahad Ali (ID # 10606) against Incentive FMO Sep-2025  </t>
  </si>
  <si>
    <t xml:space="preserve">Raja Farjad Manzoor (ID # 10590) against Incentive FMO Sep-2025  </t>
  </si>
  <si>
    <t xml:space="preserve">Gulraiz Haider Jafri (ID # 10598) against Incentive FMO Sep-2025  </t>
  </si>
  <si>
    <t>Muhammad Huzaifa Khan (ID # 10562) against Incentive FMO Sep-2025 (Vary Amount)</t>
  </si>
  <si>
    <t xml:space="preserve">Muhammad Mustafa (ID# 10199) against Incentive FMO Sep-2025  </t>
  </si>
  <si>
    <t>Muhammad Sami (ID # 10651) against Incentive FMO Sep-2025 (Vary Amount)</t>
  </si>
  <si>
    <t xml:space="preserve">Vivian Charles Paul (ID # 10010) against Incentive FMO Sep-2025  </t>
  </si>
  <si>
    <t>Joseph Henry (CR AM Commission)</t>
  </si>
  <si>
    <t>Syed Zia Abid Naqvi  (CR AM Commission)</t>
  </si>
  <si>
    <t>paid online to anil  (CR AM Commission)</t>
  </si>
  <si>
    <t>online</t>
  </si>
  <si>
    <t>22-10-25</t>
  </si>
  <si>
    <t>21-10-25</t>
  </si>
  <si>
    <t xml:space="preserve">K12MR1032296 </t>
  </si>
  <si>
    <t>Q058261, 1KR-2679985, G4FTSU954476</t>
  </si>
  <si>
    <t xml:space="preserve">KF-G056664 </t>
  </si>
  <si>
    <t>6R362207, 6R344170, 6R301124</t>
  </si>
  <si>
    <t xml:space="preserve">X439409 </t>
  </si>
  <si>
    <t>Muhammad Sajeel</t>
  </si>
  <si>
    <t>Matthew Aneel</t>
  </si>
  <si>
    <t>Shahroz Domnic</t>
  </si>
  <si>
    <t>Syed Sajid Hussain shah</t>
  </si>
  <si>
    <t>Muhammad Arbab</t>
  </si>
  <si>
    <t>Majid Ali</t>
  </si>
  <si>
    <t>Aliza Waleed</t>
  </si>
  <si>
    <t>Warda Khan</t>
  </si>
  <si>
    <t>Kanwar Zain Shahid</t>
  </si>
  <si>
    <t xml:space="preserve">Muhammad Ramzan </t>
  </si>
  <si>
    <t>Arsalan Ali</t>
  </si>
  <si>
    <t>Rashid Qureshi</t>
  </si>
  <si>
    <t>Incremental Arrears</t>
  </si>
  <si>
    <t>First time tax will be / by 12</t>
  </si>
  <si>
    <t>Aug</t>
  </si>
  <si>
    <t>Sep</t>
  </si>
  <si>
    <t>Oct</t>
  </si>
  <si>
    <t>Resigned</t>
  </si>
  <si>
    <t>Tariq Shahzad against Sales Internal Incentives FMO NOV 23, DEC 24</t>
  </si>
  <si>
    <t>Fahad Ali Khan against Sales Internal Incentives FMO NOV 23, NOV &amp; DEC 2024</t>
  </si>
  <si>
    <t>Islam Javed against Sales Internal Incentives FMO APRIL, MAY, JUNE, JULY 2024</t>
  </si>
  <si>
    <t>Muhammad Umer Azeem against Sales Internal Incentives FMO JUNE, NOV 2024</t>
  </si>
  <si>
    <t>Hassan Mustafa against Sales Internal Incentives FMO MARCH, APRIL 2024</t>
  </si>
  <si>
    <t>Muhammad Shahzad Aziz Bhatti against Sales Internal Incentives FMO JUNE 2025</t>
  </si>
  <si>
    <t>Hannan Ali against Sales Internal Incentives FMO MAY 2025</t>
  </si>
  <si>
    <t>Farhana Faisal against Sales Internal Incentives FMO JULY 2025</t>
  </si>
  <si>
    <t>Jehanzeb Khan against Sales Internal Incentives FMO MAY 2025</t>
  </si>
  <si>
    <t>Faroze Arfan against Sales Internal Incentives FMO AUGUST 2025</t>
  </si>
  <si>
    <t>Tanvir Ahmad against Sales Internal Incentives FMO AUGUST 2025</t>
  </si>
  <si>
    <t>Internal Incentives Sales Team &amp; HOD's Incentive (From Aug-23 till Aug-25)</t>
  </si>
  <si>
    <t>Ibrar Ahmed  (Internal Commission)</t>
  </si>
  <si>
    <t>Abu Huraira (Internal Commission)</t>
  </si>
  <si>
    <t xml:space="preserve">Zaynab Mustafa </t>
  </si>
  <si>
    <t xml:space="preserve">Khizar Awan </t>
  </si>
  <si>
    <t xml:space="preserve">Uzair Ahmed Ansari </t>
  </si>
  <si>
    <t xml:space="preserve">Awaiz Jawed </t>
  </si>
  <si>
    <t xml:space="preserve">Harkas Basharat </t>
  </si>
  <si>
    <t xml:space="preserve">Jawahir Saeed </t>
  </si>
  <si>
    <t xml:space="preserve">Moses Akhtar </t>
  </si>
  <si>
    <t xml:space="preserve">Rahat Gul </t>
  </si>
  <si>
    <t xml:space="preserve">Saba Aurangzaib </t>
  </si>
  <si>
    <t xml:space="preserve">Anil </t>
  </si>
  <si>
    <t xml:space="preserve">Syed Zia Abid Naqvi </t>
  </si>
  <si>
    <t xml:space="preserve">6R294191 </t>
  </si>
  <si>
    <t xml:space="preserve">Q080825 </t>
  </si>
  <si>
    <t xml:space="preserve">Incentive to recovery &amp; collection FMO Oct-2025  </t>
  </si>
  <si>
    <t>Digital Sales Marketing Incentive FMO Oct,2025</t>
  </si>
  <si>
    <t>Installation Report Oct-2025 for 100 counts</t>
  </si>
  <si>
    <t xml:space="preserve">2A83224 </t>
  </si>
  <si>
    <t xml:space="preserve">6R371803 </t>
  </si>
  <si>
    <t>6R320612, KF-V192851, E487-130710, 1NZ-R346963</t>
  </si>
  <si>
    <t>E1197, 3802616</t>
  </si>
  <si>
    <t xml:space="preserve">Q348590 </t>
  </si>
  <si>
    <t xml:space="preserve">TC1193BR06 </t>
  </si>
  <si>
    <t xml:space="preserve">LGXCE4CB7S2217767 </t>
  </si>
  <si>
    <t>JL473ZQ7SN8AT078754,M079642</t>
  </si>
  <si>
    <t xml:space="preserve">L12B51100444 </t>
  </si>
  <si>
    <t xml:space="preserve">Z553353 </t>
  </si>
  <si>
    <t xml:space="preserve">6R348818 </t>
  </si>
  <si>
    <t xml:space="preserve">Q345932 </t>
  </si>
  <si>
    <t xml:space="preserve">TZ200XSQAD5054325 </t>
  </si>
  <si>
    <t>CRO Incentive FMO Oct, 2025</t>
  </si>
  <si>
    <t>CR AM Commission FMO Oct,2025</t>
  </si>
  <si>
    <t xml:space="preserve">Abdul Ahad Ali  Incentive to recovery &amp; collection FMO Oct-2025  </t>
  </si>
  <si>
    <t xml:space="preserve">Raja Farjaad Manzoor Incentive to recovery &amp; collection FMO Oct-2025  </t>
  </si>
  <si>
    <t xml:space="preserve">Muhammad Huzaifa Khan Incentive to recovery &amp; collection FMO Oct-2025  </t>
  </si>
  <si>
    <t xml:space="preserve">Muhammad Mustafa Incentive to recovery &amp; collection FMO Oct-2025  </t>
  </si>
  <si>
    <t xml:space="preserve">Zaynab Mustafa  Incentive to recovery &amp; collection FMO Oct-2025  </t>
  </si>
  <si>
    <t xml:space="preserve">Vivian Charles Paul Incentive to recovery &amp; collection FMO Oct-2025  </t>
  </si>
  <si>
    <t>Muhammad Faizan Siddique  Digital Sales Marketing Incentive FMO Oct,2025</t>
  </si>
  <si>
    <t>Muhammad Khizer Sherwani Digital Sales Marketing Incentive FMO Oct,2025</t>
  </si>
  <si>
    <t>Shayan  Digital Sales Marketing Incentive FMO Oct,2025</t>
  </si>
  <si>
    <t>Syed Muneeb Hussain Digital Sales Marketing Incentive FMO Oct,2025</t>
  </si>
  <si>
    <t>Syed Saboor Ali Digital Sales Marketing Incentive FMO Oct,2025</t>
  </si>
  <si>
    <t>Wasiq Ullah Khan Digital Sales Marketing Incentive FMO Oct,2025</t>
  </si>
  <si>
    <t>Syed Saboor Ali  Digital Sales Marketing Incentive FMO Oct,2025</t>
  </si>
  <si>
    <t>Muhammad Hamza Digital Sales Marketing Incentive FMO Oct,2025</t>
  </si>
  <si>
    <t>Muhammad Umer Azeem  Installation Report Oct-2025 for 100 counts</t>
  </si>
  <si>
    <t>Hannan Ali  Installation Report Oct-2025 for 100 counts</t>
  </si>
  <si>
    <t>Syed Sajid Hussain  Installation Report Oct-2025 for 100 counts</t>
  </si>
  <si>
    <t>Farjad Latif  Installation Report Oct-2025 for 100 counts</t>
  </si>
  <si>
    <t>Muhammad Shahzad Aziz Bhatti Installation Report Oct-2025 for 100 counts</t>
  </si>
  <si>
    <t xml:space="preserve">Farhana Faisal (Internal Commission) 2A83224 </t>
  </si>
  <si>
    <t xml:space="preserve">Farhana Faisal (Internal Commission) 6R371803 </t>
  </si>
  <si>
    <t>Farhana Faisal (Internal Commission) 6R320612, KF-V192851, E487-130710, 1NZ-R346963</t>
  </si>
  <si>
    <t>Iqra (Internal Commission) E1197, 3802616</t>
  </si>
  <si>
    <t xml:space="preserve">Rahat Gul (Internal Commission) Q348590 </t>
  </si>
  <si>
    <t xml:space="preserve">Muhammad Owais (Internal Commission) TC1193BR06 </t>
  </si>
  <si>
    <t xml:space="preserve">Syed Aminuddine Chishty (Internal Commission) LGXCE4CB7S2217767 </t>
  </si>
  <si>
    <t>Syed Muhamamd Hasnain (Internal Commission) JL473ZQ7SN8AT078754,M079642</t>
  </si>
  <si>
    <t xml:space="preserve">Muhammad Yousuf  (Internal Commission) L12B51100444 </t>
  </si>
  <si>
    <t xml:space="preserve">Rahat Gul (Internal Commission) Z553353 </t>
  </si>
  <si>
    <t xml:space="preserve">Iqra (Internal Commission) 6R348818 </t>
  </si>
  <si>
    <t xml:space="preserve">Syed Muhammad Hasnain (Internal Commission) Q345932 </t>
  </si>
  <si>
    <t>Muhammad Yousuf (Internal Commission) 503010</t>
  </si>
  <si>
    <t>Muhammad Omer (Internal Commission) 93445606</t>
  </si>
  <si>
    <t xml:space="preserve">Moses Akhtar (Internal Commission) TZ200XSQAD5054325 </t>
  </si>
  <si>
    <t>Khizar Awan  CRO Incentive FMO Oct, 2025</t>
  </si>
  <si>
    <t>Uzair Ahmed Ansari  CRO Incentive FMO Oct, 2025</t>
  </si>
  <si>
    <t>Awaiz Jawed  CRO Incentive FMO Oct, 2025</t>
  </si>
  <si>
    <t>Harkas Basharat  CRO Incentive FMO Oct, 2025</t>
  </si>
  <si>
    <t>Rimarrio Shahzad CRO Incentive FMO Oct, 2025</t>
  </si>
  <si>
    <t>Muhammad Ayan Ateeb CRO Incentive FMO Oct, 2025</t>
  </si>
  <si>
    <t xml:space="preserve">Syed Amin Ud din Chishty (R&amp;C Oct 2025) Incentive to recovery &amp; collection FMO Oct-2025  </t>
  </si>
  <si>
    <t xml:space="preserve">Syed Muhammad Hasnain  Incentive to recovery &amp; collection FMO Oct-2025  </t>
  </si>
  <si>
    <t xml:space="preserve">Iqra Incentive to recovery &amp; collection FMO Oct-2025  </t>
  </si>
  <si>
    <t xml:space="preserve">Jawahir Saeed  Incentive to recovery &amp; collection FMO Oct-2025  </t>
  </si>
  <si>
    <t xml:space="preserve">Muhammad Khalid Incentive to recovery &amp; collection FMO Oct-2025  </t>
  </si>
  <si>
    <t xml:space="preserve">Moses Akhtar  Incentive to recovery &amp; collection FMO Oct-2025  </t>
  </si>
  <si>
    <t xml:space="preserve">Muhammad Owais Incentive to recovery &amp; collection FMO Oct-2025  </t>
  </si>
  <si>
    <t xml:space="preserve">Muhammad Omer  Incentive to recovery &amp; collection FMO Oct-2025  </t>
  </si>
  <si>
    <t xml:space="preserve">Rahat Gul  Incentive to recovery &amp; collection FMO Oct-2025  </t>
  </si>
  <si>
    <t xml:space="preserve">Saba Aurangzaib  Incentive to recovery &amp; collection FMO Oct-2025  </t>
  </si>
  <si>
    <t xml:space="preserve">Muhammad Saif Malik Incentive to recovery &amp; collection FMO Oct-2025  </t>
  </si>
  <si>
    <t xml:space="preserve">Shahzor Domnic Incentive to recovery &amp; collection FMO Oct-2025  </t>
  </si>
  <si>
    <t xml:space="preserve">Muhammad Yousuf Incentive to recovery &amp; collection FMO Oct-2025  </t>
  </si>
  <si>
    <t xml:space="preserve">Syed Zia Abid Naqvi Incentive to recovery &amp; collection FMO Oct-2025  </t>
  </si>
  <si>
    <t>Anil Installation Report Oct-2025 for 100 counts</t>
  </si>
  <si>
    <t>Anil  CR AM Commission FMO Oct,2025</t>
  </si>
  <si>
    <t>Joseph Henry CR AM Commission FMO Oct,2025</t>
  </si>
  <si>
    <t>Syed Zia Abid Naqvi  CR AM Commission FMO Oct,2025</t>
  </si>
  <si>
    <t>Fiza Sheikh</t>
  </si>
  <si>
    <t>Ibad</t>
  </si>
  <si>
    <t>Saddam Ali</t>
  </si>
  <si>
    <t>Tanveer Ali</t>
  </si>
  <si>
    <t>Lezlee</t>
  </si>
  <si>
    <t>Faraz Naseem</t>
  </si>
  <si>
    <t>Waseem Tariq</t>
  </si>
  <si>
    <t>Muhammad Sameer</t>
  </si>
  <si>
    <t>Mirza Umair Baig</t>
  </si>
  <si>
    <t>Khanpur</t>
  </si>
  <si>
    <t>paid Tax - oct</t>
  </si>
  <si>
    <t>First time tax will be / by 9</t>
  </si>
  <si>
    <t>Nov</t>
  </si>
  <si>
    <t>Paid Chq # 33067267 to Muhammad Umer Azeem (ID # 10030) as a Reward for his outstanding performance in October 2025.</t>
  </si>
  <si>
    <t>Paid Chq # 00220954 to Hassan Faroze Arfan against Sales Internal Incentives FMO Oct, 25</t>
  </si>
  <si>
    <t>Paid Chq # 00220955 to Syed Muhammad Rahat Ali against Sales Internal Incentives FMO Oct, 25</t>
  </si>
  <si>
    <t>Paid Chq # 00220956 to Syed Faraz Ahsan against Sales Internal Incentives FMO Oct, 25</t>
  </si>
  <si>
    <t>Paid Chq # 00220957 to Tanvir Ahmad against Sales Internal Incentives FMO Oct, 25</t>
  </si>
  <si>
    <t>Paid Cheque # 33274599 to Muhammad Faizan Siddiqui (ID 10587) against Digital Sales Marketing Incentive FMO Nov,2025</t>
  </si>
  <si>
    <t>Paid Cheque # 33274600 to Muhammad Khizar Sherwani (ID 10597) against Digital Sales Marketing Incentive FMO Nov,2025</t>
  </si>
  <si>
    <t>Paid Cheque # 33274601 to Shayan (ID 10605) against Digital Sales Marketing Incentive FMO Nov,2025</t>
  </si>
  <si>
    <t>Paid Cheque # 33274602 to Syed Muneeb Hussain (ID 10505) against Digital Sales Marketing Incentive FMO Nov,2025</t>
  </si>
  <si>
    <t>Paid Cheque # 33274603 to Syed Saboor Ali (ID 10419) against Digital Sales Marketing Incentive FMO Nov,2025</t>
  </si>
  <si>
    <t>Paid Cheque # 33274604 to Warda Khan against Digital Sales Marketing Incentive FMO Nov,2025</t>
  </si>
  <si>
    <t>Paid Cheque # 33274605 to Wasiq Ullah Khan (ID 10573) against Digital Sales Marketing Incentive FMO Nov,2025</t>
  </si>
  <si>
    <t>Paid Cheque # 33274606 to Syed Saboor Ali (ID 10419) Team Lead against Digital Sales Marketing Incentive FMO Nov,2025</t>
  </si>
  <si>
    <t>Paid Cheque # 33274607 to Muhammad Hamza (ID 10636) against Team Lead against Digital Sales Marketing Incentive FMO Nov,2025</t>
  </si>
  <si>
    <t>Paid Cheque# 33274698 to Muhammad Shakir (ID 10020) against Supervisor of the Month Nov, 2025</t>
  </si>
  <si>
    <t>Paid Cheque# 33274699 to Uzair Ahmed Ansari (ID 10554) against CRO 1st Employee Incentive FMO Nov, 2025</t>
  </si>
  <si>
    <t>Paid Cheque# 33274700 to Dawood Bose (ID 10533) against CRO 2nd Employee Incentive FMO Nov, 2025</t>
  </si>
  <si>
    <t>Paid Cheque# 33274701 to Yashdial (ID 10437) against CRO 3rd Employee Incentive FMO Nov, 2025</t>
  </si>
  <si>
    <t>Paid Cheque# 33274702 to Muhammad Nafay (ID 10460) against CRO Employee Incentive FMO Nov, 2025</t>
  </si>
  <si>
    <t>Paid Cheque# 33274703 to Syed Ayyan Ali (ID 10239) against CRO Employee Incentive FMO Nov, 2025</t>
  </si>
  <si>
    <t>Paid Chq # 33274588 to Islam Javed against Sales Internal Incentives FMO AUG, OCT, DEC 2024</t>
  </si>
  <si>
    <t xml:space="preserve">Paid Chq # 33274589 to Muhammad Umer Azeem against Sales Internal Incentives FMO DEC 2024, FEB 2025 </t>
  </si>
  <si>
    <t>Paid Chq # 33274590 to Muhammad Shahzad Aziz Bhatti against Sales Internal Incentives FMO AUG 2025</t>
  </si>
  <si>
    <t>Paid Chq # 33274591 to Syed Sajid Hussain shah against Sales Internal Incentives FMO AUG, SEP 2025</t>
  </si>
  <si>
    <t>Paid Chq # 33274592 to Hannan Ali against Sales Internal Incentives FMO JULY 2025</t>
  </si>
  <si>
    <t>Paid Chq # 33274593 to Faisal Ali against Sales Internal Incentives FMO AUG 2025</t>
  </si>
  <si>
    <t>Paid Chq # 33274594 to Syed Rahat Ali against Sales Internal Incentives FMO SEP 2025</t>
  </si>
  <si>
    <t>Paid Chq # 33274595 to Tanvir Ahmad against Sales Internal Incentives FMO SEP 2025</t>
  </si>
  <si>
    <t>Chq # 33274596 to Anil (ID 10019) against CR AM Commission FMO Nov,2025</t>
  </si>
  <si>
    <t>Chq # 33274597 to Joseph Henry (ID 10018) against CR AM Commission FMO Nov,2025</t>
  </si>
  <si>
    <t>Chq # 33274598 to to Syed Zia Abid Naqvi (ID 10015) against CR AM Commission FMO Nov,2025</t>
  </si>
  <si>
    <t>Paid Cheque # 33274636 to Hannan Ali (ID # 10391) against 100 Counts FMO Nov-2025</t>
  </si>
  <si>
    <t>Paid Cheque # 33274637 to Muhammad Umer Azeem (ID # 10030) Azeem against 100 Counts FMO Nov-2025</t>
  </si>
  <si>
    <t>Paid Cheque # 33274638 to Muhammad Shahzad Aziz Bhatti (ID # 10063) against 100 Counts FMO Nov-2025</t>
  </si>
  <si>
    <t>Paid Cheque # 33274639 to Farjad Latif (ID # 10032) against 100 Counts FMO Nov-2025</t>
  </si>
  <si>
    <t>Paid Cheque # 33274640 to Syed Saboor Ali (ID # 10419) against 100 Counts FMO Nov-2025</t>
  </si>
  <si>
    <t>Paid Cheque # 33274641 to Syed Sajid Hussain shah (ID # 10290) against 100 Counts FMO Nov-2025</t>
  </si>
  <si>
    <t>Paid Cheque # 33274642 to Hassan Faroze Arfan (ID # 10527) against 100 Counts FMO Nov-2025</t>
  </si>
  <si>
    <t>Paid Cheque # 33274643 to Anil (ID # 10019) against 100 Counts FMO Nov-2025</t>
  </si>
  <si>
    <t>Paid Chq # 33274608 to Syed Amin Uddin Chishty against Incentive to recovary &amp; collection FMO Nov,25</t>
  </si>
  <si>
    <t>Paid Chq # 33274609 to Syed Muhammad Hasnain against Incentive to recovary &amp; collection FMO Nov,25</t>
  </si>
  <si>
    <t>Paid Chq # 33274610 to Iqra against Incentive to recovary &amp; collection FMO Nov,25</t>
  </si>
  <si>
    <t>Paid Chq # 33274611 to Jawahir Saeed against Incentive to recovary &amp; collection FMO Nov,25</t>
  </si>
  <si>
    <t>Paid Chq # 33274612 to Muhammad Khalid against Incentive to recovary &amp; collection FMO Nov,25</t>
  </si>
  <si>
    <t>Paid Chq # 33274613 to Moses Akhtar against Incentive to recovary &amp; collection FMO Nov,25</t>
  </si>
  <si>
    <t>Paid Chq # 33274614 to Muhammad Owais against Incentive to recovary &amp; collection FMO Nov,25</t>
  </si>
  <si>
    <t>Paid Chq # 33274615 to Muhammad Umer against Incentive to recovary &amp; collection FMO Nov,25</t>
  </si>
  <si>
    <t>Paid Chq # 33274616 to Rahat Gul against Incentive to recovary &amp; collection FMO Nov,25</t>
  </si>
  <si>
    <t>Paid Chq # 33274617 to Saba Aurangzaib against Incentive to recovary &amp; collection FMO Nov,25</t>
  </si>
  <si>
    <t>Paid Chq # 33274618 to Muhammad Saif Malik against Incentive to recovary &amp; collection FMO Nov,25</t>
  </si>
  <si>
    <t>Paid Chq # 33274619 to Shahzor Domnic against Incentive to recovary &amp; collection FMO Nov,25</t>
  </si>
  <si>
    <t>Paid Chq # 33274620 to Mohammad Yousuf against Incentive to recovary &amp; collection FMO Nov,25</t>
  </si>
  <si>
    <t>Paid Chq # 33274621 to Abdul Ahad Ali against Incentive to recovary &amp; collection FMO Nov,25</t>
  </si>
  <si>
    <t>Paid Chq # 33274622 to Raja Farjad Manzoor against Incentive to recovary &amp; collection FMO Nov,25</t>
  </si>
  <si>
    <t>Paid Chq # 33274623 to Muhammad Huzaifa Khan against Incentive to recovary &amp; collection FMO Nov,25</t>
  </si>
  <si>
    <t>Paid Chq # 33274624 to Muhammad Sami against Incentive to recovary &amp; collection FMO Nov,25</t>
  </si>
  <si>
    <t>Paid Chq # 33274625 to Zaynab Mustafa against Incentive to recovary &amp; collection FMO Nov,25</t>
  </si>
  <si>
    <t>Paid Chq # 33274626 to Syed Zia Abid Naqvi against Incentive to recovary &amp; collection FMO Nov,25</t>
  </si>
  <si>
    <t>Paid Chq # 33274627 to Vivian Charles Paul against Incentive to recovary &amp; collection FMO Nov,25</t>
  </si>
  <si>
    <t>Reward</t>
  </si>
  <si>
    <t>Fresh</t>
  </si>
  <si>
    <t>Digital Marketing</t>
  </si>
  <si>
    <t>CRO's</t>
  </si>
  <si>
    <t xml:space="preserve">Fresh </t>
  </si>
  <si>
    <t xml:space="preserve">Direct Sales </t>
  </si>
  <si>
    <t>100 Count</t>
  </si>
  <si>
    <t>Recovary Collection</t>
  </si>
  <si>
    <t>Syed Muhammad Hasnain (Interenal commission)</t>
  </si>
  <si>
    <t>WASEEM GILL (Internal commission)</t>
  </si>
  <si>
    <t>Muhammad Umer (Internal commission)</t>
  </si>
  <si>
    <t>Farhana Faisal (Internal commission)</t>
  </si>
  <si>
    <t>Iqra (Internal commission)</t>
  </si>
  <si>
    <t>Mohammad Yousuf (Internal commission)</t>
  </si>
  <si>
    <t>Muhammad Hassan Aslam (Internal commission)</t>
  </si>
  <si>
    <t>Muhammad Owais (Internal commission)</t>
  </si>
  <si>
    <t>Saba Aurangzaib (Internal commission)</t>
  </si>
  <si>
    <t>IQRA (Internal commission)</t>
  </si>
  <si>
    <t>Syed Amin Uddin Chishty (Internal commission)</t>
  </si>
  <si>
    <t>S4128583, JL473QS30C506353, 6R126742</t>
  </si>
  <si>
    <t>JL473QFN3CAD504824</t>
  </si>
  <si>
    <t>R06A-C471400</t>
  </si>
  <si>
    <t>K12MR1034566</t>
  </si>
  <si>
    <t xml:space="preserve">R18Z12913938 </t>
  </si>
  <si>
    <t>6R194458, BYD476ZQFT25047121, L15A79789536</t>
  </si>
  <si>
    <t xml:space="preserve">R18Z13743182 </t>
  </si>
  <si>
    <t xml:space="preserve">Q341030 </t>
  </si>
  <si>
    <t xml:space="preserve">1GD5082605 </t>
  </si>
  <si>
    <t>Q376093, LEE188272</t>
  </si>
  <si>
    <t xml:space="preserve">1KR-0243863 </t>
  </si>
  <si>
    <t>4924021, 1UR-0705233</t>
  </si>
  <si>
    <t>D4BB6310574, KF-W065003, 2TRA624688, 1GD5003291, PKB706599</t>
  </si>
  <si>
    <t>JL473QR30C503080, ARU-567</t>
  </si>
  <si>
    <t xml:space="preserve"> Amount </t>
  </si>
  <si>
    <t xml:space="preserve"> Hassan Faroze Arfan</t>
  </si>
  <si>
    <t>Syed Ayyan ali</t>
  </si>
  <si>
    <t>Shahzor Donmic</t>
  </si>
  <si>
    <t>Abdul Ahad ali</t>
  </si>
  <si>
    <t>Waseem Gill</t>
  </si>
  <si>
    <t>Muhammad Arbaz Khan</t>
  </si>
  <si>
    <t>Lawrance</t>
  </si>
  <si>
    <t>Muhammad Arbaz Khan (10366) top performer technical department FMO Nov, 2025 (Rank # 01)</t>
  </si>
  <si>
    <t>Muhammad Ayub Khan (10631) top performer technical department FMO Nov, 2025 (Rank # 02)</t>
  </si>
  <si>
    <t>Lawrence (10434) top performer technical department FMO Nov, 2025 (Rank # 03)</t>
  </si>
  <si>
    <t>Mohsin Raza top performer technical department FMO Oct , 2025 (Rank # 01)</t>
  </si>
  <si>
    <t>Muhammad Arbaz Khan (10366) top performer technical department FMO Oct, 2025 (Rank # 02)</t>
  </si>
  <si>
    <t>Muhammad Ayub Khan (10631)top performer technical department FMO Oct, 2025 (Rank # 03)</t>
  </si>
  <si>
    <t>Obaidullah</t>
  </si>
  <si>
    <t xml:space="preserve">Abdul Sameer </t>
  </si>
  <si>
    <t>Fahim Ayoob</t>
  </si>
  <si>
    <t>Sheeraz Mehdi</t>
  </si>
  <si>
    <t>Muhammad Zia</t>
  </si>
  <si>
    <t xml:space="preserve">Syed Hamza Ali Kazmi </t>
  </si>
  <si>
    <t>Danish Nadeem</t>
  </si>
  <si>
    <t>Nazra Nazar</t>
  </si>
  <si>
    <t xml:space="preserve">Control Room </t>
  </si>
  <si>
    <t>paid Tax - Nov</t>
  </si>
  <si>
    <t>First time tax will be / by 8</t>
  </si>
  <si>
    <t>Peshawar</t>
  </si>
  <si>
    <t>Shakir Ullah</t>
  </si>
  <si>
    <t>Muhammad Hassan</t>
  </si>
  <si>
    <t>Bahawalpur</t>
  </si>
  <si>
    <t>Muhammad Suleman</t>
  </si>
  <si>
    <t>Imran Younis</t>
  </si>
  <si>
    <t>Abdul Aleem Mughal</t>
  </si>
  <si>
    <t>Khawar Nasir Ali</t>
  </si>
  <si>
    <t>Muhammad Shehraz</t>
  </si>
  <si>
    <t>Sania Mehboob</t>
  </si>
  <si>
    <t>MTO, Marketing</t>
  </si>
  <si>
    <t>RAHAT GUL (Internal Com)</t>
  </si>
  <si>
    <t>MUHAMMAD SAIF MALIK (Internal Com)</t>
  </si>
  <si>
    <t>TANVEER AHMAD (Vary Amount Incentive FMO Oct, 25)</t>
  </si>
  <si>
    <t>RAHAT GUL (Int Com)</t>
  </si>
  <si>
    <t>MUHAMMAD SAIF MALIK  (Int Com)</t>
  </si>
  <si>
    <t>SYED ASAD RAZA (CRO Incentive FMO Dec,25)</t>
  </si>
  <si>
    <t>ALISTER GODEN GILBERT (CRO Incentive FMO Dec,25)</t>
  </si>
  <si>
    <t>MUHAMMAD FARHAN (CRO Incentive FMO Dec,25)</t>
  </si>
  <si>
    <t>YASHDIAL (CRO Incentive FMO Dec,25)</t>
  </si>
  <si>
    <t>AWAIZ JAVED (CRO Incentive FMO Dec,25)</t>
  </si>
  <si>
    <t>ALISHBA JAVED (CRO Incentive FMO Dec,25)</t>
  </si>
  <si>
    <t>MUHAMMAD FAIZAN SIDDIQUI (Digital Sales Marketing Incentive FMO Dec,2025)</t>
  </si>
  <si>
    <t>MUHAMMAD KHIZAR SHERWANI (Digital Sales Marketing Incentive FMO Dec,2025)</t>
  </si>
  <si>
    <t>SHAYAN (Digital Sales Marketing Incentive FMO Dec,2025)</t>
  </si>
  <si>
    <t>SYED MUNEEB HUSSAIN (Digital Sales Marketing Incentive FMO Dec,2025)</t>
  </si>
  <si>
    <t>SYED SABOOR ALI (Digital Sales Marketing Incentive FMO Dec,2025)</t>
  </si>
  <si>
    <t>WASIQ ULLAH KHAN (Digital Sales Marketing Incentive FMO Dec,2025)</t>
  </si>
  <si>
    <t>SYED SABOOR ALI (Against Team Lead Digital Sales Marketing Incentive FMO Dec,2025)</t>
  </si>
  <si>
    <t>MUHAMMAD HAMZA (Against Team Lead Digital Sales Marketing Incentive FMO Dec,2025)</t>
  </si>
  <si>
    <t>SYED AMIN UDDIN CHISHTY (Incentive to Recovery &amp; Collection FMO Dec,25)</t>
  </si>
  <si>
    <t>SYED MUHAMMAD HASNAIN (Incentive to Recovery &amp; Collection FMO Nov,25)</t>
  </si>
  <si>
    <t>IQRA (Incentive to Recovery &amp; Collection FMO Nov,25)</t>
  </si>
  <si>
    <t>JAWAHIR SAEED (Incentive to Recovery &amp; Collection FMO Nov,25)</t>
  </si>
  <si>
    <t>MUHAMMAD KHALID (Incentive to Recovery &amp; Collection FMO Nov,25)</t>
  </si>
  <si>
    <t>MOSES AKHTAR (Incentive to Recovery &amp; Collection FMO Nov,25)</t>
  </si>
  <si>
    <t>MUHAMMAD OWAIS (Incentive to Recovery &amp; Collection FMO Nov,25)</t>
  </si>
  <si>
    <t>MUHAMMAD UMER  (Incentive to Recovery &amp; Collection FMO Nov,25)</t>
  </si>
  <si>
    <t>RAHAT GUL (Incentive to Recovery &amp; Collection FMO Nov,25)</t>
  </si>
  <si>
    <t>SABA AURANGZAIB (Incentive to Recovery &amp; Collection FMO Nov,25)</t>
  </si>
  <si>
    <t>MUHAMMAD SAIF MALIK (Incentive to Recovery &amp; Collection FMO Nov,25)</t>
  </si>
  <si>
    <t>SHAHROZ DOMNIC (Incentive to Recovery &amp; Collection FMO Nov,25)</t>
  </si>
  <si>
    <t>MUHAMMAD WASEEM TARIQ  (Incentive to Recovery &amp; Collection FMO Dec,25)</t>
  </si>
  <si>
    <t>MOHAMMAD YOUSUF (Incentive to Recovery &amp; Collection FMO Nov,25)</t>
  </si>
  <si>
    <t>ABDUL AHAD ALI (Incentive to Recovery &amp; Collection FMO Nov,25)</t>
  </si>
  <si>
    <t>ALIZA WALEED (Incentive to Recovery &amp; Collection FMO Dec,25)</t>
  </si>
  <si>
    <t>FIZA SHEIKH (Incentive to Recovery &amp; Collection FMO Dec,25)</t>
  </si>
  <si>
    <t>MUHAMMAD HUZAIFA KHAN (Incentive to Recovery &amp; Collection FMO Nov,25)</t>
  </si>
  <si>
    <t>MUHAMMAD MUSTAFA (Incentive to Recovery &amp; Collection FMO Nov,25)</t>
  </si>
  <si>
    <t>MUHAMMAD SAMI (Incentive to Recovery &amp; Collection FMO Nov,25)</t>
  </si>
  <si>
    <t>SYED ZIA ABID NAQVI (Incentive to Recovery &amp; Collection FMO Nov,25)</t>
  </si>
  <si>
    <t>VIVIAN CHARLES PAUL (Incentive to Recovery &amp; Collection FMO Nov,25)</t>
  </si>
  <si>
    <t>FARJAD LATIF (100 Count FMO Dec,25)</t>
  </si>
  <si>
    <t>MUHAMMAD UMER AZEEM (100 Count FMO Dec,25)</t>
  </si>
  <si>
    <t>ANIL (100 Count FMO Dec,25)</t>
  </si>
  <si>
    <t>JEHANZEB KHAN (100 Count FMO Dec,25)</t>
  </si>
  <si>
    <t>HASSAN MUSTAFA (100 Count FMO Dec,25)</t>
  </si>
  <si>
    <t>HANNAN ALI (100 Count FMO Dec,25)</t>
  </si>
  <si>
    <t>SYED SHAHZAD AZIZ BHATTI (100 Count FMO Dec,25)</t>
  </si>
  <si>
    <t>SYED SAJID HUSSAIN SHAH (100 Count FMO Dec,25)</t>
  </si>
  <si>
    <t xml:space="preserve">6R225506 </t>
  </si>
  <si>
    <t xml:space="preserve">6R256546 </t>
  </si>
  <si>
    <t>R18Z12914597,57034</t>
  </si>
  <si>
    <t>Muhammad Waseem Tariq </t>
  </si>
  <si>
    <t>Muhammad Umer Ilyas</t>
  </si>
  <si>
    <t>UMAIR KHAN (Top performer 1st position)</t>
  </si>
  <si>
    <t>MUHAMMAD AYUB KHAN (Top performer 2nd position)</t>
  </si>
  <si>
    <t>MUHAMMAD ARBAZ KHAN (Top performer 3rd position)</t>
  </si>
  <si>
    <t>Umair Khan</t>
  </si>
  <si>
    <t>Muhammad ayub Khan</t>
  </si>
  <si>
    <t>Jamila Attaria</t>
  </si>
  <si>
    <t>Muhammad Hussain Ali</t>
  </si>
  <si>
    <t xml:space="preserve">Abu Hurraira Jadoon </t>
  </si>
  <si>
    <t>Shahzaib Ahmad</t>
  </si>
  <si>
    <t>Muhammad Umar</t>
  </si>
  <si>
    <t>Muhammad Noman Shahzad</t>
  </si>
  <si>
    <t>Accoucts &amp; Finance</t>
  </si>
  <si>
    <t>paid Tax - Dec</t>
  </si>
  <si>
    <t>First time tax will be / by 7</t>
  </si>
  <si>
    <t>Agha Muhammad Jaffar</t>
  </si>
  <si>
    <t>Muhammad Agha Jaffar</t>
  </si>
  <si>
    <t>Muhammad agha jaffar</t>
  </si>
  <si>
    <t>Muhammad agha Jaffar</t>
  </si>
  <si>
    <t>Commission against Jun, Aug, Sep &amp; Oct (Hannan Ali)</t>
  </si>
  <si>
    <t>Onilne</t>
  </si>
  <si>
    <t>Anam Sabir</t>
  </si>
  <si>
    <t>Ruqqaya Azad</t>
  </si>
  <si>
    <t>Mihir</t>
  </si>
  <si>
    <t>TDD Support Executive  </t>
  </si>
  <si>
    <t>Control Room</t>
  </si>
  <si>
    <t xml:space="preserve">Direct sales Commission </t>
  </si>
  <si>
    <t>VIVIAN CHARLES PAUL (Internal Com)</t>
  </si>
  <si>
    <t xml:space="preserve">JAWAHIR SAEED (Internal Com) </t>
  </si>
  <si>
    <t>FARHANA FAISAL (Internal Com)</t>
  </si>
  <si>
    <t>MUHAMMAD OWAIS (Internal Com)</t>
  </si>
  <si>
    <t>SYED FARAZ AHSAN (Internal Com)</t>
  </si>
  <si>
    <t>AKHTER (Internal Com)</t>
  </si>
  <si>
    <t>SYED MUHAMMAD HASNAIN (Internal Com)</t>
  </si>
  <si>
    <t>KHIZAR AWAN (CROs Incentive FMO Jan, 2026)</t>
  </si>
  <si>
    <t>MUHAMMAD USMAN (CROs Incentive FMO Jan, 2026)</t>
  </si>
  <si>
    <t>SHEERAZ MEHDI (CROs Incentive FMO Jan, 2026)</t>
  </si>
  <si>
    <t>MUHAMMAD FARHAN (CROs Incentive FMO Jan, 2026)</t>
  </si>
  <si>
    <t>ABDUL SAMAD KHAN (CROs Incentive FMO Jan, 2026)</t>
  </si>
  <si>
    <t>ALVIS BAINJO (CROs Incentive FMO Jan, 2026)</t>
  </si>
  <si>
    <t>FARHANA FAISAL (100 Count FMO Jan,26)</t>
  </si>
  <si>
    <t>HASSAN ARFAN (100 Count FMO Jan,26)</t>
  </si>
  <si>
    <t>ANIL (100 Count FMO Jan,26)</t>
  </si>
  <si>
    <t>SYED SABOOR ALI (100 Count FMO Jan,26)</t>
  </si>
  <si>
    <t>HASSAN MUSTAFA (100 Count FMO Jan,26)</t>
  </si>
  <si>
    <t>SHAHZAD BHATTI (100 Count FMO Jan,26)</t>
  </si>
  <si>
    <t>SYED SAJID HUSSAIN SHAH (100 Count FMO Jan,26)</t>
  </si>
  <si>
    <t>FARJAD LATIF (100 Count FMO Jan,26)</t>
  </si>
  <si>
    <t>HANNAN ALI (100 Count FMO Jan,26)</t>
  </si>
  <si>
    <t>UMER AZEEM (100 Count FMO Jan,26)</t>
  </si>
  <si>
    <t>AGHA MUHAMMAD JAFFER (Rec &amp; Collection Incentive FMO Jan,26)</t>
  </si>
  <si>
    <t>SYED MUHAMMAD HASNAIN (Rec &amp; Collection Incentive FMO Jan,26)</t>
  </si>
  <si>
    <t>IQRA (Rec &amp; Collection Incentive FMO Jan,26)</t>
  </si>
  <si>
    <t>JAWAHIR SAEED (Rec &amp; Collection Incentive FMO Jan,26)</t>
  </si>
  <si>
    <t>MUHAMMAD KHALID (Rec &amp; Collection Incentive FMO Jan,26)</t>
  </si>
  <si>
    <t>MOSES AKHTAR (Rec &amp; Collection Incentive FMO Jan,26)</t>
  </si>
  <si>
    <t>MUHAMMAD OWAIS (Rec &amp; Collection Incentive FMO Jan,26)</t>
  </si>
  <si>
    <t>MUHAMMAD UMER (Rec &amp; Collection Incentive FMO Jan,26)</t>
  </si>
  <si>
    <t>RAHAT GUL (Rec &amp; Collection Incentive FMO Jan,26)</t>
  </si>
  <si>
    <t>SABA AURANGZAIB (Rec &amp; Collection Incentive FMO Jan,26)</t>
  </si>
  <si>
    <t>MUHAMMAD SAIF MALIK (Rec &amp; Collection Incentive FMO Jan,26)</t>
  </si>
  <si>
    <t>SHAHZOR DOMNIC (Rec &amp; Collection Incentive FMO Jan,26)</t>
  </si>
  <si>
    <t>MUHAMMAD WASEEM TARIQ (Rec &amp; Collection Incentive FMO Jan,26)</t>
  </si>
  <si>
    <t>MOHAMMAD YOUSUF (Rec &amp; Collection Incentive FMO Jan,26)</t>
  </si>
  <si>
    <t>ABDUL AHAD ALI (Rec &amp; Collection Incentive FMO Jan,26)</t>
  </si>
  <si>
    <t>ALIZA WALEED (Rec &amp; Collection Incentive FMO Jan,26)</t>
  </si>
  <si>
    <t>RAJA FARJAD MANZOOR (Rec &amp; Collection Incentive FMO Jan,26)</t>
  </si>
  <si>
    <t>FIZA SHEIKH (Rec &amp; Collection Incentive FMO Jan,26)</t>
  </si>
  <si>
    <t>MUHAMMAD HUZAIFA KHAN (Rec &amp; Collection Incentive FMO Jan,26)</t>
  </si>
  <si>
    <t>MUHAMMAD MUSTAFA (Rec &amp; Collection Incentive FMO Jan,26)</t>
  </si>
  <si>
    <t>ZAYNAB MUSTAFA (Rec &amp; Collection Incentive FMO Jan,26)</t>
  </si>
  <si>
    <t>SYED ZIA ABID NAQVI (Rec &amp; Collection Incentive FMO Jan,26)</t>
  </si>
  <si>
    <t>VIVIAN CHARLES PAUL (Rec &amp; Collection Incentive FMO Jan,26)</t>
  </si>
  <si>
    <t>MUHAMMAD FAIZAN SIDDIQUI (Digital Sales &amp; Marketing Incentive FMO Jan,26)</t>
  </si>
  <si>
    <t>MUHAMMAD KHIZAR SHERWANI (Digital Sales &amp; Marketing Incentive FMO Jan,26)</t>
  </si>
  <si>
    <t>SHAYAN (Digital Sales &amp; Marketing Incentive FMO Jan,26)</t>
  </si>
  <si>
    <t>SYED MUNEEB HUSSAIN (Digital Sales &amp; Marketing Incentive FMO Jan,26)</t>
  </si>
  <si>
    <t>SYED SABOOR ALI (Digital Sales &amp; Marketing Incentive FMO Jan,26)</t>
  </si>
  <si>
    <t>WASIQ ULLAH JAVED (Digital Sales &amp; Marketing Incentive FMO Jan,26)</t>
  </si>
  <si>
    <t>SYED SABOOR ALI (Team Lead Digital Sales &amp; Marketing Incentive FMO Jan,26)</t>
  </si>
  <si>
    <t>MUHAMMAD HAMZA (Team Lead Digital Sales &amp; Marketing Incentive FMO Jan,26)</t>
  </si>
  <si>
    <t>MUHAMMAD FAIZAN SIDDIQUI (Digital Sales &amp; Marketing Incentive for Previous Month)</t>
  </si>
  <si>
    <t>SYED MUNEEB HUSSAIN (Digital Sales &amp; Marketing Incentive for Previous Month)</t>
  </si>
  <si>
    <t>VIVIAN CHARLES PAUL</t>
  </si>
  <si>
    <t xml:space="preserve">JAWAHIR SAEED </t>
  </si>
  <si>
    <t>FARHANA FAISAL</t>
  </si>
  <si>
    <t>MUHAMMAD OWAIS</t>
  </si>
  <si>
    <t>SYED FARAZ AHSAN</t>
  </si>
  <si>
    <t>AKHTER</t>
  </si>
  <si>
    <t>SYED MUHAMMAD HASNAIN</t>
  </si>
  <si>
    <t>KHIZAR AWAN</t>
  </si>
  <si>
    <t>MUHAMMAD USMAN</t>
  </si>
  <si>
    <t>SHEERAZ MEHDI</t>
  </si>
  <si>
    <t>MUHAMMAD FARHAN</t>
  </si>
  <si>
    <t>ABDUL SAMAD KHAN</t>
  </si>
  <si>
    <t>ALVIS BAINJO</t>
  </si>
  <si>
    <t>HASSAN ARFAN</t>
  </si>
  <si>
    <t>ANIL</t>
  </si>
  <si>
    <t>SYED SABOOR ALI</t>
  </si>
  <si>
    <t>HASSAN MUSTAFA</t>
  </si>
  <si>
    <t>SHAHZAD BHATTI</t>
  </si>
  <si>
    <t>SYED SAJID HUSSAIN SHAH</t>
  </si>
  <si>
    <t>FARJAD LATIF</t>
  </si>
  <si>
    <t>HANNAN ALI</t>
  </si>
  <si>
    <t>UMER AZEEM</t>
  </si>
  <si>
    <t>AGHA MUHAMMAD JAFFER</t>
  </si>
  <si>
    <t>IQRA</t>
  </si>
  <si>
    <t>JAWAHIR SAEED</t>
  </si>
  <si>
    <t>MUHAMMAD KHALID</t>
  </si>
  <si>
    <t>MOSES AKHTAR</t>
  </si>
  <si>
    <t>MUHAMMAD UMER</t>
  </si>
  <si>
    <t>RAHAT GUL</t>
  </si>
  <si>
    <t>SABA AURANGZAIB</t>
  </si>
  <si>
    <t>MUHAMMAD SAIF MALIK</t>
  </si>
  <si>
    <t>SHAHZOR DOMNIC</t>
  </si>
  <si>
    <t>MUHAMMAD WASEEM TARIQ</t>
  </si>
  <si>
    <t>MOHAMMAD YOUSUF</t>
  </si>
  <si>
    <t>ABDUL AHAD ALI</t>
  </si>
  <si>
    <t>ALIZA WALEED</t>
  </si>
  <si>
    <t>RAJA FARJAD MANZOOR</t>
  </si>
  <si>
    <t>FIZA SHEIKH</t>
  </si>
  <si>
    <t>MUHAMMAD HUZAIFA KHAN</t>
  </si>
  <si>
    <t>MUHAMMAD MUSTAFA</t>
  </si>
  <si>
    <t>ZAYNAB MUSTAFA</t>
  </si>
  <si>
    <t>SYED ZIA ABID NAQVI</t>
  </si>
  <si>
    <t>MUHAMMAD FAIZAN SIDDIQUI</t>
  </si>
  <si>
    <t>MUHAMMAD KHIZAR SHERWANI</t>
  </si>
  <si>
    <t>SHAYAN</t>
  </si>
  <si>
    <t>SYED MUNEEB HUSSAIN</t>
  </si>
  <si>
    <t>WASIQ ULLAH JAVED</t>
  </si>
  <si>
    <t>MUHAMMAD HAMZA</t>
  </si>
  <si>
    <t>1TR-1062254</t>
  </si>
  <si>
    <t>K12MR1034318</t>
  </si>
  <si>
    <t>6R204954, 1GD0884427, R18Z1-2741485</t>
  </si>
  <si>
    <t>614384-J, NKMAAB3D1N1017122, L13Z17539639</t>
  </si>
  <si>
    <t>Q370673A, Z578901, Z384232</t>
  </si>
  <si>
    <t>347365 </t>
  </si>
  <si>
    <t>SW260097, SW260096</t>
  </si>
  <si>
    <t>1KR-2316377, 6R122448, 9Z10821, G4NAMU799447</t>
  </si>
  <si>
    <t>1st position Technical top performer incentive FMO Jan 2026</t>
  </si>
  <si>
    <t>3rd position Technical top performer incentive FMO Jan 2026</t>
  </si>
  <si>
    <t>2nd position Technical top performer incentive FMO Jan 2026</t>
  </si>
  <si>
    <t>Hassan Jabbar</t>
  </si>
  <si>
    <t xml:space="preserve">Rehan Gull </t>
  </si>
  <si>
    <t>Muhammad Zain Ul Abedin</t>
  </si>
  <si>
    <t>Hamza Rafique</t>
  </si>
  <si>
    <t>Syed Makhshaf Haider</t>
  </si>
  <si>
    <t>Nazeer Ali</t>
  </si>
  <si>
    <t>Muhammad Hammad</t>
  </si>
  <si>
    <t>Corporate Services Officer</t>
  </si>
  <si>
    <t>Rubab Kanwal</t>
  </si>
  <si>
    <t>Muhammad Wasi</t>
  </si>
  <si>
    <t>Usama Shahzad</t>
  </si>
  <si>
    <t>Muhammad Zain</t>
  </si>
  <si>
    <t>Renewal</t>
  </si>
  <si>
    <t>paid Tax - Jan</t>
  </si>
  <si>
    <t>First time tax will be / by 6</t>
  </si>
  <si>
    <t>Put this amount in payroll</t>
  </si>
  <si>
    <t>Appreciation of Monthly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</si>
</sst>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_-* #,##0.00_-;\-* #,##0.00_-;_-* &quot;-&quot;??_-;_-@_-"/>
    <numFmt numFmtId="166" formatCode="[$-409]d\-mmm\-yy;@"/>
    <numFmt numFmtId="167" formatCode="[$-409]d\-mmm;@"/>
    <numFmt numFmtId="168" formatCode="[$-409]mmm\-yy;@"/>
  </numFmts>
  <fonts count="21" x14ac:knownFonts="1">
    <font>
      <sz val="11"/>
      <color theme="1"/>
      <name val="Calibri"/>
      <family val="2"/>
      <scheme val="minor"/>
    </font>
    <font>
      <sz val="11"/>
      <color theme="1"/>
      <name val="Calibri"/>
      <family val="2"/>
      <scheme val="minor"/>
    </font>
    <font>
      <b/>
      <sz val="10"/>
      <color indexed="8"/>
      <name val="Calibri"/>
      <family val="2"/>
      <scheme val="minor"/>
    </font>
    <font>
      <sz val="10"/>
      <name val="Calibri"/>
      <family val="2"/>
      <scheme val="minor"/>
    </font>
    <font>
      <sz val="10"/>
      <color theme="1"/>
      <name val="Calibri"/>
      <family val="2"/>
      <scheme val="minor"/>
    </font>
    <font>
      <sz val="10"/>
      <color rgb="FFFF0000"/>
      <name val="Calibri"/>
      <family val="2"/>
      <scheme val="minor"/>
    </font>
    <font>
      <sz val="10"/>
      <name val="Arial"/>
      <family val="2"/>
    </font>
    <font>
      <sz val="10"/>
      <color indexed="8"/>
      <name val="Arial"/>
      <family val="2"/>
    </font>
    <font>
      <sz val="10"/>
      <color indexed="64"/>
      <name val="Arial"/>
      <family val="2"/>
    </font>
    <font>
      <sz val="10"/>
      <color rgb="FF000000"/>
      <name val="Arial"/>
      <family val="2"/>
    </font>
    <font>
      <sz val="11"/>
      <color rgb="FF000000"/>
      <name val="Calibri"/>
      <family val="2"/>
      <charset val="1"/>
    </font>
    <font>
      <sz val="12"/>
      <color theme="1"/>
      <name val="Calibri"/>
      <family val="2"/>
      <scheme val="minor"/>
    </font>
    <font>
      <b/>
      <sz val="11"/>
      <color theme="1"/>
      <name val="Calibri"/>
      <family val="2"/>
      <scheme val="minor"/>
    </font>
    <font>
      <sz val="11"/>
      <color rgb="FFFF0000"/>
      <name val="Calibri"/>
      <family val="2"/>
      <scheme val="minor"/>
    </font>
    <font>
      <b/>
      <sz val="11"/>
      <color theme="1"/>
      <name val="Calibri Light"/>
      <family val="2"/>
      <scheme val="major"/>
    </font>
    <font>
      <b/>
      <sz val="12"/>
      <color rgb="FF000000"/>
      <name val="Garamond"/>
      <family val="1"/>
    </font>
    <font>
      <sz val="11"/>
      <color rgb="FF000000"/>
      <name val="Garamond"/>
      <family val="1"/>
    </font>
    <font>
      <sz val="12"/>
      <color rgb="FF000000"/>
      <name val="Garamond"/>
      <family val="1"/>
    </font>
    <font>
      <sz val="12"/>
      <color rgb="FF000000"/>
      <name val="Calibri Light"/>
      <family val="2"/>
      <scheme val="major"/>
    </font>
    <font>
      <sz val="11"/>
      <color theme="1"/>
      <name val="Calibri Light"/>
      <family val="2"/>
      <scheme val="major"/>
    </font>
    <font>
      <b/>
      <sz val="10"/>
      <name val="Calibri"/>
      <family val="2"/>
      <scheme val="minor"/>
    </font>
  </fonts>
  <fills count="21">
    <fill>
      <patternFill patternType="none"/>
    </fill>
    <fill>
      <patternFill patternType="gray125"/>
    </fill>
    <fill>
      <patternFill patternType="solid">
        <fgColor theme="9"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rgb="FFCCC0DA"/>
        <bgColor indexed="64"/>
      </patternFill>
    </fill>
    <fill>
      <patternFill patternType="solid">
        <fgColor rgb="FFC00000"/>
        <bgColor indexed="64"/>
      </patternFill>
    </fill>
    <fill>
      <patternFill patternType="solid">
        <fgColor rgb="FFFF99FF"/>
        <bgColor indexed="64"/>
      </patternFill>
    </fill>
    <fill>
      <patternFill patternType="solid">
        <fgColor rgb="FF00B0F0"/>
        <bgColor indexed="64"/>
      </patternFill>
    </fill>
    <fill>
      <patternFill patternType="solid">
        <fgColor rgb="FF92D050"/>
        <bgColor indexed="64"/>
      </patternFill>
    </fill>
    <fill>
      <patternFill patternType="solid">
        <fgColor rgb="FF7030A0"/>
        <bgColor indexed="64"/>
      </patternFill>
    </fill>
    <fill>
      <patternFill patternType="solid">
        <fgColor theme="7" tint="-0.249977111117893"/>
        <bgColor indexed="64"/>
      </patternFill>
    </fill>
  </fills>
  <borders count="12">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thin">
        <color indexed="64"/>
      </left>
      <right style="thin">
        <color indexed="64"/>
      </right>
      <top style="thin">
        <color indexed="64"/>
      </top>
      <bottom style="thin">
        <color indexed="64"/>
      </bottom>
      <diagonal/>
    </border>
    <border>
      <left style="hair">
        <color auto="1"/>
      </left>
      <right style="hair">
        <color auto="1"/>
      </right>
      <top/>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595959"/>
      </right>
      <top style="medium">
        <color rgb="FF595959"/>
      </top>
      <bottom/>
      <diagonal/>
    </border>
    <border>
      <left style="thin">
        <color indexed="64"/>
      </left>
      <right style="thin">
        <color indexed="64"/>
      </right>
      <top/>
      <bottom style="thin">
        <color indexed="64"/>
      </bottom>
      <diagonal/>
    </border>
  </borders>
  <cellStyleXfs count="49072">
    <xf numFmtId="0" fontId="0" fillId="0" borderId="0"/>
    <xf numFmtId="43" fontId="1" fillId="0" borderId="0" applyFont="0" applyFill="0" applyBorder="0" applyAlignment="0" applyProtection="0"/>
    <xf numFmtId="0" fontId="1" fillId="0" borderId="0"/>
    <xf numFmtId="0" fontId="6" fillId="0" borderId="0"/>
    <xf numFmtId="0" fontId="6" fillId="0" borderId="0"/>
    <xf numFmtId="0" fontId="6" fillId="0" borderId="0"/>
    <xf numFmtId="166" fontId="6" fillId="0" borderId="0"/>
    <xf numFmtId="0" fontId="1" fillId="0" borderId="0"/>
    <xf numFmtId="43" fontId="1" fillId="0" borderId="0" applyFont="0" applyFill="0" applyBorder="0" applyAlignment="0" applyProtection="0"/>
    <xf numFmtId="0" fontId="7" fillId="0" borderId="0">
      <alignment vertical="top"/>
    </xf>
    <xf numFmtId="0" fontId="3" fillId="0" borderId="0"/>
    <xf numFmtId="0" fontId="7" fillId="0" borderId="0">
      <alignment vertical="top"/>
    </xf>
    <xf numFmtId="43" fontId="7" fillId="0" borderId="0" applyFont="0" applyFill="0" applyBorder="0" applyAlignment="0" applyProtection="0"/>
    <xf numFmtId="0" fontId="8" fillId="0" borderId="0"/>
    <xf numFmtId="165" fontId="7"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9" fillId="0" borderId="0"/>
    <xf numFmtId="43" fontId="1" fillId="0" borderId="0" applyFont="0" applyFill="0" applyBorder="0" applyAlignment="0" applyProtection="0"/>
    <xf numFmtId="0" fontId="6" fillId="0" borderId="0">
      <alignment vertical="top"/>
    </xf>
    <xf numFmtId="43" fontId="6" fillId="0" borderId="0" applyFont="0" applyFill="0" applyBorder="0" applyAlignment="0" applyProtection="0"/>
    <xf numFmtId="0" fontId="6" fillId="0" borderId="0">
      <alignment vertical="top"/>
    </xf>
    <xf numFmtId="0" fontId="1" fillId="0" borderId="0"/>
    <xf numFmtId="0" fontId="6" fillId="0" borderId="0">
      <alignment vertical="top"/>
    </xf>
    <xf numFmtId="167" fontId="6" fillId="0" borderId="0">
      <alignment vertical="top"/>
    </xf>
    <xf numFmtId="9" fontId="7" fillId="0" borderId="0" applyFont="0" applyFill="0" applyBorder="0" applyAlignment="0" applyProtection="0"/>
    <xf numFmtId="0" fontId="7" fillId="0" borderId="0">
      <alignment vertical="top"/>
    </xf>
    <xf numFmtId="166" fontId="6" fillId="0" borderId="0"/>
    <xf numFmtId="0" fontId="7" fillId="0" borderId="0">
      <alignment vertical="top"/>
    </xf>
    <xf numFmtId="0" fontId="10" fillId="0" borderId="0"/>
    <xf numFmtId="0" fontId="7" fillId="0" borderId="0">
      <alignment vertical="top"/>
    </xf>
    <xf numFmtId="0" fontId="7" fillId="0" borderId="0">
      <alignment vertical="top"/>
    </xf>
    <xf numFmtId="0" fontId="3" fillId="0" borderId="0"/>
    <xf numFmtId="0" fontId="7" fillId="0" borderId="0">
      <alignment vertical="top"/>
    </xf>
    <xf numFmtId="0" fontId="9" fillId="0" borderId="0"/>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0" fontId="7" fillId="0" borderId="0">
      <alignment vertical="top"/>
    </xf>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0" fontId="7" fillId="0" borderId="0">
      <alignment vertical="top"/>
    </xf>
    <xf numFmtId="165" fontId="7"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7" fillId="0" borderId="0">
      <alignment vertical="top"/>
    </xf>
    <xf numFmtId="165" fontId="7" fillId="0" borderId="0" applyFont="0" applyFill="0" applyBorder="0" applyAlignment="0" applyProtection="0"/>
    <xf numFmtId="165" fontId="1" fillId="0" borderId="0" applyFont="0" applyFill="0" applyBorder="0" applyAlignment="0" applyProtection="0"/>
    <xf numFmtId="0" fontId="11" fillId="0" borderId="0"/>
  </cellStyleXfs>
  <cellXfs count="99">
    <xf numFmtId="0" fontId="0" fillId="0" borderId="0" xfId="0"/>
    <xf numFmtId="0" fontId="2" fillId="2" borderId="1" xfId="0" applyFont="1" applyFill="1" applyBorder="1" applyAlignment="1">
      <alignment horizontal="center" vertical="center" wrapText="1"/>
    </xf>
    <xf numFmtId="0" fontId="3" fillId="0" borderId="0" xfId="0" applyFont="1" applyAlignment="1">
      <alignment vertical="center"/>
    </xf>
    <xf numFmtId="0" fontId="2" fillId="2" borderId="2" xfId="0" applyFont="1" applyFill="1" applyBorder="1" applyAlignment="1">
      <alignment horizontal="center" vertical="center" wrapText="1"/>
    </xf>
    <xf numFmtId="164" fontId="3" fillId="2" borderId="0" xfId="1" applyNumberFormat="1" applyFont="1" applyFill="1" applyBorder="1" applyAlignment="1"/>
    <xf numFmtId="164" fontId="5" fillId="2" borderId="0" xfId="1" applyNumberFormat="1" applyFont="1" applyFill="1" applyBorder="1" applyAlignment="1"/>
    <xf numFmtId="0" fontId="0" fillId="3" borderId="3" xfId="0" applyFill="1" applyBorder="1"/>
    <xf numFmtId="0" fontId="0" fillId="4" borderId="3" xfId="0" applyFill="1" applyBorder="1"/>
    <xf numFmtId="0" fontId="0" fillId="5" borderId="3" xfId="0" applyFill="1" applyBorder="1"/>
    <xf numFmtId="0" fontId="0" fillId="6" borderId="3" xfId="0" applyFill="1" applyBorder="1"/>
    <xf numFmtId="9" fontId="3" fillId="0" borderId="0" xfId="0" applyNumberFormat="1" applyFont="1" applyAlignment="1">
      <alignment vertical="center"/>
    </xf>
    <xf numFmtId="164" fontId="0" fillId="0" borderId="0" xfId="0" applyNumberFormat="1"/>
    <xf numFmtId="0" fontId="3" fillId="0" borderId="0" xfId="0" applyFont="1" applyAlignment="1">
      <alignment horizontal="center" vertical="center"/>
    </xf>
    <xf numFmtId="0" fontId="0" fillId="0" borderId="0" xfId="0"/>
    <xf numFmtId="0" fontId="3" fillId="0" borderId="0" xfId="0" applyFont="1"/>
    <xf numFmtId="0" fontId="3" fillId="0" borderId="0" xfId="0" applyFont="1" applyAlignment="1">
      <alignment horizontal="left"/>
    </xf>
    <xf numFmtId="164" fontId="12" fillId="7" borderId="0" xfId="0" applyNumberFormat="1" applyFont="1" applyFill="1"/>
    <xf numFmtId="0" fontId="5" fillId="0" borderId="0" xfId="0" applyFont="1"/>
    <xf numFmtId="0" fontId="13" fillId="0" borderId="0" xfId="0" applyFont="1"/>
    <xf numFmtId="0" fontId="5" fillId="0" borderId="0" xfId="0" applyFont="1" applyAlignment="1">
      <alignment horizontal="left"/>
    </xf>
    <xf numFmtId="164" fontId="3" fillId="0" borderId="0" xfId="12" applyNumberFormat="1" applyFont="1" applyFill="1" applyBorder="1" applyAlignment="1"/>
    <xf numFmtId="164" fontId="3" fillId="9" borderId="0" xfId="1" applyNumberFormat="1" applyFont="1" applyFill="1" applyBorder="1" applyAlignment="1"/>
    <xf numFmtId="164" fontId="5" fillId="0" borderId="0" xfId="12" applyNumberFormat="1" applyFont="1" applyFill="1" applyBorder="1" applyAlignment="1"/>
    <xf numFmtId="0" fontId="0" fillId="0" borderId="0" xfId="0" applyFont="1"/>
    <xf numFmtId="0" fontId="2" fillId="2" borderId="4" xfId="0" applyFont="1" applyFill="1" applyBorder="1" applyAlignment="1">
      <alignment horizontal="center" vertical="center" wrapText="1"/>
    </xf>
    <xf numFmtId="164" fontId="0" fillId="0" borderId="0" xfId="0" applyNumberFormat="1" applyFont="1"/>
    <xf numFmtId="164" fontId="4" fillId="0" borderId="0" xfId="12" applyNumberFormat="1" applyFont="1" applyFill="1" applyBorder="1" applyAlignment="1"/>
    <xf numFmtId="0" fontId="15" fillId="9" borderId="8" xfId="0" applyFont="1" applyFill="1" applyBorder="1" applyAlignment="1">
      <alignment horizontal="center" vertical="center"/>
    </xf>
    <xf numFmtId="0" fontId="15" fillId="9" borderId="9" xfId="0" applyFont="1" applyFill="1" applyBorder="1" applyAlignment="1">
      <alignment horizontal="center" vertical="center"/>
    </xf>
    <xf numFmtId="0" fontId="15" fillId="9" borderId="9" xfId="0" applyFont="1" applyFill="1" applyBorder="1" applyAlignment="1">
      <alignment horizontal="left" vertical="center"/>
    </xf>
    <xf numFmtId="0" fontId="16" fillId="0" borderId="7" xfId="0" applyFont="1" applyBorder="1" applyAlignment="1">
      <alignment horizontal="center" vertical="center"/>
    </xf>
    <xf numFmtId="0" fontId="16" fillId="13" borderId="7" xfId="0" applyFont="1" applyFill="1" applyBorder="1" applyAlignment="1">
      <alignment horizontal="center" vertical="center"/>
    </xf>
    <xf numFmtId="0" fontId="17" fillId="14" borderId="10" xfId="0" applyFont="1" applyFill="1" applyBorder="1" applyAlignment="1">
      <alignment horizontal="left" vertical="center"/>
    </xf>
    <xf numFmtId="0" fontId="17" fillId="12" borderId="7" xfId="0" applyFont="1" applyFill="1" applyBorder="1" applyAlignment="1">
      <alignment horizontal="center" vertical="center"/>
    </xf>
    <xf numFmtId="0" fontId="17" fillId="13" borderId="7" xfId="0" applyFont="1" applyFill="1" applyBorder="1" applyAlignment="1">
      <alignment horizontal="center" vertical="center"/>
    </xf>
    <xf numFmtId="15" fontId="17" fillId="12" borderId="7" xfId="0" applyNumberFormat="1" applyFont="1" applyFill="1" applyBorder="1" applyAlignment="1">
      <alignment horizontal="center" vertical="center"/>
    </xf>
    <xf numFmtId="164" fontId="3" fillId="8" borderId="0" xfId="12" applyNumberFormat="1" applyFont="1" applyFill="1" applyBorder="1" applyAlignment="1"/>
    <xf numFmtId="0" fontId="3" fillId="0" borderId="0" xfId="39" applyFont="1" applyAlignment="1"/>
    <xf numFmtId="0" fontId="3" fillId="0" borderId="0" xfId="39" applyFont="1" applyAlignment="1">
      <alignment vertical="center"/>
    </xf>
    <xf numFmtId="164" fontId="3" fillId="8" borderId="0" xfId="1" applyNumberFormat="1" applyFont="1" applyFill="1" applyBorder="1" applyAlignment="1"/>
    <xf numFmtId="0" fontId="0" fillId="8" borderId="0" xfId="0" applyFill="1"/>
    <xf numFmtId="164" fontId="12" fillId="15" borderId="0" xfId="0" applyNumberFormat="1" applyFont="1" applyFill="1"/>
    <xf numFmtId="0" fontId="11" fillId="0" borderId="0" xfId="0" applyFont="1"/>
    <xf numFmtId="0" fontId="17" fillId="0" borderId="6" xfId="0" applyFont="1" applyBorder="1" applyAlignment="1">
      <alignment horizontal="center" vertical="center"/>
    </xf>
    <xf numFmtId="0" fontId="17" fillId="0" borderId="7" xfId="0" applyFont="1" applyBorder="1" applyAlignment="1">
      <alignment horizontal="center" vertical="center"/>
    </xf>
    <xf numFmtId="166" fontId="17" fillId="12" borderId="7" xfId="0" applyNumberFormat="1" applyFont="1" applyFill="1" applyBorder="1" applyAlignment="1">
      <alignment horizontal="center" vertical="center"/>
    </xf>
    <xf numFmtId="3" fontId="17" fillId="3" borderId="7" xfId="0" applyNumberFormat="1" applyFont="1" applyFill="1" applyBorder="1" applyAlignment="1">
      <alignment horizontal="center" vertical="center"/>
    </xf>
    <xf numFmtId="0" fontId="18" fillId="0" borderId="7" xfId="0" applyFont="1" applyBorder="1" applyAlignment="1">
      <alignment horizontal="center" vertical="center"/>
    </xf>
    <xf numFmtId="15" fontId="17" fillId="0" borderId="7" xfId="0" applyNumberFormat="1" applyFont="1" applyBorder="1" applyAlignment="1">
      <alignment horizontal="center" vertical="center"/>
    </xf>
    <xf numFmtId="0" fontId="11" fillId="3" borderId="0" xfId="0" applyFont="1" applyFill="1"/>
    <xf numFmtId="0" fontId="11" fillId="0" borderId="0" xfId="0" applyFont="1" applyAlignment="1">
      <alignment horizontal="left"/>
    </xf>
    <xf numFmtId="2" fontId="3" fillId="0" borderId="0" xfId="0" applyNumberFormat="1" applyFont="1" applyAlignment="1">
      <alignment vertical="center"/>
    </xf>
    <xf numFmtId="2" fontId="0" fillId="0" borderId="0" xfId="0" applyNumberFormat="1"/>
    <xf numFmtId="0" fontId="3" fillId="0" borderId="0" xfId="39" applyFont="1" applyAlignment="1">
      <alignment horizontal="right"/>
    </xf>
    <xf numFmtId="0" fontId="3" fillId="10" borderId="0" xfId="39" applyFont="1" applyFill="1" applyAlignment="1">
      <alignment horizontal="right"/>
    </xf>
    <xf numFmtId="0" fontId="3" fillId="12" borderId="0" xfId="39" applyFont="1" applyFill="1" applyAlignment="1">
      <alignment horizontal="right"/>
    </xf>
    <xf numFmtId="0" fontId="3" fillId="11" borderId="0" xfId="39" applyFont="1" applyFill="1" applyAlignment="1">
      <alignment horizontal="right"/>
    </xf>
    <xf numFmtId="0" fontId="3" fillId="10" borderId="0" xfId="39" applyFont="1" applyFill="1" applyAlignment="1"/>
    <xf numFmtId="0" fontId="3" fillId="12" borderId="0" xfId="39" applyFont="1" applyFill="1" applyAlignment="1"/>
    <xf numFmtId="0" fontId="3" fillId="11" borderId="0" xfId="39" applyFont="1" applyFill="1" applyAlignment="1"/>
    <xf numFmtId="0" fontId="3" fillId="0" borderId="0" xfId="39" applyFont="1">
      <alignment vertical="top"/>
    </xf>
    <xf numFmtId="0" fontId="3" fillId="10" borderId="0" xfId="39" applyFont="1" applyFill="1">
      <alignment vertical="top"/>
    </xf>
    <xf numFmtId="0" fontId="3" fillId="12" borderId="0" xfId="39" applyFont="1" applyFill="1">
      <alignment vertical="top"/>
    </xf>
    <xf numFmtId="0" fontId="3" fillId="11" borderId="0" xfId="39" applyFont="1" applyFill="1">
      <alignment vertical="top"/>
    </xf>
    <xf numFmtId="0" fontId="3" fillId="10" borderId="0" xfId="39" applyFont="1" applyFill="1" applyAlignment="1">
      <alignment vertical="center"/>
    </xf>
    <xf numFmtId="0" fontId="3" fillId="12" borderId="0" xfId="39" applyFont="1" applyFill="1" applyAlignment="1">
      <alignment vertical="center"/>
    </xf>
    <xf numFmtId="0" fontId="3" fillId="11" borderId="0" xfId="39" applyFont="1" applyFill="1" applyAlignment="1">
      <alignment vertical="center"/>
    </xf>
    <xf numFmtId="164" fontId="3" fillId="2" borderId="0" xfId="1" applyNumberFormat="1" applyFont="1" applyFill="1" applyAlignment="1"/>
    <xf numFmtId="166" fontId="2" fillId="2" borderId="2" xfId="0" applyNumberFormat="1" applyFont="1" applyFill="1" applyBorder="1" applyAlignment="1">
      <alignment horizontal="center" vertical="center" wrapText="1"/>
    </xf>
    <xf numFmtId="164" fontId="0" fillId="0" borderId="0" xfId="1" applyNumberFormat="1" applyFont="1"/>
    <xf numFmtId="49" fontId="17" fillId="12" borderId="7" xfId="0" applyNumberFormat="1" applyFont="1" applyFill="1" applyBorder="1" applyAlignment="1">
      <alignment horizontal="center" vertical="center"/>
    </xf>
    <xf numFmtId="164" fontId="0" fillId="0" borderId="0" xfId="1" applyNumberFormat="1" applyFont="1"/>
    <xf numFmtId="0" fontId="19" fillId="0" borderId="3" xfId="0" applyFont="1" applyBorder="1" applyAlignment="1">
      <alignment horizontal="center" vertical="center"/>
    </xf>
    <xf numFmtId="0" fontId="19" fillId="0" borderId="3" xfId="0" applyFont="1" applyBorder="1" applyAlignment="1">
      <alignment horizontal="left" vertical="center"/>
    </xf>
    <xf numFmtId="164" fontId="19" fillId="0" borderId="3" xfId="1" applyNumberFormat="1" applyFont="1" applyBorder="1" applyAlignment="1">
      <alignment horizontal="left" vertical="center"/>
    </xf>
    <xf numFmtId="0" fontId="19" fillId="0" borderId="0" xfId="0" applyFont="1"/>
    <xf numFmtId="0" fontId="19" fillId="0" borderId="0" xfId="0" applyFont="1" applyAlignment="1">
      <alignment horizontal="center" vertical="center"/>
    </xf>
    <xf numFmtId="0" fontId="19" fillId="0" borderId="0" xfId="0" applyFont="1" applyAlignment="1">
      <alignment horizontal="left" vertical="center"/>
    </xf>
    <xf numFmtId="0" fontId="19" fillId="0" borderId="11" xfId="0" applyFont="1" applyBorder="1" applyAlignment="1">
      <alignment horizontal="center" vertical="center"/>
    </xf>
    <xf numFmtId="0" fontId="19" fillId="0" borderId="11" xfId="0" applyFont="1" applyBorder="1" applyAlignment="1">
      <alignment horizontal="left" vertical="center"/>
    </xf>
    <xf numFmtId="164" fontId="19" fillId="0" borderId="11" xfId="1" applyNumberFormat="1" applyFont="1" applyBorder="1" applyAlignment="1">
      <alignment horizontal="left" vertical="center"/>
    </xf>
    <xf numFmtId="0" fontId="14" fillId="9" borderId="5" xfId="0" applyFont="1" applyFill="1" applyBorder="1"/>
    <xf numFmtId="0" fontId="14" fillId="9" borderId="8" xfId="0" applyFont="1" applyFill="1" applyBorder="1" applyAlignment="1">
      <alignment horizontal="center" vertical="center"/>
    </xf>
    <xf numFmtId="0" fontId="14" fillId="9" borderId="8" xfId="0" applyFont="1" applyFill="1" applyBorder="1" applyAlignment="1">
      <alignment horizontal="left" vertical="center"/>
    </xf>
    <xf numFmtId="17" fontId="14" fillId="9" borderId="9" xfId="0" applyNumberFormat="1" applyFont="1" applyFill="1" applyBorder="1" applyAlignment="1">
      <alignment horizontal="left" vertical="center"/>
    </xf>
    <xf numFmtId="0" fontId="20" fillId="0" borderId="0" xfId="39" applyFont="1" applyAlignment="1">
      <alignment horizontal="right"/>
    </xf>
    <xf numFmtId="1" fontId="3" fillId="0" borderId="0" xfId="39" applyNumberFormat="1" applyFont="1" applyAlignment="1"/>
    <xf numFmtId="168" fontId="2" fillId="2" borderId="2" xfId="0" applyNumberFormat="1" applyFont="1" applyFill="1" applyBorder="1" applyAlignment="1">
      <alignment horizontal="center" vertical="center" wrapText="1"/>
    </xf>
    <xf numFmtId="0" fontId="0" fillId="13" borderId="0" xfId="0" applyFill="1"/>
    <xf numFmtId="0" fontId="0" fillId="16" borderId="0" xfId="0" applyFill="1"/>
    <xf numFmtId="0" fontId="3" fillId="0" borderId="0" xfId="39" applyFont="1" applyFill="1" applyAlignment="1">
      <alignment horizontal="right"/>
    </xf>
    <xf numFmtId="0" fontId="0" fillId="17" borderId="0" xfId="0" applyFill="1"/>
    <xf numFmtId="0" fontId="0" fillId="18" borderId="0" xfId="0" applyFill="1"/>
    <xf numFmtId="164" fontId="3" fillId="2" borderId="0" xfId="12" applyNumberFormat="1" applyFont="1" applyFill="1" applyBorder="1" applyAlignment="1"/>
    <xf numFmtId="0" fontId="17" fillId="12" borderId="7" xfId="0" applyNumberFormat="1" applyFont="1" applyFill="1" applyBorder="1" applyAlignment="1">
      <alignment horizontal="center" vertical="center"/>
    </xf>
    <xf numFmtId="0" fontId="0" fillId="19" borderId="0" xfId="0" applyFill="1"/>
    <xf numFmtId="164" fontId="12" fillId="8" borderId="0" xfId="0" applyNumberFormat="1" applyFont="1" applyFill="1"/>
    <xf numFmtId="0" fontId="0" fillId="20" borderId="0" xfId="0" applyFill="1"/>
    <xf numFmtId="0" fontId="2" fillId="16" borderId="4" xfId="0" applyFont="1" applyFill="1" applyBorder="1" applyAlignment="1">
      <alignment horizontal="center" vertical="center" wrapText="1"/>
    </xf>
  </cellXfs>
  <cellStyles count="49072">
    <cellStyle name="Comma" xfId="1" builtinId="3"/>
    <cellStyle name="Comma 2" xfId="8" xr:uid="{00000000-0005-0000-0000-000001000000}"/>
    <cellStyle name="Comma 2 2" xfId="15" xr:uid="{00000000-0005-0000-0000-000002000000}"/>
    <cellStyle name="Comma 2 2 10" xfId="94" xr:uid="{00000000-0005-0000-0000-000003000000}"/>
    <cellStyle name="Comma 2 2 10 10" xfId="7438" xr:uid="{00000000-0005-0000-0000-000004000000}"/>
    <cellStyle name="Comma 2 2 10 10 2" xfId="30717" xr:uid="{00000000-0005-0000-0000-000005000000}"/>
    <cellStyle name="Comma 2 2 10 11" xfId="9886" xr:uid="{00000000-0005-0000-0000-000006000000}"/>
    <cellStyle name="Comma 2 2 10 11 2" xfId="33165" xr:uid="{00000000-0005-0000-0000-000007000000}"/>
    <cellStyle name="Comma 2 2 10 12" xfId="12334" xr:uid="{00000000-0005-0000-0000-000008000000}"/>
    <cellStyle name="Comma 2 2 10 12 2" xfId="35613" xr:uid="{00000000-0005-0000-0000-000009000000}"/>
    <cellStyle name="Comma 2 2 10 13" xfId="14805" xr:uid="{00000000-0005-0000-0000-00000A000000}"/>
    <cellStyle name="Comma 2 2 10 13 2" xfId="38083" xr:uid="{00000000-0005-0000-0000-00000B000000}"/>
    <cellStyle name="Comma 2 2 10 14" xfId="23373" xr:uid="{00000000-0005-0000-0000-00000C000000}"/>
    <cellStyle name="Comma 2 2 10 15" xfId="44203" xr:uid="{00000000-0005-0000-0000-00000D000000}"/>
    <cellStyle name="Comma 2 2 10 16" xfId="20925" xr:uid="{00000000-0005-0000-0000-00000E000000}"/>
    <cellStyle name="Comma 2 2 10 2" xfId="162" xr:uid="{00000000-0005-0000-0000-00000F000000}"/>
    <cellStyle name="Comma 2 2 10 2 10" xfId="12402" xr:uid="{00000000-0005-0000-0000-000010000000}"/>
    <cellStyle name="Comma 2 2 10 2 10 2" xfId="35681" xr:uid="{00000000-0005-0000-0000-000011000000}"/>
    <cellStyle name="Comma 2 2 10 2 11" xfId="14873" xr:uid="{00000000-0005-0000-0000-000012000000}"/>
    <cellStyle name="Comma 2 2 10 2 11 2" xfId="38151" xr:uid="{00000000-0005-0000-0000-000013000000}"/>
    <cellStyle name="Comma 2 2 10 2 12" xfId="23441" xr:uid="{00000000-0005-0000-0000-000014000000}"/>
    <cellStyle name="Comma 2 2 10 2 13" xfId="44271" xr:uid="{00000000-0005-0000-0000-000015000000}"/>
    <cellStyle name="Comma 2 2 10 2 14" xfId="20993" xr:uid="{00000000-0005-0000-0000-000016000000}"/>
    <cellStyle name="Comma 2 2 10 2 2" xfId="366" xr:uid="{00000000-0005-0000-0000-000017000000}"/>
    <cellStyle name="Comma 2 2 10 2 2 10" xfId="23645" xr:uid="{00000000-0005-0000-0000-000018000000}"/>
    <cellStyle name="Comma 2 2 10 2 2 11" xfId="44475" xr:uid="{00000000-0005-0000-0000-000019000000}"/>
    <cellStyle name="Comma 2 2 10 2 2 12" xfId="21197" xr:uid="{00000000-0005-0000-0000-00001A000000}"/>
    <cellStyle name="Comma 2 2 10 2 2 2" xfId="978" xr:uid="{00000000-0005-0000-0000-00001B000000}"/>
    <cellStyle name="Comma 2 2 10 2 2 2 10" xfId="45087" xr:uid="{00000000-0005-0000-0000-00001C000000}"/>
    <cellStyle name="Comma 2 2 10 2 2 2 11" xfId="21809" xr:uid="{00000000-0005-0000-0000-00001D000000}"/>
    <cellStyle name="Comma 2 2 10 2 2 2 2" xfId="2202" xr:uid="{00000000-0005-0000-0000-00001E000000}"/>
    <cellStyle name="Comma 2 2 10 2 2 2 2 10" xfId="23033" xr:uid="{00000000-0005-0000-0000-00001F000000}"/>
    <cellStyle name="Comma 2 2 10 2 2 2 2 2" xfId="4650" xr:uid="{00000000-0005-0000-0000-000020000000}"/>
    <cellStyle name="Comma 2 2 10 2 2 2 2 2 2" xfId="20585" xr:uid="{00000000-0005-0000-0000-000021000000}"/>
    <cellStyle name="Comma 2 2 10 2 2 2 2 2 2 2" xfId="43863" xr:uid="{00000000-0005-0000-0000-000022000000}"/>
    <cellStyle name="Comma 2 2 10 2 2 2 2 2 3" xfId="48759" xr:uid="{00000000-0005-0000-0000-000023000000}"/>
    <cellStyle name="Comma 2 2 10 2 2 2 2 2 4" xfId="27929" xr:uid="{00000000-0005-0000-0000-000024000000}"/>
    <cellStyle name="Comma 2 2 10 2 2 2 2 3" xfId="7098" xr:uid="{00000000-0005-0000-0000-000025000000}"/>
    <cellStyle name="Comma 2 2 10 2 2 2 2 3 2" xfId="30377" xr:uid="{00000000-0005-0000-0000-000026000000}"/>
    <cellStyle name="Comma 2 2 10 2 2 2 2 4" xfId="9546" xr:uid="{00000000-0005-0000-0000-000027000000}"/>
    <cellStyle name="Comma 2 2 10 2 2 2 2 4 2" xfId="32825" xr:uid="{00000000-0005-0000-0000-000028000000}"/>
    <cellStyle name="Comma 2 2 10 2 2 2 2 5" xfId="11994" xr:uid="{00000000-0005-0000-0000-000029000000}"/>
    <cellStyle name="Comma 2 2 10 2 2 2 2 5 2" xfId="35273" xr:uid="{00000000-0005-0000-0000-00002A000000}"/>
    <cellStyle name="Comma 2 2 10 2 2 2 2 6" xfId="14442" xr:uid="{00000000-0005-0000-0000-00002B000000}"/>
    <cellStyle name="Comma 2 2 10 2 2 2 2 6 2" xfId="37721" xr:uid="{00000000-0005-0000-0000-00002C000000}"/>
    <cellStyle name="Comma 2 2 10 2 2 2 2 7" xfId="18137" xr:uid="{00000000-0005-0000-0000-00002D000000}"/>
    <cellStyle name="Comma 2 2 10 2 2 2 2 7 2" xfId="41415" xr:uid="{00000000-0005-0000-0000-00002E000000}"/>
    <cellStyle name="Comma 2 2 10 2 2 2 2 8" xfId="25481" xr:uid="{00000000-0005-0000-0000-00002F000000}"/>
    <cellStyle name="Comma 2 2 10 2 2 2 2 9" xfId="46311" xr:uid="{00000000-0005-0000-0000-000030000000}"/>
    <cellStyle name="Comma 2 2 10 2 2 2 3" xfId="3426" xr:uid="{00000000-0005-0000-0000-000031000000}"/>
    <cellStyle name="Comma 2 2 10 2 2 2 3 2" xfId="16913" xr:uid="{00000000-0005-0000-0000-000032000000}"/>
    <cellStyle name="Comma 2 2 10 2 2 2 3 2 2" xfId="40191" xr:uid="{00000000-0005-0000-0000-000033000000}"/>
    <cellStyle name="Comma 2 2 10 2 2 2 3 3" xfId="47535" xr:uid="{00000000-0005-0000-0000-000034000000}"/>
    <cellStyle name="Comma 2 2 10 2 2 2 3 4" xfId="26705" xr:uid="{00000000-0005-0000-0000-000035000000}"/>
    <cellStyle name="Comma 2 2 10 2 2 2 4" xfId="5874" xr:uid="{00000000-0005-0000-0000-000036000000}"/>
    <cellStyle name="Comma 2 2 10 2 2 2 4 2" xfId="19361" xr:uid="{00000000-0005-0000-0000-000037000000}"/>
    <cellStyle name="Comma 2 2 10 2 2 2 4 2 2" xfId="42639" xr:uid="{00000000-0005-0000-0000-000038000000}"/>
    <cellStyle name="Comma 2 2 10 2 2 2 4 3" xfId="29153" xr:uid="{00000000-0005-0000-0000-000039000000}"/>
    <cellStyle name="Comma 2 2 10 2 2 2 5" xfId="8322" xr:uid="{00000000-0005-0000-0000-00003A000000}"/>
    <cellStyle name="Comma 2 2 10 2 2 2 5 2" xfId="31601" xr:uid="{00000000-0005-0000-0000-00003B000000}"/>
    <cellStyle name="Comma 2 2 10 2 2 2 6" xfId="10770" xr:uid="{00000000-0005-0000-0000-00003C000000}"/>
    <cellStyle name="Comma 2 2 10 2 2 2 6 2" xfId="34049" xr:uid="{00000000-0005-0000-0000-00003D000000}"/>
    <cellStyle name="Comma 2 2 10 2 2 2 7" xfId="13218" xr:uid="{00000000-0005-0000-0000-00003E000000}"/>
    <cellStyle name="Comma 2 2 10 2 2 2 7 2" xfId="36497" xr:uid="{00000000-0005-0000-0000-00003F000000}"/>
    <cellStyle name="Comma 2 2 10 2 2 2 8" xfId="15689" xr:uid="{00000000-0005-0000-0000-000040000000}"/>
    <cellStyle name="Comma 2 2 10 2 2 2 8 2" xfId="38967" xr:uid="{00000000-0005-0000-0000-000041000000}"/>
    <cellStyle name="Comma 2 2 10 2 2 2 9" xfId="24257" xr:uid="{00000000-0005-0000-0000-000042000000}"/>
    <cellStyle name="Comma 2 2 10 2 2 3" xfId="1590" xr:uid="{00000000-0005-0000-0000-000043000000}"/>
    <cellStyle name="Comma 2 2 10 2 2 3 10" xfId="22421" xr:uid="{00000000-0005-0000-0000-000044000000}"/>
    <cellStyle name="Comma 2 2 10 2 2 3 2" xfId="4038" xr:uid="{00000000-0005-0000-0000-000045000000}"/>
    <cellStyle name="Comma 2 2 10 2 2 3 2 2" xfId="19973" xr:uid="{00000000-0005-0000-0000-000046000000}"/>
    <cellStyle name="Comma 2 2 10 2 2 3 2 2 2" xfId="43251" xr:uid="{00000000-0005-0000-0000-000047000000}"/>
    <cellStyle name="Comma 2 2 10 2 2 3 2 3" xfId="48147" xr:uid="{00000000-0005-0000-0000-000048000000}"/>
    <cellStyle name="Comma 2 2 10 2 2 3 2 4" xfId="27317" xr:uid="{00000000-0005-0000-0000-000049000000}"/>
    <cellStyle name="Comma 2 2 10 2 2 3 3" xfId="6486" xr:uid="{00000000-0005-0000-0000-00004A000000}"/>
    <cellStyle name="Comma 2 2 10 2 2 3 3 2" xfId="29765" xr:uid="{00000000-0005-0000-0000-00004B000000}"/>
    <cellStyle name="Comma 2 2 10 2 2 3 4" xfId="8934" xr:uid="{00000000-0005-0000-0000-00004C000000}"/>
    <cellStyle name="Comma 2 2 10 2 2 3 4 2" xfId="32213" xr:uid="{00000000-0005-0000-0000-00004D000000}"/>
    <cellStyle name="Comma 2 2 10 2 2 3 5" xfId="11382" xr:uid="{00000000-0005-0000-0000-00004E000000}"/>
    <cellStyle name="Comma 2 2 10 2 2 3 5 2" xfId="34661" xr:uid="{00000000-0005-0000-0000-00004F000000}"/>
    <cellStyle name="Comma 2 2 10 2 2 3 6" xfId="13830" xr:uid="{00000000-0005-0000-0000-000050000000}"/>
    <cellStyle name="Comma 2 2 10 2 2 3 6 2" xfId="37109" xr:uid="{00000000-0005-0000-0000-000051000000}"/>
    <cellStyle name="Comma 2 2 10 2 2 3 7" xfId="17525" xr:uid="{00000000-0005-0000-0000-000052000000}"/>
    <cellStyle name="Comma 2 2 10 2 2 3 7 2" xfId="40803" xr:uid="{00000000-0005-0000-0000-000053000000}"/>
    <cellStyle name="Comma 2 2 10 2 2 3 8" xfId="24869" xr:uid="{00000000-0005-0000-0000-000054000000}"/>
    <cellStyle name="Comma 2 2 10 2 2 3 9" xfId="45699" xr:uid="{00000000-0005-0000-0000-000055000000}"/>
    <cellStyle name="Comma 2 2 10 2 2 4" xfId="2814" xr:uid="{00000000-0005-0000-0000-000056000000}"/>
    <cellStyle name="Comma 2 2 10 2 2 4 2" xfId="16301" xr:uid="{00000000-0005-0000-0000-000057000000}"/>
    <cellStyle name="Comma 2 2 10 2 2 4 2 2" xfId="39579" xr:uid="{00000000-0005-0000-0000-000058000000}"/>
    <cellStyle name="Comma 2 2 10 2 2 4 3" xfId="46923" xr:uid="{00000000-0005-0000-0000-000059000000}"/>
    <cellStyle name="Comma 2 2 10 2 2 4 4" xfId="26093" xr:uid="{00000000-0005-0000-0000-00005A000000}"/>
    <cellStyle name="Comma 2 2 10 2 2 5" xfId="5262" xr:uid="{00000000-0005-0000-0000-00005B000000}"/>
    <cellStyle name="Comma 2 2 10 2 2 5 2" xfId="18749" xr:uid="{00000000-0005-0000-0000-00005C000000}"/>
    <cellStyle name="Comma 2 2 10 2 2 5 2 2" xfId="42027" xr:uid="{00000000-0005-0000-0000-00005D000000}"/>
    <cellStyle name="Comma 2 2 10 2 2 5 3" xfId="28541" xr:uid="{00000000-0005-0000-0000-00005E000000}"/>
    <cellStyle name="Comma 2 2 10 2 2 6" xfId="7710" xr:uid="{00000000-0005-0000-0000-00005F000000}"/>
    <cellStyle name="Comma 2 2 10 2 2 6 2" xfId="30989" xr:uid="{00000000-0005-0000-0000-000060000000}"/>
    <cellStyle name="Comma 2 2 10 2 2 7" xfId="10158" xr:uid="{00000000-0005-0000-0000-000061000000}"/>
    <cellStyle name="Comma 2 2 10 2 2 7 2" xfId="33437" xr:uid="{00000000-0005-0000-0000-000062000000}"/>
    <cellStyle name="Comma 2 2 10 2 2 8" xfId="12606" xr:uid="{00000000-0005-0000-0000-000063000000}"/>
    <cellStyle name="Comma 2 2 10 2 2 8 2" xfId="35885" xr:uid="{00000000-0005-0000-0000-000064000000}"/>
    <cellStyle name="Comma 2 2 10 2 2 9" xfId="15077" xr:uid="{00000000-0005-0000-0000-000065000000}"/>
    <cellStyle name="Comma 2 2 10 2 2 9 2" xfId="38355" xr:uid="{00000000-0005-0000-0000-000066000000}"/>
    <cellStyle name="Comma 2 2 10 2 3" xfId="570" xr:uid="{00000000-0005-0000-0000-000067000000}"/>
    <cellStyle name="Comma 2 2 10 2 3 10" xfId="23849" xr:uid="{00000000-0005-0000-0000-000068000000}"/>
    <cellStyle name="Comma 2 2 10 2 3 11" xfId="44679" xr:uid="{00000000-0005-0000-0000-000069000000}"/>
    <cellStyle name="Comma 2 2 10 2 3 12" xfId="21401" xr:uid="{00000000-0005-0000-0000-00006A000000}"/>
    <cellStyle name="Comma 2 2 10 2 3 2" xfId="1182" xr:uid="{00000000-0005-0000-0000-00006B000000}"/>
    <cellStyle name="Comma 2 2 10 2 3 2 10" xfId="45291" xr:uid="{00000000-0005-0000-0000-00006C000000}"/>
    <cellStyle name="Comma 2 2 10 2 3 2 11" xfId="22013" xr:uid="{00000000-0005-0000-0000-00006D000000}"/>
    <cellStyle name="Comma 2 2 10 2 3 2 2" xfId="2406" xr:uid="{00000000-0005-0000-0000-00006E000000}"/>
    <cellStyle name="Comma 2 2 10 2 3 2 2 10" xfId="23237" xr:uid="{00000000-0005-0000-0000-00006F000000}"/>
    <cellStyle name="Comma 2 2 10 2 3 2 2 2" xfId="4854" xr:uid="{00000000-0005-0000-0000-000070000000}"/>
    <cellStyle name="Comma 2 2 10 2 3 2 2 2 2" xfId="20789" xr:uid="{00000000-0005-0000-0000-000071000000}"/>
    <cellStyle name="Comma 2 2 10 2 3 2 2 2 2 2" xfId="44067" xr:uid="{00000000-0005-0000-0000-000072000000}"/>
    <cellStyle name="Comma 2 2 10 2 3 2 2 2 3" xfId="48963" xr:uid="{00000000-0005-0000-0000-000073000000}"/>
    <cellStyle name="Comma 2 2 10 2 3 2 2 2 4" xfId="28133" xr:uid="{00000000-0005-0000-0000-000074000000}"/>
    <cellStyle name="Comma 2 2 10 2 3 2 2 3" xfId="7302" xr:uid="{00000000-0005-0000-0000-000075000000}"/>
    <cellStyle name="Comma 2 2 10 2 3 2 2 3 2" xfId="30581" xr:uid="{00000000-0005-0000-0000-000076000000}"/>
    <cellStyle name="Comma 2 2 10 2 3 2 2 4" xfId="9750" xr:uid="{00000000-0005-0000-0000-000077000000}"/>
    <cellStyle name="Comma 2 2 10 2 3 2 2 4 2" xfId="33029" xr:uid="{00000000-0005-0000-0000-000078000000}"/>
    <cellStyle name="Comma 2 2 10 2 3 2 2 5" xfId="12198" xr:uid="{00000000-0005-0000-0000-000079000000}"/>
    <cellStyle name="Comma 2 2 10 2 3 2 2 5 2" xfId="35477" xr:uid="{00000000-0005-0000-0000-00007A000000}"/>
    <cellStyle name="Comma 2 2 10 2 3 2 2 6" xfId="14646" xr:uid="{00000000-0005-0000-0000-00007B000000}"/>
    <cellStyle name="Comma 2 2 10 2 3 2 2 6 2" xfId="37925" xr:uid="{00000000-0005-0000-0000-00007C000000}"/>
    <cellStyle name="Comma 2 2 10 2 3 2 2 7" xfId="18341" xr:uid="{00000000-0005-0000-0000-00007D000000}"/>
    <cellStyle name="Comma 2 2 10 2 3 2 2 7 2" xfId="41619" xr:uid="{00000000-0005-0000-0000-00007E000000}"/>
    <cellStyle name="Comma 2 2 10 2 3 2 2 8" xfId="25685" xr:uid="{00000000-0005-0000-0000-00007F000000}"/>
    <cellStyle name="Comma 2 2 10 2 3 2 2 9" xfId="46515" xr:uid="{00000000-0005-0000-0000-000080000000}"/>
    <cellStyle name="Comma 2 2 10 2 3 2 3" xfId="3630" xr:uid="{00000000-0005-0000-0000-000081000000}"/>
    <cellStyle name="Comma 2 2 10 2 3 2 3 2" xfId="17117" xr:uid="{00000000-0005-0000-0000-000082000000}"/>
    <cellStyle name="Comma 2 2 10 2 3 2 3 2 2" xfId="40395" xr:uid="{00000000-0005-0000-0000-000083000000}"/>
    <cellStyle name="Comma 2 2 10 2 3 2 3 3" xfId="47739" xr:uid="{00000000-0005-0000-0000-000084000000}"/>
    <cellStyle name="Comma 2 2 10 2 3 2 3 4" xfId="26909" xr:uid="{00000000-0005-0000-0000-000085000000}"/>
    <cellStyle name="Comma 2 2 10 2 3 2 4" xfId="6078" xr:uid="{00000000-0005-0000-0000-000086000000}"/>
    <cellStyle name="Comma 2 2 10 2 3 2 4 2" xfId="19565" xr:uid="{00000000-0005-0000-0000-000087000000}"/>
    <cellStyle name="Comma 2 2 10 2 3 2 4 2 2" xfId="42843" xr:uid="{00000000-0005-0000-0000-000088000000}"/>
    <cellStyle name="Comma 2 2 10 2 3 2 4 3" xfId="29357" xr:uid="{00000000-0005-0000-0000-000089000000}"/>
    <cellStyle name="Comma 2 2 10 2 3 2 5" xfId="8526" xr:uid="{00000000-0005-0000-0000-00008A000000}"/>
    <cellStyle name="Comma 2 2 10 2 3 2 5 2" xfId="31805" xr:uid="{00000000-0005-0000-0000-00008B000000}"/>
    <cellStyle name="Comma 2 2 10 2 3 2 6" xfId="10974" xr:uid="{00000000-0005-0000-0000-00008C000000}"/>
    <cellStyle name="Comma 2 2 10 2 3 2 6 2" xfId="34253" xr:uid="{00000000-0005-0000-0000-00008D000000}"/>
    <cellStyle name="Comma 2 2 10 2 3 2 7" xfId="13422" xr:uid="{00000000-0005-0000-0000-00008E000000}"/>
    <cellStyle name="Comma 2 2 10 2 3 2 7 2" xfId="36701" xr:uid="{00000000-0005-0000-0000-00008F000000}"/>
    <cellStyle name="Comma 2 2 10 2 3 2 8" xfId="15893" xr:uid="{00000000-0005-0000-0000-000090000000}"/>
    <cellStyle name="Comma 2 2 10 2 3 2 8 2" xfId="39171" xr:uid="{00000000-0005-0000-0000-000091000000}"/>
    <cellStyle name="Comma 2 2 10 2 3 2 9" xfId="24461" xr:uid="{00000000-0005-0000-0000-000092000000}"/>
    <cellStyle name="Comma 2 2 10 2 3 3" xfId="1794" xr:uid="{00000000-0005-0000-0000-000093000000}"/>
    <cellStyle name="Comma 2 2 10 2 3 3 10" xfId="22625" xr:uid="{00000000-0005-0000-0000-000094000000}"/>
    <cellStyle name="Comma 2 2 10 2 3 3 2" xfId="4242" xr:uid="{00000000-0005-0000-0000-000095000000}"/>
    <cellStyle name="Comma 2 2 10 2 3 3 2 2" xfId="20177" xr:uid="{00000000-0005-0000-0000-000096000000}"/>
    <cellStyle name="Comma 2 2 10 2 3 3 2 2 2" xfId="43455" xr:uid="{00000000-0005-0000-0000-000097000000}"/>
    <cellStyle name="Comma 2 2 10 2 3 3 2 3" xfId="48351" xr:uid="{00000000-0005-0000-0000-000098000000}"/>
    <cellStyle name="Comma 2 2 10 2 3 3 2 4" xfId="27521" xr:uid="{00000000-0005-0000-0000-000099000000}"/>
    <cellStyle name="Comma 2 2 10 2 3 3 3" xfId="6690" xr:uid="{00000000-0005-0000-0000-00009A000000}"/>
    <cellStyle name="Comma 2 2 10 2 3 3 3 2" xfId="29969" xr:uid="{00000000-0005-0000-0000-00009B000000}"/>
    <cellStyle name="Comma 2 2 10 2 3 3 4" xfId="9138" xr:uid="{00000000-0005-0000-0000-00009C000000}"/>
    <cellStyle name="Comma 2 2 10 2 3 3 4 2" xfId="32417" xr:uid="{00000000-0005-0000-0000-00009D000000}"/>
    <cellStyle name="Comma 2 2 10 2 3 3 5" xfId="11586" xr:uid="{00000000-0005-0000-0000-00009E000000}"/>
    <cellStyle name="Comma 2 2 10 2 3 3 5 2" xfId="34865" xr:uid="{00000000-0005-0000-0000-00009F000000}"/>
    <cellStyle name="Comma 2 2 10 2 3 3 6" xfId="14034" xr:uid="{00000000-0005-0000-0000-0000A0000000}"/>
    <cellStyle name="Comma 2 2 10 2 3 3 6 2" xfId="37313" xr:uid="{00000000-0005-0000-0000-0000A1000000}"/>
    <cellStyle name="Comma 2 2 10 2 3 3 7" xfId="17729" xr:uid="{00000000-0005-0000-0000-0000A2000000}"/>
    <cellStyle name="Comma 2 2 10 2 3 3 7 2" xfId="41007" xr:uid="{00000000-0005-0000-0000-0000A3000000}"/>
    <cellStyle name="Comma 2 2 10 2 3 3 8" xfId="25073" xr:uid="{00000000-0005-0000-0000-0000A4000000}"/>
    <cellStyle name="Comma 2 2 10 2 3 3 9" xfId="45903" xr:uid="{00000000-0005-0000-0000-0000A5000000}"/>
    <cellStyle name="Comma 2 2 10 2 3 4" xfId="3018" xr:uid="{00000000-0005-0000-0000-0000A6000000}"/>
    <cellStyle name="Comma 2 2 10 2 3 4 2" xfId="16505" xr:uid="{00000000-0005-0000-0000-0000A7000000}"/>
    <cellStyle name="Comma 2 2 10 2 3 4 2 2" xfId="39783" xr:uid="{00000000-0005-0000-0000-0000A8000000}"/>
    <cellStyle name="Comma 2 2 10 2 3 4 3" xfId="47127" xr:uid="{00000000-0005-0000-0000-0000A9000000}"/>
    <cellStyle name="Comma 2 2 10 2 3 4 4" xfId="26297" xr:uid="{00000000-0005-0000-0000-0000AA000000}"/>
    <cellStyle name="Comma 2 2 10 2 3 5" xfId="5466" xr:uid="{00000000-0005-0000-0000-0000AB000000}"/>
    <cellStyle name="Comma 2 2 10 2 3 5 2" xfId="18953" xr:uid="{00000000-0005-0000-0000-0000AC000000}"/>
    <cellStyle name="Comma 2 2 10 2 3 5 2 2" xfId="42231" xr:uid="{00000000-0005-0000-0000-0000AD000000}"/>
    <cellStyle name="Comma 2 2 10 2 3 5 3" xfId="28745" xr:uid="{00000000-0005-0000-0000-0000AE000000}"/>
    <cellStyle name="Comma 2 2 10 2 3 6" xfId="7914" xr:uid="{00000000-0005-0000-0000-0000AF000000}"/>
    <cellStyle name="Comma 2 2 10 2 3 6 2" xfId="31193" xr:uid="{00000000-0005-0000-0000-0000B0000000}"/>
    <cellStyle name="Comma 2 2 10 2 3 7" xfId="10362" xr:uid="{00000000-0005-0000-0000-0000B1000000}"/>
    <cellStyle name="Comma 2 2 10 2 3 7 2" xfId="33641" xr:uid="{00000000-0005-0000-0000-0000B2000000}"/>
    <cellStyle name="Comma 2 2 10 2 3 8" xfId="12810" xr:uid="{00000000-0005-0000-0000-0000B3000000}"/>
    <cellStyle name="Comma 2 2 10 2 3 8 2" xfId="36089" xr:uid="{00000000-0005-0000-0000-0000B4000000}"/>
    <cellStyle name="Comma 2 2 10 2 3 9" xfId="15281" xr:uid="{00000000-0005-0000-0000-0000B5000000}"/>
    <cellStyle name="Comma 2 2 10 2 3 9 2" xfId="38559" xr:uid="{00000000-0005-0000-0000-0000B6000000}"/>
    <cellStyle name="Comma 2 2 10 2 4" xfId="774" xr:uid="{00000000-0005-0000-0000-0000B7000000}"/>
    <cellStyle name="Comma 2 2 10 2 4 10" xfId="44883" xr:uid="{00000000-0005-0000-0000-0000B8000000}"/>
    <cellStyle name="Comma 2 2 10 2 4 11" xfId="21605" xr:uid="{00000000-0005-0000-0000-0000B9000000}"/>
    <cellStyle name="Comma 2 2 10 2 4 2" xfId="1998" xr:uid="{00000000-0005-0000-0000-0000BA000000}"/>
    <cellStyle name="Comma 2 2 10 2 4 2 10" xfId="22829" xr:uid="{00000000-0005-0000-0000-0000BB000000}"/>
    <cellStyle name="Comma 2 2 10 2 4 2 2" xfId="4446" xr:uid="{00000000-0005-0000-0000-0000BC000000}"/>
    <cellStyle name="Comma 2 2 10 2 4 2 2 2" xfId="20381" xr:uid="{00000000-0005-0000-0000-0000BD000000}"/>
    <cellStyle name="Comma 2 2 10 2 4 2 2 2 2" xfId="43659" xr:uid="{00000000-0005-0000-0000-0000BE000000}"/>
    <cellStyle name="Comma 2 2 10 2 4 2 2 3" xfId="48555" xr:uid="{00000000-0005-0000-0000-0000BF000000}"/>
    <cellStyle name="Comma 2 2 10 2 4 2 2 4" xfId="27725" xr:uid="{00000000-0005-0000-0000-0000C0000000}"/>
    <cellStyle name="Comma 2 2 10 2 4 2 3" xfId="6894" xr:uid="{00000000-0005-0000-0000-0000C1000000}"/>
    <cellStyle name="Comma 2 2 10 2 4 2 3 2" xfId="30173" xr:uid="{00000000-0005-0000-0000-0000C2000000}"/>
    <cellStyle name="Comma 2 2 10 2 4 2 4" xfId="9342" xr:uid="{00000000-0005-0000-0000-0000C3000000}"/>
    <cellStyle name="Comma 2 2 10 2 4 2 4 2" xfId="32621" xr:uid="{00000000-0005-0000-0000-0000C4000000}"/>
    <cellStyle name="Comma 2 2 10 2 4 2 5" xfId="11790" xr:uid="{00000000-0005-0000-0000-0000C5000000}"/>
    <cellStyle name="Comma 2 2 10 2 4 2 5 2" xfId="35069" xr:uid="{00000000-0005-0000-0000-0000C6000000}"/>
    <cellStyle name="Comma 2 2 10 2 4 2 6" xfId="14238" xr:uid="{00000000-0005-0000-0000-0000C7000000}"/>
    <cellStyle name="Comma 2 2 10 2 4 2 6 2" xfId="37517" xr:uid="{00000000-0005-0000-0000-0000C8000000}"/>
    <cellStyle name="Comma 2 2 10 2 4 2 7" xfId="17933" xr:uid="{00000000-0005-0000-0000-0000C9000000}"/>
    <cellStyle name="Comma 2 2 10 2 4 2 7 2" xfId="41211" xr:uid="{00000000-0005-0000-0000-0000CA000000}"/>
    <cellStyle name="Comma 2 2 10 2 4 2 8" xfId="25277" xr:uid="{00000000-0005-0000-0000-0000CB000000}"/>
    <cellStyle name="Comma 2 2 10 2 4 2 9" xfId="46107" xr:uid="{00000000-0005-0000-0000-0000CC000000}"/>
    <cellStyle name="Comma 2 2 10 2 4 3" xfId="3222" xr:uid="{00000000-0005-0000-0000-0000CD000000}"/>
    <cellStyle name="Comma 2 2 10 2 4 3 2" xfId="16709" xr:uid="{00000000-0005-0000-0000-0000CE000000}"/>
    <cellStyle name="Comma 2 2 10 2 4 3 2 2" xfId="39987" xr:uid="{00000000-0005-0000-0000-0000CF000000}"/>
    <cellStyle name="Comma 2 2 10 2 4 3 3" xfId="47331" xr:uid="{00000000-0005-0000-0000-0000D0000000}"/>
    <cellStyle name="Comma 2 2 10 2 4 3 4" xfId="26501" xr:uid="{00000000-0005-0000-0000-0000D1000000}"/>
    <cellStyle name="Comma 2 2 10 2 4 4" xfId="5670" xr:uid="{00000000-0005-0000-0000-0000D2000000}"/>
    <cellStyle name="Comma 2 2 10 2 4 4 2" xfId="19157" xr:uid="{00000000-0005-0000-0000-0000D3000000}"/>
    <cellStyle name="Comma 2 2 10 2 4 4 2 2" xfId="42435" xr:uid="{00000000-0005-0000-0000-0000D4000000}"/>
    <cellStyle name="Comma 2 2 10 2 4 4 3" xfId="28949" xr:uid="{00000000-0005-0000-0000-0000D5000000}"/>
    <cellStyle name="Comma 2 2 10 2 4 5" xfId="8118" xr:uid="{00000000-0005-0000-0000-0000D6000000}"/>
    <cellStyle name="Comma 2 2 10 2 4 5 2" xfId="31397" xr:uid="{00000000-0005-0000-0000-0000D7000000}"/>
    <cellStyle name="Comma 2 2 10 2 4 6" xfId="10566" xr:uid="{00000000-0005-0000-0000-0000D8000000}"/>
    <cellStyle name="Comma 2 2 10 2 4 6 2" xfId="33845" xr:uid="{00000000-0005-0000-0000-0000D9000000}"/>
    <cellStyle name="Comma 2 2 10 2 4 7" xfId="13014" xr:uid="{00000000-0005-0000-0000-0000DA000000}"/>
    <cellStyle name="Comma 2 2 10 2 4 7 2" xfId="36293" xr:uid="{00000000-0005-0000-0000-0000DB000000}"/>
    <cellStyle name="Comma 2 2 10 2 4 8" xfId="15485" xr:uid="{00000000-0005-0000-0000-0000DC000000}"/>
    <cellStyle name="Comma 2 2 10 2 4 8 2" xfId="38763" xr:uid="{00000000-0005-0000-0000-0000DD000000}"/>
    <cellStyle name="Comma 2 2 10 2 4 9" xfId="24053" xr:uid="{00000000-0005-0000-0000-0000DE000000}"/>
    <cellStyle name="Comma 2 2 10 2 5" xfId="1386" xr:uid="{00000000-0005-0000-0000-0000DF000000}"/>
    <cellStyle name="Comma 2 2 10 2 5 10" xfId="22217" xr:uid="{00000000-0005-0000-0000-0000E0000000}"/>
    <cellStyle name="Comma 2 2 10 2 5 2" xfId="3834" xr:uid="{00000000-0005-0000-0000-0000E1000000}"/>
    <cellStyle name="Comma 2 2 10 2 5 2 2" xfId="19769" xr:uid="{00000000-0005-0000-0000-0000E2000000}"/>
    <cellStyle name="Comma 2 2 10 2 5 2 2 2" xfId="43047" xr:uid="{00000000-0005-0000-0000-0000E3000000}"/>
    <cellStyle name="Comma 2 2 10 2 5 2 3" xfId="47943" xr:uid="{00000000-0005-0000-0000-0000E4000000}"/>
    <cellStyle name="Comma 2 2 10 2 5 2 4" xfId="27113" xr:uid="{00000000-0005-0000-0000-0000E5000000}"/>
    <cellStyle name="Comma 2 2 10 2 5 3" xfId="6282" xr:uid="{00000000-0005-0000-0000-0000E6000000}"/>
    <cellStyle name="Comma 2 2 10 2 5 3 2" xfId="29561" xr:uid="{00000000-0005-0000-0000-0000E7000000}"/>
    <cellStyle name="Comma 2 2 10 2 5 4" xfId="8730" xr:uid="{00000000-0005-0000-0000-0000E8000000}"/>
    <cellStyle name="Comma 2 2 10 2 5 4 2" xfId="32009" xr:uid="{00000000-0005-0000-0000-0000E9000000}"/>
    <cellStyle name="Comma 2 2 10 2 5 5" xfId="11178" xr:uid="{00000000-0005-0000-0000-0000EA000000}"/>
    <cellStyle name="Comma 2 2 10 2 5 5 2" xfId="34457" xr:uid="{00000000-0005-0000-0000-0000EB000000}"/>
    <cellStyle name="Comma 2 2 10 2 5 6" xfId="13626" xr:uid="{00000000-0005-0000-0000-0000EC000000}"/>
    <cellStyle name="Comma 2 2 10 2 5 6 2" xfId="36905" xr:uid="{00000000-0005-0000-0000-0000ED000000}"/>
    <cellStyle name="Comma 2 2 10 2 5 7" xfId="17321" xr:uid="{00000000-0005-0000-0000-0000EE000000}"/>
    <cellStyle name="Comma 2 2 10 2 5 7 2" xfId="40599" xr:uid="{00000000-0005-0000-0000-0000EF000000}"/>
    <cellStyle name="Comma 2 2 10 2 5 8" xfId="24665" xr:uid="{00000000-0005-0000-0000-0000F0000000}"/>
    <cellStyle name="Comma 2 2 10 2 5 9" xfId="45495" xr:uid="{00000000-0005-0000-0000-0000F1000000}"/>
    <cellStyle name="Comma 2 2 10 2 6" xfId="2610" xr:uid="{00000000-0005-0000-0000-0000F2000000}"/>
    <cellStyle name="Comma 2 2 10 2 6 2" xfId="16097" xr:uid="{00000000-0005-0000-0000-0000F3000000}"/>
    <cellStyle name="Comma 2 2 10 2 6 2 2" xfId="39375" xr:uid="{00000000-0005-0000-0000-0000F4000000}"/>
    <cellStyle name="Comma 2 2 10 2 6 3" xfId="46719" xr:uid="{00000000-0005-0000-0000-0000F5000000}"/>
    <cellStyle name="Comma 2 2 10 2 6 4" xfId="25889" xr:uid="{00000000-0005-0000-0000-0000F6000000}"/>
    <cellStyle name="Comma 2 2 10 2 7" xfId="5058" xr:uid="{00000000-0005-0000-0000-0000F7000000}"/>
    <cellStyle name="Comma 2 2 10 2 7 2" xfId="18545" xr:uid="{00000000-0005-0000-0000-0000F8000000}"/>
    <cellStyle name="Comma 2 2 10 2 7 2 2" xfId="41823" xr:uid="{00000000-0005-0000-0000-0000F9000000}"/>
    <cellStyle name="Comma 2 2 10 2 7 3" xfId="28337" xr:uid="{00000000-0005-0000-0000-0000FA000000}"/>
    <cellStyle name="Comma 2 2 10 2 8" xfId="7506" xr:uid="{00000000-0005-0000-0000-0000FB000000}"/>
    <cellStyle name="Comma 2 2 10 2 8 2" xfId="30785" xr:uid="{00000000-0005-0000-0000-0000FC000000}"/>
    <cellStyle name="Comma 2 2 10 2 9" xfId="9954" xr:uid="{00000000-0005-0000-0000-0000FD000000}"/>
    <cellStyle name="Comma 2 2 10 2 9 2" xfId="33233" xr:uid="{00000000-0005-0000-0000-0000FE000000}"/>
    <cellStyle name="Comma 2 2 10 3" xfId="230" xr:uid="{00000000-0005-0000-0000-0000FF000000}"/>
    <cellStyle name="Comma 2 2 10 3 10" xfId="12470" xr:uid="{00000000-0005-0000-0000-000000010000}"/>
    <cellStyle name="Comma 2 2 10 3 10 2" xfId="35749" xr:uid="{00000000-0005-0000-0000-000001010000}"/>
    <cellStyle name="Comma 2 2 10 3 11" xfId="14941" xr:uid="{00000000-0005-0000-0000-000002010000}"/>
    <cellStyle name="Comma 2 2 10 3 11 2" xfId="38219" xr:uid="{00000000-0005-0000-0000-000003010000}"/>
    <cellStyle name="Comma 2 2 10 3 12" xfId="23509" xr:uid="{00000000-0005-0000-0000-000004010000}"/>
    <cellStyle name="Comma 2 2 10 3 13" xfId="44339" xr:uid="{00000000-0005-0000-0000-000005010000}"/>
    <cellStyle name="Comma 2 2 10 3 14" xfId="21061" xr:uid="{00000000-0005-0000-0000-000006010000}"/>
    <cellStyle name="Comma 2 2 10 3 2" xfId="434" xr:uid="{00000000-0005-0000-0000-000007010000}"/>
    <cellStyle name="Comma 2 2 10 3 2 10" xfId="23713" xr:uid="{00000000-0005-0000-0000-000008010000}"/>
    <cellStyle name="Comma 2 2 10 3 2 11" xfId="44543" xr:uid="{00000000-0005-0000-0000-000009010000}"/>
    <cellStyle name="Comma 2 2 10 3 2 12" xfId="21265" xr:uid="{00000000-0005-0000-0000-00000A010000}"/>
    <cellStyle name="Comma 2 2 10 3 2 2" xfId="1046" xr:uid="{00000000-0005-0000-0000-00000B010000}"/>
    <cellStyle name="Comma 2 2 10 3 2 2 10" xfId="45155" xr:uid="{00000000-0005-0000-0000-00000C010000}"/>
    <cellStyle name="Comma 2 2 10 3 2 2 11" xfId="21877" xr:uid="{00000000-0005-0000-0000-00000D010000}"/>
    <cellStyle name="Comma 2 2 10 3 2 2 2" xfId="2270" xr:uid="{00000000-0005-0000-0000-00000E010000}"/>
    <cellStyle name="Comma 2 2 10 3 2 2 2 10" xfId="23101" xr:uid="{00000000-0005-0000-0000-00000F010000}"/>
    <cellStyle name="Comma 2 2 10 3 2 2 2 2" xfId="4718" xr:uid="{00000000-0005-0000-0000-000010010000}"/>
    <cellStyle name="Comma 2 2 10 3 2 2 2 2 2" xfId="20653" xr:uid="{00000000-0005-0000-0000-000011010000}"/>
    <cellStyle name="Comma 2 2 10 3 2 2 2 2 2 2" xfId="43931" xr:uid="{00000000-0005-0000-0000-000012010000}"/>
    <cellStyle name="Comma 2 2 10 3 2 2 2 2 3" xfId="48827" xr:uid="{00000000-0005-0000-0000-000013010000}"/>
    <cellStyle name="Comma 2 2 10 3 2 2 2 2 4" xfId="27997" xr:uid="{00000000-0005-0000-0000-000014010000}"/>
    <cellStyle name="Comma 2 2 10 3 2 2 2 3" xfId="7166" xr:uid="{00000000-0005-0000-0000-000015010000}"/>
    <cellStyle name="Comma 2 2 10 3 2 2 2 3 2" xfId="30445" xr:uid="{00000000-0005-0000-0000-000016010000}"/>
    <cellStyle name="Comma 2 2 10 3 2 2 2 4" xfId="9614" xr:uid="{00000000-0005-0000-0000-000017010000}"/>
    <cellStyle name="Comma 2 2 10 3 2 2 2 4 2" xfId="32893" xr:uid="{00000000-0005-0000-0000-000018010000}"/>
    <cellStyle name="Comma 2 2 10 3 2 2 2 5" xfId="12062" xr:uid="{00000000-0005-0000-0000-000019010000}"/>
    <cellStyle name="Comma 2 2 10 3 2 2 2 5 2" xfId="35341" xr:uid="{00000000-0005-0000-0000-00001A010000}"/>
    <cellStyle name="Comma 2 2 10 3 2 2 2 6" xfId="14510" xr:uid="{00000000-0005-0000-0000-00001B010000}"/>
    <cellStyle name="Comma 2 2 10 3 2 2 2 6 2" xfId="37789" xr:uid="{00000000-0005-0000-0000-00001C010000}"/>
    <cellStyle name="Comma 2 2 10 3 2 2 2 7" xfId="18205" xr:uid="{00000000-0005-0000-0000-00001D010000}"/>
    <cellStyle name="Comma 2 2 10 3 2 2 2 7 2" xfId="41483" xr:uid="{00000000-0005-0000-0000-00001E010000}"/>
    <cellStyle name="Comma 2 2 10 3 2 2 2 8" xfId="25549" xr:uid="{00000000-0005-0000-0000-00001F010000}"/>
    <cellStyle name="Comma 2 2 10 3 2 2 2 9" xfId="46379" xr:uid="{00000000-0005-0000-0000-000020010000}"/>
    <cellStyle name="Comma 2 2 10 3 2 2 3" xfId="3494" xr:uid="{00000000-0005-0000-0000-000021010000}"/>
    <cellStyle name="Comma 2 2 10 3 2 2 3 2" xfId="16981" xr:uid="{00000000-0005-0000-0000-000022010000}"/>
    <cellStyle name="Comma 2 2 10 3 2 2 3 2 2" xfId="40259" xr:uid="{00000000-0005-0000-0000-000023010000}"/>
    <cellStyle name="Comma 2 2 10 3 2 2 3 3" xfId="47603" xr:uid="{00000000-0005-0000-0000-000024010000}"/>
    <cellStyle name="Comma 2 2 10 3 2 2 3 4" xfId="26773" xr:uid="{00000000-0005-0000-0000-000025010000}"/>
    <cellStyle name="Comma 2 2 10 3 2 2 4" xfId="5942" xr:uid="{00000000-0005-0000-0000-000026010000}"/>
    <cellStyle name="Comma 2 2 10 3 2 2 4 2" xfId="19429" xr:uid="{00000000-0005-0000-0000-000027010000}"/>
    <cellStyle name="Comma 2 2 10 3 2 2 4 2 2" xfId="42707" xr:uid="{00000000-0005-0000-0000-000028010000}"/>
    <cellStyle name="Comma 2 2 10 3 2 2 4 3" xfId="29221" xr:uid="{00000000-0005-0000-0000-000029010000}"/>
    <cellStyle name="Comma 2 2 10 3 2 2 5" xfId="8390" xr:uid="{00000000-0005-0000-0000-00002A010000}"/>
    <cellStyle name="Comma 2 2 10 3 2 2 5 2" xfId="31669" xr:uid="{00000000-0005-0000-0000-00002B010000}"/>
    <cellStyle name="Comma 2 2 10 3 2 2 6" xfId="10838" xr:uid="{00000000-0005-0000-0000-00002C010000}"/>
    <cellStyle name="Comma 2 2 10 3 2 2 6 2" xfId="34117" xr:uid="{00000000-0005-0000-0000-00002D010000}"/>
    <cellStyle name="Comma 2 2 10 3 2 2 7" xfId="13286" xr:uid="{00000000-0005-0000-0000-00002E010000}"/>
    <cellStyle name="Comma 2 2 10 3 2 2 7 2" xfId="36565" xr:uid="{00000000-0005-0000-0000-00002F010000}"/>
    <cellStyle name="Comma 2 2 10 3 2 2 8" xfId="15757" xr:uid="{00000000-0005-0000-0000-000030010000}"/>
    <cellStyle name="Comma 2 2 10 3 2 2 8 2" xfId="39035" xr:uid="{00000000-0005-0000-0000-000031010000}"/>
    <cellStyle name="Comma 2 2 10 3 2 2 9" xfId="24325" xr:uid="{00000000-0005-0000-0000-000032010000}"/>
    <cellStyle name="Comma 2 2 10 3 2 3" xfId="1658" xr:uid="{00000000-0005-0000-0000-000033010000}"/>
    <cellStyle name="Comma 2 2 10 3 2 3 10" xfId="22489" xr:uid="{00000000-0005-0000-0000-000034010000}"/>
    <cellStyle name="Comma 2 2 10 3 2 3 2" xfId="4106" xr:uid="{00000000-0005-0000-0000-000035010000}"/>
    <cellStyle name="Comma 2 2 10 3 2 3 2 2" xfId="20041" xr:uid="{00000000-0005-0000-0000-000036010000}"/>
    <cellStyle name="Comma 2 2 10 3 2 3 2 2 2" xfId="43319" xr:uid="{00000000-0005-0000-0000-000037010000}"/>
    <cellStyle name="Comma 2 2 10 3 2 3 2 3" xfId="48215" xr:uid="{00000000-0005-0000-0000-000038010000}"/>
    <cellStyle name="Comma 2 2 10 3 2 3 2 4" xfId="27385" xr:uid="{00000000-0005-0000-0000-000039010000}"/>
    <cellStyle name="Comma 2 2 10 3 2 3 3" xfId="6554" xr:uid="{00000000-0005-0000-0000-00003A010000}"/>
    <cellStyle name="Comma 2 2 10 3 2 3 3 2" xfId="29833" xr:uid="{00000000-0005-0000-0000-00003B010000}"/>
    <cellStyle name="Comma 2 2 10 3 2 3 4" xfId="9002" xr:uid="{00000000-0005-0000-0000-00003C010000}"/>
    <cellStyle name="Comma 2 2 10 3 2 3 4 2" xfId="32281" xr:uid="{00000000-0005-0000-0000-00003D010000}"/>
    <cellStyle name="Comma 2 2 10 3 2 3 5" xfId="11450" xr:uid="{00000000-0005-0000-0000-00003E010000}"/>
    <cellStyle name="Comma 2 2 10 3 2 3 5 2" xfId="34729" xr:uid="{00000000-0005-0000-0000-00003F010000}"/>
    <cellStyle name="Comma 2 2 10 3 2 3 6" xfId="13898" xr:uid="{00000000-0005-0000-0000-000040010000}"/>
    <cellStyle name="Comma 2 2 10 3 2 3 6 2" xfId="37177" xr:uid="{00000000-0005-0000-0000-000041010000}"/>
    <cellStyle name="Comma 2 2 10 3 2 3 7" xfId="17593" xr:uid="{00000000-0005-0000-0000-000042010000}"/>
    <cellStyle name="Comma 2 2 10 3 2 3 7 2" xfId="40871" xr:uid="{00000000-0005-0000-0000-000043010000}"/>
    <cellStyle name="Comma 2 2 10 3 2 3 8" xfId="24937" xr:uid="{00000000-0005-0000-0000-000044010000}"/>
    <cellStyle name="Comma 2 2 10 3 2 3 9" xfId="45767" xr:uid="{00000000-0005-0000-0000-000045010000}"/>
    <cellStyle name="Comma 2 2 10 3 2 4" xfId="2882" xr:uid="{00000000-0005-0000-0000-000046010000}"/>
    <cellStyle name="Comma 2 2 10 3 2 4 2" xfId="16369" xr:uid="{00000000-0005-0000-0000-000047010000}"/>
    <cellStyle name="Comma 2 2 10 3 2 4 2 2" xfId="39647" xr:uid="{00000000-0005-0000-0000-000048010000}"/>
    <cellStyle name="Comma 2 2 10 3 2 4 3" xfId="46991" xr:uid="{00000000-0005-0000-0000-000049010000}"/>
    <cellStyle name="Comma 2 2 10 3 2 4 4" xfId="26161" xr:uid="{00000000-0005-0000-0000-00004A010000}"/>
    <cellStyle name="Comma 2 2 10 3 2 5" xfId="5330" xr:uid="{00000000-0005-0000-0000-00004B010000}"/>
    <cellStyle name="Comma 2 2 10 3 2 5 2" xfId="18817" xr:uid="{00000000-0005-0000-0000-00004C010000}"/>
    <cellStyle name="Comma 2 2 10 3 2 5 2 2" xfId="42095" xr:uid="{00000000-0005-0000-0000-00004D010000}"/>
    <cellStyle name="Comma 2 2 10 3 2 5 3" xfId="28609" xr:uid="{00000000-0005-0000-0000-00004E010000}"/>
    <cellStyle name="Comma 2 2 10 3 2 6" xfId="7778" xr:uid="{00000000-0005-0000-0000-00004F010000}"/>
    <cellStyle name="Comma 2 2 10 3 2 6 2" xfId="31057" xr:uid="{00000000-0005-0000-0000-000050010000}"/>
    <cellStyle name="Comma 2 2 10 3 2 7" xfId="10226" xr:uid="{00000000-0005-0000-0000-000051010000}"/>
    <cellStyle name="Comma 2 2 10 3 2 7 2" xfId="33505" xr:uid="{00000000-0005-0000-0000-000052010000}"/>
    <cellStyle name="Comma 2 2 10 3 2 8" xfId="12674" xr:uid="{00000000-0005-0000-0000-000053010000}"/>
    <cellStyle name="Comma 2 2 10 3 2 8 2" xfId="35953" xr:uid="{00000000-0005-0000-0000-000054010000}"/>
    <cellStyle name="Comma 2 2 10 3 2 9" xfId="15145" xr:uid="{00000000-0005-0000-0000-000055010000}"/>
    <cellStyle name="Comma 2 2 10 3 2 9 2" xfId="38423" xr:uid="{00000000-0005-0000-0000-000056010000}"/>
    <cellStyle name="Comma 2 2 10 3 3" xfId="638" xr:uid="{00000000-0005-0000-0000-000057010000}"/>
    <cellStyle name="Comma 2 2 10 3 3 10" xfId="23917" xr:uid="{00000000-0005-0000-0000-000058010000}"/>
    <cellStyle name="Comma 2 2 10 3 3 11" xfId="44747" xr:uid="{00000000-0005-0000-0000-000059010000}"/>
    <cellStyle name="Comma 2 2 10 3 3 12" xfId="21469" xr:uid="{00000000-0005-0000-0000-00005A010000}"/>
    <cellStyle name="Comma 2 2 10 3 3 2" xfId="1250" xr:uid="{00000000-0005-0000-0000-00005B010000}"/>
    <cellStyle name="Comma 2 2 10 3 3 2 10" xfId="45359" xr:uid="{00000000-0005-0000-0000-00005C010000}"/>
    <cellStyle name="Comma 2 2 10 3 3 2 11" xfId="22081" xr:uid="{00000000-0005-0000-0000-00005D010000}"/>
    <cellStyle name="Comma 2 2 10 3 3 2 2" xfId="2474" xr:uid="{00000000-0005-0000-0000-00005E010000}"/>
    <cellStyle name="Comma 2 2 10 3 3 2 2 10" xfId="23305" xr:uid="{00000000-0005-0000-0000-00005F010000}"/>
    <cellStyle name="Comma 2 2 10 3 3 2 2 2" xfId="4922" xr:uid="{00000000-0005-0000-0000-000060010000}"/>
    <cellStyle name="Comma 2 2 10 3 3 2 2 2 2" xfId="20857" xr:uid="{00000000-0005-0000-0000-000061010000}"/>
    <cellStyle name="Comma 2 2 10 3 3 2 2 2 2 2" xfId="44135" xr:uid="{00000000-0005-0000-0000-000062010000}"/>
    <cellStyle name="Comma 2 2 10 3 3 2 2 2 3" xfId="49031" xr:uid="{00000000-0005-0000-0000-000063010000}"/>
    <cellStyle name="Comma 2 2 10 3 3 2 2 2 4" xfId="28201" xr:uid="{00000000-0005-0000-0000-000064010000}"/>
    <cellStyle name="Comma 2 2 10 3 3 2 2 3" xfId="7370" xr:uid="{00000000-0005-0000-0000-000065010000}"/>
    <cellStyle name="Comma 2 2 10 3 3 2 2 3 2" xfId="30649" xr:uid="{00000000-0005-0000-0000-000066010000}"/>
    <cellStyle name="Comma 2 2 10 3 3 2 2 4" xfId="9818" xr:uid="{00000000-0005-0000-0000-000067010000}"/>
    <cellStyle name="Comma 2 2 10 3 3 2 2 4 2" xfId="33097" xr:uid="{00000000-0005-0000-0000-000068010000}"/>
    <cellStyle name="Comma 2 2 10 3 3 2 2 5" xfId="12266" xr:uid="{00000000-0005-0000-0000-000069010000}"/>
    <cellStyle name="Comma 2 2 10 3 3 2 2 5 2" xfId="35545" xr:uid="{00000000-0005-0000-0000-00006A010000}"/>
    <cellStyle name="Comma 2 2 10 3 3 2 2 6" xfId="14714" xr:uid="{00000000-0005-0000-0000-00006B010000}"/>
    <cellStyle name="Comma 2 2 10 3 3 2 2 6 2" xfId="37993" xr:uid="{00000000-0005-0000-0000-00006C010000}"/>
    <cellStyle name="Comma 2 2 10 3 3 2 2 7" xfId="18409" xr:uid="{00000000-0005-0000-0000-00006D010000}"/>
    <cellStyle name="Comma 2 2 10 3 3 2 2 7 2" xfId="41687" xr:uid="{00000000-0005-0000-0000-00006E010000}"/>
    <cellStyle name="Comma 2 2 10 3 3 2 2 8" xfId="25753" xr:uid="{00000000-0005-0000-0000-00006F010000}"/>
    <cellStyle name="Comma 2 2 10 3 3 2 2 9" xfId="46583" xr:uid="{00000000-0005-0000-0000-000070010000}"/>
    <cellStyle name="Comma 2 2 10 3 3 2 3" xfId="3698" xr:uid="{00000000-0005-0000-0000-000071010000}"/>
    <cellStyle name="Comma 2 2 10 3 3 2 3 2" xfId="17185" xr:uid="{00000000-0005-0000-0000-000072010000}"/>
    <cellStyle name="Comma 2 2 10 3 3 2 3 2 2" xfId="40463" xr:uid="{00000000-0005-0000-0000-000073010000}"/>
    <cellStyle name="Comma 2 2 10 3 3 2 3 3" xfId="47807" xr:uid="{00000000-0005-0000-0000-000074010000}"/>
    <cellStyle name="Comma 2 2 10 3 3 2 3 4" xfId="26977" xr:uid="{00000000-0005-0000-0000-000075010000}"/>
    <cellStyle name="Comma 2 2 10 3 3 2 4" xfId="6146" xr:uid="{00000000-0005-0000-0000-000076010000}"/>
    <cellStyle name="Comma 2 2 10 3 3 2 4 2" xfId="19633" xr:uid="{00000000-0005-0000-0000-000077010000}"/>
    <cellStyle name="Comma 2 2 10 3 3 2 4 2 2" xfId="42911" xr:uid="{00000000-0005-0000-0000-000078010000}"/>
    <cellStyle name="Comma 2 2 10 3 3 2 4 3" xfId="29425" xr:uid="{00000000-0005-0000-0000-000079010000}"/>
    <cellStyle name="Comma 2 2 10 3 3 2 5" xfId="8594" xr:uid="{00000000-0005-0000-0000-00007A010000}"/>
    <cellStyle name="Comma 2 2 10 3 3 2 5 2" xfId="31873" xr:uid="{00000000-0005-0000-0000-00007B010000}"/>
    <cellStyle name="Comma 2 2 10 3 3 2 6" xfId="11042" xr:uid="{00000000-0005-0000-0000-00007C010000}"/>
    <cellStyle name="Comma 2 2 10 3 3 2 6 2" xfId="34321" xr:uid="{00000000-0005-0000-0000-00007D010000}"/>
    <cellStyle name="Comma 2 2 10 3 3 2 7" xfId="13490" xr:uid="{00000000-0005-0000-0000-00007E010000}"/>
    <cellStyle name="Comma 2 2 10 3 3 2 7 2" xfId="36769" xr:uid="{00000000-0005-0000-0000-00007F010000}"/>
    <cellStyle name="Comma 2 2 10 3 3 2 8" xfId="15961" xr:uid="{00000000-0005-0000-0000-000080010000}"/>
    <cellStyle name="Comma 2 2 10 3 3 2 8 2" xfId="39239" xr:uid="{00000000-0005-0000-0000-000081010000}"/>
    <cellStyle name="Comma 2 2 10 3 3 2 9" xfId="24529" xr:uid="{00000000-0005-0000-0000-000082010000}"/>
    <cellStyle name="Comma 2 2 10 3 3 3" xfId="1862" xr:uid="{00000000-0005-0000-0000-000083010000}"/>
    <cellStyle name="Comma 2 2 10 3 3 3 10" xfId="22693" xr:uid="{00000000-0005-0000-0000-000084010000}"/>
    <cellStyle name="Comma 2 2 10 3 3 3 2" xfId="4310" xr:uid="{00000000-0005-0000-0000-000085010000}"/>
    <cellStyle name="Comma 2 2 10 3 3 3 2 2" xfId="20245" xr:uid="{00000000-0005-0000-0000-000086010000}"/>
    <cellStyle name="Comma 2 2 10 3 3 3 2 2 2" xfId="43523" xr:uid="{00000000-0005-0000-0000-000087010000}"/>
    <cellStyle name="Comma 2 2 10 3 3 3 2 3" xfId="48419" xr:uid="{00000000-0005-0000-0000-000088010000}"/>
    <cellStyle name="Comma 2 2 10 3 3 3 2 4" xfId="27589" xr:uid="{00000000-0005-0000-0000-000089010000}"/>
    <cellStyle name="Comma 2 2 10 3 3 3 3" xfId="6758" xr:uid="{00000000-0005-0000-0000-00008A010000}"/>
    <cellStyle name="Comma 2 2 10 3 3 3 3 2" xfId="30037" xr:uid="{00000000-0005-0000-0000-00008B010000}"/>
    <cellStyle name="Comma 2 2 10 3 3 3 4" xfId="9206" xr:uid="{00000000-0005-0000-0000-00008C010000}"/>
    <cellStyle name="Comma 2 2 10 3 3 3 4 2" xfId="32485" xr:uid="{00000000-0005-0000-0000-00008D010000}"/>
    <cellStyle name="Comma 2 2 10 3 3 3 5" xfId="11654" xr:uid="{00000000-0005-0000-0000-00008E010000}"/>
    <cellStyle name="Comma 2 2 10 3 3 3 5 2" xfId="34933" xr:uid="{00000000-0005-0000-0000-00008F010000}"/>
    <cellStyle name="Comma 2 2 10 3 3 3 6" xfId="14102" xr:uid="{00000000-0005-0000-0000-000090010000}"/>
    <cellStyle name="Comma 2 2 10 3 3 3 6 2" xfId="37381" xr:uid="{00000000-0005-0000-0000-000091010000}"/>
    <cellStyle name="Comma 2 2 10 3 3 3 7" xfId="17797" xr:uid="{00000000-0005-0000-0000-000092010000}"/>
    <cellStyle name="Comma 2 2 10 3 3 3 7 2" xfId="41075" xr:uid="{00000000-0005-0000-0000-000093010000}"/>
    <cellStyle name="Comma 2 2 10 3 3 3 8" xfId="25141" xr:uid="{00000000-0005-0000-0000-000094010000}"/>
    <cellStyle name="Comma 2 2 10 3 3 3 9" xfId="45971" xr:uid="{00000000-0005-0000-0000-000095010000}"/>
    <cellStyle name="Comma 2 2 10 3 3 4" xfId="3086" xr:uid="{00000000-0005-0000-0000-000096010000}"/>
    <cellStyle name="Comma 2 2 10 3 3 4 2" xfId="16573" xr:uid="{00000000-0005-0000-0000-000097010000}"/>
    <cellStyle name="Comma 2 2 10 3 3 4 2 2" xfId="39851" xr:uid="{00000000-0005-0000-0000-000098010000}"/>
    <cellStyle name="Comma 2 2 10 3 3 4 3" xfId="47195" xr:uid="{00000000-0005-0000-0000-000099010000}"/>
    <cellStyle name="Comma 2 2 10 3 3 4 4" xfId="26365" xr:uid="{00000000-0005-0000-0000-00009A010000}"/>
    <cellStyle name="Comma 2 2 10 3 3 5" xfId="5534" xr:uid="{00000000-0005-0000-0000-00009B010000}"/>
    <cellStyle name="Comma 2 2 10 3 3 5 2" xfId="19021" xr:uid="{00000000-0005-0000-0000-00009C010000}"/>
    <cellStyle name="Comma 2 2 10 3 3 5 2 2" xfId="42299" xr:uid="{00000000-0005-0000-0000-00009D010000}"/>
    <cellStyle name="Comma 2 2 10 3 3 5 3" xfId="28813" xr:uid="{00000000-0005-0000-0000-00009E010000}"/>
    <cellStyle name="Comma 2 2 10 3 3 6" xfId="7982" xr:uid="{00000000-0005-0000-0000-00009F010000}"/>
    <cellStyle name="Comma 2 2 10 3 3 6 2" xfId="31261" xr:uid="{00000000-0005-0000-0000-0000A0010000}"/>
    <cellStyle name="Comma 2 2 10 3 3 7" xfId="10430" xr:uid="{00000000-0005-0000-0000-0000A1010000}"/>
    <cellStyle name="Comma 2 2 10 3 3 7 2" xfId="33709" xr:uid="{00000000-0005-0000-0000-0000A2010000}"/>
    <cellStyle name="Comma 2 2 10 3 3 8" xfId="12878" xr:uid="{00000000-0005-0000-0000-0000A3010000}"/>
    <cellStyle name="Comma 2 2 10 3 3 8 2" xfId="36157" xr:uid="{00000000-0005-0000-0000-0000A4010000}"/>
    <cellStyle name="Comma 2 2 10 3 3 9" xfId="15349" xr:uid="{00000000-0005-0000-0000-0000A5010000}"/>
    <cellStyle name="Comma 2 2 10 3 3 9 2" xfId="38627" xr:uid="{00000000-0005-0000-0000-0000A6010000}"/>
    <cellStyle name="Comma 2 2 10 3 4" xfId="842" xr:uid="{00000000-0005-0000-0000-0000A7010000}"/>
    <cellStyle name="Comma 2 2 10 3 4 10" xfId="44951" xr:uid="{00000000-0005-0000-0000-0000A8010000}"/>
    <cellStyle name="Comma 2 2 10 3 4 11" xfId="21673" xr:uid="{00000000-0005-0000-0000-0000A9010000}"/>
    <cellStyle name="Comma 2 2 10 3 4 2" xfId="2066" xr:uid="{00000000-0005-0000-0000-0000AA010000}"/>
    <cellStyle name="Comma 2 2 10 3 4 2 10" xfId="22897" xr:uid="{00000000-0005-0000-0000-0000AB010000}"/>
    <cellStyle name="Comma 2 2 10 3 4 2 2" xfId="4514" xr:uid="{00000000-0005-0000-0000-0000AC010000}"/>
    <cellStyle name="Comma 2 2 10 3 4 2 2 2" xfId="20449" xr:uid="{00000000-0005-0000-0000-0000AD010000}"/>
    <cellStyle name="Comma 2 2 10 3 4 2 2 2 2" xfId="43727" xr:uid="{00000000-0005-0000-0000-0000AE010000}"/>
    <cellStyle name="Comma 2 2 10 3 4 2 2 3" xfId="48623" xr:uid="{00000000-0005-0000-0000-0000AF010000}"/>
    <cellStyle name="Comma 2 2 10 3 4 2 2 4" xfId="27793" xr:uid="{00000000-0005-0000-0000-0000B0010000}"/>
    <cellStyle name="Comma 2 2 10 3 4 2 3" xfId="6962" xr:uid="{00000000-0005-0000-0000-0000B1010000}"/>
    <cellStyle name="Comma 2 2 10 3 4 2 3 2" xfId="30241" xr:uid="{00000000-0005-0000-0000-0000B2010000}"/>
    <cellStyle name="Comma 2 2 10 3 4 2 4" xfId="9410" xr:uid="{00000000-0005-0000-0000-0000B3010000}"/>
    <cellStyle name="Comma 2 2 10 3 4 2 4 2" xfId="32689" xr:uid="{00000000-0005-0000-0000-0000B4010000}"/>
    <cellStyle name="Comma 2 2 10 3 4 2 5" xfId="11858" xr:uid="{00000000-0005-0000-0000-0000B5010000}"/>
    <cellStyle name="Comma 2 2 10 3 4 2 5 2" xfId="35137" xr:uid="{00000000-0005-0000-0000-0000B6010000}"/>
    <cellStyle name="Comma 2 2 10 3 4 2 6" xfId="14306" xr:uid="{00000000-0005-0000-0000-0000B7010000}"/>
    <cellStyle name="Comma 2 2 10 3 4 2 6 2" xfId="37585" xr:uid="{00000000-0005-0000-0000-0000B8010000}"/>
    <cellStyle name="Comma 2 2 10 3 4 2 7" xfId="18001" xr:uid="{00000000-0005-0000-0000-0000B9010000}"/>
    <cellStyle name="Comma 2 2 10 3 4 2 7 2" xfId="41279" xr:uid="{00000000-0005-0000-0000-0000BA010000}"/>
    <cellStyle name="Comma 2 2 10 3 4 2 8" xfId="25345" xr:uid="{00000000-0005-0000-0000-0000BB010000}"/>
    <cellStyle name="Comma 2 2 10 3 4 2 9" xfId="46175" xr:uid="{00000000-0005-0000-0000-0000BC010000}"/>
    <cellStyle name="Comma 2 2 10 3 4 3" xfId="3290" xr:uid="{00000000-0005-0000-0000-0000BD010000}"/>
    <cellStyle name="Comma 2 2 10 3 4 3 2" xfId="16777" xr:uid="{00000000-0005-0000-0000-0000BE010000}"/>
    <cellStyle name="Comma 2 2 10 3 4 3 2 2" xfId="40055" xr:uid="{00000000-0005-0000-0000-0000BF010000}"/>
    <cellStyle name="Comma 2 2 10 3 4 3 3" xfId="47399" xr:uid="{00000000-0005-0000-0000-0000C0010000}"/>
    <cellStyle name="Comma 2 2 10 3 4 3 4" xfId="26569" xr:uid="{00000000-0005-0000-0000-0000C1010000}"/>
    <cellStyle name="Comma 2 2 10 3 4 4" xfId="5738" xr:uid="{00000000-0005-0000-0000-0000C2010000}"/>
    <cellStyle name="Comma 2 2 10 3 4 4 2" xfId="19225" xr:uid="{00000000-0005-0000-0000-0000C3010000}"/>
    <cellStyle name="Comma 2 2 10 3 4 4 2 2" xfId="42503" xr:uid="{00000000-0005-0000-0000-0000C4010000}"/>
    <cellStyle name="Comma 2 2 10 3 4 4 3" xfId="29017" xr:uid="{00000000-0005-0000-0000-0000C5010000}"/>
    <cellStyle name="Comma 2 2 10 3 4 5" xfId="8186" xr:uid="{00000000-0005-0000-0000-0000C6010000}"/>
    <cellStyle name="Comma 2 2 10 3 4 5 2" xfId="31465" xr:uid="{00000000-0005-0000-0000-0000C7010000}"/>
    <cellStyle name="Comma 2 2 10 3 4 6" xfId="10634" xr:uid="{00000000-0005-0000-0000-0000C8010000}"/>
    <cellStyle name="Comma 2 2 10 3 4 6 2" xfId="33913" xr:uid="{00000000-0005-0000-0000-0000C9010000}"/>
    <cellStyle name="Comma 2 2 10 3 4 7" xfId="13082" xr:uid="{00000000-0005-0000-0000-0000CA010000}"/>
    <cellStyle name="Comma 2 2 10 3 4 7 2" xfId="36361" xr:uid="{00000000-0005-0000-0000-0000CB010000}"/>
    <cellStyle name="Comma 2 2 10 3 4 8" xfId="15553" xr:uid="{00000000-0005-0000-0000-0000CC010000}"/>
    <cellStyle name="Comma 2 2 10 3 4 8 2" xfId="38831" xr:uid="{00000000-0005-0000-0000-0000CD010000}"/>
    <cellStyle name="Comma 2 2 10 3 4 9" xfId="24121" xr:uid="{00000000-0005-0000-0000-0000CE010000}"/>
    <cellStyle name="Comma 2 2 10 3 5" xfId="1454" xr:uid="{00000000-0005-0000-0000-0000CF010000}"/>
    <cellStyle name="Comma 2 2 10 3 5 10" xfId="22285" xr:uid="{00000000-0005-0000-0000-0000D0010000}"/>
    <cellStyle name="Comma 2 2 10 3 5 2" xfId="3902" xr:uid="{00000000-0005-0000-0000-0000D1010000}"/>
    <cellStyle name="Comma 2 2 10 3 5 2 2" xfId="19837" xr:uid="{00000000-0005-0000-0000-0000D2010000}"/>
    <cellStyle name="Comma 2 2 10 3 5 2 2 2" xfId="43115" xr:uid="{00000000-0005-0000-0000-0000D3010000}"/>
    <cellStyle name="Comma 2 2 10 3 5 2 3" xfId="48011" xr:uid="{00000000-0005-0000-0000-0000D4010000}"/>
    <cellStyle name="Comma 2 2 10 3 5 2 4" xfId="27181" xr:uid="{00000000-0005-0000-0000-0000D5010000}"/>
    <cellStyle name="Comma 2 2 10 3 5 3" xfId="6350" xr:uid="{00000000-0005-0000-0000-0000D6010000}"/>
    <cellStyle name="Comma 2 2 10 3 5 3 2" xfId="29629" xr:uid="{00000000-0005-0000-0000-0000D7010000}"/>
    <cellStyle name="Comma 2 2 10 3 5 4" xfId="8798" xr:uid="{00000000-0005-0000-0000-0000D8010000}"/>
    <cellStyle name="Comma 2 2 10 3 5 4 2" xfId="32077" xr:uid="{00000000-0005-0000-0000-0000D9010000}"/>
    <cellStyle name="Comma 2 2 10 3 5 5" xfId="11246" xr:uid="{00000000-0005-0000-0000-0000DA010000}"/>
    <cellStyle name="Comma 2 2 10 3 5 5 2" xfId="34525" xr:uid="{00000000-0005-0000-0000-0000DB010000}"/>
    <cellStyle name="Comma 2 2 10 3 5 6" xfId="13694" xr:uid="{00000000-0005-0000-0000-0000DC010000}"/>
    <cellStyle name="Comma 2 2 10 3 5 6 2" xfId="36973" xr:uid="{00000000-0005-0000-0000-0000DD010000}"/>
    <cellStyle name="Comma 2 2 10 3 5 7" xfId="17389" xr:uid="{00000000-0005-0000-0000-0000DE010000}"/>
    <cellStyle name="Comma 2 2 10 3 5 7 2" xfId="40667" xr:uid="{00000000-0005-0000-0000-0000DF010000}"/>
    <cellStyle name="Comma 2 2 10 3 5 8" xfId="24733" xr:uid="{00000000-0005-0000-0000-0000E0010000}"/>
    <cellStyle name="Comma 2 2 10 3 5 9" xfId="45563" xr:uid="{00000000-0005-0000-0000-0000E1010000}"/>
    <cellStyle name="Comma 2 2 10 3 6" xfId="2678" xr:uid="{00000000-0005-0000-0000-0000E2010000}"/>
    <cellStyle name="Comma 2 2 10 3 6 2" xfId="16165" xr:uid="{00000000-0005-0000-0000-0000E3010000}"/>
    <cellStyle name="Comma 2 2 10 3 6 2 2" xfId="39443" xr:uid="{00000000-0005-0000-0000-0000E4010000}"/>
    <cellStyle name="Comma 2 2 10 3 6 3" xfId="46787" xr:uid="{00000000-0005-0000-0000-0000E5010000}"/>
    <cellStyle name="Comma 2 2 10 3 6 4" xfId="25957" xr:uid="{00000000-0005-0000-0000-0000E6010000}"/>
    <cellStyle name="Comma 2 2 10 3 7" xfId="5126" xr:uid="{00000000-0005-0000-0000-0000E7010000}"/>
    <cellStyle name="Comma 2 2 10 3 7 2" xfId="18613" xr:uid="{00000000-0005-0000-0000-0000E8010000}"/>
    <cellStyle name="Comma 2 2 10 3 7 2 2" xfId="41891" xr:uid="{00000000-0005-0000-0000-0000E9010000}"/>
    <cellStyle name="Comma 2 2 10 3 7 3" xfId="28405" xr:uid="{00000000-0005-0000-0000-0000EA010000}"/>
    <cellStyle name="Comma 2 2 10 3 8" xfId="7574" xr:uid="{00000000-0005-0000-0000-0000EB010000}"/>
    <cellStyle name="Comma 2 2 10 3 8 2" xfId="30853" xr:uid="{00000000-0005-0000-0000-0000EC010000}"/>
    <cellStyle name="Comma 2 2 10 3 9" xfId="10022" xr:uid="{00000000-0005-0000-0000-0000ED010000}"/>
    <cellStyle name="Comma 2 2 10 3 9 2" xfId="33301" xr:uid="{00000000-0005-0000-0000-0000EE010000}"/>
    <cellStyle name="Comma 2 2 10 4" xfId="298" xr:uid="{00000000-0005-0000-0000-0000EF010000}"/>
    <cellStyle name="Comma 2 2 10 4 10" xfId="23577" xr:uid="{00000000-0005-0000-0000-0000F0010000}"/>
    <cellStyle name="Comma 2 2 10 4 11" xfId="44407" xr:uid="{00000000-0005-0000-0000-0000F1010000}"/>
    <cellStyle name="Comma 2 2 10 4 12" xfId="21129" xr:uid="{00000000-0005-0000-0000-0000F2010000}"/>
    <cellStyle name="Comma 2 2 10 4 2" xfId="910" xr:uid="{00000000-0005-0000-0000-0000F3010000}"/>
    <cellStyle name="Comma 2 2 10 4 2 10" xfId="45019" xr:uid="{00000000-0005-0000-0000-0000F4010000}"/>
    <cellStyle name="Comma 2 2 10 4 2 11" xfId="21741" xr:uid="{00000000-0005-0000-0000-0000F5010000}"/>
    <cellStyle name="Comma 2 2 10 4 2 2" xfId="2134" xr:uid="{00000000-0005-0000-0000-0000F6010000}"/>
    <cellStyle name="Comma 2 2 10 4 2 2 10" xfId="22965" xr:uid="{00000000-0005-0000-0000-0000F7010000}"/>
    <cellStyle name="Comma 2 2 10 4 2 2 2" xfId="4582" xr:uid="{00000000-0005-0000-0000-0000F8010000}"/>
    <cellStyle name="Comma 2 2 10 4 2 2 2 2" xfId="20517" xr:uid="{00000000-0005-0000-0000-0000F9010000}"/>
    <cellStyle name="Comma 2 2 10 4 2 2 2 2 2" xfId="43795" xr:uid="{00000000-0005-0000-0000-0000FA010000}"/>
    <cellStyle name="Comma 2 2 10 4 2 2 2 3" xfId="48691" xr:uid="{00000000-0005-0000-0000-0000FB010000}"/>
    <cellStyle name="Comma 2 2 10 4 2 2 2 4" xfId="27861" xr:uid="{00000000-0005-0000-0000-0000FC010000}"/>
    <cellStyle name="Comma 2 2 10 4 2 2 3" xfId="7030" xr:uid="{00000000-0005-0000-0000-0000FD010000}"/>
    <cellStyle name="Comma 2 2 10 4 2 2 3 2" xfId="30309" xr:uid="{00000000-0005-0000-0000-0000FE010000}"/>
    <cellStyle name="Comma 2 2 10 4 2 2 4" xfId="9478" xr:uid="{00000000-0005-0000-0000-0000FF010000}"/>
    <cellStyle name="Comma 2 2 10 4 2 2 4 2" xfId="32757" xr:uid="{00000000-0005-0000-0000-000000020000}"/>
    <cellStyle name="Comma 2 2 10 4 2 2 5" xfId="11926" xr:uid="{00000000-0005-0000-0000-000001020000}"/>
    <cellStyle name="Comma 2 2 10 4 2 2 5 2" xfId="35205" xr:uid="{00000000-0005-0000-0000-000002020000}"/>
    <cellStyle name="Comma 2 2 10 4 2 2 6" xfId="14374" xr:uid="{00000000-0005-0000-0000-000003020000}"/>
    <cellStyle name="Comma 2 2 10 4 2 2 6 2" xfId="37653" xr:uid="{00000000-0005-0000-0000-000004020000}"/>
    <cellStyle name="Comma 2 2 10 4 2 2 7" xfId="18069" xr:uid="{00000000-0005-0000-0000-000005020000}"/>
    <cellStyle name="Comma 2 2 10 4 2 2 7 2" xfId="41347" xr:uid="{00000000-0005-0000-0000-000006020000}"/>
    <cellStyle name="Comma 2 2 10 4 2 2 8" xfId="25413" xr:uid="{00000000-0005-0000-0000-000007020000}"/>
    <cellStyle name="Comma 2 2 10 4 2 2 9" xfId="46243" xr:uid="{00000000-0005-0000-0000-000008020000}"/>
    <cellStyle name="Comma 2 2 10 4 2 3" xfId="3358" xr:uid="{00000000-0005-0000-0000-000009020000}"/>
    <cellStyle name="Comma 2 2 10 4 2 3 2" xfId="16845" xr:uid="{00000000-0005-0000-0000-00000A020000}"/>
    <cellStyle name="Comma 2 2 10 4 2 3 2 2" xfId="40123" xr:uid="{00000000-0005-0000-0000-00000B020000}"/>
    <cellStyle name="Comma 2 2 10 4 2 3 3" xfId="47467" xr:uid="{00000000-0005-0000-0000-00000C020000}"/>
    <cellStyle name="Comma 2 2 10 4 2 3 4" xfId="26637" xr:uid="{00000000-0005-0000-0000-00000D020000}"/>
    <cellStyle name="Comma 2 2 10 4 2 4" xfId="5806" xr:uid="{00000000-0005-0000-0000-00000E020000}"/>
    <cellStyle name="Comma 2 2 10 4 2 4 2" xfId="19293" xr:uid="{00000000-0005-0000-0000-00000F020000}"/>
    <cellStyle name="Comma 2 2 10 4 2 4 2 2" xfId="42571" xr:uid="{00000000-0005-0000-0000-000010020000}"/>
    <cellStyle name="Comma 2 2 10 4 2 4 3" xfId="29085" xr:uid="{00000000-0005-0000-0000-000011020000}"/>
    <cellStyle name="Comma 2 2 10 4 2 5" xfId="8254" xr:uid="{00000000-0005-0000-0000-000012020000}"/>
    <cellStyle name="Comma 2 2 10 4 2 5 2" xfId="31533" xr:uid="{00000000-0005-0000-0000-000013020000}"/>
    <cellStyle name="Comma 2 2 10 4 2 6" xfId="10702" xr:uid="{00000000-0005-0000-0000-000014020000}"/>
    <cellStyle name="Comma 2 2 10 4 2 6 2" xfId="33981" xr:uid="{00000000-0005-0000-0000-000015020000}"/>
    <cellStyle name="Comma 2 2 10 4 2 7" xfId="13150" xr:uid="{00000000-0005-0000-0000-000016020000}"/>
    <cellStyle name="Comma 2 2 10 4 2 7 2" xfId="36429" xr:uid="{00000000-0005-0000-0000-000017020000}"/>
    <cellStyle name="Comma 2 2 10 4 2 8" xfId="15621" xr:uid="{00000000-0005-0000-0000-000018020000}"/>
    <cellStyle name="Comma 2 2 10 4 2 8 2" xfId="38899" xr:uid="{00000000-0005-0000-0000-000019020000}"/>
    <cellStyle name="Comma 2 2 10 4 2 9" xfId="24189" xr:uid="{00000000-0005-0000-0000-00001A020000}"/>
    <cellStyle name="Comma 2 2 10 4 3" xfId="1522" xr:uid="{00000000-0005-0000-0000-00001B020000}"/>
    <cellStyle name="Comma 2 2 10 4 3 10" xfId="22353" xr:uid="{00000000-0005-0000-0000-00001C020000}"/>
    <cellStyle name="Comma 2 2 10 4 3 2" xfId="3970" xr:uid="{00000000-0005-0000-0000-00001D020000}"/>
    <cellStyle name="Comma 2 2 10 4 3 2 2" xfId="19905" xr:uid="{00000000-0005-0000-0000-00001E020000}"/>
    <cellStyle name="Comma 2 2 10 4 3 2 2 2" xfId="43183" xr:uid="{00000000-0005-0000-0000-00001F020000}"/>
    <cellStyle name="Comma 2 2 10 4 3 2 3" xfId="48079" xr:uid="{00000000-0005-0000-0000-000020020000}"/>
    <cellStyle name="Comma 2 2 10 4 3 2 4" xfId="27249" xr:uid="{00000000-0005-0000-0000-000021020000}"/>
    <cellStyle name="Comma 2 2 10 4 3 3" xfId="6418" xr:uid="{00000000-0005-0000-0000-000022020000}"/>
    <cellStyle name="Comma 2 2 10 4 3 3 2" xfId="29697" xr:uid="{00000000-0005-0000-0000-000023020000}"/>
    <cellStyle name="Comma 2 2 10 4 3 4" xfId="8866" xr:uid="{00000000-0005-0000-0000-000024020000}"/>
    <cellStyle name="Comma 2 2 10 4 3 4 2" xfId="32145" xr:uid="{00000000-0005-0000-0000-000025020000}"/>
    <cellStyle name="Comma 2 2 10 4 3 5" xfId="11314" xr:uid="{00000000-0005-0000-0000-000026020000}"/>
    <cellStyle name="Comma 2 2 10 4 3 5 2" xfId="34593" xr:uid="{00000000-0005-0000-0000-000027020000}"/>
    <cellStyle name="Comma 2 2 10 4 3 6" xfId="13762" xr:uid="{00000000-0005-0000-0000-000028020000}"/>
    <cellStyle name="Comma 2 2 10 4 3 6 2" xfId="37041" xr:uid="{00000000-0005-0000-0000-000029020000}"/>
    <cellStyle name="Comma 2 2 10 4 3 7" xfId="17457" xr:uid="{00000000-0005-0000-0000-00002A020000}"/>
    <cellStyle name="Comma 2 2 10 4 3 7 2" xfId="40735" xr:uid="{00000000-0005-0000-0000-00002B020000}"/>
    <cellStyle name="Comma 2 2 10 4 3 8" xfId="24801" xr:uid="{00000000-0005-0000-0000-00002C020000}"/>
    <cellStyle name="Comma 2 2 10 4 3 9" xfId="45631" xr:uid="{00000000-0005-0000-0000-00002D020000}"/>
    <cellStyle name="Comma 2 2 10 4 4" xfId="2746" xr:uid="{00000000-0005-0000-0000-00002E020000}"/>
    <cellStyle name="Comma 2 2 10 4 4 2" xfId="16233" xr:uid="{00000000-0005-0000-0000-00002F020000}"/>
    <cellStyle name="Comma 2 2 10 4 4 2 2" xfId="39511" xr:uid="{00000000-0005-0000-0000-000030020000}"/>
    <cellStyle name="Comma 2 2 10 4 4 3" xfId="46855" xr:uid="{00000000-0005-0000-0000-000031020000}"/>
    <cellStyle name="Comma 2 2 10 4 4 4" xfId="26025" xr:uid="{00000000-0005-0000-0000-000032020000}"/>
    <cellStyle name="Comma 2 2 10 4 5" xfId="5194" xr:uid="{00000000-0005-0000-0000-000033020000}"/>
    <cellStyle name="Comma 2 2 10 4 5 2" xfId="18681" xr:uid="{00000000-0005-0000-0000-000034020000}"/>
    <cellStyle name="Comma 2 2 10 4 5 2 2" xfId="41959" xr:uid="{00000000-0005-0000-0000-000035020000}"/>
    <cellStyle name="Comma 2 2 10 4 5 3" xfId="28473" xr:uid="{00000000-0005-0000-0000-000036020000}"/>
    <cellStyle name="Comma 2 2 10 4 6" xfId="7642" xr:uid="{00000000-0005-0000-0000-000037020000}"/>
    <cellStyle name="Comma 2 2 10 4 6 2" xfId="30921" xr:uid="{00000000-0005-0000-0000-000038020000}"/>
    <cellStyle name="Comma 2 2 10 4 7" xfId="10090" xr:uid="{00000000-0005-0000-0000-000039020000}"/>
    <cellStyle name="Comma 2 2 10 4 7 2" xfId="33369" xr:uid="{00000000-0005-0000-0000-00003A020000}"/>
    <cellStyle name="Comma 2 2 10 4 8" xfId="12538" xr:uid="{00000000-0005-0000-0000-00003B020000}"/>
    <cellStyle name="Comma 2 2 10 4 8 2" xfId="35817" xr:uid="{00000000-0005-0000-0000-00003C020000}"/>
    <cellStyle name="Comma 2 2 10 4 9" xfId="15009" xr:uid="{00000000-0005-0000-0000-00003D020000}"/>
    <cellStyle name="Comma 2 2 10 4 9 2" xfId="38287" xr:uid="{00000000-0005-0000-0000-00003E020000}"/>
    <cellStyle name="Comma 2 2 10 5" xfId="502" xr:uid="{00000000-0005-0000-0000-00003F020000}"/>
    <cellStyle name="Comma 2 2 10 5 10" xfId="23781" xr:uid="{00000000-0005-0000-0000-000040020000}"/>
    <cellStyle name="Comma 2 2 10 5 11" xfId="44611" xr:uid="{00000000-0005-0000-0000-000041020000}"/>
    <cellStyle name="Comma 2 2 10 5 12" xfId="21333" xr:uid="{00000000-0005-0000-0000-000042020000}"/>
    <cellStyle name="Comma 2 2 10 5 2" xfId="1114" xr:uid="{00000000-0005-0000-0000-000043020000}"/>
    <cellStyle name="Comma 2 2 10 5 2 10" xfId="45223" xr:uid="{00000000-0005-0000-0000-000044020000}"/>
    <cellStyle name="Comma 2 2 10 5 2 11" xfId="21945" xr:uid="{00000000-0005-0000-0000-000045020000}"/>
    <cellStyle name="Comma 2 2 10 5 2 2" xfId="2338" xr:uid="{00000000-0005-0000-0000-000046020000}"/>
    <cellStyle name="Comma 2 2 10 5 2 2 10" xfId="23169" xr:uid="{00000000-0005-0000-0000-000047020000}"/>
    <cellStyle name="Comma 2 2 10 5 2 2 2" xfId="4786" xr:uid="{00000000-0005-0000-0000-000048020000}"/>
    <cellStyle name="Comma 2 2 10 5 2 2 2 2" xfId="20721" xr:uid="{00000000-0005-0000-0000-000049020000}"/>
    <cellStyle name="Comma 2 2 10 5 2 2 2 2 2" xfId="43999" xr:uid="{00000000-0005-0000-0000-00004A020000}"/>
    <cellStyle name="Comma 2 2 10 5 2 2 2 3" xfId="48895" xr:uid="{00000000-0005-0000-0000-00004B020000}"/>
    <cellStyle name="Comma 2 2 10 5 2 2 2 4" xfId="28065" xr:uid="{00000000-0005-0000-0000-00004C020000}"/>
    <cellStyle name="Comma 2 2 10 5 2 2 3" xfId="7234" xr:uid="{00000000-0005-0000-0000-00004D020000}"/>
    <cellStyle name="Comma 2 2 10 5 2 2 3 2" xfId="30513" xr:uid="{00000000-0005-0000-0000-00004E020000}"/>
    <cellStyle name="Comma 2 2 10 5 2 2 4" xfId="9682" xr:uid="{00000000-0005-0000-0000-00004F020000}"/>
    <cellStyle name="Comma 2 2 10 5 2 2 4 2" xfId="32961" xr:uid="{00000000-0005-0000-0000-000050020000}"/>
    <cellStyle name="Comma 2 2 10 5 2 2 5" xfId="12130" xr:uid="{00000000-0005-0000-0000-000051020000}"/>
    <cellStyle name="Comma 2 2 10 5 2 2 5 2" xfId="35409" xr:uid="{00000000-0005-0000-0000-000052020000}"/>
    <cellStyle name="Comma 2 2 10 5 2 2 6" xfId="14578" xr:uid="{00000000-0005-0000-0000-000053020000}"/>
    <cellStyle name="Comma 2 2 10 5 2 2 6 2" xfId="37857" xr:uid="{00000000-0005-0000-0000-000054020000}"/>
    <cellStyle name="Comma 2 2 10 5 2 2 7" xfId="18273" xr:uid="{00000000-0005-0000-0000-000055020000}"/>
    <cellStyle name="Comma 2 2 10 5 2 2 7 2" xfId="41551" xr:uid="{00000000-0005-0000-0000-000056020000}"/>
    <cellStyle name="Comma 2 2 10 5 2 2 8" xfId="25617" xr:uid="{00000000-0005-0000-0000-000057020000}"/>
    <cellStyle name="Comma 2 2 10 5 2 2 9" xfId="46447" xr:uid="{00000000-0005-0000-0000-000058020000}"/>
    <cellStyle name="Comma 2 2 10 5 2 3" xfId="3562" xr:uid="{00000000-0005-0000-0000-000059020000}"/>
    <cellStyle name="Comma 2 2 10 5 2 3 2" xfId="17049" xr:uid="{00000000-0005-0000-0000-00005A020000}"/>
    <cellStyle name="Comma 2 2 10 5 2 3 2 2" xfId="40327" xr:uid="{00000000-0005-0000-0000-00005B020000}"/>
    <cellStyle name="Comma 2 2 10 5 2 3 3" xfId="47671" xr:uid="{00000000-0005-0000-0000-00005C020000}"/>
    <cellStyle name="Comma 2 2 10 5 2 3 4" xfId="26841" xr:uid="{00000000-0005-0000-0000-00005D020000}"/>
    <cellStyle name="Comma 2 2 10 5 2 4" xfId="6010" xr:uid="{00000000-0005-0000-0000-00005E020000}"/>
    <cellStyle name="Comma 2 2 10 5 2 4 2" xfId="19497" xr:uid="{00000000-0005-0000-0000-00005F020000}"/>
    <cellStyle name="Comma 2 2 10 5 2 4 2 2" xfId="42775" xr:uid="{00000000-0005-0000-0000-000060020000}"/>
    <cellStyle name="Comma 2 2 10 5 2 4 3" xfId="29289" xr:uid="{00000000-0005-0000-0000-000061020000}"/>
    <cellStyle name="Comma 2 2 10 5 2 5" xfId="8458" xr:uid="{00000000-0005-0000-0000-000062020000}"/>
    <cellStyle name="Comma 2 2 10 5 2 5 2" xfId="31737" xr:uid="{00000000-0005-0000-0000-000063020000}"/>
    <cellStyle name="Comma 2 2 10 5 2 6" xfId="10906" xr:uid="{00000000-0005-0000-0000-000064020000}"/>
    <cellStyle name="Comma 2 2 10 5 2 6 2" xfId="34185" xr:uid="{00000000-0005-0000-0000-000065020000}"/>
    <cellStyle name="Comma 2 2 10 5 2 7" xfId="13354" xr:uid="{00000000-0005-0000-0000-000066020000}"/>
    <cellStyle name="Comma 2 2 10 5 2 7 2" xfId="36633" xr:uid="{00000000-0005-0000-0000-000067020000}"/>
    <cellStyle name="Comma 2 2 10 5 2 8" xfId="15825" xr:uid="{00000000-0005-0000-0000-000068020000}"/>
    <cellStyle name="Comma 2 2 10 5 2 8 2" xfId="39103" xr:uid="{00000000-0005-0000-0000-000069020000}"/>
    <cellStyle name="Comma 2 2 10 5 2 9" xfId="24393" xr:uid="{00000000-0005-0000-0000-00006A020000}"/>
    <cellStyle name="Comma 2 2 10 5 3" xfId="1726" xr:uid="{00000000-0005-0000-0000-00006B020000}"/>
    <cellStyle name="Comma 2 2 10 5 3 10" xfId="22557" xr:uid="{00000000-0005-0000-0000-00006C020000}"/>
    <cellStyle name="Comma 2 2 10 5 3 2" xfId="4174" xr:uid="{00000000-0005-0000-0000-00006D020000}"/>
    <cellStyle name="Comma 2 2 10 5 3 2 2" xfId="20109" xr:uid="{00000000-0005-0000-0000-00006E020000}"/>
    <cellStyle name="Comma 2 2 10 5 3 2 2 2" xfId="43387" xr:uid="{00000000-0005-0000-0000-00006F020000}"/>
    <cellStyle name="Comma 2 2 10 5 3 2 3" xfId="48283" xr:uid="{00000000-0005-0000-0000-000070020000}"/>
    <cellStyle name="Comma 2 2 10 5 3 2 4" xfId="27453" xr:uid="{00000000-0005-0000-0000-000071020000}"/>
    <cellStyle name="Comma 2 2 10 5 3 3" xfId="6622" xr:uid="{00000000-0005-0000-0000-000072020000}"/>
    <cellStyle name="Comma 2 2 10 5 3 3 2" xfId="29901" xr:uid="{00000000-0005-0000-0000-000073020000}"/>
    <cellStyle name="Comma 2 2 10 5 3 4" xfId="9070" xr:uid="{00000000-0005-0000-0000-000074020000}"/>
    <cellStyle name="Comma 2 2 10 5 3 4 2" xfId="32349" xr:uid="{00000000-0005-0000-0000-000075020000}"/>
    <cellStyle name="Comma 2 2 10 5 3 5" xfId="11518" xr:uid="{00000000-0005-0000-0000-000076020000}"/>
    <cellStyle name="Comma 2 2 10 5 3 5 2" xfId="34797" xr:uid="{00000000-0005-0000-0000-000077020000}"/>
    <cellStyle name="Comma 2 2 10 5 3 6" xfId="13966" xr:uid="{00000000-0005-0000-0000-000078020000}"/>
    <cellStyle name="Comma 2 2 10 5 3 6 2" xfId="37245" xr:uid="{00000000-0005-0000-0000-000079020000}"/>
    <cellStyle name="Comma 2 2 10 5 3 7" xfId="17661" xr:uid="{00000000-0005-0000-0000-00007A020000}"/>
    <cellStyle name="Comma 2 2 10 5 3 7 2" xfId="40939" xr:uid="{00000000-0005-0000-0000-00007B020000}"/>
    <cellStyle name="Comma 2 2 10 5 3 8" xfId="25005" xr:uid="{00000000-0005-0000-0000-00007C020000}"/>
    <cellStyle name="Comma 2 2 10 5 3 9" xfId="45835" xr:uid="{00000000-0005-0000-0000-00007D020000}"/>
    <cellStyle name="Comma 2 2 10 5 4" xfId="2950" xr:uid="{00000000-0005-0000-0000-00007E020000}"/>
    <cellStyle name="Comma 2 2 10 5 4 2" xfId="16437" xr:uid="{00000000-0005-0000-0000-00007F020000}"/>
    <cellStyle name="Comma 2 2 10 5 4 2 2" xfId="39715" xr:uid="{00000000-0005-0000-0000-000080020000}"/>
    <cellStyle name="Comma 2 2 10 5 4 3" xfId="47059" xr:uid="{00000000-0005-0000-0000-000081020000}"/>
    <cellStyle name="Comma 2 2 10 5 4 4" xfId="26229" xr:uid="{00000000-0005-0000-0000-000082020000}"/>
    <cellStyle name="Comma 2 2 10 5 5" xfId="5398" xr:uid="{00000000-0005-0000-0000-000083020000}"/>
    <cellStyle name="Comma 2 2 10 5 5 2" xfId="18885" xr:uid="{00000000-0005-0000-0000-000084020000}"/>
    <cellStyle name="Comma 2 2 10 5 5 2 2" xfId="42163" xr:uid="{00000000-0005-0000-0000-000085020000}"/>
    <cellStyle name="Comma 2 2 10 5 5 3" xfId="28677" xr:uid="{00000000-0005-0000-0000-000086020000}"/>
    <cellStyle name="Comma 2 2 10 5 6" xfId="7846" xr:uid="{00000000-0005-0000-0000-000087020000}"/>
    <cellStyle name="Comma 2 2 10 5 6 2" xfId="31125" xr:uid="{00000000-0005-0000-0000-000088020000}"/>
    <cellStyle name="Comma 2 2 10 5 7" xfId="10294" xr:uid="{00000000-0005-0000-0000-000089020000}"/>
    <cellStyle name="Comma 2 2 10 5 7 2" xfId="33573" xr:uid="{00000000-0005-0000-0000-00008A020000}"/>
    <cellStyle name="Comma 2 2 10 5 8" xfId="12742" xr:uid="{00000000-0005-0000-0000-00008B020000}"/>
    <cellStyle name="Comma 2 2 10 5 8 2" xfId="36021" xr:uid="{00000000-0005-0000-0000-00008C020000}"/>
    <cellStyle name="Comma 2 2 10 5 9" xfId="15213" xr:uid="{00000000-0005-0000-0000-00008D020000}"/>
    <cellStyle name="Comma 2 2 10 5 9 2" xfId="38491" xr:uid="{00000000-0005-0000-0000-00008E020000}"/>
    <cellStyle name="Comma 2 2 10 6" xfId="706" xr:uid="{00000000-0005-0000-0000-00008F020000}"/>
    <cellStyle name="Comma 2 2 10 6 10" xfId="44815" xr:uid="{00000000-0005-0000-0000-000090020000}"/>
    <cellStyle name="Comma 2 2 10 6 11" xfId="21537" xr:uid="{00000000-0005-0000-0000-000091020000}"/>
    <cellStyle name="Comma 2 2 10 6 2" xfId="1930" xr:uid="{00000000-0005-0000-0000-000092020000}"/>
    <cellStyle name="Comma 2 2 10 6 2 10" xfId="22761" xr:uid="{00000000-0005-0000-0000-000093020000}"/>
    <cellStyle name="Comma 2 2 10 6 2 2" xfId="4378" xr:uid="{00000000-0005-0000-0000-000094020000}"/>
    <cellStyle name="Comma 2 2 10 6 2 2 2" xfId="20313" xr:uid="{00000000-0005-0000-0000-000095020000}"/>
    <cellStyle name="Comma 2 2 10 6 2 2 2 2" xfId="43591" xr:uid="{00000000-0005-0000-0000-000096020000}"/>
    <cellStyle name="Comma 2 2 10 6 2 2 3" xfId="48487" xr:uid="{00000000-0005-0000-0000-000097020000}"/>
    <cellStyle name="Comma 2 2 10 6 2 2 4" xfId="27657" xr:uid="{00000000-0005-0000-0000-000098020000}"/>
    <cellStyle name="Comma 2 2 10 6 2 3" xfId="6826" xr:uid="{00000000-0005-0000-0000-000099020000}"/>
    <cellStyle name="Comma 2 2 10 6 2 3 2" xfId="30105" xr:uid="{00000000-0005-0000-0000-00009A020000}"/>
    <cellStyle name="Comma 2 2 10 6 2 4" xfId="9274" xr:uid="{00000000-0005-0000-0000-00009B020000}"/>
    <cellStyle name="Comma 2 2 10 6 2 4 2" xfId="32553" xr:uid="{00000000-0005-0000-0000-00009C020000}"/>
    <cellStyle name="Comma 2 2 10 6 2 5" xfId="11722" xr:uid="{00000000-0005-0000-0000-00009D020000}"/>
    <cellStyle name="Comma 2 2 10 6 2 5 2" xfId="35001" xr:uid="{00000000-0005-0000-0000-00009E020000}"/>
    <cellStyle name="Comma 2 2 10 6 2 6" xfId="14170" xr:uid="{00000000-0005-0000-0000-00009F020000}"/>
    <cellStyle name="Comma 2 2 10 6 2 6 2" xfId="37449" xr:uid="{00000000-0005-0000-0000-0000A0020000}"/>
    <cellStyle name="Comma 2 2 10 6 2 7" xfId="17865" xr:uid="{00000000-0005-0000-0000-0000A1020000}"/>
    <cellStyle name="Comma 2 2 10 6 2 7 2" xfId="41143" xr:uid="{00000000-0005-0000-0000-0000A2020000}"/>
    <cellStyle name="Comma 2 2 10 6 2 8" xfId="25209" xr:uid="{00000000-0005-0000-0000-0000A3020000}"/>
    <cellStyle name="Comma 2 2 10 6 2 9" xfId="46039" xr:uid="{00000000-0005-0000-0000-0000A4020000}"/>
    <cellStyle name="Comma 2 2 10 6 3" xfId="3154" xr:uid="{00000000-0005-0000-0000-0000A5020000}"/>
    <cellStyle name="Comma 2 2 10 6 3 2" xfId="16641" xr:uid="{00000000-0005-0000-0000-0000A6020000}"/>
    <cellStyle name="Comma 2 2 10 6 3 2 2" xfId="39919" xr:uid="{00000000-0005-0000-0000-0000A7020000}"/>
    <cellStyle name="Comma 2 2 10 6 3 3" xfId="47263" xr:uid="{00000000-0005-0000-0000-0000A8020000}"/>
    <cellStyle name="Comma 2 2 10 6 3 4" xfId="26433" xr:uid="{00000000-0005-0000-0000-0000A9020000}"/>
    <cellStyle name="Comma 2 2 10 6 4" xfId="5602" xr:uid="{00000000-0005-0000-0000-0000AA020000}"/>
    <cellStyle name="Comma 2 2 10 6 4 2" xfId="19089" xr:uid="{00000000-0005-0000-0000-0000AB020000}"/>
    <cellStyle name="Comma 2 2 10 6 4 2 2" xfId="42367" xr:uid="{00000000-0005-0000-0000-0000AC020000}"/>
    <cellStyle name="Comma 2 2 10 6 4 3" xfId="28881" xr:uid="{00000000-0005-0000-0000-0000AD020000}"/>
    <cellStyle name="Comma 2 2 10 6 5" xfId="8050" xr:uid="{00000000-0005-0000-0000-0000AE020000}"/>
    <cellStyle name="Comma 2 2 10 6 5 2" xfId="31329" xr:uid="{00000000-0005-0000-0000-0000AF020000}"/>
    <cellStyle name="Comma 2 2 10 6 6" xfId="10498" xr:uid="{00000000-0005-0000-0000-0000B0020000}"/>
    <cellStyle name="Comma 2 2 10 6 6 2" xfId="33777" xr:uid="{00000000-0005-0000-0000-0000B1020000}"/>
    <cellStyle name="Comma 2 2 10 6 7" xfId="12946" xr:uid="{00000000-0005-0000-0000-0000B2020000}"/>
    <cellStyle name="Comma 2 2 10 6 7 2" xfId="36225" xr:uid="{00000000-0005-0000-0000-0000B3020000}"/>
    <cellStyle name="Comma 2 2 10 6 8" xfId="15417" xr:uid="{00000000-0005-0000-0000-0000B4020000}"/>
    <cellStyle name="Comma 2 2 10 6 8 2" xfId="38695" xr:uid="{00000000-0005-0000-0000-0000B5020000}"/>
    <cellStyle name="Comma 2 2 10 6 9" xfId="23985" xr:uid="{00000000-0005-0000-0000-0000B6020000}"/>
    <cellStyle name="Comma 2 2 10 7" xfId="1318" xr:uid="{00000000-0005-0000-0000-0000B7020000}"/>
    <cellStyle name="Comma 2 2 10 7 10" xfId="22149" xr:uid="{00000000-0005-0000-0000-0000B8020000}"/>
    <cellStyle name="Comma 2 2 10 7 2" xfId="3766" xr:uid="{00000000-0005-0000-0000-0000B9020000}"/>
    <cellStyle name="Comma 2 2 10 7 2 2" xfId="19701" xr:uid="{00000000-0005-0000-0000-0000BA020000}"/>
    <cellStyle name="Comma 2 2 10 7 2 2 2" xfId="42979" xr:uid="{00000000-0005-0000-0000-0000BB020000}"/>
    <cellStyle name="Comma 2 2 10 7 2 3" xfId="47875" xr:uid="{00000000-0005-0000-0000-0000BC020000}"/>
    <cellStyle name="Comma 2 2 10 7 2 4" xfId="27045" xr:uid="{00000000-0005-0000-0000-0000BD020000}"/>
    <cellStyle name="Comma 2 2 10 7 3" xfId="6214" xr:uid="{00000000-0005-0000-0000-0000BE020000}"/>
    <cellStyle name="Comma 2 2 10 7 3 2" xfId="29493" xr:uid="{00000000-0005-0000-0000-0000BF020000}"/>
    <cellStyle name="Comma 2 2 10 7 4" xfId="8662" xr:uid="{00000000-0005-0000-0000-0000C0020000}"/>
    <cellStyle name="Comma 2 2 10 7 4 2" xfId="31941" xr:uid="{00000000-0005-0000-0000-0000C1020000}"/>
    <cellStyle name="Comma 2 2 10 7 5" xfId="11110" xr:uid="{00000000-0005-0000-0000-0000C2020000}"/>
    <cellStyle name="Comma 2 2 10 7 5 2" xfId="34389" xr:uid="{00000000-0005-0000-0000-0000C3020000}"/>
    <cellStyle name="Comma 2 2 10 7 6" xfId="13558" xr:uid="{00000000-0005-0000-0000-0000C4020000}"/>
    <cellStyle name="Comma 2 2 10 7 6 2" xfId="36837" xr:uid="{00000000-0005-0000-0000-0000C5020000}"/>
    <cellStyle name="Comma 2 2 10 7 7" xfId="17253" xr:uid="{00000000-0005-0000-0000-0000C6020000}"/>
    <cellStyle name="Comma 2 2 10 7 7 2" xfId="40531" xr:uid="{00000000-0005-0000-0000-0000C7020000}"/>
    <cellStyle name="Comma 2 2 10 7 8" xfId="24597" xr:uid="{00000000-0005-0000-0000-0000C8020000}"/>
    <cellStyle name="Comma 2 2 10 7 9" xfId="45427" xr:uid="{00000000-0005-0000-0000-0000C9020000}"/>
    <cellStyle name="Comma 2 2 10 8" xfId="2542" xr:uid="{00000000-0005-0000-0000-0000CA020000}"/>
    <cellStyle name="Comma 2 2 10 8 2" xfId="16029" xr:uid="{00000000-0005-0000-0000-0000CB020000}"/>
    <cellStyle name="Comma 2 2 10 8 2 2" xfId="39307" xr:uid="{00000000-0005-0000-0000-0000CC020000}"/>
    <cellStyle name="Comma 2 2 10 8 3" xfId="46651" xr:uid="{00000000-0005-0000-0000-0000CD020000}"/>
    <cellStyle name="Comma 2 2 10 8 4" xfId="25821" xr:uid="{00000000-0005-0000-0000-0000CE020000}"/>
    <cellStyle name="Comma 2 2 10 9" xfId="4990" xr:uid="{00000000-0005-0000-0000-0000CF020000}"/>
    <cellStyle name="Comma 2 2 10 9 2" xfId="18477" xr:uid="{00000000-0005-0000-0000-0000D0020000}"/>
    <cellStyle name="Comma 2 2 10 9 2 2" xfId="41755" xr:uid="{00000000-0005-0000-0000-0000D1020000}"/>
    <cellStyle name="Comma 2 2 10 9 3" xfId="28269" xr:uid="{00000000-0005-0000-0000-0000D2020000}"/>
    <cellStyle name="Comma 2 2 11" xfId="111" xr:uid="{00000000-0005-0000-0000-0000D3020000}"/>
    <cellStyle name="Comma 2 2 11 10" xfId="12351" xr:uid="{00000000-0005-0000-0000-0000D4020000}"/>
    <cellStyle name="Comma 2 2 11 10 2" xfId="35630" xr:uid="{00000000-0005-0000-0000-0000D5020000}"/>
    <cellStyle name="Comma 2 2 11 11" xfId="14822" xr:uid="{00000000-0005-0000-0000-0000D6020000}"/>
    <cellStyle name="Comma 2 2 11 11 2" xfId="38100" xr:uid="{00000000-0005-0000-0000-0000D7020000}"/>
    <cellStyle name="Comma 2 2 11 12" xfId="23390" xr:uid="{00000000-0005-0000-0000-0000D8020000}"/>
    <cellStyle name="Comma 2 2 11 13" xfId="44220" xr:uid="{00000000-0005-0000-0000-0000D9020000}"/>
    <cellStyle name="Comma 2 2 11 14" xfId="20942" xr:uid="{00000000-0005-0000-0000-0000DA020000}"/>
    <cellStyle name="Comma 2 2 11 2" xfId="315" xr:uid="{00000000-0005-0000-0000-0000DB020000}"/>
    <cellStyle name="Comma 2 2 11 2 10" xfId="23594" xr:uid="{00000000-0005-0000-0000-0000DC020000}"/>
    <cellStyle name="Comma 2 2 11 2 11" xfId="44424" xr:uid="{00000000-0005-0000-0000-0000DD020000}"/>
    <cellStyle name="Comma 2 2 11 2 12" xfId="21146" xr:uid="{00000000-0005-0000-0000-0000DE020000}"/>
    <cellStyle name="Comma 2 2 11 2 2" xfId="927" xr:uid="{00000000-0005-0000-0000-0000DF020000}"/>
    <cellStyle name="Comma 2 2 11 2 2 10" xfId="45036" xr:uid="{00000000-0005-0000-0000-0000E0020000}"/>
    <cellStyle name="Comma 2 2 11 2 2 11" xfId="21758" xr:uid="{00000000-0005-0000-0000-0000E1020000}"/>
    <cellStyle name="Comma 2 2 11 2 2 2" xfId="2151" xr:uid="{00000000-0005-0000-0000-0000E2020000}"/>
    <cellStyle name="Comma 2 2 11 2 2 2 10" xfId="22982" xr:uid="{00000000-0005-0000-0000-0000E3020000}"/>
    <cellStyle name="Comma 2 2 11 2 2 2 2" xfId="4599" xr:uid="{00000000-0005-0000-0000-0000E4020000}"/>
    <cellStyle name="Comma 2 2 11 2 2 2 2 2" xfId="20534" xr:uid="{00000000-0005-0000-0000-0000E5020000}"/>
    <cellStyle name="Comma 2 2 11 2 2 2 2 2 2" xfId="43812" xr:uid="{00000000-0005-0000-0000-0000E6020000}"/>
    <cellStyle name="Comma 2 2 11 2 2 2 2 3" xfId="48708" xr:uid="{00000000-0005-0000-0000-0000E7020000}"/>
    <cellStyle name="Comma 2 2 11 2 2 2 2 4" xfId="27878" xr:uid="{00000000-0005-0000-0000-0000E8020000}"/>
    <cellStyle name="Comma 2 2 11 2 2 2 3" xfId="7047" xr:uid="{00000000-0005-0000-0000-0000E9020000}"/>
    <cellStyle name="Comma 2 2 11 2 2 2 3 2" xfId="30326" xr:uid="{00000000-0005-0000-0000-0000EA020000}"/>
    <cellStyle name="Comma 2 2 11 2 2 2 4" xfId="9495" xr:uid="{00000000-0005-0000-0000-0000EB020000}"/>
    <cellStyle name="Comma 2 2 11 2 2 2 4 2" xfId="32774" xr:uid="{00000000-0005-0000-0000-0000EC020000}"/>
    <cellStyle name="Comma 2 2 11 2 2 2 5" xfId="11943" xr:uid="{00000000-0005-0000-0000-0000ED020000}"/>
    <cellStyle name="Comma 2 2 11 2 2 2 5 2" xfId="35222" xr:uid="{00000000-0005-0000-0000-0000EE020000}"/>
    <cellStyle name="Comma 2 2 11 2 2 2 6" xfId="14391" xr:uid="{00000000-0005-0000-0000-0000EF020000}"/>
    <cellStyle name="Comma 2 2 11 2 2 2 6 2" xfId="37670" xr:uid="{00000000-0005-0000-0000-0000F0020000}"/>
    <cellStyle name="Comma 2 2 11 2 2 2 7" xfId="18086" xr:uid="{00000000-0005-0000-0000-0000F1020000}"/>
    <cellStyle name="Comma 2 2 11 2 2 2 7 2" xfId="41364" xr:uid="{00000000-0005-0000-0000-0000F2020000}"/>
    <cellStyle name="Comma 2 2 11 2 2 2 8" xfId="25430" xr:uid="{00000000-0005-0000-0000-0000F3020000}"/>
    <cellStyle name="Comma 2 2 11 2 2 2 9" xfId="46260" xr:uid="{00000000-0005-0000-0000-0000F4020000}"/>
    <cellStyle name="Comma 2 2 11 2 2 3" xfId="3375" xr:uid="{00000000-0005-0000-0000-0000F5020000}"/>
    <cellStyle name="Comma 2 2 11 2 2 3 2" xfId="16862" xr:uid="{00000000-0005-0000-0000-0000F6020000}"/>
    <cellStyle name="Comma 2 2 11 2 2 3 2 2" xfId="40140" xr:uid="{00000000-0005-0000-0000-0000F7020000}"/>
    <cellStyle name="Comma 2 2 11 2 2 3 3" xfId="47484" xr:uid="{00000000-0005-0000-0000-0000F8020000}"/>
    <cellStyle name="Comma 2 2 11 2 2 3 4" xfId="26654" xr:uid="{00000000-0005-0000-0000-0000F9020000}"/>
    <cellStyle name="Comma 2 2 11 2 2 4" xfId="5823" xr:uid="{00000000-0005-0000-0000-0000FA020000}"/>
    <cellStyle name="Comma 2 2 11 2 2 4 2" xfId="19310" xr:uid="{00000000-0005-0000-0000-0000FB020000}"/>
    <cellStyle name="Comma 2 2 11 2 2 4 2 2" xfId="42588" xr:uid="{00000000-0005-0000-0000-0000FC020000}"/>
    <cellStyle name="Comma 2 2 11 2 2 4 3" xfId="29102" xr:uid="{00000000-0005-0000-0000-0000FD020000}"/>
    <cellStyle name="Comma 2 2 11 2 2 5" xfId="8271" xr:uid="{00000000-0005-0000-0000-0000FE020000}"/>
    <cellStyle name="Comma 2 2 11 2 2 5 2" xfId="31550" xr:uid="{00000000-0005-0000-0000-0000FF020000}"/>
    <cellStyle name="Comma 2 2 11 2 2 6" xfId="10719" xr:uid="{00000000-0005-0000-0000-000000030000}"/>
    <cellStyle name="Comma 2 2 11 2 2 6 2" xfId="33998" xr:uid="{00000000-0005-0000-0000-000001030000}"/>
    <cellStyle name="Comma 2 2 11 2 2 7" xfId="13167" xr:uid="{00000000-0005-0000-0000-000002030000}"/>
    <cellStyle name="Comma 2 2 11 2 2 7 2" xfId="36446" xr:uid="{00000000-0005-0000-0000-000003030000}"/>
    <cellStyle name="Comma 2 2 11 2 2 8" xfId="15638" xr:uid="{00000000-0005-0000-0000-000004030000}"/>
    <cellStyle name="Comma 2 2 11 2 2 8 2" xfId="38916" xr:uid="{00000000-0005-0000-0000-000005030000}"/>
    <cellStyle name="Comma 2 2 11 2 2 9" xfId="24206" xr:uid="{00000000-0005-0000-0000-000006030000}"/>
    <cellStyle name="Comma 2 2 11 2 3" xfId="1539" xr:uid="{00000000-0005-0000-0000-000007030000}"/>
    <cellStyle name="Comma 2 2 11 2 3 10" xfId="22370" xr:uid="{00000000-0005-0000-0000-000008030000}"/>
    <cellStyle name="Comma 2 2 11 2 3 2" xfId="3987" xr:uid="{00000000-0005-0000-0000-000009030000}"/>
    <cellStyle name="Comma 2 2 11 2 3 2 2" xfId="19922" xr:uid="{00000000-0005-0000-0000-00000A030000}"/>
    <cellStyle name="Comma 2 2 11 2 3 2 2 2" xfId="43200" xr:uid="{00000000-0005-0000-0000-00000B030000}"/>
    <cellStyle name="Comma 2 2 11 2 3 2 3" xfId="48096" xr:uid="{00000000-0005-0000-0000-00000C030000}"/>
    <cellStyle name="Comma 2 2 11 2 3 2 4" xfId="27266" xr:uid="{00000000-0005-0000-0000-00000D030000}"/>
    <cellStyle name="Comma 2 2 11 2 3 3" xfId="6435" xr:uid="{00000000-0005-0000-0000-00000E030000}"/>
    <cellStyle name="Comma 2 2 11 2 3 3 2" xfId="29714" xr:uid="{00000000-0005-0000-0000-00000F030000}"/>
    <cellStyle name="Comma 2 2 11 2 3 4" xfId="8883" xr:uid="{00000000-0005-0000-0000-000010030000}"/>
    <cellStyle name="Comma 2 2 11 2 3 4 2" xfId="32162" xr:uid="{00000000-0005-0000-0000-000011030000}"/>
    <cellStyle name="Comma 2 2 11 2 3 5" xfId="11331" xr:uid="{00000000-0005-0000-0000-000012030000}"/>
    <cellStyle name="Comma 2 2 11 2 3 5 2" xfId="34610" xr:uid="{00000000-0005-0000-0000-000013030000}"/>
    <cellStyle name="Comma 2 2 11 2 3 6" xfId="13779" xr:uid="{00000000-0005-0000-0000-000014030000}"/>
    <cellStyle name="Comma 2 2 11 2 3 6 2" xfId="37058" xr:uid="{00000000-0005-0000-0000-000015030000}"/>
    <cellStyle name="Comma 2 2 11 2 3 7" xfId="17474" xr:uid="{00000000-0005-0000-0000-000016030000}"/>
    <cellStyle name="Comma 2 2 11 2 3 7 2" xfId="40752" xr:uid="{00000000-0005-0000-0000-000017030000}"/>
    <cellStyle name="Comma 2 2 11 2 3 8" xfId="24818" xr:uid="{00000000-0005-0000-0000-000018030000}"/>
    <cellStyle name="Comma 2 2 11 2 3 9" xfId="45648" xr:uid="{00000000-0005-0000-0000-000019030000}"/>
    <cellStyle name="Comma 2 2 11 2 4" xfId="2763" xr:uid="{00000000-0005-0000-0000-00001A030000}"/>
    <cellStyle name="Comma 2 2 11 2 4 2" xfId="16250" xr:uid="{00000000-0005-0000-0000-00001B030000}"/>
    <cellStyle name="Comma 2 2 11 2 4 2 2" xfId="39528" xr:uid="{00000000-0005-0000-0000-00001C030000}"/>
    <cellStyle name="Comma 2 2 11 2 4 3" xfId="46872" xr:uid="{00000000-0005-0000-0000-00001D030000}"/>
    <cellStyle name="Comma 2 2 11 2 4 4" xfId="26042" xr:uid="{00000000-0005-0000-0000-00001E030000}"/>
    <cellStyle name="Comma 2 2 11 2 5" xfId="5211" xr:uid="{00000000-0005-0000-0000-00001F030000}"/>
    <cellStyle name="Comma 2 2 11 2 5 2" xfId="18698" xr:uid="{00000000-0005-0000-0000-000020030000}"/>
    <cellStyle name="Comma 2 2 11 2 5 2 2" xfId="41976" xr:uid="{00000000-0005-0000-0000-000021030000}"/>
    <cellStyle name="Comma 2 2 11 2 5 3" xfId="28490" xr:uid="{00000000-0005-0000-0000-000022030000}"/>
    <cellStyle name="Comma 2 2 11 2 6" xfId="7659" xr:uid="{00000000-0005-0000-0000-000023030000}"/>
    <cellStyle name="Comma 2 2 11 2 6 2" xfId="30938" xr:uid="{00000000-0005-0000-0000-000024030000}"/>
    <cellStyle name="Comma 2 2 11 2 7" xfId="10107" xr:uid="{00000000-0005-0000-0000-000025030000}"/>
    <cellStyle name="Comma 2 2 11 2 7 2" xfId="33386" xr:uid="{00000000-0005-0000-0000-000026030000}"/>
    <cellStyle name="Comma 2 2 11 2 8" xfId="12555" xr:uid="{00000000-0005-0000-0000-000027030000}"/>
    <cellStyle name="Comma 2 2 11 2 8 2" xfId="35834" xr:uid="{00000000-0005-0000-0000-000028030000}"/>
    <cellStyle name="Comma 2 2 11 2 9" xfId="15026" xr:uid="{00000000-0005-0000-0000-000029030000}"/>
    <cellStyle name="Comma 2 2 11 2 9 2" xfId="38304" xr:uid="{00000000-0005-0000-0000-00002A030000}"/>
    <cellStyle name="Comma 2 2 11 3" xfId="519" xr:uid="{00000000-0005-0000-0000-00002B030000}"/>
    <cellStyle name="Comma 2 2 11 3 10" xfId="23798" xr:uid="{00000000-0005-0000-0000-00002C030000}"/>
    <cellStyle name="Comma 2 2 11 3 11" xfId="44628" xr:uid="{00000000-0005-0000-0000-00002D030000}"/>
    <cellStyle name="Comma 2 2 11 3 12" xfId="21350" xr:uid="{00000000-0005-0000-0000-00002E030000}"/>
    <cellStyle name="Comma 2 2 11 3 2" xfId="1131" xr:uid="{00000000-0005-0000-0000-00002F030000}"/>
    <cellStyle name="Comma 2 2 11 3 2 10" xfId="45240" xr:uid="{00000000-0005-0000-0000-000030030000}"/>
    <cellStyle name="Comma 2 2 11 3 2 11" xfId="21962" xr:uid="{00000000-0005-0000-0000-000031030000}"/>
    <cellStyle name="Comma 2 2 11 3 2 2" xfId="2355" xr:uid="{00000000-0005-0000-0000-000032030000}"/>
    <cellStyle name="Comma 2 2 11 3 2 2 10" xfId="23186" xr:uid="{00000000-0005-0000-0000-000033030000}"/>
    <cellStyle name="Comma 2 2 11 3 2 2 2" xfId="4803" xr:uid="{00000000-0005-0000-0000-000034030000}"/>
    <cellStyle name="Comma 2 2 11 3 2 2 2 2" xfId="20738" xr:uid="{00000000-0005-0000-0000-000035030000}"/>
    <cellStyle name="Comma 2 2 11 3 2 2 2 2 2" xfId="44016" xr:uid="{00000000-0005-0000-0000-000036030000}"/>
    <cellStyle name="Comma 2 2 11 3 2 2 2 3" xfId="48912" xr:uid="{00000000-0005-0000-0000-000037030000}"/>
    <cellStyle name="Comma 2 2 11 3 2 2 2 4" xfId="28082" xr:uid="{00000000-0005-0000-0000-000038030000}"/>
    <cellStyle name="Comma 2 2 11 3 2 2 3" xfId="7251" xr:uid="{00000000-0005-0000-0000-000039030000}"/>
    <cellStyle name="Comma 2 2 11 3 2 2 3 2" xfId="30530" xr:uid="{00000000-0005-0000-0000-00003A030000}"/>
    <cellStyle name="Comma 2 2 11 3 2 2 4" xfId="9699" xr:uid="{00000000-0005-0000-0000-00003B030000}"/>
    <cellStyle name="Comma 2 2 11 3 2 2 4 2" xfId="32978" xr:uid="{00000000-0005-0000-0000-00003C030000}"/>
    <cellStyle name="Comma 2 2 11 3 2 2 5" xfId="12147" xr:uid="{00000000-0005-0000-0000-00003D030000}"/>
    <cellStyle name="Comma 2 2 11 3 2 2 5 2" xfId="35426" xr:uid="{00000000-0005-0000-0000-00003E030000}"/>
    <cellStyle name="Comma 2 2 11 3 2 2 6" xfId="14595" xr:uid="{00000000-0005-0000-0000-00003F030000}"/>
    <cellStyle name="Comma 2 2 11 3 2 2 6 2" xfId="37874" xr:uid="{00000000-0005-0000-0000-000040030000}"/>
    <cellStyle name="Comma 2 2 11 3 2 2 7" xfId="18290" xr:uid="{00000000-0005-0000-0000-000041030000}"/>
    <cellStyle name="Comma 2 2 11 3 2 2 7 2" xfId="41568" xr:uid="{00000000-0005-0000-0000-000042030000}"/>
    <cellStyle name="Comma 2 2 11 3 2 2 8" xfId="25634" xr:uid="{00000000-0005-0000-0000-000043030000}"/>
    <cellStyle name="Comma 2 2 11 3 2 2 9" xfId="46464" xr:uid="{00000000-0005-0000-0000-000044030000}"/>
    <cellStyle name="Comma 2 2 11 3 2 3" xfId="3579" xr:uid="{00000000-0005-0000-0000-000045030000}"/>
    <cellStyle name="Comma 2 2 11 3 2 3 2" xfId="17066" xr:uid="{00000000-0005-0000-0000-000046030000}"/>
    <cellStyle name="Comma 2 2 11 3 2 3 2 2" xfId="40344" xr:uid="{00000000-0005-0000-0000-000047030000}"/>
    <cellStyle name="Comma 2 2 11 3 2 3 3" xfId="47688" xr:uid="{00000000-0005-0000-0000-000048030000}"/>
    <cellStyle name="Comma 2 2 11 3 2 3 4" xfId="26858" xr:uid="{00000000-0005-0000-0000-000049030000}"/>
    <cellStyle name="Comma 2 2 11 3 2 4" xfId="6027" xr:uid="{00000000-0005-0000-0000-00004A030000}"/>
    <cellStyle name="Comma 2 2 11 3 2 4 2" xfId="19514" xr:uid="{00000000-0005-0000-0000-00004B030000}"/>
    <cellStyle name="Comma 2 2 11 3 2 4 2 2" xfId="42792" xr:uid="{00000000-0005-0000-0000-00004C030000}"/>
    <cellStyle name="Comma 2 2 11 3 2 4 3" xfId="29306" xr:uid="{00000000-0005-0000-0000-00004D030000}"/>
    <cellStyle name="Comma 2 2 11 3 2 5" xfId="8475" xr:uid="{00000000-0005-0000-0000-00004E030000}"/>
    <cellStyle name="Comma 2 2 11 3 2 5 2" xfId="31754" xr:uid="{00000000-0005-0000-0000-00004F030000}"/>
    <cellStyle name="Comma 2 2 11 3 2 6" xfId="10923" xr:uid="{00000000-0005-0000-0000-000050030000}"/>
    <cellStyle name="Comma 2 2 11 3 2 6 2" xfId="34202" xr:uid="{00000000-0005-0000-0000-000051030000}"/>
    <cellStyle name="Comma 2 2 11 3 2 7" xfId="13371" xr:uid="{00000000-0005-0000-0000-000052030000}"/>
    <cellStyle name="Comma 2 2 11 3 2 7 2" xfId="36650" xr:uid="{00000000-0005-0000-0000-000053030000}"/>
    <cellStyle name="Comma 2 2 11 3 2 8" xfId="15842" xr:uid="{00000000-0005-0000-0000-000054030000}"/>
    <cellStyle name="Comma 2 2 11 3 2 8 2" xfId="39120" xr:uid="{00000000-0005-0000-0000-000055030000}"/>
    <cellStyle name="Comma 2 2 11 3 2 9" xfId="24410" xr:uid="{00000000-0005-0000-0000-000056030000}"/>
    <cellStyle name="Comma 2 2 11 3 3" xfId="1743" xr:uid="{00000000-0005-0000-0000-000057030000}"/>
    <cellStyle name="Comma 2 2 11 3 3 10" xfId="22574" xr:uid="{00000000-0005-0000-0000-000058030000}"/>
    <cellStyle name="Comma 2 2 11 3 3 2" xfId="4191" xr:uid="{00000000-0005-0000-0000-000059030000}"/>
    <cellStyle name="Comma 2 2 11 3 3 2 2" xfId="20126" xr:uid="{00000000-0005-0000-0000-00005A030000}"/>
    <cellStyle name="Comma 2 2 11 3 3 2 2 2" xfId="43404" xr:uid="{00000000-0005-0000-0000-00005B030000}"/>
    <cellStyle name="Comma 2 2 11 3 3 2 3" xfId="48300" xr:uid="{00000000-0005-0000-0000-00005C030000}"/>
    <cellStyle name="Comma 2 2 11 3 3 2 4" xfId="27470" xr:uid="{00000000-0005-0000-0000-00005D030000}"/>
    <cellStyle name="Comma 2 2 11 3 3 3" xfId="6639" xr:uid="{00000000-0005-0000-0000-00005E030000}"/>
    <cellStyle name="Comma 2 2 11 3 3 3 2" xfId="29918" xr:uid="{00000000-0005-0000-0000-00005F030000}"/>
    <cellStyle name="Comma 2 2 11 3 3 4" xfId="9087" xr:uid="{00000000-0005-0000-0000-000060030000}"/>
    <cellStyle name="Comma 2 2 11 3 3 4 2" xfId="32366" xr:uid="{00000000-0005-0000-0000-000061030000}"/>
    <cellStyle name="Comma 2 2 11 3 3 5" xfId="11535" xr:uid="{00000000-0005-0000-0000-000062030000}"/>
    <cellStyle name="Comma 2 2 11 3 3 5 2" xfId="34814" xr:uid="{00000000-0005-0000-0000-000063030000}"/>
    <cellStyle name="Comma 2 2 11 3 3 6" xfId="13983" xr:uid="{00000000-0005-0000-0000-000064030000}"/>
    <cellStyle name="Comma 2 2 11 3 3 6 2" xfId="37262" xr:uid="{00000000-0005-0000-0000-000065030000}"/>
    <cellStyle name="Comma 2 2 11 3 3 7" xfId="17678" xr:uid="{00000000-0005-0000-0000-000066030000}"/>
    <cellStyle name="Comma 2 2 11 3 3 7 2" xfId="40956" xr:uid="{00000000-0005-0000-0000-000067030000}"/>
    <cellStyle name="Comma 2 2 11 3 3 8" xfId="25022" xr:uid="{00000000-0005-0000-0000-000068030000}"/>
    <cellStyle name="Comma 2 2 11 3 3 9" xfId="45852" xr:uid="{00000000-0005-0000-0000-000069030000}"/>
    <cellStyle name="Comma 2 2 11 3 4" xfId="2967" xr:uid="{00000000-0005-0000-0000-00006A030000}"/>
    <cellStyle name="Comma 2 2 11 3 4 2" xfId="16454" xr:uid="{00000000-0005-0000-0000-00006B030000}"/>
    <cellStyle name="Comma 2 2 11 3 4 2 2" xfId="39732" xr:uid="{00000000-0005-0000-0000-00006C030000}"/>
    <cellStyle name="Comma 2 2 11 3 4 3" xfId="47076" xr:uid="{00000000-0005-0000-0000-00006D030000}"/>
    <cellStyle name="Comma 2 2 11 3 4 4" xfId="26246" xr:uid="{00000000-0005-0000-0000-00006E030000}"/>
    <cellStyle name="Comma 2 2 11 3 5" xfId="5415" xr:uid="{00000000-0005-0000-0000-00006F030000}"/>
    <cellStyle name="Comma 2 2 11 3 5 2" xfId="18902" xr:uid="{00000000-0005-0000-0000-000070030000}"/>
    <cellStyle name="Comma 2 2 11 3 5 2 2" xfId="42180" xr:uid="{00000000-0005-0000-0000-000071030000}"/>
    <cellStyle name="Comma 2 2 11 3 5 3" xfId="28694" xr:uid="{00000000-0005-0000-0000-000072030000}"/>
    <cellStyle name="Comma 2 2 11 3 6" xfId="7863" xr:uid="{00000000-0005-0000-0000-000073030000}"/>
    <cellStyle name="Comma 2 2 11 3 6 2" xfId="31142" xr:uid="{00000000-0005-0000-0000-000074030000}"/>
    <cellStyle name="Comma 2 2 11 3 7" xfId="10311" xr:uid="{00000000-0005-0000-0000-000075030000}"/>
    <cellStyle name="Comma 2 2 11 3 7 2" xfId="33590" xr:uid="{00000000-0005-0000-0000-000076030000}"/>
    <cellStyle name="Comma 2 2 11 3 8" xfId="12759" xr:uid="{00000000-0005-0000-0000-000077030000}"/>
    <cellStyle name="Comma 2 2 11 3 8 2" xfId="36038" xr:uid="{00000000-0005-0000-0000-000078030000}"/>
    <cellStyle name="Comma 2 2 11 3 9" xfId="15230" xr:uid="{00000000-0005-0000-0000-000079030000}"/>
    <cellStyle name="Comma 2 2 11 3 9 2" xfId="38508" xr:uid="{00000000-0005-0000-0000-00007A030000}"/>
    <cellStyle name="Comma 2 2 11 4" xfId="723" xr:uid="{00000000-0005-0000-0000-00007B030000}"/>
    <cellStyle name="Comma 2 2 11 4 10" xfId="44832" xr:uid="{00000000-0005-0000-0000-00007C030000}"/>
    <cellStyle name="Comma 2 2 11 4 11" xfId="21554" xr:uid="{00000000-0005-0000-0000-00007D030000}"/>
    <cellStyle name="Comma 2 2 11 4 2" xfId="1947" xr:uid="{00000000-0005-0000-0000-00007E030000}"/>
    <cellStyle name="Comma 2 2 11 4 2 10" xfId="22778" xr:uid="{00000000-0005-0000-0000-00007F030000}"/>
    <cellStyle name="Comma 2 2 11 4 2 2" xfId="4395" xr:uid="{00000000-0005-0000-0000-000080030000}"/>
    <cellStyle name="Comma 2 2 11 4 2 2 2" xfId="20330" xr:uid="{00000000-0005-0000-0000-000081030000}"/>
    <cellStyle name="Comma 2 2 11 4 2 2 2 2" xfId="43608" xr:uid="{00000000-0005-0000-0000-000082030000}"/>
    <cellStyle name="Comma 2 2 11 4 2 2 3" xfId="48504" xr:uid="{00000000-0005-0000-0000-000083030000}"/>
    <cellStyle name="Comma 2 2 11 4 2 2 4" xfId="27674" xr:uid="{00000000-0005-0000-0000-000084030000}"/>
    <cellStyle name="Comma 2 2 11 4 2 3" xfId="6843" xr:uid="{00000000-0005-0000-0000-000085030000}"/>
    <cellStyle name="Comma 2 2 11 4 2 3 2" xfId="30122" xr:uid="{00000000-0005-0000-0000-000086030000}"/>
    <cellStyle name="Comma 2 2 11 4 2 4" xfId="9291" xr:uid="{00000000-0005-0000-0000-000087030000}"/>
    <cellStyle name="Comma 2 2 11 4 2 4 2" xfId="32570" xr:uid="{00000000-0005-0000-0000-000088030000}"/>
    <cellStyle name="Comma 2 2 11 4 2 5" xfId="11739" xr:uid="{00000000-0005-0000-0000-000089030000}"/>
    <cellStyle name="Comma 2 2 11 4 2 5 2" xfId="35018" xr:uid="{00000000-0005-0000-0000-00008A030000}"/>
    <cellStyle name="Comma 2 2 11 4 2 6" xfId="14187" xr:uid="{00000000-0005-0000-0000-00008B030000}"/>
    <cellStyle name="Comma 2 2 11 4 2 6 2" xfId="37466" xr:uid="{00000000-0005-0000-0000-00008C030000}"/>
    <cellStyle name="Comma 2 2 11 4 2 7" xfId="17882" xr:uid="{00000000-0005-0000-0000-00008D030000}"/>
    <cellStyle name="Comma 2 2 11 4 2 7 2" xfId="41160" xr:uid="{00000000-0005-0000-0000-00008E030000}"/>
    <cellStyle name="Comma 2 2 11 4 2 8" xfId="25226" xr:uid="{00000000-0005-0000-0000-00008F030000}"/>
    <cellStyle name="Comma 2 2 11 4 2 9" xfId="46056" xr:uid="{00000000-0005-0000-0000-000090030000}"/>
    <cellStyle name="Comma 2 2 11 4 3" xfId="3171" xr:uid="{00000000-0005-0000-0000-000091030000}"/>
    <cellStyle name="Comma 2 2 11 4 3 2" xfId="16658" xr:uid="{00000000-0005-0000-0000-000092030000}"/>
    <cellStyle name="Comma 2 2 11 4 3 2 2" xfId="39936" xr:uid="{00000000-0005-0000-0000-000093030000}"/>
    <cellStyle name="Comma 2 2 11 4 3 3" xfId="47280" xr:uid="{00000000-0005-0000-0000-000094030000}"/>
    <cellStyle name="Comma 2 2 11 4 3 4" xfId="26450" xr:uid="{00000000-0005-0000-0000-000095030000}"/>
    <cellStyle name="Comma 2 2 11 4 4" xfId="5619" xr:uid="{00000000-0005-0000-0000-000096030000}"/>
    <cellStyle name="Comma 2 2 11 4 4 2" xfId="19106" xr:uid="{00000000-0005-0000-0000-000097030000}"/>
    <cellStyle name="Comma 2 2 11 4 4 2 2" xfId="42384" xr:uid="{00000000-0005-0000-0000-000098030000}"/>
    <cellStyle name="Comma 2 2 11 4 4 3" xfId="28898" xr:uid="{00000000-0005-0000-0000-000099030000}"/>
    <cellStyle name="Comma 2 2 11 4 5" xfId="8067" xr:uid="{00000000-0005-0000-0000-00009A030000}"/>
    <cellStyle name="Comma 2 2 11 4 5 2" xfId="31346" xr:uid="{00000000-0005-0000-0000-00009B030000}"/>
    <cellStyle name="Comma 2 2 11 4 6" xfId="10515" xr:uid="{00000000-0005-0000-0000-00009C030000}"/>
    <cellStyle name="Comma 2 2 11 4 6 2" xfId="33794" xr:uid="{00000000-0005-0000-0000-00009D030000}"/>
    <cellStyle name="Comma 2 2 11 4 7" xfId="12963" xr:uid="{00000000-0005-0000-0000-00009E030000}"/>
    <cellStyle name="Comma 2 2 11 4 7 2" xfId="36242" xr:uid="{00000000-0005-0000-0000-00009F030000}"/>
    <cellStyle name="Comma 2 2 11 4 8" xfId="15434" xr:uid="{00000000-0005-0000-0000-0000A0030000}"/>
    <cellStyle name="Comma 2 2 11 4 8 2" xfId="38712" xr:uid="{00000000-0005-0000-0000-0000A1030000}"/>
    <cellStyle name="Comma 2 2 11 4 9" xfId="24002" xr:uid="{00000000-0005-0000-0000-0000A2030000}"/>
    <cellStyle name="Comma 2 2 11 5" xfId="1335" xr:uid="{00000000-0005-0000-0000-0000A3030000}"/>
    <cellStyle name="Comma 2 2 11 5 10" xfId="22166" xr:uid="{00000000-0005-0000-0000-0000A4030000}"/>
    <cellStyle name="Comma 2 2 11 5 2" xfId="3783" xr:uid="{00000000-0005-0000-0000-0000A5030000}"/>
    <cellStyle name="Comma 2 2 11 5 2 2" xfId="19718" xr:uid="{00000000-0005-0000-0000-0000A6030000}"/>
    <cellStyle name="Comma 2 2 11 5 2 2 2" xfId="42996" xr:uid="{00000000-0005-0000-0000-0000A7030000}"/>
    <cellStyle name="Comma 2 2 11 5 2 3" xfId="47892" xr:uid="{00000000-0005-0000-0000-0000A8030000}"/>
    <cellStyle name="Comma 2 2 11 5 2 4" xfId="27062" xr:uid="{00000000-0005-0000-0000-0000A9030000}"/>
    <cellStyle name="Comma 2 2 11 5 3" xfId="6231" xr:uid="{00000000-0005-0000-0000-0000AA030000}"/>
    <cellStyle name="Comma 2 2 11 5 3 2" xfId="29510" xr:uid="{00000000-0005-0000-0000-0000AB030000}"/>
    <cellStyle name="Comma 2 2 11 5 4" xfId="8679" xr:uid="{00000000-0005-0000-0000-0000AC030000}"/>
    <cellStyle name="Comma 2 2 11 5 4 2" xfId="31958" xr:uid="{00000000-0005-0000-0000-0000AD030000}"/>
    <cellStyle name="Comma 2 2 11 5 5" xfId="11127" xr:uid="{00000000-0005-0000-0000-0000AE030000}"/>
    <cellStyle name="Comma 2 2 11 5 5 2" xfId="34406" xr:uid="{00000000-0005-0000-0000-0000AF030000}"/>
    <cellStyle name="Comma 2 2 11 5 6" xfId="13575" xr:uid="{00000000-0005-0000-0000-0000B0030000}"/>
    <cellStyle name="Comma 2 2 11 5 6 2" xfId="36854" xr:uid="{00000000-0005-0000-0000-0000B1030000}"/>
    <cellStyle name="Comma 2 2 11 5 7" xfId="17270" xr:uid="{00000000-0005-0000-0000-0000B2030000}"/>
    <cellStyle name="Comma 2 2 11 5 7 2" xfId="40548" xr:uid="{00000000-0005-0000-0000-0000B3030000}"/>
    <cellStyle name="Comma 2 2 11 5 8" xfId="24614" xr:uid="{00000000-0005-0000-0000-0000B4030000}"/>
    <cellStyle name="Comma 2 2 11 5 9" xfId="45444" xr:uid="{00000000-0005-0000-0000-0000B5030000}"/>
    <cellStyle name="Comma 2 2 11 6" xfId="2559" xr:uid="{00000000-0005-0000-0000-0000B6030000}"/>
    <cellStyle name="Comma 2 2 11 6 2" xfId="16046" xr:uid="{00000000-0005-0000-0000-0000B7030000}"/>
    <cellStyle name="Comma 2 2 11 6 2 2" xfId="39324" xr:uid="{00000000-0005-0000-0000-0000B8030000}"/>
    <cellStyle name="Comma 2 2 11 6 3" xfId="46668" xr:uid="{00000000-0005-0000-0000-0000B9030000}"/>
    <cellStyle name="Comma 2 2 11 6 4" xfId="25838" xr:uid="{00000000-0005-0000-0000-0000BA030000}"/>
    <cellStyle name="Comma 2 2 11 7" xfId="5007" xr:uid="{00000000-0005-0000-0000-0000BB030000}"/>
    <cellStyle name="Comma 2 2 11 7 2" xfId="18494" xr:uid="{00000000-0005-0000-0000-0000BC030000}"/>
    <cellStyle name="Comma 2 2 11 7 2 2" xfId="41772" xr:uid="{00000000-0005-0000-0000-0000BD030000}"/>
    <cellStyle name="Comma 2 2 11 7 3" xfId="28286" xr:uid="{00000000-0005-0000-0000-0000BE030000}"/>
    <cellStyle name="Comma 2 2 11 8" xfId="7455" xr:uid="{00000000-0005-0000-0000-0000BF030000}"/>
    <cellStyle name="Comma 2 2 11 8 2" xfId="30734" xr:uid="{00000000-0005-0000-0000-0000C0030000}"/>
    <cellStyle name="Comma 2 2 11 9" xfId="9903" xr:uid="{00000000-0005-0000-0000-0000C1030000}"/>
    <cellStyle name="Comma 2 2 11 9 2" xfId="33182" xr:uid="{00000000-0005-0000-0000-0000C2030000}"/>
    <cellStyle name="Comma 2 2 12" xfId="179" xr:uid="{00000000-0005-0000-0000-0000C3030000}"/>
    <cellStyle name="Comma 2 2 12 10" xfId="12419" xr:uid="{00000000-0005-0000-0000-0000C4030000}"/>
    <cellStyle name="Comma 2 2 12 10 2" xfId="35698" xr:uid="{00000000-0005-0000-0000-0000C5030000}"/>
    <cellStyle name="Comma 2 2 12 11" xfId="14890" xr:uid="{00000000-0005-0000-0000-0000C6030000}"/>
    <cellStyle name="Comma 2 2 12 11 2" xfId="38168" xr:uid="{00000000-0005-0000-0000-0000C7030000}"/>
    <cellStyle name="Comma 2 2 12 12" xfId="23458" xr:uid="{00000000-0005-0000-0000-0000C8030000}"/>
    <cellStyle name="Comma 2 2 12 13" xfId="44288" xr:uid="{00000000-0005-0000-0000-0000C9030000}"/>
    <cellStyle name="Comma 2 2 12 14" xfId="21010" xr:uid="{00000000-0005-0000-0000-0000CA030000}"/>
    <cellStyle name="Comma 2 2 12 2" xfId="383" xr:uid="{00000000-0005-0000-0000-0000CB030000}"/>
    <cellStyle name="Comma 2 2 12 2 10" xfId="23662" xr:uid="{00000000-0005-0000-0000-0000CC030000}"/>
    <cellStyle name="Comma 2 2 12 2 11" xfId="44492" xr:uid="{00000000-0005-0000-0000-0000CD030000}"/>
    <cellStyle name="Comma 2 2 12 2 12" xfId="21214" xr:uid="{00000000-0005-0000-0000-0000CE030000}"/>
    <cellStyle name="Comma 2 2 12 2 2" xfId="995" xr:uid="{00000000-0005-0000-0000-0000CF030000}"/>
    <cellStyle name="Comma 2 2 12 2 2 10" xfId="45104" xr:uid="{00000000-0005-0000-0000-0000D0030000}"/>
    <cellStyle name="Comma 2 2 12 2 2 11" xfId="21826" xr:uid="{00000000-0005-0000-0000-0000D1030000}"/>
    <cellStyle name="Comma 2 2 12 2 2 2" xfId="2219" xr:uid="{00000000-0005-0000-0000-0000D2030000}"/>
    <cellStyle name="Comma 2 2 12 2 2 2 10" xfId="23050" xr:uid="{00000000-0005-0000-0000-0000D3030000}"/>
    <cellStyle name="Comma 2 2 12 2 2 2 2" xfId="4667" xr:uid="{00000000-0005-0000-0000-0000D4030000}"/>
    <cellStyle name="Comma 2 2 12 2 2 2 2 2" xfId="20602" xr:uid="{00000000-0005-0000-0000-0000D5030000}"/>
    <cellStyle name="Comma 2 2 12 2 2 2 2 2 2" xfId="43880" xr:uid="{00000000-0005-0000-0000-0000D6030000}"/>
    <cellStyle name="Comma 2 2 12 2 2 2 2 3" xfId="48776" xr:uid="{00000000-0005-0000-0000-0000D7030000}"/>
    <cellStyle name="Comma 2 2 12 2 2 2 2 4" xfId="27946" xr:uid="{00000000-0005-0000-0000-0000D8030000}"/>
    <cellStyle name="Comma 2 2 12 2 2 2 3" xfId="7115" xr:uid="{00000000-0005-0000-0000-0000D9030000}"/>
    <cellStyle name="Comma 2 2 12 2 2 2 3 2" xfId="30394" xr:uid="{00000000-0005-0000-0000-0000DA030000}"/>
    <cellStyle name="Comma 2 2 12 2 2 2 4" xfId="9563" xr:uid="{00000000-0005-0000-0000-0000DB030000}"/>
    <cellStyle name="Comma 2 2 12 2 2 2 4 2" xfId="32842" xr:uid="{00000000-0005-0000-0000-0000DC030000}"/>
    <cellStyle name="Comma 2 2 12 2 2 2 5" xfId="12011" xr:uid="{00000000-0005-0000-0000-0000DD030000}"/>
    <cellStyle name="Comma 2 2 12 2 2 2 5 2" xfId="35290" xr:uid="{00000000-0005-0000-0000-0000DE030000}"/>
    <cellStyle name="Comma 2 2 12 2 2 2 6" xfId="14459" xr:uid="{00000000-0005-0000-0000-0000DF030000}"/>
    <cellStyle name="Comma 2 2 12 2 2 2 6 2" xfId="37738" xr:uid="{00000000-0005-0000-0000-0000E0030000}"/>
    <cellStyle name="Comma 2 2 12 2 2 2 7" xfId="18154" xr:uid="{00000000-0005-0000-0000-0000E1030000}"/>
    <cellStyle name="Comma 2 2 12 2 2 2 7 2" xfId="41432" xr:uid="{00000000-0005-0000-0000-0000E2030000}"/>
    <cellStyle name="Comma 2 2 12 2 2 2 8" xfId="25498" xr:uid="{00000000-0005-0000-0000-0000E3030000}"/>
    <cellStyle name="Comma 2 2 12 2 2 2 9" xfId="46328" xr:uid="{00000000-0005-0000-0000-0000E4030000}"/>
    <cellStyle name="Comma 2 2 12 2 2 3" xfId="3443" xr:uid="{00000000-0005-0000-0000-0000E5030000}"/>
    <cellStyle name="Comma 2 2 12 2 2 3 2" xfId="16930" xr:uid="{00000000-0005-0000-0000-0000E6030000}"/>
    <cellStyle name="Comma 2 2 12 2 2 3 2 2" xfId="40208" xr:uid="{00000000-0005-0000-0000-0000E7030000}"/>
    <cellStyle name="Comma 2 2 12 2 2 3 3" xfId="47552" xr:uid="{00000000-0005-0000-0000-0000E8030000}"/>
    <cellStyle name="Comma 2 2 12 2 2 3 4" xfId="26722" xr:uid="{00000000-0005-0000-0000-0000E9030000}"/>
    <cellStyle name="Comma 2 2 12 2 2 4" xfId="5891" xr:uid="{00000000-0005-0000-0000-0000EA030000}"/>
    <cellStyle name="Comma 2 2 12 2 2 4 2" xfId="19378" xr:uid="{00000000-0005-0000-0000-0000EB030000}"/>
    <cellStyle name="Comma 2 2 12 2 2 4 2 2" xfId="42656" xr:uid="{00000000-0005-0000-0000-0000EC030000}"/>
    <cellStyle name="Comma 2 2 12 2 2 4 3" xfId="29170" xr:uid="{00000000-0005-0000-0000-0000ED030000}"/>
    <cellStyle name="Comma 2 2 12 2 2 5" xfId="8339" xr:uid="{00000000-0005-0000-0000-0000EE030000}"/>
    <cellStyle name="Comma 2 2 12 2 2 5 2" xfId="31618" xr:uid="{00000000-0005-0000-0000-0000EF030000}"/>
    <cellStyle name="Comma 2 2 12 2 2 6" xfId="10787" xr:uid="{00000000-0005-0000-0000-0000F0030000}"/>
    <cellStyle name="Comma 2 2 12 2 2 6 2" xfId="34066" xr:uid="{00000000-0005-0000-0000-0000F1030000}"/>
    <cellStyle name="Comma 2 2 12 2 2 7" xfId="13235" xr:uid="{00000000-0005-0000-0000-0000F2030000}"/>
    <cellStyle name="Comma 2 2 12 2 2 7 2" xfId="36514" xr:uid="{00000000-0005-0000-0000-0000F3030000}"/>
    <cellStyle name="Comma 2 2 12 2 2 8" xfId="15706" xr:uid="{00000000-0005-0000-0000-0000F4030000}"/>
    <cellStyle name="Comma 2 2 12 2 2 8 2" xfId="38984" xr:uid="{00000000-0005-0000-0000-0000F5030000}"/>
    <cellStyle name="Comma 2 2 12 2 2 9" xfId="24274" xr:uid="{00000000-0005-0000-0000-0000F6030000}"/>
    <cellStyle name="Comma 2 2 12 2 3" xfId="1607" xr:uid="{00000000-0005-0000-0000-0000F7030000}"/>
    <cellStyle name="Comma 2 2 12 2 3 10" xfId="22438" xr:uid="{00000000-0005-0000-0000-0000F8030000}"/>
    <cellStyle name="Comma 2 2 12 2 3 2" xfId="4055" xr:uid="{00000000-0005-0000-0000-0000F9030000}"/>
    <cellStyle name="Comma 2 2 12 2 3 2 2" xfId="19990" xr:uid="{00000000-0005-0000-0000-0000FA030000}"/>
    <cellStyle name="Comma 2 2 12 2 3 2 2 2" xfId="43268" xr:uid="{00000000-0005-0000-0000-0000FB030000}"/>
    <cellStyle name="Comma 2 2 12 2 3 2 3" xfId="48164" xr:uid="{00000000-0005-0000-0000-0000FC030000}"/>
    <cellStyle name="Comma 2 2 12 2 3 2 4" xfId="27334" xr:uid="{00000000-0005-0000-0000-0000FD030000}"/>
    <cellStyle name="Comma 2 2 12 2 3 3" xfId="6503" xr:uid="{00000000-0005-0000-0000-0000FE030000}"/>
    <cellStyle name="Comma 2 2 12 2 3 3 2" xfId="29782" xr:uid="{00000000-0005-0000-0000-0000FF030000}"/>
    <cellStyle name="Comma 2 2 12 2 3 4" xfId="8951" xr:uid="{00000000-0005-0000-0000-000000040000}"/>
    <cellStyle name="Comma 2 2 12 2 3 4 2" xfId="32230" xr:uid="{00000000-0005-0000-0000-000001040000}"/>
    <cellStyle name="Comma 2 2 12 2 3 5" xfId="11399" xr:uid="{00000000-0005-0000-0000-000002040000}"/>
    <cellStyle name="Comma 2 2 12 2 3 5 2" xfId="34678" xr:uid="{00000000-0005-0000-0000-000003040000}"/>
    <cellStyle name="Comma 2 2 12 2 3 6" xfId="13847" xr:uid="{00000000-0005-0000-0000-000004040000}"/>
    <cellStyle name="Comma 2 2 12 2 3 6 2" xfId="37126" xr:uid="{00000000-0005-0000-0000-000005040000}"/>
    <cellStyle name="Comma 2 2 12 2 3 7" xfId="17542" xr:uid="{00000000-0005-0000-0000-000006040000}"/>
    <cellStyle name="Comma 2 2 12 2 3 7 2" xfId="40820" xr:uid="{00000000-0005-0000-0000-000007040000}"/>
    <cellStyle name="Comma 2 2 12 2 3 8" xfId="24886" xr:uid="{00000000-0005-0000-0000-000008040000}"/>
    <cellStyle name="Comma 2 2 12 2 3 9" xfId="45716" xr:uid="{00000000-0005-0000-0000-000009040000}"/>
    <cellStyle name="Comma 2 2 12 2 4" xfId="2831" xr:uid="{00000000-0005-0000-0000-00000A040000}"/>
    <cellStyle name="Comma 2 2 12 2 4 2" xfId="16318" xr:uid="{00000000-0005-0000-0000-00000B040000}"/>
    <cellStyle name="Comma 2 2 12 2 4 2 2" xfId="39596" xr:uid="{00000000-0005-0000-0000-00000C040000}"/>
    <cellStyle name="Comma 2 2 12 2 4 3" xfId="46940" xr:uid="{00000000-0005-0000-0000-00000D040000}"/>
    <cellStyle name="Comma 2 2 12 2 4 4" xfId="26110" xr:uid="{00000000-0005-0000-0000-00000E040000}"/>
    <cellStyle name="Comma 2 2 12 2 5" xfId="5279" xr:uid="{00000000-0005-0000-0000-00000F040000}"/>
    <cellStyle name="Comma 2 2 12 2 5 2" xfId="18766" xr:uid="{00000000-0005-0000-0000-000010040000}"/>
    <cellStyle name="Comma 2 2 12 2 5 2 2" xfId="42044" xr:uid="{00000000-0005-0000-0000-000011040000}"/>
    <cellStyle name="Comma 2 2 12 2 5 3" xfId="28558" xr:uid="{00000000-0005-0000-0000-000012040000}"/>
    <cellStyle name="Comma 2 2 12 2 6" xfId="7727" xr:uid="{00000000-0005-0000-0000-000013040000}"/>
    <cellStyle name="Comma 2 2 12 2 6 2" xfId="31006" xr:uid="{00000000-0005-0000-0000-000014040000}"/>
    <cellStyle name="Comma 2 2 12 2 7" xfId="10175" xr:uid="{00000000-0005-0000-0000-000015040000}"/>
    <cellStyle name="Comma 2 2 12 2 7 2" xfId="33454" xr:uid="{00000000-0005-0000-0000-000016040000}"/>
    <cellStyle name="Comma 2 2 12 2 8" xfId="12623" xr:uid="{00000000-0005-0000-0000-000017040000}"/>
    <cellStyle name="Comma 2 2 12 2 8 2" xfId="35902" xr:uid="{00000000-0005-0000-0000-000018040000}"/>
    <cellStyle name="Comma 2 2 12 2 9" xfId="15094" xr:uid="{00000000-0005-0000-0000-000019040000}"/>
    <cellStyle name="Comma 2 2 12 2 9 2" xfId="38372" xr:uid="{00000000-0005-0000-0000-00001A040000}"/>
    <cellStyle name="Comma 2 2 12 3" xfId="587" xr:uid="{00000000-0005-0000-0000-00001B040000}"/>
    <cellStyle name="Comma 2 2 12 3 10" xfId="23866" xr:uid="{00000000-0005-0000-0000-00001C040000}"/>
    <cellStyle name="Comma 2 2 12 3 11" xfId="44696" xr:uid="{00000000-0005-0000-0000-00001D040000}"/>
    <cellStyle name="Comma 2 2 12 3 12" xfId="21418" xr:uid="{00000000-0005-0000-0000-00001E040000}"/>
    <cellStyle name="Comma 2 2 12 3 2" xfId="1199" xr:uid="{00000000-0005-0000-0000-00001F040000}"/>
    <cellStyle name="Comma 2 2 12 3 2 10" xfId="45308" xr:uid="{00000000-0005-0000-0000-000020040000}"/>
    <cellStyle name="Comma 2 2 12 3 2 11" xfId="22030" xr:uid="{00000000-0005-0000-0000-000021040000}"/>
    <cellStyle name="Comma 2 2 12 3 2 2" xfId="2423" xr:uid="{00000000-0005-0000-0000-000022040000}"/>
    <cellStyle name="Comma 2 2 12 3 2 2 10" xfId="23254" xr:uid="{00000000-0005-0000-0000-000023040000}"/>
    <cellStyle name="Comma 2 2 12 3 2 2 2" xfId="4871" xr:uid="{00000000-0005-0000-0000-000024040000}"/>
    <cellStyle name="Comma 2 2 12 3 2 2 2 2" xfId="20806" xr:uid="{00000000-0005-0000-0000-000025040000}"/>
    <cellStyle name="Comma 2 2 12 3 2 2 2 2 2" xfId="44084" xr:uid="{00000000-0005-0000-0000-000026040000}"/>
    <cellStyle name="Comma 2 2 12 3 2 2 2 3" xfId="48980" xr:uid="{00000000-0005-0000-0000-000027040000}"/>
    <cellStyle name="Comma 2 2 12 3 2 2 2 4" xfId="28150" xr:uid="{00000000-0005-0000-0000-000028040000}"/>
    <cellStyle name="Comma 2 2 12 3 2 2 3" xfId="7319" xr:uid="{00000000-0005-0000-0000-000029040000}"/>
    <cellStyle name="Comma 2 2 12 3 2 2 3 2" xfId="30598" xr:uid="{00000000-0005-0000-0000-00002A040000}"/>
    <cellStyle name="Comma 2 2 12 3 2 2 4" xfId="9767" xr:uid="{00000000-0005-0000-0000-00002B040000}"/>
    <cellStyle name="Comma 2 2 12 3 2 2 4 2" xfId="33046" xr:uid="{00000000-0005-0000-0000-00002C040000}"/>
    <cellStyle name="Comma 2 2 12 3 2 2 5" xfId="12215" xr:uid="{00000000-0005-0000-0000-00002D040000}"/>
    <cellStyle name="Comma 2 2 12 3 2 2 5 2" xfId="35494" xr:uid="{00000000-0005-0000-0000-00002E040000}"/>
    <cellStyle name="Comma 2 2 12 3 2 2 6" xfId="14663" xr:uid="{00000000-0005-0000-0000-00002F040000}"/>
    <cellStyle name="Comma 2 2 12 3 2 2 6 2" xfId="37942" xr:uid="{00000000-0005-0000-0000-000030040000}"/>
    <cellStyle name="Comma 2 2 12 3 2 2 7" xfId="18358" xr:uid="{00000000-0005-0000-0000-000031040000}"/>
    <cellStyle name="Comma 2 2 12 3 2 2 7 2" xfId="41636" xr:uid="{00000000-0005-0000-0000-000032040000}"/>
    <cellStyle name="Comma 2 2 12 3 2 2 8" xfId="25702" xr:uid="{00000000-0005-0000-0000-000033040000}"/>
    <cellStyle name="Comma 2 2 12 3 2 2 9" xfId="46532" xr:uid="{00000000-0005-0000-0000-000034040000}"/>
    <cellStyle name="Comma 2 2 12 3 2 3" xfId="3647" xr:uid="{00000000-0005-0000-0000-000035040000}"/>
    <cellStyle name="Comma 2 2 12 3 2 3 2" xfId="17134" xr:uid="{00000000-0005-0000-0000-000036040000}"/>
    <cellStyle name="Comma 2 2 12 3 2 3 2 2" xfId="40412" xr:uid="{00000000-0005-0000-0000-000037040000}"/>
    <cellStyle name="Comma 2 2 12 3 2 3 3" xfId="47756" xr:uid="{00000000-0005-0000-0000-000038040000}"/>
    <cellStyle name="Comma 2 2 12 3 2 3 4" xfId="26926" xr:uid="{00000000-0005-0000-0000-000039040000}"/>
    <cellStyle name="Comma 2 2 12 3 2 4" xfId="6095" xr:uid="{00000000-0005-0000-0000-00003A040000}"/>
    <cellStyle name="Comma 2 2 12 3 2 4 2" xfId="19582" xr:uid="{00000000-0005-0000-0000-00003B040000}"/>
    <cellStyle name="Comma 2 2 12 3 2 4 2 2" xfId="42860" xr:uid="{00000000-0005-0000-0000-00003C040000}"/>
    <cellStyle name="Comma 2 2 12 3 2 4 3" xfId="29374" xr:uid="{00000000-0005-0000-0000-00003D040000}"/>
    <cellStyle name="Comma 2 2 12 3 2 5" xfId="8543" xr:uid="{00000000-0005-0000-0000-00003E040000}"/>
    <cellStyle name="Comma 2 2 12 3 2 5 2" xfId="31822" xr:uid="{00000000-0005-0000-0000-00003F040000}"/>
    <cellStyle name="Comma 2 2 12 3 2 6" xfId="10991" xr:uid="{00000000-0005-0000-0000-000040040000}"/>
    <cellStyle name="Comma 2 2 12 3 2 6 2" xfId="34270" xr:uid="{00000000-0005-0000-0000-000041040000}"/>
    <cellStyle name="Comma 2 2 12 3 2 7" xfId="13439" xr:uid="{00000000-0005-0000-0000-000042040000}"/>
    <cellStyle name="Comma 2 2 12 3 2 7 2" xfId="36718" xr:uid="{00000000-0005-0000-0000-000043040000}"/>
    <cellStyle name="Comma 2 2 12 3 2 8" xfId="15910" xr:uid="{00000000-0005-0000-0000-000044040000}"/>
    <cellStyle name="Comma 2 2 12 3 2 8 2" xfId="39188" xr:uid="{00000000-0005-0000-0000-000045040000}"/>
    <cellStyle name="Comma 2 2 12 3 2 9" xfId="24478" xr:uid="{00000000-0005-0000-0000-000046040000}"/>
    <cellStyle name="Comma 2 2 12 3 3" xfId="1811" xr:uid="{00000000-0005-0000-0000-000047040000}"/>
    <cellStyle name="Comma 2 2 12 3 3 10" xfId="22642" xr:uid="{00000000-0005-0000-0000-000048040000}"/>
    <cellStyle name="Comma 2 2 12 3 3 2" xfId="4259" xr:uid="{00000000-0005-0000-0000-000049040000}"/>
    <cellStyle name="Comma 2 2 12 3 3 2 2" xfId="20194" xr:uid="{00000000-0005-0000-0000-00004A040000}"/>
    <cellStyle name="Comma 2 2 12 3 3 2 2 2" xfId="43472" xr:uid="{00000000-0005-0000-0000-00004B040000}"/>
    <cellStyle name="Comma 2 2 12 3 3 2 3" xfId="48368" xr:uid="{00000000-0005-0000-0000-00004C040000}"/>
    <cellStyle name="Comma 2 2 12 3 3 2 4" xfId="27538" xr:uid="{00000000-0005-0000-0000-00004D040000}"/>
    <cellStyle name="Comma 2 2 12 3 3 3" xfId="6707" xr:uid="{00000000-0005-0000-0000-00004E040000}"/>
    <cellStyle name="Comma 2 2 12 3 3 3 2" xfId="29986" xr:uid="{00000000-0005-0000-0000-00004F040000}"/>
    <cellStyle name="Comma 2 2 12 3 3 4" xfId="9155" xr:uid="{00000000-0005-0000-0000-000050040000}"/>
    <cellStyle name="Comma 2 2 12 3 3 4 2" xfId="32434" xr:uid="{00000000-0005-0000-0000-000051040000}"/>
    <cellStyle name="Comma 2 2 12 3 3 5" xfId="11603" xr:uid="{00000000-0005-0000-0000-000052040000}"/>
    <cellStyle name="Comma 2 2 12 3 3 5 2" xfId="34882" xr:uid="{00000000-0005-0000-0000-000053040000}"/>
    <cellStyle name="Comma 2 2 12 3 3 6" xfId="14051" xr:uid="{00000000-0005-0000-0000-000054040000}"/>
    <cellStyle name="Comma 2 2 12 3 3 6 2" xfId="37330" xr:uid="{00000000-0005-0000-0000-000055040000}"/>
    <cellStyle name="Comma 2 2 12 3 3 7" xfId="17746" xr:uid="{00000000-0005-0000-0000-000056040000}"/>
    <cellStyle name="Comma 2 2 12 3 3 7 2" xfId="41024" xr:uid="{00000000-0005-0000-0000-000057040000}"/>
    <cellStyle name="Comma 2 2 12 3 3 8" xfId="25090" xr:uid="{00000000-0005-0000-0000-000058040000}"/>
    <cellStyle name="Comma 2 2 12 3 3 9" xfId="45920" xr:uid="{00000000-0005-0000-0000-000059040000}"/>
    <cellStyle name="Comma 2 2 12 3 4" xfId="3035" xr:uid="{00000000-0005-0000-0000-00005A040000}"/>
    <cellStyle name="Comma 2 2 12 3 4 2" xfId="16522" xr:uid="{00000000-0005-0000-0000-00005B040000}"/>
    <cellStyle name="Comma 2 2 12 3 4 2 2" xfId="39800" xr:uid="{00000000-0005-0000-0000-00005C040000}"/>
    <cellStyle name="Comma 2 2 12 3 4 3" xfId="47144" xr:uid="{00000000-0005-0000-0000-00005D040000}"/>
    <cellStyle name="Comma 2 2 12 3 4 4" xfId="26314" xr:uid="{00000000-0005-0000-0000-00005E040000}"/>
    <cellStyle name="Comma 2 2 12 3 5" xfId="5483" xr:uid="{00000000-0005-0000-0000-00005F040000}"/>
    <cellStyle name="Comma 2 2 12 3 5 2" xfId="18970" xr:uid="{00000000-0005-0000-0000-000060040000}"/>
    <cellStyle name="Comma 2 2 12 3 5 2 2" xfId="42248" xr:uid="{00000000-0005-0000-0000-000061040000}"/>
    <cellStyle name="Comma 2 2 12 3 5 3" xfId="28762" xr:uid="{00000000-0005-0000-0000-000062040000}"/>
    <cellStyle name="Comma 2 2 12 3 6" xfId="7931" xr:uid="{00000000-0005-0000-0000-000063040000}"/>
    <cellStyle name="Comma 2 2 12 3 6 2" xfId="31210" xr:uid="{00000000-0005-0000-0000-000064040000}"/>
    <cellStyle name="Comma 2 2 12 3 7" xfId="10379" xr:uid="{00000000-0005-0000-0000-000065040000}"/>
    <cellStyle name="Comma 2 2 12 3 7 2" xfId="33658" xr:uid="{00000000-0005-0000-0000-000066040000}"/>
    <cellStyle name="Comma 2 2 12 3 8" xfId="12827" xr:uid="{00000000-0005-0000-0000-000067040000}"/>
    <cellStyle name="Comma 2 2 12 3 8 2" xfId="36106" xr:uid="{00000000-0005-0000-0000-000068040000}"/>
    <cellStyle name="Comma 2 2 12 3 9" xfId="15298" xr:uid="{00000000-0005-0000-0000-000069040000}"/>
    <cellStyle name="Comma 2 2 12 3 9 2" xfId="38576" xr:uid="{00000000-0005-0000-0000-00006A040000}"/>
    <cellStyle name="Comma 2 2 12 4" xfId="791" xr:uid="{00000000-0005-0000-0000-00006B040000}"/>
    <cellStyle name="Comma 2 2 12 4 10" xfId="44900" xr:uid="{00000000-0005-0000-0000-00006C040000}"/>
    <cellStyle name="Comma 2 2 12 4 11" xfId="21622" xr:uid="{00000000-0005-0000-0000-00006D040000}"/>
    <cellStyle name="Comma 2 2 12 4 2" xfId="2015" xr:uid="{00000000-0005-0000-0000-00006E040000}"/>
    <cellStyle name="Comma 2 2 12 4 2 10" xfId="22846" xr:uid="{00000000-0005-0000-0000-00006F040000}"/>
    <cellStyle name="Comma 2 2 12 4 2 2" xfId="4463" xr:uid="{00000000-0005-0000-0000-000070040000}"/>
    <cellStyle name="Comma 2 2 12 4 2 2 2" xfId="20398" xr:uid="{00000000-0005-0000-0000-000071040000}"/>
    <cellStyle name="Comma 2 2 12 4 2 2 2 2" xfId="43676" xr:uid="{00000000-0005-0000-0000-000072040000}"/>
    <cellStyle name="Comma 2 2 12 4 2 2 3" xfId="48572" xr:uid="{00000000-0005-0000-0000-000073040000}"/>
    <cellStyle name="Comma 2 2 12 4 2 2 4" xfId="27742" xr:uid="{00000000-0005-0000-0000-000074040000}"/>
    <cellStyle name="Comma 2 2 12 4 2 3" xfId="6911" xr:uid="{00000000-0005-0000-0000-000075040000}"/>
    <cellStyle name="Comma 2 2 12 4 2 3 2" xfId="30190" xr:uid="{00000000-0005-0000-0000-000076040000}"/>
    <cellStyle name="Comma 2 2 12 4 2 4" xfId="9359" xr:uid="{00000000-0005-0000-0000-000077040000}"/>
    <cellStyle name="Comma 2 2 12 4 2 4 2" xfId="32638" xr:uid="{00000000-0005-0000-0000-000078040000}"/>
    <cellStyle name="Comma 2 2 12 4 2 5" xfId="11807" xr:uid="{00000000-0005-0000-0000-000079040000}"/>
    <cellStyle name="Comma 2 2 12 4 2 5 2" xfId="35086" xr:uid="{00000000-0005-0000-0000-00007A040000}"/>
    <cellStyle name="Comma 2 2 12 4 2 6" xfId="14255" xr:uid="{00000000-0005-0000-0000-00007B040000}"/>
    <cellStyle name="Comma 2 2 12 4 2 6 2" xfId="37534" xr:uid="{00000000-0005-0000-0000-00007C040000}"/>
    <cellStyle name="Comma 2 2 12 4 2 7" xfId="17950" xr:uid="{00000000-0005-0000-0000-00007D040000}"/>
    <cellStyle name="Comma 2 2 12 4 2 7 2" xfId="41228" xr:uid="{00000000-0005-0000-0000-00007E040000}"/>
    <cellStyle name="Comma 2 2 12 4 2 8" xfId="25294" xr:uid="{00000000-0005-0000-0000-00007F040000}"/>
    <cellStyle name="Comma 2 2 12 4 2 9" xfId="46124" xr:uid="{00000000-0005-0000-0000-000080040000}"/>
    <cellStyle name="Comma 2 2 12 4 3" xfId="3239" xr:uid="{00000000-0005-0000-0000-000081040000}"/>
    <cellStyle name="Comma 2 2 12 4 3 2" xfId="16726" xr:uid="{00000000-0005-0000-0000-000082040000}"/>
    <cellStyle name="Comma 2 2 12 4 3 2 2" xfId="40004" xr:uid="{00000000-0005-0000-0000-000083040000}"/>
    <cellStyle name="Comma 2 2 12 4 3 3" xfId="47348" xr:uid="{00000000-0005-0000-0000-000084040000}"/>
    <cellStyle name="Comma 2 2 12 4 3 4" xfId="26518" xr:uid="{00000000-0005-0000-0000-000085040000}"/>
    <cellStyle name="Comma 2 2 12 4 4" xfId="5687" xr:uid="{00000000-0005-0000-0000-000086040000}"/>
    <cellStyle name="Comma 2 2 12 4 4 2" xfId="19174" xr:uid="{00000000-0005-0000-0000-000087040000}"/>
    <cellStyle name="Comma 2 2 12 4 4 2 2" xfId="42452" xr:uid="{00000000-0005-0000-0000-000088040000}"/>
    <cellStyle name="Comma 2 2 12 4 4 3" xfId="28966" xr:uid="{00000000-0005-0000-0000-000089040000}"/>
    <cellStyle name="Comma 2 2 12 4 5" xfId="8135" xr:uid="{00000000-0005-0000-0000-00008A040000}"/>
    <cellStyle name="Comma 2 2 12 4 5 2" xfId="31414" xr:uid="{00000000-0005-0000-0000-00008B040000}"/>
    <cellStyle name="Comma 2 2 12 4 6" xfId="10583" xr:uid="{00000000-0005-0000-0000-00008C040000}"/>
    <cellStyle name="Comma 2 2 12 4 6 2" xfId="33862" xr:uid="{00000000-0005-0000-0000-00008D040000}"/>
    <cellStyle name="Comma 2 2 12 4 7" xfId="13031" xr:uid="{00000000-0005-0000-0000-00008E040000}"/>
    <cellStyle name="Comma 2 2 12 4 7 2" xfId="36310" xr:uid="{00000000-0005-0000-0000-00008F040000}"/>
    <cellStyle name="Comma 2 2 12 4 8" xfId="15502" xr:uid="{00000000-0005-0000-0000-000090040000}"/>
    <cellStyle name="Comma 2 2 12 4 8 2" xfId="38780" xr:uid="{00000000-0005-0000-0000-000091040000}"/>
    <cellStyle name="Comma 2 2 12 4 9" xfId="24070" xr:uid="{00000000-0005-0000-0000-000092040000}"/>
    <cellStyle name="Comma 2 2 12 5" xfId="1403" xr:uid="{00000000-0005-0000-0000-000093040000}"/>
    <cellStyle name="Comma 2 2 12 5 10" xfId="22234" xr:uid="{00000000-0005-0000-0000-000094040000}"/>
    <cellStyle name="Comma 2 2 12 5 2" xfId="3851" xr:uid="{00000000-0005-0000-0000-000095040000}"/>
    <cellStyle name="Comma 2 2 12 5 2 2" xfId="19786" xr:uid="{00000000-0005-0000-0000-000096040000}"/>
    <cellStyle name="Comma 2 2 12 5 2 2 2" xfId="43064" xr:uid="{00000000-0005-0000-0000-000097040000}"/>
    <cellStyle name="Comma 2 2 12 5 2 3" xfId="47960" xr:uid="{00000000-0005-0000-0000-000098040000}"/>
    <cellStyle name="Comma 2 2 12 5 2 4" xfId="27130" xr:uid="{00000000-0005-0000-0000-000099040000}"/>
    <cellStyle name="Comma 2 2 12 5 3" xfId="6299" xr:uid="{00000000-0005-0000-0000-00009A040000}"/>
    <cellStyle name="Comma 2 2 12 5 3 2" xfId="29578" xr:uid="{00000000-0005-0000-0000-00009B040000}"/>
    <cellStyle name="Comma 2 2 12 5 4" xfId="8747" xr:uid="{00000000-0005-0000-0000-00009C040000}"/>
    <cellStyle name="Comma 2 2 12 5 4 2" xfId="32026" xr:uid="{00000000-0005-0000-0000-00009D040000}"/>
    <cellStyle name="Comma 2 2 12 5 5" xfId="11195" xr:uid="{00000000-0005-0000-0000-00009E040000}"/>
    <cellStyle name="Comma 2 2 12 5 5 2" xfId="34474" xr:uid="{00000000-0005-0000-0000-00009F040000}"/>
    <cellStyle name="Comma 2 2 12 5 6" xfId="13643" xr:uid="{00000000-0005-0000-0000-0000A0040000}"/>
    <cellStyle name="Comma 2 2 12 5 6 2" xfId="36922" xr:uid="{00000000-0005-0000-0000-0000A1040000}"/>
    <cellStyle name="Comma 2 2 12 5 7" xfId="17338" xr:uid="{00000000-0005-0000-0000-0000A2040000}"/>
    <cellStyle name="Comma 2 2 12 5 7 2" xfId="40616" xr:uid="{00000000-0005-0000-0000-0000A3040000}"/>
    <cellStyle name="Comma 2 2 12 5 8" xfId="24682" xr:uid="{00000000-0005-0000-0000-0000A4040000}"/>
    <cellStyle name="Comma 2 2 12 5 9" xfId="45512" xr:uid="{00000000-0005-0000-0000-0000A5040000}"/>
    <cellStyle name="Comma 2 2 12 6" xfId="2627" xr:uid="{00000000-0005-0000-0000-0000A6040000}"/>
    <cellStyle name="Comma 2 2 12 6 2" xfId="16114" xr:uid="{00000000-0005-0000-0000-0000A7040000}"/>
    <cellStyle name="Comma 2 2 12 6 2 2" xfId="39392" xr:uid="{00000000-0005-0000-0000-0000A8040000}"/>
    <cellStyle name="Comma 2 2 12 6 3" xfId="46736" xr:uid="{00000000-0005-0000-0000-0000A9040000}"/>
    <cellStyle name="Comma 2 2 12 6 4" xfId="25906" xr:uid="{00000000-0005-0000-0000-0000AA040000}"/>
    <cellStyle name="Comma 2 2 12 7" xfId="5075" xr:uid="{00000000-0005-0000-0000-0000AB040000}"/>
    <cellStyle name="Comma 2 2 12 7 2" xfId="18562" xr:uid="{00000000-0005-0000-0000-0000AC040000}"/>
    <cellStyle name="Comma 2 2 12 7 2 2" xfId="41840" xr:uid="{00000000-0005-0000-0000-0000AD040000}"/>
    <cellStyle name="Comma 2 2 12 7 3" xfId="28354" xr:uid="{00000000-0005-0000-0000-0000AE040000}"/>
    <cellStyle name="Comma 2 2 12 8" xfId="7523" xr:uid="{00000000-0005-0000-0000-0000AF040000}"/>
    <cellStyle name="Comma 2 2 12 8 2" xfId="30802" xr:uid="{00000000-0005-0000-0000-0000B0040000}"/>
    <cellStyle name="Comma 2 2 12 9" xfId="9971" xr:uid="{00000000-0005-0000-0000-0000B1040000}"/>
    <cellStyle name="Comma 2 2 12 9 2" xfId="33250" xr:uid="{00000000-0005-0000-0000-0000B2040000}"/>
    <cellStyle name="Comma 2 2 13" xfId="247" xr:uid="{00000000-0005-0000-0000-0000B3040000}"/>
    <cellStyle name="Comma 2 2 13 10" xfId="23526" xr:uid="{00000000-0005-0000-0000-0000B4040000}"/>
    <cellStyle name="Comma 2 2 13 11" xfId="44356" xr:uid="{00000000-0005-0000-0000-0000B5040000}"/>
    <cellStyle name="Comma 2 2 13 12" xfId="21078" xr:uid="{00000000-0005-0000-0000-0000B6040000}"/>
    <cellStyle name="Comma 2 2 13 2" xfId="859" xr:uid="{00000000-0005-0000-0000-0000B7040000}"/>
    <cellStyle name="Comma 2 2 13 2 10" xfId="44968" xr:uid="{00000000-0005-0000-0000-0000B8040000}"/>
    <cellStyle name="Comma 2 2 13 2 11" xfId="21690" xr:uid="{00000000-0005-0000-0000-0000B9040000}"/>
    <cellStyle name="Comma 2 2 13 2 2" xfId="2083" xr:uid="{00000000-0005-0000-0000-0000BA040000}"/>
    <cellStyle name="Comma 2 2 13 2 2 10" xfId="22914" xr:uid="{00000000-0005-0000-0000-0000BB040000}"/>
    <cellStyle name="Comma 2 2 13 2 2 2" xfId="4531" xr:uid="{00000000-0005-0000-0000-0000BC040000}"/>
    <cellStyle name="Comma 2 2 13 2 2 2 2" xfId="20466" xr:uid="{00000000-0005-0000-0000-0000BD040000}"/>
    <cellStyle name="Comma 2 2 13 2 2 2 2 2" xfId="43744" xr:uid="{00000000-0005-0000-0000-0000BE040000}"/>
    <cellStyle name="Comma 2 2 13 2 2 2 3" xfId="48640" xr:uid="{00000000-0005-0000-0000-0000BF040000}"/>
    <cellStyle name="Comma 2 2 13 2 2 2 4" xfId="27810" xr:uid="{00000000-0005-0000-0000-0000C0040000}"/>
    <cellStyle name="Comma 2 2 13 2 2 3" xfId="6979" xr:uid="{00000000-0005-0000-0000-0000C1040000}"/>
    <cellStyle name="Comma 2 2 13 2 2 3 2" xfId="30258" xr:uid="{00000000-0005-0000-0000-0000C2040000}"/>
    <cellStyle name="Comma 2 2 13 2 2 4" xfId="9427" xr:uid="{00000000-0005-0000-0000-0000C3040000}"/>
    <cellStyle name="Comma 2 2 13 2 2 4 2" xfId="32706" xr:uid="{00000000-0005-0000-0000-0000C4040000}"/>
    <cellStyle name="Comma 2 2 13 2 2 5" xfId="11875" xr:uid="{00000000-0005-0000-0000-0000C5040000}"/>
    <cellStyle name="Comma 2 2 13 2 2 5 2" xfId="35154" xr:uid="{00000000-0005-0000-0000-0000C6040000}"/>
    <cellStyle name="Comma 2 2 13 2 2 6" xfId="14323" xr:uid="{00000000-0005-0000-0000-0000C7040000}"/>
    <cellStyle name="Comma 2 2 13 2 2 6 2" xfId="37602" xr:uid="{00000000-0005-0000-0000-0000C8040000}"/>
    <cellStyle name="Comma 2 2 13 2 2 7" xfId="18018" xr:uid="{00000000-0005-0000-0000-0000C9040000}"/>
    <cellStyle name="Comma 2 2 13 2 2 7 2" xfId="41296" xr:uid="{00000000-0005-0000-0000-0000CA040000}"/>
    <cellStyle name="Comma 2 2 13 2 2 8" xfId="25362" xr:uid="{00000000-0005-0000-0000-0000CB040000}"/>
    <cellStyle name="Comma 2 2 13 2 2 9" xfId="46192" xr:uid="{00000000-0005-0000-0000-0000CC040000}"/>
    <cellStyle name="Comma 2 2 13 2 3" xfId="3307" xr:uid="{00000000-0005-0000-0000-0000CD040000}"/>
    <cellStyle name="Comma 2 2 13 2 3 2" xfId="16794" xr:uid="{00000000-0005-0000-0000-0000CE040000}"/>
    <cellStyle name="Comma 2 2 13 2 3 2 2" xfId="40072" xr:uid="{00000000-0005-0000-0000-0000CF040000}"/>
    <cellStyle name="Comma 2 2 13 2 3 3" xfId="47416" xr:uid="{00000000-0005-0000-0000-0000D0040000}"/>
    <cellStyle name="Comma 2 2 13 2 3 4" xfId="26586" xr:uid="{00000000-0005-0000-0000-0000D1040000}"/>
    <cellStyle name="Comma 2 2 13 2 4" xfId="5755" xr:uid="{00000000-0005-0000-0000-0000D2040000}"/>
    <cellStyle name="Comma 2 2 13 2 4 2" xfId="19242" xr:uid="{00000000-0005-0000-0000-0000D3040000}"/>
    <cellStyle name="Comma 2 2 13 2 4 2 2" xfId="42520" xr:uid="{00000000-0005-0000-0000-0000D4040000}"/>
    <cellStyle name="Comma 2 2 13 2 4 3" xfId="29034" xr:uid="{00000000-0005-0000-0000-0000D5040000}"/>
    <cellStyle name="Comma 2 2 13 2 5" xfId="8203" xr:uid="{00000000-0005-0000-0000-0000D6040000}"/>
    <cellStyle name="Comma 2 2 13 2 5 2" xfId="31482" xr:uid="{00000000-0005-0000-0000-0000D7040000}"/>
    <cellStyle name="Comma 2 2 13 2 6" xfId="10651" xr:uid="{00000000-0005-0000-0000-0000D8040000}"/>
    <cellStyle name="Comma 2 2 13 2 6 2" xfId="33930" xr:uid="{00000000-0005-0000-0000-0000D9040000}"/>
    <cellStyle name="Comma 2 2 13 2 7" xfId="13099" xr:uid="{00000000-0005-0000-0000-0000DA040000}"/>
    <cellStyle name="Comma 2 2 13 2 7 2" xfId="36378" xr:uid="{00000000-0005-0000-0000-0000DB040000}"/>
    <cellStyle name="Comma 2 2 13 2 8" xfId="15570" xr:uid="{00000000-0005-0000-0000-0000DC040000}"/>
    <cellStyle name="Comma 2 2 13 2 8 2" xfId="38848" xr:uid="{00000000-0005-0000-0000-0000DD040000}"/>
    <cellStyle name="Comma 2 2 13 2 9" xfId="24138" xr:uid="{00000000-0005-0000-0000-0000DE040000}"/>
    <cellStyle name="Comma 2 2 13 3" xfId="1471" xr:uid="{00000000-0005-0000-0000-0000DF040000}"/>
    <cellStyle name="Comma 2 2 13 3 10" xfId="22302" xr:uid="{00000000-0005-0000-0000-0000E0040000}"/>
    <cellStyle name="Comma 2 2 13 3 2" xfId="3919" xr:uid="{00000000-0005-0000-0000-0000E1040000}"/>
    <cellStyle name="Comma 2 2 13 3 2 2" xfId="19854" xr:uid="{00000000-0005-0000-0000-0000E2040000}"/>
    <cellStyle name="Comma 2 2 13 3 2 2 2" xfId="43132" xr:uid="{00000000-0005-0000-0000-0000E3040000}"/>
    <cellStyle name="Comma 2 2 13 3 2 3" xfId="48028" xr:uid="{00000000-0005-0000-0000-0000E4040000}"/>
    <cellStyle name="Comma 2 2 13 3 2 4" xfId="27198" xr:uid="{00000000-0005-0000-0000-0000E5040000}"/>
    <cellStyle name="Comma 2 2 13 3 3" xfId="6367" xr:uid="{00000000-0005-0000-0000-0000E6040000}"/>
    <cellStyle name="Comma 2 2 13 3 3 2" xfId="29646" xr:uid="{00000000-0005-0000-0000-0000E7040000}"/>
    <cellStyle name="Comma 2 2 13 3 4" xfId="8815" xr:uid="{00000000-0005-0000-0000-0000E8040000}"/>
    <cellStyle name="Comma 2 2 13 3 4 2" xfId="32094" xr:uid="{00000000-0005-0000-0000-0000E9040000}"/>
    <cellStyle name="Comma 2 2 13 3 5" xfId="11263" xr:uid="{00000000-0005-0000-0000-0000EA040000}"/>
    <cellStyle name="Comma 2 2 13 3 5 2" xfId="34542" xr:uid="{00000000-0005-0000-0000-0000EB040000}"/>
    <cellStyle name="Comma 2 2 13 3 6" xfId="13711" xr:uid="{00000000-0005-0000-0000-0000EC040000}"/>
    <cellStyle name="Comma 2 2 13 3 6 2" xfId="36990" xr:uid="{00000000-0005-0000-0000-0000ED040000}"/>
    <cellStyle name="Comma 2 2 13 3 7" xfId="17406" xr:uid="{00000000-0005-0000-0000-0000EE040000}"/>
    <cellStyle name="Comma 2 2 13 3 7 2" xfId="40684" xr:uid="{00000000-0005-0000-0000-0000EF040000}"/>
    <cellStyle name="Comma 2 2 13 3 8" xfId="24750" xr:uid="{00000000-0005-0000-0000-0000F0040000}"/>
    <cellStyle name="Comma 2 2 13 3 9" xfId="45580" xr:uid="{00000000-0005-0000-0000-0000F1040000}"/>
    <cellStyle name="Comma 2 2 13 4" xfId="2695" xr:uid="{00000000-0005-0000-0000-0000F2040000}"/>
    <cellStyle name="Comma 2 2 13 4 2" xfId="16182" xr:uid="{00000000-0005-0000-0000-0000F3040000}"/>
    <cellStyle name="Comma 2 2 13 4 2 2" xfId="39460" xr:uid="{00000000-0005-0000-0000-0000F4040000}"/>
    <cellStyle name="Comma 2 2 13 4 3" xfId="46804" xr:uid="{00000000-0005-0000-0000-0000F5040000}"/>
    <cellStyle name="Comma 2 2 13 4 4" xfId="25974" xr:uid="{00000000-0005-0000-0000-0000F6040000}"/>
    <cellStyle name="Comma 2 2 13 5" xfId="5143" xr:uid="{00000000-0005-0000-0000-0000F7040000}"/>
    <cellStyle name="Comma 2 2 13 5 2" xfId="18630" xr:uid="{00000000-0005-0000-0000-0000F8040000}"/>
    <cellStyle name="Comma 2 2 13 5 2 2" xfId="41908" xr:uid="{00000000-0005-0000-0000-0000F9040000}"/>
    <cellStyle name="Comma 2 2 13 5 3" xfId="28422" xr:uid="{00000000-0005-0000-0000-0000FA040000}"/>
    <cellStyle name="Comma 2 2 13 6" xfId="7591" xr:uid="{00000000-0005-0000-0000-0000FB040000}"/>
    <cellStyle name="Comma 2 2 13 6 2" xfId="30870" xr:uid="{00000000-0005-0000-0000-0000FC040000}"/>
    <cellStyle name="Comma 2 2 13 7" xfId="10039" xr:uid="{00000000-0005-0000-0000-0000FD040000}"/>
    <cellStyle name="Comma 2 2 13 7 2" xfId="33318" xr:uid="{00000000-0005-0000-0000-0000FE040000}"/>
    <cellStyle name="Comma 2 2 13 8" xfId="12487" xr:uid="{00000000-0005-0000-0000-0000FF040000}"/>
    <cellStyle name="Comma 2 2 13 8 2" xfId="35766" xr:uid="{00000000-0005-0000-0000-000000050000}"/>
    <cellStyle name="Comma 2 2 13 9" xfId="14958" xr:uid="{00000000-0005-0000-0000-000001050000}"/>
    <cellStyle name="Comma 2 2 13 9 2" xfId="38236" xr:uid="{00000000-0005-0000-0000-000002050000}"/>
    <cellStyle name="Comma 2 2 14" xfId="451" xr:uid="{00000000-0005-0000-0000-000003050000}"/>
    <cellStyle name="Comma 2 2 14 10" xfId="23730" xr:uid="{00000000-0005-0000-0000-000004050000}"/>
    <cellStyle name="Comma 2 2 14 11" xfId="44560" xr:uid="{00000000-0005-0000-0000-000005050000}"/>
    <cellStyle name="Comma 2 2 14 12" xfId="21282" xr:uid="{00000000-0005-0000-0000-000006050000}"/>
    <cellStyle name="Comma 2 2 14 2" xfId="1063" xr:uid="{00000000-0005-0000-0000-000007050000}"/>
    <cellStyle name="Comma 2 2 14 2 10" xfId="45172" xr:uid="{00000000-0005-0000-0000-000008050000}"/>
    <cellStyle name="Comma 2 2 14 2 11" xfId="21894" xr:uid="{00000000-0005-0000-0000-000009050000}"/>
    <cellStyle name="Comma 2 2 14 2 2" xfId="2287" xr:uid="{00000000-0005-0000-0000-00000A050000}"/>
    <cellStyle name="Comma 2 2 14 2 2 10" xfId="23118" xr:uid="{00000000-0005-0000-0000-00000B050000}"/>
    <cellStyle name="Comma 2 2 14 2 2 2" xfId="4735" xr:uid="{00000000-0005-0000-0000-00000C050000}"/>
    <cellStyle name="Comma 2 2 14 2 2 2 2" xfId="20670" xr:uid="{00000000-0005-0000-0000-00000D050000}"/>
    <cellStyle name="Comma 2 2 14 2 2 2 2 2" xfId="43948" xr:uid="{00000000-0005-0000-0000-00000E050000}"/>
    <cellStyle name="Comma 2 2 14 2 2 2 3" xfId="48844" xr:uid="{00000000-0005-0000-0000-00000F050000}"/>
    <cellStyle name="Comma 2 2 14 2 2 2 4" xfId="28014" xr:uid="{00000000-0005-0000-0000-000010050000}"/>
    <cellStyle name="Comma 2 2 14 2 2 3" xfId="7183" xr:uid="{00000000-0005-0000-0000-000011050000}"/>
    <cellStyle name="Comma 2 2 14 2 2 3 2" xfId="30462" xr:uid="{00000000-0005-0000-0000-000012050000}"/>
    <cellStyle name="Comma 2 2 14 2 2 4" xfId="9631" xr:uid="{00000000-0005-0000-0000-000013050000}"/>
    <cellStyle name="Comma 2 2 14 2 2 4 2" xfId="32910" xr:uid="{00000000-0005-0000-0000-000014050000}"/>
    <cellStyle name="Comma 2 2 14 2 2 5" xfId="12079" xr:uid="{00000000-0005-0000-0000-000015050000}"/>
    <cellStyle name="Comma 2 2 14 2 2 5 2" xfId="35358" xr:uid="{00000000-0005-0000-0000-000016050000}"/>
    <cellStyle name="Comma 2 2 14 2 2 6" xfId="14527" xr:uid="{00000000-0005-0000-0000-000017050000}"/>
    <cellStyle name="Comma 2 2 14 2 2 6 2" xfId="37806" xr:uid="{00000000-0005-0000-0000-000018050000}"/>
    <cellStyle name="Comma 2 2 14 2 2 7" xfId="18222" xr:uid="{00000000-0005-0000-0000-000019050000}"/>
    <cellStyle name="Comma 2 2 14 2 2 7 2" xfId="41500" xr:uid="{00000000-0005-0000-0000-00001A050000}"/>
    <cellStyle name="Comma 2 2 14 2 2 8" xfId="25566" xr:uid="{00000000-0005-0000-0000-00001B050000}"/>
    <cellStyle name="Comma 2 2 14 2 2 9" xfId="46396" xr:uid="{00000000-0005-0000-0000-00001C050000}"/>
    <cellStyle name="Comma 2 2 14 2 3" xfId="3511" xr:uid="{00000000-0005-0000-0000-00001D050000}"/>
    <cellStyle name="Comma 2 2 14 2 3 2" xfId="16998" xr:uid="{00000000-0005-0000-0000-00001E050000}"/>
    <cellStyle name="Comma 2 2 14 2 3 2 2" xfId="40276" xr:uid="{00000000-0005-0000-0000-00001F050000}"/>
    <cellStyle name="Comma 2 2 14 2 3 3" xfId="47620" xr:uid="{00000000-0005-0000-0000-000020050000}"/>
    <cellStyle name="Comma 2 2 14 2 3 4" xfId="26790" xr:uid="{00000000-0005-0000-0000-000021050000}"/>
    <cellStyle name="Comma 2 2 14 2 4" xfId="5959" xr:uid="{00000000-0005-0000-0000-000022050000}"/>
    <cellStyle name="Comma 2 2 14 2 4 2" xfId="19446" xr:uid="{00000000-0005-0000-0000-000023050000}"/>
    <cellStyle name="Comma 2 2 14 2 4 2 2" xfId="42724" xr:uid="{00000000-0005-0000-0000-000024050000}"/>
    <cellStyle name="Comma 2 2 14 2 4 3" xfId="29238" xr:uid="{00000000-0005-0000-0000-000025050000}"/>
    <cellStyle name="Comma 2 2 14 2 5" xfId="8407" xr:uid="{00000000-0005-0000-0000-000026050000}"/>
    <cellStyle name="Comma 2 2 14 2 5 2" xfId="31686" xr:uid="{00000000-0005-0000-0000-000027050000}"/>
    <cellStyle name="Comma 2 2 14 2 6" xfId="10855" xr:uid="{00000000-0005-0000-0000-000028050000}"/>
    <cellStyle name="Comma 2 2 14 2 6 2" xfId="34134" xr:uid="{00000000-0005-0000-0000-000029050000}"/>
    <cellStyle name="Comma 2 2 14 2 7" xfId="13303" xr:uid="{00000000-0005-0000-0000-00002A050000}"/>
    <cellStyle name="Comma 2 2 14 2 7 2" xfId="36582" xr:uid="{00000000-0005-0000-0000-00002B050000}"/>
    <cellStyle name="Comma 2 2 14 2 8" xfId="15774" xr:uid="{00000000-0005-0000-0000-00002C050000}"/>
    <cellStyle name="Comma 2 2 14 2 8 2" xfId="39052" xr:uid="{00000000-0005-0000-0000-00002D050000}"/>
    <cellStyle name="Comma 2 2 14 2 9" xfId="24342" xr:uid="{00000000-0005-0000-0000-00002E050000}"/>
    <cellStyle name="Comma 2 2 14 3" xfId="1675" xr:uid="{00000000-0005-0000-0000-00002F050000}"/>
    <cellStyle name="Comma 2 2 14 3 10" xfId="22506" xr:uid="{00000000-0005-0000-0000-000030050000}"/>
    <cellStyle name="Comma 2 2 14 3 2" xfId="4123" xr:uid="{00000000-0005-0000-0000-000031050000}"/>
    <cellStyle name="Comma 2 2 14 3 2 2" xfId="20058" xr:uid="{00000000-0005-0000-0000-000032050000}"/>
    <cellStyle name="Comma 2 2 14 3 2 2 2" xfId="43336" xr:uid="{00000000-0005-0000-0000-000033050000}"/>
    <cellStyle name="Comma 2 2 14 3 2 3" xfId="48232" xr:uid="{00000000-0005-0000-0000-000034050000}"/>
    <cellStyle name="Comma 2 2 14 3 2 4" xfId="27402" xr:uid="{00000000-0005-0000-0000-000035050000}"/>
    <cellStyle name="Comma 2 2 14 3 3" xfId="6571" xr:uid="{00000000-0005-0000-0000-000036050000}"/>
    <cellStyle name="Comma 2 2 14 3 3 2" xfId="29850" xr:uid="{00000000-0005-0000-0000-000037050000}"/>
    <cellStyle name="Comma 2 2 14 3 4" xfId="9019" xr:uid="{00000000-0005-0000-0000-000038050000}"/>
    <cellStyle name="Comma 2 2 14 3 4 2" xfId="32298" xr:uid="{00000000-0005-0000-0000-000039050000}"/>
    <cellStyle name="Comma 2 2 14 3 5" xfId="11467" xr:uid="{00000000-0005-0000-0000-00003A050000}"/>
    <cellStyle name="Comma 2 2 14 3 5 2" xfId="34746" xr:uid="{00000000-0005-0000-0000-00003B050000}"/>
    <cellStyle name="Comma 2 2 14 3 6" xfId="13915" xr:uid="{00000000-0005-0000-0000-00003C050000}"/>
    <cellStyle name="Comma 2 2 14 3 6 2" xfId="37194" xr:uid="{00000000-0005-0000-0000-00003D050000}"/>
    <cellStyle name="Comma 2 2 14 3 7" xfId="17610" xr:uid="{00000000-0005-0000-0000-00003E050000}"/>
    <cellStyle name="Comma 2 2 14 3 7 2" xfId="40888" xr:uid="{00000000-0005-0000-0000-00003F050000}"/>
    <cellStyle name="Comma 2 2 14 3 8" xfId="24954" xr:uid="{00000000-0005-0000-0000-000040050000}"/>
    <cellStyle name="Comma 2 2 14 3 9" xfId="45784" xr:uid="{00000000-0005-0000-0000-000041050000}"/>
    <cellStyle name="Comma 2 2 14 4" xfId="2899" xr:uid="{00000000-0005-0000-0000-000042050000}"/>
    <cellStyle name="Comma 2 2 14 4 2" xfId="16386" xr:uid="{00000000-0005-0000-0000-000043050000}"/>
    <cellStyle name="Comma 2 2 14 4 2 2" xfId="39664" xr:uid="{00000000-0005-0000-0000-000044050000}"/>
    <cellStyle name="Comma 2 2 14 4 3" xfId="47008" xr:uid="{00000000-0005-0000-0000-000045050000}"/>
    <cellStyle name="Comma 2 2 14 4 4" xfId="26178" xr:uid="{00000000-0005-0000-0000-000046050000}"/>
    <cellStyle name="Comma 2 2 14 5" xfId="5347" xr:uid="{00000000-0005-0000-0000-000047050000}"/>
    <cellStyle name="Comma 2 2 14 5 2" xfId="18834" xr:uid="{00000000-0005-0000-0000-000048050000}"/>
    <cellStyle name="Comma 2 2 14 5 2 2" xfId="42112" xr:uid="{00000000-0005-0000-0000-000049050000}"/>
    <cellStyle name="Comma 2 2 14 5 3" xfId="28626" xr:uid="{00000000-0005-0000-0000-00004A050000}"/>
    <cellStyle name="Comma 2 2 14 6" xfId="7795" xr:uid="{00000000-0005-0000-0000-00004B050000}"/>
    <cellStyle name="Comma 2 2 14 6 2" xfId="31074" xr:uid="{00000000-0005-0000-0000-00004C050000}"/>
    <cellStyle name="Comma 2 2 14 7" xfId="10243" xr:uid="{00000000-0005-0000-0000-00004D050000}"/>
    <cellStyle name="Comma 2 2 14 7 2" xfId="33522" xr:uid="{00000000-0005-0000-0000-00004E050000}"/>
    <cellStyle name="Comma 2 2 14 8" xfId="12691" xr:uid="{00000000-0005-0000-0000-00004F050000}"/>
    <cellStyle name="Comma 2 2 14 8 2" xfId="35970" xr:uid="{00000000-0005-0000-0000-000050050000}"/>
    <cellStyle name="Comma 2 2 14 9" xfId="15162" xr:uid="{00000000-0005-0000-0000-000051050000}"/>
    <cellStyle name="Comma 2 2 14 9 2" xfId="38440" xr:uid="{00000000-0005-0000-0000-000052050000}"/>
    <cellStyle name="Comma 2 2 15" xfId="655" xr:uid="{00000000-0005-0000-0000-000053050000}"/>
    <cellStyle name="Comma 2 2 15 10" xfId="44764" xr:uid="{00000000-0005-0000-0000-000054050000}"/>
    <cellStyle name="Comma 2 2 15 11" xfId="21486" xr:uid="{00000000-0005-0000-0000-000055050000}"/>
    <cellStyle name="Comma 2 2 15 2" xfId="1879" xr:uid="{00000000-0005-0000-0000-000056050000}"/>
    <cellStyle name="Comma 2 2 15 2 10" xfId="22710" xr:uid="{00000000-0005-0000-0000-000057050000}"/>
    <cellStyle name="Comma 2 2 15 2 2" xfId="4327" xr:uid="{00000000-0005-0000-0000-000058050000}"/>
    <cellStyle name="Comma 2 2 15 2 2 2" xfId="20262" xr:uid="{00000000-0005-0000-0000-000059050000}"/>
    <cellStyle name="Comma 2 2 15 2 2 2 2" xfId="43540" xr:uid="{00000000-0005-0000-0000-00005A050000}"/>
    <cellStyle name="Comma 2 2 15 2 2 3" xfId="48436" xr:uid="{00000000-0005-0000-0000-00005B050000}"/>
    <cellStyle name="Comma 2 2 15 2 2 4" xfId="27606" xr:uid="{00000000-0005-0000-0000-00005C050000}"/>
    <cellStyle name="Comma 2 2 15 2 3" xfId="6775" xr:uid="{00000000-0005-0000-0000-00005D050000}"/>
    <cellStyle name="Comma 2 2 15 2 3 2" xfId="30054" xr:uid="{00000000-0005-0000-0000-00005E050000}"/>
    <cellStyle name="Comma 2 2 15 2 4" xfId="9223" xr:uid="{00000000-0005-0000-0000-00005F050000}"/>
    <cellStyle name="Comma 2 2 15 2 4 2" xfId="32502" xr:uid="{00000000-0005-0000-0000-000060050000}"/>
    <cellStyle name="Comma 2 2 15 2 5" xfId="11671" xr:uid="{00000000-0005-0000-0000-000061050000}"/>
    <cellStyle name="Comma 2 2 15 2 5 2" xfId="34950" xr:uid="{00000000-0005-0000-0000-000062050000}"/>
    <cellStyle name="Comma 2 2 15 2 6" xfId="14119" xr:uid="{00000000-0005-0000-0000-000063050000}"/>
    <cellStyle name="Comma 2 2 15 2 6 2" xfId="37398" xr:uid="{00000000-0005-0000-0000-000064050000}"/>
    <cellStyle name="Comma 2 2 15 2 7" xfId="17814" xr:uid="{00000000-0005-0000-0000-000065050000}"/>
    <cellStyle name="Comma 2 2 15 2 7 2" xfId="41092" xr:uid="{00000000-0005-0000-0000-000066050000}"/>
    <cellStyle name="Comma 2 2 15 2 8" xfId="25158" xr:uid="{00000000-0005-0000-0000-000067050000}"/>
    <cellStyle name="Comma 2 2 15 2 9" xfId="45988" xr:uid="{00000000-0005-0000-0000-000068050000}"/>
    <cellStyle name="Comma 2 2 15 3" xfId="3103" xr:uid="{00000000-0005-0000-0000-000069050000}"/>
    <cellStyle name="Comma 2 2 15 3 2" xfId="16590" xr:uid="{00000000-0005-0000-0000-00006A050000}"/>
    <cellStyle name="Comma 2 2 15 3 2 2" xfId="39868" xr:uid="{00000000-0005-0000-0000-00006B050000}"/>
    <cellStyle name="Comma 2 2 15 3 3" xfId="47212" xr:uid="{00000000-0005-0000-0000-00006C050000}"/>
    <cellStyle name="Comma 2 2 15 3 4" xfId="26382" xr:uid="{00000000-0005-0000-0000-00006D050000}"/>
    <cellStyle name="Comma 2 2 15 4" xfId="5551" xr:uid="{00000000-0005-0000-0000-00006E050000}"/>
    <cellStyle name="Comma 2 2 15 4 2" xfId="19038" xr:uid="{00000000-0005-0000-0000-00006F050000}"/>
    <cellStyle name="Comma 2 2 15 4 2 2" xfId="42316" xr:uid="{00000000-0005-0000-0000-000070050000}"/>
    <cellStyle name="Comma 2 2 15 4 3" xfId="28830" xr:uid="{00000000-0005-0000-0000-000071050000}"/>
    <cellStyle name="Comma 2 2 15 5" xfId="7999" xr:uid="{00000000-0005-0000-0000-000072050000}"/>
    <cellStyle name="Comma 2 2 15 5 2" xfId="31278" xr:uid="{00000000-0005-0000-0000-000073050000}"/>
    <cellStyle name="Comma 2 2 15 6" xfId="10447" xr:uid="{00000000-0005-0000-0000-000074050000}"/>
    <cellStyle name="Comma 2 2 15 6 2" xfId="33726" xr:uid="{00000000-0005-0000-0000-000075050000}"/>
    <cellStyle name="Comma 2 2 15 7" xfId="12895" xr:uid="{00000000-0005-0000-0000-000076050000}"/>
    <cellStyle name="Comma 2 2 15 7 2" xfId="36174" xr:uid="{00000000-0005-0000-0000-000077050000}"/>
    <cellStyle name="Comma 2 2 15 8" xfId="15366" xr:uid="{00000000-0005-0000-0000-000078050000}"/>
    <cellStyle name="Comma 2 2 15 8 2" xfId="38644" xr:uid="{00000000-0005-0000-0000-000079050000}"/>
    <cellStyle name="Comma 2 2 15 9" xfId="23934" xr:uid="{00000000-0005-0000-0000-00007A050000}"/>
    <cellStyle name="Comma 2 2 16" xfId="1267" xr:uid="{00000000-0005-0000-0000-00007B050000}"/>
    <cellStyle name="Comma 2 2 16 10" xfId="22098" xr:uid="{00000000-0005-0000-0000-00007C050000}"/>
    <cellStyle name="Comma 2 2 16 2" xfId="3715" xr:uid="{00000000-0005-0000-0000-00007D050000}"/>
    <cellStyle name="Comma 2 2 16 2 2" xfId="17202" xr:uid="{00000000-0005-0000-0000-00007E050000}"/>
    <cellStyle name="Comma 2 2 16 2 2 2" xfId="40480" xr:uid="{00000000-0005-0000-0000-00007F050000}"/>
    <cellStyle name="Comma 2 2 16 2 3" xfId="47824" xr:uid="{00000000-0005-0000-0000-000080050000}"/>
    <cellStyle name="Comma 2 2 16 2 4" xfId="26994" xr:uid="{00000000-0005-0000-0000-000081050000}"/>
    <cellStyle name="Comma 2 2 16 3" xfId="6163" xr:uid="{00000000-0005-0000-0000-000082050000}"/>
    <cellStyle name="Comma 2 2 16 3 2" xfId="19650" xr:uid="{00000000-0005-0000-0000-000083050000}"/>
    <cellStyle name="Comma 2 2 16 3 2 2" xfId="42928" xr:uid="{00000000-0005-0000-0000-000084050000}"/>
    <cellStyle name="Comma 2 2 16 3 3" xfId="29442" xr:uid="{00000000-0005-0000-0000-000085050000}"/>
    <cellStyle name="Comma 2 2 16 4" xfId="8611" xr:uid="{00000000-0005-0000-0000-000086050000}"/>
    <cellStyle name="Comma 2 2 16 4 2" xfId="31890" xr:uid="{00000000-0005-0000-0000-000087050000}"/>
    <cellStyle name="Comma 2 2 16 5" xfId="11059" xr:uid="{00000000-0005-0000-0000-000088050000}"/>
    <cellStyle name="Comma 2 2 16 5 2" xfId="34338" xr:uid="{00000000-0005-0000-0000-000089050000}"/>
    <cellStyle name="Comma 2 2 16 6" xfId="13507" xr:uid="{00000000-0005-0000-0000-00008A050000}"/>
    <cellStyle name="Comma 2 2 16 6 2" xfId="36786" xr:uid="{00000000-0005-0000-0000-00008B050000}"/>
    <cellStyle name="Comma 2 2 16 7" xfId="14754" xr:uid="{00000000-0005-0000-0000-00008C050000}"/>
    <cellStyle name="Comma 2 2 16 7 2" xfId="38032" xr:uid="{00000000-0005-0000-0000-00008D050000}"/>
    <cellStyle name="Comma 2 2 16 8" xfId="24546" xr:uid="{00000000-0005-0000-0000-00008E050000}"/>
    <cellStyle name="Comma 2 2 16 9" xfId="45376" xr:uid="{00000000-0005-0000-0000-00008F050000}"/>
    <cellStyle name="Comma 2 2 17" xfId="2491" xr:uid="{00000000-0005-0000-0000-000090050000}"/>
    <cellStyle name="Comma 2 2 17 2" xfId="15978" xr:uid="{00000000-0005-0000-0000-000091050000}"/>
    <cellStyle name="Comma 2 2 17 2 2" xfId="39256" xr:uid="{00000000-0005-0000-0000-000092050000}"/>
    <cellStyle name="Comma 2 2 17 3" xfId="46600" xr:uid="{00000000-0005-0000-0000-000093050000}"/>
    <cellStyle name="Comma 2 2 17 4" xfId="25770" xr:uid="{00000000-0005-0000-0000-000094050000}"/>
    <cellStyle name="Comma 2 2 18" xfId="4939" xr:uid="{00000000-0005-0000-0000-000095050000}"/>
    <cellStyle name="Comma 2 2 18 2" xfId="18426" xr:uid="{00000000-0005-0000-0000-000096050000}"/>
    <cellStyle name="Comma 2 2 18 2 2" xfId="41704" xr:uid="{00000000-0005-0000-0000-000097050000}"/>
    <cellStyle name="Comma 2 2 18 3" xfId="28218" xr:uid="{00000000-0005-0000-0000-000098050000}"/>
    <cellStyle name="Comma 2 2 19" xfId="7387" xr:uid="{00000000-0005-0000-0000-000099050000}"/>
    <cellStyle name="Comma 2 2 19 2" xfId="30666" xr:uid="{00000000-0005-0000-0000-00009A050000}"/>
    <cellStyle name="Comma 2 2 2" xfId="46" xr:uid="{00000000-0005-0000-0000-00009B050000}"/>
    <cellStyle name="Comma 2 2 2 10" xfId="1270" xr:uid="{00000000-0005-0000-0000-00009C050000}"/>
    <cellStyle name="Comma 2 2 2 10 10" xfId="22101" xr:uid="{00000000-0005-0000-0000-00009D050000}"/>
    <cellStyle name="Comma 2 2 2 10 2" xfId="3718" xr:uid="{00000000-0005-0000-0000-00009E050000}"/>
    <cellStyle name="Comma 2 2 2 10 2 2" xfId="17205" xr:uid="{00000000-0005-0000-0000-00009F050000}"/>
    <cellStyle name="Comma 2 2 2 10 2 2 2" xfId="40483" xr:uid="{00000000-0005-0000-0000-0000A0050000}"/>
    <cellStyle name="Comma 2 2 2 10 2 3" xfId="47827" xr:uid="{00000000-0005-0000-0000-0000A1050000}"/>
    <cellStyle name="Comma 2 2 2 10 2 4" xfId="26997" xr:uid="{00000000-0005-0000-0000-0000A2050000}"/>
    <cellStyle name="Comma 2 2 2 10 3" xfId="6166" xr:uid="{00000000-0005-0000-0000-0000A3050000}"/>
    <cellStyle name="Comma 2 2 2 10 3 2" xfId="19653" xr:uid="{00000000-0005-0000-0000-0000A4050000}"/>
    <cellStyle name="Comma 2 2 2 10 3 2 2" xfId="42931" xr:uid="{00000000-0005-0000-0000-0000A5050000}"/>
    <cellStyle name="Comma 2 2 2 10 3 3" xfId="29445" xr:uid="{00000000-0005-0000-0000-0000A6050000}"/>
    <cellStyle name="Comma 2 2 2 10 4" xfId="8614" xr:uid="{00000000-0005-0000-0000-0000A7050000}"/>
    <cellStyle name="Comma 2 2 2 10 4 2" xfId="31893" xr:uid="{00000000-0005-0000-0000-0000A8050000}"/>
    <cellStyle name="Comma 2 2 2 10 5" xfId="11062" xr:uid="{00000000-0005-0000-0000-0000A9050000}"/>
    <cellStyle name="Comma 2 2 2 10 5 2" xfId="34341" xr:uid="{00000000-0005-0000-0000-0000AA050000}"/>
    <cellStyle name="Comma 2 2 2 10 6" xfId="13510" xr:uid="{00000000-0005-0000-0000-0000AB050000}"/>
    <cellStyle name="Comma 2 2 2 10 6 2" xfId="36789" xr:uid="{00000000-0005-0000-0000-0000AC050000}"/>
    <cellStyle name="Comma 2 2 2 10 7" xfId="14757" xr:uid="{00000000-0005-0000-0000-0000AD050000}"/>
    <cellStyle name="Comma 2 2 2 10 7 2" xfId="38035" xr:uid="{00000000-0005-0000-0000-0000AE050000}"/>
    <cellStyle name="Comma 2 2 2 10 8" xfId="24549" xr:uid="{00000000-0005-0000-0000-0000AF050000}"/>
    <cellStyle name="Comma 2 2 2 10 9" xfId="45379" xr:uid="{00000000-0005-0000-0000-0000B0050000}"/>
    <cellStyle name="Comma 2 2 2 11" xfId="2494" xr:uid="{00000000-0005-0000-0000-0000B1050000}"/>
    <cellStyle name="Comma 2 2 2 11 2" xfId="15981" xr:uid="{00000000-0005-0000-0000-0000B2050000}"/>
    <cellStyle name="Comma 2 2 2 11 2 2" xfId="39259" xr:uid="{00000000-0005-0000-0000-0000B3050000}"/>
    <cellStyle name="Comma 2 2 2 11 3" xfId="46603" xr:uid="{00000000-0005-0000-0000-0000B4050000}"/>
    <cellStyle name="Comma 2 2 2 11 4" xfId="25773" xr:uid="{00000000-0005-0000-0000-0000B5050000}"/>
    <cellStyle name="Comma 2 2 2 12" xfId="4942" xr:uid="{00000000-0005-0000-0000-0000B6050000}"/>
    <cellStyle name="Comma 2 2 2 12 2" xfId="18429" xr:uid="{00000000-0005-0000-0000-0000B7050000}"/>
    <cellStyle name="Comma 2 2 2 12 2 2" xfId="41707" xr:uid="{00000000-0005-0000-0000-0000B8050000}"/>
    <cellStyle name="Comma 2 2 2 12 3" xfId="28221" xr:uid="{00000000-0005-0000-0000-0000B9050000}"/>
    <cellStyle name="Comma 2 2 2 13" xfId="7390" xr:uid="{00000000-0005-0000-0000-0000BA050000}"/>
    <cellStyle name="Comma 2 2 2 13 2" xfId="30669" xr:uid="{00000000-0005-0000-0000-0000BB050000}"/>
    <cellStyle name="Comma 2 2 2 14" xfId="9838" xr:uid="{00000000-0005-0000-0000-0000BC050000}"/>
    <cellStyle name="Comma 2 2 2 14 2" xfId="33117" xr:uid="{00000000-0005-0000-0000-0000BD050000}"/>
    <cellStyle name="Comma 2 2 2 15" xfId="12286" xr:uid="{00000000-0005-0000-0000-0000BE050000}"/>
    <cellStyle name="Comma 2 2 2 15 2" xfId="35565" xr:uid="{00000000-0005-0000-0000-0000BF050000}"/>
    <cellStyle name="Comma 2 2 2 16" xfId="14740" xr:uid="{00000000-0005-0000-0000-0000C0050000}"/>
    <cellStyle name="Comma 2 2 2 16 2" xfId="38018" xr:uid="{00000000-0005-0000-0000-0000C1050000}"/>
    <cellStyle name="Comma 2 2 2 17" xfId="23325" xr:uid="{00000000-0005-0000-0000-0000C2050000}"/>
    <cellStyle name="Comma 2 2 2 18" xfId="44155" xr:uid="{00000000-0005-0000-0000-0000C3050000}"/>
    <cellStyle name="Comma 2 2 2 19" xfId="20877" xr:uid="{00000000-0005-0000-0000-0000C4050000}"/>
    <cellStyle name="Comma 2 2 2 2" xfId="63" xr:uid="{00000000-0005-0000-0000-0000C5050000}"/>
    <cellStyle name="Comma 2 2 2 2 10" xfId="7407" xr:uid="{00000000-0005-0000-0000-0000C6050000}"/>
    <cellStyle name="Comma 2 2 2 2 10 2" xfId="30686" xr:uid="{00000000-0005-0000-0000-0000C7050000}"/>
    <cellStyle name="Comma 2 2 2 2 11" xfId="9855" xr:uid="{00000000-0005-0000-0000-0000C8050000}"/>
    <cellStyle name="Comma 2 2 2 2 11 2" xfId="33134" xr:uid="{00000000-0005-0000-0000-0000C9050000}"/>
    <cellStyle name="Comma 2 2 2 2 12" xfId="12303" xr:uid="{00000000-0005-0000-0000-0000CA050000}"/>
    <cellStyle name="Comma 2 2 2 2 12 2" xfId="35582" xr:uid="{00000000-0005-0000-0000-0000CB050000}"/>
    <cellStyle name="Comma 2 2 2 2 13" xfId="14774" xr:uid="{00000000-0005-0000-0000-0000CC050000}"/>
    <cellStyle name="Comma 2 2 2 2 13 2" xfId="38052" xr:uid="{00000000-0005-0000-0000-0000CD050000}"/>
    <cellStyle name="Comma 2 2 2 2 14" xfId="23342" xr:uid="{00000000-0005-0000-0000-0000CE050000}"/>
    <cellStyle name="Comma 2 2 2 2 15" xfId="44172" xr:uid="{00000000-0005-0000-0000-0000CF050000}"/>
    <cellStyle name="Comma 2 2 2 2 16" xfId="20894" xr:uid="{00000000-0005-0000-0000-0000D0050000}"/>
    <cellStyle name="Comma 2 2 2 2 2" xfId="131" xr:uid="{00000000-0005-0000-0000-0000D1050000}"/>
    <cellStyle name="Comma 2 2 2 2 2 10" xfId="12371" xr:uid="{00000000-0005-0000-0000-0000D2050000}"/>
    <cellStyle name="Comma 2 2 2 2 2 10 2" xfId="35650" xr:uid="{00000000-0005-0000-0000-0000D3050000}"/>
    <cellStyle name="Comma 2 2 2 2 2 11" xfId="14842" xr:uid="{00000000-0005-0000-0000-0000D4050000}"/>
    <cellStyle name="Comma 2 2 2 2 2 11 2" xfId="38120" xr:uid="{00000000-0005-0000-0000-0000D5050000}"/>
    <cellStyle name="Comma 2 2 2 2 2 12" xfId="23410" xr:uid="{00000000-0005-0000-0000-0000D6050000}"/>
    <cellStyle name="Comma 2 2 2 2 2 13" xfId="44240" xr:uid="{00000000-0005-0000-0000-0000D7050000}"/>
    <cellStyle name="Comma 2 2 2 2 2 14" xfId="20962" xr:uid="{00000000-0005-0000-0000-0000D8050000}"/>
    <cellStyle name="Comma 2 2 2 2 2 2" xfId="335" xr:uid="{00000000-0005-0000-0000-0000D9050000}"/>
    <cellStyle name="Comma 2 2 2 2 2 2 10" xfId="23614" xr:uid="{00000000-0005-0000-0000-0000DA050000}"/>
    <cellStyle name="Comma 2 2 2 2 2 2 11" xfId="44444" xr:uid="{00000000-0005-0000-0000-0000DB050000}"/>
    <cellStyle name="Comma 2 2 2 2 2 2 12" xfId="21166" xr:uid="{00000000-0005-0000-0000-0000DC050000}"/>
    <cellStyle name="Comma 2 2 2 2 2 2 2" xfId="947" xr:uid="{00000000-0005-0000-0000-0000DD050000}"/>
    <cellStyle name="Comma 2 2 2 2 2 2 2 10" xfId="45056" xr:uid="{00000000-0005-0000-0000-0000DE050000}"/>
    <cellStyle name="Comma 2 2 2 2 2 2 2 11" xfId="21778" xr:uid="{00000000-0005-0000-0000-0000DF050000}"/>
    <cellStyle name="Comma 2 2 2 2 2 2 2 2" xfId="2171" xr:uid="{00000000-0005-0000-0000-0000E0050000}"/>
    <cellStyle name="Comma 2 2 2 2 2 2 2 2 10" xfId="23002" xr:uid="{00000000-0005-0000-0000-0000E1050000}"/>
    <cellStyle name="Comma 2 2 2 2 2 2 2 2 2" xfId="4619" xr:uid="{00000000-0005-0000-0000-0000E2050000}"/>
    <cellStyle name="Comma 2 2 2 2 2 2 2 2 2 2" xfId="20554" xr:uid="{00000000-0005-0000-0000-0000E3050000}"/>
    <cellStyle name="Comma 2 2 2 2 2 2 2 2 2 2 2" xfId="43832" xr:uid="{00000000-0005-0000-0000-0000E4050000}"/>
    <cellStyle name="Comma 2 2 2 2 2 2 2 2 2 3" xfId="48728" xr:uid="{00000000-0005-0000-0000-0000E5050000}"/>
    <cellStyle name="Comma 2 2 2 2 2 2 2 2 2 4" xfId="27898" xr:uid="{00000000-0005-0000-0000-0000E6050000}"/>
    <cellStyle name="Comma 2 2 2 2 2 2 2 2 3" xfId="7067" xr:uid="{00000000-0005-0000-0000-0000E7050000}"/>
    <cellStyle name="Comma 2 2 2 2 2 2 2 2 3 2" xfId="30346" xr:uid="{00000000-0005-0000-0000-0000E8050000}"/>
    <cellStyle name="Comma 2 2 2 2 2 2 2 2 4" xfId="9515" xr:uid="{00000000-0005-0000-0000-0000E9050000}"/>
    <cellStyle name="Comma 2 2 2 2 2 2 2 2 4 2" xfId="32794" xr:uid="{00000000-0005-0000-0000-0000EA050000}"/>
    <cellStyle name="Comma 2 2 2 2 2 2 2 2 5" xfId="11963" xr:uid="{00000000-0005-0000-0000-0000EB050000}"/>
    <cellStyle name="Comma 2 2 2 2 2 2 2 2 5 2" xfId="35242" xr:uid="{00000000-0005-0000-0000-0000EC050000}"/>
    <cellStyle name="Comma 2 2 2 2 2 2 2 2 6" xfId="14411" xr:uid="{00000000-0005-0000-0000-0000ED050000}"/>
    <cellStyle name="Comma 2 2 2 2 2 2 2 2 6 2" xfId="37690" xr:uid="{00000000-0005-0000-0000-0000EE050000}"/>
    <cellStyle name="Comma 2 2 2 2 2 2 2 2 7" xfId="18106" xr:uid="{00000000-0005-0000-0000-0000EF050000}"/>
    <cellStyle name="Comma 2 2 2 2 2 2 2 2 7 2" xfId="41384" xr:uid="{00000000-0005-0000-0000-0000F0050000}"/>
    <cellStyle name="Comma 2 2 2 2 2 2 2 2 8" xfId="25450" xr:uid="{00000000-0005-0000-0000-0000F1050000}"/>
    <cellStyle name="Comma 2 2 2 2 2 2 2 2 9" xfId="46280" xr:uid="{00000000-0005-0000-0000-0000F2050000}"/>
    <cellStyle name="Comma 2 2 2 2 2 2 2 3" xfId="3395" xr:uid="{00000000-0005-0000-0000-0000F3050000}"/>
    <cellStyle name="Comma 2 2 2 2 2 2 2 3 2" xfId="16882" xr:uid="{00000000-0005-0000-0000-0000F4050000}"/>
    <cellStyle name="Comma 2 2 2 2 2 2 2 3 2 2" xfId="40160" xr:uid="{00000000-0005-0000-0000-0000F5050000}"/>
    <cellStyle name="Comma 2 2 2 2 2 2 2 3 3" xfId="47504" xr:uid="{00000000-0005-0000-0000-0000F6050000}"/>
    <cellStyle name="Comma 2 2 2 2 2 2 2 3 4" xfId="26674" xr:uid="{00000000-0005-0000-0000-0000F7050000}"/>
    <cellStyle name="Comma 2 2 2 2 2 2 2 4" xfId="5843" xr:uid="{00000000-0005-0000-0000-0000F8050000}"/>
    <cellStyle name="Comma 2 2 2 2 2 2 2 4 2" xfId="19330" xr:uid="{00000000-0005-0000-0000-0000F9050000}"/>
    <cellStyle name="Comma 2 2 2 2 2 2 2 4 2 2" xfId="42608" xr:uid="{00000000-0005-0000-0000-0000FA050000}"/>
    <cellStyle name="Comma 2 2 2 2 2 2 2 4 3" xfId="29122" xr:uid="{00000000-0005-0000-0000-0000FB050000}"/>
    <cellStyle name="Comma 2 2 2 2 2 2 2 5" xfId="8291" xr:uid="{00000000-0005-0000-0000-0000FC050000}"/>
    <cellStyle name="Comma 2 2 2 2 2 2 2 5 2" xfId="31570" xr:uid="{00000000-0005-0000-0000-0000FD050000}"/>
    <cellStyle name="Comma 2 2 2 2 2 2 2 6" xfId="10739" xr:uid="{00000000-0005-0000-0000-0000FE050000}"/>
    <cellStyle name="Comma 2 2 2 2 2 2 2 6 2" xfId="34018" xr:uid="{00000000-0005-0000-0000-0000FF050000}"/>
    <cellStyle name="Comma 2 2 2 2 2 2 2 7" xfId="13187" xr:uid="{00000000-0005-0000-0000-000000060000}"/>
    <cellStyle name="Comma 2 2 2 2 2 2 2 7 2" xfId="36466" xr:uid="{00000000-0005-0000-0000-000001060000}"/>
    <cellStyle name="Comma 2 2 2 2 2 2 2 8" xfId="15658" xr:uid="{00000000-0005-0000-0000-000002060000}"/>
    <cellStyle name="Comma 2 2 2 2 2 2 2 8 2" xfId="38936" xr:uid="{00000000-0005-0000-0000-000003060000}"/>
    <cellStyle name="Comma 2 2 2 2 2 2 2 9" xfId="24226" xr:uid="{00000000-0005-0000-0000-000004060000}"/>
    <cellStyle name="Comma 2 2 2 2 2 2 3" xfId="1559" xr:uid="{00000000-0005-0000-0000-000005060000}"/>
    <cellStyle name="Comma 2 2 2 2 2 2 3 10" xfId="22390" xr:uid="{00000000-0005-0000-0000-000006060000}"/>
    <cellStyle name="Comma 2 2 2 2 2 2 3 2" xfId="4007" xr:uid="{00000000-0005-0000-0000-000007060000}"/>
    <cellStyle name="Comma 2 2 2 2 2 2 3 2 2" xfId="19942" xr:uid="{00000000-0005-0000-0000-000008060000}"/>
    <cellStyle name="Comma 2 2 2 2 2 2 3 2 2 2" xfId="43220" xr:uid="{00000000-0005-0000-0000-000009060000}"/>
    <cellStyle name="Comma 2 2 2 2 2 2 3 2 3" xfId="48116" xr:uid="{00000000-0005-0000-0000-00000A060000}"/>
    <cellStyle name="Comma 2 2 2 2 2 2 3 2 4" xfId="27286" xr:uid="{00000000-0005-0000-0000-00000B060000}"/>
    <cellStyle name="Comma 2 2 2 2 2 2 3 3" xfId="6455" xr:uid="{00000000-0005-0000-0000-00000C060000}"/>
    <cellStyle name="Comma 2 2 2 2 2 2 3 3 2" xfId="29734" xr:uid="{00000000-0005-0000-0000-00000D060000}"/>
    <cellStyle name="Comma 2 2 2 2 2 2 3 4" xfId="8903" xr:uid="{00000000-0005-0000-0000-00000E060000}"/>
    <cellStyle name="Comma 2 2 2 2 2 2 3 4 2" xfId="32182" xr:uid="{00000000-0005-0000-0000-00000F060000}"/>
    <cellStyle name="Comma 2 2 2 2 2 2 3 5" xfId="11351" xr:uid="{00000000-0005-0000-0000-000010060000}"/>
    <cellStyle name="Comma 2 2 2 2 2 2 3 5 2" xfId="34630" xr:uid="{00000000-0005-0000-0000-000011060000}"/>
    <cellStyle name="Comma 2 2 2 2 2 2 3 6" xfId="13799" xr:uid="{00000000-0005-0000-0000-000012060000}"/>
    <cellStyle name="Comma 2 2 2 2 2 2 3 6 2" xfId="37078" xr:uid="{00000000-0005-0000-0000-000013060000}"/>
    <cellStyle name="Comma 2 2 2 2 2 2 3 7" xfId="17494" xr:uid="{00000000-0005-0000-0000-000014060000}"/>
    <cellStyle name="Comma 2 2 2 2 2 2 3 7 2" xfId="40772" xr:uid="{00000000-0005-0000-0000-000015060000}"/>
    <cellStyle name="Comma 2 2 2 2 2 2 3 8" xfId="24838" xr:uid="{00000000-0005-0000-0000-000016060000}"/>
    <cellStyle name="Comma 2 2 2 2 2 2 3 9" xfId="45668" xr:uid="{00000000-0005-0000-0000-000017060000}"/>
    <cellStyle name="Comma 2 2 2 2 2 2 4" xfId="2783" xr:uid="{00000000-0005-0000-0000-000018060000}"/>
    <cellStyle name="Comma 2 2 2 2 2 2 4 2" xfId="16270" xr:uid="{00000000-0005-0000-0000-000019060000}"/>
    <cellStyle name="Comma 2 2 2 2 2 2 4 2 2" xfId="39548" xr:uid="{00000000-0005-0000-0000-00001A060000}"/>
    <cellStyle name="Comma 2 2 2 2 2 2 4 3" xfId="46892" xr:uid="{00000000-0005-0000-0000-00001B060000}"/>
    <cellStyle name="Comma 2 2 2 2 2 2 4 4" xfId="26062" xr:uid="{00000000-0005-0000-0000-00001C060000}"/>
    <cellStyle name="Comma 2 2 2 2 2 2 5" xfId="5231" xr:uid="{00000000-0005-0000-0000-00001D060000}"/>
    <cellStyle name="Comma 2 2 2 2 2 2 5 2" xfId="18718" xr:uid="{00000000-0005-0000-0000-00001E060000}"/>
    <cellStyle name="Comma 2 2 2 2 2 2 5 2 2" xfId="41996" xr:uid="{00000000-0005-0000-0000-00001F060000}"/>
    <cellStyle name="Comma 2 2 2 2 2 2 5 3" xfId="28510" xr:uid="{00000000-0005-0000-0000-000020060000}"/>
    <cellStyle name="Comma 2 2 2 2 2 2 6" xfId="7679" xr:uid="{00000000-0005-0000-0000-000021060000}"/>
    <cellStyle name="Comma 2 2 2 2 2 2 6 2" xfId="30958" xr:uid="{00000000-0005-0000-0000-000022060000}"/>
    <cellStyle name="Comma 2 2 2 2 2 2 7" xfId="10127" xr:uid="{00000000-0005-0000-0000-000023060000}"/>
    <cellStyle name="Comma 2 2 2 2 2 2 7 2" xfId="33406" xr:uid="{00000000-0005-0000-0000-000024060000}"/>
    <cellStyle name="Comma 2 2 2 2 2 2 8" xfId="12575" xr:uid="{00000000-0005-0000-0000-000025060000}"/>
    <cellStyle name="Comma 2 2 2 2 2 2 8 2" xfId="35854" xr:uid="{00000000-0005-0000-0000-000026060000}"/>
    <cellStyle name="Comma 2 2 2 2 2 2 9" xfId="15046" xr:uid="{00000000-0005-0000-0000-000027060000}"/>
    <cellStyle name="Comma 2 2 2 2 2 2 9 2" xfId="38324" xr:uid="{00000000-0005-0000-0000-000028060000}"/>
    <cellStyle name="Comma 2 2 2 2 2 3" xfId="539" xr:uid="{00000000-0005-0000-0000-000029060000}"/>
    <cellStyle name="Comma 2 2 2 2 2 3 10" xfId="23818" xr:uid="{00000000-0005-0000-0000-00002A060000}"/>
    <cellStyle name="Comma 2 2 2 2 2 3 11" xfId="44648" xr:uid="{00000000-0005-0000-0000-00002B060000}"/>
    <cellStyle name="Comma 2 2 2 2 2 3 12" xfId="21370" xr:uid="{00000000-0005-0000-0000-00002C060000}"/>
    <cellStyle name="Comma 2 2 2 2 2 3 2" xfId="1151" xr:uid="{00000000-0005-0000-0000-00002D060000}"/>
    <cellStyle name="Comma 2 2 2 2 2 3 2 10" xfId="45260" xr:uid="{00000000-0005-0000-0000-00002E060000}"/>
    <cellStyle name="Comma 2 2 2 2 2 3 2 11" xfId="21982" xr:uid="{00000000-0005-0000-0000-00002F060000}"/>
    <cellStyle name="Comma 2 2 2 2 2 3 2 2" xfId="2375" xr:uid="{00000000-0005-0000-0000-000030060000}"/>
    <cellStyle name="Comma 2 2 2 2 2 3 2 2 10" xfId="23206" xr:uid="{00000000-0005-0000-0000-000031060000}"/>
    <cellStyle name="Comma 2 2 2 2 2 3 2 2 2" xfId="4823" xr:uid="{00000000-0005-0000-0000-000032060000}"/>
    <cellStyle name="Comma 2 2 2 2 2 3 2 2 2 2" xfId="20758" xr:uid="{00000000-0005-0000-0000-000033060000}"/>
    <cellStyle name="Comma 2 2 2 2 2 3 2 2 2 2 2" xfId="44036" xr:uid="{00000000-0005-0000-0000-000034060000}"/>
    <cellStyle name="Comma 2 2 2 2 2 3 2 2 2 3" xfId="48932" xr:uid="{00000000-0005-0000-0000-000035060000}"/>
    <cellStyle name="Comma 2 2 2 2 2 3 2 2 2 4" xfId="28102" xr:uid="{00000000-0005-0000-0000-000036060000}"/>
    <cellStyle name="Comma 2 2 2 2 2 3 2 2 3" xfId="7271" xr:uid="{00000000-0005-0000-0000-000037060000}"/>
    <cellStyle name="Comma 2 2 2 2 2 3 2 2 3 2" xfId="30550" xr:uid="{00000000-0005-0000-0000-000038060000}"/>
    <cellStyle name="Comma 2 2 2 2 2 3 2 2 4" xfId="9719" xr:uid="{00000000-0005-0000-0000-000039060000}"/>
    <cellStyle name="Comma 2 2 2 2 2 3 2 2 4 2" xfId="32998" xr:uid="{00000000-0005-0000-0000-00003A060000}"/>
    <cellStyle name="Comma 2 2 2 2 2 3 2 2 5" xfId="12167" xr:uid="{00000000-0005-0000-0000-00003B060000}"/>
    <cellStyle name="Comma 2 2 2 2 2 3 2 2 5 2" xfId="35446" xr:uid="{00000000-0005-0000-0000-00003C060000}"/>
    <cellStyle name="Comma 2 2 2 2 2 3 2 2 6" xfId="14615" xr:uid="{00000000-0005-0000-0000-00003D060000}"/>
    <cellStyle name="Comma 2 2 2 2 2 3 2 2 6 2" xfId="37894" xr:uid="{00000000-0005-0000-0000-00003E060000}"/>
    <cellStyle name="Comma 2 2 2 2 2 3 2 2 7" xfId="18310" xr:uid="{00000000-0005-0000-0000-00003F060000}"/>
    <cellStyle name="Comma 2 2 2 2 2 3 2 2 7 2" xfId="41588" xr:uid="{00000000-0005-0000-0000-000040060000}"/>
    <cellStyle name="Comma 2 2 2 2 2 3 2 2 8" xfId="25654" xr:uid="{00000000-0005-0000-0000-000041060000}"/>
    <cellStyle name="Comma 2 2 2 2 2 3 2 2 9" xfId="46484" xr:uid="{00000000-0005-0000-0000-000042060000}"/>
    <cellStyle name="Comma 2 2 2 2 2 3 2 3" xfId="3599" xr:uid="{00000000-0005-0000-0000-000043060000}"/>
    <cellStyle name="Comma 2 2 2 2 2 3 2 3 2" xfId="17086" xr:uid="{00000000-0005-0000-0000-000044060000}"/>
    <cellStyle name="Comma 2 2 2 2 2 3 2 3 2 2" xfId="40364" xr:uid="{00000000-0005-0000-0000-000045060000}"/>
    <cellStyle name="Comma 2 2 2 2 2 3 2 3 3" xfId="47708" xr:uid="{00000000-0005-0000-0000-000046060000}"/>
    <cellStyle name="Comma 2 2 2 2 2 3 2 3 4" xfId="26878" xr:uid="{00000000-0005-0000-0000-000047060000}"/>
    <cellStyle name="Comma 2 2 2 2 2 3 2 4" xfId="6047" xr:uid="{00000000-0005-0000-0000-000048060000}"/>
    <cellStyle name="Comma 2 2 2 2 2 3 2 4 2" xfId="19534" xr:uid="{00000000-0005-0000-0000-000049060000}"/>
    <cellStyle name="Comma 2 2 2 2 2 3 2 4 2 2" xfId="42812" xr:uid="{00000000-0005-0000-0000-00004A060000}"/>
    <cellStyle name="Comma 2 2 2 2 2 3 2 4 3" xfId="29326" xr:uid="{00000000-0005-0000-0000-00004B060000}"/>
    <cellStyle name="Comma 2 2 2 2 2 3 2 5" xfId="8495" xr:uid="{00000000-0005-0000-0000-00004C060000}"/>
    <cellStyle name="Comma 2 2 2 2 2 3 2 5 2" xfId="31774" xr:uid="{00000000-0005-0000-0000-00004D060000}"/>
    <cellStyle name="Comma 2 2 2 2 2 3 2 6" xfId="10943" xr:uid="{00000000-0005-0000-0000-00004E060000}"/>
    <cellStyle name="Comma 2 2 2 2 2 3 2 6 2" xfId="34222" xr:uid="{00000000-0005-0000-0000-00004F060000}"/>
    <cellStyle name="Comma 2 2 2 2 2 3 2 7" xfId="13391" xr:uid="{00000000-0005-0000-0000-000050060000}"/>
    <cellStyle name="Comma 2 2 2 2 2 3 2 7 2" xfId="36670" xr:uid="{00000000-0005-0000-0000-000051060000}"/>
    <cellStyle name="Comma 2 2 2 2 2 3 2 8" xfId="15862" xr:uid="{00000000-0005-0000-0000-000052060000}"/>
    <cellStyle name="Comma 2 2 2 2 2 3 2 8 2" xfId="39140" xr:uid="{00000000-0005-0000-0000-000053060000}"/>
    <cellStyle name="Comma 2 2 2 2 2 3 2 9" xfId="24430" xr:uid="{00000000-0005-0000-0000-000054060000}"/>
    <cellStyle name="Comma 2 2 2 2 2 3 3" xfId="1763" xr:uid="{00000000-0005-0000-0000-000055060000}"/>
    <cellStyle name="Comma 2 2 2 2 2 3 3 10" xfId="22594" xr:uid="{00000000-0005-0000-0000-000056060000}"/>
    <cellStyle name="Comma 2 2 2 2 2 3 3 2" xfId="4211" xr:uid="{00000000-0005-0000-0000-000057060000}"/>
    <cellStyle name="Comma 2 2 2 2 2 3 3 2 2" xfId="20146" xr:uid="{00000000-0005-0000-0000-000058060000}"/>
    <cellStyle name="Comma 2 2 2 2 2 3 3 2 2 2" xfId="43424" xr:uid="{00000000-0005-0000-0000-000059060000}"/>
    <cellStyle name="Comma 2 2 2 2 2 3 3 2 3" xfId="48320" xr:uid="{00000000-0005-0000-0000-00005A060000}"/>
    <cellStyle name="Comma 2 2 2 2 2 3 3 2 4" xfId="27490" xr:uid="{00000000-0005-0000-0000-00005B060000}"/>
    <cellStyle name="Comma 2 2 2 2 2 3 3 3" xfId="6659" xr:uid="{00000000-0005-0000-0000-00005C060000}"/>
    <cellStyle name="Comma 2 2 2 2 2 3 3 3 2" xfId="29938" xr:uid="{00000000-0005-0000-0000-00005D060000}"/>
    <cellStyle name="Comma 2 2 2 2 2 3 3 4" xfId="9107" xr:uid="{00000000-0005-0000-0000-00005E060000}"/>
    <cellStyle name="Comma 2 2 2 2 2 3 3 4 2" xfId="32386" xr:uid="{00000000-0005-0000-0000-00005F060000}"/>
    <cellStyle name="Comma 2 2 2 2 2 3 3 5" xfId="11555" xr:uid="{00000000-0005-0000-0000-000060060000}"/>
    <cellStyle name="Comma 2 2 2 2 2 3 3 5 2" xfId="34834" xr:uid="{00000000-0005-0000-0000-000061060000}"/>
    <cellStyle name="Comma 2 2 2 2 2 3 3 6" xfId="14003" xr:uid="{00000000-0005-0000-0000-000062060000}"/>
    <cellStyle name="Comma 2 2 2 2 2 3 3 6 2" xfId="37282" xr:uid="{00000000-0005-0000-0000-000063060000}"/>
    <cellStyle name="Comma 2 2 2 2 2 3 3 7" xfId="17698" xr:uid="{00000000-0005-0000-0000-000064060000}"/>
    <cellStyle name="Comma 2 2 2 2 2 3 3 7 2" xfId="40976" xr:uid="{00000000-0005-0000-0000-000065060000}"/>
    <cellStyle name="Comma 2 2 2 2 2 3 3 8" xfId="25042" xr:uid="{00000000-0005-0000-0000-000066060000}"/>
    <cellStyle name="Comma 2 2 2 2 2 3 3 9" xfId="45872" xr:uid="{00000000-0005-0000-0000-000067060000}"/>
    <cellStyle name="Comma 2 2 2 2 2 3 4" xfId="2987" xr:uid="{00000000-0005-0000-0000-000068060000}"/>
    <cellStyle name="Comma 2 2 2 2 2 3 4 2" xfId="16474" xr:uid="{00000000-0005-0000-0000-000069060000}"/>
    <cellStyle name="Comma 2 2 2 2 2 3 4 2 2" xfId="39752" xr:uid="{00000000-0005-0000-0000-00006A060000}"/>
    <cellStyle name="Comma 2 2 2 2 2 3 4 3" xfId="47096" xr:uid="{00000000-0005-0000-0000-00006B060000}"/>
    <cellStyle name="Comma 2 2 2 2 2 3 4 4" xfId="26266" xr:uid="{00000000-0005-0000-0000-00006C060000}"/>
    <cellStyle name="Comma 2 2 2 2 2 3 5" xfId="5435" xr:uid="{00000000-0005-0000-0000-00006D060000}"/>
    <cellStyle name="Comma 2 2 2 2 2 3 5 2" xfId="18922" xr:uid="{00000000-0005-0000-0000-00006E060000}"/>
    <cellStyle name="Comma 2 2 2 2 2 3 5 2 2" xfId="42200" xr:uid="{00000000-0005-0000-0000-00006F060000}"/>
    <cellStyle name="Comma 2 2 2 2 2 3 5 3" xfId="28714" xr:uid="{00000000-0005-0000-0000-000070060000}"/>
    <cellStyle name="Comma 2 2 2 2 2 3 6" xfId="7883" xr:uid="{00000000-0005-0000-0000-000071060000}"/>
    <cellStyle name="Comma 2 2 2 2 2 3 6 2" xfId="31162" xr:uid="{00000000-0005-0000-0000-000072060000}"/>
    <cellStyle name="Comma 2 2 2 2 2 3 7" xfId="10331" xr:uid="{00000000-0005-0000-0000-000073060000}"/>
    <cellStyle name="Comma 2 2 2 2 2 3 7 2" xfId="33610" xr:uid="{00000000-0005-0000-0000-000074060000}"/>
    <cellStyle name="Comma 2 2 2 2 2 3 8" xfId="12779" xr:uid="{00000000-0005-0000-0000-000075060000}"/>
    <cellStyle name="Comma 2 2 2 2 2 3 8 2" xfId="36058" xr:uid="{00000000-0005-0000-0000-000076060000}"/>
    <cellStyle name="Comma 2 2 2 2 2 3 9" xfId="15250" xr:uid="{00000000-0005-0000-0000-000077060000}"/>
    <cellStyle name="Comma 2 2 2 2 2 3 9 2" xfId="38528" xr:uid="{00000000-0005-0000-0000-000078060000}"/>
    <cellStyle name="Comma 2 2 2 2 2 4" xfId="743" xr:uid="{00000000-0005-0000-0000-000079060000}"/>
    <cellStyle name="Comma 2 2 2 2 2 4 10" xfId="44852" xr:uid="{00000000-0005-0000-0000-00007A060000}"/>
    <cellStyle name="Comma 2 2 2 2 2 4 11" xfId="21574" xr:uid="{00000000-0005-0000-0000-00007B060000}"/>
    <cellStyle name="Comma 2 2 2 2 2 4 2" xfId="1967" xr:uid="{00000000-0005-0000-0000-00007C060000}"/>
    <cellStyle name="Comma 2 2 2 2 2 4 2 10" xfId="22798" xr:uid="{00000000-0005-0000-0000-00007D060000}"/>
    <cellStyle name="Comma 2 2 2 2 2 4 2 2" xfId="4415" xr:uid="{00000000-0005-0000-0000-00007E060000}"/>
    <cellStyle name="Comma 2 2 2 2 2 4 2 2 2" xfId="20350" xr:uid="{00000000-0005-0000-0000-00007F060000}"/>
    <cellStyle name="Comma 2 2 2 2 2 4 2 2 2 2" xfId="43628" xr:uid="{00000000-0005-0000-0000-000080060000}"/>
    <cellStyle name="Comma 2 2 2 2 2 4 2 2 3" xfId="48524" xr:uid="{00000000-0005-0000-0000-000081060000}"/>
    <cellStyle name="Comma 2 2 2 2 2 4 2 2 4" xfId="27694" xr:uid="{00000000-0005-0000-0000-000082060000}"/>
    <cellStyle name="Comma 2 2 2 2 2 4 2 3" xfId="6863" xr:uid="{00000000-0005-0000-0000-000083060000}"/>
    <cellStyle name="Comma 2 2 2 2 2 4 2 3 2" xfId="30142" xr:uid="{00000000-0005-0000-0000-000084060000}"/>
    <cellStyle name="Comma 2 2 2 2 2 4 2 4" xfId="9311" xr:uid="{00000000-0005-0000-0000-000085060000}"/>
    <cellStyle name="Comma 2 2 2 2 2 4 2 4 2" xfId="32590" xr:uid="{00000000-0005-0000-0000-000086060000}"/>
    <cellStyle name="Comma 2 2 2 2 2 4 2 5" xfId="11759" xr:uid="{00000000-0005-0000-0000-000087060000}"/>
    <cellStyle name="Comma 2 2 2 2 2 4 2 5 2" xfId="35038" xr:uid="{00000000-0005-0000-0000-000088060000}"/>
    <cellStyle name="Comma 2 2 2 2 2 4 2 6" xfId="14207" xr:uid="{00000000-0005-0000-0000-000089060000}"/>
    <cellStyle name="Comma 2 2 2 2 2 4 2 6 2" xfId="37486" xr:uid="{00000000-0005-0000-0000-00008A060000}"/>
    <cellStyle name="Comma 2 2 2 2 2 4 2 7" xfId="17902" xr:uid="{00000000-0005-0000-0000-00008B060000}"/>
    <cellStyle name="Comma 2 2 2 2 2 4 2 7 2" xfId="41180" xr:uid="{00000000-0005-0000-0000-00008C060000}"/>
    <cellStyle name="Comma 2 2 2 2 2 4 2 8" xfId="25246" xr:uid="{00000000-0005-0000-0000-00008D060000}"/>
    <cellStyle name="Comma 2 2 2 2 2 4 2 9" xfId="46076" xr:uid="{00000000-0005-0000-0000-00008E060000}"/>
    <cellStyle name="Comma 2 2 2 2 2 4 3" xfId="3191" xr:uid="{00000000-0005-0000-0000-00008F060000}"/>
    <cellStyle name="Comma 2 2 2 2 2 4 3 2" xfId="16678" xr:uid="{00000000-0005-0000-0000-000090060000}"/>
    <cellStyle name="Comma 2 2 2 2 2 4 3 2 2" xfId="39956" xr:uid="{00000000-0005-0000-0000-000091060000}"/>
    <cellStyle name="Comma 2 2 2 2 2 4 3 3" xfId="47300" xr:uid="{00000000-0005-0000-0000-000092060000}"/>
    <cellStyle name="Comma 2 2 2 2 2 4 3 4" xfId="26470" xr:uid="{00000000-0005-0000-0000-000093060000}"/>
    <cellStyle name="Comma 2 2 2 2 2 4 4" xfId="5639" xr:uid="{00000000-0005-0000-0000-000094060000}"/>
    <cellStyle name="Comma 2 2 2 2 2 4 4 2" xfId="19126" xr:uid="{00000000-0005-0000-0000-000095060000}"/>
    <cellStyle name="Comma 2 2 2 2 2 4 4 2 2" xfId="42404" xr:uid="{00000000-0005-0000-0000-000096060000}"/>
    <cellStyle name="Comma 2 2 2 2 2 4 4 3" xfId="28918" xr:uid="{00000000-0005-0000-0000-000097060000}"/>
    <cellStyle name="Comma 2 2 2 2 2 4 5" xfId="8087" xr:uid="{00000000-0005-0000-0000-000098060000}"/>
    <cellStyle name="Comma 2 2 2 2 2 4 5 2" xfId="31366" xr:uid="{00000000-0005-0000-0000-000099060000}"/>
    <cellStyle name="Comma 2 2 2 2 2 4 6" xfId="10535" xr:uid="{00000000-0005-0000-0000-00009A060000}"/>
    <cellStyle name="Comma 2 2 2 2 2 4 6 2" xfId="33814" xr:uid="{00000000-0005-0000-0000-00009B060000}"/>
    <cellStyle name="Comma 2 2 2 2 2 4 7" xfId="12983" xr:uid="{00000000-0005-0000-0000-00009C060000}"/>
    <cellStyle name="Comma 2 2 2 2 2 4 7 2" xfId="36262" xr:uid="{00000000-0005-0000-0000-00009D060000}"/>
    <cellStyle name="Comma 2 2 2 2 2 4 8" xfId="15454" xr:uid="{00000000-0005-0000-0000-00009E060000}"/>
    <cellStyle name="Comma 2 2 2 2 2 4 8 2" xfId="38732" xr:uid="{00000000-0005-0000-0000-00009F060000}"/>
    <cellStyle name="Comma 2 2 2 2 2 4 9" xfId="24022" xr:uid="{00000000-0005-0000-0000-0000A0060000}"/>
    <cellStyle name="Comma 2 2 2 2 2 5" xfId="1355" xr:uid="{00000000-0005-0000-0000-0000A1060000}"/>
    <cellStyle name="Comma 2 2 2 2 2 5 10" xfId="22186" xr:uid="{00000000-0005-0000-0000-0000A2060000}"/>
    <cellStyle name="Comma 2 2 2 2 2 5 2" xfId="3803" xr:uid="{00000000-0005-0000-0000-0000A3060000}"/>
    <cellStyle name="Comma 2 2 2 2 2 5 2 2" xfId="19738" xr:uid="{00000000-0005-0000-0000-0000A4060000}"/>
    <cellStyle name="Comma 2 2 2 2 2 5 2 2 2" xfId="43016" xr:uid="{00000000-0005-0000-0000-0000A5060000}"/>
    <cellStyle name="Comma 2 2 2 2 2 5 2 3" xfId="47912" xr:uid="{00000000-0005-0000-0000-0000A6060000}"/>
    <cellStyle name="Comma 2 2 2 2 2 5 2 4" xfId="27082" xr:uid="{00000000-0005-0000-0000-0000A7060000}"/>
    <cellStyle name="Comma 2 2 2 2 2 5 3" xfId="6251" xr:uid="{00000000-0005-0000-0000-0000A8060000}"/>
    <cellStyle name="Comma 2 2 2 2 2 5 3 2" xfId="29530" xr:uid="{00000000-0005-0000-0000-0000A9060000}"/>
    <cellStyle name="Comma 2 2 2 2 2 5 4" xfId="8699" xr:uid="{00000000-0005-0000-0000-0000AA060000}"/>
    <cellStyle name="Comma 2 2 2 2 2 5 4 2" xfId="31978" xr:uid="{00000000-0005-0000-0000-0000AB060000}"/>
    <cellStyle name="Comma 2 2 2 2 2 5 5" xfId="11147" xr:uid="{00000000-0005-0000-0000-0000AC060000}"/>
    <cellStyle name="Comma 2 2 2 2 2 5 5 2" xfId="34426" xr:uid="{00000000-0005-0000-0000-0000AD060000}"/>
    <cellStyle name="Comma 2 2 2 2 2 5 6" xfId="13595" xr:uid="{00000000-0005-0000-0000-0000AE060000}"/>
    <cellStyle name="Comma 2 2 2 2 2 5 6 2" xfId="36874" xr:uid="{00000000-0005-0000-0000-0000AF060000}"/>
    <cellStyle name="Comma 2 2 2 2 2 5 7" xfId="17290" xr:uid="{00000000-0005-0000-0000-0000B0060000}"/>
    <cellStyle name="Comma 2 2 2 2 2 5 7 2" xfId="40568" xr:uid="{00000000-0005-0000-0000-0000B1060000}"/>
    <cellStyle name="Comma 2 2 2 2 2 5 8" xfId="24634" xr:uid="{00000000-0005-0000-0000-0000B2060000}"/>
    <cellStyle name="Comma 2 2 2 2 2 5 9" xfId="45464" xr:uid="{00000000-0005-0000-0000-0000B3060000}"/>
    <cellStyle name="Comma 2 2 2 2 2 6" xfId="2579" xr:uid="{00000000-0005-0000-0000-0000B4060000}"/>
    <cellStyle name="Comma 2 2 2 2 2 6 2" xfId="16066" xr:uid="{00000000-0005-0000-0000-0000B5060000}"/>
    <cellStyle name="Comma 2 2 2 2 2 6 2 2" xfId="39344" xr:uid="{00000000-0005-0000-0000-0000B6060000}"/>
    <cellStyle name="Comma 2 2 2 2 2 6 3" xfId="46688" xr:uid="{00000000-0005-0000-0000-0000B7060000}"/>
    <cellStyle name="Comma 2 2 2 2 2 6 4" xfId="25858" xr:uid="{00000000-0005-0000-0000-0000B8060000}"/>
    <cellStyle name="Comma 2 2 2 2 2 7" xfId="5027" xr:uid="{00000000-0005-0000-0000-0000B9060000}"/>
    <cellStyle name="Comma 2 2 2 2 2 7 2" xfId="18514" xr:uid="{00000000-0005-0000-0000-0000BA060000}"/>
    <cellStyle name="Comma 2 2 2 2 2 7 2 2" xfId="41792" xr:uid="{00000000-0005-0000-0000-0000BB060000}"/>
    <cellStyle name="Comma 2 2 2 2 2 7 3" xfId="28306" xr:uid="{00000000-0005-0000-0000-0000BC060000}"/>
    <cellStyle name="Comma 2 2 2 2 2 8" xfId="7475" xr:uid="{00000000-0005-0000-0000-0000BD060000}"/>
    <cellStyle name="Comma 2 2 2 2 2 8 2" xfId="30754" xr:uid="{00000000-0005-0000-0000-0000BE060000}"/>
    <cellStyle name="Comma 2 2 2 2 2 9" xfId="9923" xr:uid="{00000000-0005-0000-0000-0000BF060000}"/>
    <cellStyle name="Comma 2 2 2 2 2 9 2" xfId="33202" xr:uid="{00000000-0005-0000-0000-0000C0060000}"/>
    <cellStyle name="Comma 2 2 2 2 3" xfId="199" xr:uid="{00000000-0005-0000-0000-0000C1060000}"/>
    <cellStyle name="Comma 2 2 2 2 3 10" xfId="12439" xr:uid="{00000000-0005-0000-0000-0000C2060000}"/>
    <cellStyle name="Comma 2 2 2 2 3 10 2" xfId="35718" xr:uid="{00000000-0005-0000-0000-0000C3060000}"/>
    <cellStyle name="Comma 2 2 2 2 3 11" xfId="14910" xr:uid="{00000000-0005-0000-0000-0000C4060000}"/>
    <cellStyle name="Comma 2 2 2 2 3 11 2" xfId="38188" xr:uid="{00000000-0005-0000-0000-0000C5060000}"/>
    <cellStyle name="Comma 2 2 2 2 3 12" xfId="23478" xr:uid="{00000000-0005-0000-0000-0000C6060000}"/>
    <cellStyle name="Comma 2 2 2 2 3 13" xfId="44308" xr:uid="{00000000-0005-0000-0000-0000C7060000}"/>
    <cellStyle name="Comma 2 2 2 2 3 14" xfId="21030" xr:uid="{00000000-0005-0000-0000-0000C8060000}"/>
    <cellStyle name="Comma 2 2 2 2 3 2" xfId="403" xr:uid="{00000000-0005-0000-0000-0000C9060000}"/>
    <cellStyle name="Comma 2 2 2 2 3 2 10" xfId="23682" xr:uid="{00000000-0005-0000-0000-0000CA060000}"/>
    <cellStyle name="Comma 2 2 2 2 3 2 11" xfId="44512" xr:uid="{00000000-0005-0000-0000-0000CB060000}"/>
    <cellStyle name="Comma 2 2 2 2 3 2 12" xfId="21234" xr:uid="{00000000-0005-0000-0000-0000CC060000}"/>
    <cellStyle name="Comma 2 2 2 2 3 2 2" xfId="1015" xr:uid="{00000000-0005-0000-0000-0000CD060000}"/>
    <cellStyle name="Comma 2 2 2 2 3 2 2 10" xfId="45124" xr:uid="{00000000-0005-0000-0000-0000CE060000}"/>
    <cellStyle name="Comma 2 2 2 2 3 2 2 11" xfId="21846" xr:uid="{00000000-0005-0000-0000-0000CF060000}"/>
    <cellStyle name="Comma 2 2 2 2 3 2 2 2" xfId="2239" xr:uid="{00000000-0005-0000-0000-0000D0060000}"/>
    <cellStyle name="Comma 2 2 2 2 3 2 2 2 10" xfId="23070" xr:uid="{00000000-0005-0000-0000-0000D1060000}"/>
    <cellStyle name="Comma 2 2 2 2 3 2 2 2 2" xfId="4687" xr:uid="{00000000-0005-0000-0000-0000D2060000}"/>
    <cellStyle name="Comma 2 2 2 2 3 2 2 2 2 2" xfId="20622" xr:uid="{00000000-0005-0000-0000-0000D3060000}"/>
    <cellStyle name="Comma 2 2 2 2 3 2 2 2 2 2 2" xfId="43900" xr:uid="{00000000-0005-0000-0000-0000D4060000}"/>
    <cellStyle name="Comma 2 2 2 2 3 2 2 2 2 3" xfId="48796" xr:uid="{00000000-0005-0000-0000-0000D5060000}"/>
    <cellStyle name="Comma 2 2 2 2 3 2 2 2 2 4" xfId="27966" xr:uid="{00000000-0005-0000-0000-0000D6060000}"/>
    <cellStyle name="Comma 2 2 2 2 3 2 2 2 3" xfId="7135" xr:uid="{00000000-0005-0000-0000-0000D7060000}"/>
    <cellStyle name="Comma 2 2 2 2 3 2 2 2 3 2" xfId="30414" xr:uid="{00000000-0005-0000-0000-0000D8060000}"/>
    <cellStyle name="Comma 2 2 2 2 3 2 2 2 4" xfId="9583" xr:uid="{00000000-0005-0000-0000-0000D9060000}"/>
    <cellStyle name="Comma 2 2 2 2 3 2 2 2 4 2" xfId="32862" xr:uid="{00000000-0005-0000-0000-0000DA060000}"/>
    <cellStyle name="Comma 2 2 2 2 3 2 2 2 5" xfId="12031" xr:uid="{00000000-0005-0000-0000-0000DB060000}"/>
    <cellStyle name="Comma 2 2 2 2 3 2 2 2 5 2" xfId="35310" xr:uid="{00000000-0005-0000-0000-0000DC060000}"/>
    <cellStyle name="Comma 2 2 2 2 3 2 2 2 6" xfId="14479" xr:uid="{00000000-0005-0000-0000-0000DD060000}"/>
    <cellStyle name="Comma 2 2 2 2 3 2 2 2 6 2" xfId="37758" xr:uid="{00000000-0005-0000-0000-0000DE060000}"/>
    <cellStyle name="Comma 2 2 2 2 3 2 2 2 7" xfId="18174" xr:uid="{00000000-0005-0000-0000-0000DF060000}"/>
    <cellStyle name="Comma 2 2 2 2 3 2 2 2 7 2" xfId="41452" xr:uid="{00000000-0005-0000-0000-0000E0060000}"/>
    <cellStyle name="Comma 2 2 2 2 3 2 2 2 8" xfId="25518" xr:uid="{00000000-0005-0000-0000-0000E1060000}"/>
    <cellStyle name="Comma 2 2 2 2 3 2 2 2 9" xfId="46348" xr:uid="{00000000-0005-0000-0000-0000E2060000}"/>
    <cellStyle name="Comma 2 2 2 2 3 2 2 3" xfId="3463" xr:uid="{00000000-0005-0000-0000-0000E3060000}"/>
    <cellStyle name="Comma 2 2 2 2 3 2 2 3 2" xfId="16950" xr:uid="{00000000-0005-0000-0000-0000E4060000}"/>
    <cellStyle name="Comma 2 2 2 2 3 2 2 3 2 2" xfId="40228" xr:uid="{00000000-0005-0000-0000-0000E5060000}"/>
    <cellStyle name="Comma 2 2 2 2 3 2 2 3 3" xfId="47572" xr:uid="{00000000-0005-0000-0000-0000E6060000}"/>
    <cellStyle name="Comma 2 2 2 2 3 2 2 3 4" xfId="26742" xr:uid="{00000000-0005-0000-0000-0000E7060000}"/>
    <cellStyle name="Comma 2 2 2 2 3 2 2 4" xfId="5911" xr:uid="{00000000-0005-0000-0000-0000E8060000}"/>
    <cellStyle name="Comma 2 2 2 2 3 2 2 4 2" xfId="19398" xr:uid="{00000000-0005-0000-0000-0000E9060000}"/>
    <cellStyle name="Comma 2 2 2 2 3 2 2 4 2 2" xfId="42676" xr:uid="{00000000-0005-0000-0000-0000EA060000}"/>
    <cellStyle name="Comma 2 2 2 2 3 2 2 4 3" xfId="29190" xr:uid="{00000000-0005-0000-0000-0000EB060000}"/>
    <cellStyle name="Comma 2 2 2 2 3 2 2 5" xfId="8359" xr:uid="{00000000-0005-0000-0000-0000EC060000}"/>
    <cellStyle name="Comma 2 2 2 2 3 2 2 5 2" xfId="31638" xr:uid="{00000000-0005-0000-0000-0000ED060000}"/>
    <cellStyle name="Comma 2 2 2 2 3 2 2 6" xfId="10807" xr:uid="{00000000-0005-0000-0000-0000EE060000}"/>
    <cellStyle name="Comma 2 2 2 2 3 2 2 6 2" xfId="34086" xr:uid="{00000000-0005-0000-0000-0000EF060000}"/>
    <cellStyle name="Comma 2 2 2 2 3 2 2 7" xfId="13255" xr:uid="{00000000-0005-0000-0000-0000F0060000}"/>
    <cellStyle name="Comma 2 2 2 2 3 2 2 7 2" xfId="36534" xr:uid="{00000000-0005-0000-0000-0000F1060000}"/>
    <cellStyle name="Comma 2 2 2 2 3 2 2 8" xfId="15726" xr:uid="{00000000-0005-0000-0000-0000F2060000}"/>
    <cellStyle name="Comma 2 2 2 2 3 2 2 8 2" xfId="39004" xr:uid="{00000000-0005-0000-0000-0000F3060000}"/>
    <cellStyle name="Comma 2 2 2 2 3 2 2 9" xfId="24294" xr:uid="{00000000-0005-0000-0000-0000F4060000}"/>
    <cellStyle name="Comma 2 2 2 2 3 2 3" xfId="1627" xr:uid="{00000000-0005-0000-0000-0000F5060000}"/>
    <cellStyle name="Comma 2 2 2 2 3 2 3 10" xfId="22458" xr:uid="{00000000-0005-0000-0000-0000F6060000}"/>
    <cellStyle name="Comma 2 2 2 2 3 2 3 2" xfId="4075" xr:uid="{00000000-0005-0000-0000-0000F7060000}"/>
    <cellStyle name="Comma 2 2 2 2 3 2 3 2 2" xfId="20010" xr:uid="{00000000-0005-0000-0000-0000F8060000}"/>
    <cellStyle name="Comma 2 2 2 2 3 2 3 2 2 2" xfId="43288" xr:uid="{00000000-0005-0000-0000-0000F9060000}"/>
    <cellStyle name="Comma 2 2 2 2 3 2 3 2 3" xfId="48184" xr:uid="{00000000-0005-0000-0000-0000FA060000}"/>
    <cellStyle name="Comma 2 2 2 2 3 2 3 2 4" xfId="27354" xr:uid="{00000000-0005-0000-0000-0000FB060000}"/>
    <cellStyle name="Comma 2 2 2 2 3 2 3 3" xfId="6523" xr:uid="{00000000-0005-0000-0000-0000FC060000}"/>
    <cellStyle name="Comma 2 2 2 2 3 2 3 3 2" xfId="29802" xr:uid="{00000000-0005-0000-0000-0000FD060000}"/>
    <cellStyle name="Comma 2 2 2 2 3 2 3 4" xfId="8971" xr:uid="{00000000-0005-0000-0000-0000FE060000}"/>
    <cellStyle name="Comma 2 2 2 2 3 2 3 4 2" xfId="32250" xr:uid="{00000000-0005-0000-0000-0000FF060000}"/>
    <cellStyle name="Comma 2 2 2 2 3 2 3 5" xfId="11419" xr:uid="{00000000-0005-0000-0000-000000070000}"/>
    <cellStyle name="Comma 2 2 2 2 3 2 3 5 2" xfId="34698" xr:uid="{00000000-0005-0000-0000-000001070000}"/>
    <cellStyle name="Comma 2 2 2 2 3 2 3 6" xfId="13867" xr:uid="{00000000-0005-0000-0000-000002070000}"/>
    <cellStyle name="Comma 2 2 2 2 3 2 3 6 2" xfId="37146" xr:uid="{00000000-0005-0000-0000-000003070000}"/>
    <cellStyle name="Comma 2 2 2 2 3 2 3 7" xfId="17562" xr:uid="{00000000-0005-0000-0000-000004070000}"/>
    <cellStyle name="Comma 2 2 2 2 3 2 3 7 2" xfId="40840" xr:uid="{00000000-0005-0000-0000-000005070000}"/>
    <cellStyle name="Comma 2 2 2 2 3 2 3 8" xfId="24906" xr:uid="{00000000-0005-0000-0000-000006070000}"/>
    <cellStyle name="Comma 2 2 2 2 3 2 3 9" xfId="45736" xr:uid="{00000000-0005-0000-0000-000007070000}"/>
    <cellStyle name="Comma 2 2 2 2 3 2 4" xfId="2851" xr:uid="{00000000-0005-0000-0000-000008070000}"/>
    <cellStyle name="Comma 2 2 2 2 3 2 4 2" xfId="16338" xr:uid="{00000000-0005-0000-0000-000009070000}"/>
    <cellStyle name="Comma 2 2 2 2 3 2 4 2 2" xfId="39616" xr:uid="{00000000-0005-0000-0000-00000A070000}"/>
    <cellStyle name="Comma 2 2 2 2 3 2 4 3" xfId="46960" xr:uid="{00000000-0005-0000-0000-00000B070000}"/>
    <cellStyle name="Comma 2 2 2 2 3 2 4 4" xfId="26130" xr:uid="{00000000-0005-0000-0000-00000C070000}"/>
    <cellStyle name="Comma 2 2 2 2 3 2 5" xfId="5299" xr:uid="{00000000-0005-0000-0000-00000D070000}"/>
    <cellStyle name="Comma 2 2 2 2 3 2 5 2" xfId="18786" xr:uid="{00000000-0005-0000-0000-00000E070000}"/>
    <cellStyle name="Comma 2 2 2 2 3 2 5 2 2" xfId="42064" xr:uid="{00000000-0005-0000-0000-00000F070000}"/>
    <cellStyle name="Comma 2 2 2 2 3 2 5 3" xfId="28578" xr:uid="{00000000-0005-0000-0000-000010070000}"/>
    <cellStyle name="Comma 2 2 2 2 3 2 6" xfId="7747" xr:uid="{00000000-0005-0000-0000-000011070000}"/>
    <cellStyle name="Comma 2 2 2 2 3 2 6 2" xfId="31026" xr:uid="{00000000-0005-0000-0000-000012070000}"/>
    <cellStyle name="Comma 2 2 2 2 3 2 7" xfId="10195" xr:uid="{00000000-0005-0000-0000-000013070000}"/>
    <cellStyle name="Comma 2 2 2 2 3 2 7 2" xfId="33474" xr:uid="{00000000-0005-0000-0000-000014070000}"/>
    <cellStyle name="Comma 2 2 2 2 3 2 8" xfId="12643" xr:uid="{00000000-0005-0000-0000-000015070000}"/>
    <cellStyle name="Comma 2 2 2 2 3 2 8 2" xfId="35922" xr:uid="{00000000-0005-0000-0000-000016070000}"/>
    <cellStyle name="Comma 2 2 2 2 3 2 9" xfId="15114" xr:uid="{00000000-0005-0000-0000-000017070000}"/>
    <cellStyle name="Comma 2 2 2 2 3 2 9 2" xfId="38392" xr:uid="{00000000-0005-0000-0000-000018070000}"/>
    <cellStyle name="Comma 2 2 2 2 3 3" xfId="607" xr:uid="{00000000-0005-0000-0000-000019070000}"/>
    <cellStyle name="Comma 2 2 2 2 3 3 10" xfId="23886" xr:uid="{00000000-0005-0000-0000-00001A070000}"/>
    <cellStyle name="Comma 2 2 2 2 3 3 11" xfId="44716" xr:uid="{00000000-0005-0000-0000-00001B070000}"/>
    <cellStyle name="Comma 2 2 2 2 3 3 12" xfId="21438" xr:uid="{00000000-0005-0000-0000-00001C070000}"/>
    <cellStyle name="Comma 2 2 2 2 3 3 2" xfId="1219" xr:uid="{00000000-0005-0000-0000-00001D070000}"/>
    <cellStyle name="Comma 2 2 2 2 3 3 2 10" xfId="45328" xr:uid="{00000000-0005-0000-0000-00001E070000}"/>
    <cellStyle name="Comma 2 2 2 2 3 3 2 11" xfId="22050" xr:uid="{00000000-0005-0000-0000-00001F070000}"/>
    <cellStyle name="Comma 2 2 2 2 3 3 2 2" xfId="2443" xr:uid="{00000000-0005-0000-0000-000020070000}"/>
    <cellStyle name="Comma 2 2 2 2 3 3 2 2 10" xfId="23274" xr:uid="{00000000-0005-0000-0000-000021070000}"/>
    <cellStyle name="Comma 2 2 2 2 3 3 2 2 2" xfId="4891" xr:uid="{00000000-0005-0000-0000-000022070000}"/>
    <cellStyle name="Comma 2 2 2 2 3 3 2 2 2 2" xfId="20826" xr:uid="{00000000-0005-0000-0000-000023070000}"/>
    <cellStyle name="Comma 2 2 2 2 3 3 2 2 2 2 2" xfId="44104" xr:uid="{00000000-0005-0000-0000-000024070000}"/>
    <cellStyle name="Comma 2 2 2 2 3 3 2 2 2 3" xfId="49000" xr:uid="{00000000-0005-0000-0000-000025070000}"/>
    <cellStyle name="Comma 2 2 2 2 3 3 2 2 2 4" xfId="28170" xr:uid="{00000000-0005-0000-0000-000026070000}"/>
    <cellStyle name="Comma 2 2 2 2 3 3 2 2 3" xfId="7339" xr:uid="{00000000-0005-0000-0000-000027070000}"/>
    <cellStyle name="Comma 2 2 2 2 3 3 2 2 3 2" xfId="30618" xr:uid="{00000000-0005-0000-0000-000028070000}"/>
    <cellStyle name="Comma 2 2 2 2 3 3 2 2 4" xfId="9787" xr:uid="{00000000-0005-0000-0000-000029070000}"/>
    <cellStyle name="Comma 2 2 2 2 3 3 2 2 4 2" xfId="33066" xr:uid="{00000000-0005-0000-0000-00002A070000}"/>
    <cellStyle name="Comma 2 2 2 2 3 3 2 2 5" xfId="12235" xr:uid="{00000000-0005-0000-0000-00002B070000}"/>
    <cellStyle name="Comma 2 2 2 2 3 3 2 2 5 2" xfId="35514" xr:uid="{00000000-0005-0000-0000-00002C070000}"/>
    <cellStyle name="Comma 2 2 2 2 3 3 2 2 6" xfId="14683" xr:uid="{00000000-0005-0000-0000-00002D070000}"/>
    <cellStyle name="Comma 2 2 2 2 3 3 2 2 6 2" xfId="37962" xr:uid="{00000000-0005-0000-0000-00002E070000}"/>
    <cellStyle name="Comma 2 2 2 2 3 3 2 2 7" xfId="18378" xr:uid="{00000000-0005-0000-0000-00002F070000}"/>
    <cellStyle name="Comma 2 2 2 2 3 3 2 2 7 2" xfId="41656" xr:uid="{00000000-0005-0000-0000-000030070000}"/>
    <cellStyle name="Comma 2 2 2 2 3 3 2 2 8" xfId="25722" xr:uid="{00000000-0005-0000-0000-000031070000}"/>
    <cellStyle name="Comma 2 2 2 2 3 3 2 2 9" xfId="46552" xr:uid="{00000000-0005-0000-0000-000032070000}"/>
    <cellStyle name="Comma 2 2 2 2 3 3 2 3" xfId="3667" xr:uid="{00000000-0005-0000-0000-000033070000}"/>
    <cellStyle name="Comma 2 2 2 2 3 3 2 3 2" xfId="17154" xr:uid="{00000000-0005-0000-0000-000034070000}"/>
    <cellStyle name="Comma 2 2 2 2 3 3 2 3 2 2" xfId="40432" xr:uid="{00000000-0005-0000-0000-000035070000}"/>
    <cellStyle name="Comma 2 2 2 2 3 3 2 3 3" xfId="47776" xr:uid="{00000000-0005-0000-0000-000036070000}"/>
    <cellStyle name="Comma 2 2 2 2 3 3 2 3 4" xfId="26946" xr:uid="{00000000-0005-0000-0000-000037070000}"/>
    <cellStyle name="Comma 2 2 2 2 3 3 2 4" xfId="6115" xr:uid="{00000000-0005-0000-0000-000038070000}"/>
    <cellStyle name="Comma 2 2 2 2 3 3 2 4 2" xfId="19602" xr:uid="{00000000-0005-0000-0000-000039070000}"/>
    <cellStyle name="Comma 2 2 2 2 3 3 2 4 2 2" xfId="42880" xr:uid="{00000000-0005-0000-0000-00003A070000}"/>
    <cellStyle name="Comma 2 2 2 2 3 3 2 4 3" xfId="29394" xr:uid="{00000000-0005-0000-0000-00003B070000}"/>
    <cellStyle name="Comma 2 2 2 2 3 3 2 5" xfId="8563" xr:uid="{00000000-0005-0000-0000-00003C070000}"/>
    <cellStyle name="Comma 2 2 2 2 3 3 2 5 2" xfId="31842" xr:uid="{00000000-0005-0000-0000-00003D070000}"/>
    <cellStyle name="Comma 2 2 2 2 3 3 2 6" xfId="11011" xr:uid="{00000000-0005-0000-0000-00003E070000}"/>
    <cellStyle name="Comma 2 2 2 2 3 3 2 6 2" xfId="34290" xr:uid="{00000000-0005-0000-0000-00003F070000}"/>
    <cellStyle name="Comma 2 2 2 2 3 3 2 7" xfId="13459" xr:uid="{00000000-0005-0000-0000-000040070000}"/>
    <cellStyle name="Comma 2 2 2 2 3 3 2 7 2" xfId="36738" xr:uid="{00000000-0005-0000-0000-000041070000}"/>
    <cellStyle name="Comma 2 2 2 2 3 3 2 8" xfId="15930" xr:uid="{00000000-0005-0000-0000-000042070000}"/>
    <cellStyle name="Comma 2 2 2 2 3 3 2 8 2" xfId="39208" xr:uid="{00000000-0005-0000-0000-000043070000}"/>
    <cellStyle name="Comma 2 2 2 2 3 3 2 9" xfId="24498" xr:uid="{00000000-0005-0000-0000-000044070000}"/>
    <cellStyle name="Comma 2 2 2 2 3 3 3" xfId="1831" xr:uid="{00000000-0005-0000-0000-000045070000}"/>
    <cellStyle name="Comma 2 2 2 2 3 3 3 10" xfId="22662" xr:uid="{00000000-0005-0000-0000-000046070000}"/>
    <cellStyle name="Comma 2 2 2 2 3 3 3 2" xfId="4279" xr:uid="{00000000-0005-0000-0000-000047070000}"/>
    <cellStyle name="Comma 2 2 2 2 3 3 3 2 2" xfId="20214" xr:uid="{00000000-0005-0000-0000-000048070000}"/>
    <cellStyle name="Comma 2 2 2 2 3 3 3 2 2 2" xfId="43492" xr:uid="{00000000-0005-0000-0000-000049070000}"/>
    <cellStyle name="Comma 2 2 2 2 3 3 3 2 3" xfId="48388" xr:uid="{00000000-0005-0000-0000-00004A070000}"/>
    <cellStyle name="Comma 2 2 2 2 3 3 3 2 4" xfId="27558" xr:uid="{00000000-0005-0000-0000-00004B070000}"/>
    <cellStyle name="Comma 2 2 2 2 3 3 3 3" xfId="6727" xr:uid="{00000000-0005-0000-0000-00004C070000}"/>
    <cellStyle name="Comma 2 2 2 2 3 3 3 3 2" xfId="30006" xr:uid="{00000000-0005-0000-0000-00004D070000}"/>
    <cellStyle name="Comma 2 2 2 2 3 3 3 4" xfId="9175" xr:uid="{00000000-0005-0000-0000-00004E070000}"/>
    <cellStyle name="Comma 2 2 2 2 3 3 3 4 2" xfId="32454" xr:uid="{00000000-0005-0000-0000-00004F070000}"/>
    <cellStyle name="Comma 2 2 2 2 3 3 3 5" xfId="11623" xr:uid="{00000000-0005-0000-0000-000050070000}"/>
    <cellStyle name="Comma 2 2 2 2 3 3 3 5 2" xfId="34902" xr:uid="{00000000-0005-0000-0000-000051070000}"/>
    <cellStyle name="Comma 2 2 2 2 3 3 3 6" xfId="14071" xr:uid="{00000000-0005-0000-0000-000052070000}"/>
    <cellStyle name="Comma 2 2 2 2 3 3 3 6 2" xfId="37350" xr:uid="{00000000-0005-0000-0000-000053070000}"/>
    <cellStyle name="Comma 2 2 2 2 3 3 3 7" xfId="17766" xr:uid="{00000000-0005-0000-0000-000054070000}"/>
    <cellStyle name="Comma 2 2 2 2 3 3 3 7 2" xfId="41044" xr:uid="{00000000-0005-0000-0000-000055070000}"/>
    <cellStyle name="Comma 2 2 2 2 3 3 3 8" xfId="25110" xr:uid="{00000000-0005-0000-0000-000056070000}"/>
    <cellStyle name="Comma 2 2 2 2 3 3 3 9" xfId="45940" xr:uid="{00000000-0005-0000-0000-000057070000}"/>
    <cellStyle name="Comma 2 2 2 2 3 3 4" xfId="3055" xr:uid="{00000000-0005-0000-0000-000058070000}"/>
    <cellStyle name="Comma 2 2 2 2 3 3 4 2" xfId="16542" xr:uid="{00000000-0005-0000-0000-000059070000}"/>
    <cellStyle name="Comma 2 2 2 2 3 3 4 2 2" xfId="39820" xr:uid="{00000000-0005-0000-0000-00005A070000}"/>
    <cellStyle name="Comma 2 2 2 2 3 3 4 3" xfId="47164" xr:uid="{00000000-0005-0000-0000-00005B070000}"/>
    <cellStyle name="Comma 2 2 2 2 3 3 4 4" xfId="26334" xr:uid="{00000000-0005-0000-0000-00005C070000}"/>
    <cellStyle name="Comma 2 2 2 2 3 3 5" xfId="5503" xr:uid="{00000000-0005-0000-0000-00005D070000}"/>
    <cellStyle name="Comma 2 2 2 2 3 3 5 2" xfId="18990" xr:uid="{00000000-0005-0000-0000-00005E070000}"/>
    <cellStyle name="Comma 2 2 2 2 3 3 5 2 2" xfId="42268" xr:uid="{00000000-0005-0000-0000-00005F070000}"/>
    <cellStyle name="Comma 2 2 2 2 3 3 5 3" xfId="28782" xr:uid="{00000000-0005-0000-0000-000060070000}"/>
    <cellStyle name="Comma 2 2 2 2 3 3 6" xfId="7951" xr:uid="{00000000-0005-0000-0000-000061070000}"/>
    <cellStyle name="Comma 2 2 2 2 3 3 6 2" xfId="31230" xr:uid="{00000000-0005-0000-0000-000062070000}"/>
    <cellStyle name="Comma 2 2 2 2 3 3 7" xfId="10399" xr:uid="{00000000-0005-0000-0000-000063070000}"/>
    <cellStyle name="Comma 2 2 2 2 3 3 7 2" xfId="33678" xr:uid="{00000000-0005-0000-0000-000064070000}"/>
    <cellStyle name="Comma 2 2 2 2 3 3 8" xfId="12847" xr:uid="{00000000-0005-0000-0000-000065070000}"/>
    <cellStyle name="Comma 2 2 2 2 3 3 8 2" xfId="36126" xr:uid="{00000000-0005-0000-0000-000066070000}"/>
    <cellStyle name="Comma 2 2 2 2 3 3 9" xfId="15318" xr:uid="{00000000-0005-0000-0000-000067070000}"/>
    <cellStyle name="Comma 2 2 2 2 3 3 9 2" xfId="38596" xr:uid="{00000000-0005-0000-0000-000068070000}"/>
    <cellStyle name="Comma 2 2 2 2 3 4" xfId="811" xr:uid="{00000000-0005-0000-0000-000069070000}"/>
    <cellStyle name="Comma 2 2 2 2 3 4 10" xfId="44920" xr:uid="{00000000-0005-0000-0000-00006A070000}"/>
    <cellStyle name="Comma 2 2 2 2 3 4 11" xfId="21642" xr:uid="{00000000-0005-0000-0000-00006B070000}"/>
    <cellStyle name="Comma 2 2 2 2 3 4 2" xfId="2035" xr:uid="{00000000-0005-0000-0000-00006C070000}"/>
    <cellStyle name="Comma 2 2 2 2 3 4 2 10" xfId="22866" xr:uid="{00000000-0005-0000-0000-00006D070000}"/>
    <cellStyle name="Comma 2 2 2 2 3 4 2 2" xfId="4483" xr:uid="{00000000-0005-0000-0000-00006E070000}"/>
    <cellStyle name="Comma 2 2 2 2 3 4 2 2 2" xfId="20418" xr:uid="{00000000-0005-0000-0000-00006F070000}"/>
    <cellStyle name="Comma 2 2 2 2 3 4 2 2 2 2" xfId="43696" xr:uid="{00000000-0005-0000-0000-000070070000}"/>
    <cellStyle name="Comma 2 2 2 2 3 4 2 2 3" xfId="48592" xr:uid="{00000000-0005-0000-0000-000071070000}"/>
    <cellStyle name="Comma 2 2 2 2 3 4 2 2 4" xfId="27762" xr:uid="{00000000-0005-0000-0000-000072070000}"/>
    <cellStyle name="Comma 2 2 2 2 3 4 2 3" xfId="6931" xr:uid="{00000000-0005-0000-0000-000073070000}"/>
    <cellStyle name="Comma 2 2 2 2 3 4 2 3 2" xfId="30210" xr:uid="{00000000-0005-0000-0000-000074070000}"/>
    <cellStyle name="Comma 2 2 2 2 3 4 2 4" xfId="9379" xr:uid="{00000000-0005-0000-0000-000075070000}"/>
    <cellStyle name="Comma 2 2 2 2 3 4 2 4 2" xfId="32658" xr:uid="{00000000-0005-0000-0000-000076070000}"/>
    <cellStyle name="Comma 2 2 2 2 3 4 2 5" xfId="11827" xr:uid="{00000000-0005-0000-0000-000077070000}"/>
    <cellStyle name="Comma 2 2 2 2 3 4 2 5 2" xfId="35106" xr:uid="{00000000-0005-0000-0000-000078070000}"/>
    <cellStyle name="Comma 2 2 2 2 3 4 2 6" xfId="14275" xr:uid="{00000000-0005-0000-0000-000079070000}"/>
    <cellStyle name="Comma 2 2 2 2 3 4 2 6 2" xfId="37554" xr:uid="{00000000-0005-0000-0000-00007A070000}"/>
    <cellStyle name="Comma 2 2 2 2 3 4 2 7" xfId="17970" xr:uid="{00000000-0005-0000-0000-00007B070000}"/>
    <cellStyle name="Comma 2 2 2 2 3 4 2 7 2" xfId="41248" xr:uid="{00000000-0005-0000-0000-00007C070000}"/>
    <cellStyle name="Comma 2 2 2 2 3 4 2 8" xfId="25314" xr:uid="{00000000-0005-0000-0000-00007D070000}"/>
    <cellStyle name="Comma 2 2 2 2 3 4 2 9" xfId="46144" xr:uid="{00000000-0005-0000-0000-00007E070000}"/>
    <cellStyle name="Comma 2 2 2 2 3 4 3" xfId="3259" xr:uid="{00000000-0005-0000-0000-00007F070000}"/>
    <cellStyle name="Comma 2 2 2 2 3 4 3 2" xfId="16746" xr:uid="{00000000-0005-0000-0000-000080070000}"/>
    <cellStyle name="Comma 2 2 2 2 3 4 3 2 2" xfId="40024" xr:uid="{00000000-0005-0000-0000-000081070000}"/>
    <cellStyle name="Comma 2 2 2 2 3 4 3 3" xfId="47368" xr:uid="{00000000-0005-0000-0000-000082070000}"/>
    <cellStyle name="Comma 2 2 2 2 3 4 3 4" xfId="26538" xr:uid="{00000000-0005-0000-0000-000083070000}"/>
    <cellStyle name="Comma 2 2 2 2 3 4 4" xfId="5707" xr:uid="{00000000-0005-0000-0000-000084070000}"/>
    <cellStyle name="Comma 2 2 2 2 3 4 4 2" xfId="19194" xr:uid="{00000000-0005-0000-0000-000085070000}"/>
    <cellStyle name="Comma 2 2 2 2 3 4 4 2 2" xfId="42472" xr:uid="{00000000-0005-0000-0000-000086070000}"/>
    <cellStyle name="Comma 2 2 2 2 3 4 4 3" xfId="28986" xr:uid="{00000000-0005-0000-0000-000087070000}"/>
    <cellStyle name="Comma 2 2 2 2 3 4 5" xfId="8155" xr:uid="{00000000-0005-0000-0000-000088070000}"/>
    <cellStyle name="Comma 2 2 2 2 3 4 5 2" xfId="31434" xr:uid="{00000000-0005-0000-0000-000089070000}"/>
    <cellStyle name="Comma 2 2 2 2 3 4 6" xfId="10603" xr:uid="{00000000-0005-0000-0000-00008A070000}"/>
    <cellStyle name="Comma 2 2 2 2 3 4 6 2" xfId="33882" xr:uid="{00000000-0005-0000-0000-00008B070000}"/>
    <cellStyle name="Comma 2 2 2 2 3 4 7" xfId="13051" xr:uid="{00000000-0005-0000-0000-00008C070000}"/>
    <cellStyle name="Comma 2 2 2 2 3 4 7 2" xfId="36330" xr:uid="{00000000-0005-0000-0000-00008D070000}"/>
    <cellStyle name="Comma 2 2 2 2 3 4 8" xfId="15522" xr:uid="{00000000-0005-0000-0000-00008E070000}"/>
    <cellStyle name="Comma 2 2 2 2 3 4 8 2" xfId="38800" xr:uid="{00000000-0005-0000-0000-00008F070000}"/>
    <cellStyle name="Comma 2 2 2 2 3 4 9" xfId="24090" xr:uid="{00000000-0005-0000-0000-000090070000}"/>
    <cellStyle name="Comma 2 2 2 2 3 5" xfId="1423" xr:uid="{00000000-0005-0000-0000-000091070000}"/>
    <cellStyle name="Comma 2 2 2 2 3 5 10" xfId="22254" xr:uid="{00000000-0005-0000-0000-000092070000}"/>
    <cellStyle name="Comma 2 2 2 2 3 5 2" xfId="3871" xr:uid="{00000000-0005-0000-0000-000093070000}"/>
    <cellStyle name="Comma 2 2 2 2 3 5 2 2" xfId="19806" xr:uid="{00000000-0005-0000-0000-000094070000}"/>
    <cellStyle name="Comma 2 2 2 2 3 5 2 2 2" xfId="43084" xr:uid="{00000000-0005-0000-0000-000095070000}"/>
    <cellStyle name="Comma 2 2 2 2 3 5 2 3" xfId="47980" xr:uid="{00000000-0005-0000-0000-000096070000}"/>
    <cellStyle name="Comma 2 2 2 2 3 5 2 4" xfId="27150" xr:uid="{00000000-0005-0000-0000-000097070000}"/>
    <cellStyle name="Comma 2 2 2 2 3 5 3" xfId="6319" xr:uid="{00000000-0005-0000-0000-000098070000}"/>
    <cellStyle name="Comma 2 2 2 2 3 5 3 2" xfId="29598" xr:uid="{00000000-0005-0000-0000-000099070000}"/>
    <cellStyle name="Comma 2 2 2 2 3 5 4" xfId="8767" xr:uid="{00000000-0005-0000-0000-00009A070000}"/>
    <cellStyle name="Comma 2 2 2 2 3 5 4 2" xfId="32046" xr:uid="{00000000-0005-0000-0000-00009B070000}"/>
    <cellStyle name="Comma 2 2 2 2 3 5 5" xfId="11215" xr:uid="{00000000-0005-0000-0000-00009C070000}"/>
    <cellStyle name="Comma 2 2 2 2 3 5 5 2" xfId="34494" xr:uid="{00000000-0005-0000-0000-00009D070000}"/>
    <cellStyle name="Comma 2 2 2 2 3 5 6" xfId="13663" xr:uid="{00000000-0005-0000-0000-00009E070000}"/>
    <cellStyle name="Comma 2 2 2 2 3 5 6 2" xfId="36942" xr:uid="{00000000-0005-0000-0000-00009F070000}"/>
    <cellStyle name="Comma 2 2 2 2 3 5 7" xfId="17358" xr:uid="{00000000-0005-0000-0000-0000A0070000}"/>
    <cellStyle name="Comma 2 2 2 2 3 5 7 2" xfId="40636" xr:uid="{00000000-0005-0000-0000-0000A1070000}"/>
    <cellStyle name="Comma 2 2 2 2 3 5 8" xfId="24702" xr:uid="{00000000-0005-0000-0000-0000A2070000}"/>
    <cellStyle name="Comma 2 2 2 2 3 5 9" xfId="45532" xr:uid="{00000000-0005-0000-0000-0000A3070000}"/>
    <cellStyle name="Comma 2 2 2 2 3 6" xfId="2647" xr:uid="{00000000-0005-0000-0000-0000A4070000}"/>
    <cellStyle name="Comma 2 2 2 2 3 6 2" xfId="16134" xr:uid="{00000000-0005-0000-0000-0000A5070000}"/>
    <cellStyle name="Comma 2 2 2 2 3 6 2 2" xfId="39412" xr:uid="{00000000-0005-0000-0000-0000A6070000}"/>
    <cellStyle name="Comma 2 2 2 2 3 6 3" xfId="46756" xr:uid="{00000000-0005-0000-0000-0000A7070000}"/>
    <cellStyle name="Comma 2 2 2 2 3 6 4" xfId="25926" xr:uid="{00000000-0005-0000-0000-0000A8070000}"/>
    <cellStyle name="Comma 2 2 2 2 3 7" xfId="5095" xr:uid="{00000000-0005-0000-0000-0000A9070000}"/>
    <cellStyle name="Comma 2 2 2 2 3 7 2" xfId="18582" xr:uid="{00000000-0005-0000-0000-0000AA070000}"/>
    <cellStyle name="Comma 2 2 2 2 3 7 2 2" xfId="41860" xr:uid="{00000000-0005-0000-0000-0000AB070000}"/>
    <cellStyle name="Comma 2 2 2 2 3 7 3" xfId="28374" xr:uid="{00000000-0005-0000-0000-0000AC070000}"/>
    <cellStyle name="Comma 2 2 2 2 3 8" xfId="7543" xr:uid="{00000000-0005-0000-0000-0000AD070000}"/>
    <cellStyle name="Comma 2 2 2 2 3 8 2" xfId="30822" xr:uid="{00000000-0005-0000-0000-0000AE070000}"/>
    <cellStyle name="Comma 2 2 2 2 3 9" xfId="9991" xr:uid="{00000000-0005-0000-0000-0000AF070000}"/>
    <cellStyle name="Comma 2 2 2 2 3 9 2" xfId="33270" xr:uid="{00000000-0005-0000-0000-0000B0070000}"/>
    <cellStyle name="Comma 2 2 2 2 4" xfId="267" xr:uid="{00000000-0005-0000-0000-0000B1070000}"/>
    <cellStyle name="Comma 2 2 2 2 4 10" xfId="23546" xr:uid="{00000000-0005-0000-0000-0000B2070000}"/>
    <cellStyle name="Comma 2 2 2 2 4 11" xfId="44376" xr:uid="{00000000-0005-0000-0000-0000B3070000}"/>
    <cellStyle name="Comma 2 2 2 2 4 12" xfId="21098" xr:uid="{00000000-0005-0000-0000-0000B4070000}"/>
    <cellStyle name="Comma 2 2 2 2 4 2" xfId="879" xr:uid="{00000000-0005-0000-0000-0000B5070000}"/>
    <cellStyle name="Comma 2 2 2 2 4 2 10" xfId="44988" xr:uid="{00000000-0005-0000-0000-0000B6070000}"/>
    <cellStyle name="Comma 2 2 2 2 4 2 11" xfId="21710" xr:uid="{00000000-0005-0000-0000-0000B7070000}"/>
    <cellStyle name="Comma 2 2 2 2 4 2 2" xfId="2103" xr:uid="{00000000-0005-0000-0000-0000B8070000}"/>
    <cellStyle name="Comma 2 2 2 2 4 2 2 10" xfId="22934" xr:uid="{00000000-0005-0000-0000-0000B9070000}"/>
    <cellStyle name="Comma 2 2 2 2 4 2 2 2" xfId="4551" xr:uid="{00000000-0005-0000-0000-0000BA070000}"/>
    <cellStyle name="Comma 2 2 2 2 4 2 2 2 2" xfId="20486" xr:uid="{00000000-0005-0000-0000-0000BB070000}"/>
    <cellStyle name="Comma 2 2 2 2 4 2 2 2 2 2" xfId="43764" xr:uid="{00000000-0005-0000-0000-0000BC070000}"/>
    <cellStyle name="Comma 2 2 2 2 4 2 2 2 3" xfId="48660" xr:uid="{00000000-0005-0000-0000-0000BD070000}"/>
    <cellStyle name="Comma 2 2 2 2 4 2 2 2 4" xfId="27830" xr:uid="{00000000-0005-0000-0000-0000BE070000}"/>
    <cellStyle name="Comma 2 2 2 2 4 2 2 3" xfId="6999" xr:uid="{00000000-0005-0000-0000-0000BF070000}"/>
    <cellStyle name="Comma 2 2 2 2 4 2 2 3 2" xfId="30278" xr:uid="{00000000-0005-0000-0000-0000C0070000}"/>
    <cellStyle name="Comma 2 2 2 2 4 2 2 4" xfId="9447" xr:uid="{00000000-0005-0000-0000-0000C1070000}"/>
    <cellStyle name="Comma 2 2 2 2 4 2 2 4 2" xfId="32726" xr:uid="{00000000-0005-0000-0000-0000C2070000}"/>
    <cellStyle name="Comma 2 2 2 2 4 2 2 5" xfId="11895" xr:uid="{00000000-0005-0000-0000-0000C3070000}"/>
    <cellStyle name="Comma 2 2 2 2 4 2 2 5 2" xfId="35174" xr:uid="{00000000-0005-0000-0000-0000C4070000}"/>
    <cellStyle name="Comma 2 2 2 2 4 2 2 6" xfId="14343" xr:uid="{00000000-0005-0000-0000-0000C5070000}"/>
    <cellStyle name="Comma 2 2 2 2 4 2 2 6 2" xfId="37622" xr:uid="{00000000-0005-0000-0000-0000C6070000}"/>
    <cellStyle name="Comma 2 2 2 2 4 2 2 7" xfId="18038" xr:uid="{00000000-0005-0000-0000-0000C7070000}"/>
    <cellStyle name="Comma 2 2 2 2 4 2 2 7 2" xfId="41316" xr:uid="{00000000-0005-0000-0000-0000C8070000}"/>
    <cellStyle name="Comma 2 2 2 2 4 2 2 8" xfId="25382" xr:uid="{00000000-0005-0000-0000-0000C9070000}"/>
    <cellStyle name="Comma 2 2 2 2 4 2 2 9" xfId="46212" xr:uid="{00000000-0005-0000-0000-0000CA070000}"/>
    <cellStyle name="Comma 2 2 2 2 4 2 3" xfId="3327" xr:uid="{00000000-0005-0000-0000-0000CB070000}"/>
    <cellStyle name="Comma 2 2 2 2 4 2 3 2" xfId="16814" xr:uid="{00000000-0005-0000-0000-0000CC070000}"/>
    <cellStyle name="Comma 2 2 2 2 4 2 3 2 2" xfId="40092" xr:uid="{00000000-0005-0000-0000-0000CD070000}"/>
    <cellStyle name="Comma 2 2 2 2 4 2 3 3" xfId="47436" xr:uid="{00000000-0005-0000-0000-0000CE070000}"/>
    <cellStyle name="Comma 2 2 2 2 4 2 3 4" xfId="26606" xr:uid="{00000000-0005-0000-0000-0000CF070000}"/>
    <cellStyle name="Comma 2 2 2 2 4 2 4" xfId="5775" xr:uid="{00000000-0005-0000-0000-0000D0070000}"/>
    <cellStyle name="Comma 2 2 2 2 4 2 4 2" xfId="19262" xr:uid="{00000000-0005-0000-0000-0000D1070000}"/>
    <cellStyle name="Comma 2 2 2 2 4 2 4 2 2" xfId="42540" xr:uid="{00000000-0005-0000-0000-0000D2070000}"/>
    <cellStyle name="Comma 2 2 2 2 4 2 4 3" xfId="29054" xr:uid="{00000000-0005-0000-0000-0000D3070000}"/>
    <cellStyle name="Comma 2 2 2 2 4 2 5" xfId="8223" xr:uid="{00000000-0005-0000-0000-0000D4070000}"/>
    <cellStyle name="Comma 2 2 2 2 4 2 5 2" xfId="31502" xr:uid="{00000000-0005-0000-0000-0000D5070000}"/>
    <cellStyle name="Comma 2 2 2 2 4 2 6" xfId="10671" xr:uid="{00000000-0005-0000-0000-0000D6070000}"/>
    <cellStyle name="Comma 2 2 2 2 4 2 6 2" xfId="33950" xr:uid="{00000000-0005-0000-0000-0000D7070000}"/>
    <cellStyle name="Comma 2 2 2 2 4 2 7" xfId="13119" xr:uid="{00000000-0005-0000-0000-0000D8070000}"/>
    <cellStyle name="Comma 2 2 2 2 4 2 7 2" xfId="36398" xr:uid="{00000000-0005-0000-0000-0000D9070000}"/>
    <cellStyle name="Comma 2 2 2 2 4 2 8" xfId="15590" xr:uid="{00000000-0005-0000-0000-0000DA070000}"/>
    <cellStyle name="Comma 2 2 2 2 4 2 8 2" xfId="38868" xr:uid="{00000000-0005-0000-0000-0000DB070000}"/>
    <cellStyle name="Comma 2 2 2 2 4 2 9" xfId="24158" xr:uid="{00000000-0005-0000-0000-0000DC070000}"/>
    <cellStyle name="Comma 2 2 2 2 4 3" xfId="1491" xr:uid="{00000000-0005-0000-0000-0000DD070000}"/>
    <cellStyle name="Comma 2 2 2 2 4 3 10" xfId="22322" xr:uid="{00000000-0005-0000-0000-0000DE070000}"/>
    <cellStyle name="Comma 2 2 2 2 4 3 2" xfId="3939" xr:uid="{00000000-0005-0000-0000-0000DF070000}"/>
    <cellStyle name="Comma 2 2 2 2 4 3 2 2" xfId="19874" xr:uid="{00000000-0005-0000-0000-0000E0070000}"/>
    <cellStyle name="Comma 2 2 2 2 4 3 2 2 2" xfId="43152" xr:uid="{00000000-0005-0000-0000-0000E1070000}"/>
    <cellStyle name="Comma 2 2 2 2 4 3 2 3" xfId="48048" xr:uid="{00000000-0005-0000-0000-0000E2070000}"/>
    <cellStyle name="Comma 2 2 2 2 4 3 2 4" xfId="27218" xr:uid="{00000000-0005-0000-0000-0000E3070000}"/>
    <cellStyle name="Comma 2 2 2 2 4 3 3" xfId="6387" xr:uid="{00000000-0005-0000-0000-0000E4070000}"/>
    <cellStyle name="Comma 2 2 2 2 4 3 3 2" xfId="29666" xr:uid="{00000000-0005-0000-0000-0000E5070000}"/>
    <cellStyle name="Comma 2 2 2 2 4 3 4" xfId="8835" xr:uid="{00000000-0005-0000-0000-0000E6070000}"/>
    <cellStyle name="Comma 2 2 2 2 4 3 4 2" xfId="32114" xr:uid="{00000000-0005-0000-0000-0000E7070000}"/>
    <cellStyle name="Comma 2 2 2 2 4 3 5" xfId="11283" xr:uid="{00000000-0005-0000-0000-0000E8070000}"/>
    <cellStyle name="Comma 2 2 2 2 4 3 5 2" xfId="34562" xr:uid="{00000000-0005-0000-0000-0000E9070000}"/>
    <cellStyle name="Comma 2 2 2 2 4 3 6" xfId="13731" xr:uid="{00000000-0005-0000-0000-0000EA070000}"/>
    <cellStyle name="Comma 2 2 2 2 4 3 6 2" xfId="37010" xr:uid="{00000000-0005-0000-0000-0000EB070000}"/>
    <cellStyle name="Comma 2 2 2 2 4 3 7" xfId="17426" xr:uid="{00000000-0005-0000-0000-0000EC070000}"/>
    <cellStyle name="Comma 2 2 2 2 4 3 7 2" xfId="40704" xr:uid="{00000000-0005-0000-0000-0000ED070000}"/>
    <cellStyle name="Comma 2 2 2 2 4 3 8" xfId="24770" xr:uid="{00000000-0005-0000-0000-0000EE070000}"/>
    <cellStyle name="Comma 2 2 2 2 4 3 9" xfId="45600" xr:uid="{00000000-0005-0000-0000-0000EF070000}"/>
    <cellStyle name="Comma 2 2 2 2 4 4" xfId="2715" xr:uid="{00000000-0005-0000-0000-0000F0070000}"/>
    <cellStyle name="Comma 2 2 2 2 4 4 2" xfId="16202" xr:uid="{00000000-0005-0000-0000-0000F1070000}"/>
    <cellStyle name="Comma 2 2 2 2 4 4 2 2" xfId="39480" xr:uid="{00000000-0005-0000-0000-0000F2070000}"/>
    <cellStyle name="Comma 2 2 2 2 4 4 3" xfId="46824" xr:uid="{00000000-0005-0000-0000-0000F3070000}"/>
    <cellStyle name="Comma 2 2 2 2 4 4 4" xfId="25994" xr:uid="{00000000-0005-0000-0000-0000F4070000}"/>
    <cellStyle name="Comma 2 2 2 2 4 5" xfId="5163" xr:uid="{00000000-0005-0000-0000-0000F5070000}"/>
    <cellStyle name="Comma 2 2 2 2 4 5 2" xfId="18650" xr:uid="{00000000-0005-0000-0000-0000F6070000}"/>
    <cellStyle name="Comma 2 2 2 2 4 5 2 2" xfId="41928" xr:uid="{00000000-0005-0000-0000-0000F7070000}"/>
    <cellStyle name="Comma 2 2 2 2 4 5 3" xfId="28442" xr:uid="{00000000-0005-0000-0000-0000F8070000}"/>
    <cellStyle name="Comma 2 2 2 2 4 6" xfId="7611" xr:uid="{00000000-0005-0000-0000-0000F9070000}"/>
    <cellStyle name="Comma 2 2 2 2 4 6 2" xfId="30890" xr:uid="{00000000-0005-0000-0000-0000FA070000}"/>
    <cellStyle name="Comma 2 2 2 2 4 7" xfId="10059" xr:uid="{00000000-0005-0000-0000-0000FB070000}"/>
    <cellStyle name="Comma 2 2 2 2 4 7 2" xfId="33338" xr:uid="{00000000-0005-0000-0000-0000FC070000}"/>
    <cellStyle name="Comma 2 2 2 2 4 8" xfId="12507" xr:uid="{00000000-0005-0000-0000-0000FD070000}"/>
    <cellStyle name="Comma 2 2 2 2 4 8 2" xfId="35786" xr:uid="{00000000-0005-0000-0000-0000FE070000}"/>
    <cellStyle name="Comma 2 2 2 2 4 9" xfId="14978" xr:uid="{00000000-0005-0000-0000-0000FF070000}"/>
    <cellStyle name="Comma 2 2 2 2 4 9 2" xfId="38256" xr:uid="{00000000-0005-0000-0000-000000080000}"/>
    <cellStyle name="Comma 2 2 2 2 5" xfId="471" xr:uid="{00000000-0005-0000-0000-000001080000}"/>
    <cellStyle name="Comma 2 2 2 2 5 10" xfId="23750" xr:uid="{00000000-0005-0000-0000-000002080000}"/>
    <cellStyle name="Comma 2 2 2 2 5 11" xfId="44580" xr:uid="{00000000-0005-0000-0000-000003080000}"/>
    <cellStyle name="Comma 2 2 2 2 5 12" xfId="21302" xr:uid="{00000000-0005-0000-0000-000004080000}"/>
    <cellStyle name="Comma 2 2 2 2 5 2" xfId="1083" xr:uid="{00000000-0005-0000-0000-000005080000}"/>
    <cellStyle name="Comma 2 2 2 2 5 2 10" xfId="45192" xr:uid="{00000000-0005-0000-0000-000006080000}"/>
    <cellStyle name="Comma 2 2 2 2 5 2 11" xfId="21914" xr:uid="{00000000-0005-0000-0000-000007080000}"/>
    <cellStyle name="Comma 2 2 2 2 5 2 2" xfId="2307" xr:uid="{00000000-0005-0000-0000-000008080000}"/>
    <cellStyle name="Comma 2 2 2 2 5 2 2 10" xfId="23138" xr:uid="{00000000-0005-0000-0000-000009080000}"/>
    <cellStyle name="Comma 2 2 2 2 5 2 2 2" xfId="4755" xr:uid="{00000000-0005-0000-0000-00000A080000}"/>
    <cellStyle name="Comma 2 2 2 2 5 2 2 2 2" xfId="20690" xr:uid="{00000000-0005-0000-0000-00000B080000}"/>
    <cellStyle name="Comma 2 2 2 2 5 2 2 2 2 2" xfId="43968" xr:uid="{00000000-0005-0000-0000-00000C080000}"/>
    <cellStyle name="Comma 2 2 2 2 5 2 2 2 3" xfId="48864" xr:uid="{00000000-0005-0000-0000-00000D080000}"/>
    <cellStyle name="Comma 2 2 2 2 5 2 2 2 4" xfId="28034" xr:uid="{00000000-0005-0000-0000-00000E080000}"/>
    <cellStyle name="Comma 2 2 2 2 5 2 2 3" xfId="7203" xr:uid="{00000000-0005-0000-0000-00000F080000}"/>
    <cellStyle name="Comma 2 2 2 2 5 2 2 3 2" xfId="30482" xr:uid="{00000000-0005-0000-0000-000010080000}"/>
    <cellStyle name="Comma 2 2 2 2 5 2 2 4" xfId="9651" xr:uid="{00000000-0005-0000-0000-000011080000}"/>
    <cellStyle name="Comma 2 2 2 2 5 2 2 4 2" xfId="32930" xr:uid="{00000000-0005-0000-0000-000012080000}"/>
    <cellStyle name="Comma 2 2 2 2 5 2 2 5" xfId="12099" xr:uid="{00000000-0005-0000-0000-000013080000}"/>
    <cellStyle name="Comma 2 2 2 2 5 2 2 5 2" xfId="35378" xr:uid="{00000000-0005-0000-0000-000014080000}"/>
    <cellStyle name="Comma 2 2 2 2 5 2 2 6" xfId="14547" xr:uid="{00000000-0005-0000-0000-000015080000}"/>
    <cellStyle name="Comma 2 2 2 2 5 2 2 6 2" xfId="37826" xr:uid="{00000000-0005-0000-0000-000016080000}"/>
    <cellStyle name="Comma 2 2 2 2 5 2 2 7" xfId="18242" xr:uid="{00000000-0005-0000-0000-000017080000}"/>
    <cellStyle name="Comma 2 2 2 2 5 2 2 7 2" xfId="41520" xr:uid="{00000000-0005-0000-0000-000018080000}"/>
    <cellStyle name="Comma 2 2 2 2 5 2 2 8" xfId="25586" xr:uid="{00000000-0005-0000-0000-000019080000}"/>
    <cellStyle name="Comma 2 2 2 2 5 2 2 9" xfId="46416" xr:uid="{00000000-0005-0000-0000-00001A080000}"/>
    <cellStyle name="Comma 2 2 2 2 5 2 3" xfId="3531" xr:uid="{00000000-0005-0000-0000-00001B080000}"/>
    <cellStyle name="Comma 2 2 2 2 5 2 3 2" xfId="17018" xr:uid="{00000000-0005-0000-0000-00001C080000}"/>
    <cellStyle name="Comma 2 2 2 2 5 2 3 2 2" xfId="40296" xr:uid="{00000000-0005-0000-0000-00001D080000}"/>
    <cellStyle name="Comma 2 2 2 2 5 2 3 3" xfId="47640" xr:uid="{00000000-0005-0000-0000-00001E080000}"/>
    <cellStyle name="Comma 2 2 2 2 5 2 3 4" xfId="26810" xr:uid="{00000000-0005-0000-0000-00001F080000}"/>
    <cellStyle name="Comma 2 2 2 2 5 2 4" xfId="5979" xr:uid="{00000000-0005-0000-0000-000020080000}"/>
    <cellStyle name="Comma 2 2 2 2 5 2 4 2" xfId="19466" xr:uid="{00000000-0005-0000-0000-000021080000}"/>
    <cellStyle name="Comma 2 2 2 2 5 2 4 2 2" xfId="42744" xr:uid="{00000000-0005-0000-0000-000022080000}"/>
    <cellStyle name="Comma 2 2 2 2 5 2 4 3" xfId="29258" xr:uid="{00000000-0005-0000-0000-000023080000}"/>
    <cellStyle name="Comma 2 2 2 2 5 2 5" xfId="8427" xr:uid="{00000000-0005-0000-0000-000024080000}"/>
    <cellStyle name="Comma 2 2 2 2 5 2 5 2" xfId="31706" xr:uid="{00000000-0005-0000-0000-000025080000}"/>
    <cellStyle name="Comma 2 2 2 2 5 2 6" xfId="10875" xr:uid="{00000000-0005-0000-0000-000026080000}"/>
    <cellStyle name="Comma 2 2 2 2 5 2 6 2" xfId="34154" xr:uid="{00000000-0005-0000-0000-000027080000}"/>
    <cellStyle name="Comma 2 2 2 2 5 2 7" xfId="13323" xr:uid="{00000000-0005-0000-0000-000028080000}"/>
    <cellStyle name="Comma 2 2 2 2 5 2 7 2" xfId="36602" xr:uid="{00000000-0005-0000-0000-000029080000}"/>
    <cellStyle name="Comma 2 2 2 2 5 2 8" xfId="15794" xr:uid="{00000000-0005-0000-0000-00002A080000}"/>
    <cellStyle name="Comma 2 2 2 2 5 2 8 2" xfId="39072" xr:uid="{00000000-0005-0000-0000-00002B080000}"/>
    <cellStyle name="Comma 2 2 2 2 5 2 9" xfId="24362" xr:uid="{00000000-0005-0000-0000-00002C080000}"/>
    <cellStyle name="Comma 2 2 2 2 5 3" xfId="1695" xr:uid="{00000000-0005-0000-0000-00002D080000}"/>
    <cellStyle name="Comma 2 2 2 2 5 3 10" xfId="22526" xr:uid="{00000000-0005-0000-0000-00002E080000}"/>
    <cellStyle name="Comma 2 2 2 2 5 3 2" xfId="4143" xr:uid="{00000000-0005-0000-0000-00002F080000}"/>
    <cellStyle name="Comma 2 2 2 2 5 3 2 2" xfId="20078" xr:uid="{00000000-0005-0000-0000-000030080000}"/>
    <cellStyle name="Comma 2 2 2 2 5 3 2 2 2" xfId="43356" xr:uid="{00000000-0005-0000-0000-000031080000}"/>
    <cellStyle name="Comma 2 2 2 2 5 3 2 3" xfId="48252" xr:uid="{00000000-0005-0000-0000-000032080000}"/>
    <cellStyle name="Comma 2 2 2 2 5 3 2 4" xfId="27422" xr:uid="{00000000-0005-0000-0000-000033080000}"/>
    <cellStyle name="Comma 2 2 2 2 5 3 3" xfId="6591" xr:uid="{00000000-0005-0000-0000-000034080000}"/>
    <cellStyle name="Comma 2 2 2 2 5 3 3 2" xfId="29870" xr:uid="{00000000-0005-0000-0000-000035080000}"/>
    <cellStyle name="Comma 2 2 2 2 5 3 4" xfId="9039" xr:uid="{00000000-0005-0000-0000-000036080000}"/>
    <cellStyle name="Comma 2 2 2 2 5 3 4 2" xfId="32318" xr:uid="{00000000-0005-0000-0000-000037080000}"/>
    <cellStyle name="Comma 2 2 2 2 5 3 5" xfId="11487" xr:uid="{00000000-0005-0000-0000-000038080000}"/>
    <cellStyle name="Comma 2 2 2 2 5 3 5 2" xfId="34766" xr:uid="{00000000-0005-0000-0000-000039080000}"/>
    <cellStyle name="Comma 2 2 2 2 5 3 6" xfId="13935" xr:uid="{00000000-0005-0000-0000-00003A080000}"/>
    <cellStyle name="Comma 2 2 2 2 5 3 6 2" xfId="37214" xr:uid="{00000000-0005-0000-0000-00003B080000}"/>
    <cellStyle name="Comma 2 2 2 2 5 3 7" xfId="17630" xr:uid="{00000000-0005-0000-0000-00003C080000}"/>
    <cellStyle name="Comma 2 2 2 2 5 3 7 2" xfId="40908" xr:uid="{00000000-0005-0000-0000-00003D080000}"/>
    <cellStyle name="Comma 2 2 2 2 5 3 8" xfId="24974" xr:uid="{00000000-0005-0000-0000-00003E080000}"/>
    <cellStyle name="Comma 2 2 2 2 5 3 9" xfId="45804" xr:uid="{00000000-0005-0000-0000-00003F080000}"/>
    <cellStyle name="Comma 2 2 2 2 5 4" xfId="2919" xr:uid="{00000000-0005-0000-0000-000040080000}"/>
    <cellStyle name="Comma 2 2 2 2 5 4 2" xfId="16406" xr:uid="{00000000-0005-0000-0000-000041080000}"/>
    <cellStyle name="Comma 2 2 2 2 5 4 2 2" xfId="39684" xr:uid="{00000000-0005-0000-0000-000042080000}"/>
    <cellStyle name="Comma 2 2 2 2 5 4 3" xfId="47028" xr:uid="{00000000-0005-0000-0000-000043080000}"/>
    <cellStyle name="Comma 2 2 2 2 5 4 4" xfId="26198" xr:uid="{00000000-0005-0000-0000-000044080000}"/>
    <cellStyle name="Comma 2 2 2 2 5 5" xfId="5367" xr:uid="{00000000-0005-0000-0000-000045080000}"/>
    <cellStyle name="Comma 2 2 2 2 5 5 2" xfId="18854" xr:uid="{00000000-0005-0000-0000-000046080000}"/>
    <cellStyle name="Comma 2 2 2 2 5 5 2 2" xfId="42132" xr:uid="{00000000-0005-0000-0000-000047080000}"/>
    <cellStyle name="Comma 2 2 2 2 5 5 3" xfId="28646" xr:uid="{00000000-0005-0000-0000-000048080000}"/>
    <cellStyle name="Comma 2 2 2 2 5 6" xfId="7815" xr:uid="{00000000-0005-0000-0000-000049080000}"/>
    <cellStyle name="Comma 2 2 2 2 5 6 2" xfId="31094" xr:uid="{00000000-0005-0000-0000-00004A080000}"/>
    <cellStyle name="Comma 2 2 2 2 5 7" xfId="10263" xr:uid="{00000000-0005-0000-0000-00004B080000}"/>
    <cellStyle name="Comma 2 2 2 2 5 7 2" xfId="33542" xr:uid="{00000000-0005-0000-0000-00004C080000}"/>
    <cellStyle name="Comma 2 2 2 2 5 8" xfId="12711" xr:uid="{00000000-0005-0000-0000-00004D080000}"/>
    <cellStyle name="Comma 2 2 2 2 5 8 2" xfId="35990" xr:uid="{00000000-0005-0000-0000-00004E080000}"/>
    <cellStyle name="Comma 2 2 2 2 5 9" xfId="15182" xr:uid="{00000000-0005-0000-0000-00004F080000}"/>
    <cellStyle name="Comma 2 2 2 2 5 9 2" xfId="38460" xr:uid="{00000000-0005-0000-0000-000050080000}"/>
    <cellStyle name="Comma 2 2 2 2 6" xfId="675" xr:uid="{00000000-0005-0000-0000-000051080000}"/>
    <cellStyle name="Comma 2 2 2 2 6 10" xfId="44784" xr:uid="{00000000-0005-0000-0000-000052080000}"/>
    <cellStyle name="Comma 2 2 2 2 6 11" xfId="21506" xr:uid="{00000000-0005-0000-0000-000053080000}"/>
    <cellStyle name="Comma 2 2 2 2 6 2" xfId="1899" xr:uid="{00000000-0005-0000-0000-000054080000}"/>
    <cellStyle name="Comma 2 2 2 2 6 2 10" xfId="22730" xr:uid="{00000000-0005-0000-0000-000055080000}"/>
    <cellStyle name="Comma 2 2 2 2 6 2 2" xfId="4347" xr:uid="{00000000-0005-0000-0000-000056080000}"/>
    <cellStyle name="Comma 2 2 2 2 6 2 2 2" xfId="20282" xr:uid="{00000000-0005-0000-0000-000057080000}"/>
    <cellStyle name="Comma 2 2 2 2 6 2 2 2 2" xfId="43560" xr:uid="{00000000-0005-0000-0000-000058080000}"/>
    <cellStyle name="Comma 2 2 2 2 6 2 2 3" xfId="48456" xr:uid="{00000000-0005-0000-0000-000059080000}"/>
    <cellStyle name="Comma 2 2 2 2 6 2 2 4" xfId="27626" xr:uid="{00000000-0005-0000-0000-00005A080000}"/>
    <cellStyle name="Comma 2 2 2 2 6 2 3" xfId="6795" xr:uid="{00000000-0005-0000-0000-00005B080000}"/>
    <cellStyle name="Comma 2 2 2 2 6 2 3 2" xfId="30074" xr:uid="{00000000-0005-0000-0000-00005C080000}"/>
    <cellStyle name="Comma 2 2 2 2 6 2 4" xfId="9243" xr:uid="{00000000-0005-0000-0000-00005D080000}"/>
    <cellStyle name="Comma 2 2 2 2 6 2 4 2" xfId="32522" xr:uid="{00000000-0005-0000-0000-00005E080000}"/>
    <cellStyle name="Comma 2 2 2 2 6 2 5" xfId="11691" xr:uid="{00000000-0005-0000-0000-00005F080000}"/>
    <cellStyle name="Comma 2 2 2 2 6 2 5 2" xfId="34970" xr:uid="{00000000-0005-0000-0000-000060080000}"/>
    <cellStyle name="Comma 2 2 2 2 6 2 6" xfId="14139" xr:uid="{00000000-0005-0000-0000-000061080000}"/>
    <cellStyle name="Comma 2 2 2 2 6 2 6 2" xfId="37418" xr:uid="{00000000-0005-0000-0000-000062080000}"/>
    <cellStyle name="Comma 2 2 2 2 6 2 7" xfId="17834" xr:uid="{00000000-0005-0000-0000-000063080000}"/>
    <cellStyle name="Comma 2 2 2 2 6 2 7 2" xfId="41112" xr:uid="{00000000-0005-0000-0000-000064080000}"/>
    <cellStyle name="Comma 2 2 2 2 6 2 8" xfId="25178" xr:uid="{00000000-0005-0000-0000-000065080000}"/>
    <cellStyle name="Comma 2 2 2 2 6 2 9" xfId="46008" xr:uid="{00000000-0005-0000-0000-000066080000}"/>
    <cellStyle name="Comma 2 2 2 2 6 3" xfId="3123" xr:uid="{00000000-0005-0000-0000-000067080000}"/>
    <cellStyle name="Comma 2 2 2 2 6 3 2" xfId="16610" xr:uid="{00000000-0005-0000-0000-000068080000}"/>
    <cellStyle name="Comma 2 2 2 2 6 3 2 2" xfId="39888" xr:uid="{00000000-0005-0000-0000-000069080000}"/>
    <cellStyle name="Comma 2 2 2 2 6 3 3" xfId="47232" xr:uid="{00000000-0005-0000-0000-00006A080000}"/>
    <cellStyle name="Comma 2 2 2 2 6 3 4" xfId="26402" xr:uid="{00000000-0005-0000-0000-00006B080000}"/>
    <cellStyle name="Comma 2 2 2 2 6 4" xfId="5571" xr:uid="{00000000-0005-0000-0000-00006C080000}"/>
    <cellStyle name="Comma 2 2 2 2 6 4 2" xfId="19058" xr:uid="{00000000-0005-0000-0000-00006D080000}"/>
    <cellStyle name="Comma 2 2 2 2 6 4 2 2" xfId="42336" xr:uid="{00000000-0005-0000-0000-00006E080000}"/>
    <cellStyle name="Comma 2 2 2 2 6 4 3" xfId="28850" xr:uid="{00000000-0005-0000-0000-00006F080000}"/>
    <cellStyle name="Comma 2 2 2 2 6 5" xfId="8019" xr:uid="{00000000-0005-0000-0000-000070080000}"/>
    <cellStyle name="Comma 2 2 2 2 6 5 2" xfId="31298" xr:uid="{00000000-0005-0000-0000-000071080000}"/>
    <cellStyle name="Comma 2 2 2 2 6 6" xfId="10467" xr:uid="{00000000-0005-0000-0000-000072080000}"/>
    <cellStyle name="Comma 2 2 2 2 6 6 2" xfId="33746" xr:uid="{00000000-0005-0000-0000-000073080000}"/>
    <cellStyle name="Comma 2 2 2 2 6 7" xfId="12915" xr:uid="{00000000-0005-0000-0000-000074080000}"/>
    <cellStyle name="Comma 2 2 2 2 6 7 2" xfId="36194" xr:uid="{00000000-0005-0000-0000-000075080000}"/>
    <cellStyle name="Comma 2 2 2 2 6 8" xfId="15386" xr:uid="{00000000-0005-0000-0000-000076080000}"/>
    <cellStyle name="Comma 2 2 2 2 6 8 2" xfId="38664" xr:uid="{00000000-0005-0000-0000-000077080000}"/>
    <cellStyle name="Comma 2 2 2 2 6 9" xfId="23954" xr:uid="{00000000-0005-0000-0000-000078080000}"/>
    <cellStyle name="Comma 2 2 2 2 7" xfId="1287" xr:uid="{00000000-0005-0000-0000-000079080000}"/>
    <cellStyle name="Comma 2 2 2 2 7 10" xfId="22118" xr:uid="{00000000-0005-0000-0000-00007A080000}"/>
    <cellStyle name="Comma 2 2 2 2 7 2" xfId="3735" xr:uid="{00000000-0005-0000-0000-00007B080000}"/>
    <cellStyle name="Comma 2 2 2 2 7 2 2" xfId="19670" xr:uid="{00000000-0005-0000-0000-00007C080000}"/>
    <cellStyle name="Comma 2 2 2 2 7 2 2 2" xfId="42948" xr:uid="{00000000-0005-0000-0000-00007D080000}"/>
    <cellStyle name="Comma 2 2 2 2 7 2 3" xfId="47844" xr:uid="{00000000-0005-0000-0000-00007E080000}"/>
    <cellStyle name="Comma 2 2 2 2 7 2 4" xfId="27014" xr:uid="{00000000-0005-0000-0000-00007F080000}"/>
    <cellStyle name="Comma 2 2 2 2 7 3" xfId="6183" xr:uid="{00000000-0005-0000-0000-000080080000}"/>
    <cellStyle name="Comma 2 2 2 2 7 3 2" xfId="29462" xr:uid="{00000000-0005-0000-0000-000081080000}"/>
    <cellStyle name="Comma 2 2 2 2 7 4" xfId="8631" xr:uid="{00000000-0005-0000-0000-000082080000}"/>
    <cellStyle name="Comma 2 2 2 2 7 4 2" xfId="31910" xr:uid="{00000000-0005-0000-0000-000083080000}"/>
    <cellStyle name="Comma 2 2 2 2 7 5" xfId="11079" xr:uid="{00000000-0005-0000-0000-000084080000}"/>
    <cellStyle name="Comma 2 2 2 2 7 5 2" xfId="34358" xr:uid="{00000000-0005-0000-0000-000085080000}"/>
    <cellStyle name="Comma 2 2 2 2 7 6" xfId="13527" xr:uid="{00000000-0005-0000-0000-000086080000}"/>
    <cellStyle name="Comma 2 2 2 2 7 6 2" xfId="36806" xr:uid="{00000000-0005-0000-0000-000087080000}"/>
    <cellStyle name="Comma 2 2 2 2 7 7" xfId="17222" xr:uid="{00000000-0005-0000-0000-000088080000}"/>
    <cellStyle name="Comma 2 2 2 2 7 7 2" xfId="40500" xr:uid="{00000000-0005-0000-0000-000089080000}"/>
    <cellStyle name="Comma 2 2 2 2 7 8" xfId="24566" xr:uid="{00000000-0005-0000-0000-00008A080000}"/>
    <cellStyle name="Comma 2 2 2 2 7 9" xfId="45396" xr:uid="{00000000-0005-0000-0000-00008B080000}"/>
    <cellStyle name="Comma 2 2 2 2 8" xfId="2511" xr:uid="{00000000-0005-0000-0000-00008C080000}"/>
    <cellStyle name="Comma 2 2 2 2 8 2" xfId="15998" xr:uid="{00000000-0005-0000-0000-00008D080000}"/>
    <cellStyle name="Comma 2 2 2 2 8 2 2" xfId="39276" xr:uid="{00000000-0005-0000-0000-00008E080000}"/>
    <cellStyle name="Comma 2 2 2 2 8 3" xfId="46620" xr:uid="{00000000-0005-0000-0000-00008F080000}"/>
    <cellStyle name="Comma 2 2 2 2 8 4" xfId="25790" xr:uid="{00000000-0005-0000-0000-000090080000}"/>
    <cellStyle name="Comma 2 2 2 2 9" xfId="4959" xr:uid="{00000000-0005-0000-0000-000091080000}"/>
    <cellStyle name="Comma 2 2 2 2 9 2" xfId="18446" xr:uid="{00000000-0005-0000-0000-000092080000}"/>
    <cellStyle name="Comma 2 2 2 2 9 2 2" xfId="41724" xr:uid="{00000000-0005-0000-0000-000093080000}"/>
    <cellStyle name="Comma 2 2 2 2 9 3" xfId="28238" xr:uid="{00000000-0005-0000-0000-000094080000}"/>
    <cellStyle name="Comma 2 2 2 20" xfId="49053" xr:uid="{00000000-0005-0000-0000-000095080000}"/>
    <cellStyle name="Comma 2 2 2 3" xfId="80" xr:uid="{00000000-0005-0000-0000-000096080000}"/>
    <cellStyle name="Comma 2 2 2 3 10" xfId="7424" xr:uid="{00000000-0005-0000-0000-000097080000}"/>
    <cellStyle name="Comma 2 2 2 3 10 2" xfId="30703" xr:uid="{00000000-0005-0000-0000-000098080000}"/>
    <cellStyle name="Comma 2 2 2 3 11" xfId="9872" xr:uid="{00000000-0005-0000-0000-000099080000}"/>
    <cellStyle name="Comma 2 2 2 3 11 2" xfId="33151" xr:uid="{00000000-0005-0000-0000-00009A080000}"/>
    <cellStyle name="Comma 2 2 2 3 12" xfId="12320" xr:uid="{00000000-0005-0000-0000-00009B080000}"/>
    <cellStyle name="Comma 2 2 2 3 12 2" xfId="35599" xr:uid="{00000000-0005-0000-0000-00009C080000}"/>
    <cellStyle name="Comma 2 2 2 3 13" xfId="14791" xr:uid="{00000000-0005-0000-0000-00009D080000}"/>
    <cellStyle name="Comma 2 2 2 3 13 2" xfId="38069" xr:uid="{00000000-0005-0000-0000-00009E080000}"/>
    <cellStyle name="Comma 2 2 2 3 14" xfId="23359" xr:uid="{00000000-0005-0000-0000-00009F080000}"/>
    <cellStyle name="Comma 2 2 2 3 15" xfId="44189" xr:uid="{00000000-0005-0000-0000-0000A0080000}"/>
    <cellStyle name="Comma 2 2 2 3 16" xfId="20911" xr:uid="{00000000-0005-0000-0000-0000A1080000}"/>
    <cellStyle name="Comma 2 2 2 3 2" xfId="148" xr:uid="{00000000-0005-0000-0000-0000A2080000}"/>
    <cellStyle name="Comma 2 2 2 3 2 10" xfId="12388" xr:uid="{00000000-0005-0000-0000-0000A3080000}"/>
    <cellStyle name="Comma 2 2 2 3 2 10 2" xfId="35667" xr:uid="{00000000-0005-0000-0000-0000A4080000}"/>
    <cellStyle name="Comma 2 2 2 3 2 11" xfId="14859" xr:uid="{00000000-0005-0000-0000-0000A5080000}"/>
    <cellStyle name="Comma 2 2 2 3 2 11 2" xfId="38137" xr:uid="{00000000-0005-0000-0000-0000A6080000}"/>
    <cellStyle name="Comma 2 2 2 3 2 12" xfId="23427" xr:uid="{00000000-0005-0000-0000-0000A7080000}"/>
    <cellStyle name="Comma 2 2 2 3 2 13" xfId="44257" xr:uid="{00000000-0005-0000-0000-0000A8080000}"/>
    <cellStyle name="Comma 2 2 2 3 2 14" xfId="20979" xr:uid="{00000000-0005-0000-0000-0000A9080000}"/>
    <cellStyle name="Comma 2 2 2 3 2 2" xfId="352" xr:uid="{00000000-0005-0000-0000-0000AA080000}"/>
    <cellStyle name="Comma 2 2 2 3 2 2 10" xfId="23631" xr:uid="{00000000-0005-0000-0000-0000AB080000}"/>
    <cellStyle name="Comma 2 2 2 3 2 2 11" xfId="44461" xr:uid="{00000000-0005-0000-0000-0000AC080000}"/>
    <cellStyle name="Comma 2 2 2 3 2 2 12" xfId="21183" xr:uid="{00000000-0005-0000-0000-0000AD080000}"/>
    <cellStyle name="Comma 2 2 2 3 2 2 2" xfId="964" xr:uid="{00000000-0005-0000-0000-0000AE080000}"/>
    <cellStyle name="Comma 2 2 2 3 2 2 2 10" xfId="45073" xr:uid="{00000000-0005-0000-0000-0000AF080000}"/>
    <cellStyle name="Comma 2 2 2 3 2 2 2 11" xfId="21795" xr:uid="{00000000-0005-0000-0000-0000B0080000}"/>
    <cellStyle name="Comma 2 2 2 3 2 2 2 2" xfId="2188" xr:uid="{00000000-0005-0000-0000-0000B1080000}"/>
    <cellStyle name="Comma 2 2 2 3 2 2 2 2 10" xfId="23019" xr:uid="{00000000-0005-0000-0000-0000B2080000}"/>
    <cellStyle name="Comma 2 2 2 3 2 2 2 2 2" xfId="4636" xr:uid="{00000000-0005-0000-0000-0000B3080000}"/>
    <cellStyle name="Comma 2 2 2 3 2 2 2 2 2 2" xfId="20571" xr:uid="{00000000-0005-0000-0000-0000B4080000}"/>
    <cellStyle name="Comma 2 2 2 3 2 2 2 2 2 2 2" xfId="43849" xr:uid="{00000000-0005-0000-0000-0000B5080000}"/>
    <cellStyle name="Comma 2 2 2 3 2 2 2 2 2 3" xfId="48745" xr:uid="{00000000-0005-0000-0000-0000B6080000}"/>
    <cellStyle name="Comma 2 2 2 3 2 2 2 2 2 4" xfId="27915" xr:uid="{00000000-0005-0000-0000-0000B7080000}"/>
    <cellStyle name="Comma 2 2 2 3 2 2 2 2 3" xfId="7084" xr:uid="{00000000-0005-0000-0000-0000B8080000}"/>
    <cellStyle name="Comma 2 2 2 3 2 2 2 2 3 2" xfId="30363" xr:uid="{00000000-0005-0000-0000-0000B9080000}"/>
    <cellStyle name="Comma 2 2 2 3 2 2 2 2 4" xfId="9532" xr:uid="{00000000-0005-0000-0000-0000BA080000}"/>
    <cellStyle name="Comma 2 2 2 3 2 2 2 2 4 2" xfId="32811" xr:uid="{00000000-0005-0000-0000-0000BB080000}"/>
    <cellStyle name="Comma 2 2 2 3 2 2 2 2 5" xfId="11980" xr:uid="{00000000-0005-0000-0000-0000BC080000}"/>
    <cellStyle name="Comma 2 2 2 3 2 2 2 2 5 2" xfId="35259" xr:uid="{00000000-0005-0000-0000-0000BD080000}"/>
    <cellStyle name="Comma 2 2 2 3 2 2 2 2 6" xfId="14428" xr:uid="{00000000-0005-0000-0000-0000BE080000}"/>
    <cellStyle name="Comma 2 2 2 3 2 2 2 2 6 2" xfId="37707" xr:uid="{00000000-0005-0000-0000-0000BF080000}"/>
    <cellStyle name="Comma 2 2 2 3 2 2 2 2 7" xfId="18123" xr:uid="{00000000-0005-0000-0000-0000C0080000}"/>
    <cellStyle name="Comma 2 2 2 3 2 2 2 2 7 2" xfId="41401" xr:uid="{00000000-0005-0000-0000-0000C1080000}"/>
    <cellStyle name="Comma 2 2 2 3 2 2 2 2 8" xfId="25467" xr:uid="{00000000-0005-0000-0000-0000C2080000}"/>
    <cellStyle name="Comma 2 2 2 3 2 2 2 2 9" xfId="46297" xr:uid="{00000000-0005-0000-0000-0000C3080000}"/>
    <cellStyle name="Comma 2 2 2 3 2 2 2 3" xfId="3412" xr:uid="{00000000-0005-0000-0000-0000C4080000}"/>
    <cellStyle name="Comma 2 2 2 3 2 2 2 3 2" xfId="16899" xr:uid="{00000000-0005-0000-0000-0000C5080000}"/>
    <cellStyle name="Comma 2 2 2 3 2 2 2 3 2 2" xfId="40177" xr:uid="{00000000-0005-0000-0000-0000C6080000}"/>
    <cellStyle name="Comma 2 2 2 3 2 2 2 3 3" xfId="47521" xr:uid="{00000000-0005-0000-0000-0000C7080000}"/>
    <cellStyle name="Comma 2 2 2 3 2 2 2 3 4" xfId="26691" xr:uid="{00000000-0005-0000-0000-0000C8080000}"/>
    <cellStyle name="Comma 2 2 2 3 2 2 2 4" xfId="5860" xr:uid="{00000000-0005-0000-0000-0000C9080000}"/>
    <cellStyle name="Comma 2 2 2 3 2 2 2 4 2" xfId="19347" xr:uid="{00000000-0005-0000-0000-0000CA080000}"/>
    <cellStyle name="Comma 2 2 2 3 2 2 2 4 2 2" xfId="42625" xr:uid="{00000000-0005-0000-0000-0000CB080000}"/>
    <cellStyle name="Comma 2 2 2 3 2 2 2 4 3" xfId="29139" xr:uid="{00000000-0005-0000-0000-0000CC080000}"/>
    <cellStyle name="Comma 2 2 2 3 2 2 2 5" xfId="8308" xr:uid="{00000000-0005-0000-0000-0000CD080000}"/>
    <cellStyle name="Comma 2 2 2 3 2 2 2 5 2" xfId="31587" xr:uid="{00000000-0005-0000-0000-0000CE080000}"/>
    <cellStyle name="Comma 2 2 2 3 2 2 2 6" xfId="10756" xr:uid="{00000000-0005-0000-0000-0000CF080000}"/>
    <cellStyle name="Comma 2 2 2 3 2 2 2 6 2" xfId="34035" xr:uid="{00000000-0005-0000-0000-0000D0080000}"/>
    <cellStyle name="Comma 2 2 2 3 2 2 2 7" xfId="13204" xr:uid="{00000000-0005-0000-0000-0000D1080000}"/>
    <cellStyle name="Comma 2 2 2 3 2 2 2 7 2" xfId="36483" xr:uid="{00000000-0005-0000-0000-0000D2080000}"/>
    <cellStyle name="Comma 2 2 2 3 2 2 2 8" xfId="15675" xr:uid="{00000000-0005-0000-0000-0000D3080000}"/>
    <cellStyle name="Comma 2 2 2 3 2 2 2 8 2" xfId="38953" xr:uid="{00000000-0005-0000-0000-0000D4080000}"/>
    <cellStyle name="Comma 2 2 2 3 2 2 2 9" xfId="24243" xr:uid="{00000000-0005-0000-0000-0000D5080000}"/>
    <cellStyle name="Comma 2 2 2 3 2 2 3" xfId="1576" xr:uid="{00000000-0005-0000-0000-0000D6080000}"/>
    <cellStyle name="Comma 2 2 2 3 2 2 3 10" xfId="22407" xr:uid="{00000000-0005-0000-0000-0000D7080000}"/>
    <cellStyle name="Comma 2 2 2 3 2 2 3 2" xfId="4024" xr:uid="{00000000-0005-0000-0000-0000D8080000}"/>
    <cellStyle name="Comma 2 2 2 3 2 2 3 2 2" xfId="19959" xr:uid="{00000000-0005-0000-0000-0000D9080000}"/>
    <cellStyle name="Comma 2 2 2 3 2 2 3 2 2 2" xfId="43237" xr:uid="{00000000-0005-0000-0000-0000DA080000}"/>
    <cellStyle name="Comma 2 2 2 3 2 2 3 2 3" xfId="48133" xr:uid="{00000000-0005-0000-0000-0000DB080000}"/>
    <cellStyle name="Comma 2 2 2 3 2 2 3 2 4" xfId="27303" xr:uid="{00000000-0005-0000-0000-0000DC080000}"/>
    <cellStyle name="Comma 2 2 2 3 2 2 3 3" xfId="6472" xr:uid="{00000000-0005-0000-0000-0000DD080000}"/>
    <cellStyle name="Comma 2 2 2 3 2 2 3 3 2" xfId="29751" xr:uid="{00000000-0005-0000-0000-0000DE080000}"/>
    <cellStyle name="Comma 2 2 2 3 2 2 3 4" xfId="8920" xr:uid="{00000000-0005-0000-0000-0000DF080000}"/>
    <cellStyle name="Comma 2 2 2 3 2 2 3 4 2" xfId="32199" xr:uid="{00000000-0005-0000-0000-0000E0080000}"/>
    <cellStyle name="Comma 2 2 2 3 2 2 3 5" xfId="11368" xr:uid="{00000000-0005-0000-0000-0000E1080000}"/>
    <cellStyle name="Comma 2 2 2 3 2 2 3 5 2" xfId="34647" xr:uid="{00000000-0005-0000-0000-0000E2080000}"/>
    <cellStyle name="Comma 2 2 2 3 2 2 3 6" xfId="13816" xr:uid="{00000000-0005-0000-0000-0000E3080000}"/>
    <cellStyle name="Comma 2 2 2 3 2 2 3 6 2" xfId="37095" xr:uid="{00000000-0005-0000-0000-0000E4080000}"/>
    <cellStyle name="Comma 2 2 2 3 2 2 3 7" xfId="17511" xr:uid="{00000000-0005-0000-0000-0000E5080000}"/>
    <cellStyle name="Comma 2 2 2 3 2 2 3 7 2" xfId="40789" xr:uid="{00000000-0005-0000-0000-0000E6080000}"/>
    <cellStyle name="Comma 2 2 2 3 2 2 3 8" xfId="24855" xr:uid="{00000000-0005-0000-0000-0000E7080000}"/>
    <cellStyle name="Comma 2 2 2 3 2 2 3 9" xfId="45685" xr:uid="{00000000-0005-0000-0000-0000E8080000}"/>
    <cellStyle name="Comma 2 2 2 3 2 2 4" xfId="2800" xr:uid="{00000000-0005-0000-0000-0000E9080000}"/>
    <cellStyle name="Comma 2 2 2 3 2 2 4 2" xfId="16287" xr:uid="{00000000-0005-0000-0000-0000EA080000}"/>
    <cellStyle name="Comma 2 2 2 3 2 2 4 2 2" xfId="39565" xr:uid="{00000000-0005-0000-0000-0000EB080000}"/>
    <cellStyle name="Comma 2 2 2 3 2 2 4 3" xfId="46909" xr:uid="{00000000-0005-0000-0000-0000EC080000}"/>
    <cellStyle name="Comma 2 2 2 3 2 2 4 4" xfId="26079" xr:uid="{00000000-0005-0000-0000-0000ED080000}"/>
    <cellStyle name="Comma 2 2 2 3 2 2 5" xfId="5248" xr:uid="{00000000-0005-0000-0000-0000EE080000}"/>
    <cellStyle name="Comma 2 2 2 3 2 2 5 2" xfId="18735" xr:uid="{00000000-0005-0000-0000-0000EF080000}"/>
    <cellStyle name="Comma 2 2 2 3 2 2 5 2 2" xfId="42013" xr:uid="{00000000-0005-0000-0000-0000F0080000}"/>
    <cellStyle name="Comma 2 2 2 3 2 2 5 3" xfId="28527" xr:uid="{00000000-0005-0000-0000-0000F1080000}"/>
    <cellStyle name="Comma 2 2 2 3 2 2 6" xfId="7696" xr:uid="{00000000-0005-0000-0000-0000F2080000}"/>
    <cellStyle name="Comma 2 2 2 3 2 2 6 2" xfId="30975" xr:uid="{00000000-0005-0000-0000-0000F3080000}"/>
    <cellStyle name="Comma 2 2 2 3 2 2 7" xfId="10144" xr:uid="{00000000-0005-0000-0000-0000F4080000}"/>
    <cellStyle name="Comma 2 2 2 3 2 2 7 2" xfId="33423" xr:uid="{00000000-0005-0000-0000-0000F5080000}"/>
    <cellStyle name="Comma 2 2 2 3 2 2 8" xfId="12592" xr:uid="{00000000-0005-0000-0000-0000F6080000}"/>
    <cellStyle name="Comma 2 2 2 3 2 2 8 2" xfId="35871" xr:uid="{00000000-0005-0000-0000-0000F7080000}"/>
    <cellStyle name="Comma 2 2 2 3 2 2 9" xfId="15063" xr:uid="{00000000-0005-0000-0000-0000F8080000}"/>
    <cellStyle name="Comma 2 2 2 3 2 2 9 2" xfId="38341" xr:uid="{00000000-0005-0000-0000-0000F9080000}"/>
    <cellStyle name="Comma 2 2 2 3 2 3" xfId="556" xr:uid="{00000000-0005-0000-0000-0000FA080000}"/>
    <cellStyle name="Comma 2 2 2 3 2 3 10" xfId="23835" xr:uid="{00000000-0005-0000-0000-0000FB080000}"/>
    <cellStyle name="Comma 2 2 2 3 2 3 11" xfId="44665" xr:uid="{00000000-0005-0000-0000-0000FC080000}"/>
    <cellStyle name="Comma 2 2 2 3 2 3 12" xfId="21387" xr:uid="{00000000-0005-0000-0000-0000FD080000}"/>
    <cellStyle name="Comma 2 2 2 3 2 3 2" xfId="1168" xr:uid="{00000000-0005-0000-0000-0000FE080000}"/>
    <cellStyle name="Comma 2 2 2 3 2 3 2 10" xfId="45277" xr:uid="{00000000-0005-0000-0000-0000FF080000}"/>
    <cellStyle name="Comma 2 2 2 3 2 3 2 11" xfId="21999" xr:uid="{00000000-0005-0000-0000-000000090000}"/>
    <cellStyle name="Comma 2 2 2 3 2 3 2 2" xfId="2392" xr:uid="{00000000-0005-0000-0000-000001090000}"/>
    <cellStyle name="Comma 2 2 2 3 2 3 2 2 10" xfId="23223" xr:uid="{00000000-0005-0000-0000-000002090000}"/>
    <cellStyle name="Comma 2 2 2 3 2 3 2 2 2" xfId="4840" xr:uid="{00000000-0005-0000-0000-000003090000}"/>
    <cellStyle name="Comma 2 2 2 3 2 3 2 2 2 2" xfId="20775" xr:uid="{00000000-0005-0000-0000-000004090000}"/>
    <cellStyle name="Comma 2 2 2 3 2 3 2 2 2 2 2" xfId="44053" xr:uid="{00000000-0005-0000-0000-000005090000}"/>
    <cellStyle name="Comma 2 2 2 3 2 3 2 2 2 3" xfId="48949" xr:uid="{00000000-0005-0000-0000-000006090000}"/>
    <cellStyle name="Comma 2 2 2 3 2 3 2 2 2 4" xfId="28119" xr:uid="{00000000-0005-0000-0000-000007090000}"/>
    <cellStyle name="Comma 2 2 2 3 2 3 2 2 3" xfId="7288" xr:uid="{00000000-0005-0000-0000-000008090000}"/>
    <cellStyle name="Comma 2 2 2 3 2 3 2 2 3 2" xfId="30567" xr:uid="{00000000-0005-0000-0000-000009090000}"/>
    <cellStyle name="Comma 2 2 2 3 2 3 2 2 4" xfId="9736" xr:uid="{00000000-0005-0000-0000-00000A090000}"/>
    <cellStyle name="Comma 2 2 2 3 2 3 2 2 4 2" xfId="33015" xr:uid="{00000000-0005-0000-0000-00000B090000}"/>
    <cellStyle name="Comma 2 2 2 3 2 3 2 2 5" xfId="12184" xr:uid="{00000000-0005-0000-0000-00000C090000}"/>
    <cellStyle name="Comma 2 2 2 3 2 3 2 2 5 2" xfId="35463" xr:uid="{00000000-0005-0000-0000-00000D090000}"/>
    <cellStyle name="Comma 2 2 2 3 2 3 2 2 6" xfId="14632" xr:uid="{00000000-0005-0000-0000-00000E090000}"/>
    <cellStyle name="Comma 2 2 2 3 2 3 2 2 6 2" xfId="37911" xr:uid="{00000000-0005-0000-0000-00000F090000}"/>
    <cellStyle name="Comma 2 2 2 3 2 3 2 2 7" xfId="18327" xr:uid="{00000000-0005-0000-0000-000010090000}"/>
    <cellStyle name="Comma 2 2 2 3 2 3 2 2 7 2" xfId="41605" xr:uid="{00000000-0005-0000-0000-000011090000}"/>
    <cellStyle name="Comma 2 2 2 3 2 3 2 2 8" xfId="25671" xr:uid="{00000000-0005-0000-0000-000012090000}"/>
    <cellStyle name="Comma 2 2 2 3 2 3 2 2 9" xfId="46501" xr:uid="{00000000-0005-0000-0000-000013090000}"/>
    <cellStyle name="Comma 2 2 2 3 2 3 2 3" xfId="3616" xr:uid="{00000000-0005-0000-0000-000014090000}"/>
    <cellStyle name="Comma 2 2 2 3 2 3 2 3 2" xfId="17103" xr:uid="{00000000-0005-0000-0000-000015090000}"/>
    <cellStyle name="Comma 2 2 2 3 2 3 2 3 2 2" xfId="40381" xr:uid="{00000000-0005-0000-0000-000016090000}"/>
    <cellStyle name="Comma 2 2 2 3 2 3 2 3 3" xfId="47725" xr:uid="{00000000-0005-0000-0000-000017090000}"/>
    <cellStyle name="Comma 2 2 2 3 2 3 2 3 4" xfId="26895" xr:uid="{00000000-0005-0000-0000-000018090000}"/>
    <cellStyle name="Comma 2 2 2 3 2 3 2 4" xfId="6064" xr:uid="{00000000-0005-0000-0000-000019090000}"/>
    <cellStyle name="Comma 2 2 2 3 2 3 2 4 2" xfId="19551" xr:uid="{00000000-0005-0000-0000-00001A090000}"/>
    <cellStyle name="Comma 2 2 2 3 2 3 2 4 2 2" xfId="42829" xr:uid="{00000000-0005-0000-0000-00001B090000}"/>
    <cellStyle name="Comma 2 2 2 3 2 3 2 4 3" xfId="29343" xr:uid="{00000000-0005-0000-0000-00001C090000}"/>
    <cellStyle name="Comma 2 2 2 3 2 3 2 5" xfId="8512" xr:uid="{00000000-0005-0000-0000-00001D090000}"/>
    <cellStyle name="Comma 2 2 2 3 2 3 2 5 2" xfId="31791" xr:uid="{00000000-0005-0000-0000-00001E090000}"/>
    <cellStyle name="Comma 2 2 2 3 2 3 2 6" xfId="10960" xr:uid="{00000000-0005-0000-0000-00001F090000}"/>
    <cellStyle name="Comma 2 2 2 3 2 3 2 6 2" xfId="34239" xr:uid="{00000000-0005-0000-0000-000020090000}"/>
    <cellStyle name="Comma 2 2 2 3 2 3 2 7" xfId="13408" xr:uid="{00000000-0005-0000-0000-000021090000}"/>
    <cellStyle name="Comma 2 2 2 3 2 3 2 7 2" xfId="36687" xr:uid="{00000000-0005-0000-0000-000022090000}"/>
    <cellStyle name="Comma 2 2 2 3 2 3 2 8" xfId="15879" xr:uid="{00000000-0005-0000-0000-000023090000}"/>
    <cellStyle name="Comma 2 2 2 3 2 3 2 8 2" xfId="39157" xr:uid="{00000000-0005-0000-0000-000024090000}"/>
    <cellStyle name="Comma 2 2 2 3 2 3 2 9" xfId="24447" xr:uid="{00000000-0005-0000-0000-000025090000}"/>
    <cellStyle name="Comma 2 2 2 3 2 3 3" xfId="1780" xr:uid="{00000000-0005-0000-0000-000026090000}"/>
    <cellStyle name="Comma 2 2 2 3 2 3 3 10" xfId="22611" xr:uid="{00000000-0005-0000-0000-000027090000}"/>
    <cellStyle name="Comma 2 2 2 3 2 3 3 2" xfId="4228" xr:uid="{00000000-0005-0000-0000-000028090000}"/>
    <cellStyle name="Comma 2 2 2 3 2 3 3 2 2" xfId="20163" xr:uid="{00000000-0005-0000-0000-000029090000}"/>
    <cellStyle name="Comma 2 2 2 3 2 3 3 2 2 2" xfId="43441" xr:uid="{00000000-0005-0000-0000-00002A090000}"/>
    <cellStyle name="Comma 2 2 2 3 2 3 3 2 3" xfId="48337" xr:uid="{00000000-0005-0000-0000-00002B090000}"/>
    <cellStyle name="Comma 2 2 2 3 2 3 3 2 4" xfId="27507" xr:uid="{00000000-0005-0000-0000-00002C090000}"/>
    <cellStyle name="Comma 2 2 2 3 2 3 3 3" xfId="6676" xr:uid="{00000000-0005-0000-0000-00002D090000}"/>
    <cellStyle name="Comma 2 2 2 3 2 3 3 3 2" xfId="29955" xr:uid="{00000000-0005-0000-0000-00002E090000}"/>
    <cellStyle name="Comma 2 2 2 3 2 3 3 4" xfId="9124" xr:uid="{00000000-0005-0000-0000-00002F090000}"/>
    <cellStyle name="Comma 2 2 2 3 2 3 3 4 2" xfId="32403" xr:uid="{00000000-0005-0000-0000-000030090000}"/>
    <cellStyle name="Comma 2 2 2 3 2 3 3 5" xfId="11572" xr:uid="{00000000-0005-0000-0000-000031090000}"/>
    <cellStyle name="Comma 2 2 2 3 2 3 3 5 2" xfId="34851" xr:uid="{00000000-0005-0000-0000-000032090000}"/>
    <cellStyle name="Comma 2 2 2 3 2 3 3 6" xfId="14020" xr:uid="{00000000-0005-0000-0000-000033090000}"/>
    <cellStyle name="Comma 2 2 2 3 2 3 3 6 2" xfId="37299" xr:uid="{00000000-0005-0000-0000-000034090000}"/>
    <cellStyle name="Comma 2 2 2 3 2 3 3 7" xfId="17715" xr:uid="{00000000-0005-0000-0000-000035090000}"/>
    <cellStyle name="Comma 2 2 2 3 2 3 3 7 2" xfId="40993" xr:uid="{00000000-0005-0000-0000-000036090000}"/>
    <cellStyle name="Comma 2 2 2 3 2 3 3 8" xfId="25059" xr:uid="{00000000-0005-0000-0000-000037090000}"/>
    <cellStyle name="Comma 2 2 2 3 2 3 3 9" xfId="45889" xr:uid="{00000000-0005-0000-0000-000038090000}"/>
    <cellStyle name="Comma 2 2 2 3 2 3 4" xfId="3004" xr:uid="{00000000-0005-0000-0000-000039090000}"/>
    <cellStyle name="Comma 2 2 2 3 2 3 4 2" xfId="16491" xr:uid="{00000000-0005-0000-0000-00003A090000}"/>
    <cellStyle name="Comma 2 2 2 3 2 3 4 2 2" xfId="39769" xr:uid="{00000000-0005-0000-0000-00003B090000}"/>
    <cellStyle name="Comma 2 2 2 3 2 3 4 3" xfId="47113" xr:uid="{00000000-0005-0000-0000-00003C090000}"/>
    <cellStyle name="Comma 2 2 2 3 2 3 4 4" xfId="26283" xr:uid="{00000000-0005-0000-0000-00003D090000}"/>
    <cellStyle name="Comma 2 2 2 3 2 3 5" xfId="5452" xr:uid="{00000000-0005-0000-0000-00003E090000}"/>
    <cellStyle name="Comma 2 2 2 3 2 3 5 2" xfId="18939" xr:uid="{00000000-0005-0000-0000-00003F090000}"/>
    <cellStyle name="Comma 2 2 2 3 2 3 5 2 2" xfId="42217" xr:uid="{00000000-0005-0000-0000-000040090000}"/>
    <cellStyle name="Comma 2 2 2 3 2 3 5 3" xfId="28731" xr:uid="{00000000-0005-0000-0000-000041090000}"/>
    <cellStyle name="Comma 2 2 2 3 2 3 6" xfId="7900" xr:uid="{00000000-0005-0000-0000-000042090000}"/>
    <cellStyle name="Comma 2 2 2 3 2 3 6 2" xfId="31179" xr:uid="{00000000-0005-0000-0000-000043090000}"/>
    <cellStyle name="Comma 2 2 2 3 2 3 7" xfId="10348" xr:uid="{00000000-0005-0000-0000-000044090000}"/>
    <cellStyle name="Comma 2 2 2 3 2 3 7 2" xfId="33627" xr:uid="{00000000-0005-0000-0000-000045090000}"/>
    <cellStyle name="Comma 2 2 2 3 2 3 8" xfId="12796" xr:uid="{00000000-0005-0000-0000-000046090000}"/>
    <cellStyle name="Comma 2 2 2 3 2 3 8 2" xfId="36075" xr:uid="{00000000-0005-0000-0000-000047090000}"/>
    <cellStyle name="Comma 2 2 2 3 2 3 9" xfId="15267" xr:uid="{00000000-0005-0000-0000-000048090000}"/>
    <cellStyle name="Comma 2 2 2 3 2 3 9 2" xfId="38545" xr:uid="{00000000-0005-0000-0000-000049090000}"/>
    <cellStyle name="Comma 2 2 2 3 2 4" xfId="760" xr:uid="{00000000-0005-0000-0000-00004A090000}"/>
    <cellStyle name="Comma 2 2 2 3 2 4 10" xfId="44869" xr:uid="{00000000-0005-0000-0000-00004B090000}"/>
    <cellStyle name="Comma 2 2 2 3 2 4 11" xfId="21591" xr:uid="{00000000-0005-0000-0000-00004C090000}"/>
    <cellStyle name="Comma 2 2 2 3 2 4 2" xfId="1984" xr:uid="{00000000-0005-0000-0000-00004D090000}"/>
    <cellStyle name="Comma 2 2 2 3 2 4 2 10" xfId="22815" xr:uid="{00000000-0005-0000-0000-00004E090000}"/>
    <cellStyle name="Comma 2 2 2 3 2 4 2 2" xfId="4432" xr:uid="{00000000-0005-0000-0000-00004F090000}"/>
    <cellStyle name="Comma 2 2 2 3 2 4 2 2 2" xfId="20367" xr:uid="{00000000-0005-0000-0000-000050090000}"/>
    <cellStyle name="Comma 2 2 2 3 2 4 2 2 2 2" xfId="43645" xr:uid="{00000000-0005-0000-0000-000051090000}"/>
    <cellStyle name="Comma 2 2 2 3 2 4 2 2 3" xfId="48541" xr:uid="{00000000-0005-0000-0000-000052090000}"/>
    <cellStyle name="Comma 2 2 2 3 2 4 2 2 4" xfId="27711" xr:uid="{00000000-0005-0000-0000-000053090000}"/>
    <cellStyle name="Comma 2 2 2 3 2 4 2 3" xfId="6880" xr:uid="{00000000-0005-0000-0000-000054090000}"/>
    <cellStyle name="Comma 2 2 2 3 2 4 2 3 2" xfId="30159" xr:uid="{00000000-0005-0000-0000-000055090000}"/>
    <cellStyle name="Comma 2 2 2 3 2 4 2 4" xfId="9328" xr:uid="{00000000-0005-0000-0000-000056090000}"/>
    <cellStyle name="Comma 2 2 2 3 2 4 2 4 2" xfId="32607" xr:uid="{00000000-0005-0000-0000-000057090000}"/>
    <cellStyle name="Comma 2 2 2 3 2 4 2 5" xfId="11776" xr:uid="{00000000-0005-0000-0000-000058090000}"/>
    <cellStyle name="Comma 2 2 2 3 2 4 2 5 2" xfId="35055" xr:uid="{00000000-0005-0000-0000-000059090000}"/>
    <cellStyle name="Comma 2 2 2 3 2 4 2 6" xfId="14224" xr:uid="{00000000-0005-0000-0000-00005A090000}"/>
    <cellStyle name="Comma 2 2 2 3 2 4 2 6 2" xfId="37503" xr:uid="{00000000-0005-0000-0000-00005B090000}"/>
    <cellStyle name="Comma 2 2 2 3 2 4 2 7" xfId="17919" xr:uid="{00000000-0005-0000-0000-00005C090000}"/>
    <cellStyle name="Comma 2 2 2 3 2 4 2 7 2" xfId="41197" xr:uid="{00000000-0005-0000-0000-00005D090000}"/>
    <cellStyle name="Comma 2 2 2 3 2 4 2 8" xfId="25263" xr:uid="{00000000-0005-0000-0000-00005E090000}"/>
    <cellStyle name="Comma 2 2 2 3 2 4 2 9" xfId="46093" xr:uid="{00000000-0005-0000-0000-00005F090000}"/>
    <cellStyle name="Comma 2 2 2 3 2 4 3" xfId="3208" xr:uid="{00000000-0005-0000-0000-000060090000}"/>
    <cellStyle name="Comma 2 2 2 3 2 4 3 2" xfId="16695" xr:uid="{00000000-0005-0000-0000-000061090000}"/>
    <cellStyle name="Comma 2 2 2 3 2 4 3 2 2" xfId="39973" xr:uid="{00000000-0005-0000-0000-000062090000}"/>
    <cellStyle name="Comma 2 2 2 3 2 4 3 3" xfId="47317" xr:uid="{00000000-0005-0000-0000-000063090000}"/>
    <cellStyle name="Comma 2 2 2 3 2 4 3 4" xfId="26487" xr:uid="{00000000-0005-0000-0000-000064090000}"/>
    <cellStyle name="Comma 2 2 2 3 2 4 4" xfId="5656" xr:uid="{00000000-0005-0000-0000-000065090000}"/>
    <cellStyle name="Comma 2 2 2 3 2 4 4 2" xfId="19143" xr:uid="{00000000-0005-0000-0000-000066090000}"/>
    <cellStyle name="Comma 2 2 2 3 2 4 4 2 2" xfId="42421" xr:uid="{00000000-0005-0000-0000-000067090000}"/>
    <cellStyle name="Comma 2 2 2 3 2 4 4 3" xfId="28935" xr:uid="{00000000-0005-0000-0000-000068090000}"/>
    <cellStyle name="Comma 2 2 2 3 2 4 5" xfId="8104" xr:uid="{00000000-0005-0000-0000-000069090000}"/>
    <cellStyle name="Comma 2 2 2 3 2 4 5 2" xfId="31383" xr:uid="{00000000-0005-0000-0000-00006A090000}"/>
    <cellStyle name="Comma 2 2 2 3 2 4 6" xfId="10552" xr:uid="{00000000-0005-0000-0000-00006B090000}"/>
    <cellStyle name="Comma 2 2 2 3 2 4 6 2" xfId="33831" xr:uid="{00000000-0005-0000-0000-00006C090000}"/>
    <cellStyle name="Comma 2 2 2 3 2 4 7" xfId="13000" xr:uid="{00000000-0005-0000-0000-00006D090000}"/>
    <cellStyle name="Comma 2 2 2 3 2 4 7 2" xfId="36279" xr:uid="{00000000-0005-0000-0000-00006E090000}"/>
    <cellStyle name="Comma 2 2 2 3 2 4 8" xfId="15471" xr:uid="{00000000-0005-0000-0000-00006F090000}"/>
    <cellStyle name="Comma 2 2 2 3 2 4 8 2" xfId="38749" xr:uid="{00000000-0005-0000-0000-000070090000}"/>
    <cellStyle name="Comma 2 2 2 3 2 4 9" xfId="24039" xr:uid="{00000000-0005-0000-0000-000071090000}"/>
    <cellStyle name="Comma 2 2 2 3 2 5" xfId="1372" xr:uid="{00000000-0005-0000-0000-000072090000}"/>
    <cellStyle name="Comma 2 2 2 3 2 5 10" xfId="22203" xr:uid="{00000000-0005-0000-0000-000073090000}"/>
    <cellStyle name="Comma 2 2 2 3 2 5 2" xfId="3820" xr:uid="{00000000-0005-0000-0000-000074090000}"/>
    <cellStyle name="Comma 2 2 2 3 2 5 2 2" xfId="19755" xr:uid="{00000000-0005-0000-0000-000075090000}"/>
    <cellStyle name="Comma 2 2 2 3 2 5 2 2 2" xfId="43033" xr:uid="{00000000-0005-0000-0000-000076090000}"/>
    <cellStyle name="Comma 2 2 2 3 2 5 2 3" xfId="47929" xr:uid="{00000000-0005-0000-0000-000077090000}"/>
    <cellStyle name="Comma 2 2 2 3 2 5 2 4" xfId="27099" xr:uid="{00000000-0005-0000-0000-000078090000}"/>
    <cellStyle name="Comma 2 2 2 3 2 5 3" xfId="6268" xr:uid="{00000000-0005-0000-0000-000079090000}"/>
    <cellStyle name="Comma 2 2 2 3 2 5 3 2" xfId="29547" xr:uid="{00000000-0005-0000-0000-00007A090000}"/>
    <cellStyle name="Comma 2 2 2 3 2 5 4" xfId="8716" xr:uid="{00000000-0005-0000-0000-00007B090000}"/>
    <cellStyle name="Comma 2 2 2 3 2 5 4 2" xfId="31995" xr:uid="{00000000-0005-0000-0000-00007C090000}"/>
    <cellStyle name="Comma 2 2 2 3 2 5 5" xfId="11164" xr:uid="{00000000-0005-0000-0000-00007D090000}"/>
    <cellStyle name="Comma 2 2 2 3 2 5 5 2" xfId="34443" xr:uid="{00000000-0005-0000-0000-00007E090000}"/>
    <cellStyle name="Comma 2 2 2 3 2 5 6" xfId="13612" xr:uid="{00000000-0005-0000-0000-00007F090000}"/>
    <cellStyle name="Comma 2 2 2 3 2 5 6 2" xfId="36891" xr:uid="{00000000-0005-0000-0000-000080090000}"/>
    <cellStyle name="Comma 2 2 2 3 2 5 7" xfId="17307" xr:uid="{00000000-0005-0000-0000-000081090000}"/>
    <cellStyle name="Comma 2 2 2 3 2 5 7 2" xfId="40585" xr:uid="{00000000-0005-0000-0000-000082090000}"/>
    <cellStyle name="Comma 2 2 2 3 2 5 8" xfId="24651" xr:uid="{00000000-0005-0000-0000-000083090000}"/>
    <cellStyle name="Comma 2 2 2 3 2 5 9" xfId="45481" xr:uid="{00000000-0005-0000-0000-000084090000}"/>
    <cellStyle name="Comma 2 2 2 3 2 6" xfId="2596" xr:uid="{00000000-0005-0000-0000-000085090000}"/>
    <cellStyle name="Comma 2 2 2 3 2 6 2" xfId="16083" xr:uid="{00000000-0005-0000-0000-000086090000}"/>
    <cellStyle name="Comma 2 2 2 3 2 6 2 2" xfId="39361" xr:uid="{00000000-0005-0000-0000-000087090000}"/>
    <cellStyle name="Comma 2 2 2 3 2 6 3" xfId="46705" xr:uid="{00000000-0005-0000-0000-000088090000}"/>
    <cellStyle name="Comma 2 2 2 3 2 6 4" xfId="25875" xr:uid="{00000000-0005-0000-0000-000089090000}"/>
    <cellStyle name="Comma 2 2 2 3 2 7" xfId="5044" xr:uid="{00000000-0005-0000-0000-00008A090000}"/>
    <cellStyle name="Comma 2 2 2 3 2 7 2" xfId="18531" xr:uid="{00000000-0005-0000-0000-00008B090000}"/>
    <cellStyle name="Comma 2 2 2 3 2 7 2 2" xfId="41809" xr:uid="{00000000-0005-0000-0000-00008C090000}"/>
    <cellStyle name="Comma 2 2 2 3 2 7 3" xfId="28323" xr:uid="{00000000-0005-0000-0000-00008D090000}"/>
    <cellStyle name="Comma 2 2 2 3 2 8" xfId="7492" xr:uid="{00000000-0005-0000-0000-00008E090000}"/>
    <cellStyle name="Comma 2 2 2 3 2 8 2" xfId="30771" xr:uid="{00000000-0005-0000-0000-00008F090000}"/>
    <cellStyle name="Comma 2 2 2 3 2 9" xfId="9940" xr:uid="{00000000-0005-0000-0000-000090090000}"/>
    <cellStyle name="Comma 2 2 2 3 2 9 2" xfId="33219" xr:uid="{00000000-0005-0000-0000-000091090000}"/>
    <cellStyle name="Comma 2 2 2 3 3" xfId="216" xr:uid="{00000000-0005-0000-0000-000092090000}"/>
    <cellStyle name="Comma 2 2 2 3 3 10" xfId="12456" xr:uid="{00000000-0005-0000-0000-000093090000}"/>
    <cellStyle name="Comma 2 2 2 3 3 10 2" xfId="35735" xr:uid="{00000000-0005-0000-0000-000094090000}"/>
    <cellStyle name="Comma 2 2 2 3 3 11" xfId="14927" xr:uid="{00000000-0005-0000-0000-000095090000}"/>
    <cellStyle name="Comma 2 2 2 3 3 11 2" xfId="38205" xr:uid="{00000000-0005-0000-0000-000096090000}"/>
    <cellStyle name="Comma 2 2 2 3 3 12" xfId="23495" xr:uid="{00000000-0005-0000-0000-000097090000}"/>
    <cellStyle name="Comma 2 2 2 3 3 13" xfId="44325" xr:uid="{00000000-0005-0000-0000-000098090000}"/>
    <cellStyle name="Comma 2 2 2 3 3 14" xfId="21047" xr:uid="{00000000-0005-0000-0000-000099090000}"/>
    <cellStyle name="Comma 2 2 2 3 3 2" xfId="420" xr:uid="{00000000-0005-0000-0000-00009A090000}"/>
    <cellStyle name="Comma 2 2 2 3 3 2 10" xfId="23699" xr:uid="{00000000-0005-0000-0000-00009B090000}"/>
    <cellStyle name="Comma 2 2 2 3 3 2 11" xfId="44529" xr:uid="{00000000-0005-0000-0000-00009C090000}"/>
    <cellStyle name="Comma 2 2 2 3 3 2 12" xfId="21251" xr:uid="{00000000-0005-0000-0000-00009D090000}"/>
    <cellStyle name="Comma 2 2 2 3 3 2 2" xfId="1032" xr:uid="{00000000-0005-0000-0000-00009E090000}"/>
    <cellStyle name="Comma 2 2 2 3 3 2 2 10" xfId="45141" xr:uid="{00000000-0005-0000-0000-00009F090000}"/>
    <cellStyle name="Comma 2 2 2 3 3 2 2 11" xfId="21863" xr:uid="{00000000-0005-0000-0000-0000A0090000}"/>
    <cellStyle name="Comma 2 2 2 3 3 2 2 2" xfId="2256" xr:uid="{00000000-0005-0000-0000-0000A1090000}"/>
    <cellStyle name="Comma 2 2 2 3 3 2 2 2 10" xfId="23087" xr:uid="{00000000-0005-0000-0000-0000A2090000}"/>
    <cellStyle name="Comma 2 2 2 3 3 2 2 2 2" xfId="4704" xr:uid="{00000000-0005-0000-0000-0000A3090000}"/>
    <cellStyle name="Comma 2 2 2 3 3 2 2 2 2 2" xfId="20639" xr:uid="{00000000-0005-0000-0000-0000A4090000}"/>
    <cellStyle name="Comma 2 2 2 3 3 2 2 2 2 2 2" xfId="43917" xr:uid="{00000000-0005-0000-0000-0000A5090000}"/>
    <cellStyle name="Comma 2 2 2 3 3 2 2 2 2 3" xfId="48813" xr:uid="{00000000-0005-0000-0000-0000A6090000}"/>
    <cellStyle name="Comma 2 2 2 3 3 2 2 2 2 4" xfId="27983" xr:uid="{00000000-0005-0000-0000-0000A7090000}"/>
    <cellStyle name="Comma 2 2 2 3 3 2 2 2 3" xfId="7152" xr:uid="{00000000-0005-0000-0000-0000A8090000}"/>
    <cellStyle name="Comma 2 2 2 3 3 2 2 2 3 2" xfId="30431" xr:uid="{00000000-0005-0000-0000-0000A9090000}"/>
    <cellStyle name="Comma 2 2 2 3 3 2 2 2 4" xfId="9600" xr:uid="{00000000-0005-0000-0000-0000AA090000}"/>
    <cellStyle name="Comma 2 2 2 3 3 2 2 2 4 2" xfId="32879" xr:uid="{00000000-0005-0000-0000-0000AB090000}"/>
    <cellStyle name="Comma 2 2 2 3 3 2 2 2 5" xfId="12048" xr:uid="{00000000-0005-0000-0000-0000AC090000}"/>
    <cellStyle name="Comma 2 2 2 3 3 2 2 2 5 2" xfId="35327" xr:uid="{00000000-0005-0000-0000-0000AD090000}"/>
    <cellStyle name="Comma 2 2 2 3 3 2 2 2 6" xfId="14496" xr:uid="{00000000-0005-0000-0000-0000AE090000}"/>
    <cellStyle name="Comma 2 2 2 3 3 2 2 2 6 2" xfId="37775" xr:uid="{00000000-0005-0000-0000-0000AF090000}"/>
    <cellStyle name="Comma 2 2 2 3 3 2 2 2 7" xfId="18191" xr:uid="{00000000-0005-0000-0000-0000B0090000}"/>
    <cellStyle name="Comma 2 2 2 3 3 2 2 2 7 2" xfId="41469" xr:uid="{00000000-0005-0000-0000-0000B1090000}"/>
    <cellStyle name="Comma 2 2 2 3 3 2 2 2 8" xfId="25535" xr:uid="{00000000-0005-0000-0000-0000B2090000}"/>
    <cellStyle name="Comma 2 2 2 3 3 2 2 2 9" xfId="46365" xr:uid="{00000000-0005-0000-0000-0000B3090000}"/>
    <cellStyle name="Comma 2 2 2 3 3 2 2 3" xfId="3480" xr:uid="{00000000-0005-0000-0000-0000B4090000}"/>
    <cellStyle name="Comma 2 2 2 3 3 2 2 3 2" xfId="16967" xr:uid="{00000000-0005-0000-0000-0000B5090000}"/>
    <cellStyle name="Comma 2 2 2 3 3 2 2 3 2 2" xfId="40245" xr:uid="{00000000-0005-0000-0000-0000B6090000}"/>
    <cellStyle name="Comma 2 2 2 3 3 2 2 3 3" xfId="47589" xr:uid="{00000000-0005-0000-0000-0000B7090000}"/>
    <cellStyle name="Comma 2 2 2 3 3 2 2 3 4" xfId="26759" xr:uid="{00000000-0005-0000-0000-0000B8090000}"/>
    <cellStyle name="Comma 2 2 2 3 3 2 2 4" xfId="5928" xr:uid="{00000000-0005-0000-0000-0000B9090000}"/>
    <cellStyle name="Comma 2 2 2 3 3 2 2 4 2" xfId="19415" xr:uid="{00000000-0005-0000-0000-0000BA090000}"/>
    <cellStyle name="Comma 2 2 2 3 3 2 2 4 2 2" xfId="42693" xr:uid="{00000000-0005-0000-0000-0000BB090000}"/>
    <cellStyle name="Comma 2 2 2 3 3 2 2 4 3" xfId="29207" xr:uid="{00000000-0005-0000-0000-0000BC090000}"/>
    <cellStyle name="Comma 2 2 2 3 3 2 2 5" xfId="8376" xr:uid="{00000000-0005-0000-0000-0000BD090000}"/>
    <cellStyle name="Comma 2 2 2 3 3 2 2 5 2" xfId="31655" xr:uid="{00000000-0005-0000-0000-0000BE090000}"/>
    <cellStyle name="Comma 2 2 2 3 3 2 2 6" xfId="10824" xr:uid="{00000000-0005-0000-0000-0000BF090000}"/>
    <cellStyle name="Comma 2 2 2 3 3 2 2 6 2" xfId="34103" xr:uid="{00000000-0005-0000-0000-0000C0090000}"/>
    <cellStyle name="Comma 2 2 2 3 3 2 2 7" xfId="13272" xr:uid="{00000000-0005-0000-0000-0000C1090000}"/>
    <cellStyle name="Comma 2 2 2 3 3 2 2 7 2" xfId="36551" xr:uid="{00000000-0005-0000-0000-0000C2090000}"/>
    <cellStyle name="Comma 2 2 2 3 3 2 2 8" xfId="15743" xr:uid="{00000000-0005-0000-0000-0000C3090000}"/>
    <cellStyle name="Comma 2 2 2 3 3 2 2 8 2" xfId="39021" xr:uid="{00000000-0005-0000-0000-0000C4090000}"/>
    <cellStyle name="Comma 2 2 2 3 3 2 2 9" xfId="24311" xr:uid="{00000000-0005-0000-0000-0000C5090000}"/>
    <cellStyle name="Comma 2 2 2 3 3 2 3" xfId="1644" xr:uid="{00000000-0005-0000-0000-0000C6090000}"/>
    <cellStyle name="Comma 2 2 2 3 3 2 3 10" xfId="22475" xr:uid="{00000000-0005-0000-0000-0000C7090000}"/>
    <cellStyle name="Comma 2 2 2 3 3 2 3 2" xfId="4092" xr:uid="{00000000-0005-0000-0000-0000C8090000}"/>
    <cellStyle name="Comma 2 2 2 3 3 2 3 2 2" xfId="20027" xr:uid="{00000000-0005-0000-0000-0000C9090000}"/>
    <cellStyle name="Comma 2 2 2 3 3 2 3 2 2 2" xfId="43305" xr:uid="{00000000-0005-0000-0000-0000CA090000}"/>
    <cellStyle name="Comma 2 2 2 3 3 2 3 2 3" xfId="48201" xr:uid="{00000000-0005-0000-0000-0000CB090000}"/>
    <cellStyle name="Comma 2 2 2 3 3 2 3 2 4" xfId="27371" xr:uid="{00000000-0005-0000-0000-0000CC090000}"/>
    <cellStyle name="Comma 2 2 2 3 3 2 3 3" xfId="6540" xr:uid="{00000000-0005-0000-0000-0000CD090000}"/>
    <cellStyle name="Comma 2 2 2 3 3 2 3 3 2" xfId="29819" xr:uid="{00000000-0005-0000-0000-0000CE090000}"/>
    <cellStyle name="Comma 2 2 2 3 3 2 3 4" xfId="8988" xr:uid="{00000000-0005-0000-0000-0000CF090000}"/>
    <cellStyle name="Comma 2 2 2 3 3 2 3 4 2" xfId="32267" xr:uid="{00000000-0005-0000-0000-0000D0090000}"/>
    <cellStyle name="Comma 2 2 2 3 3 2 3 5" xfId="11436" xr:uid="{00000000-0005-0000-0000-0000D1090000}"/>
    <cellStyle name="Comma 2 2 2 3 3 2 3 5 2" xfId="34715" xr:uid="{00000000-0005-0000-0000-0000D2090000}"/>
    <cellStyle name="Comma 2 2 2 3 3 2 3 6" xfId="13884" xr:uid="{00000000-0005-0000-0000-0000D3090000}"/>
    <cellStyle name="Comma 2 2 2 3 3 2 3 6 2" xfId="37163" xr:uid="{00000000-0005-0000-0000-0000D4090000}"/>
    <cellStyle name="Comma 2 2 2 3 3 2 3 7" xfId="17579" xr:uid="{00000000-0005-0000-0000-0000D5090000}"/>
    <cellStyle name="Comma 2 2 2 3 3 2 3 7 2" xfId="40857" xr:uid="{00000000-0005-0000-0000-0000D6090000}"/>
    <cellStyle name="Comma 2 2 2 3 3 2 3 8" xfId="24923" xr:uid="{00000000-0005-0000-0000-0000D7090000}"/>
    <cellStyle name="Comma 2 2 2 3 3 2 3 9" xfId="45753" xr:uid="{00000000-0005-0000-0000-0000D8090000}"/>
    <cellStyle name="Comma 2 2 2 3 3 2 4" xfId="2868" xr:uid="{00000000-0005-0000-0000-0000D9090000}"/>
    <cellStyle name="Comma 2 2 2 3 3 2 4 2" xfId="16355" xr:uid="{00000000-0005-0000-0000-0000DA090000}"/>
    <cellStyle name="Comma 2 2 2 3 3 2 4 2 2" xfId="39633" xr:uid="{00000000-0005-0000-0000-0000DB090000}"/>
    <cellStyle name="Comma 2 2 2 3 3 2 4 3" xfId="46977" xr:uid="{00000000-0005-0000-0000-0000DC090000}"/>
    <cellStyle name="Comma 2 2 2 3 3 2 4 4" xfId="26147" xr:uid="{00000000-0005-0000-0000-0000DD090000}"/>
    <cellStyle name="Comma 2 2 2 3 3 2 5" xfId="5316" xr:uid="{00000000-0005-0000-0000-0000DE090000}"/>
    <cellStyle name="Comma 2 2 2 3 3 2 5 2" xfId="18803" xr:uid="{00000000-0005-0000-0000-0000DF090000}"/>
    <cellStyle name="Comma 2 2 2 3 3 2 5 2 2" xfId="42081" xr:uid="{00000000-0005-0000-0000-0000E0090000}"/>
    <cellStyle name="Comma 2 2 2 3 3 2 5 3" xfId="28595" xr:uid="{00000000-0005-0000-0000-0000E1090000}"/>
    <cellStyle name="Comma 2 2 2 3 3 2 6" xfId="7764" xr:uid="{00000000-0005-0000-0000-0000E2090000}"/>
    <cellStyle name="Comma 2 2 2 3 3 2 6 2" xfId="31043" xr:uid="{00000000-0005-0000-0000-0000E3090000}"/>
    <cellStyle name="Comma 2 2 2 3 3 2 7" xfId="10212" xr:uid="{00000000-0005-0000-0000-0000E4090000}"/>
    <cellStyle name="Comma 2 2 2 3 3 2 7 2" xfId="33491" xr:uid="{00000000-0005-0000-0000-0000E5090000}"/>
    <cellStyle name="Comma 2 2 2 3 3 2 8" xfId="12660" xr:uid="{00000000-0005-0000-0000-0000E6090000}"/>
    <cellStyle name="Comma 2 2 2 3 3 2 8 2" xfId="35939" xr:uid="{00000000-0005-0000-0000-0000E7090000}"/>
    <cellStyle name="Comma 2 2 2 3 3 2 9" xfId="15131" xr:uid="{00000000-0005-0000-0000-0000E8090000}"/>
    <cellStyle name="Comma 2 2 2 3 3 2 9 2" xfId="38409" xr:uid="{00000000-0005-0000-0000-0000E9090000}"/>
    <cellStyle name="Comma 2 2 2 3 3 3" xfId="624" xr:uid="{00000000-0005-0000-0000-0000EA090000}"/>
    <cellStyle name="Comma 2 2 2 3 3 3 10" xfId="23903" xr:uid="{00000000-0005-0000-0000-0000EB090000}"/>
    <cellStyle name="Comma 2 2 2 3 3 3 11" xfId="44733" xr:uid="{00000000-0005-0000-0000-0000EC090000}"/>
    <cellStyle name="Comma 2 2 2 3 3 3 12" xfId="21455" xr:uid="{00000000-0005-0000-0000-0000ED090000}"/>
    <cellStyle name="Comma 2 2 2 3 3 3 2" xfId="1236" xr:uid="{00000000-0005-0000-0000-0000EE090000}"/>
    <cellStyle name="Comma 2 2 2 3 3 3 2 10" xfId="45345" xr:uid="{00000000-0005-0000-0000-0000EF090000}"/>
    <cellStyle name="Comma 2 2 2 3 3 3 2 11" xfId="22067" xr:uid="{00000000-0005-0000-0000-0000F0090000}"/>
    <cellStyle name="Comma 2 2 2 3 3 3 2 2" xfId="2460" xr:uid="{00000000-0005-0000-0000-0000F1090000}"/>
    <cellStyle name="Comma 2 2 2 3 3 3 2 2 10" xfId="23291" xr:uid="{00000000-0005-0000-0000-0000F2090000}"/>
    <cellStyle name="Comma 2 2 2 3 3 3 2 2 2" xfId="4908" xr:uid="{00000000-0005-0000-0000-0000F3090000}"/>
    <cellStyle name="Comma 2 2 2 3 3 3 2 2 2 2" xfId="20843" xr:uid="{00000000-0005-0000-0000-0000F4090000}"/>
    <cellStyle name="Comma 2 2 2 3 3 3 2 2 2 2 2" xfId="44121" xr:uid="{00000000-0005-0000-0000-0000F5090000}"/>
    <cellStyle name="Comma 2 2 2 3 3 3 2 2 2 3" xfId="49017" xr:uid="{00000000-0005-0000-0000-0000F6090000}"/>
    <cellStyle name="Comma 2 2 2 3 3 3 2 2 2 4" xfId="28187" xr:uid="{00000000-0005-0000-0000-0000F7090000}"/>
    <cellStyle name="Comma 2 2 2 3 3 3 2 2 3" xfId="7356" xr:uid="{00000000-0005-0000-0000-0000F8090000}"/>
    <cellStyle name="Comma 2 2 2 3 3 3 2 2 3 2" xfId="30635" xr:uid="{00000000-0005-0000-0000-0000F9090000}"/>
    <cellStyle name="Comma 2 2 2 3 3 3 2 2 4" xfId="9804" xr:uid="{00000000-0005-0000-0000-0000FA090000}"/>
    <cellStyle name="Comma 2 2 2 3 3 3 2 2 4 2" xfId="33083" xr:uid="{00000000-0005-0000-0000-0000FB090000}"/>
    <cellStyle name="Comma 2 2 2 3 3 3 2 2 5" xfId="12252" xr:uid="{00000000-0005-0000-0000-0000FC090000}"/>
    <cellStyle name="Comma 2 2 2 3 3 3 2 2 5 2" xfId="35531" xr:uid="{00000000-0005-0000-0000-0000FD090000}"/>
    <cellStyle name="Comma 2 2 2 3 3 3 2 2 6" xfId="14700" xr:uid="{00000000-0005-0000-0000-0000FE090000}"/>
    <cellStyle name="Comma 2 2 2 3 3 3 2 2 6 2" xfId="37979" xr:uid="{00000000-0005-0000-0000-0000FF090000}"/>
    <cellStyle name="Comma 2 2 2 3 3 3 2 2 7" xfId="18395" xr:uid="{00000000-0005-0000-0000-0000000A0000}"/>
    <cellStyle name="Comma 2 2 2 3 3 3 2 2 7 2" xfId="41673" xr:uid="{00000000-0005-0000-0000-0000010A0000}"/>
    <cellStyle name="Comma 2 2 2 3 3 3 2 2 8" xfId="25739" xr:uid="{00000000-0005-0000-0000-0000020A0000}"/>
    <cellStyle name="Comma 2 2 2 3 3 3 2 2 9" xfId="46569" xr:uid="{00000000-0005-0000-0000-0000030A0000}"/>
    <cellStyle name="Comma 2 2 2 3 3 3 2 3" xfId="3684" xr:uid="{00000000-0005-0000-0000-0000040A0000}"/>
    <cellStyle name="Comma 2 2 2 3 3 3 2 3 2" xfId="17171" xr:uid="{00000000-0005-0000-0000-0000050A0000}"/>
    <cellStyle name="Comma 2 2 2 3 3 3 2 3 2 2" xfId="40449" xr:uid="{00000000-0005-0000-0000-0000060A0000}"/>
    <cellStyle name="Comma 2 2 2 3 3 3 2 3 3" xfId="47793" xr:uid="{00000000-0005-0000-0000-0000070A0000}"/>
    <cellStyle name="Comma 2 2 2 3 3 3 2 3 4" xfId="26963" xr:uid="{00000000-0005-0000-0000-0000080A0000}"/>
    <cellStyle name="Comma 2 2 2 3 3 3 2 4" xfId="6132" xr:uid="{00000000-0005-0000-0000-0000090A0000}"/>
    <cellStyle name="Comma 2 2 2 3 3 3 2 4 2" xfId="19619" xr:uid="{00000000-0005-0000-0000-00000A0A0000}"/>
    <cellStyle name="Comma 2 2 2 3 3 3 2 4 2 2" xfId="42897" xr:uid="{00000000-0005-0000-0000-00000B0A0000}"/>
    <cellStyle name="Comma 2 2 2 3 3 3 2 4 3" xfId="29411" xr:uid="{00000000-0005-0000-0000-00000C0A0000}"/>
    <cellStyle name="Comma 2 2 2 3 3 3 2 5" xfId="8580" xr:uid="{00000000-0005-0000-0000-00000D0A0000}"/>
    <cellStyle name="Comma 2 2 2 3 3 3 2 5 2" xfId="31859" xr:uid="{00000000-0005-0000-0000-00000E0A0000}"/>
    <cellStyle name="Comma 2 2 2 3 3 3 2 6" xfId="11028" xr:uid="{00000000-0005-0000-0000-00000F0A0000}"/>
    <cellStyle name="Comma 2 2 2 3 3 3 2 6 2" xfId="34307" xr:uid="{00000000-0005-0000-0000-0000100A0000}"/>
    <cellStyle name="Comma 2 2 2 3 3 3 2 7" xfId="13476" xr:uid="{00000000-0005-0000-0000-0000110A0000}"/>
    <cellStyle name="Comma 2 2 2 3 3 3 2 7 2" xfId="36755" xr:uid="{00000000-0005-0000-0000-0000120A0000}"/>
    <cellStyle name="Comma 2 2 2 3 3 3 2 8" xfId="15947" xr:uid="{00000000-0005-0000-0000-0000130A0000}"/>
    <cellStyle name="Comma 2 2 2 3 3 3 2 8 2" xfId="39225" xr:uid="{00000000-0005-0000-0000-0000140A0000}"/>
    <cellStyle name="Comma 2 2 2 3 3 3 2 9" xfId="24515" xr:uid="{00000000-0005-0000-0000-0000150A0000}"/>
    <cellStyle name="Comma 2 2 2 3 3 3 3" xfId="1848" xr:uid="{00000000-0005-0000-0000-0000160A0000}"/>
    <cellStyle name="Comma 2 2 2 3 3 3 3 10" xfId="22679" xr:uid="{00000000-0005-0000-0000-0000170A0000}"/>
    <cellStyle name="Comma 2 2 2 3 3 3 3 2" xfId="4296" xr:uid="{00000000-0005-0000-0000-0000180A0000}"/>
    <cellStyle name="Comma 2 2 2 3 3 3 3 2 2" xfId="20231" xr:uid="{00000000-0005-0000-0000-0000190A0000}"/>
    <cellStyle name="Comma 2 2 2 3 3 3 3 2 2 2" xfId="43509" xr:uid="{00000000-0005-0000-0000-00001A0A0000}"/>
    <cellStyle name="Comma 2 2 2 3 3 3 3 2 3" xfId="48405" xr:uid="{00000000-0005-0000-0000-00001B0A0000}"/>
    <cellStyle name="Comma 2 2 2 3 3 3 3 2 4" xfId="27575" xr:uid="{00000000-0005-0000-0000-00001C0A0000}"/>
    <cellStyle name="Comma 2 2 2 3 3 3 3 3" xfId="6744" xr:uid="{00000000-0005-0000-0000-00001D0A0000}"/>
    <cellStyle name="Comma 2 2 2 3 3 3 3 3 2" xfId="30023" xr:uid="{00000000-0005-0000-0000-00001E0A0000}"/>
    <cellStyle name="Comma 2 2 2 3 3 3 3 4" xfId="9192" xr:uid="{00000000-0005-0000-0000-00001F0A0000}"/>
    <cellStyle name="Comma 2 2 2 3 3 3 3 4 2" xfId="32471" xr:uid="{00000000-0005-0000-0000-0000200A0000}"/>
    <cellStyle name="Comma 2 2 2 3 3 3 3 5" xfId="11640" xr:uid="{00000000-0005-0000-0000-0000210A0000}"/>
    <cellStyle name="Comma 2 2 2 3 3 3 3 5 2" xfId="34919" xr:uid="{00000000-0005-0000-0000-0000220A0000}"/>
    <cellStyle name="Comma 2 2 2 3 3 3 3 6" xfId="14088" xr:uid="{00000000-0005-0000-0000-0000230A0000}"/>
    <cellStyle name="Comma 2 2 2 3 3 3 3 6 2" xfId="37367" xr:uid="{00000000-0005-0000-0000-0000240A0000}"/>
    <cellStyle name="Comma 2 2 2 3 3 3 3 7" xfId="17783" xr:uid="{00000000-0005-0000-0000-0000250A0000}"/>
    <cellStyle name="Comma 2 2 2 3 3 3 3 7 2" xfId="41061" xr:uid="{00000000-0005-0000-0000-0000260A0000}"/>
    <cellStyle name="Comma 2 2 2 3 3 3 3 8" xfId="25127" xr:uid="{00000000-0005-0000-0000-0000270A0000}"/>
    <cellStyle name="Comma 2 2 2 3 3 3 3 9" xfId="45957" xr:uid="{00000000-0005-0000-0000-0000280A0000}"/>
    <cellStyle name="Comma 2 2 2 3 3 3 4" xfId="3072" xr:uid="{00000000-0005-0000-0000-0000290A0000}"/>
    <cellStyle name="Comma 2 2 2 3 3 3 4 2" xfId="16559" xr:uid="{00000000-0005-0000-0000-00002A0A0000}"/>
    <cellStyle name="Comma 2 2 2 3 3 3 4 2 2" xfId="39837" xr:uid="{00000000-0005-0000-0000-00002B0A0000}"/>
    <cellStyle name="Comma 2 2 2 3 3 3 4 3" xfId="47181" xr:uid="{00000000-0005-0000-0000-00002C0A0000}"/>
    <cellStyle name="Comma 2 2 2 3 3 3 4 4" xfId="26351" xr:uid="{00000000-0005-0000-0000-00002D0A0000}"/>
    <cellStyle name="Comma 2 2 2 3 3 3 5" xfId="5520" xr:uid="{00000000-0005-0000-0000-00002E0A0000}"/>
    <cellStyle name="Comma 2 2 2 3 3 3 5 2" xfId="19007" xr:uid="{00000000-0005-0000-0000-00002F0A0000}"/>
    <cellStyle name="Comma 2 2 2 3 3 3 5 2 2" xfId="42285" xr:uid="{00000000-0005-0000-0000-0000300A0000}"/>
    <cellStyle name="Comma 2 2 2 3 3 3 5 3" xfId="28799" xr:uid="{00000000-0005-0000-0000-0000310A0000}"/>
    <cellStyle name="Comma 2 2 2 3 3 3 6" xfId="7968" xr:uid="{00000000-0005-0000-0000-0000320A0000}"/>
    <cellStyle name="Comma 2 2 2 3 3 3 6 2" xfId="31247" xr:uid="{00000000-0005-0000-0000-0000330A0000}"/>
    <cellStyle name="Comma 2 2 2 3 3 3 7" xfId="10416" xr:uid="{00000000-0005-0000-0000-0000340A0000}"/>
    <cellStyle name="Comma 2 2 2 3 3 3 7 2" xfId="33695" xr:uid="{00000000-0005-0000-0000-0000350A0000}"/>
    <cellStyle name="Comma 2 2 2 3 3 3 8" xfId="12864" xr:uid="{00000000-0005-0000-0000-0000360A0000}"/>
    <cellStyle name="Comma 2 2 2 3 3 3 8 2" xfId="36143" xr:uid="{00000000-0005-0000-0000-0000370A0000}"/>
    <cellStyle name="Comma 2 2 2 3 3 3 9" xfId="15335" xr:uid="{00000000-0005-0000-0000-0000380A0000}"/>
    <cellStyle name="Comma 2 2 2 3 3 3 9 2" xfId="38613" xr:uid="{00000000-0005-0000-0000-0000390A0000}"/>
    <cellStyle name="Comma 2 2 2 3 3 4" xfId="828" xr:uid="{00000000-0005-0000-0000-00003A0A0000}"/>
    <cellStyle name="Comma 2 2 2 3 3 4 10" xfId="44937" xr:uid="{00000000-0005-0000-0000-00003B0A0000}"/>
    <cellStyle name="Comma 2 2 2 3 3 4 11" xfId="21659" xr:uid="{00000000-0005-0000-0000-00003C0A0000}"/>
    <cellStyle name="Comma 2 2 2 3 3 4 2" xfId="2052" xr:uid="{00000000-0005-0000-0000-00003D0A0000}"/>
    <cellStyle name="Comma 2 2 2 3 3 4 2 10" xfId="22883" xr:uid="{00000000-0005-0000-0000-00003E0A0000}"/>
    <cellStyle name="Comma 2 2 2 3 3 4 2 2" xfId="4500" xr:uid="{00000000-0005-0000-0000-00003F0A0000}"/>
    <cellStyle name="Comma 2 2 2 3 3 4 2 2 2" xfId="20435" xr:uid="{00000000-0005-0000-0000-0000400A0000}"/>
    <cellStyle name="Comma 2 2 2 3 3 4 2 2 2 2" xfId="43713" xr:uid="{00000000-0005-0000-0000-0000410A0000}"/>
    <cellStyle name="Comma 2 2 2 3 3 4 2 2 3" xfId="48609" xr:uid="{00000000-0005-0000-0000-0000420A0000}"/>
    <cellStyle name="Comma 2 2 2 3 3 4 2 2 4" xfId="27779" xr:uid="{00000000-0005-0000-0000-0000430A0000}"/>
    <cellStyle name="Comma 2 2 2 3 3 4 2 3" xfId="6948" xr:uid="{00000000-0005-0000-0000-0000440A0000}"/>
    <cellStyle name="Comma 2 2 2 3 3 4 2 3 2" xfId="30227" xr:uid="{00000000-0005-0000-0000-0000450A0000}"/>
    <cellStyle name="Comma 2 2 2 3 3 4 2 4" xfId="9396" xr:uid="{00000000-0005-0000-0000-0000460A0000}"/>
    <cellStyle name="Comma 2 2 2 3 3 4 2 4 2" xfId="32675" xr:uid="{00000000-0005-0000-0000-0000470A0000}"/>
    <cellStyle name="Comma 2 2 2 3 3 4 2 5" xfId="11844" xr:uid="{00000000-0005-0000-0000-0000480A0000}"/>
    <cellStyle name="Comma 2 2 2 3 3 4 2 5 2" xfId="35123" xr:uid="{00000000-0005-0000-0000-0000490A0000}"/>
    <cellStyle name="Comma 2 2 2 3 3 4 2 6" xfId="14292" xr:uid="{00000000-0005-0000-0000-00004A0A0000}"/>
    <cellStyle name="Comma 2 2 2 3 3 4 2 6 2" xfId="37571" xr:uid="{00000000-0005-0000-0000-00004B0A0000}"/>
    <cellStyle name="Comma 2 2 2 3 3 4 2 7" xfId="17987" xr:uid="{00000000-0005-0000-0000-00004C0A0000}"/>
    <cellStyle name="Comma 2 2 2 3 3 4 2 7 2" xfId="41265" xr:uid="{00000000-0005-0000-0000-00004D0A0000}"/>
    <cellStyle name="Comma 2 2 2 3 3 4 2 8" xfId="25331" xr:uid="{00000000-0005-0000-0000-00004E0A0000}"/>
    <cellStyle name="Comma 2 2 2 3 3 4 2 9" xfId="46161" xr:uid="{00000000-0005-0000-0000-00004F0A0000}"/>
    <cellStyle name="Comma 2 2 2 3 3 4 3" xfId="3276" xr:uid="{00000000-0005-0000-0000-0000500A0000}"/>
    <cellStyle name="Comma 2 2 2 3 3 4 3 2" xfId="16763" xr:uid="{00000000-0005-0000-0000-0000510A0000}"/>
    <cellStyle name="Comma 2 2 2 3 3 4 3 2 2" xfId="40041" xr:uid="{00000000-0005-0000-0000-0000520A0000}"/>
    <cellStyle name="Comma 2 2 2 3 3 4 3 3" xfId="47385" xr:uid="{00000000-0005-0000-0000-0000530A0000}"/>
    <cellStyle name="Comma 2 2 2 3 3 4 3 4" xfId="26555" xr:uid="{00000000-0005-0000-0000-0000540A0000}"/>
    <cellStyle name="Comma 2 2 2 3 3 4 4" xfId="5724" xr:uid="{00000000-0005-0000-0000-0000550A0000}"/>
    <cellStyle name="Comma 2 2 2 3 3 4 4 2" xfId="19211" xr:uid="{00000000-0005-0000-0000-0000560A0000}"/>
    <cellStyle name="Comma 2 2 2 3 3 4 4 2 2" xfId="42489" xr:uid="{00000000-0005-0000-0000-0000570A0000}"/>
    <cellStyle name="Comma 2 2 2 3 3 4 4 3" xfId="29003" xr:uid="{00000000-0005-0000-0000-0000580A0000}"/>
    <cellStyle name="Comma 2 2 2 3 3 4 5" xfId="8172" xr:uid="{00000000-0005-0000-0000-0000590A0000}"/>
    <cellStyle name="Comma 2 2 2 3 3 4 5 2" xfId="31451" xr:uid="{00000000-0005-0000-0000-00005A0A0000}"/>
    <cellStyle name="Comma 2 2 2 3 3 4 6" xfId="10620" xr:uid="{00000000-0005-0000-0000-00005B0A0000}"/>
    <cellStyle name="Comma 2 2 2 3 3 4 6 2" xfId="33899" xr:uid="{00000000-0005-0000-0000-00005C0A0000}"/>
    <cellStyle name="Comma 2 2 2 3 3 4 7" xfId="13068" xr:uid="{00000000-0005-0000-0000-00005D0A0000}"/>
    <cellStyle name="Comma 2 2 2 3 3 4 7 2" xfId="36347" xr:uid="{00000000-0005-0000-0000-00005E0A0000}"/>
    <cellStyle name="Comma 2 2 2 3 3 4 8" xfId="15539" xr:uid="{00000000-0005-0000-0000-00005F0A0000}"/>
    <cellStyle name="Comma 2 2 2 3 3 4 8 2" xfId="38817" xr:uid="{00000000-0005-0000-0000-0000600A0000}"/>
    <cellStyle name="Comma 2 2 2 3 3 4 9" xfId="24107" xr:uid="{00000000-0005-0000-0000-0000610A0000}"/>
    <cellStyle name="Comma 2 2 2 3 3 5" xfId="1440" xr:uid="{00000000-0005-0000-0000-0000620A0000}"/>
    <cellStyle name="Comma 2 2 2 3 3 5 10" xfId="22271" xr:uid="{00000000-0005-0000-0000-0000630A0000}"/>
    <cellStyle name="Comma 2 2 2 3 3 5 2" xfId="3888" xr:uid="{00000000-0005-0000-0000-0000640A0000}"/>
    <cellStyle name="Comma 2 2 2 3 3 5 2 2" xfId="19823" xr:uid="{00000000-0005-0000-0000-0000650A0000}"/>
    <cellStyle name="Comma 2 2 2 3 3 5 2 2 2" xfId="43101" xr:uid="{00000000-0005-0000-0000-0000660A0000}"/>
    <cellStyle name="Comma 2 2 2 3 3 5 2 3" xfId="47997" xr:uid="{00000000-0005-0000-0000-0000670A0000}"/>
    <cellStyle name="Comma 2 2 2 3 3 5 2 4" xfId="27167" xr:uid="{00000000-0005-0000-0000-0000680A0000}"/>
    <cellStyle name="Comma 2 2 2 3 3 5 3" xfId="6336" xr:uid="{00000000-0005-0000-0000-0000690A0000}"/>
    <cellStyle name="Comma 2 2 2 3 3 5 3 2" xfId="29615" xr:uid="{00000000-0005-0000-0000-00006A0A0000}"/>
    <cellStyle name="Comma 2 2 2 3 3 5 4" xfId="8784" xr:uid="{00000000-0005-0000-0000-00006B0A0000}"/>
    <cellStyle name="Comma 2 2 2 3 3 5 4 2" xfId="32063" xr:uid="{00000000-0005-0000-0000-00006C0A0000}"/>
    <cellStyle name="Comma 2 2 2 3 3 5 5" xfId="11232" xr:uid="{00000000-0005-0000-0000-00006D0A0000}"/>
    <cellStyle name="Comma 2 2 2 3 3 5 5 2" xfId="34511" xr:uid="{00000000-0005-0000-0000-00006E0A0000}"/>
    <cellStyle name="Comma 2 2 2 3 3 5 6" xfId="13680" xr:uid="{00000000-0005-0000-0000-00006F0A0000}"/>
    <cellStyle name="Comma 2 2 2 3 3 5 6 2" xfId="36959" xr:uid="{00000000-0005-0000-0000-0000700A0000}"/>
    <cellStyle name="Comma 2 2 2 3 3 5 7" xfId="17375" xr:uid="{00000000-0005-0000-0000-0000710A0000}"/>
    <cellStyle name="Comma 2 2 2 3 3 5 7 2" xfId="40653" xr:uid="{00000000-0005-0000-0000-0000720A0000}"/>
    <cellStyle name="Comma 2 2 2 3 3 5 8" xfId="24719" xr:uid="{00000000-0005-0000-0000-0000730A0000}"/>
    <cellStyle name="Comma 2 2 2 3 3 5 9" xfId="45549" xr:uid="{00000000-0005-0000-0000-0000740A0000}"/>
    <cellStyle name="Comma 2 2 2 3 3 6" xfId="2664" xr:uid="{00000000-0005-0000-0000-0000750A0000}"/>
    <cellStyle name="Comma 2 2 2 3 3 6 2" xfId="16151" xr:uid="{00000000-0005-0000-0000-0000760A0000}"/>
    <cellStyle name="Comma 2 2 2 3 3 6 2 2" xfId="39429" xr:uid="{00000000-0005-0000-0000-0000770A0000}"/>
    <cellStyle name="Comma 2 2 2 3 3 6 3" xfId="46773" xr:uid="{00000000-0005-0000-0000-0000780A0000}"/>
    <cellStyle name="Comma 2 2 2 3 3 6 4" xfId="25943" xr:uid="{00000000-0005-0000-0000-0000790A0000}"/>
    <cellStyle name="Comma 2 2 2 3 3 7" xfId="5112" xr:uid="{00000000-0005-0000-0000-00007A0A0000}"/>
    <cellStyle name="Comma 2 2 2 3 3 7 2" xfId="18599" xr:uid="{00000000-0005-0000-0000-00007B0A0000}"/>
    <cellStyle name="Comma 2 2 2 3 3 7 2 2" xfId="41877" xr:uid="{00000000-0005-0000-0000-00007C0A0000}"/>
    <cellStyle name="Comma 2 2 2 3 3 7 3" xfId="28391" xr:uid="{00000000-0005-0000-0000-00007D0A0000}"/>
    <cellStyle name="Comma 2 2 2 3 3 8" xfId="7560" xr:uid="{00000000-0005-0000-0000-00007E0A0000}"/>
    <cellStyle name="Comma 2 2 2 3 3 8 2" xfId="30839" xr:uid="{00000000-0005-0000-0000-00007F0A0000}"/>
    <cellStyle name="Comma 2 2 2 3 3 9" xfId="10008" xr:uid="{00000000-0005-0000-0000-0000800A0000}"/>
    <cellStyle name="Comma 2 2 2 3 3 9 2" xfId="33287" xr:uid="{00000000-0005-0000-0000-0000810A0000}"/>
    <cellStyle name="Comma 2 2 2 3 4" xfId="284" xr:uid="{00000000-0005-0000-0000-0000820A0000}"/>
    <cellStyle name="Comma 2 2 2 3 4 10" xfId="23563" xr:uid="{00000000-0005-0000-0000-0000830A0000}"/>
    <cellStyle name="Comma 2 2 2 3 4 11" xfId="44393" xr:uid="{00000000-0005-0000-0000-0000840A0000}"/>
    <cellStyle name="Comma 2 2 2 3 4 12" xfId="21115" xr:uid="{00000000-0005-0000-0000-0000850A0000}"/>
    <cellStyle name="Comma 2 2 2 3 4 2" xfId="896" xr:uid="{00000000-0005-0000-0000-0000860A0000}"/>
    <cellStyle name="Comma 2 2 2 3 4 2 10" xfId="45005" xr:uid="{00000000-0005-0000-0000-0000870A0000}"/>
    <cellStyle name="Comma 2 2 2 3 4 2 11" xfId="21727" xr:uid="{00000000-0005-0000-0000-0000880A0000}"/>
    <cellStyle name="Comma 2 2 2 3 4 2 2" xfId="2120" xr:uid="{00000000-0005-0000-0000-0000890A0000}"/>
    <cellStyle name="Comma 2 2 2 3 4 2 2 10" xfId="22951" xr:uid="{00000000-0005-0000-0000-00008A0A0000}"/>
    <cellStyle name="Comma 2 2 2 3 4 2 2 2" xfId="4568" xr:uid="{00000000-0005-0000-0000-00008B0A0000}"/>
    <cellStyle name="Comma 2 2 2 3 4 2 2 2 2" xfId="20503" xr:uid="{00000000-0005-0000-0000-00008C0A0000}"/>
    <cellStyle name="Comma 2 2 2 3 4 2 2 2 2 2" xfId="43781" xr:uid="{00000000-0005-0000-0000-00008D0A0000}"/>
    <cellStyle name="Comma 2 2 2 3 4 2 2 2 3" xfId="48677" xr:uid="{00000000-0005-0000-0000-00008E0A0000}"/>
    <cellStyle name="Comma 2 2 2 3 4 2 2 2 4" xfId="27847" xr:uid="{00000000-0005-0000-0000-00008F0A0000}"/>
    <cellStyle name="Comma 2 2 2 3 4 2 2 3" xfId="7016" xr:uid="{00000000-0005-0000-0000-0000900A0000}"/>
    <cellStyle name="Comma 2 2 2 3 4 2 2 3 2" xfId="30295" xr:uid="{00000000-0005-0000-0000-0000910A0000}"/>
    <cellStyle name="Comma 2 2 2 3 4 2 2 4" xfId="9464" xr:uid="{00000000-0005-0000-0000-0000920A0000}"/>
    <cellStyle name="Comma 2 2 2 3 4 2 2 4 2" xfId="32743" xr:uid="{00000000-0005-0000-0000-0000930A0000}"/>
    <cellStyle name="Comma 2 2 2 3 4 2 2 5" xfId="11912" xr:uid="{00000000-0005-0000-0000-0000940A0000}"/>
    <cellStyle name="Comma 2 2 2 3 4 2 2 5 2" xfId="35191" xr:uid="{00000000-0005-0000-0000-0000950A0000}"/>
    <cellStyle name="Comma 2 2 2 3 4 2 2 6" xfId="14360" xr:uid="{00000000-0005-0000-0000-0000960A0000}"/>
    <cellStyle name="Comma 2 2 2 3 4 2 2 6 2" xfId="37639" xr:uid="{00000000-0005-0000-0000-0000970A0000}"/>
    <cellStyle name="Comma 2 2 2 3 4 2 2 7" xfId="18055" xr:uid="{00000000-0005-0000-0000-0000980A0000}"/>
    <cellStyle name="Comma 2 2 2 3 4 2 2 7 2" xfId="41333" xr:uid="{00000000-0005-0000-0000-0000990A0000}"/>
    <cellStyle name="Comma 2 2 2 3 4 2 2 8" xfId="25399" xr:uid="{00000000-0005-0000-0000-00009A0A0000}"/>
    <cellStyle name="Comma 2 2 2 3 4 2 2 9" xfId="46229" xr:uid="{00000000-0005-0000-0000-00009B0A0000}"/>
    <cellStyle name="Comma 2 2 2 3 4 2 3" xfId="3344" xr:uid="{00000000-0005-0000-0000-00009C0A0000}"/>
    <cellStyle name="Comma 2 2 2 3 4 2 3 2" xfId="16831" xr:uid="{00000000-0005-0000-0000-00009D0A0000}"/>
    <cellStyle name="Comma 2 2 2 3 4 2 3 2 2" xfId="40109" xr:uid="{00000000-0005-0000-0000-00009E0A0000}"/>
    <cellStyle name="Comma 2 2 2 3 4 2 3 3" xfId="47453" xr:uid="{00000000-0005-0000-0000-00009F0A0000}"/>
    <cellStyle name="Comma 2 2 2 3 4 2 3 4" xfId="26623" xr:uid="{00000000-0005-0000-0000-0000A00A0000}"/>
    <cellStyle name="Comma 2 2 2 3 4 2 4" xfId="5792" xr:uid="{00000000-0005-0000-0000-0000A10A0000}"/>
    <cellStyle name="Comma 2 2 2 3 4 2 4 2" xfId="19279" xr:uid="{00000000-0005-0000-0000-0000A20A0000}"/>
    <cellStyle name="Comma 2 2 2 3 4 2 4 2 2" xfId="42557" xr:uid="{00000000-0005-0000-0000-0000A30A0000}"/>
    <cellStyle name="Comma 2 2 2 3 4 2 4 3" xfId="29071" xr:uid="{00000000-0005-0000-0000-0000A40A0000}"/>
    <cellStyle name="Comma 2 2 2 3 4 2 5" xfId="8240" xr:uid="{00000000-0005-0000-0000-0000A50A0000}"/>
    <cellStyle name="Comma 2 2 2 3 4 2 5 2" xfId="31519" xr:uid="{00000000-0005-0000-0000-0000A60A0000}"/>
    <cellStyle name="Comma 2 2 2 3 4 2 6" xfId="10688" xr:uid="{00000000-0005-0000-0000-0000A70A0000}"/>
    <cellStyle name="Comma 2 2 2 3 4 2 6 2" xfId="33967" xr:uid="{00000000-0005-0000-0000-0000A80A0000}"/>
    <cellStyle name="Comma 2 2 2 3 4 2 7" xfId="13136" xr:uid="{00000000-0005-0000-0000-0000A90A0000}"/>
    <cellStyle name="Comma 2 2 2 3 4 2 7 2" xfId="36415" xr:uid="{00000000-0005-0000-0000-0000AA0A0000}"/>
    <cellStyle name="Comma 2 2 2 3 4 2 8" xfId="15607" xr:uid="{00000000-0005-0000-0000-0000AB0A0000}"/>
    <cellStyle name="Comma 2 2 2 3 4 2 8 2" xfId="38885" xr:uid="{00000000-0005-0000-0000-0000AC0A0000}"/>
    <cellStyle name="Comma 2 2 2 3 4 2 9" xfId="24175" xr:uid="{00000000-0005-0000-0000-0000AD0A0000}"/>
    <cellStyle name="Comma 2 2 2 3 4 3" xfId="1508" xr:uid="{00000000-0005-0000-0000-0000AE0A0000}"/>
    <cellStyle name="Comma 2 2 2 3 4 3 10" xfId="22339" xr:uid="{00000000-0005-0000-0000-0000AF0A0000}"/>
    <cellStyle name="Comma 2 2 2 3 4 3 2" xfId="3956" xr:uid="{00000000-0005-0000-0000-0000B00A0000}"/>
    <cellStyle name="Comma 2 2 2 3 4 3 2 2" xfId="19891" xr:uid="{00000000-0005-0000-0000-0000B10A0000}"/>
    <cellStyle name="Comma 2 2 2 3 4 3 2 2 2" xfId="43169" xr:uid="{00000000-0005-0000-0000-0000B20A0000}"/>
    <cellStyle name="Comma 2 2 2 3 4 3 2 3" xfId="48065" xr:uid="{00000000-0005-0000-0000-0000B30A0000}"/>
    <cellStyle name="Comma 2 2 2 3 4 3 2 4" xfId="27235" xr:uid="{00000000-0005-0000-0000-0000B40A0000}"/>
    <cellStyle name="Comma 2 2 2 3 4 3 3" xfId="6404" xr:uid="{00000000-0005-0000-0000-0000B50A0000}"/>
    <cellStyle name="Comma 2 2 2 3 4 3 3 2" xfId="29683" xr:uid="{00000000-0005-0000-0000-0000B60A0000}"/>
    <cellStyle name="Comma 2 2 2 3 4 3 4" xfId="8852" xr:uid="{00000000-0005-0000-0000-0000B70A0000}"/>
    <cellStyle name="Comma 2 2 2 3 4 3 4 2" xfId="32131" xr:uid="{00000000-0005-0000-0000-0000B80A0000}"/>
    <cellStyle name="Comma 2 2 2 3 4 3 5" xfId="11300" xr:uid="{00000000-0005-0000-0000-0000B90A0000}"/>
    <cellStyle name="Comma 2 2 2 3 4 3 5 2" xfId="34579" xr:uid="{00000000-0005-0000-0000-0000BA0A0000}"/>
    <cellStyle name="Comma 2 2 2 3 4 3 6" xfId="13748" xr:uid="{00000000-0005-0000-0000-0000BB0A0000}"/>
    <cellStyle name="Comma 2 2 2 3 4 3 6 2" xfId="37027" xr:uid="{00000000-0005-0000-0000-0000BC0A0000}"/>
    <cellStyle name="Comma 2 2 2 3 4 3 7" xfId="17443" xr:uid="{00000000-0005-0000-0000-0000BD0A0000}"/>
    <cellStyle name="Comma 2 2 2 3 4 3 7 2" xfId="40721" xr:uid="{00000000-0005-0000-0000-0000BE0A0000}"/>
    <cellStyle name="Comma 2 2 2 3 4 3 8" xfId="24787" xr:uid="{00000000-0005-0000-0000-0000BF0A0000}"/>
    <cellStyle name="Comma 2 2 2 3 4 3 9" xfId="45617" xr:uid="{00000000-0005-0000-0000-0000C00A0000}"/>
    <cellStyle name="Comma 2 2 2 3 4 4" xfId="2732" xr:uid="{00000000-0005-0000-0000-0000C10A0000}"/>
    <cellStyle name="Comma 2 2 2 3 4 4 2" xfId="16219" xr:uid="{00000000-0005-0000-0000-0000C20A0000}"/>
    <cellStyle name="Comma 2 2 2 3 4 4 2 2" xfId="39497" xr:uid="{00000000-0005-0000-0000-0000C30A0000}"/>
    <cellStyle name="Comma 2 2 2 3 4 4 3" xfId="46841" xr:uid="{00000000-0005-0000-0000-0000C40A0000}"/>
    <cellStyle name="Comma 2 2 2 3 4 4 4" xfId="26011" xr:uid="{00000000-0005-0000-0000-0000C50A0000}"/>
    <cellStyle name="Comma 2 2 2 3 4 5" xfId="5180" xr:uid="{00000000-0005-0000-0000-0000C60A0000}"/>
    <cellStyle name="Comma 2 2 2 3 4 5 2" xfId="18667" xr:uid="{00000000-0005-0000-0000-0000C70A0000}"/>
    <cellStyle name="Comma 2 2 2 3 4 5 2 2" xfId="41945" xr:uid="{00000000-0005-0000-0000-0000C80A0000}"/>
    <cellStyle name="Comma 2 2 2 3 4 5 3" xfId="28459" xr:uid="{00000000-0005-0000-0000-0000C90A0000}"/>
    <cellStyle name="Comma 2 2 2 3 4 6" xfId="7628" xr:uid="{00000000-0005-0000-0000-0000CA0A0000}"/>
    <cellStyle name="Comma 2 2 2 3 4 6 2" xfId="30907" xr:uid="{00000000-0005-0000-0000-0000CB0A0000}"/>
    <cellStyle name="Comma 2 2 2 3 4 7" xfId="10076" xr:uid="{00000000-0005-0000-0000-0000CC0A0000}"/>
    <cellStyle name="Comma 2 2 2 3 4 7 2" xfId="33355" xr:uid="{00000000-0005-0000-0000-0000CD0A0000}"/>
    <cellStyle name="Comma 2 2 2 3 4 8" xfId="12524" xr:uid="{00000000-0005-0000-0000-0000CE0A0000}"/>
    <cellStyle name="Comma 2 2 2 3 4 8 2" xfId="35803" xr:uid="{00000000-0005-0000-0000-0000CF0A0000}"/>
    <cellStyle name="Comma 2 2 2 3 4 9" xfId="14995" xr:uid="{00000000-0005-0000-0000-0000D00A0000}"/>
    <cellStyle name="Comma 2 2 2 3 4 9 2" xfId="38273" xr:uid="{00000000-0005-0000-0000-0000D10A0000}"/>
    <cellStyle name="Comma 2 2 2 3 5" xfId="488" xr:uid="{00000000-0005-0000-0000-0000D20A0000}"/>
    <cellStyle name="Comma 2 2 2 3 5 10" xfId="23767" xr:uid="{00000000-0005-0000-0000-0000D30A0000}"/>
    <cellStyle name="Comma 2 2 2 3 5 11" xfId="44597" xr:uid="{00000000-0005-0000-0000-0000D40A0000}"/>
    <cellStyle name="Comma 2 2 2 3 5 12" xfId="21319" xr:uid="{00000000-0005-0000-0000-0000D50A0000}"/>
    <cellStyle name="Comma 2 2 2 3 5 2" xfId="1100" xr:uid="{00000000-0005-0000-0000-0000D60A0000}"/>
    <cellStyle name="Comma 2 2 2 3 5 2 10" xfId="45209" xr:uid="{00000000-0005-0000-0000-0000D70A0000}"/>
    <cellStyle name="Comma 2 2 2 3 5 2 11" xfId="21931" xr:uid="{00000000-0005-0000-0000-0000D80A0000}"/>
    <cellStyle name="Comma 2 2 2 3 5 2 2" xfId="2324" xr:uid="{00000000-0005-0000-0000-0000D90A0000}"/>
    <cellStyle name="Comma 2 2 2 3 5 2 2 10" xfId="23155" xr:uid="{00000000-0005-0000-0000-0000DA0A0000}"/>
    <cellStyle name="Comma 2 2 2 3 5 2 2 2" xfId="4772" xr:uid="{00000000-0005-0000-0000-0000DB0A0000}"/>
    <cellStyle name="Comma 2 2 2 3 5 2 2 2 2" xfId="20707" xr:uid="{00000000-0005-0000-0000-0000DC0A0000}"/>
    <cellStyle name="Comma 2 2 2 3 5 2 2 2 2 2" xfId="43985" xr:uid="{00000000-0005-0000-0000-0000DD0A0000}"/>
    <cellStyle name="Comma 2 2 2 3 5 2 2 2 3" xfId="48881" xr:uid="{00000000-0005-0000-0000-0000DE0A0000}"/>
    <cellStyle name="Comma 2 2 2 3 5 2 2 2 4" xfId="28051" xr:uid="{00000000-0005-0000-0000-0000DF0A0000}"/>
    <cellStyle name="Comma 2 2 2 3 5 2 2 3" xfId="7220" xr:uid="{00000000-0005-0000-0000-0000E00A0000}"/>
    <cellStyle name="Comma 2 2 2 3 5 2 2 3 2" xfId="30499" xr:uid="{00000000-0005-0000-0000-0000E10A0000}"/>
    <cellStyle name="Comma 2 2 2 3 5 2 2 4" xfId="9668" xr:uid="{00000000-0005-0000-0000-0000E20A0000}"/>
    <cellStyle name="Comma 2 2 2 3 5 2 2 4 2" xfId="32947" xr:uid="{00000000-0005-0000-0000-0000E30A0000}"/>
    <cellStyle name="Comma 2 2 2 3 5 2 2 5" xfId="12116" xr:uid="{00000000-0005-0000-0000-0000E40A0000}"/>
    <cellStyle name="Comma 2 2 2 3 5 2 2 5 2" xfId="35395" xr:uid="{00000000-0005-0000-0000-0000E50A0000}"/>
    <cellStyle name="Comma 2 2 2 3 5 2 2 6" xfId="14564" xr:uid="{00000000-0005-0000-0000-0000E60A0000}"/>
    <cellStyle name="Comma 2 2 2 3 5 2 2 6 2" xfId="37843" xr:uid="{00000000-0005-0000-0000-0000E70A0000}"/>
    <cellStyle name="Comma 2 2 2 3 5 2 2 7" xfId="18259" xr:uid="{00000000-0005-0000-0000-0000E80A0000}"/>
    <cellStyle name="Comma 2 2 2 3 5 2 2 7 2" xfId="41537" xr:uid="{00000000-0005-0000-0000-0000E90A0000}"/>
    <cellStyle name="Comma 2 2 2 3 5 2 2 8" xfId="25603" xr:uid="{00000000-0005-0000-0000-0000EA0A0000}"/>
    <cellStyle name="Comma 2 2 2 3 5 2 2 9" xfId="46433" xr:uid="{00000000-0005-0000-0000-0000EB0A0000}"/>
    <cellStyle name="Comma 2 2 2 3 5 2 3" xfId="3548" xr:uid="{00000000-0005-0000-0000-0000EC0A0000}"/>
    <cellStyle name="Comma 2 2 2 3 5 2 3 2" xfId="17035" xr:uid="{00000000-0005-0000-0000-0000ED0A0000}"/>
    <cellStyle name="Comma 2 2 2 3 5 2 3 2 2" xfId="40313" xr:uid="{00000000-0005-0000-0000-0000EE0A0000}"/>
    <cellStyle name="Comma 2 2 2 3 5 2 3 3" xfId="47657" xr:uid="{00000000-0005-0000-0000-0000EF0A0000}"/>
    <cellStyle name="Comma 2 2 2 3 5 2 3 4" xfId="26827" xr:uid="{00000000-0005-0000-0000-0000F00A0000}"/>
    <cellStyle name="Comma 2 2 2 3 5 2 4" xfId="5996" xr:uid="{00000000-0005-0000-0000-0000F10A0000}"/>
    <cellStyle name="Comma 2 2 2 3 5 2 4 2" xfId="19483" xr:uid="{00000000-0005-0000-0000-0000F20A0000}"/>
    <cellStyle name="Comma 2 2 2 3 5 2 4 2 2" xfId="42761" xr:uid="{00000000-0005-0000-0000-0000F30A0000}"/>
    <cellStyle name="Comma 2 2 2 3 5 2 4 3" xfId="29275" xr:uid="{00000000-0005-0000-0000-0000F40A0000}"/>
    <cellStyle name="Comma 2 2 2 3 5 2 5" xfId="8444" xr:uid="{00000000-0005-0000-0000-0000F50A0000}"/>
    <cellStyle name="Comma 2 2 2 3 5 2 5 2" xfId="31723" xr:uid="{00000000-0005-0000-0000-0000F60A0000}"/>
    <cellStyle name="Comma 2 2 2 3 5 2 6" xfId="10892" xr:uid="{00000000-0005-0000-0000-0000F70A0000}"/>
    <cellStyle name="Comma 2 2 2 3 5 2 6 2" xfId="34171" xr:uid="{00000000-0005-0000-0000-0000F80A0000}"/>
    <cellStyle name="Comma 2 2 2 3 5 2 7" xfId="13340" xr:uid="{00000000-0005-0000-0000-0000F90A0000}"/>
    <cellStyle name="Comma 2 2 2 3 5 2 7 2" xfId="36619" xr:uid="{00000000-0005-0000-0000-0000FA0A0000}"/>
    <cellStyle name="Comma 2 2 2 3 5 2 8" xfId="15811" xr:uid="{00000000-0005-0000-0000-0000FB0A0000}"/>
    <cellStyle name="Comma 2 2 2 3 5 2 8 2" xfId="39089" xr:uid="{00000000-0005-0000-0000-0000FC0A0000}"/>
    <cellStyle name="Comma 2 2 2 3 5 2 9" xfId="24379" xr:uid="{00000000-0005-0000-0000-0000FD0A0000}"/>
    <cellStyle name="Comma 2 2 2 3 5 3" xfId="1712" xr:uid="{00000000-0005-0000-0000-0000FE0A0000}"/>
    <cellStyle name="Comma 2 2 2 3 5 3 10" xfId="22543" xr:uid="{00000000-0005-0000-0000-0000FF0A0000}"/>
    <cellStyle name="Comma 2 2 2 3 5 3 2" xfId="4160" xr:uid="{00000000-0005-0000-0000-0000000B0000}"/>
    <cellStyle name="Comma 2 2 2 3 5 3 2 2" xfId="20095" xr:uid="{00000000-0005-0000-0000-0000010B0000}"/>
    <cellStyle name="Comma 2 2 2 3 5 3 2 2 2" xfId="43373" xr:uid="{00000000-0005-0000-0000-0000020B0000}"/>
    <cellStyle name="Comma 2 2 2 3 5 3 2 3" xfId="48269" xr:uid="{00000000-0005-0000-0000-0000030B0000}"/>
    <cellStyle name="Comma 2 2 2 3 5 3 2 4" xfId="27439" xr:uid="{00000000-0005-0000-0000-0000040B0000}"/>
    <cellStyle name="Comma 2 2 2 3 5 3 3" xfId="6608" xr:uid="{00000000-0005-0000-0000-0000050B0000}"/>
    <cellStyle name="Comma 2 2 2 3 5 3 3 2" xfId="29887" xr:uid="{00000000-0005-0000-0000-0000060B0000}"/>
    <cellStyle name="Comma 2 2 2 3 5 3 4" xfId="9056" xr:uid="{00000000-0005-0000-0000-0000070B0000}"/>
    <cellStyle name="Comma 2 2 2 3 5 3 4 2" xfId="32335" xr:uid="{00000000-0005-0000-0000-0000080B0000}"/>
    <cellStyle name="Comma 2 2 2 3 5 3 5" xfId="11504" xr:uid="{00000000-0005-0000-0000-0000090B0000}"/>
    <cellStyle name="Comma 2 2 2 3 5 3 5 2" xfId="34783" xr:uid="{00000000-0005-0000-0000-00000A0B0000}"/>
    <cellStyle name="Comma 2 2 2 3 5 3 6" xfId="13952" xr:uid="{00000000-0005-0000-0000-00000B0B0000}"/>
    <cellStyle name="Comma 2 2 2 3 5 3 6 2" xfId="37231" xr:uid="{00000000-0005-0000-0000-00000C0B0000}"/>
    <cellStyle name="Comma 2 2 2 3 5 3 7" xfId="17647" xr:uid="{00000000-0005-0000-0000-00000D0B0000}"/>
    <cellStyle name="Comma 2 2 2 3 5 3 7 2" xfId="40925" xr:uid="{00000000-0005-0000-0000-00000E0B0000}"/>
    <cellStyle name="Comma 2 2 2 3 5 3 8" xfId="24991" xr:uid="{00000000-0005-0000-0000-00000F0B0000}"/>
    <cellStyle name="Comma 2 2 2 3 5 3 9" xfId="45821" xr:uid="{00000000-0005-0000-0000-0000100B0000}"/>
    <cellStyle name="Comma 2 2 2 3 5 4" xfId="2936" xr:uid="{00000000-0005-0000-0000-0000110B0000}"/>
    <cellStyle name="Comma 2 2 2 3 5 4 2" xfId="16423" xr:uid="{00000000-0005-0000-0000-0000120B0000}"/>
    <cellStyle name="Comma 2 2 2 3 5 4 2 2" xfId="39701" xr:uid="{00000000-0005-0000-0000-0000130B0000}"/>
    <cellStyle name="Comma 2 2 2 3 5 4 3" xfId="47045" xr:uid="{00000000-0005-0000-0000-0000140B0000}"/>
    <cellStyle name="Comma 2 2 2 3 5 4 4" xfId="26215" xr:uid="{00000000-0005-0000-0000-0000150B0000}"/>
    <cellStyle name="Comma 2 2 2 3 5 5" xfId="5384" xr:uid="{00000000-0005-0000-0000-0000160B0000}"/>
    <cellStyle name="Comma 2 2 2 3 5 5 2" xfId="18871" xr:uid="{00000000-0005-0000-0000-0000170B0000}"/>
    <cellStyle name="Comma 2 2 2 3 5 5 2 2" xfId="42149" xr:uid="{00000000-0005-0000-0000-0000180B0000}"/>
    <cellStyle name="Comma 2 2 2 3 5 5 3" xfId="28663" xr:uid="{00000000-0005-0000-0000-0000190B0000}"/>
    <cellStyle name="Comma 2 2 2 3 5 6" xfId="7832" xr:uid="{00000000-0005-0000-0000-00001A0B0000}"/>
    <cellStyle name="Comma 2 2 2 3 5 6 2" xfId="31111" xr:uid="{00000000-0005-0000-0000-00001B0B0000}"/>
    <cellStyle name="Comma 2 2 2 3 5 7" xfId="10280" xr:uid="{00000000-0005-0000-0000-00001C0B0000}"/>
    <cellStyle name="Comma 2 2 2 3 5 7 2" xfId="33559" xr:uid="{00000000-0005-0000-0000-00001D0B0000}"/>
    <cellStyle name="Comma 2 2 2 3 5 8" xfId="12728" xr:uid="{00000000-0005-0000-0000-00001E0B0000}"/>
    <cellStyle name="Comma 2 2 2 3 5 8 2" xfId="36007" xr:uid="{00000000-0005-0000-0000-00001F0B0000}"/>
    <cellStyle name="Comma 2 2 2 3 5 9" xfId="15199" xr:uid="{00000000-0005-0000-0000-0000200B0000}"/>
    <cellStyle name="Comma 2 2 2 3 5 9 2" xfId="38477" xr:uid="{00000000-0005-0000-0000-0000210B0000}"/>
    <cellStyle name="Comma 2 2 2 3 6" xfId="692" xr:uid="{00000000-0005-0000-0000-0000220B0000}"/>
    <cellStyle name="Comma 2 2 2 3 6 10" xfId="44801" xr:uid="{00000000-0005-0000-0000-0000230B0000}"/>
    <cellStyle name="Comma 2 2 2 3 6 11" xfId="21523" xr:uid="{00000000-0005-0000-0000-0000240B0000}"/>
    <cellStyle name="Comma 2 2 2 3 6 2" xfId="1916" xr:uid="{00000000-0005-0000-0000-0000250B0000}"/>
    <cellStyle name="Comma 2 2 2 3 6 2 10" xfId="22747" xr:uid="{00000000-0005-0000-0000-0000260B0000}"/>
    <cellStyle name="Comma 2 2 2 3 6 2 2" xfId="4364" xr:uid="{00000000-0005-0000-0000-0000270B0000}"/>
    <cellStyle name="Comma 2 2 2 3 6 2 2 2" xfId="20299" xr:uid="{00000000-0005-0000-0000-0000280B0000}"/>
    <cellStyle name="Comma 2 2 2 3 6 2 2 2 2" xfId="43577" xr:uid="{00000000-0005-0000-0000-0000290B0000}"/>
    <cellStyle name="Comma 2 2 2 3 6 2 2 3" xfId="48473" xr:uid="{00000000-0005-0000-0000-00002A0B0000}"/>
    <cellStyle name="Comma 2 2 2 3 6 2 2 4" xfId="27643" xr:uid="{00000000-0005-0000-0000-00002B0B0000}"/>
    <cellStyle name="Comma 2 2 2 3 6 2 3" xfId="6812" xr:uid="{00000000-0005-0000-0000-00002C0B0000}"/>
    <cellStyle name="Comma 2 2 2 3 6 2 3 2" xfId="30091" xr:uid="{00000000-0005-0000-0000-00002D0B0000}"/>
    <cellStyle name="Comma 2 2 2 3 6 2 4" xfId="9260" xr:uid="{00000000-0005-0000-0000-00002E0B0000}"/>
    <cellStyle name="Comma 2 2 2 3 6 2 4 2" xfId="32539" xr:uid="{00000000-0005-0000-0000-00002F0B0000}"/>
    <cellStyle name="Comma 2 2 2 3 6 2 5" xfId="11708" xr:uid="{00000000-0005-0000-0000-0000300B0000}"/>
    <cellStyle name="Comma 2 2 2 3 6 2 5 2" xfId="34987" xr:uid="{00000000-0005-0000-0000-0000310B0000}"/>
    <cellStyle name="Comma 2 2 2 3 6 2 6" xfId="14156" xr:uid="{00000000-0005-0000-0000-0000320B0000}"/>
    <cellStyle name="Comma 2 2 2 3 6 2 6 2" xfId="37435" xr:uid="{00000000-0005-0000-0000-0000330B0000}"/>
    <cellStyle name="Comma 2 2 2 3 6 2 7" xfId="17851" xr:uid="{00000000-0005-0000-0000-0000340B0000}"/>
    <cellStyle name="Comma 2 2 2 3 6 2 7 2" xfId="41129" xr:uid="{00000000-0005-0000-0000-0000350B0000}"/>
    <cellStyle name="Comma 2 2 2 3 6 2 8" xfId="25195" xr:uid="{00000000-0005-0000-0000-0000360B0000}"/>
    <cellStyle name="Comma 2 2 2 3 6 2 9" xfId="46025" xr:uid="{00000000-0005-0000-0000-0000370B0000}"/>
    <cellStyle name="Comma 2 2 2 3 6 3" xfId="3140" xr:uid="{00000000-0005-0000-0000-0000380B0000}"/>
    <cellStyle name="Comma 2 2 2 3 6 3 2" xfId="16627" xr:uid="{00000000-0005-0000-0000-0000390B0000}"/>
    <cellStyle name="Comma 2 2 2 3 6 3 2 2" xfId="39905" xr:uid="{00000000-0005-0000-0000-00003A0B0000}"/>
    <cellStyle name="Comma 2 2 2 3 6 3 3" xfId="47249" xr:uid="{00000000-0005-0000-0000-00003B0B0000}"/>
    <cellStyle name="Comma 2 2 2 3 6 3 4" xfId="26419" xr:uid="{00000000-0005-0000-0000-00003C0B0000}"/>
    <cellStyle name="Comma 2 2 2 3 6 4" xfId="5588" xr:uid="{00000000-0005-0000-0000-00003D0B0000}"/>
    <cellStyle name="Comma 2 2 2 3 6 4 2" xfId="19075" xr:uid="{00000000-0005-0000-0000-00003E0B0000}"/>
    <cellStyle name="Comma 2 2 2 3 6 4 2 2" xfId="42353" xr:uid="{00000000-0005-0000-0000-00003F0B0000}"/>
    <cellStyle name="Comma 2 2 2 3 6 4 3" xfId="28867" xr:uid="{00000000-0005-0000-0000-0000400B0000}"/>
    <cellStyle name="Comma 2 2 2 3 6 5" xfId="8036" xr:uid="{00000000-0005-0000-0000-0000410B0000}"/>
    <cellStyle name="Comma 2 2 2 3 6 5 2" xfId="31315" xr:uid="{00000000-0005-0000-0000-0000420B0000}"/>
    <cellStyle name="Comma 2 2 2 3 6 6" xfId="10484" xr:uid="{00000000-0005-0000-0000-0000430B0000}"/>
    <cellStyle name="Comma 2 2 2 3 6 6 2" xfId="33763" xr:uid="{00000000-0005-0000-0000-0000440B0000}"/>
    <cellStyle name="Comma 2 2 2 3 6 7" xfId="12932" xr:uid="{00000000-0005-0000-0000-0000450B0000}"/>
    <cellStyle name="Comma 2 2 2 3 6 7 2" xfId="36211" xr:uid="{00000000-0005-0000-0000-0000460B0000}"/>
    <cellStyle name="Comma 2 2 2 3 6 8" xfId="15403" xr:uid="{00000000-0005-0000-0000-0000470B0000}"/>
    <cellStyle name="Comma 2 2 2 3 6 8 2" xfId="38681" xr:uid="{00000000-0005-0000-0000-0000480B0000}"/>
    <cellStyle name="Comma 2 2 2 3 6 9" xfId="23971" xr:uid="{00000000-0005-0000-0000-0000490B0000}"/>
    <cellStyle name="Comma 2 2 2 3 7" xfId="1304" xr:uid="{00000000-0005-0000-0000-00004A0B0000}"/>
    <cellStyle name="Comma 2 2 2 3 7 10" xfId="22135" xr:uid="{00000000-0005-0000-0000-00004B0B0000}"/>
    <cellStyle name="Comma 2 2 2 3 7 2" xfId="3752" xr:uid="{00000000-0005-0000-0000-00004C0B0000}"/>
    <cellStyle name="Comma 2 2 2 3 7 2 2" xfId="19687" xr:uid="{00000000-0005-0000-0000-00004D0B0000}"/>
    <cellStyle name="Comma 2 2 2 3 7 2 2 2" xfId="42965" xr:uid="{00000000-0005-0000-0000-00004E0B0000}"/>
    <cellStyle name="Comma 2 2 2 3 7 2 3" xfId="47861" xr:uid="{00000000-0005-0000-0000-00004F0B0000}"/>
    <cellStyle name="Comma 2 2 2 3 7 2 4" xfId="27031" xr:uid="{00000000-0005-0000-0000-0000500B0000}"/>
    <cellStyle name="Comma 2 2 2 3 7 3" xfId="6200" xr:uid="{00000000-0005-0000-0000-0000510B0000}"/>
    <cellStyle name="Comma 2 2 2 3 7 3 2" xfId="29479" xr:uid="{00000000-0005-0000-0000-0000520B0000}"/>
    <cellStyle name="Comma 2 2 2 3 7 4" xfId="8648" xr:uid="{00000000-0005-0000-0000-0000530B0000}"/>
    <cellStyle name="Comma 2 2 2 3 7 4 2" xfId="31927" xr:uid="{00000000-0005-0000-0000-0000540B0000}"/>
    <cellStyle name="Comma 2 2 2 3 7 5" xfId="11096" xr:uid="{00000000-0005-0000-0000-0000550B0000}"/>
    <cellStyle name="Comma 2 2 2 3 7 5 2" xfId="34375" xr:uid="{00000000-0005-0000-0000-0000560B0000}"/>
    <cellStyle name="Comma 2 2 2 3 7 6" xfId="13544" xr:uid="{00000000-0005-0000-0000-0000570B0000}"/>
    <cellStyle name="Comma 2 2 2 3 7 6 2" xfId="36823" xr:uid="{00000000-0005-0000-0000-0000580B0000}"/>
    <cellStyle name="Comma 2 2 2 3 7 7" xfId="17239" xr:uid="{00000000-0005-0000-0000-0000590B0000}"/>
    <cellStyle name="Comma 2 2 2 3 7 7 2" xfId="40517" xr:uid="{00000000-0005-0000-0000-00005A0B0000}"/>
    <cellStyle name="Comma 2 2 2 3 7 8" xfId="24583" xr:uid="{00000000-0005-0000-0000-00005B0B0000}"/>
    <cellStyle name="Comma 2 2 2 3 7 9" xfId="45413" xr:uid="{00000000-0005-0000-0000-00005C0B0000}"/>
    <cellStyle name="Comma 2 2 2 3 8" xfId="2528" xr:uid="{00000000-0005-0000-0000-00005D0B0000}"/>
    <cellStyle name="Comma 2 2 2 3 8 2" xfId="16015" xr:uid="{00000000-0005-0000-0000-00005E0B0000}"/>
    <cellStyle name="Comma 2 2 2 3 8 2 2" xfId="39293" xr:uid="{00000000-0005-0000-0000-00005F0B0000}"/>
    <cellStyle name="Comma 2 2 2 3 8 3" xfId="46637" xr:uid="{00000000-0005-0000-0000-0000600B0000}"/>
    <cellStyle name="Comma 2 2 2 3 8 4" xfId="25807" xr:uid="{00000000-0005-0000-0000-0000610B0000}"/>
    <cellStyle name="Comma 2 2 2 3 9" xfId="4976" xr:uid="{00000000-0005-0000-0000-0000620B0000}"/>
    <cellStyle name="Comma 2 2 2 3 9 2" xfId="18463" xr:uid="{00000000-0005-0000-0000-0000630B0000}"/>
    <cellStyle name="Comma 2 2 2 3 9 2 2" xfId="41741" xr:uid="{00000000-0005-0000-0000-0000640B0000}"/>
    <cellStyle name="Comma 2 2 2 3 9 3" xfId="28255" xr:uid="{00000000-0005-0000-0000-0000650B0000}"/>
    <cellStyle name="Comma 2 2 2 4" xfId="97" xr:uid="{00000000-0005-0000-0000-0000660B0000}"/>
    <cellStyle name="Comma 2 2 2 4 10" xfId="7441" xr:uid="{00000000-0005-0000-0000-0000670B0000}"/>
    <cellStyle name="Comma 2 2 2 4 10 2" xfId="30720" xr:uid="{00000000-0005-0000-0000-0000680B0000}"/>
    <cellStyle name="Comma 2 2 2 4 11" xfId="9889" xr:uid="{00000000-0005-0000-0000-0000690B0000}"/>
    <cellStyle name="Comma 2 2 2 4 11 2" xfId="33168" xr:uid="{00000000-0005-0000-0000-00006A0B0000}"/>
    <cellStyle name="Comma 2 2 2 4 12" xfId="12337" xr:uid="{00000000-0005-0000-0000-00006B0B0000}"/>
    <cellStyle name="Comma 2 2 2 4 12 2" xfId="35616" xr:uid="{00000000-0005-0000-0000-00006C0B0000}"/>
    <cellStyle name="Comma 2 2 2 4 13" xfId="14808" xr:uid="{00000000-0005-0000-0000-00006D0B0000}"/>
    <cellStyle name="Comma 2 2 2 4 13 2" xfId="38086" xr:uid="{00000000-0005-0000-0000-00006E0B0000}"/>
    <cellStyle name="Comma 2 2 2 4 14" xfId="23376" xr:uid="{00000000-0005-0000-0000-00006F0B0000}"/>
    <cellStyle name="Comma 2 2 2 4 15" xfId="44206" xr:uid="{00000000-0005-0000-0000-0000700B0000}"/>
    <cellStyle name="Comma 2 2 2 4 16" xfId="20928" xr:uid="{00000000-0005-0000-0000-0000710B0000}"/>
    <cellStyle name="Comma 2 2 2 4 2" xfId="165" xr:uid="{00000000-0005-0000-0000-0000720B0000}"/>
    <cellStyle name="Comma 2 2 2 4 2 10" xfId="12405" xr:uid="{00000000-0005-0000-0000-0000730B0000}"/>
    <cellStyle name="Comma 2 2 2 4 2 10 2" xfId="35684" xr:uid="{00000000-0005-0000-0000-0000740B0000}"/>
    <cellStyle name="Comma 2 2 2 4 2 11" xfId="14876" xr:uid="{00000000-0005-0000-0000-0000750B0000}"/>
    <cellStyle name="Comma 2 2 2 4 2 11 2" xfId="38154" xr:uid="{00000000-0005-0000-0000-0000760B0000}"/>
    <cellStyle name="Comma 2 2 2 4 2 12" xfId="23444" xr:uid="{00000000-0005-0000-0000-0000770B0000}"/>
    <cellStyle name="Comma 2 2 2 4 2 13" xfId="44274" xr:uid="{00000000-0005-0000-0000-0000780B0000}"/>
    <cellStyle name="Comma 2 2 2 4 2 14" xfId="20996" xr:uid="{00000000-0005-0000-0000-0000790B0000}"/>
    <cellStyle name="Comma 2 2 2 4 2 2" xfId="369" xr:uid="{00000000-0005-0000-0000-00007A0B0000}"/>
    <cellStyle name="Comma 2 2 2 4 2 2 10" xfId="23648" xr:uid="{00000000-0005-0000-0000-00007B0B0000}"/>
    <cellStyle name="Comma 2 2 2 4 2 2 11" xfId="44478" xr:uid="{00000000-0005-0000-0000-00007C0B0000}"/>
    <cellStyle name="Comma 2 2 2 4 2 2 12" xfId="21200" xr:uid="{00000000-0005-0000-0000-00007D0B0000}"/>
    <cellStyle name="Comma 2 2 2 4 2 2 2" xfId="981" xr:uid="{00000000-0005-0000-0000-00007E0B0000}"/>
    <cellStyle name="Comma 2 2 2 4 2 2 2 10" xfId="45090" xr:uid="{00000000-0005-0000-0000-00007F0B0000}"/>
    <cellStyle name="Comma 2 2 2 4 2 2 2 11" xfId="21812" xr:uid="{00000000-0005-0000-0000-0000800B0000}"/>
    <cellStyle name="Comma 2 2 2 4 2 2 2 2" xfId="2205" xr:uid="{00000000-0005-0000-0000-0000810B0000}"/>
    <cellStyle name="Comma 2 2 2 4 2 2 2 2 10" xfId="23036" xr:uid="{00000000-0005-0000-0000-0000820B0000}"/>
    <cellStyle name="Comma 2 2 2 4 2 2 2 2 2" xfId="4653" xr:uid="{00000000-0005-0000-0000-0000830B0000}"/>
    <cellStyle name="Comma 2 2 2 4 2 2 2 2 2 2" xfId="20588" xr:uid="{00000000-0005-0000-0000-0000840B0000}"/>
    <cellStyle name="Comma 2 2 2 4 2 2 2 2 2 2 2" xfId="43866" xr:uid="{00000000-0005-0000-0000-0000850B0000}"/>
    <cellStyle name="Comma 2 2 2 4 2 2 2 2 2 3" xfId="48762" xr:uid="{00000000-0005-0000-0000-0000860B0000}"/>
    <cellStyle name="Comma 2 2 2 4 2 2 2 2 2 4" xfId="27932" xr:uid="{00000000-0005-0000-0000-0000870B0000}"/>
    <cellStyle name="Comma 2 2 2 4 2 2 2 2 3" xfId="7101" xr:uid="{00000000-0005-0000-0000-0000880B0000}"/>
    <cellStyle name="Comma 2 2 2 4 2 2 2 2 3 2" xfId="30380" xr:uid="{00000000-0005-0000-0000-0000890B0000}"/>
    <cellStyle name="Comma 2 2 2 4 2 2 2 2 4" xfId="9549" xr:uid="{00000000-0005-0000-0000-00008A0B0000}"/>
    <cellStyle name="Comma 2 2 2 4 2 2 2 2 4 2" xfId="32828" xr:uid="{00000000-0005-0000-0000-00008B0B0000}"/>
    <cellStyle name="Comma 2 2 2 4 2 2 2 2 5" xfId="11997" xr:uid="{00000000-0005-0000-0000-00008C0B0000}"/>
    <cellStyle name="Comma 2 2 2 4 2 2 2 2 5 2" xfId="35276" xr:uid="{00000000-0005-0000-0000-00008D0B0000}"/>
    <cellStyle name="Comma 2 2 2 4 2 2 2 2 6" xfId="14445" xr:uid="{00000000-0005-0000-0000-00008E0B0000}"/>
    <cellStyle name="Comma 2 2 2 4 2 2 2 2 6 2" xfId="37724" xr:uid="{00000000-0005-0000-0000-00008F0B0000}"/>
    <cellStyle name="Comma 2 2 2 4 2 2 2 2 7" xfId="18140" xr:uid="{00000000-0005-0000-0000-0000900B0000}"/>
    <cellStyle name="Comma 2 2 2 4 2 2 2 2 7 2" xfId="41418" xr:uid="{00000000-0005-0000-0000-0000910B0000}"/>
    <cellStyle name="Comma 2 2 2 4 2 2 2 2 8" xfId="25484" xr:uid="{00000000-0005-0000-0000-0000920B0000}"/>
    <cellStyle name="Comma 2 2 2 4 2 2 2 2 9" xfId="46314" xr:uid="{00000000-0005-0000-0000-0000930B0000}"/>
    <cellStyle name="Comma 2 2 2 4 2 2 2 3" xfId="3429" xr:uid="{00000000-0005-0000-0000-0000940B0000}"/>
    <cellStyle name="Comma 2 2 2 4 2 2 2 3 2" xfId="16916" xr:uid="{00000000-0005-0000-0000-0000950B0000}"/>
    <cellStyle name="Comma 2 2 2 4 2 2 2 3 2 2" xfId="40194" xr:uid="{00000000-0005-0000-0000-0000960B0000}"/>
    <cellStyle name="Comma 2 2 2 4 2 2 2 3 3" xfId="47538" xr:uid="{00000000-0005-0000-0000-0000970B0000}"/>
    <cellStyle name="Comma 2 2 2 4 2 2 2 3 4" xfId="26708" xr:uid="{00000000-0005-0000-0000-0000980B0000}"/>
    <cellStyle name="Comma 2 2 2 4 2 2 2 4" xfId="5877" xr:uid="{00000000-0005-0000-0000-0000990B0000}"/>
    <cellStyle name="Comma 2 2 2 4 2 2 2 4 2" xfId="19364" xr:uid="{00000000-0005-0000-0000-00009A0B0000}"/>
    <cellStyle name="Comma 2 2 2 4 2 2 2 4 2 2" xfId="42642" xr:uid="{00000000-0005-0000-0000-00009B0B0000}"/>
    <cellStyle name="Comma 2 2 2 4 2 2 2 4 3" xfId="29156" xr:uid="{00000000-0005-0000-0000-00009C0B0000}"/>
    <cellStyle name="Comma 2 2 2 4 2 2 2 5" xfId="8325" xr:uid="{00000000-0005-0000-0000-00009D0B0000}"/>
    <cellStyle name="Comma 2 2 2 4 2 2 2 5 2" xfId="31604" xr:uid="{00000000-0005-0000-0000-00009E0B0000}"/>
    <cellStyle name="Comma 2 2 2 4 2 2 2 6" xfId="10773" xr:uid="{00000000-0005-0000-0000-00009F0B0000}"/>
    <cellStyle name="Comma 2 2 2 4 2 2 2 6 2" xfId="34052" xr:uid="{00000000-0005-0000-0000-0000A00B0000}"/>
    <cellStyle name="Comma 2 2 2 4 2 2 2 7" xfId="13221" xr:uid="{00000000-0005-0000-0000-0000A10B0000}"/>
    <cellStyle name="Comma 2 2 2 4 2 2 2 7 2" xfId="36500" xr:uid="{00000000-0005-0000-0000-0000A20B0000}"/>
    <cellStyle name="Comma 2 2 2 4 2 2 2 8" xfId="15692" xr:uid="{00000000-0005-0000-0000-0000A30B0000}"/>
    <cellStyle name="Comma 2 2 2 4 2 2 2 8 2" xfId="38970" xr:uid="{00000000-0005-0000-0000-0000A40B0000}"/>
    <cellStyle name="Comma 2 2 2 4 2 2 2 9" xfId="24260" xr:uid="{00000000-0005-0000-0000-0000A50B0000}"/>
    <cellStyle name="Comma 2 2 2 4 2 2 3" xfId="1593" xr:uid="{00000000-0005-0000-0000-0000A60B0000}"/>
    <cellStyle name="Comma 2 2 2 4 2 2 3 10" xfId="22424" xr:uid="{00000000-0005-0000-0000-0000A70B0000}"/>
    <cellStyle name="Comma 2 2 2 4 2 2 3 2" xfId="4041" xr:uid="{00000000-0005-0000-0000-0000A80B0000}"/>
    <cellStyle name="Comma 2 2 2 4 2 2 3 2 2" xfId="19976" xr:uid="{00000000-0005-0000-0000-0000A90B0000}"/>
    <cellStyle name="Comma 2 2 2 4 2 2 3 2 2 2" xfId="43254" xr:uid="{00000000-0005-0000-0000-0000AA0B0000}"/>
    <cellStyle name="Comma 2 2 2 4 2 2 3 2 3" xfId="48150" xr:uid="{00000000-0005-0000-0000-0000AB0B0000}"/>
    <cellStyle name="Comma 2 2 2 4 2 2 3 2 4" xfId="27320" xr:uid="{00000000-0005-0000-0000-0000AC0B0000}"/>
    <cellStyle name="Comma 2 2 2 4 2 2 3 3" xfId="6489" xr:uid="{00000000-0005-0000-0000-0000AD0B0000}"/>
    <cellStyle name="Comma 2 2 2 4 2 2 3 3 2" xfId="29768" xr:uid="{00000000-0005-0000-0000-0000AE0B0000}"/>
    <cellStyle name="Comma 2 2 2 4 2 2 3 4" xfId="8937" xr:uid="{00000000-0005-0000-0000-0000AF0B0000}"/>
    <cellStyle name="Comma 2 2 2 4 2 2 3 4 2" xfId="32216" xr:uid="{00000000-0005-0000-0000-0000B00B0000}"/>
    <cellStyle name="Comma 2 2 2 4 2 2 3 5" xfId="11385" xr:uid="{00000000-0005-0000-0000-0000B10B0000}"/>
    <cellStyle name="Comma 2 2 2 4 2 2 3 5 2" xfId="34664" xr:uid="{00000000-0005-0000-0000-0000B20B0000}"/>
    <cellStyle name="Comma 2 2 2 4 2 2 3 6" xfId="13833" xr:uid="{00000000-0005-0000-0000-0000B30B0000}"/>
    <cellStyle name="Comma 2 2 2 4 2 2 3 6 2" xfId="37112" xr:uid="{00000000-0005-0000-0000-0000B40B0000}"/>
    <cellStyle name="Comma 2 2 2 4 2 2 3 7" xfId="17528" xr:uid="{00000000-0005-0000-0000-0000B50B0000}"/>
    <cellStyle name="Comma 2 2 2 4 2 2 3 7 2" xfId="40806" xr:uid="{00000000-0005-0000-0000-0000B60B0000}"/>
    <cellStyle name="Comma 2 2 2 4 2 2 3 8" xfId="24872" xr:uid="{00000000-0005-0000-0000-0000B70B0000}"/>
    <cellStyle name="Comma 2 2 2 4 2 2 3 9" xfId="45702" xr:uid="{00000000-0005-0000-0000-0000B80B0000}"/>
    <cellStyle name="Comma 2 2 2 4 2 2 4" xfId="2817" xr:uid="{00000000-0005-0000-0000-0000B90B0000}"/>
    <cellStyle name="Comma 2 2 2 4 2 2 4 2" xfId="16304" xr:uid="{00000000-0005-0000-0000-0000BA0B0000}"/>
    <cellStyle name="Comma 2 2 2 4 2 2 4 2 2" xfId="39582" xr:uid="{00000000-0005-0000-0000-0000BB0B0000}"/>
    <cellStyle name="Comma 2 2 2 4 2 2 4 3" xfId="46926" xr:uid="{00000000-0005-0000-0000-0000BC0B0000}"/>
    <cellStyle name="Comma 2 2 2 4 2 2 4 4" xfId="26096" xr:uid="{00000000-0005-0000-0000-0000BD0B0000}"/>
    <cellStyle name="Comma 2 2 2 4 2 2 5" xfId="5265" xr:uid="{00000000-0005-0000-0000-0000BE0B0000}"/>
    <cellStyle name="Comma 2 2 2 4 2 2 5 2" xfId="18752" xr:uid="{00000000-0005-0000-0000-0000BF0B0000}"/>
    <cellStyle name="Comma 2 2 2 4 2 2 5 2 2" xfId="42030" xr:uid="{00000000-0005-0000-0000-0000C00B0000}"/>
    <cellStyle name="Comma 2 2 2 4 2 2 5 3" xfId="28544" xr:uid="{00000000-0005-0000-0000-0000C10B0000}"/>
    <cellStyle name="Comma 2 2 2 4 2 2 6" xfId="7713" xr:uid="{00000000-0005-0000-0000-0000C20B0000}"/>
    <cellStyle name="Comma 2 2 2 4 2 2 6 2" xfId="30992" xr:uid="{00000000-0005-0000-0000-0000C30B0000}"/>
    <cellStyle name="Comma 2 2 2 4 2 2 7" xfId="10161" xr:uid="{00000000-0005-0000-0000-0000C40B0000}"/>
    <cellStyle name="Comma 2 2 2 4 2 2 7 2" xfId="33440" xr:uid="{00000000-0005-0000-0000-0000C50B0000}"/>
    <cellStyle name="Comma 2 2 2 4 2 2 8" xfId="12609" xr:uid="{00000000-0005-0000-0000-0000C60B0000}"/>
    <cellStyle name="Comma 2 2 2 4 2 2 8 2" xfId="35888" xr:uid="{00000000-0005-0000-0000-0000C70B0000}"/>
    <cellStyle name="Comma 2 2 2 4 2 2 9" xfId="15080" xr:uid="{00000000-0005-0000-0000-0000C80B0000}"/>
    <cellStyle name="Comma 2 2 2 4 2 2 9 2" xfId="38358" xr:uid="{00000000-0005-0000-0000-0000C90B0000}"/>
    <cellStyle name="Comma 2 2 2 4 2 3" xfId="573" xr:uid="{00000000-0005-0000-0000-0000CA0B0000}"/>
    <cellStyle name="Comma 2 2 2 4 2 3 10" xfId="23852" xr:uid="{00000000-0005-0000-0000-0000CB0B0000}"/>
    <cellStyle name="Comma 2 2 2 4 2 3 11" xfId="44682" xr:uid="{00000000-0005-0000-0000-0000CC0B0000}"/>
    <cellStyle name="Comma 2 2 2 4 2 3 12" xfId="21404" xr:uid="{00000000-0005-0000-0000-0000CD0B0000}"/>
    <cellStyle name="Comma 2 2 2 4 2 3 2" xfId="1185" xr:uid="{00000000-0005-0000-0000-0000CE0B0000}"/>
    <cellStyle name="Comma 2 2 2 4 2 3 2 10" xfId="45294" xr:uid="{00000000-0005-0000-0000-0000CF0B0000}"/>
    <cellStyle name="Comma 2 2 2 4 2 3 2 11" xfId="22016" xr:uid="{00000000-0005-0000-0000-0000D00B0000}"/>
    <cellStyle name="Comma 2 2 2 4 2 3 2 2" xfId="2409" xr:uid="{00000000-0005-0000-0000-0000D10B0000}"/>
    <cellStyle name="Comma 2 2 2 4 2 3 2 2 10" xfId="23240" xr:uid="{00000000-0005-0000-0000-0000D20B0000}"/>
    <cellStyle name="Comma 2 2 2 4 2 3 2 2 2" xfId="4857" xr:uid="{00000000-0005-0000-0000-0000D30B0000}"/>
    <cellStyle name="Comma 2 2 2 4 2 3 2 2 2 2" xfId="20792" xr:uid="{00000000-0005-0000-0000-0000D40B0000}"/>
    <cellStyle name="Comma 2 2 2 4 2 3 2 2 2 2 2" xfId="44070" xr:uid="{00000000-0005-0000-0000-0000D50B0000}"/>
    <cellStyle name="Comma 2 2 2 4 2 3 2 2 2 3" xfId="48966" xr:uid="{00000000-0005-0000-0000-0000D60B0000}"/>
    <cellStyle name="Comma 2 2 2 4 2 3 2 2 2 4" xfId="28136" xr:uid="{00000000-0005-0000-0000-0000D70B0000}"/>
    <cellStyle name="Comma 2 2 2 4 2 3 2 2 3" xfId="7305" xr:uid="{00000000-0005-0000-0000-0000D80B0000}"/>
    <cellStyle name="Comma 2 2 2 4 2 3 2 2 3 2" xfId="30584" xr:uid="{00000000-0005-0000-0000-0000D90B0000}"/>
    <cellStyle name="Comma 2 2 2 4 2 3 2 2 4" xfId="9753" xr:uid="{00000000-0005-0000-0000-0000DA0B0000}"/>
    <cellStyle name="Comma 2 2 2 4 2 3 2 2 4 2" xfId="33032" xr:uid="{00000000-0005-0000-0000-0000DB0B0000}"/>
    <cellStyle name="Comma 2 2 2 4 2 3 2 2 5" xfId="12201" xr:uid="{00000000-0005-0000-0000-0000DC0B0000}"/>
    <cellStyle name="Comma 2 2 2 4 2 3 2 2 5 2" xfId="35480" xr:uid="{00000000-0005-0000-0000-0000DD0B0000}"/>
    <cellStyle name="Comma 2 2 2 4 2 3 2 2 6" xfId="14649" xr:uid="{00000000-0005-0000-0000-0000DE0B0000}"/>
    <cellStyle name="Comma 2 2 2 4 2 3 2 2 6 2" xfId="37928" xr:uid="{00000000-0005-0000-0000-0000DF0B0000}"/>
    <cellStyle name="Comma 2 2 2 4 2 3 2 2 7" xfId="18344" xr:uid="{00000000-0005-0000-0000-0000E00B0000}"/>
    <cellStyle name="Comma 2 2 2 4 2 3 2 2 7 2" xfId="41622" xr:uid="{00000000-0005-0000-0000-0000E10B0000}"/>
    <cellStyle name="Comma 2 2 2 4 2 3 2 2 8" xfId="25688" xr:uid="{00000000-0005-0000-0000-0000E20B0000}"/>
    <cellStyle name="Comma 2 2 2 4 2 3 2 2 9" xfId="46518" xr:uid="{00000000-0005-0000-0000-0000E30B0000}"/>
    <cellStyle name="Comma 2 2 2 4 2 3 2 3" xfId="3633" xr:uid="{00000000-0005-0000-0000-0000E40B0000}"/>
    <cellStyle name="Comma 2 2 2 4 2 3 2 3 2" xfId="17120" xr:uid="{00000000-0005-0000-0000-0000E50B0000}"/>
    <cellStyle name="Comma 2 2 2 4 2 3 2 3 2 2" xfId="40398" xr:uid="{00000000-0005-0000-0000-0000E60B0000}"/>
    <cellStyle name="Comma 2 2 2 4 2 3 2 3 3" xfId="47742" xr:uid="{00000000-0005-0000-0000-0000E70B0000}"/>
    <cellStyle name="Comma 2 2 2 4 2 3 2 3 4" xfId="26912" xr:uid="{00000000-0005-0000-0000-0000E80B0000}"/>
    <cellStyle name="Comma 2 2 2 4 2 3 2 4" xfId="6081" xr:uid="{00000000-0005-0000-0000-0000E90B0000}"/>
    <cellStyle name="Comma 2 2 2 4 2 3 2 4 2" xfId="19568" xr:uid="{00000000-0005-0000-0000-0000EA0B0000}"/>
    <cellStyle name="Comma 2 2 2 4 2 3 2 4 2 2" xfId="42846" xr:uid="{00000000-0005-0000-0000-0000EB0B0000}"/>
    <cellStyle name="Comma 2 2 2 4 2 3 2 4 3" xfId="29360" xr:uid="{00000000-0005-0000-0000-0000EC0B0000}"/>
    <cellStyle name="Comma 2 2 2 4 2 3 2 5" xfId="8529" xr:uid="{00000000-0005-0000-0000-0000ED0B0000}"/>
    <cellStyle name="Comma 2 2 2 4 2 3 2 5 2" xfId="31808" xr:uid="{00000000-0005-0000-0000-0000EE0B0000}"/>
    <cellStyle name="Comma 2 2 2 4 2 3 2 6" xfId="10977" xr:uid="{00000000-0005-0000-0000-0000EF0B0000}"/>
    <cellStyle name="Comma 2 2 2 4 2 3 2 6 2" xfId="34256" xr:uid="{00000000-0005-0000-0000-0000F00B0000}"/>
    <cellStyle name="Comma 2 2 2 4 2 3 2 7" xfId="13425" xr:uid="{00000000-0005-0000-0000-0000F10B0000}"/>
    <cellStyle name="Comma 2 2 2 4 2 3 2 7 2" xfId="36704" xr:uid="{00000000-0005-0000-0000-0000F20B0000}"/>
    <cellStyle name="Comma 2 2 2 4 2 3 2 8" xfId="15896" xr:uid="{00000000-0005-0000-0000-0000F30B0000}"/>
    <cellStyle name="Comma 2 2 2 4 2 3 2 8 2" xfId="39174" xr:uid="{00000000-0005-0000-0000-0000F40B0000}"/>
    <cellStyle name="Comma 2 2 2 4 2 3 2 9" xfId="24464" xr:uid="{00000000-0005-0000-0000-0000F50B0000}"/>
    <cellStyle name="Comma 2 2 2 4 2 3 3" xfId="1797" xr:uid="{00000000-0005-0000-0000-0000F60B0000}"/>
    <cellStyle name="Comma 2 2 2 4 2 3 3 10" xfId="22628" xr:uid="{00000000-0005-0000-0000-0000F70B0000}"/>
    <cellStyle name="Comma 2 2 2 4 2 3 3 2" xfId="4245" xr:uid="{00000000-0005-0000-0000-0000F80B0000}"/>
    <cellStyle name="Comma 2 2 2 4 2 3 3 2 2" xfId="20180" xr:uid="{00000000-0005-0000-0000-0000F90B0000}"/>
    <cellStyle name="Comma 2 2 2 4 2 3 3 2 2 2" xfId="43458" xr:uid="{00000000-0005-0000-0000-0000FA0B0000}"/>
    <cellStyle name="Comma 2 2 2 4 2 3 3 2 3" xfId="48354" xr:uid="{00000000-0005-0000-0000-0000FB0B0000}"/>
    <cellStyle name="Comma 2 2 2 4 2 3 3 2 4" xfId="27524" xr:uid="{00000000-0005-0000-0000-0000FC0B0000}"/>
    <cellStyle name="Comma 2 2 2 4 2 3 3 3" xfId="6693" xr:uid="{00000000-0005-0000-0000-0000FD0B0000}"/>
    <cellStyle name="Comma 2 2 2 4 2 3 3 3 2" xfId="29972" xr:uid="{00000000-0005-0000-0000-0000FE0B0000}"/>
    <cellStyle name="Comma 2 2 2 4 2 3 3 4" xfId="9141" xr:uid="{00000000-0005-0000-0000-0000FF0B0000}"/>
    <cellStyle name="Comma 2 2 2 4 2 3 3 4 2" xfId="32420" xr:uid="{00000000-0005-0000-0000-0000000C0000}"/>
    <cellStyle name="Comma 2 2 2 4 2 3 3 5" xfId="11589" xr:uid="{00000000-0005-0000-0000-0000010C0000}"/>
    <cellStyle name="Comma 2 2 2 4 2 3 3 5 2" xfId="34868" xr:uid="{00000000-0005-0000-0000-0000020C0000}"/>
    <cellStyle name="Comma 2 2 2 4 2 3 3 6" xfId="14037" xr:uid="{00000000-0005-0000-0000-0000030C0000}"/>
    <cellStyle name="Comma 2 2 2 4 2 3 3 6 2" xfId="37316" xr:uid="{00000000-0005-0000-0000-0000040C0000}"/>
    <cellStyle name="Comma 2 2 2 4 2 3 3 7" xfId="17732" xr:uid="{00000000-0005-0000-0000-0000050C0000}"/>
    <cellStyle name="Comma 2 2 2 4 2 3 3 7 2" xfId="41010" xr:uid="{00000000-0005-0000-0000-0000060C0000}"/>
    <cellStyle name="Comma 2 2 2 4 2 3 3 8" xfId="25076" xr:uid="{00000000-0005-0000-0000-0000070C0000}"/>
    <cellStyle name="Comma 2 2 2 4 2 3 3 9" xfId="45906" xr:uid="{00000000-0005-0000-0000-0000080C0000}"/>
    <cellStyle name="Comma 2 2 2 4 2 3 4" xfId="3021" xr:uid="{00000000-0005-0000-0000-0000090C0000}"/>
    <cellStyle name="Comma 2 2 2 4 2 3 4 2" xfId="16508" xr:uid="{00000000-0005-0000-0000-00000A0C0000}"/>
    <cellStyle name="Comma 2 2 2 4 2 3 4 2 2" xfId="39786" xr:uid="{00000000-0005-0000-0000-00000B0C0000}"/>
    <cellStyle name="Comma 2 2 2 4 2 3 4 3" xfId="47130" xr:uid="{00000000-0005-0000-0000-00000C0C0000}"/>
    <cellStyle name="Comma 2 2 2 4 2 3 4 4" xfId="26300" xr:uid="{00000000-0005-0000-0000-00000D0C0000}"/>
    <cellStyle name="Comma 2 2 2 4 2 3 5" xfId="5469" xr:uid="{00000000-0005-0000-0000-00000E0C0000}"/>
    <cellStyle name="Comma 2 2 2 4 2 3 5 2" xfId="18956" xr:uid="{00000000-0005-0000-0000-00000F0C0000}"/>
    <cellStyle name="Comma 2 2 2 4 2 3 5 2 2" xfId="42234" xr:uid="{00000000-0005-0000-0000-0000100C0000}"/>
    <cellStyle name="Comma 2 2 2 4 2 3 5 3" xfId="28748" xr:uid="{00000000-0005-0000-0000-0000110C0000}"/>
    <cellStyle name="Comma 2 2 2 4 2 3 6" xfId="7917" xr:uid="{00000000-0005-0000-0000-0000120C0000}"/>
    <cellStyle name="Comma 2 2 2 4 2 3 6 2" xfId="31196" xr:uid="{00000000-0005-0000-0000-0000130C0000}"/>
    <cellStyle name="Comma 2 2 2 4 2 3 7" xfId="10365" xr:uid="{00000000-0005-0000-0000-0000140C0000}"/>
    <cellStyle name="Comma 2 2 2 4 2 3 7 2" xfId="33644" xr:uid="{00000000-0005-0000-0000-0000150C0000}"/>
    <cellStyle name="Comma 2 2 2 4 2 3 8" xfId="12813" xr:uid="{00000000-0005-0000-0000-0000160C0000}"/>
    <cellStyle name="Comma 2 2 2 4 2 3 8 2" xfId="36092" xr:uid="{00000000-0005-0000-0000-0000170C0000}"/>
    <cellStyle name="Comma 2 2 2 4 2 3 9" xfId="15284" xr:uid="{00000000-0005-0000-0000-0000180C0000}"/>
    <cellStyle name="Comma 2 2 2 4 2 3 9 2" xfId="38562" xr:uid="{00000000-0005-0000-0000-0000190C0000}"/>
    <cellStyle name="Comma 2 2 2 4 2 4" xfId="777" xr:uid="{00000000-0005-0000-0000-00001A0C0000}"/>
    <cellStyle name="Comma 2 2 2 4 2 4 10" xfId="44886" xr:uid="{00000000-0005-0000-0000-00001B0C0000}"/>
    <cellStyle name="Comma 2 2 2 4 2 4 11" xfId="21608" xr:uid="{00000000-0005-0000-0000-00001C0C0000}"/>
    <cellStyle name="Comma 2 2 2 4 2 4 2" xfId="2001" xr:uid="{00000000-0005-0000-0000-00001D0C0000}"/>
    <cellStyle name="Comma 2 2 2 4 2 4 2 10" xfId="22832" xr:uid="{00000000-0005-0000-0000-00001E0C0000}"/>
    <cellStyle name="Comma 2 2 2 4 2 4 2 2" xfId="4449" xr:uid="{00000000-0005-0000-0000-00001F0C0000}"/>
    <cellStyle name="Comma 2 2 2 4 2 4 2 2 2" xfId="20384" xr:uid="{00000000-0005-0000-0000-0000200C0000}"/>
    <cellStyle name="Comma 2 2 2 4 2 4 2 2 2 2" xfId="43662" xr:uid="{00000000-0005-0000-0000-0000210C0000}"/>
    <cellStyle name="Comma 2 2 2 4 2 4 2 2 3" xfId="48558" xr:uid="{00000000-0005-0000-0000-0000220C0000}"/>
    <cellStyle name="Comma 2 2 2 4 2 4 2 2 4" xfId="27728" xr:uid="{00000000-0005-0000-0000-0000230C0000}"/>
    <cellStyle name="Comma 2 2 2 4 2 4 2 3" xfId="6897" xr:uid="{00000000-0005-0000-0000-0000240C0000}"/>
    <cellStyle name="Comma 2 2 2 4 2 4 2 3 2" xfId="30176" xr:uid="{00000000-0005-0000-0000-0000250C0000}"/>
    <cellStyle name="Comma 2 2 2 4 2 4 2 4" xfId="9345" xr:uid="{00000000-0005-0000-0000-0000260C0000}"/>
    <cellStyle name="Comma 2 2 2 4 2 4 2 4 2" xfId="32624" xr:uid="{00000000-0005-0000-0000-0000270C0000}"/>
    <cellStyle name="Comma 2 2 2 4 2 4 2 5" xfId="11793" xr:uid="{00000000-0005-0000-0000-0000280C0000}"/>
    <cellStyle name="Comma 2 2 2 4 2 4 2 5 2" xfId="35072" xr:uid="{00000000-0005-0000-0000-0000290C0000}"/>
    <cellStyle name="Comma 2 2 2 4 2 4 2 6" xfId="14241" xr:uid="{00000000-0005-0000-0000-00002A0C0000}"/>
    <cellStyle name="Comma 2 2 2 4 2 4 2 6 2" xfId="37520" xr:uid="{00000000-0005-0000-0000-00002B0C0000}"/>
    <cellStyle name="Comma 2 2 2 4 2 4 2 7" xfId="17936" xr:uid="{00000000-0005-0000-0000-00002C0C0000}"/>
    <cellStyle name="Comma 2 2 2 4 2 4 2 7 2" xfId="41214" xr:uid="{00000000-0005-0000-0000-00002D0C0000}"/>
    <cellStyle name="Comma 2 2 2 4 2 4 2 8" xfId="25280" xr:uid="{00000000-0005-0000-0000-00002E0C0000}"/>
    <cellStyle name="Comma 2 2 2 4 2 4 2 9" xfId="46110" xr:uid="{00000000-0005-0000-0000-00002F0C0000}"/>
    <cellStyle name="Comma 2 2 2 4 2 4 3" xfId="3225" xr:uid="{00000000-0005-0000-0000-0000300C0000}"/>
    <cellStyle name="Comma 2 2 2 4 2 4 3 2" xfId="16712" xr:uid="{00000000-0005-0000-0000-0000310C0000}"/>
    <cellStyle name="Comma 2 2 2 4 2 4 3 2 2" xfId="39990" xr:uid="{00000000-0005-0000-0000-0000320C0000}"/>
    <cellStyle name="Comma 2 2 2 4 2 4 3 3" xfId="47334" xr:uid="{00000000-0005-0000-0000-0000330C0000}"/>
    <cellStyle name="Comma 2 2 2 4 2 4 3 4" xfId="26504" xr:uid="{00000000-0005-0000-0000-0000340C0000}"/>
    <cellStyle name="Comma 2 2 2 4 2 4 4" xfId="5673" xr:uid="{00000000-0005-0000-0000-0000350C0000}"/>
    <cellStyle name="Comma 2 2 2 4 2 4 4 2" xfId="19160" xr:uid="{00000000-0005-0000-0000-0000360C0000}"/>
    <cellStyle name="Comma 2 2 2 4 2 4 4 2 2" xfId="42438" xr:uid="{00000000-0005-0000-0000-0000370C0000}"/>
    <cellStyle name="Comma 2 2 2 4 2 4 4 3" xfId="28952" xr:uid="{00000000-0005-0000-0000-0000380C0000}"/>
    <cellStyle name="Comma 2 2 2 4 2 4 5" xfId="8121" xr:uid="{00000000-0005-0000-0000-0000390C0000}"/>
    <cellStyle name="Comma 2 2 2 4 2 4 5 2" xfId="31400" xr:uid="{00000000-0005-0000-0000-00003A0C0000}"/>
    <cellStyle name="Comma 2 2 2 4 2 4 6" xfId="10569" xr:uid="{00000000-0005-0000-0000-00003B0C0000}"/>
    <cellStyle name="Comma 2 2 2 4 2 4 6 2" xfId="33848" xr:uid="{00000000-0005-0000-0000-00003C0C0000}"/>
    <cellStyle name="Comma 2 2 2 4 2 4 7" xfId="13017" xr:uid="{00000000-0005-0000-0000-00003D0C0000}"/>
    <cellStyle name="Comma 2 2 2 4 2 4 7 2" xfId="36296" xr:uid="{00000000-0005-0000-0000-00003E0C0000}"/>
    <cellStyle name="Comma 2 2 2 4 2 4 8" xfId="15488" xr:uid="{00000000-0005-0000-0000-00003F0C0000}"/>
    <cellStyle name="Comma 2 2 2 4 2 4 8 2" xfId="38766" xr:uid="{00000000-0005-0000-0000-0000400C0000}"/>
    <cellStyle name="Comma 2 2 2 4 2 4 9" xfId="24056" xr:uid="{00000000-0005-0000-0000-0000410C0000}"/>
    <cellStyle name="Comma 2 2 2 4 2 5" xfId="1389" xr:uid="{00000000-0005-0000-0000-0000420C0000}"/>
    <cellStyle name="Comma 2 2 2 4 2 5 10" xfId="22220" xr:uid="{00000000-0005-0000-0000-0000430C0000}"/>
    <cellStyle name="Comma 2 2 2 4 2 5 2" xfId="3837" xr:uid="{00000000-0005-0000-0000-0000440C0000}"/>
    <cellStyle name="Comma 2 2 2 4 2 5 2 2" xfId="19772" xr:uid="{00000000-0005-0000-0000-0000450C0000}"/>
    <cellStyle name="Comma 2 2 2 4 2 5 2 2 2" xfId="43050" xr:uid="{00000000-0005-0000-0000-0000460C0000}"/>
    <cellStyle name="Comma 2 2 2 4 2 5 2 3" xfId="47946" xr:uid="{00000000-0005-0000-0000-0000470C0000}"/>
    <cellStyle name="Comma 2 2 2 4 2 5 2 4" xfId="27116" xr:uid="{00000000-0005-0000-0000-0000480C0000}"/>
    <cellStyle name="Comma 2 2 2 4 2 5 3" xfId="6285" xr:uid="{00000000-0005-0000-0000-0000490C0000}"/>
    <cellStyle name="Comma 2 2 2 4 2 5 3 2" xfId="29564" xr:uid="{00000000-0005-0000-0000-00004A0C0000}"/>
    <cellStyle name="Comma 2 2 2 4 2 5 4" xfId="8733" xr:uid="{00000000-0005-0000-0000-00004B0C0000}"/>
    <cellStyle name="Comma 2 2 2 4 2 5 4 2" xfId="32012" xr:uid="{00000000-0005-0000-0000-00004C0C0000}"/>
    <cellStyle name="Comma 2 2 2 4 2 5 5" xfId="11181" xr:uid="{00000000-0005-0000-0000-00004D0C0000}"/>
    <cellStyle name="Comma 2 2 2 4 2 5 5 2" xfId="34460" xr:uid="{00000000-0005-0000-0000-00004E0C0000}"/>
    <cellStyle name="Comma 2 2 2 4 2 5 6" xfId="13629" xr:uid="{00000000-0005-0000-0000-00004F0C0000}"/>
    <cellStyle name="Comma 2 2 2 4 2 5 6 2" xfId="36908" xr:uid="{00000000-0005-0000-0000-0000500C0000}"/>
    <cellStyle name="Comma 2 2 2 4 2 5 7" xfId="17324" xr:uid="{00000000-0005-0000-0000-0000510C0000}"/>
    <cellStyle name="Comma 2 2 2 4 2 5 7 2" xfId="40602" xr:uid="{00000000-0005-0000-0000-0000520C0000}"/>
    <cellStyle name="Comma 2 2 2 4 2 5 8" xfId="24668" xr:uid="{00000000-0005-0000-0000-0000530C0000}"/>
    <cellStyle name="Comma 2 2 2 4 2 5 9" xfId="45498" xr:uid="{00000000-0005-0000-0000-0000540C0000}"/>
    <cellStyle name="Comma 2 2 2 4 2 6" xfId="2613" xr:uid="{00000000-0005-0000-0000-0000550C0000}"/>
    <cellStyle name="Comma 2 2 2 4 2 6 2" xfId="16100" xr:uid="{00000000-0005-0000-0000-0000560C0000}"/>
    <cellStyle name="Comma 2 2 2 4 2 6 2 2" xfId="39378" xr:uid="{00000000-0005-0000-0000-0000570C0000}"/>
    <cellStyle name="Comma 2 2 2 4 2 6 3" xfId="46722" xr:uid="{00000000-0005-0000-0000-0000580C0000}"/>
    <cellStyle name="Comma 2 2 2 4 2 6 4" xfId="25892" xr:uid="{00000000-0005-0000-0000-0000590C0000}"/>
    <cellStyle name="Comma 2 2 2 4 2 7" xfId="5061" xr:uid="{00000000-0005-0000-0000-00005A0C0000}"/>
    <cellStyle name="Comma 2 2 2 4 2 7 2" xfId="18548" xr:uid="{00000000-0005-0000-0000-00005B0C0000}"/>
    <cellStyle name="Comma 2 2 2 4 2 7 2 2" xfId="41826" xr:uid="{00000000-0005-0000-0000-00005C0C0000}"/>
    <cellStyle name="Comma 2 2 2 4 2 7 3" xfId="28340" xr:uid="{00000000-0005-0000-0000-00005D0C0000}"/>
    <cellStyle name="Comma 2 2 2 4 2 8" xfId="7509" xr:uid="{00000000-0005-0000-0000-00005E0C0000}"/>
    <cellStyle name="Comma 2 2 2 4 2 8 2" xfId="30788" xr:uid="{00000000-0005-0000-0000-00005F0C0000}"/>
    <cellStyle name="Comma 2 2 2 4 2 9" xfId="9957" xr:uid="{00000000-0005-0000-0000-0000600C0000}"/>
    <cellStyle name="Comma 2 2 2 4 2 9 2" xfId="33236" xr:uid="{00000000-0005-0000-0000-0000610C0000}"/>
    <cellStyle name="Comma 2 2 2 4 3" xfId="233" xr:uid="{00000000-0005-0000-0000-0000620C0000}"/>
    <cellStyle name="Comma 2 2 2 4 3 10" xfId="12473" xr:uid="{00000000-0005-0000-0000-0000630C0000}"/>
    <cellStyle name="Comma 2 2 2 4 3 10 2" xfId="35752" xr:uid="{00000000-0005-0000-0000-0000640C0000}"/>
    <cellStyle name="Comma 2 2 2 4 3 11" xfId="14944" xr:uid="{00000000-0005-0000-0000-0000650C0000}"/>
    <cellStyle name="Comma 2 2 2 4 3 11 2" xfId="38222" xr:uid="{00000000-0005-0000-0000-0000660C0000}"/>
    <cellStyle name="Comma 2 2 2 4 3 12" xfId="23512" xr:uid="{00000000-0005-0000-0000-0000670C0000}"/>
    <cellStyle name="Comma 2 2 2 4 3 13" xfId="44342" xr:uid="{00000000-0005-0000-0000-0000680C0000}"/>
    <cellStyle name="Comma 2 2 2 4 3 14" xfId="21064" xr:uid="{00000000-0005-0000-0000-0000690C0000}"/>
    <cellStyle name="Comma 2 2 2 4 3 2" xfId="437" xr:uid="{00000000-0005-0000-0000-00006A0C0000}"/>
    <cellStyle name="Comma 2 2 2 4 3 2 10" xfId="23716" xr:uid="{00000000-0005-0000-0000-00006B0C0000}"/>
    <cellStyle name="Comma 2 2 2 4 3 2 11" xfId="44546" xr:uid="{00000000-0005-0000-0000-00006C0C0000}"/>
    <cellStyle name="Comma 2 2 2 4 3 2 12" xfId="21268" xr:uid="{00000000-0005-0000-0000-00006D0C0000}"/>
    <cellStyle name="Comma 2 2 2 4 3 2 2" xfId="1049" xr:uid="{00000000-0005-0000-0000-00006E0C0000}"/>
    <cellStyle name="Comma 2 2 2 4 3 2 2 10" xfId="45158" xr:uid="{00000000-0005-0000-0000-00006F0C0000}"/>
    <cellStyle name="Comma 2 2 2 4 3 2 2 11" xfId="21880" xr:uid="{00000000-0005-0000-0000-0000700C0000}"/>
    <cellStyle name="Comma 2 2 2 4 3 2 2 2" xfId="2273" xr:uid="{00000000-0005-0000-0000-0000710C0000}"/>
    <cellStyle name="Comma 2 2 2 4 3 2 2 2 10" xfId="23104" xr:uid="{00000000-0005-0000-0000-0000720C0000}"/>
    <cellStyle name="Comma 2 2 2 4 3 2 2 2 2" xfId="4721" xr:uid="{00000000-0005-0000-0000-0000730C0000}"/>
    <cellStyle name="Comma 2 2 2 4 3 2 2 2 2 2" xfId="20656" xr:uid="{00000000-0005-0000-0000-0000740C0000}"/>
    <cellStyle name="Comma 2 2 2 4 3 2 2 2 2 2 2" xfId="43934" xr:uid="{00000000-0005-0000-0000-0000750C0000}"/>
    <cellStyle name="Comma 2 2 2 4 3 2 2 2 2 3" xfId="48830" xr:uid="{00000000-0005-0000-0000-0000760C0000}"/>
    <cellStyle name="Comma 2 2 2 4 3 2 2 2 2 4" xfId="28000" xr:uid="{00000000-0005-0000-0000-0000770C0000}"/>
    <cellStyle name="Comma 2 2 2 4 3 2 2 2 3" xfId="7169" xr:uid="{00000000-0005-0000-0000-0000780C0000}"/>
    <cellStyle name="Comma 2 2 2 4 3 2 2 2 3 2" xfId="30448" xr:uid="{00000000-0005-0000-0000-0000790C0000}"/>
    <cellStyle name="Comma 2 2 2 4 3 2 2 2 4" xfId="9617" xr:uid="{00000000-0005-0000-0000-00007A0C0000}"/>
    <cellStyle name="Comma 2 2 2 4 3 2 2 2 4 2" xfId="32896" xr:uid="{00000000-0005-0000-0000-00007B0C0000}"/>
    <cellStyle name="Comma 2 2 2 4 3 2 2 2 5" xfId="12065" xr:uid="{00000000-0005-0000-0000-00007C0C0000}"/>
    <cellStyle name="Comma 2 2 2 4 3 2 2 2 5 2" xfId="35344" xr:uid="{00000000-0005-0000-0000-00007D0C0000}"/>
    <cellStyle name="Comma 2 2 2 4 3 2 2 2 6" xfId="14513" xr:uid="{00000000-0005-0000-0000-00007E0C0000}"/>
    <cellStyle name="Comma 2 2 2 4 3 2 2 2 6 2" xfId="37792" xr:uid="{00000000-0005-0000-0000-00007F0C0000}"/>
    <cellStyle name="Comma 2 2 2 4 3 2 2 2 7" xfId="18208" xr:uid="{00000000-0005-0000-0000-0000800C0000}"/>
    <cellStyle name="Comma 2 2 2 4 3 2 2 2 7 2" xfId="41486" xr:uid="{00000000-0005-0000-0000-0000810C0000}"/>
    <cellStyle name="Comma 2 2 2 4 3 2 2 2 8" xfId="25552" xr:uid="{00000000-0005-0000-0000-0000820C0000}"/>
    <cellStyle name="Comma 2 2 2 4 3 2 2 2 9" xfId="46382" xr:uid="{00000000-0005-0000-0000-0000830C0000}"/>
    <cellStyle name="Comma 2 2 2 4 3 2 2 3" xfId="3497" xr:uid="{00000000-0005-0000-0000-0000840C0000}"/>
    <cellStyle name="Comma 2 2 2 4 3 2 2 3 2" xfId="16984" xr:uid="{00000000-0005-0000-0000-0000850C0000}"/>
    <cellStyle name="Comma 2 2 2 4 3 2 2 3 2 2" xfId="40262" xr:uid="{00000000-0005-0000-0000-0000860C0000}"/>
    <cellStyle name="Comma 2 2 2 4 3 2 2 3 3" xfId="47606" xr:uid="{00000000-0005-0000-0000-0000870C0000}"/>
    <cellStyle name="Comma 2 2 2 4 3 2 2 3 4" xfId="26776" xr:uid="{00000000-0005-0000-0000-0000880C0000}"/>
    <cellStyle name="Comma 2 2 2 4 3 2 2 4" xfId="5945" xr:uid="{00000000-0005-0000-0000-0000890C0000}"/>
    <cellStyle name="Comma 2 2 2 4 3 2 2 4 2" xfId="19432" xr:uid="{00000000-0005-0000-0000-00008A0C0000}"/>
    <cellStyle name="Comma 2 2 2 4 3 2 2 4 2 2" xfId="42710" xr:uid="{00000000-0005-0000-0000-00008B0C0000}"/>
    <cellStyle name="Comma 2 2 2 4 3 2 2 4 3" xfId="29224" xr:uid="{00000000-0005-0000-0000-00008C0C0000}"/>
    <cellStyle name="Comma 2 2 2 4 3 2 2 5" xfId="8393" xr:uid="{00000000-0005-0000-0000-00008D0C0000}"/>
    <cellStyle name="Comma 2 2 2 4 3 2 2 5 2" xfId="31672" xr:uid="{00000000-0005-0000-0000-00008E0C0000}"/>
    <cellStyle name="Comma 2 2 2 4 3 2 2 6" xfId="10841" xr:uid="{00000000-0005-0000-0000-00008F0C0000}"/>
    <cellStyle name="Comma 2 2 2 4 3 2 2 6 2" xfId="34120" xr:uid="{00000000-0005-0000-0000-0000900C0000}"/>
    <cellStyle name="Comma 2 2 2 4 3 2 2 7" xfId="13289" xr:uid="{00000000-0005-0000-0000-0000910C0000}"/>
    <cellStyle name="Comma 2 2 2 4 3 2 2 7 2" xfId="36568" xr:uid="{00000000-0005-0000-0000-0000920C0000}"/>
    <cellStyle name="Comma 2 2 2 4 3 2 2 8" xfId="15760" xr:uid="{00000000-0005-0000-0000-0000930C0000}"/>
    <cellStyle name="Comma 2 2 2 4 3 2 2 8 2" xfId="39038" xr:uid="{00000000-0005-0000-0000-0000940C0000}"/>
    <cellStyle name="Comma 2 2 2 4 3 2 2 9" xfId="24328" xr:uid="{00000000-0005-0000-0000-0000950C0000}"/>
    <cellStyle name="Comma 2 2 2 4 3 2 3" xfId="1661" xr:uid="{00000000-0005-0000-0000-0000960C0000}"/>
    <cellStyle name="Comma 2 2 2 4 3 2 3 10" xfId="22492" xr:uid="{00000000-0005-0000-0000-0000970C0000}"/>
    <cellStyle name="Comma 2 2 2 4 3 2 3 2" xfId="4109" xr:uid="{00000000-0005-0000-0000-0000980C0000}"/>
    <cellStyle name="Comma 2 2 2 4 3 2 3 2 2" xfId="20044" xr:uid="{00000000-0005-0000-0000-0000990C0000}"/>
    <cellStyle name="Comma 2 2 2 4 3 2 3 2 2 2" xfId="43322" xr:uid="{00000000-0005-0000-0000-00009A0C0000}"/>
    <cellStyle name="Comma 2 2 2 4 3 2 3 2 3" xfId="48218" xr:uid="{00000000-0005-0000-0000-00009B0C0000}"/>
    <cellStyle name="Comma 2 2 2 4 3 2 3 2 4" xfId="27388" xr:uid="{00000000-0005-0000-0000-00009C0C0000}"/>
    <cellStyle name="Comma 2 2 2 4 3 2 3 3" xfId="6557" xr:uid="{00000000-0005-0000-0000-00009D0C0000}"/>
    <cellStyle name="Comma 2 2 2 4 3 2 3 3 2" xfId="29836" xr:uid="{00000000-0005-0000-0000-00009E0C0000}"/>
    <cellStyle name="Comma 2 2 2 4 3 2 3 4" xfId="9005" xr:uid="{00000000-0005-0000-0000-00009F0C0000}"/>
    <cellStyle name="Comma 2 2 2 4 3 2 3 4 2" xfId="32284" xr:uid="{00000000-0005-0000-0000-0000A00C0000}"/>
    <cellStyle name="Comma 2 2 2 4 3 2 3 5" xfId="11453" xr:uid="{00000000-0005-0000-0000-0000A10C0000}"/>
    <cellStyle name="Comma 2 2 2 4 3 2 3 5 2" xfId="34732" xr:uid="{00000000-0005-0000-0000-0000A20C0000}"/>
    <cellStyle name="Comma 2 2 2 4 3 2 3 6" xfId="13901" xr:uid="{00000000-0005-0000-0000-0000A30C0000}"/>
    <cellStyle name="Comma 2 2 2 4 3 2 3 6 2" xfId="37180" xr:uid="{00000000-0005-0000-0000-0000A40C0000}"/>
    <cellStyle name="Comma 2 2 2 4 3 2 3 7" xfId="17596" xr:uid="{00000000-0005-0000-0000-0000A50C0000}"/>
    <cellStyle name="Comma 2 2 2 4 3 2 3 7 2" xfId="40874" xr:uid="{00000000-0005-0000-0000-0000A60C0000}"/>
    <cellStyle name="Comma 2 2 2 4 3 2 3 8" xfId="24940" xr:uid="{00000000-0005-0000-0000-0000A70C0000}"/>
    <cellStyle name="Comma 2 2 2 4 3 2 3 9" xfId="45770" xr:uid="{00000000-0005-0000-0000-0000A80C0000}"/>
    <cellStyle name="Comma 2 2 2 4 3 2 4" xfId="2885" xr:uid="{00000000-0005-0000-0000-0000A90C0000}"/>
    <cellStyle name="Comma 2 2 2 4 3 2 4 2" xfId="16372" xr:uid="{00000000-0005-0000-0000-0000AA0C0000}"/>
    <cellStyle name="Comma 2 2 2 4 3 2 4 2 2" xfId="39650" xr:uid="{00000000-0005-0000-0000-0000AB0C0000}"/>
    <cellStyle name="Comma 2 2 2 4 3 2 4 3" xfId="46994" xr:uid="{00000000-0005-0000-0000-0000AC0C0000}"/>
    <cellStyle name="Comma 2 2 2 4 3 2 4 4" xfId="26164" xr:uid="{00000000-0005-0000-0000-0000AD0C0000}"/>
    <cellStyle name="Comma 2 2 2 4 3 2 5" xfId="5333" xr:uid="{00000000-0005-0000-0000-0000AE0C0000}"/>
    <cellStyle name="Comma 2 2 2 4 3 2 5 2" xfId="18820" xr:uid="{00000000-0005-0000-0000-0000AF0C0000}"/>
    <cellStyle name="Comma 2 2 2 4 3 2 5 2 2" xfId="42098" xr:uid="{00000000-0005-0000-0000-0000B00C0000}"/>
    <cellStyle name="Comma 2 2 2 4 3 2 5 3" xfId="28612" xr:uid="{00000000-0005-0000-0000-0000B10C0000}"/>
    <cellStyle name="Comma 2 2 2 4 3 2 6" xfId="7781" xr:uid="{00000000-0005-0000-0000-0000B20C0000}"/>
    <cellStyle name="Comma 2 2 2 4 3 2 6 2" xfId="31060" xr:uid="{00000000-0005-0000-0000-0000B30C0000}"/>
    <cellStyle name="Comma 2 2 2 4 3 2 7" xfId="10229" xr:uid="{00000000-0005-0000-0000-0000B40C0000}"/>
    <cellStyle name="Comma 2 2 2 4 3 2 7 2" xfId="33508" xr:uid="{00000000-0005-0000-0000-0000B50C0000}"/>
    <cellStyle name="Comma 2 2 2 4 3 2 8" xfId="12677" xr:uid="{00000000-0005-0000-0000-0000B60C0000}"/>
    <cellStyle name="Comma 2 2 2 4 3 2 8 2" xfId="35956" xr:uid="{00000000-0005-0000-0000-0000B70C0000}"/>
    <cellStyle name="Comma 2 2 2 4 3 2 9" xfId="15148" xr:uid="{00000000-0005-0000-0000-0000B80C0000}"/>
    <cellStyle name="Comma 2 2 2 4 3 2 9 2" xfId="38426" xr:uid="{00000000-0005-0000-0000-0000B90C0000}"/>
    <cellStyle name="Comma 2 2 2 4 3 3" xfId="641" xr:uid="{00000000-0005-0000-0000-0000BA0C0000}"/>
    <cellStyle name="Comma 2 2 2 4 3 3 10" xfId="23920" xr:uid="{00000000-0005-0000-0000-0000BB0C0000}"/>
    <cellStyle name="Comma 2 2 2 4 3 3 11" xfId="44750" xr:uid="{00000000-0005-0000-0000-0000BC0C0000}"/>
    <cellStyle name="Comma 2 2 2 4 3 3 12" xfId="21472" xr:uid="{00000000-0005-0000-0000-0000BD0C0000}"/>
    <cellStyle name="Comma 2 2 2 4 3 3 2" xfId="1253" xr:uid="{00000000-0005-0000-0000-0000BE0C0000}"/>
    <cellStyle name="Comma 2 2 2 4 3 3 2 10" xfId="45362" xr:uid="{00000000-0005-0000-0000-0000BF0C0000}"/>
    <cellStyle name="Comma 2 2 2 4 3 3 2 11" xfId="22084" xr:uid="{00000000-0005-0000-0000-0000C00C0000}"/>
    <cellStyle name="Comma 2 2 2 4 3 3 2 2" xfId="2477" xr:uid="{00000000-0005-0000-0000-0000C10C0000}"/>
    <cellStyle name="Comma 2 2 2 4 3 3 2 2 10" xfId="23308" xr:uid="{00000000-0005-0000-0000-0000C20C0000}"/>
    <cellStyle name="Comma 2 2 2 4 3 3 2 2 2" xfId="4925" xr:uid="{00000000-0005-0000-0000-0000C30C0000}"/>
    <cellStyle name="Comma 2 2 2 4 3 3 2 2 2 2" xfId="20860" xr:uid="{00000000-0005-0000-0000-0000C40C0000}"/>
    <cellStyle name="Comma 2 2 2 4 3 3 2 2 2 2 2" xfId="44138" xr:uid="{00000000-0005-0000-0000-0000C50C0000}"/>
    <cellStyle name="Comma 2 2 2 4 3 3 2 2 2 3" xfId="49034" xr:uid="{00000000-0005-0000-0000-0000C60C0000}"/>
    <cellStyle name="Comma 2 2 2 4 3 3 2 2 2 4" xfId="28204" xr:uid="{00000000-0005-0000-0000-0000C70C0000}"/>
    <cellStyle name="Comma 2 2 2 4 3 3 2 2 3" xfId="7373" xr:uid="{00000000-0005-0000-0000-0000C80C0000}"/>
    <cellStyle name="Comma 2 2 2 4 3 3 2 2 3 2" xfId="30652" xr:uid="{00000000-0005-0000-0000-0000C90C0000}"/>
    <cellStyle name="Comma 2 2 2 4 3 3 2 2 4" xfId="9821" xr:uid="{00000000-0005-0000-0000-0000CA0C0000}"/>
    <cellStyle name="Comma 2 2 2 4 3 3 2 2 4 2" xfId="33100" xr:uid="{00000000-0005-0000-0000-0000CB0C0000}"/>
    <cellStyle name="Comma 2 2 2 4 3 3 2 2 5" xfId="12269" xr:uid="{00000000-0005-0000-0000-0000CC0C0000}"/>
    <cellStyle name="Comma 2 2 2 4 3 3 2 2 5 2" xfId="35548" xr:uid="{00000000-0005-0000-0000-0000CD0C0000}"/>
    <cellStyle name="Comma 2 2 2 4 3 3 2 2 6" xfId="14717" xr:uid="{00000000-0005-0000-0000-0000CE0C0000}"/>
    <cellStyle name="Comma 2 2 2 4 3 3 2 2 6 2" xfId="37996" xr:uid="{00000000-0005-0000-0000-0000CF0C0000}"/>
    <cellStyle name="Comma 2 2 2 4 3 3 2 2 7" xfId="18412" xr:uid="{00000000-0005-0000-0000-0000D00C0000}"/>
    <cellStyle name="Comma 2 2 2 4 3 3 2 2 7 2" xfId="41690" xr:uid="{00000000-0005-0000-0000-0000D10C0000}"/>
    <cellStyle name="Comma 2 2 2 4 3 3 2 2 8" xfId="25756" xr:uid="{00000000-0005-0000-0000-0000D20C0000}"/>
    <cellStyle name="Comma 2 2 2 4 3 3 2 2 9" xfId="46586" xr:uid="{00000000-0005-0000-0000-0000D30C0000}"/>
    <cellStyle name="Comma 2 2 2 4 3 3 2 3" xfId="3701" xr:uid="{00000000-0005-0000-0000-0000D40C0000}"/>
    <cellStyle name="Comma 2 2 2 4 3 3 2 3 2" xfId="17188" xr:uid="{00000000-0005-0000-0000-0000D50C0000}"/>
    <cellStyle name="Comma 2 2 2 4 3 3 2 3 2 2" xfId="40466" xr:uid="{00000000-0005-0000-0000-0000D60C0000}"/>
    <cellStyle name="Comma 2 2 2 4 3 3 2 3 3" xfId="47810" xr:uid="{00000000-0005-0000-0000-0000D70C0000}"/>
    <cellStyle name="Comma 2 2 2 4 3 3 2 3 4" xfId="26980" xr:uid="{00000000-0005-0000-0000-0000D80C0000}"/>
    <cellStyle name="Comma 2 2 2 4 3 3 2 4" xfId="6149" xr:uid="{00000000-0005-0000-0000-0000D90C0000}"/>
    <cellStyle name="Comma 2 2 2 4 3 3 2 4 2" xfId="19636" xr:uid="{00000000-0005-0000-0000-0000DA0C0000}"/>
    <cellStyle name="Comma 2 2 2 4 3 3 2 4 2 2" xfId="42914" xr:uid="{00000000-0005-0000-0000-0000DB0C0000}"/>
    <cellStyle name="Comma 2 2 2 4 3 3 2 4 3" xfId="29428" xr:uid="{00000000-0005-0000-0000-0000DC0C0000}"/>
    <cellStyle name="Comma 2 2 2 4 3 3 2 5" xfId="8597" xr:uid="{00000000-0005-0000-0000-0000DD0C0000}"/>
    <cellStyle name="Comma 2 2 2 4 3 3 2 5 2" xfId="31876" xr:uid="{00000000-0005-0000-0000-0000DE0C0000}"/>
    <cellStyle name="Comma 2 2 2 4 3 3 2 6" xfId="11045" xr:uid="{00000000-0005-0000-0000-0000DF0C0000}"/>
    <cellStyle name="Comma 2 2 2 4 3 3 2 6 2" xfId="34324" xr:uid="{00000000-0005-0000-0000-0000E00C0000}"/>
    <cellStyle name="Comma 2 2 2 4 3 3 2 7" xfId="13493" xr:uid="{00000000-0005-0000-0000-0000E10C0000}"/>
    <cellStyle name="Comma 2 2 2 4 3 3 2 7 2" xfId="36772" xr:uid="{00000000-0005-0000-0000-0000E20C0000}"/>
    <cellStyle name="Comma 2 2 2 4 3 3 2 8" xfId="15964" xr:uid="{00000000-0005-0000-0000-0000E30C0000}"/>
    <cellStyle name="Comma 2 2 2 4 3 3 2 8 2" xfId="39242" xr:uid="{00000000-0005-0000-0000-0000E40C0000}"/>
    <cellStyle name="Comma 2 2 2 4 3 3 2 9" xfId="24532" xr:uid="{00000000-0005-0000-0000-0000E50C0000}"/>
    <cellStyle name="Comma 2 2 2 4 3 3 3" xfId="1865" xr:uid="{00000000-0005-0000-0000-0000E60C0000}"/>
    <cellStyle name="Comma 2 2 2 4 3 3 3 10" xfId="22696" xr:uid="{00000000-0005-0000-0000-0000E70C0000}"/>
    <cellStyle name="Comma 2 2 2 4 3 3 3 2" xfId="4313" xr:uid="{00000000-0005-0000-0000-0000E80C0000}"/>
    <cellStyle name="Comma 2 2 2 4 3 3 3 2 2" xfId="20248" xr:uid="{00000000-0005-0000-0000-0000E90C0000}"/>
    <cellStyle name="Comma 2 2 2 4 3 3 3 2 2 2" xfId="43526" xr:uid="{00000000-0005-0000-0000-0000EA0C0000}"/>
    <cellStyle name="Comma 2 2 2 4 3 3 3 2 3" xfId="48422" xr:uid="{00000000-0005-0000-0000-0000EB0C0000}"/>
    <cellStyle name="Comma 2 2 2 4 3 3 3 2 4" xfId="27592" xr:uid="{00000000-0005-0000-0000-0000EC0C0000}"/>
    <cellStyle name="Comma 2 2 2 4 3 3 3 3" xfId="6761" xr:uid="{00000000-0005-0000-0000-0000ED0C0000}"/>
    <cellStyle name="Comma 2 2 2 4 3 3 3 3 2" xfId="30040" xr:uid="{00000000-0005-0000-0000-0000EE0C0000}"/>
    <cellStyle name="Comma 2 2 2 4 3 3 3 4" xfId="9209" xr:uid="{00000000-0005-0000-0000-0000EF0C0000}"/>
    <cellStyle name="Comma 2 2 2 4 3 3 3 4 2" xfId="32488" xr:uid="{00000000-0005-0000-0000-0000F00C0000}"/>
    <cellStyle name="Comma 2 2 2 4 3 3 3 5" xfId="11657" xr:uid="{00000000-0005-0000-0000-0000F10C0000}"/>
    <cellStyle name="Comma 2 2 2 4 3 3 3 5 2" xfId="34936" xr:uid="{00000000-0005-0000-0000-0000F20C0000}"/>
    <cellStyle name="Comma 2 2 2 4 3 3 3 6" xfId="14105" xr:uid="{00000000-0005-0000-0000-0000F30C0000}"/>
    <cellStyle name="Comma 2 2 2 4 3 3 3 6 2" xfId="37384" xr:uid="{00000000-0005-0000-0000-0000F40C0000}"/>
    <cellStyle name="Comma 2 2 2 4 3 3 3 7" xfId="17800" xr:uid="{00000000-0005-0000-0000-0000F50C0000}"/>
    <cellStyle name="Comma 2 2 2 4 3 3 3 7 2" xfId="41078" xr:uid="{00000000-0005-0000-0000-0000F60C0000}"/>
    <cellStyle name="Comma 2 2 2 4 3 3 3 8" xfId="25144" xr:uid="{00000000-0005-0000-0000-0000F70C0000}"/>
    <cellStyle name="Comma 2 2 2 4 3 3 3 9" xfId="45974" xr:uid="{00000000-0005-0000-0000-0000F80C0000}"/>
    <cellStyle name="Comma 2 2 2 4 3 3 4" xfId="3089" xr:uid="{00000000-0005-0000-0000-0000F90C0000}"/>
    <cellStyle name="Comma 2 2 2 4 3 3 4 2" xfId="16576" xr:uid="{00000000-0005-0000-0000-0000FA0C0000}"/>
    <cellStyle name="Comma 2 2 2 4 3 3 4 2 2" xfId="39854" xr:uid="{00000000-0005-0000-0000-0000FB0C0000}"/>
    <cellStyle name="Comma 2 2 2 4 3 3 4 3" xfId="47198" xr:uid="{00000000-0005-0000-0000-0000FC0C0000}"/>
    <cellStyle name="Comma 2 2 2 4 3 3 4 4" xfId="26368" xr:uid="{00000000-0005-0000-0000-0000FD0C0000}"/>
    <cellStyle name="Comma 2 2 2 4 3 3 5" xfId="5537" xr:uid="{00000000-0005-0000-0000-0000FE0C0000}"/>
    <cellStyle name="Comma 2 2 2 4 3 3 5 2" xfId="19024" xr:uid="{00000000-0005-0000-0000-0000FF0C0000}"/>
    <cellStyle name="Comma 2 2 2 4 3 3 5 2 2" xfId="42302" xr:uid="{00000000-0005-0000-0000-0000000D0000}"/>
    <cellStyle name="Comma 2 2 2 4 3 3 5 3" xfId="28816" xr:uid="{00000000-0005-0000-0000-0000010D0000}"/>
    <cellStyle name="Comma 2 2 2 4 3 3 6" xfId="7985" xr:uid="{00000000-0005-0000-0000-0000020D0000}"/>
    <cellStyle name="Comma 2 2 2 4 3 3 6 2" xfId="31264" xr:uid="{00000000-0005-0000-0000-0000030D0000}"/>
    <cellStyle name="Comma 2 2 2 4 3 3 7" xfId="10433" xr:uid="{00000000-0005-0000-0000-0000040D0000}"/>
    <cellStyle name="Comma 2 2 2 4 3 3 7 2" xfId="33712" xr:uid="{00000000-0005-0000-0000-0000050D0000}"/>
    <cellStyle name="Comma 2 2 2 4 3 3 8" xfId="12881" xr:uid="{00000000-0005-0000-0000-0000060D0000}"/>
    <cellStyle name="Comma 2 2 2 4 3 3 8 2" xfId="36160" xr:uid="{00000000-0005-0000-0000-0000070D0000}"/>
    <cellStyle name="Comma 2 2 2 4 3 3 9" xfId="15352" xr:uid="{00000000-0005-0000-0000-0000080D0000}"/>
    <cellStyle name="Comma 2 2 2 4 3 3 9 2" xfId="38630" xr:uid="{00000000-0005-0000-0000-0000090D0000}"/>
    <cellStyle name="Comma 2 2 2 4 3 4" xfId="845" xr:uid="{00000000-0005-0000-0000-00000A0D0000}"/>
    <cellStyle name="Comma 2 2 2 4 3 4 10" xfId="44954" xr:uid="{00000000-0005-0000-0000-00000B0D0000}"/>
    <cellStyle name="Comma 2 2 2 4 3 4 11" xfId="21676" xr:uid="{00000000-0005-0000-0000-00000C0D0000}"/>
    <cellStyle name="Comma 2 2 2 4 3 4 2" xfId="2069" xr:uid="{00000000-0005-0000-0000-00000D0D0000}"/>
    <cellStyle name="Comma 2 2 2 4 3 4 2 10" xfId="22900" xr:uid="{00000000-0005-0000-0000-00000E0D0000}"/>
    <cellStyle name="Comma 2 2 2 4 3 4 2 2" xfId="4517" xr:uid="{00000000-0005-0000-0000-00000F0D0000}"/>
    <cellStyle name="Comma 2 2 2 4 3 4 2 2 2" xfId="20452" xr:uid="{00000000-0005-0000-0000-0000100D0000}"/>
    <cellStyle name="Comma 2 2 2 4 3 4 2 2 2 2" xfId="43730" xr:uid="{00000000-0005-0000-0000-0000110D0000}"/>
    <cellStyle name="Comma 2 2 2 4 3 4 2 2 3" xfId="48626" xr:uid="{00000000-0005-0000-0000-0000120D0000}"/>
    <cellStyle name="Comma 2 2 2 4 3 4 2 2 4" xfId="27796" xr:uid="{00000000-0005-0000-0000-0000130D0000}"/>
    <cellStyle name="Comma 2 2 2 4 3 4 2 3" xfId="6965" xr:uid="{00000000-0005-0000-0000-0000140D0000}"/>
    <cellStyle name="Comma 2 2 2 4 3 4 2 3 2" xfId="30244" xr:uid="{00000000-0005-0000-0000-0000150D0000}"/>
    <cellStyle name="Comma 2 2 2 4 3 4 2 4" xfId="9413" xr:uid="{00000000-0005-0000-0000-0000160D0000}"/>
    <cellStyle name="Comma 2 2 2 4 3 4 2 4 2" xfId="32692" xr:uid="{00000000-0005-0000-0000-0000170D0000}"/>
    <cellStyle name="Comma 2 2 2 4 3 4 2 5" xfId="11861" xr:uid="{00000000-0005-0000-0000-0000180D0000}"/>
    <cellStyle name="Comma 2 2 2 4 3 4 2 5 2" xfId="35140" xr:uid="{00000000-0005-0000-0000-0000190D0000}"/>
    <cellStyle name="Comma 2 2 2 4 3 4 2 6" xfId="14309" xr:uid="{00000000-0005-0000-0000-00001A0D0000}"/>
    <cellStyle name="Comma 2 2 2 4 3 4 2 6 2" xfId="37588" xr:uid="{00000000-0005-0000-0000-00001B0D0000}"/>
    <cellStyle name="Comma 2 2 2 4 3 4 2 7" xfId="18004" xr:uid="{00000000-0005-0000-0000-00001C0D0000}"/>
    <cellStyle name="Comma 2 2 2 4 3 4 2 7 2" xfId="41282" xr:uid="{00000000-0005-0000-0000-00001D0D0000}"/>
    <cellStyle name="Comma 2 2 2 4 3 4 2 8" xfId="25348" xr:uid="{00000000-0005-0000-0000-00001E0D0000}"/>
    <cellStyle name="Comma 2 2 2 4 3 4 2 9" xfId="46178" xr:uid="{00000000-0005-0000-0000-00001F0D0000}"/>
    <cellStyle name="Comma 2 2 2 4 3 4 3" xfId="3293" xr:uid="{00000000-0005-0000-0000-0000200D0000}"/>
    <cellStyle name="Comma 2 2 2 4 3 4 3 2" xfId="16780" xr:uid="{00000000-0005-0000-0000-0000210D0000}"/>
    <cellStyle name="Comma 2 2 2 4 3 4 3 2 2" xfId="40058" xr:uid="{00000000-0005-0000-0000-0000220D0000}"/>
    <cellStyle name="Comma 2 2 2 4 3 4 3 3" xfId="47402" xr:uid="{00000000-0005-0000-0000-0000230D0000}"/>
    <cellStyle name="Comma 2 2 2 4 3 4 3 4" xfId="26572" xr:uid="{00000000-0005-0000-0000-0000240D0000}"/>
    <cellStyle name="Comma 2 2 2 4 3 4 4" xfId="5741" xr:uid="{00000000-0005-0000-0000-0000250D0000}"/>
    <cellStyle name="Comma 2 2 2 4 3 4 4 2" xfId="19228" xr:uid="{00000000-0005-0000-0000-0000260D0000}"/>
    <cellStyle name="Comma 2 2 2 4 3 4 4 2 2" xfId="42506" xr:uid="{00000000-0005-0000-0000-0000270D0000}"/>
    <cellStyle name="Comma 2 2 2 4 3 4 4 3" xfId="29020" xr:uid="{00000000-0005-0000-0000-0000280D0000}"/>
    <cellStyle name="Comma 2 2 2 4 3 4 5" xfId="8189" xr:uid="{00000000-0005-0000-0000-0000290D0000}"/>
    <cellStyle name="Comma 2 2 2 4 3 4 5 2" xfId="31468" xr:uid="{00000000-0005-0000-0000-00002A0D0000}"/>
    <cellStyle name="Comma 2 2 2 4 3 4 6" xfId="10637" xr:uid="{00000000-0005-0000-0000-00002B0D0000}"/>
    <cellStyle name="Comma 2 2 2 4 3 4 6 2" xfId="33916" xr:uid="{00000000-0005-0000-0000-00002C0D0000}"/>
    <cellStyle name="Comma 2 2 2 4 3 4 7" xfId="13085" xr:uid="{00000000-0005-0000-0000-00002D0D0000}"/>
    <cellStyle name="Comma 2 2 2 4 3 4 7 2" xfId="36364" xr:uid="{00000000-0005-0000-0000-00002E0D0000}"/>
    <cellStyle name="Comma 2 2 2 4 3 4 8" xfId="15556" xr:uid="{00000000-0005-0000-0000-00002F0D0000}"/>
    <cellStyle name="Comma 2 2 2 4 3 4 8 2" xfId="38834" xr:uid="{00000000-0005-0000-0000-0000300D0000}"/>
    <cellStyle name="Comma 2 2 2 4 3 4 9" xfId="24124" xr:uid="{00000000-0005-0000-0000-0000310D0000}"/>
    <cellStyle name="Comma 2 2 2 4 3 5" xfId="1457" xr:uid="{00000000-0005-0000-0000-0000320D0000}"/>
    <cellStyle name="Comma 2 2 2 4 3 5 10" xfId="22288" xr:uid="{00000000-0005-0000-0000-0000330D0000}"/>
    <cellStyle name="Comma 2 2 2 4 3 5 2" xfId="3905" xr:uid="{00000000-0005-0000-0000-0000340D0000}"/>
    <cellStyle name="Comma 2 2 2 4 3 5 2 2" xfId="19840" xr:uid="{00000000-0005-0000-0000-0000350D0000}"/>
    <cellStyle name="Comma 2 2 2 4 3 5 2 2 2" xfId="43118" xr:uid="{00000000-0005-0000-0000-0000360D0000}"/>
    <cellStyle name="Comma 2 2 2 4 3 5 2 3" xfId="48014" xr:uid="{00000000-0005-0000-0000-0000370D0000}"/>
    <cellStyle name="Comma 2 2 2 4 3 5 2 4" xfId="27184" xr:uid="{00000000-0005-0000-0000-0000380D0000}"/>
    <cellStyle name="Comma 2 2 2 4 3 5 3" xfId="6353" xr:uid="{00000000-0005-0000-0000-0000390D0000}"/>
    <cellStyle name="Comma 2 2 2 4 3 5 3 2" xfId="29632" xr:uid="{00000000-0005-0000-0000-00003A0D0000}"/>
    <cellStyle name="Comma 2 2 2 4 3 5 4" xfId="8801" xr:uid="{00000000-0005-0000-0000-00003B0D0000}"/>
    <cellStyle name="Comma 2 2 2 4 3 5 4 2" xfId="32080" xr:uid="{00000000-0005-0000-0000-00003C0D0000}"/>
    <cellStyle name="Comma 2 2 2 4 3 5 5" xfId="11249" xr:uid="{00000000-0005-0000-0000-00003D0D0000}"/>
    <cellStyle name="Comma 2 2 2 4 3 5 5 2" xfId="34528" xr:uid="{00000000-0005-0000-0000-00003E0D0000}"/>
    <cellStyle name="Comma 2 2 2 4 3 5 6" xfId="13697" xr:uid="{00000000-0005-0000-0000-00003F0D0000}"/>
    <cellStyle name="Comma 2 2 2 4 3 5 6 2" xfId="36976" xr:uid="{00000000-0005-0000-0000-0000400D0000}"/>
    <cellStyle name="Comma 2 2 2 4 3 5 7" xfId="17392" xr:uid="{00000000-0005-0000-0000-0000410D0000}"/>
    <cellStyle name="Comma 2 2 2 4 3 5 7 2" xfId="40670" xr:uid="{00000000-0005-0000-0000-0000420D0000}"/>
    <cellStyle name="Comma 2 2 2 4 3 5 8" xfId="24736" xr:uid="{00000000-0005-0000-0000-0000430D0000}"/>
    <cellStyle name="Comma 2 2 2 4 3 5 9" xfId="45566" xr:uid="{00000000-0005-0000-0000-0000440D0000}"/>
    <cellStyle name="Comma 2 2 2 4 3 6" xfId="2681" xr:uid="{00000000-0005-0000-0000-0000450D0000}"/>
    <cellStyle name="Comma 2 2 2 4 3 6 2" xfId="16168" xr:uid="{00000000-0005-0000-0000-0000460D0000}"/>
    <cellStyle name="Comma 2 2 2 4 3 6 2 2" xfId="39446" xr:uid="{00000000-0005-0000-0000-0000470D0000}"/>
    <cellStyle name="Comma 2 2 2 4 3 6 3" xfId="46790" xr:uid="{00000000-0005-0000-0000-0000480D0000}"/>
    <cellStyle name="Comma 2 2 2 4 3 6 4" xfId="25960" xr:uid="{00000000-0005-0000-0000-0000490D0000}"/>
    <cellStyle name="Comma 2 2 2 4 3 7" xfId="5129" xr:uid="{00000000-0005-0000-0000-00004A0D0000}"/>
    <cellStyle name="Comma 2 2 2 4 3 7 2" xfId="18616" xr:uid="{00000000-0005-0000-0000-00004B0D0000}"/>
    <cellStyle name="Comma 2 2 2 4 3 7 2 2" xfId="41894" xr:uid="{00000000-0005-0000-0000-00004C0D0000}"/>
    <cellStyle name="Comma 2 2 2 4 3 7 3" xfId="28408" xr:uid="{00000000-0005-0000-0000-00004D0D0000}"/>
    <cellStyle name="Comma 2 2 2 4 3 8" xfId="7577" xr:uid="{00000000-0005-0000-0000-00004E0D0000}"/>
    <cellStyle name="Comma 2 2 2 4 3 8 2" xfId="30856" xr:uid="{00000000-0005-0000-0000-00004F0D0000}"/>
    <cellStyle name="Comma 2 2 2 4 3 9" xfId="10025" xr:uid="{00000000-0005-0000-0000-0000500D0000}"/>
    <cellStyle name="Comma 2 2 2 4 3 9 2" xfId="33304" xr:uid="{00000000-0005-0000-0000-0000510D0000}"/>
    <cellStyle name="Comma 2 2 2 4 4" xfId="301" xr:uid="{00000000-0005-0000-0000-0000520D0000}"/>
    <cellStyle name="Comma 2 2 2 4 4 10" xfId="23580" xr:uid="{00000000-0005-0000-0000-0000530D0000}"/>
    <cellStyle name="Comma 2 2 2 4 4 11" xfId="44410" xr:uid="{00000000-0005-0000-0000-0000540D0000}"/>
    <cellStyle name="Comma 2 2 2 4 4 12" xfId="21132" xr:uid="{00000000-0005-0000-0000-0000550D0000}"/>
    <cellStyle name="Comma 2 2 2 4 4 2" xfId="913" xr:uid="{00000000-0005-0000-0000-0000560D0000}"/>
    <cellStyle name="Comma 2 2 2 4 4 2 10" xfId="45022" xr:uid="{00000000-0005-0000-0000-0000570D0000}"/>
    <cellStyle name="Comma 2 2 2 4 4 2 11" xfId="21744" xr:uid="{00000000-0005-0000-0000-0000580D0000}"/>
    <cellStyle name="Comma 2 2 2 4 4 2 2" xfId="2137" xr:uid="{00000000-0005-0000-0000-0000590D0000}"/>
    <cellStyle name="Comma 2 2 2 4 4 2 2 10" xfId="22968" xr:uid="{00000000-0005-0000-0000-00005A0D0000}"/>
    <cellStyle name="Comma 2 2 2 4 4 2 2 2" xfId="4585" xr:uid="{00000000-0005-0000-0000-00005B0D0000}"/>
    <cellStyle name="Comma 2 2 2 4 4 2 2 2 2" xfId="20520" xr:uid="{00000000-0005-0000-0000-00005C0D0000}"/>
    <cellStyle name="Comma 2 2 2 4 4 2 2 2 2 2" xfId="43798" xr:uid="{00000000-0005-0000-0000-00005D0D0000}"/>
    <cellStyle name="Comma 2 2 2 4 4 2 2 2 3" xfId="48694" xr:uid="{00000000-0005-0000-0000-00005E0D0000}"/>
    <cellStyle name="Comma 2 2 2 4 4 2 2 2 4" xfId="27864" xr:uid="{00000000-0005-0000-0000-00005F0D0000}"/>
    <cellStyle name="Comma 2 2 2 4 4 2 2 3" xfId="7033" xr:uid="{00000000-0005-0000-0000-0000600D0000}"/>
    <cellStyle name="Comma 2 2 2 4 4 2 2 3 2" xfId="30312" xr:uid="{00000000-0005-0000-0000-0000610D0000}"/>
    <cellStyle name="Comma 2 2 2 4 4 2 2 4" xfId="9481" xr:uid="{00000000-0005-0000-0000-0000620D0000}"/>
    <cellStyle name="Comma 2 2 2 4 4 2 2 4 2" xfId="32760" xr:uid="{00000000-0005-0000-0000-0000630D0000}"/>
    <cellStyle name="Comma 2 2 2 4 4 2 2 5" xfId="11929" xr:uid="{00000000-0005-0000-0000-0000640D0000}"/>
    <cellStyle name="Comma 2 2 2 4 4 2 2 5 2" xfId="35208" xr:uid="{00000000-0005-0000-0000-0000650D0000}"/>
    <cellStyle name="Comma 2 2 2 4 4 2 2 6" xfId="14377" xr:uid="{00000000-0005-0000-0000-0000660D0000}"/>
    <cellStyle name="Comma 2 2 2 4 4 2 2 6 2" xfId="37656" xr:uid="{00000000-0005-0000-0000-0000670D0000}"/>
    <cellStyle name="Comma 2 2 2 4 4 2 2 7" xfId="18072" xr:uid="{00000000-0005-0000-0000-0000680D0000}"/>
    <cellStyle name="Comma 2 2 2 4 4 2 2 7 2" xfId="41350" xr:uid="{00000000-0005-0000-0000-0000690D0000}"/>
    <cellStyle name="Comma 2 2 2 4 4 2 2 8" xfId="25416" xr:uid="{00000000-0005-0000-0000-00006A0D0000}"/>
    <cellStyle name="Comma 2 2 2 4 4 2 2 9" xfId="46246" xr:uid="{00000000-0005-0000-0000-00006B0D0000}"/>
    <cellStyle name="Comma 2 2 2 4 4 2 3" xfId="3361" xr:uid="{00000000-0005-0000-0000-00006C0D0000}"/>
    <cellStyle name="Comma 2 2 2 4 4 2 3 2" xfId="16848" xr:uid="{00000000-0005-0000-0000-00006D0D0000}"/>
    <cellStyle name="Comma 2 2 2 4 4 2 3 2 2" xfId="40126" xr:uid="{00000000-0005-0000-0000-00006E0D0000}"/>
    <cellStyle name="Comma 2 2 2 4 4 2 3 3" xfId="47470" xr:uid="{00000000-0005-0000-0000-00006F0D0000}"/>
    <cellStyle name="Comma 2 2 2 4 4 2 3 4" xfId="26640" xr:uid="{00000000-0005-0000-0000-0000700D0000}"/>
    <cellStyle name="Comma 2 2 2 4 4 2 4" xfId="5809" xr:uid="{00000000-0005-0000-0000-0000710D0000}"/>
    <cellStyle name="Comma 2 2 2 4 4 2 4 2" xfId="19296" xr:uid="{00000000-0005-0000-0000-0000720D0000}"/>
    <cellStyle name="Comma 2 2 2 4 4 2 4 2 2" xfId="42574" xr:uid="{00000000-0005-0000-0000-0000730D0000}"/>
    <cellStyle name="Comma 2 2 2 4 4 2 4 3" xfId="29088" xr:uid="{00000000-0005-0000-0000-0000740D0000}"/>
    <cellStyle name="Comma 2 2 2 4 4 2 5" xfId="8257" xr:uid="{00000000-0005-0000-0000-0000750D0000}"/>
    <cellStyle name="Comma 2 2 2 4 4 2 5 2" xfId="31536" xr:uid="{00000000-0005-0000-0000-0000760D0000}"/>
    <cellStyle name="Comma 2 2 2 4 4 2 6" xfId="10705" xr:uid="{00000000-0005-0000-0000-0000770D0000}"/>
    <cellStyle name="Comma 2 2 2 4 4 2 6 2" xfId="33984" xr:uid="{00000000-0005-0000-0000-0000780D0000}"/>
    <cellStyle name="Comma 2 2 2 4 4 2 7" xfId="13153" xr:uid="{00000000-0005-0000-0000-0000790D0000}"/>
    <cellStyle name="Comma 2 2 2 4 4 2 7 2" xfId="36432" xr:uid="{00000000-0005-0000-0000-00007A0D0000}"/>
    <cellStyle name="Comma 2 2 2 4 4 2 8" xfId="15624" xr:uid="{00000000-0005-0000-0000-00007B0D0000}"/>
    <cellStyle name="Comma 2 2 2 4 4 2 8 2" xfId="38902" xr:uid="{00000000-0005-0000-0000-00007C0D0000}"/>
    <cellStyle name="Comma 2 2 2 4 4 2 9" xfId="24192" xr:uid="{00000000-0005-0000-0000-00007D0D0000}"/>
    <cellStyle name="Comma 2 2 2 4 4 3" xfId="1525" xr:uid="{00000000-0005-0000-0000-00007E0D0000}"/>
    <cellStyle name="Comma 2 2 2 4 4 3 10" xfId="22356" xr:uid="{00000000-0005-0000-0000-00007F0D0000}"/>
    <cellStyle name="Comma 2 2 2 4 4 3 2" xfId="3973" xr:uid="{00000000-0005-0000-0000-0000800D0000}"/>
    <cellStyle name="Comma 2 2 2 4 4 3 2 2" xfId="19908" xr:uid="{00000000-0005-0000-0000-0000810D0000}"/>
    <cellStyle name="Comma 2 2 2 4 4 3 2 2 2" xfId="43186" xr:uid="{00000000-0005-0000-0000-0000820D0000}"/>
    <cellStyle name="Comma 2 2 2 4 4 3 2 3" xfId="48082" xr:uid="{00000000-0005-0000-0000-0000830D0000}"/>
    <cellStyle name="Comma 2 2 2 4 4 3 2 4" xfId="27252" xr:uid="{00000000-0005-0000-0000-0000840D0000}"/>
    <cellStyle name="Comma 2 2 2 4 4 3 3" xfId="6421" xr:uid="{00000000-0005-0000-0000-0000850D0000}"/>
    <cellStyle name="Comma 2 2 2 4 4 3 3 2" xfId="29700" xr:uid="{00000000-0005-0000-0000-0000860D0000}"/>
    <cellStyle name="Comma 2 2 2 4 4 3 4" xfId="8869" xr:uid="{00000000-0005-0000-0000-0000870D0000}"/>
    <cellStyle name="Comma 2 2 2 4 4 3 4 2" xfId="32148" xr:uid="{00000000-0005-0000-0000-0000880D0000}"/>
    <cellStyle name="Comma 2 2 2 4 4 3 5" xfId="11317" xr:uid="{00000000-0005-0000-0000-0000890D0000}"/>
    <cellStyle name="Comma 2 2 2 4 4 3 5 2" xfId="34596" xr:uid="{00000000-0005-0000-0000-00008A0D0000}"/>
    <cellStyle name="Comma 2 2 2 4 4 3 6" xfId="13765" xr:uid="{00000000-0005-0000-0000-00008B0D0000}"/>
    <cellStyle name="Comma 2 2 2 4 4 3 6 2" xfId="37044" xr:uid="{00000000-0005-0000-0000-00008C0D0000}"/>
    <cellStyle name="Comma 2 2 2 4 4 3 7" xfId="17460" xr:uid="{00000000-0005-0000-0000-00008D0D0000}"/>
    <cellStyle name="Comma 2 2 2 4 4 3 7 2" xfId="40738" xr:uid="{00000000-0005-0000-0000-00008E0D0000}"/>
    <cellStyle name="Comma 2 2 2 4 4 3 8" xfId="24804" xr:uid="{00000000-0005-0000-0000-00008F0D0000}"/>
    <cellStyle name="Comma 2 2 2 4 4 3 9" xfId="45634" xr:uid="{00000000-0005-0000-0000-0000900D0000}"/>
    <cellStyle name="Comma 2 2 2 4 4 4" xfId="2749" xr:uid="{00000000-0005-0000-0000-0000910D0000}"/>
    <cellStyle name="Comma 2 2 2 4 4 4 2" xfId="16236" xr:uid="{00000000-0005-0000-0000-0000920D0000}"/>
    <cellStyle name="Comma 2 2 2 4 4 4 2 2" xfId="39514" xr:uid="{00000000-0005-0000-0000-0000930D0000}"/>
    <cellStyle name="Comma 2 2 2 4 4 4 3" xfId="46858" xr:uid="{00000000-0005-0000-0000-0000940D0000}"/>
    <cellStyle name="Comma 2 2 2 4 4 4 4" xfId="26028" xr:uid="{00000000-0005-0000-0000-0000950D0000}"/>
    <cellStyle name="Comma 2 2 2 4 4 5" xfId="5197" xr:uid="{00000000-0005-0000-0000-0000960D0000}"/>
    <cellStyle name="Comma 2 2 2 4 4 5 2" xfId="18684" xr:uid="{00000000-0005-0000-0000-0000970D0000}"/>
    <cellStyle name="Comma 2 2 2 4 4 5 2 2" xfId="41962" xr:uid="{00000000-0005-0000-0000-0000980D0000}"/>
    <cellStyle name="Comma 2 2 2 4 4 5 3" xfId="28476" xr:uid="{00000000-0005-0000-0000-0000990D0000}"/>
    <cellStyle name="Comma 2 2 2 4 4 6" xfId="7645" xr:uid="{00000000-0005-0000-0000-00009A0D0000}"/>
    <cellStyle name="Comma 2 2 2 4 4 6 2" xfId="30924" xr:uid="{00000000-0005-0000-0000-00009B0D0000}"/>
    <cellStyle name="Comma 2 2 2 4 4 7" xfId="10093" xr:uid="{00000000-0005-0000-0000-00009C0D0000}"/>
    <cellStyle name="Comma 2 2 2 4 4 7 2" xfId="33372" xr:uid="{00000000-0005-0000-0000-00009D0D0000}"/>
    <cellStyle name="Comma 2 2 2 4 4 8" xfId="12541" xr:uid="{00000000-0005-0000-0000-00009E0D0000}"/>
    <cellStyle name="Comma 2 2 2 4 4 8 2" xfId="35820" xr:uid="{00000000-0005-0000-0000-00009F0D0000}"/>
    <cellStyle name="Comma 2 2 2 4 4 9" xfId="15012" xr:uid="{00000000-0005-0000-0000-0000A00D0000}"/>
    <cellStyle name="Comma 2 2 2 4 4 9 2" xfId="38290" xr:uid="{00000000-0005-0000-0000-0000A10D0000}"/>
    <cellStyle name="Comma 2 2 2 4 5" xfId="505" xr:uid="{00000000-0005-0000-0000-0000A20D0000}"/>
    <cellStyle name="Comma 2 2 2 4 5 10" xfId="23784" xr:uid="{00000000-0005-0000-0000-0000A30D0000}"/>
    <cellStyle name="Comma 2 2 2 4 5 11" xfId="44614" xr:uid="{00000000-0005-0000-0000-0000A40D0000}"/>
    <cellStyle name="Comma 2 2 2 4 5 12" xfId="21336" xr:uid="{00000000-0005-0000-0000-0000A50D0000}"/>
    <cellStyle name="Comma 2 2 2 4 5 2" xfId="1117" xr:uid="{00000000-0005-0000-0000-0000A60D0000}"/>
    <cellStyle name="Comma 2 2 2 4 5 2 10" xfId="45226" xr:uid="{00000000-0005-0000-0000-0000A70D0000}"/>
    <cellStyle name="Comma 2 2 2 4 5 2 11" xfId="21948" xr:uid="{00000000-0005-0000-0000-0000A80D0000}"/>
    <cellStyle name="Comma 2 2 2 4 5 2 2" xfId="2341" xr:uid="{00000000-0005-0000-0000-0000A90D0000}"/>
    <cellStyle name="Comma 2 2 2 4 5 2 2 10" xfId="23172" xr:uid="{00000000-0005-0000-0000-0000AA0D0000}"/>
    <cellStyle name="Comma 2 2 2 4 5 2 2 2" xfId="4789" xr:uid="{00000000-0005-0000-0000-0000AB0D0000}"/>
    <cellStyle name="Comma 2 2 2 4 5 2 2 2 2" xfId="20724" xr:uid="{00000000-0005-0000-0000-0000AC0D0000}"/>
    <cellStyle name="Comma 2 2 2 4 5 2 2 2 2 2" xfId="44002" xr:uid="{00000000-0005-0000-0000-0000AD0D0000}"/>
    <cellStyle name="Comma 2 2 2 4 5 2 2 2 3" xfId="48898" xr:uid="{00000000-0005-0000-0000-0000AE0D0000}"/>
    <cellStyle name="Comma 2 2 2 4 5 2 2 2 4" xfId="28068" xr:uid="{00000000-0005-0000-0000-0000AF0D0000}"/>
    <cellStyle name="Comma 2 2 2 4 5 2 2 3" xfId="7237" xr:uid="{00000000-0005-0000-0000-0000B00D0000}"/>
    <cellStyle name="Comma 2 2 2 4 5 2 2 3 2" xfId="30516" xr:uid="{00000000-0005-0000-0000-0000B10D0000}"/>
    <cellStyle name="Comma 2 2 2 4 5 2 2 4" xfId="9685" xr:uid="{00000000-0005-0000-0000-0000B20D0000}"/>
    <cellStyle name="Comma 2 2 2 4 5 2 2 4 2" xfId="32964" xr:uid="{00000000-0005-0000-0000-0000B30D0000}"/>
    <cellStyle name="Comma 2 2 2 4 5 2 2 5" xfId="12133" xr:uid="{00000000-0005-0000-0000-0000B40D0000}"/>
    <cellStyle name="Comma 2 2 2 4 5 2 2 5 2" xfId="35412" xr:uid="{00000000-0005-0000-0000-0000B50D0000}"/>
    <cellStyle name="Comma 2 2 2 4 5 2 2 6" xfId="14581" xr:uid="{00000000-0005-0000-0000-0000B60D0000}"/>
    <cellStyle name="Comma 2 2 2 4 5 2 2 6 2" xfId="37860" xr:uid="{00000000-0005-0000-0000-0000B70D0000}"/>
    <cellStyle name="Comma 2 2 2 4 5 2 2 7" xfId="18276" xr:uid="{00000000-0005-0000-0000-0000B80D0000}"/>
    <cellStyle name="Comma 2 2 2 4 5 2 2 7 2" xfId="41554" xr:uid="{00000000-0005-0000-0000-0000B90D0000}"/>
    <cellStyle name="Comma 2 2 2 4 5 2 2 8" xfId="25620" xr:uid="{00000000-0005-0000-0000-0000BA0D0000}"/>
    <cellStyle name="Comma 2 2 2 4 5 2 2 9" xfId="46450" xr:uid="{00000000-0005-0000-0000-0000BB0D0000}"/>
    <cellStyle name="Comma 2 2 2 4 5 2 3" xfId="3565" xr:uid="{00000000-0005-0000-0000-0000BC0D0000}"/>
    <cellStyle name="Comma 2 2 2 4 5 2 3 2" xfId="17052" xr:uid="{00000000-0005-0000-0000-0000BD0D0000}"/>
    <cellStyle name="Comma 2 2 2 4 5 2 3 2 2" xfId="40330" xr:uid="{00000000-0005-0000-0000-0000BE0D0000}"/>
    <cellStyle name="Comma 2 2 2 4 5 2 3 3" xfId="47674" xr:uid="{00000000-0005-0000-0000-0000BF0D0000}"/>
    <cellStyle name="Comma 2 2 2 4 5 2 3 4" xfId="26844" xr:uid="{00000000-0005-0000-0000-0000C00D0000}"/>
    <cellStyle name="Comma 2 2 2 4 5 2 4" xfId="6013" xr:uid="{00000000-0005-0000-0000-0000C10D0000}"/>
    <cellStyle name="Comma 2 2 2 4 5 2 4 2" xfId="19500" xr:uid="{00000000-0005-0000-0000-0000C20D0000}"/>
    <cellStyle name="Comma 2 2 2 4 5 2 4 2 2" xfId="42778" xr:uid="{00000000-0005-0000-0000-0000C30D0000}"/>
    <cellStyle name="Comma 2 2 2 4 5 2 4 3" xfId="29292" xr:uid="{00000000-0005-0000-0000-0000C40D0000}"/>
    <cellStyle name="Comma 2 2 2 4 5 2 5" xfId="8461" xr:uid="{00000000-0005-0000-0000-0000C50D0000}"/>
    <cellStyle name="Comma 2 2 2 4 5 2 5 2" xfId="31740" xr:uid="{00000000-0005-0000-0000-0000C60D0000}"/>
    <cellStyle name="Comma 2 2 2 4 5 2 6" xfId="10909" xr:uid="{00000000-0005-0000-0000-0000C70D0000}"/>
    <cellStyle name="Comma 2 2 2 4 5 2 6 2" xfId="34188" xr:uid="{00000000-0005-0000-0000-0000C80D0000}"/>
    <cellStyle name="Comma 2 2 2 4 5 2 7" xfId="13357" xr:uid="{00000000-0005-0000-0000-0000C90D0000}"/>
    <cellStyle name="Comma 2 2 2 4 5 2 7 2" xfId="36636" xr:uid="{00000000-0005-0000-0000-0000CA0D0000}"/>
    <cellStyle name="Comma 2 2 2 4 5 2 8" xfId="15828" xr:uid="{00000000-0005-0000-0000-0000CB0D0000}"/>
    <cellStyle name="Comma 2 2 2 4 5 2 8 2" xfId="39106" xr:uid="{00000000-0005-0000-0000-0000CC0D0000}"/>
    <cellStyle name="Comma 2 2 2 4 5 2 9" xfId="24396" xr:uid="{00000000-0005-0000-0000-0000CD0D0000}"/>
    <cellStyle name="Comma 2 2 2 4 5 3" xfId="1729" xr:uid="{00000000-0005-0000-0000-0000CE0D0000}"/>
    <cellStyle name="Comma 2 2 2 4 5 3 10" xfId="22560" xr:uid="{00000000-0005-0000-0000-0000CF0D0000}"/>
    <cellStyle name="Comma 2 2 2 4 5 3 2" xfId="4177" xr:uid="{00000000-0005-0000-0000-0000D00D0000}"/>
    <cellStyle name="Comma 2 2 2 4 5 3 2 2" xfId="20112" xr:uid="{00000000-0005-0000-0000-0000D10D0000}"/>
    <cellStyle name="Comma 2 2 2 4 5 3 2 2 2" xfId="43390" xr:uid="{00000000-0005-0000-0000-0000D20D0000}"/>
    <cellStyle name="Comma 2 2 2 4 5 3 2 3" xfId="48286" xr:uid="{00000000-0005-0000-0000-0000D30D0000}"/>
    <cellStyle name="Comma 2 2 2 4 5 3 2 4" xfId="27456" xr:uid="{00000000-0005-0000-0000-0000D40D0000}"/>
    <cellStyle name="Comma 2 2 2 4 5 3 3" xfId="6625" xr:uid="{00000000-0005-0000-0000-0000D50D0000}"/>
    <cellStyle name="Comma 2 2 2 4 5 3 3 2" xfId="29904" xr:uid="{00000000-0005-0000-0000-0000D60D0000}"/>
    <cellStyle name="Comma 2 2 2 4 5 3 4" xfId="9073" xr:uid="{00000000-0005-0000-0000-0000D70D0000}"/>
    <cellStyle name="Comma 2 2 2 4 5 3 4 2" xfId="32352" xr:uid="{00000000-0005-0000-0000-0000D80D0000}"/>
    <cellStyle name="Comma 2 2 2 4 5 3 5" xfId="11521" xr:uid="{00000000-0005-0000-0000-0000D90D0000}"/>
    <cellStyle name="Comma 2 2 2 4 5 3 5 2" xfId="34800" xr:uid="{00000000-0005-0000-0000-0000DA0D0000}"/>
    <cellStyle name="Comma 2 2 2 4 5 3 6" xfId="13969" xr:uid="{00000000-0005-0000-0000-0000DB0D0000}"/>
    <cellStyle name="Comma 2 2 2 4 5 3 6 2" xfId="37248" xr:uid="{00000000-0005-0000-0000-0000DC0D0000}"/>
    <cellStyle name="Comma 2 2 2 4 5 3 7" xfId="17664" xr:uid="{00000000-0005-0000-0000-0000DD0D0000}"/>
    <cellStyle name="Comma 2 2 2 4 5 3 7 2" xfId="40942" xr:uid="{00000000-0005-0000-0000-0000DE0D0000}"/>
    <cellStyle name="Comma 2 2 2 4 5 3 8" xfId="25008" xr:uid="{00000000-0005-0000-0000-0000DF0D0000}"/>
    <cellStyle name="Comma 2 2 2 4 5 3 9" xfId="45838" xr:uid="{00000000-0005-0000-0000-0000E00D0000}"/>
    <cellStyle name="Comma 2 2 2 4 5 4" xfId="2953" xr:uid="{00000000-0005-0000-0000-0000E10D0000}"/>
    <cellStyle name="Comma 2 2 2 4 5 4 2" xfId="16440" xr:uid="{00000000-0005-0000-0000-0000E20D0000}"/>
    <cellStyle name="Comma 2 2 2 4 5 4 2 2" xfId="39718" xr:uid="{00000000-0005-0000-0000-0000E30D0000}"/>
    <cellStyle name="Comma 2 2 2 4 5 4 3" xfId="47062" xr:uid="{00000000-0005-0000-0000-0000E40D0000}"/>
    <cellStyle name="Comma 2 2 2 4 5 4 4" xfId="26232" xr:uid="{00000000-0005-0000-0000-0000E50D0000}"/>
    <cellStyle name="Comma 2 2 2 4 5 5" xfId="5401" xr:uid="{00000000-0005-0000-0000-0000E60D0000}"/>
    <cellStyle name="Comma 2 2 2 4 5 5 2" xfId="18888" xr:uid="{00000000-0005-0000-0000-0000E70D0000}"/>
    <cellStyle name="Comma 2 2 2 4 5 5 2 2" xfId="42166" xr:uid="{00000000-0005-0000-0000-0000E80D0000}"/>
    <cellStyle name="Comma 2 2 2 4 5 5 3" xfId="28680" xr:uid="{00000000-0005-0000-0000-0000E90D0000}"/>
    <cellStyle name="Comma 2 2 2 4 5 6" xfId="7849" xr:uid="{00000000-0005-0000-0000-0000EA0D0000}"/>
    <cellStyle name="Comma 2 2 2 4 5 6 2" xfId="31128" xr:uid="{00000000-0005-0000-0000-0000EB0D0000}"/>
    <cellStyle name="Comma 2 2 2 4 5 7" xfId="10297" xr:uid="{00000000-0005-0000-0000-0000EC0D0000}"/>
    <cellStyle name="Comma 2 2 2 4 5 7 2" xfId="33576" xr:uid="{00000000-0005-0000-0000-0000ED0D0000}"/>
    <cellStyle name="Comma 2 2 2 4 5 8" xfId="12745" xr:uid="{00000000-0005-0000-0000-0000EE0D0000}"/>
    <cellStyle name="Comma 2 2 2 4 5 8 2" xfId="36024" xr:uid="{00000000-0005-0000-0000-0000EF0D0000}"/>
    <cellStyle name="Comma 2 2 2 4 5 9" xfId="15216" xr:uid="{00000000-0005-0000-0000-0000F00D0000}"/>
    <cellStyle name="Comma 2 2 2 4 5 9 2" xfId="38494" xr:uid="{00000000-0005-0000-0000-0000F10D0000}"/>
    <cellStyle name="Comma 2 2 2 4 6" xfId="709" xr:uid="{00000000-0005-0000-0000-0000F20D0000}"/>
    <cellStyle name="Comma 2 2 2 4 6 10" xfId="44818" xr:uid="{00000000-0005-0000-0000-0000F30D0000}"/>
    <cellStyle name="Comma 2 2 2 4 6 11" xfId="21540" xr:uid="{00000000-0005-0000-0000-0000F40D0000}"/>
    <cellStyle name="Comma 2 2 2 4 6 2" xfId="1933" xr:uid="{00000000-0005-0000-0000-0000F50D0000}"/>
    <cellStyle name="Comma 2 2 2 4 6 2 10" xfId="22764" xr:uid="{00000000-0005-0000-0000-0000F60D0000}"/>
    <cellStyle name="Comma 2 2 2 4 6 2 2" xfId="4381" xr:uid="{00000000-0005-0000-0000-0000F70D0000}"/>
    <cellStyle name="Comma 2 2 2 4 6 2 2 2" xfId="20316" xr:uid="{00000000-0005-0000-0000-0000F80D0000}"/>
    <cellStyle name="Comma 2 2 2 4 6 2 2 2 2" xfId="43594" xr:uid="{00000000-0005-0000-0000-0000F90D0000}"/>
    <cellStyle name="Comma 2 2 2 4 6 2 2 3" xfId="48490" xr:uid="{00000000-0005-0000-0000-0000FA0D0000}"/>
    <cellStyle name="Comma 2 2 2 4 6 2 2 4" xfId="27660" xr:uid="{00000000-0005-0000-0000-0000FB0D0000}"/>
    <cellStyle name="Comma 2 2 2 4 6 2 3" xfId="6829" xr:uid="{00000000-0005-0000-0000-0000FC0D0000}"/>
    <cellStyle name="Comma 2 2 2 4 6 2 3 2" xfId="30108" xr:uid="{00000000-0005-0000-0000-0000FD0D0000}"/>
    <cellStyle name="Comma 2 2 2 4 6 2 4" xfId="9277" xr:uid="{00000000-0005-0000-0000-0000FE0D0000}"/>
    <cellStyle name="Comma 2 2 2 4 6 2 4 2" xfId="32556" xr:uid="{00000000-0005-0000-0000-0000FF0D0000}"/>
    <cellStyle name="Comma 2 2 2 4 6 2 5" xfId="11725" xr:uid="{00000000-0005-0000-0000-0000000E0000}"/>
    <cellStyle name="Comma 2 2 2 4 6 2 5 2" xfId="35004" xr:uid="{00000000-0005-0000-0000-0000010E0000}"/>
    <cellStyle name="Comma 2 2 2 4 6 2 6" xfId="14173" xr:uid="{00000000-0005-0000-0000-0000020E0000}"/>
    <cellStyle name="Comma 2 2 2 4 6 2 6 2" xfId="37452" xr:uid="{00000000-0005-0000-0000-0000030E0000}"/>
    <cellStyle name="Comma 2 2 2 4 6 2 7" xfId="17868" xr:uid="{00000000-0005-0000-0000-0000040E0000}"/>
    <cellStyle name="Comma 2 2 2 4 6 2 7 2" xfId="41146" xr:uid="{00000000-0005-0000-0000-0000050E0000}"/>
    <cellStyle name="Comma 2 2 2 4 6 2 8" xfId="25212" xr:uid="{00000000-0005-0000-0000-0000060E0000}"/>
    <cellStyle name="Comma 2 2 2 4 6 2 9" xfId="46042" xr:uid="{00000000-0005-0000-0000-0000070E0000}"/>
    <cellStyle name="Comma 2 2 2 4 6 3" xfId="3157" xr:uid="{00000000-0005-0000-0000-0000080E0000}"/>
    <cellStyle name="Comma 2 2 2 4 6 3 2" xfId="16644" xr:uid="{00000000-0005-0000-0000-0000090E0000}"/>
    <cellStyle name="Comma 2 2 2 4 6 3 2 2" xfId="39922" xr:uid="{00000000-0005-0000-0000-00000A0E0000}"/>
    <cellStyle name="Comma 2 2 2 4 6 3 3" xfId="47266" xr:uid="{00000000-0005-0000-0000-00000B0E0000}"/>
    <cellStyle name="Comma 2 2 2 4 6 3 4" xfId="26436" xr:uid="{00000000-0005-0000-0000-00000C0E0000}"/>
    <cellStyle name="Comma 2 2 2 4 6 4" xfId="5605" xr:uid="{00000000-0005-0000-0000-00000D0E0000}"/>
    <cellStyle name="Comma 2 2 2 4 6 4 2" xfId="19092" xr:uid="{00000000-0005-0000-0000-00000E0E0000}"/>
    <cellStyle name="Comma 2 2 2 4 6 4 2 2" xfId="42370" xr:uid="{00000000-0005-0000-0000-00000F0E0000}"/>
    <cellStyle name="Comma 2 2 2 4 6 4 3" xfId="28884" xr:uid="{00000000-0005-0000-0000-0000100E0000}"/>
    <cellStyle name="Comma 2 2 2 4 6 5" xfId="8053" xr:uid="{00000000-0005-0000-0000-0000110E0000}"/>
    <cellStyle name="Comma 2 2 2 4 6 5 2" xfId="31332" xr:uid="{00000000-0005-0000-0000-0000120E0000}"/>
    <cellStyle name="Comma 2 2 2 4 6 6" xfId="10501" xr:uid="{00000000-0005-0000-0000-0000130E0000}"/>
    <cellStyle name="Comma 2 2 2 4 6 6 2" xfId="33780" xr:uid="{00000000-0005-0000-0000-0000140E0000}"/>
    <cellStyle name="Comma 2 2 2 4 6 7" xfId="12949" xr:uid="{00000000-0005-0000-0000-0000150E0000}"/>
    <cellStyle name="Comma 2 2 2 4 6 7 2" xfId="36228" xr:uid="{00000000-0005-0000-0000-0000160E0000}"/>
    <cellStyle name="Comma 2 2 2 4 6 8" xfId="15420" xr:uid="{00000000-0005-0000-0000-0000170E0000}"/>
    <cellStyle name="Comma 2 2 2 4 6 8 2" xfId="38698" xr:uid="{00000000-0005-0000-0000-0000180E0000}"/>
    <cellStyle name="Comma 2 2 2 4 6 9" xfId="23988" xr:uid="{00000000-0005-0000-0000-0000190E0000}"/>
    <cellStyle name="Comma 2 2 2 4 7" xfId="1321" xr:uid="{00000000-0005-0000-0000-00001A0E0000}"/>
    <cellStyle name="Comma 2 2 2 4 7 10" xfId="22152" xr:uid="{00000000-0005-0000-0000-00001B0E0000}"/>
    <cellStyle name="Comma 2 2 2 4 7 2" xfId="3769" xr:uid="{00000000-0005-0000-0000-00001C0E0000}"/>
    <cellStyle name="Comma 2 2 2 4 7 2 2" xfId="19704" xr:uid="{00000000-0005-0000-0000-00001D0E0000}"/>
    <cellStyle name="Comma 2 2 2 4 7 2 2 2" xfId="42982" xr:uid="{00000000-0005-0000-0000-00001E0E0000}"/>
    <cellStyle name="Comma 2 2 2 4 7 2 3" xfId="47878" xr:uid="{00000000-0005-0000-0000-00001F0E0000}"/>
    <cellStyle name="Comma 2 2 2 4 7 2 4" xfId="27048" xr:uid="{00000000-0005-0000-0000-0000200E0000}"/>
    <cellStyle name="Comma 2 2 2 4 7 3" xfId="6217" xr:uid="{00000000-0005-0000-0000-0000210E0000}"/>
    <cellStyle name="Comma 2 2 2 4 7 3 2" xfId="29496" xr:uid="{00000000-0005-0000-0000-0000220E0000}"/>
    <cellStyle name="Comma 2 2 2 4 7 4" xfId="8665" xr:uid="{00000000-0005-0000-0000-0000230E0000}"/>
    <cellStyle name="Comma 2 2 2 4 7 4 2" xfId="31944" xr:uid="{00000000-0005-0000-0000-0000240E0000}"/>
    <cellStyle name="Comma 2 2 2 4 7 5" xfId="11113" xr:uid="{00000000-0005-0000-0000-0000250E0000}"/>
    <cellStyle name="Comma 2 2 2 4 7 5 2" xfId="34392" xr:uid="{00000000-0005-0000-0000-0000260E0000}"/>
    <cellStyle name="Comma 2 2 2 4 7 6" xfId="13561" xr:uid="{00000000-0005-0000-0000-0000270E0000}"/>
    <cellStyle name="Comma 2 2 2 4 7 6 2" xfId="36840" xr:uid="{00000000-0005-0000-0000-0000280E0000}"/>
    <cellStyle name="Comma 2 2 2 4 7 7" xfId="17256" xr:uid="{00000000-0005-0000-0000-0000290E0000}"/>
    <cellStyle name="Comma 2 2 2 4 7 7 2" xfId="40534" xr:uid="{00000000-0005-0000-0000-00002A0E0000}"/>
    <cellStyle name="Comma 2 2 2 4 7 8" xfId="24600" xr:uid="{00000000-0005-0000-0000-00002B0E0000}"/>
    <cellStyle name="Comma 2 2 2 4 7 9" xfId="45430" xr:uid="{00000000-0005-0000-0000-00002C0E0000}"/>
    <cellStyle name="Comma 2 2 2 4 8" xfId="2545" xr:uid="{00000000-0005-0000-0000-00002D0E0000}"/>
    <cellStyle name="Comma 2 2 2 4 8 2" xfId="16032" xr:uid="{00000000-0005-0000-0000-00002E0E0000}"/>
    <cellStyle name="Comma 2 2 2 4 8 2 2" xfId="39310" xr:uid="{00000000-0005-0000-0000-00002F0E0000}"/>
    <cellStyle name="Comma 2 2 2 4 8 3" xfId="46654" xr:uid="{00000000-0005-0000-0000-0000300E0000}"/>
    <cellStyle name="Comma 2 2 2 4 8 4" xfId="25824" xr:uid="{00000000-0005-0000-0000-0000310E0000}"/>
    <cellStyle name="Comma 2 2 2 4 9" xfId="4993" xr:uid="{00000000-0005-0000-0000-0000320E0000}"/>
    <cellStyle name="Comma 2 2 2 4 9 2" xfId="18480" xr:uid="{00000000-0005-0000-0000-0000330E0000}"/>
    <cellStyle name="Comma 2 2 2 4 9 2 2" xfId="41758" xr:uid="{00000000-0005-0000-0000-0000340E0000}"/>
    <cellStyle name="Comma 2 2 2 4 9 3" xfId="28272" xr:uid="{00000000-0005-0000-0000-0000350E0000}"/>
    <cellStyle name="Comma 2 2 2 5" xfId="114" xr:uid="{00000000-0005-0000-0000-0000360E0000}"/>
    <cellStyle name="Comma 2 2 2 5 10" xfId="12354" xr:uid="{00000000-0005-0000-0000-0000370E0000}"/>
    <cellStyle name="Comma 2 2 2 5 10 2" xfId="35633" xr:uid="{00000000-0005-0000-0000-0000380E0000}"/>
    <cellStyle name="Comma 2 2 2 5 11" xfId="14825" xr:uid="{00000000-0005-0000-0000-0000390E0000}"/>
    <cellStyle name="Comma 2 2 2 5 11 2" xfId="38103" xr:uid="{00000000-0005-0000-0000-00003A0E0000}"/>
    <cellStyle name="Comma 2 2 2 5 12" xfId="23393" xr:uid="{00000000-0005-0000-0000-00003B0E0000}"/>
    <cellStyle name="Comma 2 2 2 5 13" xfId="44223" xr:uid="{00000000-0005-0000-0000-00003C0E0000}"/>
    <cellStyle name="Comma 2 2 2 5 14" xfId="20945" xr:uid="{00000000-0005-0000-0000-00003D0E0000}"/>
    <cellStyle name="Comma 2 2 2 5 2" xfId="318" xr:uid="{00000000-0005-0000-0000-00003E0E0000}"/>
    <cellStyle name="Comma 2 2 2 5 2 10" xfId="23597" xr:uid="{00000000-0005-0000-0000-00003F0E0000}"/>
    <cellStyle name="Comma 2 2 2 5 2 11" xfId="44427" xr:uid="{00000000-0005-0000-0000-0000400E0000}"/>
    <cellStyle name="Comma 2 2 2 5 2 12" xfId="21149" xr:uid="{00000000-0005-0000-0000-0000410E0000}"/>
    <cellStyle name="Comma 2 2 2 5 2 2" xfId="930" xr:uid="{00000000-0005-0000-0000-0000420E0000}"/>
    <cellStyle name="Comma 2 2 2 5 2 2 10" xfId="45039" xr:uid="{00000000-0005-0000-0000-0000430E0000}"/>
    <cellStyle name="Comma 2 2 2 5 2 2 11" xfId="21761" xr:uid="{00000000-0005-0000-0000-0000440E0000}"/>
    <cellStyle name="Comma 2 2 2 5 2 2 2" xfId="2154" xr:uid="{00000000-0005-0000-0000-0000450E0000}"/>
    <cellStyle name="Comma 2 2 2 5 2 2 2 10" xfId="22985" xr:uid="{00000000-0005-0000-0000-0000460E0000}"/>
    <cellStyle name="Comma 2 2 2 5 2 2 2 2" xfId="4602" xr:uid="{00000000-0005-0000-0000-0000470E0000}"/>
    <cellStyle name="Comma 2 2 2 5 2 2 2 2 2" xfId="20537" xr:uid="{00000000-0005-0000-0000-0000480E0000}"/>
    <cellStyle name="Comma 2 2 2 5 2 2 2 2 2 2" xfId="43815" xr:uid="{00000000-0005-0000-0000-0000490E0000}"/>
    <cellStyle name="Comma 2 2 2 5 2 2 2 2 3" xfId="48711" xr:uid="{00000000-0005-0000-0000-00004A0E0000}"/>
    <cellStyle name="Comma 2 2 2 5 2 2 2 2 4" xfId="27881" xr:uid="{00000000-0005-0000-0000-00004B0E0000}"/>
    <cellStyle name="Comma 2 2 2 5 2 2 2 3" xfId="7050" xr:uid="{00000000-0005-0000-0000-00004C0E0000}"/>
    <cellStyle name="Comma 2 2 2 5 2 2 2 3 2" xfId="30329" xr:uid="{00000000-0005-0000-0000-00004D0E0000}"/>
    <cellStyle name="Comma 2 2 2 5 2 2 2 4" xfId="9498" xr:uid="{00000000-0005-0000-0000-00004E0E0000}"/>
    <cellStyle name="Comma 2 2 2 5 2 2 2 4 2" xfId="32777" xr:uid="{00000000-0005-0000-0000-00004F0E0000}"/>
    <cellStyle name="Comma 2 2 2 5 2 2 2 5" xfId="11946" xr:uid="{00000000-0005-0000-0000-0000500E0000}"/>
    <cellStyle name="Comma 2 2 2 5 2 2 2 5 2" xfId="35225" xr:uid="{00000000-0005-0000-0000-0000510E0000}"/>
    <cellStyle name="Comma 2 2 2 5 2 2 2 6" xfId="14394" xr:uid="{00000000-0005-0000-0000-0000520E0000}"/>
    <cellStyle name="Comma 2 2 2 5 2 2 2 6 2" xfId="37673" xr:uid="{00000000-0005-0000-0000-0000530E0000}"/>
    <cellStyle name="Comma 2 2 2 5 2 2 2 7" xfId="18089" xr:uid="{00000000-0005-0000-0000-0000540E0000}"/>
    <cellStyle name="Comma 2 2 2 5 2 2 2 7 2" xfId="41367" xr:uid="{00000000-0005-0000-0000-0000550E0000}"/>
    <cellStyle name="Comma 2 2 2 5 2 2 2 8" xfId="25433" xr:uid="{00000000-0005-0000-0000-0000560E0000}"/>
    <cellStyle name="Comma 2 2 2 5 2 2 2 9" xfId="46263" xr:uid="{00000000-0005-0000-0000-0000570E0000}"/>
    <cellStyle name="Comma 2 2 2 5 2 2 3" xfId="3378" xr:uid="{00000000-0005-0000-0000-0000580E0000}"/>
    <cellStyle name="Comma 2 2 2 5 2 2 3 2" xfId="16865" xr:uid="{00000000-0005-0000-0000-0000590E0000}"/>
    <cellStyle name="Comma 2 2 2 5 2 2 3 2 2" xfId="40143" xr:uid="{00000000-0005-0000-0000-00005A0E0000}"/>
    <cellStyle name="Comma 2 2 2 5 2 2 3 3" xfId="47487" xr:uid="{00000000-0005-0000-0000-00005B0E0000}"/>
    <cellStyle name="Comma 2 2 2 5 2 2 3 4" xfId="26657" xr:uid="{00000000-0005-0000-0000-00005C0E0000}"/>
    <cellStyle name="Comma 2 2 2 5 2 2 4" xfId="5826" xr:uid="{00000000-0005-0000-0000-00005D0E0000}"/>
    <cellStyle name="Comma 2 2 2 5 2 2 4 2" xfId="19313" xr:uid="{00000000-0005-0000-0000-00005E0E0000}"/>
    <cellStyle name="Comma 2 2 2 5 2 2 4 2 2" xfId="42591" xr:uid="{00000000-0005-0000-0000-00005F0E0000}"/>
    <cellStyle name="Comma 2 2 2 5 2 2 4 3" xfId="29105" xr:uid="{00000000-0005-0000-0000-0000600E0000}"/>
    <cellStyle name="Comma 2 2 2 5 2 2 5" xfId="8274" xr:uid="{00000000-0005-0000-0000-0000610E0000}"/>
    <cellStyle name="Comma 2 2 2 5 2 2 5 2" xfId="31553" xr:uid="{00000000-0005-0000-0000-0000620E0000}"/>
    <cellStyle name="Comma 2 2 2 5 2 2 6" xfId="10722" xr:uid="{00000000-0005-0000-0000-0000630E0000}"/>
    <cellStyle name="Comma 2 2 2 5 2 2 6 2" xfId="34001" xr:uid="{00000000-0005-0000-0000-0000640E0000}"/>
    <cellStyle name="Comma 2 2 2 5 2 2 7" xfId="13170" xr:uid="{00000000-0005-0000-0000-0000650E0000}"/>
    <cellStyle name="Comma 2 2 2 5 2 2 7 2" xfId="36449" xr:uid="{00000000-0005-0000-0000-0000660E0000}"/>
    <cellStyle name="Comma 2 2 2 5 2 2 8" xfId="15641" xr:uid="{00000000-0005-0000-0000-0000670E0000}"/>
    <cellStyle name="Comma 2 2 2 5 2 2 8 2" xfId="38919" xr:uid="{00000000-0005-0000-0000-0000680E0000}"/>
    <cellStyle name="Comma 2 2 2 5 2 2 9" xfId="24209" xr:uid="{00000000-0005-0000-0000-0000690E0000}"/>
    <cellStyle name="Comma 2 2 2 5 2 3" xfId="1542" xr:uid="{00000000-0005-0000-0000-00006A0E0000}"/>
    <cellStyle name="Comma 2 2 2 5 2 3 10" xfId="22373" xr:uid="{00000000-0005-0000-0000-00006B0E0000}"/>
    <cellStyle name="Comma 2 2 2 5 2 3 2" xfId="3990" xr:uid="{00000000-0005-0000-0000-00006C0E0000}"/>
    <cellStyle name="Comma 2 2 2 5 2 3 2 2" xfId="19925" xr:uid="{00000000-0005-0000-0000-00006D0E0000}"/>
    <cellStyle name="Comma 2 2 2 5 2 3 2 2 2" xfId="43203" xr:uid="{00000000-0005-0000-0000-00006E0E0000}"/>
    <cellStyle name="Comma 2 2 2 5 2 3 2 3" xfId="48099" xr:uid="{00000000-0005-0000-0000-00006F0E0000}"/>
    <cellStyle name="Comma 2 2 2 5 2 3 2 4" xfId="27269" xr:uid="{00000000-0005-0000-0000-0000700E0000}"/>
    <cellStyle name="Comma 2 2 2 5 2 3 3" xfId="6438" xr:uid="{00000000-0005-0000-0000-0000710E0000}"/>
    <cellStyle name="Comma 2 2 2 5 2 3 3 2" xfId="29717" xr:uid="{00000000-0005-0000-0000-0000720E0000}"/>
    <cellStyle name="Comma 2 2 2 5 2 3 4" xfId="8886" xr:uid="{00000000-0005-0000-0000-0000730E0000}"/>
    <cellStyle name="Comma 2 2 2 5 2 3 4 2" xfId="32165" xr:uid="{00000000-0005-0000-0000-0000740E0000}"/>
    <cellStyle name="Comma 2 2 2 5 2 3 5" xfId="11334" xr:uid="{00000000-0005-0000-0000-0000750E0000}"/>
    <cellStyle name="Comma 2 2 2 5 2 3 5 2" xfId="34613" xr:uid="{00000000-0005-0000-0000-0000760E0000}"/>
    <cellStyle name="Comma 2 2 2 5 2 3 6" xfId="13782" xr:uid="{00000000-0005-0000-0000-0000770E0000}"/>
    <cellStyle name="Comma 2 2 2 5 2 3 6 2" xfId="37061" xr:uid="{00000000-0005-0000-0000-0000780E0000}"/>
    <cellStyle name="Comma 2 2 2 5 2 3 7" xfId="17477" xr:uid="{00000000-0005-0000-0000-0000790E0000}"/>
    <cellStyle name="Comma 2 2 2 5 2 3 7 2" xfId="40755" xr:uid="{00000000-0005-0000-0000-00007A0E0000}"/>
    <cellStyle name="Comma 2 2 2 5 2 3 8" xfId="24821" xr:uid="{00000000-0005-0000-0000-00007B0E0000}"/>
    <cellStyle name="Comma 2 2 2 5 2 3 9" xfId="45651" xr:uid="{00000000-0005-0000-0000-00007C0E0000}"/>
    <cellStyle name="Comma 2 2 2 5 2 4" xfId="2766" xr:uid="{00000000-0005-0000-0000-00007D0E0000}"/>
    <cellStyle name="Comma 2 2 2 5 2 4 2" xfId="16253" xr:uid="{00000000-0005-0000-0000-00007E0E0000}"/>
    <cellStyle name="Comma 2 2 2 5 2 4 2 2" xfId="39531" xr:uid="{00000000-0005-0000-0000-00007F0E0000}"/>
    <cellStyle name="Comma 2 2 2 5 2 4 3" xfId="46875" xr:uid="{00000000-0005-0000-0000-0000800E0000}"/>
    <cellStyle name="Comma 2 2 2 5 2 4 4" xfId="26045" xr:uid="{00000000-0005-0000-0000-0000810E0000}"/>
    <cellStyle name="Comma 2 2 2 5 2 5" xfId="5214" xr:uid="{00000000-0005-0000-0000-0000820E0000}"/>
    <cellStyle name="Comma 2 2 2 5 2 5 2" xfId="18701" xr:uid="{00000000-0005-0000-0000-0000830E0000}"/>
    <cellStyle name="Comma 2 2 2 5 2 5 2 2" xfId="41979" xr:uid="{00000000-0005-0000-0000-0000840E0000}"/>
    <cellStyle name="Comma 2 2 2 5 2 5 3" xfId="28493" xr:uid="{00000000-0005-0000-0000-0000850E0000}"/>
    <cellStyle name="Comma 2 2 2 5 2 6" xfId="7662" xr:uid="{00000000-0005-0000-0000-0000860E0000}"/>
    <cellStyle name="Comma 2 2 2 5 2 6 2" xfId="30941" xr:uid="{00000000-0005-0000-0000-0000870E0000}"/>
    <cellStyle name="Comma 2 2 2 5 2 7" xfId="10110" xr:uid="{00000000-0005-0000-0000-0000880E0000}"/>
    <cellStyle name="Comma 2 2 2 5 2 7 2" xfId="33389" xr:uid="{00000000-0005-0000-0000-0000890E0000}"/>
    <cellStyle name="Comma 2 2 2 5 2 8" xfId="12558" xr:uid="{00000000-0005-0000-0000-00008A0E0000}"/>
    <cellStyle name="Comma 2 2 2 5 2 8 2" xfId="35837" xr:uid="{00000000-0005-0000-0000-00008B0E0000}"/>
    <cellStyle name="Comma 2 2 2 5 2 9" xfId="15029" xr:uid="{00000000-0005-0000-0000-00008C0E0000}"/>
    <cellStyle name="Comma 2 2 2 5 2 9 2" xfId="38307" xr:uid="{00000000-0005-0000-0000-00008D0E0000}"/>
    <cellStyle name="Comma 2 2 2 5 3" xfId="522" xr:uid="{00000000-0005-0000-0000-00008E0E0000}"/>
    <cellStyle name="Comma 2 2 2 5 3 10" xfId="23801" xr:uid="{00000000-0005-0000-0000-00008F0E0000}"/>
    <cellStyle name="Comma 2 2 2 5 3 11" xfId="44631" xr:uid="{00000000-0005-0000-0000-0000900E0000}"/>
    <cellStyle name="Comma 2 2 2 5 3 12" xfId="21353" xr:uid="{00000000-0005-0000-0000-0000910E0000}"/>
    <cellStyle name="Comma 2 2 2 5 3 2" xfId="1134" xr:uid="{00000000-0005-0000-0000-0000920E0000}"/>
    <cellStyle name="Comma 2 2 2 5 3 2 10" xfId="45243" xr:uid="{00000000-0005-0000-0000-0000930E0000}"/>
    <cellStyle name="Comma 2 2 2 5 3 2 11" xfId="21965" xr:uid="{00000000-0005-0000-0000-0000940E0000}"/>
    <cellStyle name="Comma 2 2 2 5 3 2 2" xfId="2358" xr:uid="{00000000-0005-0000-0000-0000950E0000}"/>
    <cellStyle name="Comma 2 2 2 5 3 2 2 10" xfId="23189" xr:uid="{00000000-0005-0000-0000-0000960E0000}"/>
    <cellStyle name="Comma 2 2 2 5 3 2 2 2" xfId="4806" xr:uid="{00000000-0005-0000-0000-0000970E0000}"/>
    <cellStyle name="Comma 2 2 2 5 3 2 2 2 2" xfId="20741" xr:uid="{00000000-0005-0000-0000-0000980E0000}"/>
    <cellStyle name="Comma 2 2 2 5 3 2 2 2 2 2" xfId="44019" xr:uid="{00000000-0005-0000-0000-0000990E0000}"/>
    <cellStyle name="Comma 2 2 2 5 3 2 2 2 3" xfId="48915" xr:uid="{00000000-0005-0000-0000-00009A0E0000}"/>
    <cellStyle name="Comma 2 2 2 5 3 2 2 2 4" xfId="28085" xr:uid="{00000000-0005-0000-0000-00009B0E0000}"/>
    <cellStyle name="Comma 2 2 2 5 3 2 2 3" xfId="7254" xr:uid="{00000000-0005-0000-0000-00009C0E0000}"/>
    <cellStyle name="Comma 2 2 2 5 3 2 2 3 2" xfId="30533" xr:uid="{00000000-0005-0000-0000-00009D0E0000}"/>
    <cellStyle name="Comma 2 2 2 5 3 2 2 4" xfId="9702" xr:uid="{00000000-0005-0000-0000-00009E0E0000}"/>
    <cellStyle name="Comma 2 2 2 5 3 2 2 4 2" xfId="32981" xr:uid="{00000000-0005-0000-0000-00009F0E0000}"/>
    <cellStyle name="Comma 2 2 2 5 3 2 2 5" xfId="12150" xr:uid="{00000000-0005-0000-0000-0000A00E0000}"/>
    <cellStyle name="Comma 2 2 2 5 3 2 2 5 2" xfId="35429" xr:uid="{00000000-0005-0000-0000-0000A10E0000}"/>
    <cellStyle name="Comma 2 2 2 5 3 2 2 6" xfId="14598" xr:uid="{00000000-0005-0000-0000-0000A20E0000}"/>
    <cellStyle name="Comma 2 2 2 5 3 2 2 6 2" xfId="37877" xr:uid="{00000000-0005-0000-0000-0000A30E0000}"/>
    <cellStyle name="Comma 2 2 2 5 3 2 2 7" xfId="18293" xr:uid="{00000000-0005-0000-0000-0000A40E0000}"/>
    <cellStyle name="Comma 2 2 2 5 3 2 2 7 2" xfId="41571" xr:uid="{00000000-0005-0000-0000-0000A50E0000}"/>
    <cellStyle name="Comma 2 2 2 5 3 2 2 8" xfId="25637" xr:uid="{00000000-0005-0000-0000-0000A60E0000}"/>
    <cellStyle name="Comma 2 2 2 5 3 2 2 9" xfId="46467" xr:uid="{00000000-0005-0000-0000-0000A70E0000}"/>
    <cellStyle name="Comma 2 2 2 5 3 2 3" xfId="3582" xr:uid="{00000000-0005-0000-0000-0000A80E0000}"/>
    <cellStyle name="Comma 2 2 2 5 3 2 3 2" xfId="17069" xr:uid="{00000000-0005-0000-0000-0000A90E0000}"/>
    <cellStyle name="Comma 2 2 2 5 3 2 3 2 2" xfId="40347" xr:uid="{00000000-0005-0000-0000-0000AA0E0000}"/>
    <cellStyle name="Comma 2 2 2 5 3 2 3 3" xfId="47691" xr:uid="{00000000-0005-0000-0000-0000AB0E0000}"/>
    <cellStyle name="Comma 2 2 2 5 3 2 3 4" xfId="26861" xr:uid="{00000000-0005-0000-0000-0000AC0E0000}"/>
    <cellStyle name="Comma 2 2 2 5 3 2 4" xfId="6030" xr:uid="{00000000-0005-0000-0000-0000AD0E0000}"/>
    <cellStyle name="Comma 2 2 2 5 3 2 4 2" xfId="19517" xr:uid="{00000000-0005-0000-0000-0000AE0E0000}"/>
    <cellStyle name="Comma 2 2 2 5 3 2 4 2 2" xfId="42795" xr:uid="{00000000-0005-0000-0000-0000AF0E0000}"/>
    <cellStyle name="Comma 2 2 2 5 3 2 4 3" xfId="29309" xr:uid="{00000000-0005-0000-0000-0000B00E0000}"/>
    <cellStyle name="Comma 2 2 2 5 3 2 5" xfId="8478" xr:uid="{00000000-0005-0000-0000-0000B10E0000}"/>
    <cellStyle name="Comma 2 2 2 5 3 2 5 2" xfId="31757" xr:uid="{00000000-0005-0000-0000-0000B20E0000}"/>
    <cellStyle name="Comma 2 2 2 5 3 2 6" xfId="10926" xr:uid="{00000000-0005-0000-0000-0000B30E0000}"/>
    <cellStyle name="Comma 2 2 2 5 3 2 6 2" xfId="34205" xr:uid="{00000000-0005-0000-0000-0000B40E0000}"/>
    <cellStyle name="Comma 2 2 2 5 3 2 7" xfId="13374" xr:uid="{00000000-0005-0000-0000-0000B50E0000}"/>
    <cellStyle name="Comma 2 2 2 5 3 2 7 2" xfId="36653" xr:uid="{00000000-0005-0000-0000-0000B60E0000}"/>
    <cellStyle name="Comma 2 2 2 5 3 2 8" xfId="15845" xr:uid="{00000000-0005-0000-0000-0000B70E0000}"/>
    <cellStyle name="Comma 2 2 2 5 3 2 8 2" xfId="39123" xr:uid="{00000000-0005-0000-0000-0000B80E0000}"/>
    <cellStyle name="Comma 2 2 2 5 3 2 9" xfId="24413" xr:uid="{00000000-0005-0000-0000-0000B90E0000}"/>
    <cellStyle name="Comma 2 2 2 5 3 3" xfId="1746" xr:uid="{00000000-0005-0000-0000-0000BA0E0000}"/>
    <cellStyle name="Comma 2 2 2 5 3 3 10" xfId="22577" xr:uid="{00000000-0005-0000-0000-0000BB0E0000}"/>
    <cellStyle name="Comma 2 2 2 5 3 3 2" xfId="4194" xr:uid="{00000000-0005-0000-0000-0000BC0E0000}"/>
    <cellStyle name="Comma 2 2 2 5 3 3 2 2" xfId="20129" xr:uid="{00000000-0005-0000-0000-0000BD0E0000}"/>
    <cellStyle name="Comma 2 2 2 5 3 3 2 2 2" xfId="43407" xr:uid="{00000000-0005-0000-0000-0000BE0E0000}"/>
    <cellStyle name="Comma 2 2 2 5 3 3 2 3" xfId="48303" xr:uid="{00000000-0005-0000-0000-0000BF0E0000}"/>
    <cellStyle name="Comma 2 2 2 5 3 3 2 4" xfId="27473" xr:uid="{00000000-0005-0000-0000-0000C00E0000}"/>
    <cellStyle name="Comma 2 2 2 5 3 3 3" xfId="6642" xr:uid="{00000000-0005-0000-0000-0000C10E0000}"/>
    <cellStyle name="Comma 2 2 2 5 3 3 3 2" xfId="29921" xr:uid="{00000000-0005-0000-0000-0000C20E0000}"/>
    <cellStyle name="Comma 2 2 2 5 3 3 4" xfId="9090" xr:uid="{00000000-0005-0000-0000-0000C30E0000}"/>
    <cellStyle name="Comma 2 2 2 5 3 3 4 2" xfId="32369" xr:uid="{00000000-0005-0000-0000-0000C40E0000}"/>
    <cellStyle name="Comma 2 2 2 5 3 3 5" xfId="11538" xr:uid="{00000000-0005-0000-0000-0000C50E0000}"/>
    <cellStyle name="Comma 2 2 2 5 3 3 5 2" xfId="34817" xr:uid="{00000000-0005-0000-0000-0000C60E0000}"/>
    <cellStyle name="Comma 2 2 2 5 3 3 6" xfId="13986" xr:uid="{00000000-0005-0000-0000-0000C70E0000}"/>
    <cellStyle name="Comma 2 2 2 5 3 3 6 2" xfId="37265" xr:uid="{00000000-0005-0000-0000-0000C80E0000}"/>
    <cellStyle name="Comma 2 2 2 5 3 3 7" xfId="17681" xr:uid="{00000000-0005-0000-0000-0000C90E0000}"/>
    <cellStyle name="Comma 2 2 2 5 3 3 7 2" xfId="40959" xr:uid="{00000000-0005-0000-0000-0000CA0E0000}"/>
    <cellStyle name="Comma 2 2 2 5 3 3 8" xfId="25025" xr:uid="{00000000-0005-0000-0000-0000CB0E0000}"/>
    <cellStyle name="Comma 2 2 2 5 3 3 9" xfId="45855" xr:uid="{00000000-0005-0000-0000-0000CC0E0000}"/>
    <cellStyle name="Comma 2 2 2 5 3 4" xfId="2970" xr:uid="{00000000-0005-0000-0000-0000CD0E0000}"/>
    <cellStyle name="Comma 2 2 2 5 3 4 2" xfId="16457" xr:uid="{00000000-0005-0000-0000-0000CE0E0000}"/>
    <cellStyle name="Comma 2 2 2 5 3 4 2 2" xfId="39735" xr:uid="{00000000-0005-0000-0000-0000CF0E0000}"/>
    <cellStyle name="Comma 2 2 2 5 3 4 3" xfId="47079" xr:uid="{00000000-0005-0000-0000-0000D00E0000}"/>
    <cellStyle name="Comma 2 2 2 5 3 4 4" xfId="26249" xr:uid="{00000000-0005-0000-0000-0000D10E0000}"/>
    <cellStyle name="Comma 2 2 2 5 3 5" xfId="5418" xr:uid="{00000000-0005-0000-0000-0000D20E0000}"/>
    <cellStyle name="Comma 2 2 2 5 3 5 2" xfId="18905" xr:uid="{00000000-0005-0000-0000-0000D30E0000}"/>
    <cellStyle name="Comma 2 2 2 5 3 5 2 2" xfId="42183" xr:uid="{00000000-0005-0000-0000-0000D40E0000}"/>
    <cellStyle name="Comma 2 2 2 5 3 5 3" xfId="28697" xr:uid="{00000000-0005-0000-0000-0000D50E0000}"/>
    <cellStyle name="Comma 2 2 2 5 3 6" xfId="7866" xr:uid="{00000000-0005-0000-0000-0000D60E0000}"/>
    <cellStyle name="Comma 2 2 2 5 3 6 2" xfId="31145" xr:uid="{00000000-0005-0000-0000-0000D70E0000}"/>
    <cellStyle name="Comma 2 2 2 5 3 7" xfId="10314" xr:uid="{00000000-0005-0000-0000-0000D80E0000}"/>
    <cellStyle name="Comma 2 2 2 5 3 7 2" xfId="33593" xr:uid="{00000000-0005-0000-0000-0000D90E0000}"/>
    <cellStyle name="Comma 2 2 2 5 3 8" xfId="12762" xr:uid="{00000000-0005-0000-0000-0000DA0E0000}"/>
    <cellStyle name="Comma 2 2 2 5 3 8 2" xfId="36041" xr:uid="{00000000-0005-0000-0000-0000DB0E0000}"/>
    <cellStyle name="Comma 2 2 2 5 3 9" xfId="15233" xr:uid="{00000000-0005-0000-0000-0000DC0E0000}"/>
    <cellStyle name="Comma 2 2 2 5 3 9 2" xfId="38511" xr:uid="{00000000-0005-0000-0000-0000DD0E0000}"/>
    <cellStyle name="Comma 2 2 2 5 4" xfId="726" xr:uid="{00000000-0005-0000-0000-0000DE0E0000}"/>
    <cellStyle name="Comma 2 2 2 5 4 10" xfId="44835" xr:uid="{00000000-0005-0000-0000-0000DF0E0000}"/>
    <cellStyle name="Comma 2 2 2 5 4 11" xfId="21557" xr:uid="{00000000-0005-0000-0000-0000E00E0000}"/>
    <cellStyle name="Comma 2 2 2 5 4 2" xfId="1950" xr:uid="{00000000-0005-0000-0000-0000E10E0000}"/>
    <cellStyle name="Comma 2 2 2 5 4 2 10" xfId="22781" xr:uid="{00000000-0005-0000-0000-0000E20E0000}"/>
    <cellStyle name="Comma 2 2 2 5 4 2 2" xfId="4398" xr:uid="{00000000-0005-0000-0000-0000E30E0000}"/>
    <cellStyle name="Comma 2 2 2 5 4 2 2 2" xfId="20333" xr:uid="{00000000-0005-0000-0000-0000E40E0000}"/>
    <cellStyle name="Comma 2 2 2 5 4 2 2 2 2" xfId="43611" xr:uid="{00000000-0005-0000-0000-0000E50E0000}"/>
    <cellStyle name="Comma 2 2 2 5 4 2 2 3" xfId="48507" xr:uid="{00000000-0005-0000-0000-0000E60E0000}"/>
    <cellStyle name="Comma 2 2 2 5 4 2 2 4" xfId="27677" xr:uid="{00000000-0005-0000-0000-0000E70E0000}"/>
    <cellStyle name="Comma 2 2 2 5 4 2 3" xfId="6846" xr:uid="{00000000-0005-0000-0000-0000E80E0000}"/>
    <cellStyle name="Comma 2 2 2 5 4 2 3 2" xfId="30125" xr:uid="{00000000-0005-0000-0000-0000E90E0000}"/>
    <cellStyle name="Comma 2 2 2 5 4 2 4" xfId="9294" xr:uid="{00000000-0005-0000-0000-0000EA0E0000}"/>
    <cellStyle name="Comma 2 2 2 5 4 2 4 2" xfId="32573" xr:uid="{00000000-0005-0000-0000-0000EB0E0000}"/>
    <cellStyle name="Comma 2 2 2 5 4 2 5" xfId="11742" xr:uid="{00000000-0005-0000-0000-0000EC0E0000}"/>
    <cellStyle name="Comma 2 2 2 5 4 2 5 2" xfId="35021" xr:uid="{00000000-0005-0000-0000-0000ED0E0000}"/>
    <cellStyle name="Comma 2 2 2 5 4 2 6" xfId="14190" xr:uid="{00000000-0005-0000-0000-0000EE0E0000}"/>
    <cellStyle name="Comma 2 2 2 5 4 2 6 2" xfId="37469" xr:uid="{00000000-0005-0000-0000-0000EF0E0000}"/>
    <cellStyle name="Comma 2 2 2 5 4 2 7" xfId="17885" xr:uid="{00000000-0005-0000-0000-0000F00E0000}"/>
    <cellStyle name="Comma 2 2 2 5 4 2 7 2" xfId="41163" xr:uid="{00000000-0005-0000-0000-0000F10E0000}"/>
    <cellStyle name="Comma 2 2 2 5 4 2 8" xfId="25229" xr:uid="{00000000-0005-0000-0000-0000F20E0000}"/>
    <cellStyle name="Comma 2 2 2 5 4 2 9" xfId="46059" xr:uid="{00000000-0005-0000-0000-0000F30E0000}"/>
    <cellStyle name="Comma 2 2 2 5 4 3" xfId="3174" xr:uid="{00000000-0005-0000-0000-0000F40E0000}"/>
    <cellStyle name="Comma 2 2 2 5 4 3 2" xfId="16661" xr:uid="{00000000-0005-0000-0000-0000F50E0000}"/>
    <cellStyle name="Comma 2 2 2 5 4 3 2 2" xfId="39939" xr:uid="{00000000-0005-0000-0000-0000F60E0000}"/>
    <cellStyle name="Comma 2 2 2 5 4 3 3" xfId="47283" xr:uid="{00000000-0005-0000-0000-0000F70E0000}"/>
    <cellStyle name="Comma 2 2 2 5 4 3 4" xfId="26453" xr:uid="{00000000-0005-0000-0000-0000F80E0000}"/>
    <cellStyle name="Comma 2 2 2 5 4 4" xfId="5622" xr:uid="{00000000-0005-0000-0000-0000F90E0000}"/>
    <cellStyle name="Comma 2 2 2 5 4 4 2" xfId="19109" xr:uid="{00000000-0005-0000-0000-0000FA0E0000}"/>
    <cellStyle name="Comma 2 2 2 5 4 4 2 2" xfId="42387" xr:uid="{00000000-0005-0000-0000-0000FB0E0000}"/>
    <cellStyle name="Comma 2 2 2 5 4 4 3" xfId="28901" xr:uid="{00000000-0005-0000-0000-0000FC0E0000}"/>
    <cellStyle name="Comma 2 2 2 5 4 5" xfId="8070" xr:uid="{00000000-0005-0000-0000-0000FD0E0000}"/>
    <cellStyle name="Comma 2 2 2 5 4 5 2" xfId="31349" xr:uid="{00000000-0005-0000-0000-0000FE0E0000}"/>
    <cellStyle name="Comma 2 2 2 5 4 6" xfId="10518" xr:uid="{00000000-0005-0000-0000-0000FF0E0000}"/>
    <cellStyle name="Comma 2 2 2 5 4 6 2" xfId="33797" xr:uid="{00000000-0005-0000-0000-0000000F0000}"/>
    <cellStyle name="Comma 2 2 2 5 4 7" xfId="12966" xr:uid="{00000000-0005-0000-0000-0000010F0000}"/>
    <cellStyle name="Comma 2 2 2 5 4 7 2" xfId="36245" xr:uid="{00000000-0005-0000-0000-0000020F0000}"/>
    <cellStyle name="Comma 2 2 2 5 4 8" xfId="15437" xr:uid="{00000000-0005-0000-0000-0000030F0000}"/>
    <cellStyle name="Comma 2 2 2 5 4 8 2" xfId="38715" xr:uid="{00000000-0005-0000-0000-0000040F0000}"/>
    <cellStyle name="Comma 2 2 2 5 4 9" xfId="24005" xr:uid="{00000000-0005-0000-0000-0000050F0000}"/>
    <cellStyle name="Comma 2 2 2 5 5" xfId="1338" xr:uid="{00000000-0005-0000-0000-0000060F0000}"/>
    <cellStyle name="Comma 2 2 2 5 5 10" xfId="22169" xr:uid="{00000000-0005-0000-0000-0000070F0000}"/>
    <cellStyle name="Comma 2 2 2 5 5 2" xfId="3786" xr:uid="{00000000-0005-0000-0000-0000080F0000}"/>
    <cellStyle name="Comma 2 2 2 5 5 2 2" xfId="19721" xr:uid="{00000000-0005-0000-0000-0000090F0000}"/>
    <cellStyle name="Comma 2 2 2 5 5 2 2 2" xfId="42999" xr:uid="{00000000-0005-0000-0000-00000A0F0000}"/>
    <cellStyle name="Comma 2 2 2 5 5 2 3" xfId="47895" xr:uid="{00000000-0005-0000-0000-00000B0F0000}"/>
    <cellStyle name="Comma 2 2 2 5 5 2 4" xfId="27065" xr:uid="{00000000-0005-0000-0000-00000C0F0000}"/>
    <cellStyle name="Comma 2 2 2 5 5 3" xfId="6234" xr:uid="{00000000-0005-0000-0000-00000D0F0000}"/>
    <cellStyle name="Comma 2 2 2 5 5 3 2" xfId="29513" xr:uid="{00000000-0005-0000-0000-00000E0F0000}"/>
    <cellStyle name="Comma 2 2 2 5 5 4" xfId="8682" xr:uid="{00000000-0005-0000-0000-00000F0F0000}"/>
    <cellStyle name="Comma 2 2 2 5 5 4 2" xfId="31961" xr:uid="{00000000-0005-0000-0000-0000100F0000}"/>
    <cellStyle name="Comma 2 2 2 5 5 5" xfId="11130" xr:uid="{00000000-0005-0000-0000-0000110F0000}"/>
    <cellStyle name="Comma 2 2 2 5 5 5 2" xfId="34409" xr:uid="{00000000-0005-0000-0000-0000120F0000}"/>
    <cellStyle name="Comma 2 2 2 5 5 6" xfId="13578" xr:uid="{00000000-0005-0000-0000-0000130F0000}"/>
    <cellStyle name="Comma 2 2 2 5 5 6 2" xfId="36857" xr:uid="{00000000-0005-0000-0000-0000140F0000}"/>
    <cellStyle name="Comma 2 2 2 5 5 7" xfId="17273" xr:uid="{00000000-0005-0000-0000-0000150F0000}"/>
    <cellStyle name="Comma 2 2 2 5 5 7 2" xfId="40551" xr:uid="{00000000-0005-0000-0000-0000160F0000}"/>
    <cellStyle name="Comma 2 2 2 5 5 8" xfId="24617" xr:uid="{00000000-0005-0000-0000-0000170F0000}"/>
    <cellStyle name="Comma 2 2 2 5 5 9" xfId="45447" xr:uid="{00000000-0005-0000-0000-0000180F0000}"/>
    <cellStyle name="Comma 2 2 2 5 6" xfId="2562" xr:uid="{00000000-0005-0000-0000-0000190F0000}"/>
    <cellStyle name="Comma 2 2 2 5 6 2" xfId="16049" xr:uid="{00000000-0005-0000-0000-00001A0F0000}"/>
    <cellStyle name="Comma 2 2 2 5 6 2 2" xfId="39327" xr:uid="{00000000-0005-0000-0000-00001B0F0000}"/>
    <cellStyle name="Comma 2 2 2 5 6 3" xfId="46671" xr:uid="{00000000-0005-0000-0000-00001C0F0000}"/>
    <cellStyle name="Comma 2 2 2 5 6 4" xfId="25841" xr:uid="{00000000-0005-0000-0000-00001D0F0000}"/>
    <cellStyle name="Comma 2 2 2 5 7" xfId="5010" xr:uid="{00000000-0005-0000-0000-00001E0F0000}"/>
    <cellStyle name="Comma 2 2 2 5 7 2" xfId="18497" xr:uid="{00000000-0005-0000-0000-00001F0F0000}"/>
    <cellStyle name="Comma 2 2 2 5 7 2 2" xfId="41775" xr:uid="{00000000-0005-0000-0000-0000200F0000}"/>
    <cellStyle name="Comma 2 2 2 5 7 3" xfId="28289" xr:uid="{00000000-0005-0000-0000-0000210F0000}"/>
    <cellStyle name="Comma 2 2 2 5 8" xfId="7458" xr:uid="{00000000-0005-0000-0000-0000220F0000}"/>
    <cellStyle name="Comma 2 2 2 5 8 2" xfId="30737" xr:uid="{00000000-0005-0000-0000-0000230F0000}"/>
    <cellStyle name="Comma 2 2 2 5 9" xfId="9906" xr:uid="{00000000-0005-0000-0000-0000240F0000}"/>
    <cellStyle name="Comma 2 2 2 5 9 2" xfId="33185" xr:uid="{00000000-0005-0000-0000-0000250F0000}"/>
    <cellStyle name="Comma 2 2 2 6" xfId="182" xr:uid="{00000000-0005-0000-0000-0000260F0000}"/>
    <cellStyle name="Comma 2 2 2 6 10" xfId="12422" xr:uid="{00000000-0005-0000-0000-0000270F0000}"/>
    <cellStyle name="Comma 2 2 2 6 10 2" xfId="35701" xr:uid="{00000000-0005-0000-0000-0000280F0000}"/>
    <cellStyle name="Comma 2 2 2 6 11" xfId="14893" xr:uid="{00000000-0005-0000-0000-0000290F0000}"/>
    <cellStyle name="Comma 2 2 2 6 11 2" xfId="38171" xr:uid="{00000000-0005-0000-0000-00002A0F0000}"/>
    <cellStyle name="Comma 2 2 2 6 12" xfId="23461" xr:uid="{00000000-0005-0000-0000-00002B0F0000}"/>
    <cellStyle name="Comma 2 2 2 6 13" xfId="44291" xr:uid="{00000000-0005-0000-0000-00002C0F0000}"/>
    <cellStyle name="Comma 2 2 2 6 14" xfId="21013" xr:uid="{00000000-0005-0000-0000-00002D0F0000}"/>
    <cellStyle name="Comma 2 2 2 6 2" xfId="386" xr:uid="{00000000-0005-0000-0000-00002E0F0000}"/>
    <cellStyle name="Comma 2 2 2 6 2 10" xfId="23665" xr:uid="{00000000-0005-0000-0000-00002F0F0000}"/>
    <cellStyle name="Comma 2 2 2 6 2 11" xfId="44495" xr:uid="{00000000-0005-0000-0000-0000300F0000}"/>
    <cellStyle name="Comma 2 2 2 6 2 12" xfId="21217" xr:uid="{00000000-0005-0000-0000-0000310F0000}"/>
    <cellStyle name="Comma 2 2 2 6 2 2" xfId="998" xr:uid="{00000000-0005-0000-0000-0000320F0000}"/>
    <cellStyle name="Comma 2 2 2 6 2 2 10" xfId="45107" xr:uid="{00000000-0005-0000-0000-0000330F0000}"/>
    <cellStyle name="Comma 2 2 2 6 2 2 11" xfId="21829" xr:uid="{00000000-0005-0000-0000-0000340F0000}"/>
    <cellStyle name="Comma 2 2 2 6 2 2 2" xfId="2222" xr:uid="{00000000-0005-0000-0000-0000350F0000}"/>
    <cellStyle name="Comma 2 2 2 6 2 2 2 10" xfId="23053" xr:uid="{00000000-0005-0000-0000-0000360F0000}"/>
    <cellStyle name="Comma 2 2 2 6 2 2 2 2" xfId="4670" xr:uid="{00000000-0005-0000-0000-0000370F0000}"/>
    <cellStyle name="Comma 2 2 2 6 2 2 2 2 2" xfId="20605" xr:uid="{00000000-0005-0000-0000-0000380F0000}"/>
    <cellStyle name="Comma 2 2 2 6 2 2 2 2 2 2" xfId="43883" xr:uid="{00000000-0005-0000-0000-0000390F0000}"/>
    <cellStyle name="Comma 2 2 2 6 2 2 2 2 3" xfId="48779" xr:uid="{00000000-0005-0000-0000-00003A0F0000}"/>
    <cellStyle name="Comma 2 2 2 6 2 2 2 2 4" xfId="27949" xr:uid="{00000000-0005-0000-0000-00003B0F0000}"/>
    <cellStyle name="Comma 2 2 2 6 2 2 2 3" xfId="7118" xr:uid="{00000000-0005-0000-0000-00003C0F0000}"/>
    <cellStyle name="Comma 2 2 2 6 2 2 2 3 2" xfId="30397" xr:uid="{00000000-0005-0000-0000-00003D0F0000}"/>
    <cellStyle name="Comma 2 2 2 6 2 2 2 4" xfId="9566" xr:uid="{00000000-0005-0000-0000-00003E0F0000}"/>
    <cellStyle name="Comma 2 2 2 6 2 2 2 4 2" xfId="32845" xr:uid="{00000000-0005-0000-0000-00003F0F0000}"/>
    <cellStyle name="Comma 2 2 2 6 2 2 2 5" xfId="12014" xr:uid="{00000000-0005-0000-0000-0000400F0000}"/>
    <cellStyle name="Comma 2 2 2 6 2 2 2 5 2" xfId="35293" xr:uid="{00000000-0005-0000-0000-0000410F0000}"/>
    <cellStyle name="Comma 2 2 2 6 2 2 2 6" xfId="14462" xr:uid="{00000000-0005-0000-0000-0000420F0000}"/>
    <cellStyle name="Comma 2 2 2 6 2 2 2 6 2" xfId="37741" xr:uid="{00000000-0005-0000-0000-0000430F0000}"/>
    <cellStyle name="Comma 2 2 2 6 2 2 2 7" xfId="18157" xr:uid="{00000000-0005-0000-0000-0000440F0000}"/>
    <cellStyle name="Comma 2 2 2 6 2 2 2 7 2" xfId="41435" xr:uid="{00000000-0005-0000-0000-0000450F0000}"/>
    <cellStyle name="Comma 2 2 2 6 2 2 2 8" xfId="25501" xr:uid="{00000000-0005-0000-0000-0000460F0000}"/>
    <cellStyle name="Comma 2 2 2 6 2 2 2 9" xfId="46331" xr:uid="{00000000-0005-0000-0000-0000470F0000}"/>
    <cellStyle name="Comma 2 2 2 6 2 2 3" xfId="3446" xr:uid="{00000000-0005-0000-0000-0000480F0000}"/>
    <cellStyle name="Comma 2 2 2 6 2 2 3 2" xfId="16933" xr:uid="{00000000-0005-0000-0000-0000490F0000}"/>
    <cellStyle name="Comma 2 2 2 6 2 2 3 2 2" xfId="40211" xr:uid="{00000000-0005-0000-0000-00004A0F0000}"/>
    <cellStyle name="Comma 2 2 2 6 2 2 3 3" xfId="47555" xr:uid="{00000000-0005-0000-0000-00004B0F0000}"/>
    <cellStyle name="Comma 2 2 2 6 2 2 3 4" xfId="26725" xr:uid="{00000000-0005-0000-0000-00004C0F0000}"/>
    <cellStyle name="Comma 2 2 2 6 2 2 4" xfId="5894" xr:uid="{00000000-0005-0000-0000-00004D0F0000}"/>
    <cellStyle name="Comma 2 2 2 6 2 2 4 2" xfId="19381" xr:uid="{00000000-0005-0000-0000-00004E0F0000}"/>
    <cellStyle name="Comma 2 2 2 6 2 2 4 2 2" xfId="42659" xr:uid="{00000000-0005-0000-0000-00004F0F0000}"/>
    <cellStyle name="Comma 2 2 2 6 2 2 4 3" xfId="29173" xr:uid="{00000000-0005-0000-0000-0000500F0000}"/>
    <cellStyle name="Comma 2 2 2 6 2 2 5" xfId="8342" xr:uid="{00000000-0005-0000-0000-0000510F0000}"/>
    <cellStyle name="Comma 2 2 2 6 2 2 5 2" xfId="31621" xr:uid="{00000000-0005-0000-0000-0000520F0000}"/>
    <cellStyle name="Comma 2 2 2 6 2 2 6" xfId="10790" xr:uid="{00000000-0005-0000-0000-0000530F0000}"/>
    <cellStyle name="Comma 2 2 2 6 2 2 6 2" xfId="34069" xr:uid="{00000000-0005-0000-0000-0000540F0000}"/>
    <cellStyle name="Comma 2 2 2 6 2 2 7" xfId="13238" xr:uid="{00000000-0005-0000-0000-0000550F0000}"/>
    <cellStyle name="Comma 2 2 2 6 2 2 7 2" xfId="36517" xr:uid="{00000000-0005-0000-0000-0000560F0000}"/>
    <cellStyle name="Comma 2 2 2 6 2 2 8" xfId="15709" xr:uid="{00000000-0005-0000-0000-0000570F0000}"/>
    <cellStyle name="Comma 2 2 2 6 2 2 8 2" xfId="38987" xr:uid="{00000000-0005-0000-0000-0000580F0000}"/>
    <cellStyle name="Comma 2 2 2 6 2 2 9" xfId="24277" xr:uid="{00000000-0005-0000-0000-0000590F0000}"/>
    <cellStyle name="Comma 2 2 2 6 2 3" xfId="1610" xr:uid="{00000000-0005-0000-0000-00005A0F0000}"/>
    <cellStyle name="Comma 2 2 2 6 2 3 10" xfId="22441" xr:uid="{00000000-0005-0000-0000-00005B0F0000}"/>
    <cellStyle name="Comma 2 2 2 6 2 3 2" xfId="4058" xr:uid="{00000000-0005-0000-0000-00005C0F0000}"/>
    <cellStyle name="Comma 2 2 2 6 2 3 2 2" xfId="19993" xr:uid="{00000000-0005-0000-0000-00005D0F0000}"/>
    <cellStyle name="Comma 2 2 2 6 2 3 2 2 2" xfId="43271" xr:uid="{00000000-0005-0000-0000-00005E0F0000}"/>
    <cellStyle name="Comma 2 2 2 6 2 3 2 3" xfId="48167" xr:uid="{00000000-0005-0000-0000-00005F0F0000}"/>
    <cellStyle name="Comma 2 2 2 6 2 3 2 4" xfId="27337" xr:uid="{00000000-0005-0000-0000-0000600F0000}"/>
    <cellStyle name="Comma 2 2 2 6 2 3 3" xfId="6506" xr:uid="{00000000-0005-0000-0000-0000610F0000}"/>
    <cellStyle name="Comma 2 2 2 6 2 3 3 2" xfId="29785" xr:uid="{00000000-0005-0000-0000-0000620F0000}"/>
    <cellStyle name="Comma 2 2 2 6 2 3 4" xfId="8954" xr:uid="{00000000-0005-0000-0000-0000630F0000}"/>
    <cellStyle name="Comma 2 2 2 6 2 3 4 2" xfId="32233" xr:uid="{00000000-0005-0000-0000-0000640F0000}"/>
    <cellStyle name="Comma 2 2 2 6 2 3 5" xfId="11402" xr:uid="{00000000-0005-0000-0000-0000650F0000}"/>
    <cellStyle name="Comma 2 2 2 6 2 3 5 2" xfId="34681" xr:uid="{00000000-0005-0000-0000-0000660F0000}"/>
    <cellStyle name="Comma 2 2 2 6 2 3 6" xfId="13850" xr:uid="{00000000-0005-0000-0000-0000670F0000}"/>
    <cellStyle name="Comma 2 2 2 6 2 3 6 2" xfId="37129" xr:uid="{00000000-0005-0000-0000-0000680F0000}"/>
    <cellStyle name="Comma 2 2 2 6 2 3 7" xfId="17545" xr:uid="{00000000-0005-0000-0000-0000690F0000}"/>
    <cellStyle name="Comma 2 2 2 6 2 3 7 2" xfId="40823" xr:uid="{00000000-0005-0000-0000-00006A0F0000}"/>
    <cellStyle name="Comma 2 2 2 6 2 3 8" xfId="24889" xr:uid="{00000000-0005-0000-0000-00006B0F0000}"/>
    <cellStyle name="Comma 2 2 2 6 2 3 9" xfId="45719" xr:uid="{00000000-0005-0000-0000-00006C0F0000}"/>
    <cellStyle name="Comma 2 2 2 6 2 4" xfId="2834" xr:uid="{00000000-0005-0000-0000-00006D0F0000}"/>
    <cellStyle name="Comma 2 2 2 6 2 4 2" xfId="16321" xr:uid="{00000000-0005-0000-0000-00006E0F0000}"/>
    <cellStyle name="Comma 2 2 2 6 2 4 2 2" xfId="39599" xr:uid="{00000000-0005-0000-0000-00006F0F0000}"/>
    <cellStyle name="Comma 2 2 2 6 2 4 3" xfId="46943" xr:uid="{00000000-0005-0000-0000-0000700F0000}"/>
    <cellStyle name="Comma 2 2 2 6 2 4 4" xfId="26113" xr:uid="{00000000-0005-0000-0000-0000710F0000}"/>
    <cellStyle name="Comma 2 2 2 6 2 5" xfId="5282" xr:uid="{00000000-0005-0000-0000-0000720F0000}"/>
    <cellStyle name="Comma 2 2 2 6 2 5 2" xfId="18769" xr:uid="{00000000-0005-0000-0000-0000730F0000}"/>
    <cellStyle name="Comma 2 2 2 6 2 5 2 2" xfId="42047" xr:uid="{00000000-0005-0000-0000-0000740F0000}"/>
    <cellStyle name="Comma 2 2 2 6 2 5 3" xfId="28561" xr:uid="{00000000-0005-0000-0000-0000750F0000}"/>
    <cellStyle name="Comma 2 2 2 6 2 6" xfId="7730" xr:uid="{00000000-0005-0000-0000-0000760F0000}"/>
    <cellStyle name="Comma 2 2 2 6 2 6 2" xfId="31009" xr:uid="{00000000-0005-0000-0000-0000770F0000}"/>
    <cellStyle name="Comma 2 2 2 6 2 7" xfId="10178" xr:uid="{00000000-0005-0000-0000-0000780F0000}"/>
    <cellStyle name="Comma 2 2 2 6 2 7 2" xfId="33457" xr:uid="{00000000-0005-0000-0000-0000790F0000}"/>
    <cellStyle name="Comma 2 2 2 6 2 8" xfId="12626" xr:uid="{00000000-0005-0000-0000-00007A0F0000}"/>
    <cellStyle name="Comma 2 2 2 6 2 8 2" xfId="35905" xr:uid="{00000000-0005-0000-0000-00007B0F0000}"/>
    <cellStyle name="Comma 2 2 2 6 2 9" xfId="15097" xr:uid="{00000000-0005-0000-0000-00007C0F0000}"/>
    <cellStyle name="Comma 2 2 2 6 2 9 2" xfId="38375" xr:uid="{00000000-0005-0000-0000-00007D0F0000}"/>
    <cellStyle name="Comma 2 2 2 6 3" xfId="590" xr:uid="{00000000-0005-0000-0000-00007E0F0000}"/>
    <cellStyle name="Comma 2 2 2 6 3 10" xfId="23869" xr:uid="{00000000-0005-0000-0000-00007F0F0000}"/>
    <cellStyle name="Comma 2 2 2 6 3 11" xfId="44699" xr:uid="{00000000-0005-0000-0000-0000800F0000}"/>
    <cellStyle name="Comma 2 2 2 6 3 12" xfId="21421" xr:uid="{00000000-0005-0000-0000-0000810F0000}"/>
    <cellStyle name="Comma 2 2 2 6 3 2" xfId="1202" xr:uid="{00000000-0005-0000-0000-0000820F0000}"/>
    <cellStyle name="Comma 2 2 2 6 3 2 10" xfId="45311" xr:uid="{00000000-0005-0000-0000-0000830F0000}"/>
    <cellStyle name="Comma 2 2 2 6 3 2 11" xfId="22033" xr:uid="{00000000-0005-0000-0000-0000840F0000}"/>
    <cellStyle name="Comma 2 2 2 6 3 2 2" xfId="2426" xr:uid="{00000000-0005-0000-0000-0000850F0000}"/>
    <cellStyle name="Comma 2 2 2 6 3 2 2 10" xfId="23257" xr:uid="{00000000-0005-0000-0000-0000860F0000}"/>
    <cellStyle name="Comma 2 2 2 6 3 2 2 2" xfId="4874" xr:uid="{00000000-0005-0000-0000-0000870F0000}"/>
    <cellStyle name="Comma 2 2 2 6 3 2 2 2 2" xfId="20809" xr:uid="{00000000-0005-0000-0000-0000880F0000}"/>
    <cellStyle name="Comma 2 2 2 6 3 2 2 2 2 2" xfId="44087" xr:uid="{00000000-0005-0000-0000-0000890F0000}"/>
    <cellStyle name="Comma 2 2 2 6 3 2 2 2 3" xfId="48983" xr:uid="{00000000-0005-0000-0000-00008A0F0000}"/>
    <cellStyle name="Comma 2 2 2 6 3 2 2 2 4" xfId="28153" xr:uid="{00000000-0005-0000-0000-00008B0F0000}"/>
    <cellStyle name="Comma 2 2 2 6 3 2 2 3" xfId="7322" xr:uid="{00000000-0005-0000-0000-00008C0F0000}"/>
    <cellStyle name="Comma 2 2 2 6 3 2 2 3 2" xfId="30601" xr:uid="{00000000-0005-0000-0000-00008D0F0000}"/>
    <cellStyle name="Comma 2 2 2 6 3 2 2 4" xfId="9770" xr:uid="{00000000-0005-0000-0000-00008E0F0000}"/>
    <cellStyle name="Comma 2 2 2 6 3 2 2 4 2" xfId="33049" xr:uid="{00000000-0005-0000-0000-00008F0F0000}"/>
    <cellStyle name="Comma 2 2 2 6 3 2 2 5" xfId="12218" xr:uid="{00000000-0005-0000-0000-0000900F0000}"/>
    <cellStyle name="Comma 2 2 2 6 3 2 2 5 2" xfId="35497" xr:uid="{00000000-0005-0000-0000-0000910F0000}"/>
    <cellStyle name="Comma 2 2 2 6 3 2 2 6" xfId="14666" xr:uid="{00000000-0005-0000-0000-0000920F0000}"/>
    <cellStyle name="Comma 2 2 2 6 3 2 2 6 2" xfId="37945" xr:uid="{00000000-0005-0000-0000-0000930F0000}"/>
    <cellStyle name="Comma 2 2 2 6 3 2 2 7" xfId="18361" xr:uid="{00000000-0005-0000-0000-0000940F0000}"/>
    <cellStyle name="Comma 2 2 2 6 3 2 2 7 2" xfId="41639" xr:uid="{00000000-0005-0000-0000-0000950F0000}"/>
    <cellStyle name="Comma 2 2 2 6 3 2 2 8" xfId="25705" xr:uid="{00000000-0005-0000-0000-0000960F0000}"/>
    <cellStyle name="Comma 2 2 2 6 3 2 2 9" xfId="46535" xr:uid="{00000000-0005-0000-0000-0000970F0000}"/>
    <cellStyle name="Comma 2 2 2 6 3 2 3" xfId="3650" xr:uid="{00000000-0005-0000-0000-0000980F0000}"/>
    <cellStyle name="Comma 2 2 2 6 3 2 3 2" xfId="17137" xr:uid="{00000000-0005-0000-0000-0000990F0000}"/>
    <cellStyle name="Comma 2 2 2 6 3 2 3 2 2" xfId="40415" xr:uid="{00000000-0005-0000-0000-00009A0F0000}"/>
    <cellStyle name="Comma 2 2 2 6 3 2 3 3" xfId="47759" xr:uid="{00000000-0005-0000-0000-00009B0F0000}"/>
    <cellStyle name="Comma 2 2 2 6 3 2 3 4" xfId="26929" xr:uid="{00000000-0005-0000-0000-00009C0F0000}"/>
    <cellStyle name="Comma 2 2 2 6 3 2 4" xfId="6098" xr:uid="{00000000-0005-0000-0000-00009D0F0000}"/>
    <cellStyle name="Comma 2 2 2 6 3 2 4 2" xfId="19585" xr:uid="{00000000-0005-0000-0000-00009E0F0000}"/>
    <cellStyle name="Comma 2 2 2 6 3 2 4 2 2" xfId="42863" xr:uid="{00000000-0005-0000-0000-00009F0F0000}"/>
    <cellStyle name="Comma 2 2 2 6 3 2 4 3" xfId="29377" xr:uid="{00000000-0005-0000-0000-0000A00F0000}"/>
    <cellStyle name="Comma 2 2 2 6 3 2 5" xfId="8546" xr:uid="{00000000-0005-0000-0000-0000A10F0000}"/>
    <cellStyle name="Comma 2 2 2 6 3 2 5 2" xfId="31825" xr:uid="{00000000-0005-0000-0000-0000A20F0000}"/>
    <cellStyle name="Comma 2 2 2 6 3 2 6" xfId="10994" xr:uid="{00000000-0005-0000-0000-0000A30F0000}"/>
    <cellStyle name="Comma 2 2 2 6 3 2 6 2" xfId="34273" xr:uid="{00000000-0005-0000-0000-0000A40F0000}"/>
    <cellStyle name="Comma 2 2 2 6 3 2 7" xfId="13442" xr:uid="{00000000-0005-0000-0000-0000A50F0000}"/>
    <cellStyle name="Comma 2 2 2 6 3 2 7 2" xfId="36721" xr:uid="{00000000-0005-0000-0000-0000A60F0000}"/>
    <cellStyle name="Comma 2 2 2 6 3 2 8" xfId="15913" xr:uid="{00000000-0005-0000-0000-0000A70F0000}"/>
    <cellStyle name="Comma 2 2 2 6 3 2 8 2" xfId="39191" xr:uid="{00000000-0005-0000-0000-0000A80F0000}"/>
    <cellStyle name="Comma 2 2 2 6 3 2 9" xfId="24481" xr:uid="{00000000-0005-0000-0000-0000A90F0000}"/>
    <cellStyle name="Comma 2 2 2 6 3 3" xfId="1814" xr:uid="{00000000-0005-0000-0000-0000AA0F0000}"/>
    <cellStyle name="Comma 2 2 2 6 3 3 10" xfId="22645" xr:uid="{00000000-0005-0000-0000-0000AB0F0000}"/>
    <cellStyle name="Comma 2 2 2 6 3 3 2" xfId="4262" xr:uid="{00000000-0005-0000-0000-0000AC0F0000}"/>
    <cellStyle name="Comma 2 2 2 6 3 3 2 2" xfId="20197" xr:uid="{00000000-0005-0000-0000-0000AD0F0000}"/>
    <cellStyle name="Comma 2 2 2 6 3 3 2 2 2" xfId="43475" xr:uid="{00000000-0005-0000-0000-0000AE0F0000}"/>
    <cellStyle name="Comma 2 2 2 6 3 3 2 3" xfId="48371" xr:uid="{00000000-0005-0000-0000-0000AF0F0000}"/>
    <cellStyle name="Comma 2 2 2 6 3 3 2 4" xfId="27541" xr:uid="{00000000-0005-0000-0000-0000B00F0000}"/>
    <cellStyle name="Comma 2 2 2 6 3 3 3" xfId="6710" xr:uid="{00000000-0005-0000-0000-0000B10F0000}"/>
    <cellStyle name="Comma 2 2 2 6 3 3 3 2" xfId="29989" xr:uid="{00000000-0005-0000-0000-0000B20F0000}"/>
    <cellStyle name="Comma 2 2 2 6 3 3 4" xfId="9158" xr:uid="{00000000-0005-0000-0000-0000B30F0000}"/>
    <cellStyle name="Comma 2 2 2 6 3 3 4 2" xfId="32437" xr:uid="{00000000-0005-0000-0000-0000B40F0000}"/>
    <cellStyle name="Comma 2 2 2 6 3 3 5" xfId="11606" xr:uid="{00000000-0005-0000-0000-0000B50F0000}"/>
    <cellStyle name="Comma 2 2 2 6 3 3 5 2" xfId="34885" xr:uid="{00000000-0005-0000-0000-0000B60F0000}"/>
    <cellStyle name="Comma 2 2 2 6 3 3 6" xfId="14054" xr:uid="{00000000-0005-0000-0000-0000B70F0000}"/>
    <cellStyle name="Comma 2 2 2 6 3 3 6 2" xfId="37333" xr:uid="{00000000-0005-0000-0000-0000B80F0000}"/>
    <cellStyle name="Comma 2 2 2 6 3 3 7" xfId="17749" xr:uid="{00000000-0005-0000-0000-0000B90F0000}"/>
    <cellStyle name="Comma 2 2 2 6 3 3 7 2" xfId="41027" xr:uid="{00000000-0005-0000-0000-0000BA0F0000}"/>
    <cellStyle name="Comma 2 2 2 6 3 3 8" xfId="25093" xr:uid="{00000000-0005-0000-0000-0000BB0F0000}"/>
    <cellStyle name="Comma 2 2 2 6 3 3 9" xfId="45923" xr:uid="{00000000-0005-0000-0000-0000BC0F0000}"/>
    <cellStyle name="Comma 2 2 2 6 3 4" xfId="3038" xr:uid="{00000000-0005-0000-0000-0000BD0F0000}"/>
    <cellStyle name="Comma 2 2 2 6 3 4 2" xfId="16525" xr:uid="{00000000-0005-0000-0000-0000BE0F0000}"/>
    <cellStyle name="Comma 2 2 2 6 3 4 2 2" xfId="39803" xr:uid="{00000000-0005-0000-0000-0000BF0F0000}"/>
    <cellStyle name="Comma 2 2 2 6 3 4 3" xfId="47147" xr:uid="{00000000-0005-0000-0000-0000C00F0000}"/>
    <cellStyle name="Comma 2 2 2 6 3 4 4" xfId="26317" xr:uid="{00000000-0005-0000-0000-0000C10F0000}"/>
    <cellStyle name="Comma 2 2 2 6 3 5" xfId="5486" xr:uid="{00000000-0005-0000-0000-0000C20F0000}"/>
    <cellStyle name="Comma 2 2 2 6 3 5 2" xfId="18973" xr:uid="{00000000-0005-0000-0000-0000C30F0000}"/>
    <cellStyle name="Comma 2 2 2 6 3 5 2 2" xfId="42251" xr:uid="{00000000-0005-0000-0000-0000C40F0000}"/>
    <cellStyle name="Comma 2 2 2 6 3 5 3" xfId="28765" xr:uid="{00000000-0005-0000-0000-0000C50F0000}"/>
    <cellStyle name="Comma 2 2 2 6 3 6" xfId="7934" xr:uid="{00000000-0005-0000-0000-0000C60F0000}"/>
    <cellStyle name="Comma 2 2 2 6 3 6 2" xfId="31213" xr:uid="{00000000-0005-0000-0000-0000C70F0000}"/>
    <cellStyle name="Comma 2 2 2 6 3 7" xfId="10382" xr:uid="{00000000-0005-0000-0000-0000C80F0000}"/>
    <cellStyle name="Comma 2 2 2 6 3 7 2" xfId="33661" xr:uid="{00000000-0005-0000-0000-0000C90F0000}"/>
    <cellStyle name="Comma 2 2 2 6 3 8" xfId="12830" xr:uid="{00000000-0005-0000-0000-0000CA0F0000}"/>
    <cellStyle name="Comma 2 2 2 6 3 8 2" xfId="36109" xr:uid="{00000000-0005-0000-0000-0000CB0F0000}"/>
    <cellStyle name="Comma 2 2 2 6 3 9" xfId="15301" xr:uid="{00000000-0005-0000-0000-0000CC0F0000}"/>
    <cellStyle name="Comma 2 2 2 6 3 9 2" xfId="38579" xr:uid="{00000000-0005-0000-0000-0000CD0F0000}"/>
    <cellStyle name="Comma 2 2 2 6 4" xfId="794" xr:uid="{00000000-0005-0000-0000-0000CE0F0000}"/>
    <cellStyle name="Comma 2 2 2 6 4 10" xfId="44903" xr:uid="{00000000-0005-0000-0000-0000CF0F0000}"/>
    <cellStyle name="Comma 2 2 2 6 4 11" xfId="21625" xr:uid="{00000000-0005-0000-0000-0000D00F0000}"/>
    <cellStyle name="Comma 2 2 2 6 4 2" xfId="2018" xr:uid="{00000000-0005-0000-0000-0000D10F0000}"/>
    <cellStyle name="Comma 2 2 2 6 4 2 10" xfId="22849" xr:uid="{00000000-0005-0000-0000-0000D20F0000}"/>
    <cellStyle name="Comma 2 2 2 6 4 2 2" xfId="4466" xr:uid="{00000000-0005-0000-0000-0000D30F0000}"/>
    <cellStyle name="Comma 2 2 2 6 4 2 2 2" xfId="20401" xr:uid="{00000000-0005-0000-0000-0000D40F0000}"/>
    <cellStyle name="Comma 2 2 2 6 4 2 2 2 2" xfId="43679" xr:uid="{00000000-0005-0000-0000-0000D50F0000}"/>
    <cellStyle name="Comma 2 2 2 6 4 2 2 3" xfId="48575" xr:uid="{00000000-0005-0000-0000-0000D60F0000}"/>
    <cellStyle name="Comma 2 2 2 6 4 2 2 4" xfId="27745" xr:uid="{00000000-0005-0000-0000-0000D70F0000}"/>
    <cellStyle name="Comma 2 2 2 6 4 2 3" xfId="6914" xr:uid="{00000000-0005-0000-0000-0000D80F0000}"/>
    <cellStyle name="Comma 2 2 2 6 4 2 3 2" xfId="30193" xr:uid="{00000000-0005-0000-0000-0000D90F0000}"/>
    <cellStyle name="Comma 2 2 2 6 4 2 4" xfId="9362" xr:uid="{00000000-0005-0000-0000-0000DA0F0000}"/>
    <cellStyle name="Comma 2 2 2 6 4 2 4 2" xfId="32641" xr:uid="{00000000-0005-0000-0000-0000DB0F0000}"/>
    <cellStyle name="Comma 2 2 2 6 4 2 5" xfId="11810" xr:uid="{00000000-0005-0000-0000-0000DC0F0000}"/>
    <cellStyle name="Comma 2 2 2 6 4 2 5 2" xfId="35089" xr:uid="{00000000-0005-0000-0000-0000DD0F0000}"/>
    <cellStyle name="Comma 2 2 2 6 4 2 6" xfId="14258" xr:uid="{00000000-0005-0000-0000-0000DE0F0000}"/>
    <cellStyle name="Comma 2 2 2 6 4 2 6 2" xfId="37537" xr:uid="{00000000-0005-0000-0000-0000DF0F0000}"/>
    <cellStyle name="Comma 2 2 2 6 4 2 7" xfId="17953" xr:uid="{00000000-0005-0000-0000-0000E00F0000}"/>
    <cellStyle name="Comma 2 2 2 6 4 2 7 2" xfId="41231" xr:uid="{00000000-0005-0000-0000-0000E10F0000}"/>
    <cellStyle name="Comma 2 2 2 6 4 2 8" xfId="25297" xr:uid="{00000000-0005-0000-0000-0000E20F0000}"/>
    <cellStyle name="Comma 2 2 2 6 4 2 9" xfId="46127" xr:uid="{00000000-0005-0000-0000-0000E30F0000}"/>
    <cellStyle name="Comma 2 2 2 6 4 3" xfId="3242" xr:uid="{00000000-0005-0000-0000-0000E40F0000}"/>
    <cellStyle name="Comma 2 2 2 6 4 3 2" xfId="16729" xr:uid="{00000000-0005-0000-0000-0000E50F0000}"/>
    <cellStyle name="Comma 2 2 2 6 4 3 2 2" xfId="40007" xr:uid="{00000000-0005-0000-0000-0000E60F0000}"/>
    <cellStyle name="Comma 2 2 2 6 4 3 3" xfId="47351" xr:uid="{00000000-0005-0000-0000-0000E70F0000}"/>
    <cellStyle name="Comma 2 2 2 6 4 3 4" xfId="26521" xr:uid="{00000000-0005-0000-0000-0000E80F0000}"/>
    <cellStyle name="Comma 2 2 2 6 4 4" xfId="5690" xr:uid="{00000000-0005-0000-0000-0000E90F0000}"/>
    <cellStyle name="Comma 2 2 2 6 4 4 2" xfId="19177" xr:uid="{00000000-0005-0000-0000-0000EA0F0000}"/>
    <cellStyle name="Comma 2 2 2 6 4 4 2 2" xfId="42455" xr:uid="{00000000-0005-0000-0000-0000EB0F0000}"/>
    <cellStyle name="Comma 2 2 2 6 4 4 3" xfId="28969" xr:uid="{00000000-0005-0000-0000-0000EC0F0000}"/>
    <cellStyle name="Comma 2 2 2 6 4 5" xfId="8138" xr:uid="{00000000-0005-0000-0000-0000ED0F0000}"/>
    <cellStyle name="Comma 2 2 2 6 4 5 2" xfId="31417" xr:uid="{00000000-0005-0000-0000-0000EE0F0000}"/>
    <cellStyle name="Comma 2 2 2 6 4 6" xfId="10586" xr:uid="{00000000-0005-0000-0000-0000EF0F0000}"/>
    <cellStyle name="Comma 2 2 2 6 4 6 2" xfId="33865" xr:uid="{00000000-0005-0000-0000-0000F00F0000}"/>
    <cellStyle name="Comma 2 2 2 6 4 7" xfId="13034" xr:uid="{00000000-0005-0000-0000-0000F10F0000}"/>
    <cellStyle name="Comma 2 2 2 6 4 7 2" xfId="36313" xr:uid="{00000000-0005-0000-0000-0000F20F0000}"/>
    <cellStyle name="Comma 2 2 2 6 4 8" xfId="15505" xr:uid="{00000000-0005-0000-0000-0000F30F0000}"/>
    <cellStyle name="Comma 2 2 2 6 4 8 2" xfId="38783" xr:uid="{00000000-0005-0000-0000-0000F40F0000}"/>
    <cellStyle name="Comma 2 2 2 6 4 9" xfId="24073" xr:uid="{00000000-0005-0000-0000-0000F50F0000}"/>
    <cellStyle name="Comma 2 2 2 6 5" xfId="1406" xr:uid="{00000000-0005-0000-0000-0000F60F0000}"/>
    <cellStyle name="Comma 2 2 2 6 5 10" xfId="22237" xr:uid="{00000000-0005-0000-0000-0000F70F0000}"/>
    <cellStyle name="Comma 2 2 2 6 5 2" xfId="3854" xr:uid="{00000000-0005-0000-0000-0000F80F0000}"/>
    <cellStyle name="Comma 2 2 2 6 5 2 2" xfId="19789" xr:uid="{00000000-0005-0000-0000-0000F90F0000}"/>
    <cellStyle name="Comma 2 2 2 6 5 2 2 2" xfId="43067" xr:uid="{00000000-0005-0000-0000-0000FA0F0000}"/>
    <cellStyle name="Comma 2 2 2 6 5 2 3" xfId="47963" xr:uid="{00000000-0005-0000-0000-0000FB0F0000}"/>
    <cellStyle name="Comma 2 2 2 6 5 2 4" xfId="27133" xr:uid="{00000000-0005-0000-0000-0000FC0F0000}"/>
    <cellStyle name="Comma 2 2 2 6 5 3" xfId="6302" xr:uid="{00000000-0005-0000-0000-0000FD0F0000}"/>
    <cellStyle name="Comma 2 2 2 6 5 3 2" xfId="29581" xr:uid="{00000000-0005-0000-0000-0000FE0F0000}"/>
    <cellStyle name="Comma 2 2 2 6 5 4" xfId="8750" xr:uid="{00000000-0005-0000-0000-0000FF0F0000}"/>
    <cellStyle name="Comma 2 2 2 6 5 4 2" xfId="32029" xr:uid="{00000000-0005-0000-0000-000000100000}"/>
    <cellStyle name="Comma 2 2 2 6 5 5" xfId="11198" xr:uid="{00000000-0005-0000-0000-000001100000}"/>
    <cellStyle name="Comma 2 2 2 6 5 5 2" xfId="34477" xr:uid="{00000000-0005-0000-0000-000002100000}"/>
    <cellStyle name="Comma 2 2 2 6 5 6" xfId="13646" xr:uid="{00000000-0005-0000-0000-000003100000}"/>
    <cellStyle name="Comma 2 2 2 6 5 6 2" xfId="36925" xr:uid="{00000000-0005-0000-0000-000004100000}"/>
    <cellStyle name="Comma 2 2 2 6 5 7" xfId="17341" xr:uid="{00000000-0005-0000-0000-000005100000}"/>
    <cellStyle name="Comma 2 2 2 6 5 7 2" xfId="40619" xr:uid="{00000000-0005-0000-0000-000006100000}"/>
    <cellStyle name="Comma 2 2 2 6 5 8" xfId="24685" xr:uid="{00000000-0005-0000-0000-000007100000}"/>
    <cellStyle name="Comma 2 2 2 6 5 9" xfId="45515" xr:uid="{00000000-0005-0000-0000-000008100000}"/>
    <cellStyle name="Comma 2 2 2 6 6" xfId="2630" xr:uid="{00000000-0005-0000-0000-000009100000}"/>
    <cellStyle name="Comma 2 2 2 6 6 2" xfId="16117" xr:uid="{00000000-0005-0000-0000-00000A100000}"/>
    <cellStyle name="Comma 2 2 2 6 6 2 2" xfId="39395" xr:uid="{00000000-0005-0000-0000-00000B100000}"/>
    <cellStyle name="Comma 2 2 2 6 6 3" xfId="46739" xr:uid="{00000000-0005-0000-0000-00000C100000}"/>
    <cellStyle name="Comma 2 2 2 6 6 4" xfId="25909" xr:uid="{00000000-0005-0000-0000-00000D100000}"/>
    <cellStyle name="Comma 2 2 2 6 7" xfId="5078" xr:uid="{00000000-0005-0000-0000-00000E100000}"/>
    <cellStyle name="Comma 2 2 2 6 7 2" xfId="18565" xr:uid="{00000000-0005-0000-0000-00000F100000}"/>
    <cellStyle name="Comma 2 2 2 6 7 2 2" xfId="41843" xr:uid="{00000000-0005-0000-0000-000010100000}"/>
    <cellStyle name="Comma 2 2 2 6 7 3" xfId="28357" xr:uid="{00000000-0005-0000-0000-000011100000}"/>
    <cellStyle name="Comma 2 2 2 6 8" xfId="7526" xr:uid="{00000000-0005-0000-0000-000012100000}"/>
    <cellStyle name="Comma 2 2 2 6 8 2" xfId="30805" xr:uid="{00000000-0005-0000-0000-000013100000}"/>
    <cellStyle name="Comma 2 2 2 6 9" xfId="9974" xr:uid="{00000000-0005-0000-0000-000014100000}"/>
    <cellStyle name="Comma 2 2 2 6 9 2" xfId="33253" xr:uid="{00000000-0005-0000-0000-000015100000}"/>
    <cellStyle name="Comma 2 2 2 7" xfId="250" xr:uid="{00000000-0005-0000-0000-000016100000}"/>
    <cellStyle name="Comma 2 2 2 7 10" xfId="23529" xr:uid="{00000000-0005-0000-0000-000017100000}"/>
    <cellStyle name="Comma 2 2 2 7 11" xfId="44359" xr:uid="{00000000-0005-0000-0000-000018100000}"/>
    <cellStyle name="Comma 2 2 2 7 12" xfId="21081" xr:uid="{00000000-0005-0000-0000-000019100000}"/>
    <cellStyle name="Comma 2 2 2 7 2" xfId="862" xr:uid="{00000000-0005-0000-0000-00001A100000}"/>
    <cellStyle name="Comma 2 2 2 7 2 10" xfId="44971" xr:uid="{00000000-0005-0000-0000-00001B100000}"/>
    <cellStyle name="Comma 2 2 2 7 2 11" xfId="21693" xr:uid="{00000000-0005-0000-0000-00001C100000}"/>
    <cellStyle name="Comma 2 2 2 7 2 2" xfId="2086" xr:uid="{00000000-0005-0000-0000-00001D100000}"/>
    <cellStyle name="Comma 2 2 2 7 2 2 10" xfId="22917" xr:uid="{00000000-0005-0000-0000-00001E100000}"/>
    <cellStyle name="Comma 2 2 2 7 2 2 2" xfId="4534" xr:uid="{00000000-0005-0000-0000-00001F100000}"/>
    <cellStyle name="Comma 2 2 2 7 2 2 2 2" xfId="20469" xr:uid="{00000000-0005-0000-0000-000020100000}"/>
    <cellStyle name="Comma 2 2 2 7 2 2 2 2 2" xfId="43747" xr:uid="{00000000-0005-0000-0000-000021100000}"/>
    <cellStyle name="Comma 2 2 2 7 2 2 2 3" xfId="48643" xr:uid="{00000000-0005-0000-0000-000022100000}"/>
    <cellStyle name="Comma 2 2 2 7 2 2 2 4" xfId="27813" xr:uid="{00000000-0005-0000-0000-000023100000}"/>
    <cellStyle name="Comma 2 2 2 7 2 2 3" xfId="6982" xr:uid="{00000000-0005-0000-0000-000024100000}"/>
    <cellStyle name="Comma 2 2 2 7 2 2 3 2" xfId="30261" xr:uid="{00000000-0005-0000-0000-000025100000}"/>
    <cellStyle name="Comma 2 2 2 7 2 2 4" xfId="9430" xr:uid="{00000000-0005-0000-0000-000026100000}"/>
    <cellStyle name="Comma 2 2 2 7 2 2 4 2" xfId="32709" xr:uid="{00000000-0005-0000-0000-000027100000}"/>
    <cellStyle name="Comma 2 2 2 7 2 2 5" xfId="11878" xr:uid="{00000000-0005-0000-0000-000028100000}"/>
    <cellStyle name="Comma 2 2 2 7 2 2 5 2" xfId="35157" xr:uid="{00000000-0005-0000-0000-000029100000}"/>
    <cellStyle name="Comma 2 2 2 7 2 2 6" xfId="14326" xr:uid="{00000000-0005-0000-0000-00002A100000}"/>
    <cellStyle name="Comma 2 2 2 7 2 2 6 2" xfId="37605" xr:uid="{00000000-0005-0000-0000-00002B100000}"/>
    <cellStyle name="Comma 2 2 2 7 2 2 7" xfId="18021" xr:uid="{00000000-0005-0000-0000-00002C100000}"/>
    <cellStyle name="Comma 2 2 2 7 2 2 7 2" xfId="41299" xr:uid="{00000000-0005-0000-0000-00002D100000}"/>
    <cellStyle name="Comma 2 2 2 7 2 2 8" xfId="25365" xr:uid="{00000000-0005-0000-0000-00002E100000}"/>
    <cellStyle name="Comma 2 2 2 7 2 2 9" xfId="46195" xr:uid="{00000000-0005-0000-0000-00002F100000}"/>
    <cellStyle name="Comma 2 2 2 7 2 3" xfId="3310" xr:uid="{00000000-0005-0000-0000-000030100000}"/>
    <cellStyle name="Comma 2 2 2 7 2 3 2" xfId="16797" xr:uid="{00000000-0005-0000-0000-000031100000}"/>
    <cellStyle name="Comma 2 2 2 7 2 3 2 2" xfId="40075" xr:uid="{00000000-0005-0000-0000-000032100000}"/>
    <cellStyle name="Comma 2 2 2 7 2 3 3" xfId="47419" xr:uid="{00000000-0005-0000-0000-000033100000}"/>
    <cellStyle name="Comma 2 2 2 7 2 3 4" xfId="26589" xr:uid="{00000000-0005-0000-0000-000034100000}"/>
    <cellStyle name="Comma 2 2 2 7 2 4" xfId="5758" xr:uid="{00000000-0005-0000-0000-000035100000}"/>
    <cellStyle name="Comma 2 2 2 7 2 4 2" xfId="19245" xr:uid="{00000000-0005-0000-0000-000036100000}"/>
    <cellStyle name="Comma 2 2 2 7 2 4 2 2" xfId="42523" xr:uid="{00000000-0005-0000-0000-000037100000}"/>
    <cellStyle name="Comma 2 2 2 7 2 4 3" xfId="29037" xr:uid="{00000000-0005-0000-0000-000038100000}"/>
    <cellStyle name="Comma 2 2 2 7 2 5" xfId="8206" xr:uid="{00000000-0005-0000-0000-000039100000}"/>
    <cellStyle name="Comma 2 2 2 7 2 5 2" xfId="31485" xr:uid="{00000000-0005-0000-0000-00003A100000}"/>
    <cellStyle name="Comma 2 2 2 7 2 6" xfId="10654" xr:uid="{00000000-0005-0000-0000-00003B100000}"/>
    <cellStyle name="Comma 2 2 2 7 2 6 2" xfId="33933" xr:uid="{00000000-0005-0000-0000-00003C100000}"/>
    <cellStyle name="Comma 2 2 2 7 2 7" xfId="13102" xr:uid="{00000000-0005-0000-0000-00003D100000}"/>
    <cellStyle name="Comma 2 2 2 7 2 7 2" xfId="36381" xr:uid="{00000000-0005-0000-0000-00003E100000}"/>
    <cellStyle name="Comma 2 2 2 7 2 8" xfId="15573" xr:uid="{00000000-0005-0000-0000-00003F100000}"/>
    <cellStyle name="Comma 2 2 2 7 2 8 2" xfId="38851" xr:uid="{00000000-0005-0000-0000-000040100000}"/>
    <cellStyle name="Comma 2 2 2 7 2 9" xfId="24141" xr:uid="{00000000-0005-0000-0000-000041100000}"/>
    <cellStyle name="Comma 2 2 2 7 3" xfId="1474" xr:uid="{00000000-0005-0000-0000-000042100000}"/>
    <cellStyle name="Comma 2 2 2 7 3 10" xfId="22305" xr:uid="{00000000-0005-0000-0000-000043100000}"/>
    <cellStyle name="Comma 2 2 2 7 3 2" xfId="3922" xr:uid="{00000000-0005-0000-0000-000044100000}"/>
    <cellStyle name="Comma 2 2 2 7 3 2 2" xfId="19857" xr:uid="{00000000-0005-0000-0000-000045100000}"/>
    <cellStyle name="Comma 2 2 2 7 3 2 2 2" xfId="43135" xr:uid="{00000000-0005-0000-0000-000046100000}"/>
    <cellStyle name="Comma 2 2 2 7 3 2 3" xfId="48031" xr:uid="{00000000-0005-0000-0000-000047100000}"/>
    <cellStyle name="Comma 2 2 2 7 3 2 4" xfId="27201" xr:uid="{00000000-0005-0000-0000-000048100000}"/>
    <cellStyle name="Comma 2 2 2 7 3 3" xfId="6370" xr:uid="{00000000-0005-0000-0000-000049100000}"/>
    <cellStyle name="Comma 2 2 2 7 3 3 2" xfId="29649" xr:uid="{00000000-0005-0000-0000-00004A100000}"/>
    <cellStyle name="Comma 2 2 2 7 3 4" xfId="8818" xr:uid="{00000000-0005-0000-0000-00004B100000}"/>
    <cellStyle name="Comma 2 2 2 7 3 4 2" xfId="32097" xr:uid="{00000000-0005-0000-0000-00004C100000}"/>
    <cellStyle name="Comma 2 2 2 7 3 5" xfId="11266" xr:uid="{00000000-0005-0000-0000-00004D100000}"/>
    <cellStyle name="Comma 2 2 2 7 3 5 2" xfId="34545" xr:uid="{00000000-0005-0000-0000-00004E100000}"/>
    <cellStyle name="Comma 2 2 2 7 3 6" xfId="13714" xr:uid="{00000000-0005-0000-0000-00004F100000}"/>
    <cellStyle name="Comma 2 2 2 7 3 6 2" xfId="36993" xr:uid="{00000000-0005-0000-0000-000050100000}"/>
    <cellStyle name="Comma 2 2 2 7 3 7" xfId="17409" xr:uid="{00000000-0005-0000-0000-000051100000}"/>
    <cellStyle name="Comma 2 2 2 7 3 7 2" xfId="40687" xr:uid="{00000000-0005-0000-0000-000052100000}"/>
    <cellStyle name="Comma 2 2 2 7 3 8" xfId="24753" xr:uid="{00000000-0005-0000-0000-000053100000}"/>
    <cellStyle name="Comma 2 2 2 7 3 9" xfId="45583" xr:uid="{00000000-0005-0000-0000-000054100000}"/>
    <cellStyle name="Comma 2 2 2 7 4" xfId="2698" xr:uid="{00000000-0005-0000-0000-000055100000}"/>
    <cellStyle name="Comma 2 2 2 7 4 2" xfId="16185" xr:uid="{00000000-0005-0000-0000-000056100000}"/>
    <cellStyle name="Comma 2 2 2 7 4 2 2" xfId="39463" xr:uid="{00000000-0005-0000-0000-000057100000}"/>
    <cellStyle name="Comma 2 2 2 7 4 3" xfId="46807" xr:uid="{00000000-0005-0000-0000-000058100000}"/>
    <cellStyle name="Comma 2 2 2 7 4 4" xfId="25977" xr:uid="{00000000-0005-0000-0000-000059100000}"/>
    <cellStyle name="Comma 2 2 2 7 5" xfId="5146" xr:uid="{00000000-0005-0000-0000-00005A100000}"/>
    <cellStyle name="Comma 2 2 2 7 5 2" xfId="18633" xr:uid="{00000000-0005-0000-0000-00005B100000}"/>
    <cellStyle name="Comma 2 2 2 7 5 2 2" xfId="41911" xr:uid="{00000000-0005-0000-0000-00005C100000}"/>
    <cellStyle name="Comma 2 2 2 7 5 3" xfId="28425" xr:uid="{00000000-0005-0000-0000-00005D100000}"/>
    <cellStyle name="Comma 2 2 2 7 6" xfId="7594" xr:uid="{00000000-0005-0000-0000-00005E100000}"/>
    <cellStyle name="Comma 2 2 2 7 6 2" xfId="30873" xr:uid="{00000000-0005-0000-0000-00005F100000}"/>
    <cellStyle name="Comma 2 2 2 7 7" xfId="10042" xr:uid="{00000000-0005-0000-0000-000060100000}"/>
    <cellStyle name="Comma 2 2 2 7 7 2" xfId="33321" xr:uid="{00000000-0005-0000-0000-000061100000}"/>
    <cellStyle name="Comma 2 2 2 7 8" xfId="12490" xr:uid="{00000000-0005-0000-0000-000062100000}"/>
    <cellStyle name="Comma 2 2 2 7 8 2" xfId="35769" xr:uid="{00000000-0005-0000-0000-000063100000}"/>
    <cellStyle name="Comma 2 2 2 7 9" xfId="14961" xr:uid="{00000000-0005-0000-0000-000064100000}"/>
    <cellStyle name="Comma 2 2 2 7 9 2" xfId="38239" xr:uid="{00000000-0005-0000-0000-000065100000}"/>
    <cellStyle name="Comma 2 2 2 8" xfId="454" xr:uid="{00000000-0005-0000-0000-000066100000}"/>
    <cellStyle name="Comma 2 2 2 8 10" xfId="23733" xr:uid="{00000000-0005-0000-0000-000067100000}"/>
    <cellStyle name="Comma 2 2 2 8 11" xfId="44563" xr:uid="{00000000-0005-0000-0000-000068100000}"/>
    <cellStyle name="Comma 2 2 2 8 12" xfId="21285" xr:uid="{00000000-0005-0000-0000-000069100000}"/>
    <cellStyle name="Comma 2 2 2 8 2" xfId="1066" xr:uid="{00000000-0005-0000-0000-00006A100000}"/>
    <cellStyle name="Comma 2 2 2 8 2 10" xfId="45175" xr:uid="{00000000-0005-0000-0000-00006B100000}"/>
    <cellStyle name="Comma 2 2 2 8 2 11" xfId="21897" xr:uid="{00000000-0005-0000-0000-00006C100000}"/>
    <cellStyle name="Comma 2 2 2 8 2 2" xfId="2290" xr:uid="{00000000-0005-0000-0000-00006D100000}"/>
    <cellStyle name="Comma 2 2 2 8 2 2 10" xfId="23121" xr:uid="{00000000-0005-0000-0000-00006E100000}"/>
    <cellStyle name="Comma 2 2 2 8 2 2 2" xfId="4738" xr:uid="{00000000-0005-0000-0000-00006F100000}"/>
    <cellStyle name="Comma 2 2 2 8 2 2 2 2" xfId="20673" xr:uid="{00000000-0005-0000-0000-000070100000}"/>
    <cellStyle name="Comma 2 2 2 8 2 2 2 2 2" xfId="43951" xr:uid="{00000000-0005-0000-0000-000071100000}"/>
    <cellStyle name="Comma 2 2 2 8 2 2 2 3" xfId="48847" xr:uid="{00000000-0005-0000-0000-000072100000}"/>
    <cellStyle name="Comma 2 2 2 8 2 2 2 4" xfId="28017" xr:uid="{00000000-0005-0000-0000-000073100000}"/>
    <cellStyle name="Comma 2 2 2 8 2 2 3" xfId="7186" xr:uid="{00000000-0005-0000-0000-000074100000}"/>
    <cellStyle name="Comma 2 2 2 8 2 2 3 2" xfId="30465" xr:uid="{00000000-0005-0000-0000-000075100000}"/>
    <cellStyle name="Comma 2 2 2 8 2 2 4" xfId="9634" xr:uid="{00000000-0005-0000-0000-000076100000}"/>
    <cellStyle name="Comma 2 2 2 8 2 2 4 2" xfId="32913" xr:uid="{00000000-0005-0000-0000-000077100000}"/>
    <cellStyle name="Comma 2 2 2 8 2 2 5" xfId="12082" xr:uid="{00000000-0005-0000-0000-000078100000}"/>
    <cellStyle name="Comma 2 2 2 8 2 2 5 2" xfId="35361" xr:uid="{00000000-0005-0000-0000-000079100000}"/>
    <cellStyle name="Comma 2 2 2 8 2 2 6" xfId="14530" xr:uid="{00000000-0005-0000-0000-00007A100000}"/>
    <cellStyle name="Comma 2 2 2 8 2 2 6 2" xfId="37809" xr:uid="{00000000-0005-0000-0000-00007B100000}"/>
    <cellStyle name="Comma 2 2 2 8 2 2 7" xfId="18225" xr:uid="{00000000-0005-0000-0000-00007C100000}"/>
    <cellStyle name="Comma 2 2 2 8 2 2 7 2" xfId="41503" xr:uid="{00000000-0005-0000-0000-00007D100000}"/>
    <cellStyle name="Comma 2 2 2 8 2 2 8" xfId="25569" xr:uid="{00000000-0005-0000-0000-00007E100000}"/>
    <cellStyle name="Comma 2 2 2 8 2 2 9" xfId="46399" xr:uid="{00000000-0005-0000-0000-00007F100000}"/>
    <cellStyle name="Comma 2 2 2 8 2 3" xfId="3514" xr:uid="{00000000-0005-0000-0000-000080100000}"/>
    <cellStyle name="Comma 2 2 2 8 2 3 2" xfId="17001" xr:uid="{00000000-0005-0000-0000-000081100000}"/>
    <cellStyle name="Comma 2 2 2 8 2 3 2 2" xfId="40279" xr:uid="{00000000-0005-0000-0000-000082100000}"/>
    <cellStyle name="Comma 2 2 2 8 2 3 3" xfId="47623" xr:uid="{00000000-0005-0000-0000-000083100000}"/>
    <cellStyle name="Comma 2 2 2 8 2 3 4" xfId="26793" xr:uid="{00000000-0005-0000-0000-000084100000}"/>
    <cellStyle name="Comma 2 2 2 8 2 4" xfId="5962" xr:uid="{00000000-0005-0000-0000-000085100000}"/>
    <cellStyle name="Comma 2 2 2 8 2 4 2" xfId="19449" xr:uid="{00000000-0005-0000-0000-000086100000}"/>
    <cellStyle name="Comma 2 2 2 8 2 4 2 2" xfId="42727" xr:uid="{00000000-0005-0000-0000-000087100000}"/>
    <cellStyle name="Comma 2 2 2 8 2 4 3" xfId="29241" xr:uid="{00000000-0005-0000-0000-000088100000}"/>
    <cellStyle name="Comma 2 2 2 8 2 5" xfId="8410" xr:uid="{00000000-0005-0000-0000-000089100000}"/>
    <cellStyle name="Comma 2 2 2 8 2 5 2" xfId="31689" xr:uid="{00000000-0005-0000-0000-00008A100000}"/>
    <cellStyle name="Comma 2 2 2 8 2 6" xfId="10858" xr:uid="{00000000-0005-0000-0000-00008B100000}"/>
    <cellStyle name="Comma 2 2 2 8 2 6 2" xfId="34137" xr:uid="{00000000-0005-0000-0000-00008C100000}"/>
    <cellStyle name="Comma 2 2 2 8 2 7" xfId="13306" xr:uid="{00000000-0005-0000-0000-00008D100000}"/>
    <cellStyle name="Comma 2 2 2 8 2 7 2" xfId="36585" xr:uid="{00000000-0005-0000-0000-00008E100000}"/>
    <cellStyle name="Comma 2 2 2 8 2 8" xfId="15777" xr:uid="{00000000-0005-0000-0000-00008F100000}"/>
    <cellStyle name="Comma 2 2 2 8 2 8 2" xfId="39055" xr:uid="{00000000-0005-0000-0000-000090100000}"/>
    <cellStyle name="Comma 2 2 2 8 2 9" xfId="24345" xr:uid="{00000000-0005-0000-0000-000091100000}"/>
    <cellStyle name="Comma 2 2 2 8 3" xfId="1678" xr:uid="{00000000-0005-0000-0000-000092100000}"/>
    <cellStyle name="Comma 2 2 2 8 3 10" xfId="22509" xr:uid="{00000000-0005-0000-0000-000093100000}"/>
    <cellStyle name="Comma 2 2 2 8 3 2" xfId="4126" xr:uid="{00000000-0005-0000-0000-000094100000}"/>
    <cellStyle name="Comma 2 2 2 8 3 2 2" xfId="20061" xr:uid="{00000000-0005-0000-0000-000095100000}"/>
    <cellStyle name="Comma 2 2 2 8 3 2 2 2" xfId="43339" xr:uid="{00000000-0005-0000-0000-000096100000}"/>
    <cellStyle name="Comma 2 2 2 8 3 2 3" xfId="48235" xr:uid="{00000000-0005-0000-0000-000097100000}"/>
    <cellStyle name="Comma 2 2 2 8 3 2 4" xfId="27405" xr:uid="{00000000-0005-0000-0000-000098100000}"/>
    <cellStyle name="Comma 2 2 2 8 3 3" xfId="6574" xr:uid="{00000000-0005-0000-0000-000099100000}"/>
    <cellStyle name="Comma 2 2 2 8 3 3 2" xfId="29853" xr:uid="{00000000-0005-0000-0000-00009A100000}"/>
    <cellStyle name="Comma 2 2 2 8 3 4" xfId="9022" xr:uid="{00000000-0005-0000-0000-00009B100000}"/>
    <cellStyle name="Comma 2 2 2 8 3 4 2" xfId="32301" xr:uid="{00000000-0005-0000-0000-00009C100000}"/>
    <cellStyle name="Comma 2 2 2 8 3 5" xfId="11470" xr:uid="{00000000-0005-0000-0000-00009D100000}"/>
    <cellStyle name="Comma 2 2 2 8 3 5 2" xfId="34749" xr:uid="{00000000-0005-0000-0000-00009E100000}"/>
    <cellStyle name="Comma 2 2 2 8 3 6" xfId="13918" xr:uid="{00000000-0005-0000-0000-00009F100000}"/>
    <cellStyle name="Comma 2 2 2 8 3 6 2" xfId="37197" xr:uid="{00000000-0005-0000-0000-0000A0100000}"/>
    <cellStyle name="Comma 2 2 2 8 3 7" xfId="17613" xr:uid="{00000000-0005-0000-0000-0000A1100000}"/>
    <cellStyle name="Comma 2 2 2 8 3 7 2" xfId="40891" xr:uid="{00000000-0005-0000-0000-0000A2100000}"/>
    <cellStyle name="Comma 2 2 2 8 3 8" xfId="24957" xr:uid="{00000000-0005-0000-0000-0000A3100000}"/>
    <cellStyle name="Comma 2 2 2 8 3 9" xfId="45787" xr:uid="{00000000-0005-0000-0000-0000A4100000}"/>
    <cellStyle name="Comma 2 2 2 8 4" xfId="2902" xr:uid="{00000000-0005-0000-0000-0000A5100000}"/>
    <cellStyle name="Comma 2 2 2 8 4 2" xfId="16389" xr:uid="{00000000-0005-0000-0000-0000A6100000}"/>
    <cellStyle name="Comma 2 2 2 8 4 2 2" xfId="39667" xr:uid="{00000000-0005-0000-0000-0000A7100000}"/>
    <cellStyle name="Comma 2 2 2 8 4 3" xfId="47011" xr:uid="{00000000-0005-0000-0000-0000A8100000}"/>
    <cellStyle name="Comma 2 2 2 8 4 4" xfId="26181" xr:uid="{00000000-0005-0000-0000-0000A9100000}"/>
    <cellStyle name="Comma 2 2 2 8 5" xfId="5350" xr:uid="{00000000-0005-0000-0000-0000AA100000}"/>
    <cellStyle name="Comma 2 2 2 8 5 2" xfId="18837" xr:uid="{00000000-0005-0000-0000-0000AB100000}"/>
    <cellStyle name="Comma 2 2 2 8 5 2 2" xfId="42115" xr:uid="{00000000-0005-0000-0000-0000AC100000}"/>
    <cellStyle name="Comma 2 2 2 8 5 3" xfId="28629" xr:uid="{00000000-0005-0000-0000-0000AD100000}"/>
    <cellStyle name="Comma 2 2 2 8 6" xfId="7798" xr:uid="{00000000-0005-0000-0000-0000AE100000}"/>
    <cellStyle name="Comma 2 2 2 8 6 2" xfId="31077" xr:uid="{00000000-0005-0000-0000-0000AF100000}"/>
    <cellStyle name="Comma 2 2 2 8 7" xfId="10246" xr:uid="{00000000-0005-0000-0000-0000B0100000}"/>
    <cellStyle name="Comma 2 2 2 8 7 2" xfId="33525" xr:uid="{00000000-0005-0000-0000-0000B1100000}"/>
    <cellStyle name="Comma 2 2 2 8 8" xfId="12694" xr:uid="{00000000-0005-0000-0000-0000B2100000}"/>
    <cellStyle name="Comma 2 2 2 8 8 2" xfId="35973" xr:uid="{00000000-0005-0000-0000-0000B3100000}"/>
    <cellStyle name="Comma 2 2 2 8 9" xfId="15165" xr:uid="{00000000-0005-0000-0000-0000B4100000}"/>
    <cellStyle name="Comma 2 2 2 8 9 2" xfId="38443" xr:uid="{00000000-0005-0000-0000-0000B5100000}"/>
    <cellStyle name="Comma 2 2 2 9" xfId="658" xr:uid="{00000000-0005-0000-0000-0000B6100000}"/>
    <cellStyle name="Comma 2 2 2 9 10" xfId="44767" xr:uid="{00000000-0005-0000-0000-0000B7100000}"/>
    <cellStyle name="Comma 2 2 2 9 11" xfId="21489" xr:uid="{00000000-0005-0000-0000-0000B8100000}"/>
    <cellStyle name="Comma 2 2 2 9 2" xfId="1882" xr:uid="{00000000-0005-0000-0000-0000B9100000}"/>
    <cellStyle name="Comma 2 2 2 9 2 10" xfId="22713" xr:uid="{00000000-0005-0000-0000-0000BA100000}"/>
    <cellStyle name="Comma 2 2 2 9 2 2" xfId="4330" xr:uid="{00000000-0005-0000-0000-0000BB100000}"/>
    <cellStyle name="Comma 2 2 2 9 2 2 2" xfId="20265" xr:uid="{00000000-0005-0000-0000-0000BC100000}"/>
    <cellStyle name="Comma 2 2 2 9 2 2 2 2" xfId="43543" xr:uid="{00000000-0005-0000-0000-0000BD100000}"/>
    <cellStyle name="Comma 2 2 2 9 2 2 3" xfId="48439" xr:uid="{00000000-0005-0000-0000-0000BE100000}"/>
    <cellStyle name="Comma 2 2 2 9 2 2 4" xfId="27609" xr:uid="{00000000-0005-0000-0000-0000BF100000}"/>
    <cellStyle name="Comma 2 2 2 9 2 3" xfId="6778" xr:uid="{00000000-0005-0000-0000-0000C0100000}"/>
    <cellStyle name="Comma 2 2 2 9 2 3 2" xfId="30057" xr:uid="{00000000-0005-0000-0000-0000C1100000}"/>
    <cellStyle name="Comma 2 2 2 9 2 4" xfId="9226" xr:uid="{00000000-0005-0000-0000-0000C2100000}"/>
    <cellStyle name="Comma 2 2 2 9 2 4 2" xfId="32505" xr:uid="{00000000-0005-0000-0000-0000C3100000}"/>
    <cellStyle name="Comma 2 2 2 9 2 5" xfId="11674" xr:uid="{00000000-0005-0000-0000-0000C4100000}"/>
    <cellStyle name="Comma 2 2 2 9 2 5 2" xfId="34953" xr:uid="{00000000-0005-0000-0000-0000C5100000}"/>
    <cellStyle name="Comma 2 2 2 9 2 6" xfId="14122" xr:uid="{00000000-0005-0000-0000-0000C6100000}"/>
    <cellStyle name="Comma 2 2 2 9 2 6 2" xfId="37401" xr:uid="{00000000-0005-0000-0000-0000C7100000}"/>
    <cellStyle name="Comma 2 2 2 9 2 7" xfId="17817" xr:uid="{00000000-0005-0000-0000-0000C8100000}"/>
    <cellStyle name="Comma 2 2 2 9 2 7 2" xfId="41095" xr:uid="{00000000-0005-0000-0000-0000C9100000}"/>
    <cellStyle name="Comma 2 2 2 9 2 8" xfId="25161" xr:uid="{00000000-0005-0000-0000-0000CA100000}"/>
    <cellStyle name="Comma 2 2 2 9 2 9" xfId="45991" xr:uid="{00000000-0005-0000-0000-0000CB100000}"/>
    <cellStyle name="Comma 2 2 2 9 3" xfId="3106" xr:uid="{00000000-0005-0000-0000-0000CC100000}"/>
    <cellStyle name="Comma 2 2 2 9 3 2" xfId="16593" xr:uid="{00000000-0005-0000-0000-0000CD100000}"/>
    <cellStyle name="Comma 2 2 2 9 3 2 2" xfId="39871" xr:uid="{00000000-0005-0000-0000-0000CE100000}"/>
    <cellStyle name="Comma 2 2 2 9 3 3" xfId="47215" xr:uid="{00000000-0005-0000-0000-0000CF100000}"/>
    <cellStyle name="Comma 2 2 2 9 3 4" xfId="26385" xr:uid="{00000000-0005-0000-0000-0000D0100000}"/>
    <cellStyle name="Comma 2 2 2 9 4" xfId="5554" xr:uid="{00000000-0005-0000-0000-0000D1100000}"/>
    <cellStyle name="Comma 2 2 2 9 4 2" xfId="19041" xr:uid="{00000000-0005-0000-0000-0000D2100000}"/>
    <cellStyle name="Comma 2 2 2 9 4 2 2" xfId="42319" xr:uid="{00000000-0005-0000-0000-0000D3100000}"/>
    <cellStyle name="Comma 2 2 2 9 4 3" xfId="28833" xr:uid="{00000000-0005-0000-0000-0000D4100000}"/>
    <cellStyle name="Comma 2 2 2 9 5" xfId="8002" xr:uid="{00000000-0005-0000-0000-0000D5100000}"/>
    <cellStyle name="Comma 2 2 2 9 5 2" xfId="31281" xr:uid="{00000000-0005-0000-0000-0000D6100000}"/>
    <cellStyle name="Comma 2 2 2 9 6" xfId="10450" xr:uid="{00000000-0005-0000-0000-0000D7100000}"/>
    <cellStyle name="Comma 2 2 2 9 6 2" xfId="33729" xr:uid="{00000000-0005-0000-0000-0000D8100000}"/>
    <cellStyle name="Comma 2 2 2 9 7" xfId="12898" xr:uid="{00000000-0005-0000-0000-0000D9100000}"/>
    <cellStyle name="Comma 2 2 2 9 7 2" xfId="36177" xr:uid="{00000000-0005-0000-0000-0000DA100000}"/>
    <cellStyle name="Comma 2 2 2 9 8" xfId="15369" xr:uid="{00000000-0005-0000-0000-0000DB100000}"/>
    <cellStyle name="Comma 2 2 2 9 8 2" xfId="38647" xr:uid="{00000000-0005-0000-0000-0000DC100000}"/>
    <cellStyle name="Comma 2 2 2 9 9" xfId="23937" xr:uid="{00000000-0005-0000-0000-0000DD100000}"/>
    <cellStyle name="Comma 2 2 20" xfId="9835" xr:uid="{00000000-0005-0000-0000-0000DE100000}"/>
    <cellStyle name="Comma 2 2 20 2" xfId="33114" xr:uid="{00000000-0005-0000-0000-0000DF100000}"/>
    <cellStyle name="Comma 2 2 21" xfId="12283" xr:uid="{00000000-0005-0000-0000-0000E0100000}"/>
    <cellStyle name="Comma 2 2 21 2" xfId="35562" xr:uid="{00000000-0005-0000-0000-0000E1100000}"/>
    <cellStyle name="Comma 2 2 22" xfId="14731" xr:uid="{00000000-0005-0000-0000-0000E2100000}"/>
    <cellStyle name="Comma 2 2 22 2" xfId="38010" xr:uid="{00000000-0005-0000-0000-0000E3100000}"/>
    <cellStyle name="Comma 2 2 23" xfId="23322" xr:uid="{00000000-0005-0000-0000-0000E4100000}"/>
    <cellStyle name="Comma 2 2 24" xfId="44152" xr:uid="{00000000-0005-0000-0000-0000E5100000}"/>
    <cellStyle name="Comma 2 2 25" xfId="20874" xr:uid="{00000000-0005-0000-0000-0000E6100000}"/>
    <cellStyle name="Comma 2 2 26" xfId="49049" xr:uid="{00000000-0005-0000-0000-0000E7100000}"/>
    <cellStyle name="Comma 2 2 27" xfId="49070" xr:uid="{00000000-0005-0000-0000-0000E8100000}"/>
    <cellStyle name="Comma 2 2 3" xfId="50" xr:uid="{00000000-0005-0000-0000-0000E9100000}"/>
    <cellStyle name="Comma 2 2 3 10" xfId="1274" xr:uid="{00000000-0005-0000-0000-0000EA100000}"/>
    <cellStyle name="Comma 2 2 3 10 10" xfId="22105" xr:uid="{00000000-0005-0000-0000-0000EB100000}"/>
    <cellStyle name="Comma 2 2 3 10 2" xfId="3722" xr:uid="{00000000-0005-0000-0000-0000EC100000}"/>
    <cellStyle name="Comma 2 2 3 10 2 2" xfId="17209" xr:uid="{00000000-0005-0000-0000-0000ED100000}"/>
    <cellStyle name="Comma 2 2 3 10 2 2 2" xfId="40487" xr:uid="{00000000-0005-0000-0000-0000EE100000}"/>
    <cellStyle name="Comma 2 2 3 10 2 3" xfId="47831" xr:uid="{00000000-0005-0000-0000-0000EF100000}"/>
    <cellStyle name="Comma 2 2 3 10 2 4" xfId="27001" xr:uid="{00000000-0005-0000-0000-0000F0100000}"/>
    <cellStyle name="Comma 2 2 3 10 3" xfId="6170" xr:uid="{00000000-0005-0000-0000-0000F1100000}"/>
    <cellStyle name="Comma 2 2 3 10 3 2" xfId="19657" xr:uid="{00000000-0005-0000-0000-0000F2100000}"/>
    <cellStyle name="Comma 2 2 3 10 3 2 2" xfId="42935" xr:uid="{00000000-0005-0000-0000-0000F3100000}"/>
    <cellStyle name="Comma 2 2 3 10 3 3" xfId="29449" xr:uid="{00000000-0005-0000-0000-0000F4100000}"/>
    <cellStyle name="Comma 2 2 3 10 4" xfId="8618" xr:uid="{00000000-0005-0000-0000-0000F5100000}"/>
    <cellStyle name="Comma 2 2 3 10 4 2" xfId="31897" xr:uid="{00000000-0005-0000-0000-0000F6100000}"/>
    <cellStyle name="Comma 2 2 3 10 5" xfId="11066" xr:uid="{00000000-0005-0000-0000-0000F7100000}"/>
    <cellStyle name="Comma 2 2 3 10 5 2" xfId="34345" xr:uid="{00000000-0005-0000-0000-0000F8100000}"/>
    <cellStyle name="Comma 2 2 3 10 6" xfId="13514" xr:uid="{00000000-0005-0000-0000-0000F9100000}"/>
    <cellStyle name="Comma 2 2 3 10 6 2" xfId="36793" xr:uid="{00000000-0005-0000-0000-0000FA100000}"/>
    <cellStyle name="Comma 2 2 3 10 7" xfId="14761" xr:uid="{00000000-0005-0000-0000-0000FB100000}"/>
    <cellStyle name="Comma 2 2 3 10 7 2" xfId="38039" xr:uid="{00000000-0005-0000-0000-0000FC100000}"/>
    <cellStyle name="Comma 2 2 3 10 8" xfId="24553" xr:uid="{00000000-0005-0000-0000-0000FD100000}"/>
    <cellStyle name="Comma 2 2 3 10 9" xfId="45383" xr:uid="{00000000-0005-0000-0000-0000FE100000}"/>
    <cellStyle name="Comma 2 2 3 11" xfId="2498" xr:uid="{00000000-0005-0000-0000-0000FF100000}"/>
    <cellStyle name="Comma 2 2 3 11 2" xfId="15985" xr:uid="{00000000-0005-0000-0000-000000110000}"/>
    <cellStyle name="Comma 2 2 3 11 2 2" xfId="39263" xr:uid="{00000000-0005-0000-0000-000001110000}"/>
    <cellStyle name="Comma 2 2 3 11 3" xfId="46607" xr:uid="{00000000-0005-0000-0000-000002110000}"/>
    <cellStyle name="Comma 2 2 3 11 4" xfId="25777" xr:uid="{00000000-0005-0000-0000-000003110000}"/>
    <cellStyle name="Comma 2 2 3 12" xfId="4946" xr:uid="{00000000-0005-0000-0000-000004110000}"/>
    <cellStyle name="Comma 2 2 3 12 2" xfId="18433" xr:uid="{00000000-0005-0000-0000-000005110000}"/>
    <cellStyle name="Comma 2 2 3 12 2 2" xfId="41711" xr:uid="{00000000-0005-0000-0000-000006110000}"/>
    <cellStyle name="Comma 2 2 3 12 3" xfId="28225" xr:uid="{00000000-0005-0000-0000-000007110000}"/>
    <cellStyle name="Comma 2 2 3 13" xfId="7394" xr:uid="{00000000-0005-0000-0000-000008110000}"/>
    <cellStyle name="Comma 2 2 3 13 2" xfId="30673" xr:uid="{00000000-0005-0000-0000-000009110000}"/>
    <cellStyle name="Comma 2 2 3 14" xfId="9842" xr:uid="{00000000-0005-0000-0000-00000A110000}"/>
    <cellStyle name="Comma 2 2 3 14 2" xfId="33121" xr:uid="{00000000-0005-0000-0000-00000B110000}"/>
    <cellStyle name="Comma 2 2 3 15" xfId="12290" xr:uid="{00000000-0005-0000-0000-00000C110000}"/>
    <cellStyle name="Comma 2 2 3 15 2" xfId="35569" xr:uid="{00000000-0005-0000-0000-00000D110000}"/>
    <cellStyle name="Comma 2 2 3 16" xfId="14744" xr:uid="{00000000-0005-0000-0000-00000E110000}"/>
    <cellStyle name="Comma 2 2 3 16 2" xfId="38022" xr:uid="{00000000-0005-0000-0000-00000F110000}"/>
    <cellStyle name="Comma 2 2 3 17" xfId="23329" xr:uid="{00000000-0005-0000-0000-000010110000}"/>
    <cellStyle name="Comma 2 2 3 18" xfId="44159" xr:uid="{00000000-0005-0000-0000-000011110000}"/>
    <cellStyle name="Comma 2 2 3 19" xfId="20881" xr:uid="{00000000-0005-0000-0000-000012110000}"/>
    <cellStyle name="Comma 2 2 3 2" xfId="67" xr:uid="{00000000-0005-0000-0000-000013110000}"/>
    <cellStyle name="Comma 2 2 3 2 10" xfId="7411" xr:uid="{00000000-0005-0000-0000-000014110000}"/>
    <cellStyle name="Comma 2 2 3 2 10 2" xfId="30690" xr:uid="{00000000-0005-0000-0000-000015110000}"/>
    <cellStyle name="Comma 2 2 3 2 11" xfId="9859" xr:uid="{00000000-0005-0000-0000-000016110000}"/>
    <cellStyle name="Comma 2 2 3 2 11 2" xfId="33138" xr:uid="{00000000-0005-0000-0000-000017110000}"/>
    <cellStyle name="Comma 2 2 3 2 12" xfId="12307" xr:uid="{00000000-0005-0000-0000-000018110000}"/>
    <cellStyle name="Comma 2 2 3 2 12 2" xfId="35586" xr:uid="{00000000-0005-0000-0000-000019110000}"/>
    <cellStyle name="Comma 2 2 3 2 13" xfId="14778" xr:uid="{00000000-0005-0000-0000-00001A110000}"/>
    <cellStyle name="Comma 2 2 3 2 13 2" xfId="38056" xr:uid="{00000000-0005-0000-0000-00001B110000}"/>
    <cellStyle name="Comma 2 2 3 2 14" xfId="23346" xr:uid="{00000000-0005-0000-0000-00001C110000}"/>
    <cellStyle name="Comma 2 2 3 2 15" xfId="44176" xr:uid="{00000000-0005-0000-0000-00001D110000}"/>
    <cellStyle name="Comma 2 2 3 2 16" xfId="20898" xr:uid="{00000000-0005-0000-0000-00001E110000}"/>
    <cellStyle name="Comma 2 2 3 2 2" xfId="135" xr:uid="{00000000-0005-0000-0000-00001F110000}"/>
    <cellStyle name="Comma 2 2 3 2 2 10" xfId="12375" xr:uid="{00000000-0005-0000-0000-000020110000}"/>
    <cellStyle name="Comma 2 2 3 2 2 10 2" xfId="35654" xr:uid="{00000000-0005-0000-0000-000021110000}"/>
    <cellStyle name="Comma 2 2 3 2 2 11" xfId="14846" xr:uid="{00000000-0005-0000-0000-000022110000}"/>
    <cellStyle name="Comma 2 2 3 2 2 11 2" xfId="38124" xr:uid="{00000000-0005-0000-0000-000023110000}"/>
    <cellStyle name="Comma 2 2 3 2 2 12" xfId="23414" xr:uid="{00000000-0005-0000-0000-000024110000}"/>
    <cellStyle name="Comma 2 2 3 2 2 13" xfId="44244" xr:uid="{00000000-0005-0000-0000-000025110000}"/>
    <cellStyle name="Comma 2 2 3 2 2 14" xfId="20966" xr:uid="{00000000-0005-0000-0000-000026110000}"/>
    <cellStyle name="Comma 2 2 3 2 2 2" xfId="339" xr:uid="{00000000-0005-0000-0000-000027110000}"/>
    <cellStyle name="Comma 2 2 3 2 2 2 10" xfId="23618" xr:uid="{00000000-0005-0000-0000-000028110000}"/>
    <cellStyle name="Comma 2 2 3 2 2 2 11" xfId="44448" xr:uid="{00000000-0005-0000-0000-000029110000}"/>
    <cellStyle name="Comma 2 2 3 2 2 2 12" xfId="21170" xr:uid="{00000000-0005-0000-0000-00002A110000}"/>
    <cellStyle name="Comma 2 2 3 2 2 2 2" xfId="951" xr:uid="{00000000-0005-0000-0000-00002B110000}"/>
    <cellStyle name="Comma 2 2 3 2 2 2 2 10" xfId="45060" xr:uid="{00000000-0005-0000-0000-00002C110000}"/>
    <cellStyle name="Comma 2 2 3 2 2 2 2 11" xfId="21782" xr:uid="{00000000-0005-0000-0000-00002D110000}"/>
    <cellStyle name="Comma 2 2 3 2 2 2 2 2" xfId="2175" xr:uid="{00000000-0005-0000-0000-00002E110000}"/>
    <cellStyle name="Comma 2 2 3 2 2 2 2 2 10" xfId="23006" xr:uid="{00000000-0005-0000-0000-00002F110000}"/>
    <cellStyle name="Comma 2 2 3 2 2 2 2 2 2" xfId="4623" xr:uid="{00000000-0005-0000-0000-000030110000}"/>
    <cellStyle name="Comma 2 2 3 2 2 2 2 2 2 2" xfId="20558" xr:uid="{00000000-0005-0000-0000-000031110000}"/>
    <cellStyle name="Comma 2 2 3 2 2 2 2 2 2 2 2" xfId="43836" xr:uid="{00000000-0005-0000-0000-000032110000}"/>
    <cellStyle name="Comma 2 2 3 2 2 2 2 2 2 3" xfId="48732" xr:uid="{00000000-0005-0000-0000-000033110000}"/>
    <cellStyle name="Comma 2 2 3 2 2 2 2 2 2 4" xfId="27902" xr:uid="{00000000-0005-0000-0000-000034110000}"/>
    <cellStyle name="Comma 2 2 3 2 2 2 2 2 3" xfId="7071" xr:uid="{00000000-0005-0000-0000-000035110000}"/>
    <cellStyle name="Comma 2 2 3 2 2 2 2 2 3 2" xfId="30350" xr:uid="{00000000-0005-0000-0000-000036110000}"/>
    <cellStyle name="Comma 2 2 3 2 2 2 2 2 4" xfId="9519" xr:uid="{00000000-0005-0000-0000-000037110000}"/>
    <cellStyle name="Comma 2 2 3 2 2 2 2 2 4 2" xfId="32798" xr:uid="{00000000-0005-0000-0000-000038110000}"/>
    <cellStyle name="Comma 2 2 3 2 2 2 2 2 5" xfId="11967" xr:uid="{00000000-0005-0000-0000-000039110000}"/>
    <cellStyle name="Comma 2 2 3 2 2 2 2 2 5 2" xfId="35246" xr:uid="{00000000-0005-0000-0000-00003A110000}"/>
    <cellStyle name="Comma 2 2 3 2 2 2 2 2 6" xfId="14415" xr:uid="{00000000-0005-0000-0000-00003B110000}"/>
    <cellStyle name="Comma 2 2 3 2 2 2 2 2 6 2" xfId="37694" xr:uid="{00000000-0005-0000-0000-00003C110000}"/>
    <cellStyle name="Comma 2 2 3 2 2 2 2 2 7" xfId="18110" xr:uid="{00000000-0005-0000-0000-00003D110000}"/>
    <cellStyle name="Comma 2 2 3 2 2 2 2 2 7 2" xfId="41388" xr:uid="{00000000-0005-0000-0000-00003E110000}"/>
    <cellStyle name="Comma 2 2 3 2 2 2 2 2 8" xfId="25454" xr:uid="{00000000-0005-0000-0000-00003F110000}"/>
    <cellStyle name="Comma 2 2 3 2 2 2 2 2 9" xfId="46284" xr:uid="{00000000-0005-0000-0000-000040110000}"/>
    <cellStyle name="Comma 2 2 3 2 2 2 2 3" xfId="3399" xr:uid="{00000000-0005-0000-0000-000041110000}"/>
    <cellStyle name="Comma 2 2 3 2 2 2 2 3 2" xfId="16886" xr:uid="{00000000-0005-0000-0000-000042110000}"/>
    <cellStyle name="Comma 2 2 3 2 2 2 2 3 2 2" xfId="40164" xr:uid="{00000000-0005-0000-0000-000043110000}"/>
    <cellStyle name="Comma 2 2 3 2 2 2 2 3 3" xfId="47508" xr:uid="{00000000-0005-0000-0000-000044110000}"/>
    <cellStyle name="Comma 2 2 3 2 2 2 2 3 4" xfId="26678" xr:uid="{00000000-0005-0000-0000-000045110000}"/>
    <cellStyle name="Comma 2 2 3 2 2 2 2 4" xfId="5847" xr:uid="{00000000-0005-0000-0000-000046110000}"/>
    <cellStyle name="Comma 2 2 3 2 2 2 2 4 2" xfId="19334" xr:uid="{00000000-0005-0000-0000-000047110000}"/>
    <cellStyle name="Comma 2 2 3 2 2 2 2 4 2 2" xfId="42612" xr:uid="{00000000-0005-0000-0000-000048110000}"/>
    <cellStyle name="Comma 2 2 3 2 2 2 2 4 3" xfId="29126" xr:uid="{00000000-0005-0000-0000-000049110000}"/>
    <cellStyle name="Comma 2 2 3 2 2 2 2 5" xfId="8295" xr:uid="{00000000-0005-0000-0000-00004A110000}"/>
    <cellStyle name="Comma 2 2 3 2 2 2 2 5 2" xfId="31574" xr:uid="{00000000-0005-0000-0000-00004B110000}"/>
    <cellStyle name="Comma 2 2 3 2 2 2 2 6" xfId="10743" xr:uid="{00000000-0005-0000-0000-00004C110000}"/>
    <cellStyle name="Comma 2 2 3 2 2 2 2 6 2" xfId="34022" xr:uid="{00000000-0005-0000-0000-00004D110000}"/>
    <cellStyle name="Comma 2 2 3 2 2 2 2 7" xfId="13191" xr:uid="{00000000-0005-0000-0000-00004E110000}"/>
    <cellStyle name="Comma 2 2 3 2 2 2 2 7 2" xfId="36470" xr:uid="{00000000-0005-0000-0000-00004F110000}"/>
    <cellStyle name="Comma 2 2 3 2 2 2 2 8" xfId="15662" xr:uid="{00000000-0005-0000-0000-000050110000}"/>
    <cellStyle name="Comma 2 2 3 2 2 2 2 8 2" xfId="38940" xr:uid="{00000000-0005-0000-0000-000051110000}"/>
    <cellStyle name="Comma 2 2 3 2 2 2 2 9" xfId="24230" xr:uid="{00000000-0005-0000-0000-000052110000}"/>
    <cellStyle name="Comma 2 2 3 2 2 2 3" xfId="1563" xr:uid="{00000000-0005-0000-0000-000053110000}"/>
    <cellStyle name="Comma 2 2 3 2 2 2 3 10" xfId="22394" xr:uid="{00000000-0005-0000-0000-000054110000}"/>
    <cellStyle name="Comma 2 2 3 2 2 2 3 2" xfId="4011" xr:uid="{00000000-0005-0000-0000-000055110000}"/>
    <cellStyle name="Comma 2 2 3 2 2 2 3 2 2" xfId="19946" xr:uid="{00000000-0005-0000-0000-000056110000}"/>
    <cellStyle name="Comma 2 2 3 2 2 2 3 2 2 2" xfId="43224" xr:uid="{00000000-0005-0000-0000-000057110000}"/>
    <cellStyle name="Comma 2 2 3 2 2 2 3 2 3" xfId="48120" xr:uid="{00000000-0005-0000-0000-000058110000}"/>
    <cellStyle name="Comma 2 2 3 2 2 2 3 2 4" xfId="27290" xr:uid="{00000000-0005-0000-0000-000059110000}"/>
    <cellStyle name="Comma 2 2 3 2 2 2 3 3" xfId="6459" xr:uid="{00000000-0005-0000-0000-00005A110000}"/>
    <cellStyle name="Comma 2 2 3 2 2 2 3 3 2" xfId="29738" xr:uid="{00000000-0005-0000-0000-00005B110000}"/>
    <cellStyle name="Comma 2 2 3 2 2 2 3 4" xfId="8907" xr:uid="{00000000-0005-0000-0000-00005C110000}"/>
    <cellStyle name="Comma 2 2 3 2 2 2 3 4 2" xfId="32186" xr:uid="{00000000-0005-0000-0000-00005D110000}"/>
    <cellStyle name="Comma 2 2 3 2 2 2 3 5" xfId="11355" xr:uid="{00000000-0005-0000-0000-00005E110000}"/>
    <cellStyle name="Comma 2 2 3 2 2 2 3 5 2" xfId="34634" xr:uid="{00000000-0005-0000-0000-00005F110000}"/>
    <cellStyle name="Comma 2 2 3 2 2 2 3 6" xfId="13803" xr:uid="{00000000-0005-0000-0000-000060110000}"/>
    <cellStyle name="Comma 2 2 3 2 2 2 3 6 2" xfId="37082" xr:uid="{00000000-0005-0000-0000-000061110000}"/>
    <cellStyle name="Comma 2 2 3 2 2 2 3 7" xfId="17498" xr:uid="{00000000-0005-0000-0000-000062110000}"/>
    <cellStyle name="Comma 2 2 3 2 2 2 3 7 2" xfId="40776" xr:uid="{00000000-0005-0000-0000-000063110000}"/>
    <cellStyle name="Comma 2 2 3 2 2 2 3 8" xfId="24842" xr:uid="{00000000-0005-0000-0000-000064110000}"/>
    <cellStyle name="Comma 2 2 3 2 2 2 3 9" xfId="45672" xr:uid="{00000000-0005-0000-0000-000065110000}"/>
    <cellStyle name="Comma 2 2 3 2 2 2 4" xfId="2787" xr:uid="{00000000-0005-0000-0000-000066110000}"/>
    <cellStyle name="Comma 2 2 3 2 2 2 4 2" xfId="16274" xr:uid="{00000000-0005-0000-0000-000067110000}"/>
    <cellStyle name="Comma 2 2 3 2 2 2 4 2 2" xfId="39552" xr:uid="{00000000-0005-0000-0000-000068110000}"/>
    <cellStyle name="Comma 2 2 3 2 2 2 4 3" xfId="46896" xr:uid="{00000000-0005-0000-0000-000069110000}"/>
    <cellStyle name="Comma 2 2 3 2 2 2 4 4" xfId="26066" xr:uid="{00000000-0005-0000-0000-00006A110000}"/>
    <cellStyle name="Comma 2 2 3 2 2 2 5" xfId="5235" xr:uid="{00000000-0005-0000-0000-00006B110000}"/>
    <cellStyle name="Comma 2 2 3 2 2 2 5 2" xfId="18722" xr:uid="{00000000-0005-0000-0000-00006C110000}"/>
    <cellStyle name="Comma 2 2 3 2 2 2 5 2 2" xfId="42000" xr:uid="{00000000-0005-0000-0000-00006D110000}"/>
    <cellStyle name="Comma 2 2 3 2 2 2 5 3" xfId="28514" xr:uid="{00000000-0005-0000-0000-00006E110000}"/>
    <cellStyle name="Comma 2 2 3 2 2 2 6" xfId="7683" xr:uid="{00000000-0005-0000-0000-00006F110000}"/>
    <cellStyle name="Comma 2 2 3 2 2 2 6 2" xfId="30962" xr:uid="{00000000-0005-0000-0000-000070110000}"/>
    <cellStyle name="Comma 2 2 3 2 2 2 7" xfId="10131" xr:uid="{00000000-0005-0000-0000-000071110000}"/>
    <cellStyle name="Comma 2 2 3 2 2 2 7 2" xfId="33410" xr:uid="{00000000-0005-0000-0000-000072110000}"/>
    <cellStyle name="Comma 2 2 3 2 2 2 8" xfId="12579" xr:uid="{00000000-0005-0000-0000-000073110000}"/>
    <cellStyle name="Comma 2 2 3 2 2 2 8 2" xfId="35858" xr:uid="{00000000-0005-0000-0000-000074110000}"/>
    <cellStyle name="Comma 2 2 3 2 2 2 9" xfId="15050" xr:uid="{00000000-0005-0000-0000-000075110000}"/>
    <cellStyle name="Comma 2 2 3 2 2 2 9 2" xfId="38328" xr:uid="{00000000-0005-0000-0000-000076110000}"/>
    <cellStyle name="Comma 2 2 3 2 2 3" xfId="543" xr:uid="{00000000-0005-0000-0000-000077110000}"/>
    <cellStyle name="Comma 2 2 3 2 2 3 10" xfId="23822" xr:uid="{00000000-0005-0000-0000-000078110000}"/>
    <cellStyle name="Comma 2 2 3 2 2 3 11" xfId="44652" xr:uid="{00000000-0005-0000-0000-000079110000}"/>
    <cellStyle name="Comma 2 2 3 2 2 3 12" xfId="21374" xr:uid="{00000000-0005-0000-0000-00007A110000}"/>
    <cellStyle name="Comma 2 2 3 2 2 3 2" xfId="1155" xr:uid="{00000000-0005-0000-0000-00007B110000}"/>
    <cellStyle name="Comma 2 2 3 2 2 3 2 10" xfId="45264" xr:uid="{00000000-0005-0000-0000-00007C110000}"/>
    <cellStyle name="Comma 2 2 3 2 2 3 2 11" xfId="21986" xr:uid="{00000000-0005-0000-0000-00007D110000}"/>
    <cellStyle name="Comma 2 2 3 2 2 3 2 2" xfId="2379" xr:uid="{00000000-0005-0000-0000-00007E110000}"/>
    <cellStyle name="Comma 2 2 3 2 2 3 2 2 10" xfId="23210" xr:uid="{00000000-0005-0000-0000-00007F110000}"/>
    <cellStyle name="Comma 2 2 3 2 2 3 2 2 2" xfId="4827" xr:uid="{00000000-0005-0000-0000-000080110000}"/>
    <cellStyle name="Comma 2 2 3 2 2 3 2 2 2 2" xfId="20762" xr:uid="{00000000-0005-0000-0000-000081110000}"/>
    <cellStyle name="Comma 2 2 3 2 2 3 2 2 2 2 2" xfId="44040" xr:uid="{00000000-0005-0000-0000-000082110000}"/>
    <cellStyle name="Comma 2 2 3 2 2 3 2 2 2 3" xfId="48936" xr:uid="{00000000-0005-0000-0000-000083110000}"/>
    <cellStyle name="Comma 2 2 3 2 2 3 2 2 2 4" xfId="28106" xr:uid="{00000000-0005-0000-0000-000084110000}"/>
    <cellStyle name="Comma 2 2 3 2 2 3 2 2 3" xfId="7275" xr:uid="{00000000-0005-0000-0000-000085110000}"/>
    <cellStyle name="Comma 2 2 3 2 2 3 2 2 3 2" xfId="30554" xr:uid="{00000000-0005-0000-0000-000086110000}"/>
    <cellStyle name="Comma 2 2 3 2 2 3 2 2 4" xfId="9723" xr:uid="{00000000-0005-0000-0000-000087110000}"/>
    <cellStyle name="Comma 2 2 3 2 2 3 2 2 4 2" xfId="33002" xr:uid="{00000000-0005-0000-0000-000088110000}"/>
    <cellStyle name="Comma 2 2 3 2 2 3 2 2 5" xfId="12171" xr:uid="{00000000-0005-0000-0000-000089110000}"/>
    <cellStyle name="Comma 2 2 3 2 2 3 2 2 5 2" xfId="35450" xr:uid="{00000000-0005-0000-0000-00008A110000}"/>
    <cellStyle name="Comma 2 2 3 2 2 3 2 2 6" xfId="14619" xr:uid="{00000000-0005-0000-0000-00008B110000}"/>
    <cellStyle name="Comma 2 2 3 2 2 3 2 2 6 2" xfId="37898" xr:uid="{00000000-0005-0000-0000-00008C110000}"/>
    <cellStyle name="Comma 2 2 3 2 2 3 2 2 7" xfId="18314" xr:uid="{00000000-0005-0000-0000-00008D110000}"/>
    <cellStyle name="Comma 2 2 3 2 2 3 2 2 7 2" xfId="41592" xr:uid="{00000000-0005-0000-0000-00008E110000}"/>
    <cellStyle name="Comma 2 2 3 2 2 3 2 2 8" xfId="25658" xr:uid="{00000000-0005-0000-0000-00008F110000}"/>
    <cellStyle name="Comma 2 2 3 2 2 3 2 2 9" xfId="46488" xr:uid="{00000000-0005-0000-0000-000090110000}"/>
    <cellStyle name="Comma 2 2 3 2 2 3 2 3" xfId="3603" xr:uid="{00000000-0005-0000-0000-000091110000}"/>
    <cellStyle name="Comma 2 2 3 2 2 3 2 3 2" xfId="17090" xr:uid="{00000000-0005-0000-0000-000092110000}"/>
    <cellStyle name="Comma 2 2 3 2 2 3 2 3 2 2" xfId="40368" xr:uid="{00000000-0005-0000-0000-000093110000}"/>
    <cellStyle name="Comma 2 2 3 2 2 3 2 3 3" xfId="47712" xr:uid="{00000000-0005-0000-0000-000094110000}"/>
    <cellStyle name="Comma 2 2 3 2 2 3 2 3 4" xfId="26882" xr:uid="{00000000-0005-0000-0000-000095110000}"/>
    <cellStyle name="Comma 2 2 3 2 2 3 2 4" xfId="6051" xr:uid="{00000000-0005-0000-0000-000096110000}"/>
    <cellStyle name="Comma 2 2 3 2 2 3 2 4 2" xfId="19538" xr:uid="{00000000-0005-0000-0000-000097110000}"/>
    <cellStyle name="Comma 2 2 3 2 2 3 2 4 2 2" xfId="42816" xr:uid="{00000000-0005-0000-0000-000098110000}"/>
    <cellStyle name="Comma 2 2 3 2 2 3 2 4 3" xfId="29330" xr:uid="{00000000-0005-0000-0000-000099110000}"/>
    <cellStyle name="Comma 2 2 3 2 2 3 2 5" xfId="8499" xr:uid="{00000000-0005-0000-0000-00009A110000}"/>
    <cellStyle name="Comma 2 2 3 2 2 3 2 5 2" xfId="31778" xr:uid="{00000000-0005-0000-0000-00009B110000}"/>
    <cellStyle name="Comma 2 2 3 2 2 3 2 6" xfId="10947" xr:uid="{00000000-0005-0000-0000-00009C110000}"/>
    <cellStyle name="Comma 2 2 3 2 2 3 2 6 2" xfId="34226" xr:uid="{00000000-0005-0000-0000-00009D110000}"/>
    <cellStyle name="Comma 2 2 3 2 2 3 2 7" xfId="13395" xr:uid="{00000000-0005-0000-0000-00009E110000}"/>
    <cellStyle name="Comma 2 2 3 2 2 3 2 7 2" xfId="36674" xr:uid="{00000000-0005-0000-0000-00009F110000}"/>
    <cellStyle name="Comma 2 2 3 2 2 3 2 8" xfId="15866" xr:uid="{00000000-0005-0000-0000-0000A0110000}"/>
    <cellStyle name="Comma 2 2 3 2 2 3 2 8 2" xfId="39144" xr:uid="{00000000-0005-0000-0000-0000A1110000}"/>
    <cellStyle name="Comma 2 2 3 2 2 3 2 9" xfId="24434" xr:uid="{00000000-0005-0000-0000-0000A2110000}"/>
    <cellStyle name="Comma 2 2 3 2 2 3 3" xfId="1767" xr:uid="{00000000-0005-0000-0000-0000A3110000}"/>
    <cellStyle name="Comma 2 2 3 2 2 3 3 10" xfId="22598" xr:uid="{00000000-0005-0000-0000-0000A4110000}"/>
    <cellStyle name="Comma 2 2 3 2 2 3 3 2" xfId="4215" xr:uid="{00000000-0005-0000-0000-0000A5110000}"/>
    <cellStyle name="Comma 2 2 3 2 2 3 3 2 2" xfId="20150" xr:uid="{00000000-0005-0000-0000-0000A6110000}"/>
    <cellStyle name="Comma 2 2 3 2 2 3 3 2 2 2" xfId="43428" xr:uid="{00000000-0005-0000-0000-0000A7110000}"/>
    <cellStyle name="Comma 2 2 3 2 2 3 3 2 3" xfId="48324" xr:uid="{00000000-0005-0000-0000-0000A8110000}"/>
    <cellStyle name="Comma 2 2 3 2 2 3 3 2 4" xfId="27494" xr:uid="{00000000-0005-0000-0000-0000A9110000}"/>
    <cellStyle name="Comma 2 2 3 2 2 3 3 3" xfId="6663" xr:uid="{00000000-0005-0000-0000-0000AA110000}"/>
    <cellStyle name="Comma 2 2 3 2 2 3 3 3 2" xfId="29942" xr:uid="{00000000-0005-0000-0000-0000AB110000}"/>
    <cellStyle name="Comma 2 2 3 2 2 3 3 4" xfId="9111" xr:uid="{00000000-0005-0000-0000-0000AC110000}"/>
    <cellStyle name="Comma 2 2 3 2 2 3 3 4 2" xfId="32390" xr:uid="{00000000-0005-0000-0000-0000AD110000}"/>
    <cellStyle name="Comma 2 2 3 2 2 3 3 5" xfId="11559" xr:uid="{00000000-0005-0000-0000-0000AE110000}"/>
    <cellStyle name="Comma 2 2 3 2 2 3 3 5 2" xfId="34838" xr:uid="{00000000-0005-0000-0000-0000AF110000}"/>
    <cellStyle name="Comma 2 2 3 2 2 3 3 6" xfId="14007" xr:uid="{00000000-0005-0000-0000-0000B0110000}"/>
    <cellStyle name="Comma 2 2 3 2 2 3 3 6 2" xfId="37286" xr:uid="{00000000-0005-0000-0000-0000B1110000}"/>
    <cellStyle name="Comma 2 2 3 2 2 3 3 7" xfId="17702" xr:uid="{00000000-0005-0000-0000-0000B2110000}"/>
    <cellStyle name="Comma 2 2 3 2 2 3 3 7 2" xfId="40980" xr:uid="{00000000-0005-0000-0000-0000B3110000}"/>
    <cellStyle name="Comma 2 2 3 2 2 3 3 8" xfId="25046" xr:uid="{00000000-0005-0000-0000-0000B4110000}"/>
    <cellStyle name="Comma 2 2 3 2 2 3 3 9" xfId="45876" xr:uid="{00000000-0005-0000-0000-0000B5110000}"/>
    <cellStyle name="Comma 2 2 3 2 2 3 4" xfId="2991" xr:uid="{00000000-0005-0000-0000-0000B6110000}"/>
    <cellStyle name="Comma 2 2 3 2 2 3 4 2" xfId="16478" xr:uid="{00000000-0005-0000-0000-0000B7110000}"/>
    <cellStyle name="Comma 2 2 3 2 2 3 4 2 2" xfId="39756" xr:uid="{00000000-0005-0000-0000-0000B8110000}"/>
    <cellStyle name="Comma 2 2 3 2 2 3 4 3" xfId="47100" xr:uid="{00000000-0005-0000-0000-0000B9110000}"/>
    <cellStyle name="Comma 2 2 3 2 2 3 4 4" xfId="26270" xr:uid="{00000000-0005-0000-0000-0000BA110000}"/>
    <cellStyle name="Comma 2 2 3 2 2 3 5" xfId="5439" xr:uid="{00000000-0005-0000-0000-0000BB110000}"/>
    <cellStyle name="Comma 2 2 3 2 2 3 5 2" xfId="18926" xr:uid="{00000000-0005-0000-0000-0000BC110000}"/>
    <cellStyle name="Comma 2 2 3 2 2 3 5 2 2" xfId="42204" xr:uid="{00000000-0005-0000-0000-0000BD110000}"/>
    <cellStyle name="Comma 2 2 3 2 2 3 5 3" xfId="28718" xr:uid="{00000000-0005-0000-0000-0000BE110000}"/>
    <cellStyle name="Comma 2 2 3 2 2 3 6" xfId="7887" xr:uid="{00000000-0005-0000-0000-0000BF110000}"/>
    <cellStyle name="Comma 2 2 3 2 2 3 6 2" xfId="31166" xr:uid="{00000000-0005-0000-0000-0000C0110000}"/>
    <cellStyle name="Comma 2 2 3 2 2 3 7" xfId="10335" xr:uid="{00000000-0005-0000-0000-0000C1110000}"/>
    <cellStyle name="Comma 2 2 3 2 2 3 7 2" xfId="33614" xr:uid="{00000000-0005-0000-0000-0000C2110000}"/>
    <cellStyle name="Comma 2 2 3 2 2 3 8" xfId="12783" xr:uid="{00000000-0005-0000-0000-0000C3110000}"/>
    <cellStyle name="Comma 2 2 3 2 2 3 8 2" xfId="36062" xr:uid="{00000000-0005-0000-0000-0000C4110000}"/>
    <cellStyle name="Comma 2 2 3 2 2 3 9" xfId="15254" xr:uid="{00000000-0005-0000-0000-0000C5110000}"/>
    <cellStyle name="Comma 2 2 3 2 2 3 9 2" xfId="38532" xr:uid="{00000000-0005-0000-0000-0000C6110000}"/>
    <cellStyle name="Comma 2 2 3 2 2 4" xfId="747" xr:uid="{00000000-0005-0000-0000-0000C7110000}"/>
    <cellStyle name="Comma 2 2 3 2 2 4 10" xfId="44856" xr:uid="{00000000-0005-0000-0000-0000C8110000}"/>
    <cellStyle name="Comma 2 2 3 2 2 4 11" xfId="21578" xr:uid="{00000000-0005-0000-0000-0000C9110000}"/>
    <cellStyle name="Comma 2 2 3 2 2 4 2" xfId="1971" xr:uid="{00000000-0005-0000-0000-0000CA110000}"/>
    <cellStyle name="Comma 2 2 3 2 2 4 2 10" xfId="22802" xr:uid="{00000000-0005-0000-0000-0000CB110000}"/>
    <cellStyle name="Comma 2 2 3 2 2 4 2 2" xfId="4419" xr:uid="{00000000-0005-0000-0000-0000CC110000}"/>
    <cellStyle name="Comma 2 2 3 2 2 4 2 2 2" xfId="20354" xr:uid="{00000000-0005-0000-0000-0000CD110000}"/>
    <cellStyle name="Comma 2 2 3 2 2 4 2 2 2 2" xfId="43632" xr:uid="{00000000-0005-0000-0000-0000CE110000}"/>
    <cellStyle name="Comma 2 2 3 2 2 4 2 2 3" xfId="48528" xr:uid="{00000000-0005-0000-0000-0000CF110000}"/>
    <cellStyle name="Comma 2 2 3 2 2 4 2 2 4" xfId="27698" xr:uid="{00000000-0005-0000-0000-0000D0110000}"/>
    <cellStyle name="Comma 2 2 3 2 2 4 2 3" xfId="6867" xr:uid="{00000000-0005-0000-0000-0000D1110000}"/>
    <cellStyle name="Comma 2 2 3 2 2 4 2 3 2" xfId="30146" xr:uid="{00000000-0005-0000-0000-0000D2110000}"/>
    <cellStyle name="Comma 2 2 3 2 2 4 2 4" xfId="9315" xr:uid="{00000000-0005-0000-0000-0000D3110000}"/>
    <cellStyle name="Comma 2 2 3 2 2 4 2 4 2" xfId="32594" xr:uid="{00000000-0005-0000-0000-0000D4110000}"/>
    <cellStyle name="Comma 2 2 3 2 2 4 2 5" xfId="11763" xr:uid="{00000000-0005-0000-0000-0000D5110000}"/>
    <cellStyle name="Comma 2 2 3 2 2 4 2 5 2" xfId="35042" xr:uid="{00000000-0005-0000-0000-0000D6110000}"/>
    <cellStyle name="Comma 2 2 3 2 2 4 2 6" xfId="14211" xr:uid="{00000000-0005-0000-0000-0000D7110000}"/>
    <cellStyle name="Comma 2 2 3 2 2 4 2 6 2" xfId="37490" xr:uid="{00000000-0005-0000-0000-0000D8110000}"/>
    <cellStyle name="Comma 2 2 3 2 2 4 2 7" xfId="17906" xr:uid="{00000000-0005-0000-0000-0000D9110000}"/>
    <cellStyle name="Comma 2 2 3 2 2 4 2 7 2" xfId="41184" xr:uid="{00000000-0005-0000-0000-0000DA110000}"/>
    <cellStyle name="Comma 2 2 3 2 2 4 2 8" xfId="25250" xr:uid="{00000000-0005-0000-0000-0000DB110000}"/>
    <cellStyle name="Comma 2 2 3 2 2 4 2 9" xfId="46080" xr:uid="{00000000-0005-0000-0000-0000DC110000}"/>
    <cellStyle name="Comma 2 2 3 2 2 4 3" xfId="3195" xr:uid="{00000000-0005-0000-0000-0000DD110000}"/>
    <cellStyle name="Comma 2 2 3 2 2 4 3 2" xfId="16682" xr:uid="{00000000-0005-0000-0000-0000DE110000}"/>
    <cellStyle name="Comma 2 2 3 2 2 4 3 2 2" xfId="39960" xr:uid="{00000000-0005-0000-0000-0000DF110000}"/>
    <cellStyle name="Comma 2 2 3 2 2 4 3 3" xfId="47304" xr:uid="{00000000-0005-0000-0000-0000E0110000}"/>
    <cellStyle name="Comma 2 2 3 2 2 4 3 4" xfId="26474" xr:uid="{00000000-0005-0000-0000-0000E1110000}"/>
    <cellStyle name="Comma 2 2 3 2 2 4 4" xfId="5643" xr:uid="{00000000-0005-0000-0000-0000E2110000}"/>
    <cellStyle name="Comma 2 2 3 2 2 4 4 2" xfId="19130" xr:uid="{00000000-0005-0000-0000-0000E3110000}"/>
    <cellStyle name="Comma 2 2 3 2 2 4 4 2 2" xfId="42408" xr:uid="{00000000-0005-0000-0000-0000E4110000}"/>
    <cellStyle name="Comma 2 2 3 2 2 4 4 3" xfId="28922" xr:uid="{00000000-0005-0000-0000-0000E5110000}"/>
    <cellStyle name="Comma 2 2 3 2 2 4 5" xfId="8091" xr:uid="{00000000-0005-0000-0000-0000E6110000}"/>
    <cellStyle name="Comma 2 2 3 2 2 4 5 2" xfId="31370" xr:uid="{00000000-0005-0000-0000-0000E7110000}"/>
    <cellStyle name="Comma 2 2 3 2 2 4 6" xfId="10539" xr:uid="{00000000-0005-0000-0000-0000E8110000}"/>
    <cellStyle name="Comma 2 2 3 2 2 4 6 2" xfId="33818" xr:uid="{00000000-0005-0000-0000-0000E9110000}"/>
    <cellStyle name="Comma 2 2 3 2 2 4 7" xfId="12987" xr:uid="{00000000-0005-0000-0000-0000EA110000}"/>
    <cellStyle name="Comma 2 2 3 2 2 4 7 2" xfId="36266" xr:uid="{00000000-0005-0000-0000-0000EB110000}"/>
    <cellStyle name="Comma 2 2 3 2 2 4 8" xfId="15458" xr:uid="{00000000-0005-0000-0000-0000EC110000}"/>
    <cellStyle name="Comma 2 2 3 2 2 4 8 2" xfId="38736" xr:uid="{00000000-0005-0000-0000-0000ED110000}"/>
    <cellStyle name="Comma 2 2 3 2 2 4 9" xfId="24026" xr:uid="{00000000-0005-0000-0000-0000EE110000}"/>
    <cellStyle name="Comma 2 2 3 2 2 5" xfId="1359" xr:uid="{00000000-0005-0000-0000-0000EF110000}"/>
    <cellStyle name="Comma 2 2 3 2 2 5 10" xfId="22190" xr:uid="{00000000-0005-0000-0000-0000F0110000}"/>
    <cellStyle name="Comma 2 2 3 2 2 5 2" xfId="3807" xr:uid="{00000000-0005-0000-0000-0000F1110000}"/>
    <cellStyle name="Comma 2 2 3 2 2 5 2 2" xfId="19742" xr:uid="{00000000-0005-0000-0000-0000F2110000}"/>
    <cellStyle name="Comma 2 2 3 2 2 5 2 2 2" xfId="43020" xr:uid="{00000000-0005-0000-0000-0000F3110000}"/>
    <cellStyle name="Comma 2 2 3 2 2 5 2 3" xfId="47916" xr:uid="{00000000-0005-0000-0000-0000F4110000}"/>
    <cellStyle name="Comma 2 2 3 2 2 5 2 4" xfId="27086" xr:uid="{00000000-0005-0000-0000-0000F5110000}"/>
    <cellStyle name="Comma 2 2 3 2 2 5 3" xfId="6255" xr:uid="{00000000-0005-0000-0000-0000F6110000}"/>
    <cellStyle name="Comma 2 2 3 2 2 5 3 2" xfId="29534" xr:uid="{00000000-0005-0000-0000-0000F7110000}"/>
    <cellStyle name="Comma 2 2 3 2 2 5 4" xfId="8703" xr:uid="{00000000-0005-0000-0000-0000F8110000}"/>
    <cellStyle name="Comma 2 2 3 2 2 5 4 2" xfId="31982" xr:uid="{00000000-0005-0000-0000-0000F9110000}"/>
    <cellStyle name="Comma 2 2 3 2 2 5 5" xfId="11151" xr:uid="{00000000-0005-0000-0000-0000FA110000}"/>
    <cellStyle name="Comma 2 2 3 2 2 5 5 2" xfId="34430" xr:uid="{00000000-0005-0000-0000-0000FB110000}"/>
    <cellStyle name="Comma 2 2 3 2 2 5 6" xfId="13599" xr:uid="{00000000-0005-0000-0000-0000FC110000}"/>
    <cellStyle name="Comma 2 2 3 2 2 5 6 2" xfId="36878" xr:uid="{00000000-0005-0000-0000-0000FD110000}"/>
    <cellStyle name="Comma 2 2 3 2 2 5 7" xfId="17294" xr:uid="{00000000-0005-0000-0000-0000FE110000}"/>
    <cellStyle name="Comma 2 2 3 2 2 5 7 2" xfId="40572" xr:uid="{00000000-0005-0000-0000-0000FF110000}"/>
    <cellStyle name="Comma 2 2 3 2 2 5 8" xfId="24638" xr:uid="{00000000-0005-0000-0000-000000120000}"/>
    <cellStyle name="Comma 2 2 3 2 2 5 9" xfId="45468" xr:uid="{00000000-0005-0000-0000-000001120000}"/>
    <cellStyle name="Comma 2 2 3 2 2 6" xfId="2583" xr:uid="{00000000-0005-0000-0000-000002120000}"/>
    <cellStyle name="Comma 2 2 3 2 2 6 2" xfId="16070" xr:uid="{00000000-0005-0000-0000-000003120000}"/>
    <cellStyle name="Comma 2 2 3 2 2 6 2 2" xfId="39348" xr:uid="{00000000-0005-0000-0000-000004120000}"/>
    <cellStyle name="Comma 2 2 3 2 2 6 3" xfId="46692" xr:uid="{00000000-0005-0000-0000-000005120000}"/>
    <cellStyle name="Comma 2 2 3 2 2 6 4" xfId="25862" xr:uid="{00000000-0005-0000-0000-000006120000}"/>
    <cellStyle name="Comma 2 2 3 2 2 7" xfId="5031" xr:uid="{00000000-0005-0000-0000-000007120000}"/>
    <cellStyle name="Comma 2 2 3 2 2 7 2" xfId="18518" xr:uid="{00000000-0005-0000-0000-000008120000}"/>
    <cellStyle name="Comma 2 2 3 2 2 7 2 2" xfId="41796" xr:uid="{00000000-0005-0000-0000-000009120000}"/>
    <cellStyle name="Comma 2 2 3 2 2 7 3" xfId="28310" xr:uid="{00000000-0005-0000-0000-00000A120000}"/>
    <cellStyle name="Comma 2 2 3 2 2 8" xfId="7479" xr:uid="{00000000-0005-0000-0000-00000B120000}"/>
    <cellStyle name="Comma 2 2 3 2 2 8 2" xfId="30758" xr:uid="{00000000-0005-0000-0000-00000C120000}"/>
    <cellStyle name="Comma 2 2 3 2 2 9" xfId="9927" xr:uid="{00000000-0005-0000-0000-00000D120000}"/>
    <cellStyle name="Comma 2 2 3 2 2 9 2" xfId="33206" xr:uid="{00000000-0005-0000-0000-00000E120000}"/>
    <cellStyle name="Comma 2 2 3 2 3" xfId="203" xr:uid="{00000000-0005-0000-0000-00000F120000}"/>
    <cellStyle name="Comma 2 2 3 2 3 10" xfId="12443" xr:uid="{00000000-0005-0000-0000-000010120000}"/>
    <cellStyle name="Comma 2 2 3 2 3 10 2" xfId="35722" xr:uid="{00000000-0005-0000-0000-000011120000}"/>
    <cellStyle name="Comma 2 2 3 2 3 11" xfId="14914" xr:uid="{00000000-0005-0000-0000-000012120000}"/>
    <cellStyle name="Comma 2 2 3 2 3 11 2" xfId="38192" xr:uid="{00000000-0005-0000-0000-000013120000}"/>
    <cellStyle name="Comma 2 2 3 2 3 12" xfId="23482" xr:uid="{00000000-0005-0000-0000-000014120000}"/>
    <cellStyle name="Comma 2 2 3 2 3 13" xfId="44312" xr:uid="{00000000-0005-0000-0000-000015120000}"/>
    <cellStyle name="Comma 2 2 3 2 3 14" xfId="21034" xr:uid="{00000000-0005-0000-0000-000016120000}"/>
    <cellStyle name="Comma 2 2 3 2 3 2" xfId="407" xr:uid="{00000000-0005-0000-0000-000017120000}"/>
    <cellStyle name="Comma 2 2 3 2 3 2 10" xfId="23686" xr:uid="{00000000-0005-0000-0000-000018120000}"/>
    <cellStyle name="Comma 2 2 3 2 3 2 11" xfId="44516" xr:uid="{00000000-0005-0000-0000-000019120000}"/>
    <cellStyle name="Comma 2 2 3 2 3 2 12" xfId="21238" xr:uid="{00000000-0005-0000-0000-00001A120000}"/>
    <cellStyle name="Comma 2 2 3 2 3 2 2" xfId="1019" xr:uid="{00000000-0005-0000-0000-00001B120000}"/>
    <cellStyle name="Comma 2 2 3 2 3 2 2 10" xfId="45128" xr:uid="{00000000-0005-0000-0000-00001C120000}"/>
    <cellStyle name="Comma 2 2 3 2 3 2 2 11" xfId="21850" xr:uid="{00000000-0005-0000-0000-00001D120000}"/>
    <cellStyle name="Comma 2 2 3 2 3 2 2 2" xfId="2243" xr:uid="{00000000-0005-0000-0000-00001E120000}"/>
    <cellStyle name="Comma 2 2 3 2 3 2 2 2 10" xfId="23074" xr:uid="{00000000-0005-0000-0000-00001F120000}"/>
    <cellStyle name="Comma 2 2 3 2 3 2 2 2 2" xfId="4691" xr:uid="{00000000-0005-0000-0000-000020120000}"/>
    <cellStyle name="Comma 2 2 3 2 3 2 2 2 2 2" xfId="20626" xr:uid="{00000000-0005-0000-0000-000021120000}"/>
    <cellStyle name="Comma 2 2 3 2 3 2 2 2 2 2 2" xfId="43904" xr:uid="{00000000-0005-0000-0000-000022120000}"/>
    <cellStyle name="Comma 2 2 3 2 3 2 2 2 2 3" xfId="48800" xr:uid="{00000000-0005-0000-0000-000023120000}"/>
    <cellStyle name="Comma 2 2 3 2 3 2 2 2 2 4" xfId="27970" xr:uid="{00000000-0005-0000-0000-000024120000}"/>
    <cellStyle name="Comma 2 2 3 2 3 2 2 2 3" xfId="7139" xr:uid="{00000000-0005-0000-0000-000025120000}"/>
    <cellStyle name="Comma 2 2 3 2 3 2 2 2 3 2" xfId="30418" xr:uid="{00000000-0005-0000-0000-000026120000}"/>
    <cellStyle name="Comma 2 2 3 2 3 2 2 2 4" xfId="9587" xr:uid="{00000000-0005-0000-0000-000027120000}"/>
    <cellStyle name="Comma 2 2 3 2 3 2 2 2 4 2" xfId="32866" xr:uid="{00000000-0005-0000-0000-000028120000}"/>
    <cellStyle name="Comma 2 2 3 2 3 2 2 2 5" xfId="12035" xr:uid="{00000000-0005-0000-0000-000029120000}"/>
    <cellStyle name="Comma 2 2 3 2 3 2 2 2 5 2" xfId="35314" xr:uid="{00000000-0005-0000-0000-00002A120000}"/>
    <cellStyle name="Comma 2 2 3 2 3 2 2 2 6" xfId="14483" xr:uid="{00000000-0005-0000-0000-00002B120000}"/>
    <cellStyle name="Comma 2 2 3 2 3 2 2 2 6 2" xfId="37762" xr:uid="{00000000-0005-0000-0000-00002C120000}"/>
    <cellStyle name="Comma 2 2 3 2 3 2 2 2 7" xfId="18178" xr:uid="{00000000-0005-0000-0000-00002D120000}"/>
    <cellStyle name="Comma 2 2 3 2 3 2 2 2 7 2" xfId="41456" xr:uid="{00000000-0005-0000-0000-00002E120000}"/>
    <cellStyle name="Comma 2 2 3 2 3 2 2 2 8" xfId="25522" xr:uid="{00000000-0005-0000-0000-00002F120000}"/>
    <cellStyle name="Comma 2 2 3 2 3 2 2 2 9" xfId="46352" xr:uid="{00000000-0005-0000-0000-000030120000}"/>
    <cellStyle name="Comma 2 2 3 2 3 2 2 3" xfId="3467" xr:uid="{00000000-0005-0000-0000-000031120000}"/>
    <cellStyle name="Comma 2 2 3 2 3 2 2 3 2" xfId="16954" xr:uid="{00000000-0005-0000-0000-000032120000}"/>
    <cellStyle name="Comma 2 2 3 2 3 2 2 3 2 2" xfId="40232" xr:uid="{00000000-0005-0000-0000-000033120000}"/>
    <cellStyle name="Comma 2 2 3 2 3 2 2 3 3" xfId="47576" xr:uid="{00000000-0005-0000-0000-000034120000}"/>
    <cellStyle name="Comma 2 2 3 2 3 2 2 3 4" xfId="26746" xr:uid="{00000000-0005-0000-0000-000035120000}"/>
    <cellStyle name="Comma 2 2 3 2 3 2 2 4" xfId="5915" xr:uid="{00000000-0005-0000-0000-000036120000}"/>
    <cellStyle name="Comma 2 2 3 2 3 2 2 4 2" xfId="19402" xr:uid="{00000000-0005-0000-0000-000037120000}"/>
    <cellStyle name="Comma 2 2 3 2 3 2 2 4 2 2" xfId="42680" xr:uid="{00000000-0005-0000-0000-000038120000}"/>
    <cellStyle name="Comma 2 2 3 2 3 2 2 4 3" xfId="29194" xr:uid="{00000000-0005-0000-0000-000039120000}"/>
    <cellStyle name="Comma 2 2 3 2 3 2 2 5" xfId="8363" xr:uid="{00000000-0005-0000-0000-00003A120000}"/>
    <cellStyle name="Comma 2 2 3 2 3 2 2 5 2" xfId="31642" xr:uid="{00000000-0005-0000-0000-00003B120000}"/>
    <cellStyle name="Comma 2 2 3 2 3 2 2 6" xfId="10811" xr:uid="{00000000-0005-0000-0000-00003C120000}"/>
    <cellStyle name="Comma 2 2 3 2 3 2 2 6 2" xfId="34090" xr:uid="{00000000-0005-0000-0000-00003D120000}"/>
    <cellStyle name="Comma 2 2 3 2 3 2 2 7" xfId="13259" xr:uid="{00000000-0005-0000-0000-00003E120000}"/>
    <cellStyle name="Comma 2 2 3 2 3 2 2 7 2" xfId="36538" xr:uid="{00000000-0005-0000-0000-00003F120000}"/>
    <cellStyle name="Comma 2 2 3 2 3 2 2 8" xfId="15730" xr:uid="{00000000-0005-0000-0000-000040120000}"/>
    <cellStyle name="Comma 2 2 3 2 3 2 2 8 2" xfId="39008" xr:uid="{00000000-0005-0000-0000-000041120000}"/>
    <cellStyle name="Comma 2 2 3 2 3 2 2 9" xfId="24298" xr:uid="{00000000-0005-0000-0000-000042120000}"/>
    <cellStyle name="Comma 2 2 3 2 3 2 3" xfId="1631" xr:uid="{00000000-0005-0000-0000-000043120000}"/>
    <cellStyle name="Comma 2 2 3 2 3 2 3 10" xfId="22462" xr:uid="{00000000-0005-0000-0000-000044120000}"/>
    <cellStyle name="Comma 2 2 3 2 3 2 3 2" xfId="4079" xr:uid="{00000000-0005-0000-0000-000045120000}"/>
    <cellStyle name="Comma 2 2 3 2 3 2 3 2 2" xfId="20014" xr:uid="{00000000-0005-0000-0000-000046120000}"/>
    <cellStyle name="Comma 2 2 3 2 3 2 3 2 2 2" xfId="43292" xr:uid="{00000000-0005-0000-0000-000047120000}"/>
    <cellStyle name="Comma 2 2 3 2 3 2 3 2 3" xfId="48188" xr:uid="{00000000-0005-0000-0000-000048120000}"/>
    <cellStyle name="Comma 2 2 3 2 3 2 3 2 4" xfId="27358" xr:uid="{00000000-0005-0000-0000-000049120000}"/>
    <cellStyle name="Comma 2 2 3 2 3 2 3 3" xfId="6527" xr:uid="{00000000-0005-0000-0000-00004A120000}"/>
    <cellStyle name="Comma 2 2 3 2 3 2 3 3 2" xfId="29806" xr:uid="{00000000-0005-0000-0000-00004B120000}"/>
    <cellStyle name="Comma 2 2 3 2 3 2 3 4" xfId="8975" xr:uid="{00000000-0005-0000-0000-00004C120000}"/>
    <cellStyle name="Comma 2 2 3 2 3 2 3 4 2" xfId="32254" xr:uid="{00000000-0005-0000-0000-00004D120000}"/>
    <cellStyle name="Comma 2 2 3 2 3 2 3 5" xfId="11423" xr:uid="{00000000-0005-0000-0000-00004E120000}"/>
    <cellStyle name="Comma 2 2 3 2 3 2 3 5 2" xfId="34702" xr:uid="{00000000-0005-0000-0000-00004F120000}"/>
    <cellStyle name="Comma 2 2 3 2 3 2 3 6" xfId="13871" xr:uid="{00000000-0005-0000-0000-000050120000}"/>
    <cellStyle name="Comma 2 2 3 2 3 2 3 6 2" xfId="37150" xr:uid="{00000000-0005-0000-0000-000051120000}"/>
    <cellStyle name="Comma 2 2 3 2 3 2 3 7" xfId="17566" xr:uid="{00000000-0005-0000-0000-000052120000}"/>
    <cellStyle name="Comma 2 2 3 2 3 2 3 7 2" xfId="40844" xr:uid="{00000000-0005-0000-0000-000053120000}"/>
    <cellStyle name="Comma 2 2 3 2 3 2 3 8" xfId="24910" xr:uid="{00000000-0005-0000-0000-000054120000}"/>
    <cellStyle name="Comma 2 2 3 2 3 2 3 9" xfId="45740" xr:uid="{00000000-0005-0000-0000-000055120000}"/>
    <cellStyle name="Comma 2 2 3 2 3 2 4" xfId="2855" xr:uid="{00000000-0005-0000-0000-000056120000}"/>
    <cellStyle name="Comma 2 2 3 2 3 2 4 2" xfId="16342" xr:uid="{00000000-0005-0000-0000-000057120000}"/>
    <cellStyle name="Comma 2 2 3 2 3 2 4 2 2" xfId="39620" xr:uid="{00000000-0005-0000-0000-000058120000}"/>
    <cellStyle name="Comma 2 2 3 2 3 2 4 3" xfId="46964" xr:uid="{00000000-0005-0000-0000-000059120000}"/>
    <cellStyle name="Comma 2 2 3 2 3 2 4 4" xfId="26134" xr:uid="{00000000-0005-0000-0000-00005A120000}"/>
    <cellStyle name="Comma 2 2 3 2 3 2 5" xfId="5303" xr:uid="{00000000-0005-0000-0000-00005B120000}"/>
    <cellStyle name="Comma 2 2 3 2 3 2 5 2" xfId="18790" xr:uid="{00000000-0005-0000-0000-00005C120000}"/>
    <cellStyle name="Comma 2 2 3 2 3 2 5 2 2" xfId="42068" xr:uid="{00000000-0005-0000-0000-00005D120000}"/>
    <cellStyle name="Comma 2 2 3 2 3 2 5 3" xfId="28582" xr:uid="{00000000-0005-0000-0000-00005E120000}"/>
    <cellStyle name="Comma 2 2 3 2 3 2 6" xfId="7751" xr:uid="{00000000-0005-0000-0000-00005F120000}"/>
    <cellStyle name="Comma 2 2 3 2 3 2 6 2" xfId="31030" xr:uid="{00000000-0005-0000-0000-000060120000}"/>
    <cellStyle name="Comma 2 2 3 2 3 2 7" xfId="10199" xr:uid="{00000000-0005-0000-0000-000061120000}"/>
    <cellStyle name="Comma 2 2 3 2 3 2 7 2" xfId="33478" xr:uid="{00000000-0005-0000-0000-000062120000}"/>
    <cellStyle name="Comma 2 2 3 2 3 2 8" xfId="12647" xr:uid="{00000000-0005-0000-0000-000063120000}"/>
    <cellStyle name="Comma 2 2 3 2 3 2 8 2" xfId="35926" xr:uid="{00000000-0005-0000-0000-000064120000}"/>
    <cellStyle name="Comma 2 2 3 2 3 2 9" xfId="15118" xr:uid="{00000000-0005-0000-0000-000065120000}"/>
    <cellStyle name="Comma 2 2 3 2 3 2 9 2" xfId="38396" xr:uid="{00000000-0005-0000-0000-000066120000}"/>
    <cellStyle name="Comma 2 2 3 2 3 3" xfId="611" xr:uid="{00000000-0005-0000-0000-000067120000}"/>
    <cellStyle name="Comma 2 2 3 2 3 3 10" xfId="23890" xr:uid="{00000000-0005-0000-0000-000068120000}"/>
    <cellStyle name="Comma 2 2 3 2 3 3 11" xfId="44720" xr:uid="{00000000-0005-0000-0000-000069120000}"/>
    <cellStyle name="Comma 2 2 3 2 3 3 12" xfId="21442" xr:uid="{00000000-0005-0000-0000-00006A120000}"/>
    <cellStyle name="Comma 2 2 3 2 3 3 2" xfId="1223" xr:uid="{00000000-0005-0000-0000-00006B120000}"/>
    <cellStyle name="Comma 2 2 3 2 3 3 2 10" xfId="45332" xr:uid="{00000000-0005-0000-0000-00006C120000}"/>
    <cellStyle name="Comma 2 2 3 2 3 3 2 11" xfId="22054" xr:uid="{00000000-0005-0000-0000-00006D120000}"/>
    <cellStyle name="Comma 2 2 3 2 3 3 2 2" xfId="2447" xr:uid="{00000000-0005-0000-0000-00006E120000}"/>
    <cellStyle name="Comma 2 2 3 2 3 3 2 2 10" xfId="23278" xr:uid="{00000000-0005-0000-0000-00006F120000}"/>
    <cellStyle name="Comma 2 2 3 2 3 3 2 2 2" xfId="4895" xr:uid="{00000000-0005-0000-0000-000070120000}"/>
    <cellStyle name="Comma 2 2 3 2 3 3 2 2 2 2" xfId="20830" xr:uid="{00000000-0005-0000-0000-000071120000}"/>
    <cellStyle name="Comma 2 2 3 2 3 3 2 2 2 2 2" xfId="44108" xr:uid="{00000000-0005-0000-0000-000072120000}"/>
    <cellStyle name="Comma 2 2 3 2 3 3 2 2 2 3" xfId="49004" xr:uid="{00000000-0005-0000-0000-000073120000}"/>
    <cellStyle name="Comma 2 2 3 2 3 3 2 2 2 4" xfId="28174" xr:uid="{00000000-0005-0000-0000-000074120000}"/>
    <cellStyle name="Comma 2 2 3 2 3 3 2 2 3" xfId="7343" xr:uid="{00000000-0005-0000-0000-000075120000}"/>
    <cellStyle name="Comma 2 2 3 2 3 3 2 2 3 2" xfId="30622" xr:uid="{00000000-0005-0000-0000-000076120000}"/>
    <cellStyle name="Comma 2 2 3 2 3 3 2 2 4" xfId="9791" xr:uid="{00000000-0005-0000-0000-000077120000}"/>
    <cellStyle name="Comma 2 2 3 2 3 3 2 2 4 2" xfId="33070" xr:uid="{00000000-0005-0000-0000-000078120000}"/>
    <cellStyle name="Comma 2 2 3 2 3 3 2 2 5" xfId="12239" xr:uid="{00000000-0005-0000-0000-000079120000}"/>
    <cellStyle name="Comma 2 2 3 2 3 3 2 2 5 2" xfId="35518" xr:uid="{00000000-0005-0000-0000-00007A120000}"/>
    <cellStyle name="Comma 2 2 3 2 3 3 2 2 6" xfId="14687" xr:uid="{00000000-0005-0000-0000-00007B120000}"/>
    <cellStyle name="Comma 2 2 3 2 3 3 2 2 6 2" xfId="37966" xr:uid="{00000000-0005-0000-0000-00007C120000}"/>
    <cellStyle name="Comma 2 2 3 2 3 3 2 2 7" xfId="18382" xr:uid="{00000000-0005-0000-0000-00007D120000}"/>
    <cellStyle name="Comma 2 2 3 2 3 3 2 2 7 2" xfId="41660" xr:uid="{00000000-0005-0000-0000-00007E120000}"/>
    <cellStyle name="Comma 2 2 3 2 3 3 2 2 8" xfId="25726" xr:uid="{00000000-0005-0000-0000-00007F120000}"/>
    <cellStyle name="Comma 2 2 3 2 3 3 2 2 9" xfId="46556" xr:uid="{00000000-0005-0000-0000-000080120000}"/>
    <cellStyle name="Comma 2 2 3 2 3 3 2 3" xfId="3671" xr:uid="{00000000-0005-0000-0000-000081120000}"/>
    <cellStyle name="Comma 2 2 3 2 3 3 2 3 2" xfId="17158" xr:uid="{00000000-0005-0000-0000-000082120000}"/>
    <cellStyle name="Comma 2 2 3 2 3 3 2 3 2 2" xfId="40436" xr:uid="{00000000-0005-0000-0000-000083120000}"/>
    <cellStyle name="Comma 2 2 3 2 3 3 2 3 3" xfId="47780" xr:uid="{00000000-0005-0000-0000-000084120000}"/>
    <cellStyle name="Comma 2 2 3 2 3 3 2 3 4" xfId="26950" xr:uid="{00000000-0005-0000-0000-000085120000}"/>
    <cellStyle name="Comma 2 2 3 2 3 3 2 4" xfId="6119" xr:uid="{00000000-0005-0000-0000-000086120000}"/>
    <cellStyle name="Comma 2 2 3 2 3 3 2 4 2" xfId="19606" xr:uid="{00000000-0005-0000-0000-000087120000}"/>
    <cellStyle name="Comma 2 2 3 2 3 3 2 4 2 2" xfId="42884" xr:uid="{00000000-0005-0000-0000-000088120000}"/>
    <cellStyle name="Comma 2 2 3 2 3 3 2 4 3" xfId="29398" xr:uid="{00000000-0005-0000-0000-000089120000}"/>
    <cellStyle name="Comma 2 2 3 2 3 3 2 5" xfId="8567" xr:uid="{00000000-0005-0000-0000-00008A120000}"/>
    <cellStyle name="Comma 2 2 3 2 3 3 2 5 2" xfId="31846" xr:uid="{00000000-0005-0000-0000-00008B120000}"/>
    <cellStyle name="Comma 2 2 3 2 3 3 2 6" xfId="11015" xr:uid="{00000000-0005-0000-0000-00008C120000}"/>
    <cellStyle name="Comma 2 2 3 2 3 3 2 6 2" xfId="34294" xr:uid="{00000000-0005-0000-0000-00008D120000}"/>
    <cellStyle name="Comma 2 2 3 2 3 3 2 7" xfId="13463" xr:uid="{00000000-0005-0000-0000-00008E120000}"/>
    <cellStyle name="Comma 2 2 3 2 3 3 2 7 2" xfId="36742" xr:uid="{00000000-0005-0000-0000-00008F120000}"/>
    <cellStyle name="Comma 2 2 3 2 3 3 2 8" xfId="15934" xr:uid="{00000000-0005-0000-0000-000090120000}"/>
    <cellStyle name="Comma 2 2 3 2 3 3 2 8 2" xfId="39212" xr:uid="{00000000-0005-0000-0000-000091120000}"/>
    <cellStyle name="Comma 2 2 3 2 3 3 2 9" xfId="24502" xr:uid="{00000000-0005-0000-0000-000092120000}"/>
    <cellStyle name="Comma 2 2 3 2 3 3 3" xfId="1835" xr:uid="{00000000-0005-0000-0000-000093120000}"/>
    <cellStyle name="Comma 2 2 3 2 3 3 3 10" xfId="22666" xr:uid="{00000000-0005-0000-0000-000094120000}"/>
    <cellStyle name="Comma 2 2 3 2 3 3 3 2" xfId="4283" xr:uid="{00000000-0005-0000-0000-000095120000}"/>
    <cellStyle name="Comma 2 2 3 2 3 3 3 2 2" xfId="20218" xr:uid="{00000000-0005-0000-0000-000096120000}"/>
    <cellStyle name="Comma 2 2 3 2 3 3 3 2 2 2" xfId="43496" xr:uid="{00000000-0005-0000-0000-000097120000}"/>
    <cellStyle name="Comma 2 2 3 2 3 3 3 2 3" xfId="48392" xr:uid="{00000000-0005-0000-0000-000098120000}"/>
    <cellStyle name="Comma 2 2 3 2 3 3 3 2 4" xfId="27562" xr:uid="{00000000-0005-0000-0000-000099120000}"/>
    <cellStyle name="Comma 2 2 3 2 3 3 3 3" xfId="6731" xr:uid="{00000000-0005-0000-0000-00009A120000}"/>
    <cellStyle name="Comma 2 2 3 2 3 3 3 3 2" xfId="30010" xr:uid="{00000000-0005-0000-0000-00009B120000}"/>
    <cellStyle name="Comma 2 2 3 2 3 3 3 4" xfId="9179" xr:uid="{00000000-0005-0000-0000-00009C120000}"/>
    <cellStyle name="Comma 2 2 3 2 3 3 3 4 2" xfId="32458" xr:uid="{00000000-0005-0000-0000-00009D120000}"/>
    <cellStyle name="Comma 2 2 3 2 3 3 3 5" xfId="11627" xr:uid="{00000000-0005-0000-0000-00009E120000}"/>
    <cellStyle name="Comma 2 2 3 2 3 3 3 5 2" xfId="34906" xr:uid="{00000000-0005-0000-0000-00009F120000}"/>
    <cellStyle name="Comma 2 2 3 2 3 3 3 6" xfId="14075" xr:uid="{00000000-0005-0000-0000-0000A0120000}"/>
    <cellStyle name="Comma 2 2 3 2 3 3 3 6 2" xfId="37354" xr:uid="{00000000-0005-0000-0000-0000A1120000}"/>
    <cellStyle name="Comma 2 2 3 2 3 3 3 7" xfId="17770" xr:uid="{00000000-0005-0000-0000-0000A2120000}"/>
    <cellStyle name="Comma 2 2 3 2 3 3 3 7 2" xfId="41048" xr:uid="{00000000-0005-0000-0000-0000A3120000}"/>
    <cellStyle name="Comma 2 2 3 2 3 3 3 8" xfId="25114" xr:uid="{00000000-0005-0000-0000-0000A4120000}"/>
    <cellStyle name="Comma 2 2 3 2 3 3 3 9" xfId="45944" xr:uid="{00000000-0005-0000-0000-0000A5120000}"/>
    <cellStyle name="Comma 2 2 3 2 3 3 4" xfId="3059" xr:uid="{00000000-0005-0000-0000-0000A6120000}"/>
    <cellStyle name="Comma 2 2 3 2 3 3 4 2" xfId="16546" xr:uid="{00000000-0005-0000-0000-0000A7120000}"/>
    <cellStyle name="Comma 2 2 3 2 3 3 4 2 2" xfId="39824" xr:uid="{00000000-0005-0000-0000-0000A8120000}"/>
    <cellStyle name="Comma 2 2 3 2 3 3 4 3" xfId="47168" xr:uid="{00000000-0005-0000-0000-0000A9120000}"/>
    <cellStyle name="Comma 2 2 3 2 3 3 4 4" xfId="26338" xr:uid="{00000000-0005-0000-0000-0000AA120000}"/>
    <cellStyle name="Comma 2 2 3 2 3 3 5" xfId="5507" xr:uid="{00000000-0005-0000-0000-0000AB120000}"/>
    <cellStyle name="Comma 2 2 3 2 3 3 5 2" xfId="18994" xr:uid="{00000000-0005-0000-0000-0000AC120000}"/>
    <cellStyle name="Comma 2 2 3 2 3 3 5 2 2" xfId="42272" xr:uid="{00000000-0005-0000-0000-0000AD120000}"/>
    <cellStyle name="Comma 2 2 3 2 3 3 5 3" xfId="28786" xr:uid="{00000000-0005-0000-0000-0000AE120000}"/>
    <cellStyle name="Comma 2 2 3 2 3 3 6" xfId="7955" xr:uid="{00000000-0005-0000-0000-0000AF120000}"/>
    <cellStyle name="Comma 2 2 3 2 3 3 6 2" xfId="31234" xr:uid="{00000000-0005-0000-0000-0000B0120000}"/>
    <cellStyle name="Comma 2 2 3 2 3 3 7" xfId="10403" xr:uid="{00000000-0005-0000-0000-0000B1120000}"/>
    <cellStyle name="Comma 2 2 3 2 3 3 7 2" xfId="33682" xr:uid="{00000000-0005-0000-0000-0000B2120000}"/>
    <cellStyle name="Comma 2 2 3 2 3 3 8" xfId="12851" xr:uid="{00000000-0005-0000-0000-0000B3120000}"/>
    <cellStyle name="Comma 2 2 3 2 3 3 8 2" xfId="36130" xr:uid="{00000000-0005-0000-0000-0000B4120000}"/>
    <cellStyle name="Comma 2 2 3 2 3 3 9" xfId="15322" xr:uid="{00000000-0005-0000-0000-0000B5120000}"/>
    <cellStyle name="Comma 2 2 3 2 3 3 9 2" xfId="38600" xr:uid="{00000000-0005-0000-0000-0000B6120000}"/>
    <cellStyle name="Comma 2 2 3 2 3 4" xfId="815" xr:uid="{00000000-0005-0000-0000-0000B7120000}"/>
    <cellStyle name="Comma 2 2 3 2 3 4 10" xfId="44924" xr:uid="{00000000-0005-0000-0000-0000B8120000}"/>
    <cellStyle name="Comma 2 2 3 2 3 4 11" xfId="21646" xr:uid="{00000000-0005-0000-0000-0000B9120000}"/>
    <cellStyle name="Comma 2 2 3 2 3 4 2" xfId="2039" xr:uid="{00000000-0005-0000-0000-0000BA120000}"/>
    <cellStyle name="Comma 2 2 3 2 3 4 2 10" xfId="22870" xr:uid="{00000000-0005-0000-0000-0000BB120000}"/>
    <cellStyle name="Comma 2 2 3 2 3 4 2 2" xfId="4487" xr:uid="{00000000-0005-0000-0000-0000BC120000}"/>
    <cellStyle name="Comma 2 2 3 2 3 4 2 2 2" xfId="20422" xr:uid="{00000000-0005-0000-0000-0000BD120000}"/>
    <cellStyle name="Comma 2 2 3 2 3 4 2 2 2 2" xfId="43700" xr:uid="{00000000-0005-0000-0000-0000BE120000}"/>
    <cellStyle name="Comma 2 2 3 2 3 4 2 2 3" xfId="48596" xr:uid="{00000000-0005-0000-0000-0000BF120000}"/>
    <cellStyle name="Comma 2 2 3 2 3 4 2 2 4" xfId="27766" xr:uid="{00000000-0005-0000-0000-0000C0120000}"/>
    <cellStyle name="Comma 2 2 3 2 3 4 2 3" xfId="6935" xr:uid="{00000000-0005-0000-0000-0000C1120000}"/>
    <cellStyle name="Comma 2 2 3 2 3 4 2 3 2" xfId="30214" xr:uid="{00000000-0005-0000-0000-0000C2120000}"/>
    <cellStyle name="Comma 2 2 3 2 3 4 2 4" xfId="9383" xr:uid="{00000000-0005-0000-0000-0000C3120000}"/>
    <cellStyle name="Comma 2 2 3 2 3 4 2 4 2" xfId="32662" xr:uid="{00000000-0005-0000-0000-0000C4120000}"/>
    <cellStyle name="Comma 2 2 3 2 3 4 2 5" xfId="11831" xr:uid="{00000000-0005-0000-0000-0000C5120000}"/>
    <cellStyle name="Comma 2 2 3 2 3 4 2 5 2" xfId="35110" xr:uid="{00000000-0005-0000-0000-0000C6120000}"/>
    <cellStyle name="Comma 2 2 3 2 3 4 2 6" xfId="14279" xr:uid="{00000000-0005-0000-0000-0000C7120000}"/>
    <cellStyle name="Comma 2 2 3 2 3 4 2 6 2" xfId="37558" xr:uid="{00000000-0005-0000-0000-0000C8120000}"/>
    <cellStyle name="Comma 2 2 3 2 3 4 2 7" xfId="17974" xr:uid="{00000000-0005-0000-0000-0000C9120000}"/>
    <cellStyle name="Comma 2 2 3 2 3 4 2 7 2" xfId="41252" xr:uid="{00000000-0005-0000-0000-0000CA120000}"/>
    <cellStyle name="Comma 2 2 3 2 3 4 2 8" xfId="25318" xr:uid="{00000000-0005-0000-0000-0000CB120000}"/>
    <cellStyle name="Comma 2 2 3 2 3 4 2 9" xfId="46148" xr:uid="{00000000-0005-0000-0000-0000CC120000}"/>
    <cellStyle name="Comma 2 2 3 2 3 4 3" xfId="3263" xr:uid="{00000000-0005-0000-0000-0000CD120000}"/>
    <cellStyle name="Comma 2 2 3 2 3 4 3 2" xfId="16750" xr:uid="{00000000-0005-0000-0000-0000CE120000}"/>
    <cellStyle name="Comma 2 2 3 2 3 4 3 2 2" xfId="40028" xr:uid="{00000000-0005-0000-0000-0000CF120000}"/>
    <cellStyle name="Comma 2 2 3 2 3 4 3 3" xfId="47372" xr:uid="{00000000-0005-0000-0000-0000D0120000}"/>
    <cellStyle name="Comma 2 2 3 2 3 4 3 4" xfId="26542" xr:uid="{00000000-0005-0000-0000-0000D1120000}"/>
    <cellStyle name="Comma 2 2 3 2 3 4 4" xfId="5711" xr:uid="{00000000-0005-0000-0000-0000D2120000}"/>
    <cellStyle name="Comma 2 2 3 2 3 4 4 2" xfId="19198" xr:uid="{00000000-0005-0000-0000-0000D3120000}"/>
    <cellStyle name="Comma 2 2 3 2 3 4 4 2 2" xfId="42476" xr:uid="{00000000-0005-0000-0000-0000D4120000}"/>
    <cellStyle name="Comma 2 2 3 2 3 4 4 3" xfId="28990" xr:uid="{00000000-0005-0000-0000-0000D5120000}"/>
    <cellStyle name="Comma 2 2 3 2 3 4 5" xfId="8159" xr:uid="{00000000-0005-0000-0000-0000D6120000}"/>
    <cellStyle name="Comma 2 2 3 2 3 4 5 2" xfId="31438" xr:uid="{00000000-0005-0000-0000-0000D7120000}"/>
    <cellStyle name="Comma 2 2 3 2 3 4 6" xfId="10607" xr:uid="{00000000-0005-0000-0000-0000D8120000}"/>
    <cellStyle name="Comma 2 2 3 2 3 4 6 2" xfId="33886" xr:uid="{00000000-0005-0000-0000-0000D9120000}"/>
    <cellStyle name="Comma 2 2 3 2 3 4 7" xfId="13055" xr:uid="{00000000-0005-0000-0000-0000DA120000}"/>
    <cellStyle name="Comma 2 2 3 2 3 4 7 2" xfId="36334" xr:uid="{00000000-0005-0000-0000-0000DB120000}"/>
    <cellStyle name="Comma 2 2 3 2 3 4 8" xfId="15526" xr:uid="{00000000-0005-0000-0000-0000DC120000}"/>
    <cellStyle name="Comma 2 2 3 2 3 4 8 2" xfId="38804" xr:uid="{00000000-0005-0000-0000-0000DD120000}"/>
    <cellStyle name="Comma 2 2 3 2 3 4 9" xfId="24094" xr:uid="{00000000-0005-0000-0000-0000DE120000}"/>
    <cellStyle name="Comma 2 2 3 2 3 5" xfId="1427" xr:uid="{00000000-0005-0000-0000-0000DF120000}"/>
    <cellStyle name="Comma 2 2 3 2 3 5 10" xfId="22258" xr:uid="{00000000-0005-0000-0000-0000E0120000}"/>
    <cellStyle name="Comma 2 2 3 2 3 5 2" xfId="3875" xr:uid="{00000000-0005-0000-0000-0000E1120000}"/>
    <cellStyle name="Comma 2 2 3 2 3 5 2 2" xfId="19810" xr:uid="{00000000-0005-0000-0000-0000E2120000}"/>
    <cellStyle name="Comma 2 2 3 2 3 5 2 2 2" xfId="43088" xr:uid="{00000000-0005-0000-0000-0000E3120000}"/>
    <cellStyle name="Comma 2 2 3 2 3 5 2 3" xfId="47984" xr:uid="{00000000-0005-0000-0000-0000E4120000}"/>
    <cellStyle name="Comma 2 2 3 2 3 5 2 4" xfId="27154" xr:uid="{00000000-0005-0000-0000-0000E5120000}"/>
    <cellStyle name="Comma 2 2 3 2 3 5 3" xfId="6323" xr:uid="{00000000-0005-0000-0000-0000E6120000}"/>
    <cellStyle name="Comma 2 2 3 2 3 5 3 2" xfId="29602" xr:uid="{00000000-0005-0000-0000-0000E7120000}"/>
    <cellStyle name="Comma 2 2 3 2 3 5 4" xfId="8771" xr:uid="{00000000-0005-0000-0000-0000E8120000}"/>
    <cellStyle name="Comma 2 2 3 2 3 5 4 2" xfId="32050" xr:uid="{00000000-0005-0000-0000-0000E9120000}"/>
    <cellStyle name="Comma 2 2 3 2 3 5 5" xfId="11219" xr:uid="{00000000-0005-0000-0000-0000EA120000}"/>
    <cellStyle name="Comma 2 2 3 2 3 5 5 2" xfId="34498" xr:uid="{00000000-0005-0000-0000-0000EB120000}"/>
    <cellStyle name="Comma 2 2 3 2 3 5 6" xfId="13667" xr:uid="{00000000-0005-0000-0000-0000EC120000}"/>
    <cellStyle name="Comma 2 2 3 2 3 5 6 2" xfId="36946" xr:uid="{00000000-0005-0000-0000-0000ED120000}"/>
    <cellStyle name="Comma 2 2 3 2 3 5 7" xfId="17362" xr:uid="{00000000-0005-0000-0000-0000EE120000}"/>
    <cellStyle name="Comma 2 2 3 2 3 5 7 2" xfId="40640" xr:uid="{00000000-0005-0000-0000-0000EF120000}"/>
    <cellStyle name="Comma 2 2 3 2 3 5 8" xfId="24706" xr:uid="{00000000-0005-0000-0000-0000F0120000}"/>
    <cellStyle name="Comma 2 2 3 2 3 5 9" xfId="45536" xr:uid="{00000000-0005-0000-0000-0000F1120000}"/>
    <cellStyle name="Comma 2 2 3 2 3 6" xfId="2651" xr:uid="{00000000-0005-0000-0000-0000F2120000}"/>
    <cellStyle name="Comma 2 2 3 2 3 6 2" xfId="16138" xr:uid="{00000000-0005-0000-0000-0000F3120000}"/>
    <cellStyle name="Comma 2 2 3 2 3 6 2 2" xfId="39416" xr:uid="{00000000-0005-0000-0000-0000F4120000}"/>
    <cellStyle name="Comma 2 2 3 2 3 6 3" xfId="46760" xr:uid="{00000000-0005-0000-0000-0000F5120000}"/>
    <cellStyle name="Comma 2 2 3 2 3 6 4" xfId="25930" xr:uid="{00000000-0005-0000-0000-0000F6120000}"/>
    <cellStyle name="Comma 2 2 3 2 3 7" xfId="5099" xr:uid="{00000000-0005-0000-0000-0000F7120000}"/>
    <cellStyle name="Comma 2 2 3 2 3 7 2" xfId="18586" xr:uid="{00000000-0005-0000-0000-0000F8120000}"/>
    <cellStyle name="Comma 2 2 3 2 3 7 2 2" xfId="41864" xr:uid="{00000000-0005-0000-0000-0000F9120000}"/>
    <cellStyle name="Comma 2 2 3 2 3 7 3" xfId="28378" xr:uid="{00000000-0005-0000-0000-0000FA120000}"/>
    <cellStyle name="Comma 2 2 3 2 3 8" xfId="7547" xr:uid="{00000000-0005-0000-0000-0000FB120000}"/>
    <cellStyle name="Comma 2 2 3 2 3 8 2" xfId="30826" xr:uid="{00000000-0005-0000-0000-0000FC120000}"/>
    <cellStyle name="Comma 2 2 3 2 3 9" xfId="9995" xr:uid="{00000000-0005-0000-0000-0000FD120000}"/>
    <cellStyle name="Comma 2 2 3 2 3 9 2" xfId="33274" xr:uid="{00000000-0005-0000-0000-0000FE120000}"/>
    <cellStyle name="Comma 2 2 3 2 4" xfId="271" xr:uid="{00000000-0005-0000-0000-0000FF120000}"/>
    <cellStyle name="Comma 2 2 3 2 4 10" xfId="23550" xr:uid="{00000000-0005-0000-0000-000000130000}"/>
    <cellStyle name="Comma 2 2 3 2 4 11" xfId="44380" xr:uid="{00000000-0005-0000-0000-000001130000}"/>
    <cellStyle name="Comma 2 2 3 2 4 12" xfId="21102" xr:uid="{00000000-0005-0000-0000-000002130000}"/>
    <cellStyle name="Comma 2 2 3 2 4 2" xfId="883" xr:uid="{00000000-0005-0000-0000-000003130000}"/>
    <cellStyle name="Comma 2 2 3 2 4 2 10" xfId="44992" xr:uid="{00000000-0005-0000-0000-000004130000}"/>
    <cellStyle name="Comma 2 2 3 2 4 2 11" xfId="21714" xr:uid="{00000000-0005-0000-0000-000005130000}"/>
    <cellStyle name="Comma 2 2 3 2 4 2 2" xfId="2107" xr:uid="{00000000-0005-0000-0000-000006130000}"/>
    <cellStyle name="Comma 2 2 3 2 4 2 2 10" xfId="22938" xr:uid="{00000000-0005-0000-0000-000007130000}"/>
    <cellStyle name="Comma 2 2 3 2 4 2 2 2" xfId="4555" xr:uid="{00000000-0005-0000-0000-000008130000}"/>
    <cellStyle name="Comma 2 2 3 2 4 2 2 2 2" xfId="20490" xr:uid="{00000000-0005-0000-0000-000009130000}"/>
    <cellStyle name="Comma 2 2 3 2 4 2 2 2 2 2" xfId="43768" xr:uid="{00000000-0005-0000-0000-00000A130000}"/>
    <cellStyle name="Comma 2 2 3 2 4 2 2 2 3" xfId="48664" xr:uid="{00000000-0005-0000-0000-00000B130000}"/>
    <cellStyle name="Comma 2 2 3 2 4 2 2 2 4" xfId="27834" xr:uid="{00000000-0005-0000-0000-00000C130000}"/>
    <cellStyle name="Comma 2 2 3 2 4 2 2 3" xfId="7003" xr:uid="{00000000-0005-0000-0000-00000D130000}"/>
    <cellStyle name="Comma 2 2 3 2 4 2 2 3 2" xfId="30282" xr:uid="{00000000-0005-0000-0000-00000E130000}"/>
    <cellStyle name="Comma 2 2 3 2 4 2 2 4" xfId="9451" xr:uid="{00000000-0005-0000-0000-00000F130000}"/>
    <cellStyle name="Comma 2 2 3 2 4 2 2 4 2" xfId="32730" xr:uid="{00000000-0005-0000-0000-000010130000}"/>
    <cellStyle name="Comma 2 2 3 2 4 2 2 5" xfId="11899" xr:uid="{00000000-0005-0000-0000-000011130000}"/>
    <cellStyle name="Comma 2 2 3 2 4 2 2 5 2" xfId="35178" xr:uid="{00000000-0005-0000-0000-000012130000}"/>
    <cellStyle name="Comma 2 2 3 2 4 2 2 6" xfId="14347" xr:uid="{00000000-0005-0000-0000-000013130000}"/>
    <cellStyle name="Comma 2 2 3 2 4 2 2 6 2" xfId="37626" xr:uid="{00000000-0005-0000-0000-000014130000}"/>
    <cellStyle name="Comma 2 2 3 2 4 2 2 7" xfId="18042" xr:uid="{00000000-0005-0000-0000-000015130000}"/>
    <cellStyle name="Comma 2 2 3 2 4 2 2 7 2" xfId="41320" xr:uid="{00000000-0005-0000-0000-000016130000}"/>
    <cellStyle name="Comma 2 2 3 2 4 2 2 8" xfId="25386" xr:uid="{00000000-0005-0000-0000-000017130000}"/>
    <cellStyle name="Comma 2 2 3 2 4 2 2 9" xfId="46216" xr:uid="{00000000-0005-0000-0000-000018130000}"/>
    <cellStyle name="Comma 2 2 3 2 4 2 3" xfId="3331" xr:uid="{00000000-0005-0000-0000-000019130000}"/>
    <cellStyle name="Comma 2 2 3 2 4 2 3 2" xfId="16818" xr:uid="{00000000-0005-0000-0000-00001A130000}"/>
    <cellStyle name="Comma 2 2 3 2 4 2 3 2 2" xfId="40096" xr:uid="{00000000-0005-0000-0000-00001B130000}"/>
    <cellStyle name="Comma 2 2 3 2 4 2 3 3" xfId="47440" xr:uid="{00000000-0005-0000-0000-00001C130000}"/>
    <cellStyle name="Comma 2 2 3 2 4 2 3 4" xfId="26610" xr:uid="{00000000-0005-0000-0000-00001D130000}"/>
    <cellStyle name="Comma 2 2 3 2 4 2 4" xfId="5779" xr:uid="{00000000-0005-0000-0000-00001E130000}"/>
    <cellStyle name="Comma 2 2 3 2 4 2 4 2" xfId="19266" xr:uid="{00000000-0005-0000-0000-00001F130000}"/>
    <cellStyle name="Comma 2 2 3 2 4 2 4 2 2" xfId="42544" xr:uid="{00000000-0005-0000-0000-000020130000}"/>
    <cellStyle name="Comma 2 2 3 2 4 2 4 3" xfId="29058" xr:uid="{00000000-0005-0000-0000-000021130000}"/>
    <cellStyle name="Comma 2 2 3 2 4 2 5" xfId="8227" xr:uid="{00000000-0005-0000-0000-000022130000}"/>
    <cellStyle name="Comma 2 2 3 2 4 2 5 2" xfId="31506" xr:uid="{00000000-0005-0000-0000-000023130000}"/>
    <cellStyle name="Comma 2 2 3 2 4 2 6" xfId="10675" xr:uid="{00000000-0005-0000-0000-000024130000}"/>
    <cellStyle name="Comma 2 2 3 2 4 2 6 2" xfId="33954" xr:uid="{00000000-0005-0000-0000-000025130000}"/>
    <cellStyle name="Comma 2 2 3 2 4 2 7" xfId="13123" xr:uid="{00000000-0005-0000-0000-000026130000}"/>
    <cellStyle name="Comma 2 2 3 2 4 2 7 2" xfId="36402" xr:uid="{00000000-0005-0000-0000-000027130000}"/>
    <cellStyle name="Comma 2 2 3 2 4 2 8" xfId="15594" xr:uid="{00000000-0005-0000-0000-000028130000}"/>
    <cellStyle name="Comma 2 2 3 2 4 2 8 2" xfId="38872" xr:uid="{00000000-0005-0000-0000-000029130000}"/>
    <cellStyle name="Comma 2 2 3 2 4 2 9" xfId="24162" xr:uid="{00000000-0005-0000-0000-00002A130000}"/>
    <cellStyle name="Comma 2 2 3 2 4 3" xfId="1495" xr:uid="{00000000-0005-0000-0000-00002B130000}"/>
    <cellStyle name="Comma 2 2 3 2 4 3 10" xfId="22326" xr:uid="{00000000-0005-0000-0000-00002C130000}"/>
    <cellStyle name="Comma 2 2 3 2 4 3 2" xfId="3943" xr:uid="{00000000-0005-0000-0000-00002D130000}"/>
    <cellStyle name="Comma 2 2 3 2 4 3 2 2" xfId="19878" xr:uid="{00000000-0005-0000-0000-00002E130000}"/>
    <cellStyle name="Comma 2 2 3 2 4 3 2 2 2" xfId="43156" xr:uid="{00000000-0005-0000-0000-00002F130000}"/>
    <cellStyle name="Comma 2 2 3 2 4 3 2 3" xfId="48052" xr:uid="{00000000-0005-0000-0000-000030130000}"/>
    <cellStyle name="Comma 2 2 3 2 4 3 2 4" xfId="27222" xr:uid="{00000000-0005-0000-0000-000031130000}"/>
    <cellStyle name="Comma 2 2 3 2 4 3 3" xfId="6391" xr:uid="{00000000-0005-0000-0000-000032130000}"/>
    <cellStyle name="Comma 2 2 3 2 4 3 3 2" xfId="29670" xr:uid="{00000000-0005-0000-0000-000033130000}"/>
    <cellStyle name="Comma 2 2 3 2 4 3 4" xfId="8839" xr:uid="{00000000-0005-0000-0000-000034130000}"/>
    <cellStyle name="Comma 2 2 3 2 4 3 4 2" xfId="32118" xr:uid="{00000000-0005-0000-0000-000035130000}"/>
    <cellStyle name="Comma 2 2 3 2 4 3 5" xfId="11287" xr:uid="{00000000-0005-0000-0000-000036130000}"/>
    <cellStyle name="Comma 2 2 3 2 4 3 5 2" xfId="34566" xr:uid="{00000000-0005-0000-0000-000037130000}"/>
    <cellStyle name="Comma 2 2 3 2 4 3 6" xfId="13735" xr:uid="{00000000-0005-0000-0000-000038130000}"/>
    <cellStyle name="Comma 2 2 3 2 4 3 6 2" xfId="37014" xr:uid="{00000000-0005-0000-0000-000039130000}"/>
    <cellStyle name="Comma 2 2 3 2 4 3 7" xfId="17430" xr:uid="{00000000-0005-0000-0000-00003A130000}"/>
    <cellStyle name="Comma 2 2 3 2 4 3 7 2" xfId="40708" xr:uid="{00000000-0005-0000-0000-00003B130000}"/>
    <cellStyle name="Comma 2 2 3 2 4 3 8" xfId="24774" xr:uid="{00000000-0005-0000-0000-00003C130000}"/>
    <cellStyle name="Comma 2 2 3 2 4 3 9" xfId="45604" xr:uid="{00000000-0005-0000-0000-00003D130000}"/>
    <cellStyle name="Comma 2 2 3 2 4 4" xfId="2719" xr:uid="{00000000-0005-0000-0000-00003E130000}"/>
    <cellStyle name="Comma 2 2 3 2 4 4 2" xfId="16206" xr:uid="{00000000-0005-0000-0000-00003F130000}"/>
    <cellStyle name="Comma 2 2 3 2 4 4 2 2" xfId="39484" xr:uid="{00000000-0005-0000-0000-000040130000}"/>
    <cellStyle name="Comma 2 2 3 2 4 4 3" xfId="46828" xr:uid="{00000000-0005-0000-0000-000041130000}"/>
    <cellStyle name="Comma 2 2 3 2 4 4 4" xfId="25998" xr:uid="{00000000-0005-0000-0000-000042130000}"/>
    <cellStyle name="Comma 2 2 3 2 4 5" xfId="5167" xr:uid="{00000000-0005-0000-0000-000043130000}"/>
    <cellStyle name="Comma 2 2 3 2 4 5 2" xfId="18654" xr:uid="{00000000-0005-0000-0000-000044130000}"/>
    <cellStyle name="Comma 2 2 3 2 4 5 2 2" xfId="41932" xr:uid="{00000000-0005-0000-0000-000045130000}"/>
    <cellStyle name="Comma 2 2 3 2 4 5 3" xfId="28446" xr:uid="{00000000-0005-0000-0000-000046130000}"/>
    <cellStyle name="Comma 2 2 3 2 4 6" xfId="7615" xr:uid="{00000000-0005-0000-0000-000047130000}"/>
    <cellStyle name="Comma 2 2 3 2 4 6 2" xfId="30894" xr:uid="{00000000-0005-0000-0000-000048130000}"/>
    <cellStyle name="Comma 2 2 3 2 4 7" xfId="10063" xr:uid="{00000000-0005-0000-0000-000049130000}"/>
    <cellStyle name="Comma 2 2 3 2 4 7 2" xfId="33342" xr:uid="{00000000-0005-0000-0000-00004A130000}"/>
    <cellStyle name="Comma 2 2 3 2 4 8" xfId="12511" xr:uid="{00000000-0005-0000-0000-00004B130000}"/>
    <cellStyle name="Comma 2 2 3 2 4 8 2" xfId="35790" xr:uid="{00000000-0005-0000-0000-00004C130000}"/>
    <cellStyle name="Comma 2 2 3 2 4 9" xfId="14982" xr:uid="{00000000-0005-0000-0000-00004D130000}"/>
    <cellStyle name="Comma 2 2 3 2 4 9 2" xfId="38260" xr:uid="{00000000-0005-0000-0000-00004E130000}"/>
    <cellStyle name="Comma 2 2 3 2 5" xfId="475" xr:uid="{00000000-0005-0000-0000-00004F130000}"/>
    <cellStyle name="Comma 2 2 3 2 5 10" xfId="23754" xr:uid="{00000000-0005-0000-0000-000050130000}"/>
    <cellStyle name="Comma 2 2 3 2 5 11" xfId="44584" xr:uid="{00000000-0005-0000-0000-000051130000}"/>
    <cellStyle name="Comma 2 2 3 2 5 12" xfId="21306" xr:uid="{00000000-0005-0000-0000-000052130000}"/>
    <cellStyle name="Comma 2 2 3 2 5 2" xfId="1087" xr:uid="{00000000-0005-0000-0000-000053130000}"/>
    <cellStyle name="Comma 2 2 3 2 5 2 10" xfId="45196" xr:uid="{00000000-0005-0000-0000-000054130000}"/>
    <cellStyle name="Comma 2 2 3 2 5 2 11" xfId="21918" xr:uid="{00000000-0005-0000-0000-000055130000}"/>
    <cellStyle name="Comma 2 2 3 2 5 2 2" xfId="2311" xr:uid="{00000000-0005-0000-0000-000056130000}"/>
    <cellStyle name="Comma 2 2 3 2 5 2 2 10" xfId="23142" xr:uid="{00000000-0005-0000-0000-000057130000}"/>
    <cellStyle name="Comma 2 2 3 2 5 2 2 2" xfId="4759" xr:uid="{00000000-0005-0000-0000-000058130000}"/>
    <cellStyle name="Comma 2 2 3 2 5 2 2 2 2" xfId="20694" xr:uid="{00000000-0005-0000-0000-000059130000}"/>
    <cellStyle name="Comma 2 2 3 2 5 2 2 2 2 2" xfId="43972" xr:uid="{00000000-0005-0000-0000-00005A130000}"/>
    <cellStyle name="Comma 2 2 3 2 5 2 2 2 3" xfId="48868" xr:uid="{00000000-0005-0000-0000-00005B130000}"/>
    <cellStyle name="Comma 2 2 3 2 5 2 2 2 4" xfId="28038" xr:uid="{00000000-0005-0000-0000-00005C130000}"/>
    <cellStyle name="Comma 2 2 3 2 5 2 2 3" xfId="7207" xr:uid="{00000000-0005-0000-0000-00005D130000}"/>
    <cellStyle name="Comma 2 2 3 2 5 2 2 3 2" xfId="30486" xr:uid="{00000000-0005-0000-0000-00005E130000}"/>
    <cellStyle name="Comma 2 2 3 2 5 2 2 4" xfId="9655" xr:uid="{00000000-0005-0000-0000-00005F130000}"/>
    <cellStyle name="Comma 2 2 3 2 5 2 2 4 2" xfId="32934" xr:uid="{00000000-0005-0000-0000-000060130000}"/>
    <cellStyle name="Comma 2 2 3 2 5 2 2 5" xfId="12103" xr:uid="{00000000-0005-0000-0000-000061130000}"/>
    <cellStyle name="Comma 2 2 3 2 5 2 2 5 2" xfId="35382" xr:uid="{00000000-0005-0000-0000-000062130000}"/>
    <cellStyle name="Comma 2 2 3 2 5 2 2 6" xfId="14551" xr:uid="{00000000-0005-0000-0000-000063130000}"/>
    <cellStyle name="Comma 2 2 3 2 5 2 2 6 2" xfId="37830" xr:uid="{00000000-0005-0000-0000-000064130000}"/>
    <cellStyle name="Comma 2 2 3 2 5 2 2 7" xfId="18246" xr:uid="{00000000-0005-0000-0000-000065130000}"/>
    <cellStyle name="Comma 2 2 3 2 5 2 2 7 2" xfId="41524" xr:uid="{00000000-0005-0000-0000-000066130000}"/>
    <cellStyle name="Comma 2 2 3 2 5 2 2 8" xfId="25590" xr:uid="{00000000-0005-0000-0000-000067130000}"/>
    <cellStyle name="Comma 2 2 3 2 5 2 2 9" xfId="46420" xr:uid="{00000000-0005-0000-0000-000068130000}"/>
    <cellStyle name="Comma 2 2 3 2 5 2 3" xfId="3535" xr:uid="{00000000-0005-0000-0000-000069130000}"/>
    <cellStyle name="Comma 2 2 3 2 5 2 3 2" xfId="17022" xr:uid="{00000000-0005-0000-0000-00006A130000}"/>
    <cellStyle name="Comma 2 2 3 2 5 2 3 2 2" xfId="40300" xr:uid="{00000000-0005-0000-0000-00006B130000}"/>
    <cellStyle name="Comma 2 2 3 2 5 2 3 3" xfId="47644" xr:uid="{00000000-0005-0000-0000-00006C130000}"/>
    <cellStyle name="Comma 2 2 3 2 5 2 3 4" xfId="26814" xr:uid="{00000000-0005-0000-0000-00006D130000}"/>
    <cellStyle name="Comma 2 2 3 2 5 2 4" xfId="5983" xr:uid="{00000000-0005-0000-0000-00006E130000}"/>
    <cellStyle name="Comma 2 2 3 2 5 2 4 2" xfId="19470" xr:uid="{00000000-0005-0000-0000-00006F130000}"/>
    <cellStyle name="Comma 2 2 3 2 5 2 4 2 2" xfId="42748" xr:uid="{00000000-0005-0000-0000-000070130000}"/>
    <cellStyle name="Comma 2 2 3 2 5 2 4 3" xfId="29262" xr:uid="{00000000-0005-0000-0000-000071130000}"/>
    <cellStyle name="Comma 2 2 3 2 5 2 5" xfId="8431" xr:uid="{00000000-0005-0000-0000-000072130000}"/>
    <cellStyle name="Comma 2 2 3 2 5 2 5 2" xfId="31710" xr:uid="{00000000-0005-0000-0000-000073130000}"/>
    <cellStyle name="Comma 2 2 3 2 5 2 6" xfId="10879" xr:uid="{00000000-0005-0000-0000-000074130000}"/>
    <cellStyle name="Comma 2 2 3 2 5 2 6 2" xfId="34158" xr:uid="{00000000-0005-0000-0000-000075130000}"/>
    <cellStyle name="Comma 2 2 3 2 5 2 7" xfId="13327" xr:uid="{00000000-0005-0000-0000-000076130000}"/>
    <cellStyle name="Comma 2 2 3 2 5 2 7 2" xfId="36606" xr:uid="{00000000-0005-0000-0000-000077130000}"/>
    <cellStyle name="Comma 2 2 3 2 5 2 8" xfId="15798" xr:uid="{00000000-0005-0000-0000-000078130000}"/>
    <cellStyle name="Comma 2 2 3 2 5 2 8 2" xfId="39076" xr:uid="{00000000-0005-0000-0000-000079130000}"/>
    <cellStyle name="Comma 2 2 3 2 5 2 9" xfId="24366" xr:uid="{00000000-0005-0000-0000-00007A130000}"/>
    <cellStyle name="Comma 2 2 3 2 5 3" xfId="1699" xr:uid="{00000000-0005-0000-0000-00007B130000}"/>
    <cellStyle name="Comma 2 2 3 2 5 3 10" xfId="22530" xr:uid="{00000000-0005-0000-0000-00007C130000}"/>
    <cellStyle name="Comma 2 2 3 2 5 3 2" xfId="4147" xr:uid="{00000000-0005-0000-0000-00007D130000}"/>
    <cellStyle name="Comma 2 2 3 2 5 3 2 2" xfId="20082" xr:uid="{00000000-0005-0000-0000-00007E130000}"/>
    <cellStyle name="Comma 2 2 3 2 5 3 2 2 2" xfId="43360" xr:uid="{00000000-0005-0000-0000-00007F130000}"/>
    <cellStyle name="Comma 2 2 3 2 5 3 2 3" xfId="48256" xr:uid="{00000000-0005-0000-0000-000080130000}"/>
    <cellStyle name="Comma 2 2 3 2 5 3 2 4" xfId="27426" xr:uid="{00000000-0005-0000-0000-000081130000}"/>
    <cellStyle name="Comma 2 2 3 2 5 3 3" xfId="6595" xr:uid="{00000000-0005-0000-0000-000082130000}"/>
    <cellStyle name="Comma 2 2 3 2 5 3 3 2" xfId="29874" xr:uid="{00000000-0005-0000-0000-000083130000}"/>
    <cellStyle name="Comma 2 2 3 2 5 3 4" xfId="9043" xr:uid="{00000000-0005-0000-0000-000084130000}"/>
    <cellStyle name="Comma 2 2 3 2 5 3 4 2" xfId="32322" xr:uid="{00000000-0005-0000-0000-000085130000}"/>
    <cellStyle name="Comma 2 2 3 2 5 3 5" xfId="11491" xr:uid="{00000000-0005-0000-0000-000086130000}"/>
    <cellStyle name="Comma 2 2 3 2 5 3 5 2" xfId="34770" xr:uid="{00000000-0005-0000-0000-000087130000}"/>
    <cellStyle name="Comma 2 2 3 2 5 3 6" xfId="13939" xr:uid="{00000000-0005-0000-0000-000088130000}"/>
    <cellStyle name="Comma 2 2 3 2 5 3 6 2" xfId="37218" xr:uid="{00000000-0005-0000-0000-000089130000}"/>
    <cellStyle name="Comma 2 2 3 2 5 3 7" xfId="17634" xr:uid="{00000000-0005-0000-0000-00008A130000}"/>
    <cellStyle name="Comma 2 2 3 2 5 3 7 2" xfId="40912" xr:uid="{00000000-0005-0000-0000-00008B130000}"/>
    <cellStyle name="Comma 2 2 3 2 5 3 8" xfId="24978" xr:uid="{00000000-0005-0000-0000-00008C130000}"/>
    <cellStyle name="Comma 2 2 3 2 5 3 9" xfId="45808" xr:uid="{00000000-0005-0000-0000-00008D130000}"/>
    <cellStyle name="Comma 2 2 3 2 5 4" xfId="2923" xr:uid="{00000000-0005-0000-0000-00008E130000}"/>
    <cellStyle name="Comma 2 2 3 2 5 4 2" xfId="16410" xr:uid="{00000000-0005-0000-0000-00008F130000}"/>
    <cellStyle name="Comma 2 2 3 2 5 4 2 2" xfId="39688" xr:uid="{00000000-0005-0000-0000-000090130000}"/>
    <cellStyle name="Comma 2 2 3 2 5 4 3" xfId="47032" xr:uid="{00000000-0005-0000-0000-000091130000}"/>
    <cellStyle name="Comma 2 2 3 2 5 4 4" xfId="26202" xr:uid="{00000000-0005-0000-0000-000092130000}"/>
    <cellStyle name="Comma 2 2 3 2 5 5" xfId="5371" xr:uid="{00000000-0005-0000-0000-000093130000}"/>
    <cellStyle name="Comma 2 2 3 2 5 5 2" xfId="18858" xr:uid="{00000000-0005-0000-0000-000094130000}"/>
    <cellStyle name="Comma 2 2 3 2 5 5 2 2" xfId="42136" xr:uid="{00000000-0005-0000-0000-000095130000}"/>
    <cellStyle name="Comma 2 2 3 2 5 5 3" xfId="28650" xr:uid="{00000000-0005-0000-0000-000096130000}"/>
    <cellStyle name="Comma 2 2 3 2 5 6" xfId="7819" xr:uid="{00000000-0005-0000-0000-000097130000}"/>
    <cellStyle name="Comma 2 2 3 2 5 6 2" xfId="31098" xr:uid="{00000000-0005-0000-0000-000098130000}"/>
    <cellStyle name="Comma 2 2 3 2 5 7" xfId="10267" xr:uid="{00000000-0005-0000-0000-000099130000}"/>
    <cellStyle name="Comma 2 2 3 2 5 7 2" xfId="33546" xr:uid="{00000000-0005-0000-0000-00009A130000}"/>
    <cellStyle name="Comma 2 2 3 2 5 8" xfId="12715" xr:uid="{00000000-0005-0000-0000-00009B130000}"/>
    <cellStyle name="Comma 2 2 3 2 5 8 2" xfId="35994" xr:uid="{00000000-0005-0000-0000-00009C130000}"/>
    <cellStyle name="Comma 2 2 3 2 5 9" xfId="15186" xr:uid="{00000000-0005-0000-0000-00009D130000}"/>
    <cellStyle name="Comma 2 2 3 2 5 9 2" xfId="38464" xr:uid="{00000000-0005-0000-0000-00009E130000}"/>
    <cellStyle name="Comma 2 2 3 2 6" xfId="679" xr:uid="{00000000-0005-0000-0000-00009F130000}"/>
    <cellStyle name="Comma 2 2 3 2 6 10" xfId="44788" xr:uid="{00000000-0005-0000-0000-0000A0130000}"/>
    <cellStyle name="Comma 2 2 3 2 6 11" xfId="21510" xr:uid="{00000000-0005-0000-0000-0000A1130000}"/>
    <cellStyle name="Comma 2 2 3 2 6 2" xfId="1903" xr:uid="{00000000-0005-0000-0000-0000A2130000}"/>
    <cellStyle name="Comma 2 2 3 2 6 2 10" xfId="22734" xr:uid="{00000000-0005-0000-0000-0000A3130000}"/>
    <cellStyle name="Comma 2 2 3 2 6 2 2" xfId="4351" xr:uid="{00000000-0005-0000-0000-0000A4130000}"/>
    <cellStyle name="Comma 2 2 3 2 6 2 2 2" xfId="20286" xr:uid="{00000000-0005-0000-0000-0000A5130000}"/>
    <cellStyle name="Comma 2 2 3 2 6 2 2 2 2" xfId="43564" xr:uid="{00000000-0005-0000-0000-0000A6130000}"/>
    <cellStyle name="Comma 2 2 3 2 6 2 2 3" xfId="48460" xr:uid="{00000000-0005-0000-0000-0000A7130000}"/>
    <cellStyle name="Comma 2 2 3 2 6 2 2 4" xfId="27630" xr:uid="{00000000-0005-0000-0000-0000A8130000}"/>
    <cellStyle name="Comma 2 2 3 2 6 2 3" xfId="6799" xr:uid="{00000000-0005-0000-0000-0000A9130000}"/>
    <cellStyle name="Comma 2 2 3 2 6 2 3 2" xfId="30078" xr:uid="{00000000-0005-0000-0000-0000AA130000}"/>
    <cellStyle name="Comma 2 2 3 2 6 2 4" xfId="9247" xr:uid="{00000000-0005-0000-0000-0000AB130000}"/>
    <cellStyle name="Comma 2 2 3 2 6 2 4 2" xfId="32526" xr:uid="{00000000-0005-0000-0000-0000AC130000}"/>
    <cellStyle name="Comma 2 2 3 2 6 2 5" xfId="11695" xr:uid="{00000000-0005-0000-0000-0000AD130000}"/>
    <cellStyle name="Comma 2 2 3 2 6 2 5 2" xfId="34974" xr:uid="{00000000-0005-0000-0000-0000AE130000}"/>
    <cellStyle name="Comma 2 2 3 2 6 2 6" xfId="14143" xr:uid="{00000000-0005-0000-0000-0000AF130000}"/>
    <cellStyle name="Comma 2 2 3 2 6 2 6 2" xfId="37422" xr:uid="{00000000-0005-0000-0000-0000B0130000}"/>
    <cellStyle name="Comma 2 2 3 2 6 2 7" xfId="17838" xr:uid="{00000000-0005-0000-0000-0000B1130000}"/>
    <cellStyle name="Comma 2 2 3 2 6 2 7 2" xfId="41116" xr:uid="{00000000-0005-0000-0000-0000B2130000}"/>
    <cellStyle name="Comma 2 2 3 2 6 2 8" xfId="25182" xr:uid="{00000000-0005-0000-0000-0000B3130000}"/>
    <cellStyle name="Comma 2 2 3 2 6 2 9" xfId="46012" xr:uid="{00000000-0005-0000-0000-0000B4130000}"/>
    <cellStyle name="Comma 2 2 3 2 6 3" xfId="3127" xr:uid="{00000000-0005-0000-0000-0000B5130000}"/>
    <cellStyle name="Comma 2 2 3 2 6 3 2" xfId="16614" xr:uid="{00000000-0005-0000-0000-0000B6130000}"/>
    <cellStyle name="Comma 2 2 3 2 6 3 2 2" xfId="39892" xr:uid="{00000000-0005-0000-0000-0000B7130000}"/>
    <cellStyle name="Comma 2 2 3 2 6 3 3" xfId="47236" xr:uid="{00000000-0005-0000-0000-0000B8130000}"/>
    <cellStyle name="Comma 2 2 3 2 6 3 4" xfId="26406" xr:uid="{00000000-0005-0000-0000-0000B9130000}"/>
    <cellStyle name="Comma 2 2 3 2 6 4" xfId="5575" xr:uid="{00000000-0005-0000-0000-0000BA130000}"/>
    <cellStyle name="Comma 2 2 3 2 6 4 2" xfId="19062" xr:uid="{00000000-0005-0000-0000-0000BB130000}"/>
    <cellStyle name="Comma 2 2 3 2 6 4 2 2" xfId="42340" xr:uid="{00000000-0005-0000-0000-0000BC130000}"/>
    <cellStyle name="Comma 2 2 3 2 6 4 3" xfId="28854" xr:uid="{00000000-0005-0000-0000-0000BD130000}"/>
    <cellStyle name="Comma 2 2 3 2 6 5" xfId="8023" xr:uid="{00000000-0005-0000-0000-0000BE130000}"/>
    <cellStyle name="Comma 2 2 3 2 6 5 2" xfId="31302" xr:uid="{00000000-0005-0000-0000-0000BF130000}"/>
    <cellStyle name="Comma 2 2 3 2 6 6" xfId="10471" xr:uid="{00000000-0005-0000-0000-0000C0130000}"/>
    <cellStyle name="Comma 2 2 3 2 6 6 2" xfId="33750" xr:uid="{00000000-0005-0000-0000-0000C1130000}"/>
    <cellStyle name="Comma 2 2 3 2 6 7" xfId="12919" xr:uid="{00000000-0005-0000-0000-0000C2130000}"/>
    <cellStyle name="Comma 2 2 3 2 6 7 2" xfId="36198" xr:uid="{00000000-0005-0000-0000-0000C3130000}"/>
    <cellStyle name="Comma 2 2 3 2 6 8" xfId="15390" xr:uid="{00000000-0005-0000-0000-0000C4130000}"/>
    <cellStyle name="Comma 2 2 3 2 6 8 2" xfId="38668" xr:uid="{00000000-0005-0000-0000-0000C5130000}"/>
    <cellStyle name="Comma 2 2 3 2 6 9" xfId="23958" xr:uid="{00000000-0005-0000-0000-0000C6130000}"/>
    <cellStyle name="Comma 2 2 3 2 7" xfId="1291" xr:uid="{00000000-0005-0000-0000-0000C7130000}"/>
    <cellStyle name="Comma 2 2 3 2 7 10" xfId="22122" xr:uid="{00000000-0005-0000-0000-0000C8130000}"/>
    <cellStyle name="Comma 2 2 3 2 7 2" xfId="3739" xr:uid="{00000000-0005-0000-0000-0000C9130000}"/>
    <cellStyle name="Comma 2 2 3 2 7 2 2" xfId="19674" xr:uid="{00000000-0005-0000-0000-0000CA130000}"/>
    <cellStyle name="Comma 2 2 3 2 7 2 2 2" xfId="42952" xr:uid="{00000000-0005-0000-0000-0000CB130000}"/>
    <cellStyle name="Comma 2 2 3 2 7 2 3" xfId="47848" xr:uid="{00000000-0005-0000-0000-0000CC130000}"/>
    <cellStyle name="Comma 2 2 3 2 7 2 4" xfId="27018" xr:uid="{00000000-0005-0000-0000-0000CD130000}"/>
    <cellStyle name="Comma 2 2 3 2 7 3" xfId="6187" xr:uid="{00000000-0005-0000-0000-0000CE130000}"/>
    <cellStyle name="Comma 2 2 3 2 7 3 2" xfId="29466" xr:uid="{00000000-0005-0000-0000-0000CF130000}"/>
    <cellStyle name="Comma 2 2 3 2 7 4" xfId="8635" xr:uid="{00000000-0005-0000-0000-0000D0130000}"/>
    <cellStyle name="Comma 2 2 3 2 7 4 2" xfId="31914" xr:uid="{00000000-0005-0000-0000-0000D1130000}"/>
    <cellStyle name="Comma 2 2 3 2 7 5" xfId="11083" xr:uid="{00000000-0005-0000-0000-0000D2130000}"/>
    <cellStyle name="Comma 2 2 3 2 7 5 2" xfId="34362" xr:uid="{00000000-0005-0000-0000-0000D3130000}"/>
    <cellStyle name="Comma 2 2 3 2 7 6" xfId="13531" xr:uid="{00000000-0005-0000-0000-0000D4130000}"/>
    <cellStyle name="Comma 2 2 3 2 7 6 2" xfId="36810" xr:uid="{00000000-0005-0000-0000-0000D5130000}"/>
    <cellStyle name="Comma 2 2 3 2 7 7" xfId="17226" xr:uid="{00000000-0005-0000-0000-0000D6130000}"/>
    <cellStyle name="Comma 2 2 3 2 7 7 2" xfId="40504" xr:uid="{00000000-0005-0000-0000-0000D7130000}"/>
    <cellStyle name="Comma 2 2 3 2 7 8" xfId="24570" xr:uid="{00000000-0005-0000-0000-0000D8130000}"/>
    <cellStyle name="Comma 2 2 3 2 7 9" xfId="45400" xr:uid="{00000000-0005-0000-0000-0000D9130000}"/>
    <cellStyle name="Comma 2 2 3 2 8" xfId="2515" xr:uid="{00000000-0005-0000-0000-0000DA130000}"/>
    <cellStyle name="Comma 2 2 3 2 8 2" xfId="16002" xr:uid="{00000000-0005-0000-0000-0000DB130000}"/>
    <cellStyle name="Comma 2 2 3 2 8 2 2" xfId="39280" xr:uid="{00000000-0005-0000-0000-0000DC130000}"/>
    <cellStyle name="Comma 2 2 3 2 8 3" xfId="46624" xr:uid="{00000000-0005-0000-0000-0000DD130000}"/>
    <cellStyle name="Comma 2 2 3 2 8 4" xfId="25794" xr:uid="{00000000-0005-0000-0000-0000DE130000}"/>
    <cellStyle name="Comma 2 2 3 2 9" xfId="4963" xr:uid="{00000000-0005-0000-0000-0000DF130000}"/>
    <cellStyle name="Comma 2 2 3 2 9 2" xfId="18450" xr:uid="{00000000-0005-0000-0000-0000E0130000}"/>
    <cellStyle name="Comma 2 2 3 2 9 2 2" xfId="41728" xr:uid="{00000000-0005-0000-0000-0000E1130000}"/>
    <cellStyle name="Comma 2 2 3 2 9 3" xfId="28242" xr:uid="{00000000-0005-0000-0000-0000E2130000}"/>
    <cellStyle name="Comma 2 2 3 20" xfId="49059" xr:uid="{00000000-0005-0000-0000-0000E3130000}"/>
    <cellStyle name="Comma 2 2 3 3" xfId="84" xr:uid="{00000000-0005-0000-0000-0000E4130000}"/>
    <cellStyle name="Comma 2 2 3 3 10" xfId="7428" xr:uid="{00000000-0005-0000-0000-0000E5130000}"/>
    <cellStyle name="Comma 2 2 3 3 10 2" xfId="30707" xr:uid="{00000000-0005-0000-0000-0000E6130000}"/>
    <cellStyle name="Comma 2 2 3 3 11" xfId="9876" xr:uid="{00000000-0005-0000-0000-0000E7130000}"/>
    <cellStyle name="Comma 2 2 3 3 11 2" xfId="33155" xr:uid="{00000000-0005-0000-0000-0000E8130000}"/>
    <cellStyle name="Comma 2 2 3 3 12" xfId="12324" xr:uid="{00000000-0005-0000-0000-0000E9130000}"/>
    <cellStyle name="Comma 2 2 3 3 12 2" xfId="35603" xr:uid="{00000000-0005-0000-0000-0000EA130000}"/>
    <cellStyle name="Comma 2 2 3 3 13" xfId="14795" xr:uid="{00000000-0005-0000-0000-0000EB130000}"/>
    <cellStyle name="Comma 2 2 3 3 13 2" xfId="38073" xr:uid="{00000000-0005-0000-0000-0000EC130000}"/>
    <cellStyle name="Comma 2 2 3 3 14" xfId="23363" xr:uid="{00000000-0005-0000-0000-0000ED130000}"/>
    <cellStyle name="Comma 2 2 3 3 15" xfId="44193" xr:uid="{00000000-0005-0000-0000-0000EE130000}"/>
    <cellStyle name="Comma 2 2 3 3 16" xfId="20915" xr:uid="{00000000-0005-0000-0000-0000EF130000}"/>
    <cellStyle name="Comma 2 2 3 3 2" xfId="152" xr:uid="{00000000-0005-0000-0000-0000F0130000}"/>
    <cellStyle name="Comma 2 2 3 3 2 10" xfId="12392" xr:uid="{00000000-0005-0000-0000-0000F1130000}"/>
    <cellStyle name="Comma 2 2 3 3 2 10 2" xfId="35671" xr:uid="{00000000-0005-0000-0000-0000F2130000}"/>
    <cellStyle name="Comma 2 2 3 3 2 11" xfId="14863" xr:uid="{00000000-0005-0000-0000-0000F3130000}"/>
    <cellStyle name="Comma 2 2 3 3 2 11 2" xfId="38141" xr:uid="{00000000-0005-0000-0000-0000F4130000}"/>
    <cellStyle name="Comma 2 2 3 3 2 12" xfId="23431" xr:uid="{00000000-0005-0000-0000-0000F5130000}"/>
    <cellStyle name="Comma 2 2 3 3 2 13" xfId="44261" xr:uid="{00000000-0005-0000-0000-0000F6130000}"/>
    <cellStyle name="Comma 2 2 3 3 2 14" xfId="20983" xr:uid="{00000000-0005-0000-0000-0000F7130000}"/>
    <cellStyle name="Comma 2 2 3 3 2 2" xfId="356" xr:uid="{00000000-0005-0000-0000-0000F8130000}"/>
    <cellStyle name="Comma 2 2 3 3 2 2 10" xfId="23635" xr:uid="{00000000-0005-0000-0000-0000F9130000}"/>
    <cellStyle name="Comma 2 2 3 3 2 2 11" xfId="44465" xr:uid="{00000000-0005-0000-0000-0000FA130000}"/>
    <cellStyle name="Comma 2 2 3 3 2 2 12" xfId="21187" xr:uid="{00000000-0005-0000-0000-0000FB130000}"/>
    <cellStyle name="Comma 2 2 3 3 2 2 2" xfId="968" xr:uid="{00000000-0005-0000-0000-0000FC130000}"/>
    <cellStyle name="Comma 2 2 3 3 2 2 2 10" xfId="45077" xr:uid="{00000000-0005-0000-0000-0000FD130000}"/>
    <cellStyle name="Comma 2 2 3 3 2 2 2 11" xfId="21799" xr:uid="{00000000-0005-0000-0000-0000FE130000}"/>
    <cellStyle name="Comma 2 2 3 3 2 2 2 2" xfId="2192" xr:uid="{00000000-0005-0000-0000-0000FF130000}"/>
    <cellStyle name="Comma 2 2 3 3 2 2 2 2 10" xfId="23023" xr:uid="{00000000-0005-0000-0000-000000140000}"/>
    <cellStyle name="Comma 2 2 3 3 2 2 2 2 2" xfId="4640" xr:uid="{00000000-0005-0000-0000-000001140000}"/>
    <cellStyle name="Comma 2 2 3 3 2 2 2 2 2 2" xfId="20575" xr:uid="{00000000-0005-0000-0000-000002140000}"/>
    <cellStyle name="Comma 2 2 3 3 2 2 2 2 2 2 2" xfId="43853" xr:uid="{00000000-0005-0000-0000-000003140000}"/>
    <cellStyle name="Comma 2 2 3 3 2 2 2 2 2 3" xfId="48749" xr:uid="{00000000-0005-0000-0000-000004140000}"/>
    <cellStyle name="Comma 2 2 3 3 2 2 2 2 2 4" xfId="27919" xr:uid="{00000000-0005-0000-0000-000005140000}"/>
    <cellStyle name="Comma 2 2 3 3 2 2 2 2 3" xfId="7088" xr:uid="{00000000-0005-0000-0000-000006140000}"/>
    <cellStyle name="Comma 2 2 3 3 2 2 2 2 3 2" xfId="30367" xr:uid="{00000000-0005-0000-0000-000007140000}"/>
    <cellStyle name="Comma 2 2 3 3 2 2 2 2 4" xfId="9536" xr:uid="{00000000-0005-0000-0000-000008140000}"/>
    <cellStyle name="Comma 2 2 3 3 2 2 2 2 4 2" xfId="32815" xr:uid="{00000000-0005-0000-0000-000009140000}"/>
    <cellStyle name="Comma 2 2 3 3 2 2 2 2 5" xfId="11984" xr:uid="{00000000-0005-0000-0000-00000A140000}"/>
    <cellStyle name="Comma 2 2 3 3 2 2 2 2 5 2" xfId="35263" xr:uid="{00000000-0005-0000-0000-00000B140000}"/>
    <cellStyle name="Comma 2 2 3 3 2 2 2 2 6" xfId="14432" xr:uid="{00000000-0005-0000-0000-00000C140000}"/>
    <cellStyle name="Comma 2 2 3 3 2 2 2 2 6 2" xfId="37711" xr:uid="{00000000-0005-0000-0000-00000D140000}"/>
    <cellStyle name="Comma 2 2 3 3 2 2 2 2 7" xfId="18127" xr:uid="{00000000-0005-0000-0000-00000E140000}"/>
    <cellStyle name="Comma 2 2 3 3 2 2 2 2 7 2" xfId="41405" xr:uid="{00000000-0005-0000-0000-00000F140000}"/>
    <cellStyle name="Comma 2 2 3 3 2 2 2 2 8" xfId="25471" xr:uid="{00000000-0005-0000-0000-000010140000}"/>
    <cellStyle name="Comma 2 2 3 3 2 2 2 2 9" xfId="46301" xr:uid="{00000000-0005-0000-0000-000011140000}"/>
    <cellStyle name="Comma 2 2 3 3 2 2 2 3" xfId="3416" xr:uid="{00000000-0005-0000-0000-000012140000}"/>
    <cellStyle name="Comma 2 2 3 3 2 2 2 3 2" xfId="16903" xr:uid="{00000000-0005-0000-0000-000013140000}"/>
    <cellStyle name="Comma 2 2 3 3 2 2 2 3 2 2" xfId="40181" xr:uid="{00000000-0005-0000-0000-000014140000}"/>
    <cellStyle name="Comma 2 2 3 3 2 2 2 3 3" xfId="47525" xr:uid="{00000000-0005-0000-0000-000015140000}"/>
    <cellStyle name="Comma 2 2 3 3 2 2 2 3 4" xfId="26695" xr:uid="{00000000-0005-0000-0000-000016140000}"/>
    <cellStyle name="Comma 2 2 3 3 2 2 2 4" xfId="5864" xr:uid="{00000000-0005-0000-0000-000017140000}"/>
    <cellStyle name="Comma 2 2 3 3 2 2 2 4 2" xfId="19351" xr:uid="{00000000-0005-0000-0000-000018140000}"/>
    <cellStyle name="Comma 2 2 3 3 2 2 2 4 2 2" xfId="42629" xr:uid="{00000000-0005-0000-0000-000019140000}"/>
    <cellStyle name="Comma 2 2 3 3 2 2 2 4 3" xfId="29143" xr:uid="{00000000-0005-0000-0000-00001A140000}"/>
    <cellStyle name="Comma 2 2 3 3 2 2 2 5" xfId="8312" xr:uid="{00000000-0005-0000-0000-00001B140000}"/>
    <cellStyle name="Comma 2 2 3 3 2 2 2 5 2" xfId="31591" xr:uid="{00000000-0005-0000-0000-00001C140000}"/>
    <cellStyle name="Comma 2 2 3 3 2 2 2 6" xfId="10760" xr:uid="{00000000-0005-0000-0000-00001D140000}"/>
    <cellStyle name="Comma 2 2 3 3 2 2 2 6 2" xfId="34039" xr:uid="{00000000-0005-0000-0000-00001E140000}"/>
    <cellStyle name="Comma 2 2 3 3 2 2 2 7" xfId="13208" xr:uid="{00000000-0005-0000-0000-00001F140000}"/>
    <cellStyle name="Comma 2 2 3 3 2 2 2 7 2" xfId="36487" xr:uid="{00000000-0005-0000-0000-000020140000}"/>
    <cellStyle name="Comma 2 2 3 3 2 2 2 8" xfId="15679" xr:uid="{00000000-0005-0000-0000-000021140000}"/>
    <cellStyle name="Comma 2 2 3 3 2 2 2 8 2" xfId="38957" xr:uid="{00000000-0005-0000-0000-000022140000}"/>
    <cellStyle name="Comma 2 2 3 3 2 2 2 9" xfId="24247" xr:uid="{00000000-0005-0000-0000-000023140000}"/>
    <cellStyle name="Comma 2 2 3 3 2 2 3" xfId="1580" xr:uid="{00000000-0005-0000-0000-000024140000}"/>
    <cellStyle name="Comma 2 2 3 3 2 2 3 10" xfId="22411" xr:uid="{00000000-0005-0000-0000-000025140000}"/>
    <cellStyle name="Comma 2 2 3 3 2 2 3 2" xfId="4028" xr:uid="{00000000-0005-0000-0000-000026140000}"/>
    <cellStyle name="Comma 2 2 3 3 2 2 3 2 2" xfId="19963" xr:uid="{00000000-0005-0000-0000-000027140000}"/>
    <cellStyle name="Comma 2 2 3 3 2 2 3 2 2 2" xfId="43241" xr:uid="{00000000-0005-0000-0000-000028140000}"/>
    <cellStyle name="Comma 2 2 3 3 2 2 3 2 3" xfId="48137" xr:uid="{00000000-0005-0000-0000-000029140000}"/>
    <cellStyle name="Comma 2 2 3 3 2 2 3 2 4" xfId="27307" xr:uid="{00000000-0005-0000-0000-00002A140000}"/>
    <cellStyle name="Comma 2 2 3 3 2 2 3 3" xfId="6476" xr:uid="{00000000-0005-0000-0000-00002B140000}"/>
    <cellStyle name="Comma 2 2 3 3 2 2 3 3 2" xfId="29755" xr:uid="{00000000-0005-0000-0000-00002C140000}"/>
    <cellStyle name="Comma 2 2 3 3 2 2 3 4" xfId="8924" xr:uid="{00000000-0005-0000-0000-00002D140000}"/>
    <cellStyle name="Comma 2 2 3 3 2 2 3 4 2" xfId="32203" xr:uid="{00000000-0005-0000-0000-00002E140000}"/>
    <cellStyle name="Comma 2 2 3 3 2 2 3 5" xfId="11372" xr:uid="{00000000-0005-0000-0000-00002F140000}"/>
    <cellStyle name="Comma 2 2 3 3 2 2 3 5 2" xfId="34651" xr:uid="{00000000-0005-0000-0000-000030140000}"/>
    <cellStyle name="Comma 2 2 3 3 2 2 3 6" xfId="13820" xr:uid="{00000000-0005-0000-0000-000031140000}"/>
    <cellStyle name="Comma 2 2 3 3 2 2 3 6 2" xfId="37099" xr:uid="{00000000-0005-0000-0000-000032140000}"/>
    <cellStyle name="Comma 2 2 3 3 2 2 3 7" xfId="17515" xr:uid="{00000000-0005-0000-0000-000033140000}"/>
    <cellStyle name="Comma 2 2 3 3 2 2 3 7 2" xfId="40793" xr:uid="{00000000-0005-0000-0000-000034140000}"/>
    <cellStyle name="Comma 2 2 3 3 2 2 3 8" xfId="24859" xr:uid="{00000000-0005-0000-0000-000035140000}"/>
    <cellStyle name="Comma 2 2 3 3 2 2 3 9" xfId="45689" xr:uid="{00000000-0005-0000-0000-000036140000}"/>
    <cellStyle name="Comma 2 2 3 3 2 2 4" xfId="2804" xr:uid="{00000000-0005-0000-0000-000037140000}"/>
    <cellStyle name="Comma 2 2 3 3 2 2 4 2" xfId="16291" xr:uid="{00000000-0005-0000-0000-000038140000}"/>
    <cellStyle name="Comma 2 2 3 3 2 2 4 2 2" xfId="39569" xr:uid="{00000000-0005-0000-0000-000039140000}"/>
    <cellStyle name="Comma 2 2 3 3 2 2 4 3" xfId="46913" xr:uid="{00000000-0005-0000-0000-00003A140000}"/>
    <cellStyle name="Comma 2 2 3 3 2 2 4 4" xfId="26083" xr:uid="{00000000-0005-0000-0000-00003B140000}"/>
    <cellStyle name="Comma 2 2 3 3 2 2 5" xfId="5252" xr:uid="{00000000-0005-0000-0000-00003C140000}"/>
    <cellStyle name="Comma 2 2 3 3 2 2 5 2" xfId="18739" xr:uid="{00000000-0005-0000-0000-00003D140000}"/>
    <cellStyle name="Comma 2 2 3 3 2 2 5 2 2" xfId="42017" xr:uid="{00000000-0005-0000-0000-00003E140000}"/>
    <cellStyle name="Comma 2 2 3 3 2 2 5 3" xfId="28531" xr:uid="{00000000-0005-0000-0000-00003F140000}"/>
    <cellStyle name="Comma 2 2 3 3 2 2 6" xfId="7700" xr:uid="{00000000-0005-0000-0000-000040140000}"/>
    <cellStyle name="Comma 2 2 3 3 2 2 6 2" xfId="30979" xr:uid="{00000000-0005-0000-0000-000041140000}"/>
    <cellStyle name="Comma 2 2 3 3 2 2 7" xfId="10148" xr:uid="{00000000-0005-0000-0000-000042140000}"/>
    <cellStyle name="Comma 2 2 3 3 2 2 7 2" xfId="33427" xr:uid="{00000000-0005-0000-0000-000043140000}"/>
    <cellStyle name="Comma 2 2 3 3 2 2 8" xfId="12596" xr:uid="{00000000-0005-0000-0000-000044140000}"/>
    <cellStyle name="Comma 2 2 3 3 2 2 8 2" xfId="35875" xr:uid="{00000000-0005-0000-0000-000045140000}"/>
    <cellStyle name="Comma 2 2 3 3 2 2 9" xfId="15067" xr:uid="{00000000-0005-0000-0000-000046140000}"/>
    <cellStyle name="Comma 2 2 3 3 2 2 9 2" xfId="38345" xr:uid="{00000000-0005-0000-0000-000047140000}"/>
    <cellStyle name="Comma 2 2 3 3 2 3" xfId="560" xr:uid="{00000000-0005-0000-0000-000048140000}"/>
    <cellStyle name="Comma 2 2 3 3 2 3 10" xfId="23839" xr:uid="{00000000-0005-0000-0000-000049140000}"/>
    <cellStyle name="Comma 2 2 3 3 2 3 11" xfId="44669" xr:uid="{00000000-0005-0000-0000-00004A140000}"/>
    <cellStyle name="Comma 2 2 3 3 2 3 12" xfId="21391" xr:uid="{00000000-0005-0000-0000-00004B140000}"/>
    <cellStyle name="Comma 2 2 3 3 2 3 2" xfId="1172" xr:uid="{00000000-0005-0000-0000-00004C140000}"/>
    <cellStyle name="Comma 2 2 3 3 2 3 2 10" xfId="45281" xr:uid="{00000000-0005-0000-0000-00004D140000}"/>
    <cellStyle name="Comma 2 2 3 3 2 3 2 11" xfId="22003" xr:uid="{00000000-0005-0000-0000-00004E140000}"/>
    <cellStyle name="Comma 2 2 3 3 2 3 2 2" xfId="2396" xr:uid="{00000000-0005-0000-0000-00004F140000}"/>
    <cellStyle name="Comma 2 2 3 3 2 3 2 2 10" xfId="23227" xr:uid="{00000000-0005-0000-0000-000050140000}"/>
    <cellStyle name="Comma 2 2 3 3 2 3 2 2 2" xfId="4844" xr:uid="{00000000-0005-0000-0000-000051140000}"/>
    <cellStyle name="Comma 2 2 3 3 2 3 2 2 2 2" xfId="20779" xr:uid="{00000000-0005-0000-0000-000052140000}"/>
    <cellStyle name="Comma 2 2 3 3 2 3 2 2 2 2 2" xfId="44057" xr:uid="{00000000-0005-0000-0000-000053140000}"/>
    <cellStyle name="Comma 2 2 3 3 2 3 2 2 2 3" xfId="48953" xr:uid="{00000000-0005-0000-0000-000054140000}"/>
    <cellStyle name="Comma 2 2 3 3 2 3 2 2 2 4" xfId="28123" xr:uid="{00000000-0005-0000-0000-000055140000}"/>
    <cellStyle name="Comma 2 2 3 3 2 3 2 2 3" xfId="7292" xr:uid="{00000000-0005-0000-0000-000056140000}"/>
    <cellStyle name="Comma 2 2 3 3 2 3 2 2 3 2" xfId="30571" xr:uid="{00000000-0005-0000-0000-000057140000}"/>
    <cellStyle name="Comma 2 2 3 3 2 3 2 2 4" xfId="9740" xr:uid="{00000000-0005-0000-0000-000058140000}"/>
    <cellStyle name="Comma 2 2 3 3 2 3 2 2 4 2" xfId="33019" xr:uid="{00000000-0005-0000-0000-000059140000}"/>
    <cellStyle name="Comma 2 2 3 3 2 3 2 2 5" xfId="12188" xr:uid="{00000000-0005-0000-0000-00005A140000}"/>
    <cellStyle name="Comma 2 2 3 3 2 3 2 2 5 2" xfId="35467" xr:uid="{00000000-0005-0000-0000-00005B140000}"/>
    <cellStyle name="Comma 2 2 3 3 2 3 2 2 6" xfId="14636" xr:uid="{00000000-0005-0000-0000-00005C140000}"/>
    <cellStyle name="Comma 2 2 3 3 2 3 2 2 6 2" xfId="37915" xr:uid="{00000000-0005-0000-0000-00005D140000}"/>
    <cellStyle name="Comma 2 2 3 3 2 3 2 2 7" xfId="18331" xr:uid="{00000000-0005-0000-0000-00005E140000}"/>
    <cellStyle name="Comma 2 2 3 3 2 3 2 2 7 2" xfId="41609" xr:uid="{00000000-0005-0000-0000-00005F140000}"/>
    <cellStyle name="Comma 2 2 3 3 2 3 2 2 8" xfId="25675" xr:uid="{00000000-0005-0000-0000-000060140000}"/>
    <cellStyle name="Comma 2 2 3 3 2 3 2 2 9" xfId="46505" xr:uid="{00000000-0005-0000-0000-000061140000}"/>
    <cellStyle name="Comma 2 2 3 3 2 3 2 3" xfId="3620" xr:uid="{00000000-0005-0000-0000-000062140000}"/>
    <cellStyle name="Comma 2 2 3 3 2 3 2 3 2" xfId="17107" xr:uid="{00000000-0005-0000-0000-000063140000}"/>
    <cellStyle name="Comma 2 2 3 3 2 3 2 3 2 2" xfId="40385" xr:uid="{00000000-0005-0000-0000-000064140000}"/>
    <cellStyle name="Comma 2 2 3 3 2 3 2 3 3" xfId="47729" xr:uid="{00000000-0005-0000-0000-000065140000}"/>
    <cellStyle name="Comma 2 2 3 3 2 3 2 3 4" xfId="26899" xr:uid="{00000000-0005-0000-0000-000066140000}"/>
    <cellStyle name="Comma 2 2 3 3 2 3 2 4" xfId="6068" xr:uid="{00000000-0005-0000-0000-000067140000}"/>
    <cellStyle name="Comma 2 2 3 3 2 3 2 4 2" xfId="19555" xr:uid="{00000000-0005-0000-0000-000068140000}"/>
    <cellStyle name="Comma 2 2 3 3 2 3 2 4 2 2" xfId="42833" xr:uid="{00000000-0005-0000-0000-000069140000}"/>
    <cellStyle name="Comma 2 2 3 3 2 3 2 4 3" xfId="29347" xr:uid="{00000000-0005-0000-0000-00006A140000}"/>
    <cellStyle name="Comma 2 2 3 3 2 3 2 5" xfId="8516" xr:uid="{00000000-0005-0000-0000-00006B140000}"/>
    <cellStyle name="Comma 2 2 3 3 2 3 2 5 2" xfId="31795" xr:uid="{00000000-0005-0000-0000-00006C140000}"/>
    <cellStyle name="Comma 2 2 3 3 2 3 2 6" xfId="10964" xr:uid="{00000000-0005-0000-0000-00006D140000}"/>
    <cellStyle name="Comma 2 2 3 3 2 3 2 6 2" xfId="34243" xr:uid="{00000000-0005-0000-0000-00006E140000}"/>
    <cellStyle name="Comma 2 2 3 3 2 3 2 7" xfId="13412" xr:uid="{00000000-0005-0000-0000-00006F140000}"/>
    <cellStyle name="Comma 2 2 3 3 2 3 2 7 2" xfId="36691" xr:uid="{00000000-0005-0000-0000-000070140000}"/>
    <cellStyle name="Comma 2 2 3 3 2 3 2 8" xfId="15883" xr:uid="{00000000-0005-0000-0000-000071140000}"/>
    <cellStyle name="Comma 2 2 3 3 2 3 2 8 2" xfId="39161" xr:uid="{00000000-0005-0000-0000-000072140000}"/>
    <cellStyle name="Comma 2 2 3 3 2 3 2 9" xfId="24451" xr:uid="{00000000-0005-0000-0000-000073140000}"/>
    <cellStyle name="Comma 2 2 3 3 2 3 3" xfId="1784" xr:uid="{00000000-0005-0000-0000-000074140000}"/>
    <cellStyle name="Comma 2 2 3 3 2 3 3 10" xfId="22615" xr:uid="{00000000-0005-0000-0000-000075140000}"/>
    <cellStyle name="Comma 2 2 3 3 2 3 3 2" xfId="4232" xr:uid="{00000000-0005-0000-0000-000076140000}"/>
    <cellStyle name="Comma 2 2 3 3 2 3 3 2 2" xfId="20167" xr:uid="{00000000-0005-0000-0000-000077140000}"/>
    <cellStyle name="Comma 2 2 3 3 2 3 3 2 2 2" xfId="43445" xr:uid="{00000000-0005-0000-0000-000078140000}"/>
    <cellStyle name="Comma 2 2 3 3 2 3 3 2 3" xfId="48341" xr:uid="{00000000-0005-0000-0000-000079140000}"/>
    <cellStyle name="Comma 2 2 3 3 2 3 3 2 4" xfId="27511" xr:uid="{00000000-0005-0000-0000-00007A140000}"/>
    <cellStyle name="Comma 2 2 3 3 2 3 3 3" xfId="6680" xr:uid="{00000000-0005-0000-0000-00007B140000}"/>
    <cellStyle name="Comma 2 2 3 3 2 3 3 3 2" xfId="29959" xr:uid="{00000000-0005-0000-0000-00007C140000}"/>
    <cellStyle name="Comma 2 2 3 3 2 3 3 4" xfId="9128" xr:uid="{00000000-0005-0000-0000-00007D140000}"/>
    <cellStyle name="Comma 2 2 3 3 2 3 3 4 2" xfId="32407" xr:uid="{00000000-0005-0000-0000-00007E140000}"/>
    <cellStyle name="Comma 2 2 3 3 2 3 3 5" xfId="11576" xr:uid="{00000000-0005-0000-0000-00007F140000}"/>
    <cellStyle name="Comma 2 2 3 3 2 3 3 5 2" xfId="34855" xr:uid="{00000000-0005-0000-0000-000080140000}"/>
    <cellStyle name="Comma 2 2 3 3 2 3 3 6" xfId="14024" xr:uid="{00000000-0005-0000-0000-000081140000}"/>
    <cellStyle name="Comma 2 2 3 3 2 3 3 6 2" xfId="37303" xr:uid="{00000000-0005-0000-0000-000082140000}"/>
    <cellStyle name="Comma 2 2 3 3 2 3 3 7" xfId="17719" xr:uid="{00000000-0005-0000-0000-000083140000}"/>
    <cellStyle name="Comma 2 2 3 3 2 3 3 7 2" xfId="40997" xr:uid="{00000000-0005-0000-0000-000084140000}"/>
    <cellStyle name="Comma 2 2 3 3 2 3 3 8" xfId="25063" xr:uid="{00000000-0005-0000-0000-000085140000}"/>
    <cellStyle name="Comma 2 2 3 3 2 3 3 9" xfId="45893" xr:uid="{00000000-0005-0000-0000-000086140000}"/>
    <cellStyle name="Comma 2 2 3 3 2 3 4" xfId="3008" xr:uid="{00000000-0005-0000-0000-000087140000}"/>
    <cellStyle name="Comma 2 2 3 3 2 3 4 2" xfId="16495" xr:uid="{00000000-0005-0000-0000-000088140000}"/>
    <cellStyle name="Comma 2 2 3 3 2 3 4 2 2" xfId="39773" xr:uid="{00000000-0005-0000-0000-000089140000}"/>
    <cellStyle name="Comma 2 2 3 3 2 3 4 3" xfId="47117" xr:uid="{00000000-0005-0000-0000-00008A140000}"/>
    <cellStyle name="Comma 2 2 3 3 2 3 4 4" xfId="26287" xr:uid="{00000000-0005-0000-0000-00008B140000}"/>
    <cellStyle name="Comma 2 2 3 3 2 3 5" xfId="5456" xr:uid="{00000000-0005-0000-0000-00008C140000}"/>
    <cellStyle name="Comma 2 2 3 3 2 3 5 2" xfId="18943" xr:uid="{00000000-0005-0000-0000-00008D140000}"/>
    <cellStyle name="Comma 2 2 3 3 2 3 5 2 2" xfId="42221" xr:uid="{00000000-0005-0000-0000-00008E140000}"/>
    <cellStyle name="Comma 2 2 3 3 2 3 5 3" xfId="28735" xr:uid="{00000000-0005-0000-0000-00008F140000}"/>
    <cellStyle name="Comma 2 2 3 3 2 3 6" xfId="7904" xr:uid="{00000000-0005-0000-0000-000090140000}"/>
    <cellStyle name="Comma 2 2 3 3 2 3 6 2" xfId="31183" xr:uid="{00000000-0005-0000-0000-000091140000}"/>
    <cellStyle name="Comma 2 2 3 3 2 3 7" xfId="10352" xr:uid="{00000000-0005-0000-0000-000092140000}"/>
    <cellStyle name="Comma 2 2 3 3 2 3 7 2" xfId="33631" xr:uid="{00000000-0005-0000-0000-000093140000}"/>
    <cellStyle name="Comma 2 2 3 3 2 3 8" xfId="12800" xr:uid="{00000000-0005-0000-0000-000094140000}"/>
    <cellStyle name="Comma 2 2 3 3 2 3 8 2" xfId="36079" xr:uid="{00000000-0005-0000-0000-000095140000}"/>
    <cellStyle name="Comma 2 2 3 3 2 3 9" xfId="15271" xr:uid="{00000000-0005-0000-0000-000096140000}"/>
    <cellStyle name="Comma 2 2 3 3 2 3 9 2" xfId="38549" xr:uid="{00000000-0005-0000-0000-000097140000}"/>
    <cellStyle name="Comma 2 2 3 3 2 4" xfId="764" xr:uid="{00000000-0005-0000-0000-000098140000}"/>
    <cellStyle name="Comma 2 2 3 3 2 4 10" xfId="44873" xr:uid="{00000000-0005-0000-0000-000099140000}"/>
    <cellStyle name="Comma 2 2 3 3 2 4 11" xfId="21595" xr:uid="{00000000-0005-0000-0000-00009A140000}"/>
    <cellStyle name="Comma 2 2 3 3 2 4 2" xfId="1988" xr:uid="{00000000-0005-0000-0000-00009B140000}"/>
    <cellStyle name="Comma 2 2 3 3 2 4 2 10" xfId="22819" xr:uid="{00000000-0005-0000-0000-00009C140000}"/>
    <cellStyle name="Comma 2 2 3 3 2 4 2 2" xfId="4436" xr:uid="{00000000-0005-0000-0000-00009D140000}"/>
    <cellStyle name="Comma 2 2 3 3 2 4 2 2 2" xfId="20371" xr:uid="{00000000-0005-0000-0000-00009E140000}"/>
    <cellStyle name="Comma 2 2 3 3 2 4 2 2 2 2" xfId="43649" xr:uid="{00000000-0005-0000-0000-00009F140000}"/>
    <cellStyle name="Comma 2 2 3 3 2 4 2 2 3" xfId="48545" xr:uid="{00000000-0005-0000-0000-0000A0140000}"/>
    <cellStyle name="Comma 2 2 3 3 2 4 2 2 4" xfId="27715" xr:uid="{00000000-0005-0000-0000-0000A1140000}"/>
    <cellStyle name="Comma 2 2 3 3 2 4 2 3" xfId="6884" xr:uid="{00000000-0005-0000-0000-0000A2140000}"/>
    <cellStyle name="Comma 2 2 3 3 2 4 2 3 2" xfId="30163" xr:uid="{00000000-0005-0000-0000-0000A3140000}"/>
    <cellStyle name="Comma 2 2 3 3 2 4 2 4" xfId="9332" xr:uid="{00000000-0005-0000-0000-0000A4140000}"/>
    <cellStyle name="Comma 2 2 3 3 2 4 2 4 2" xfId="32611" xr:uid="{00000000-0005-0000-0000-0000A5140000}"/>
    <cellStyle name="Comma 2 2 3 3 2 4 2 5" xfId="11780" xr:uid="{00000000-0005-0000-0000-0000A6140000}"/>
    <cellStyle name="Comma 2 2 3 3 2 4 2 5 2" xfId="35059" xr:uid="{00000000-0005-0000-0000-0000A7140000}"/>
    <cellStyle name="Comma 2 2 3 3 2 4 2 6" xfId="14228" xr:uid="{00000000-0005-0000-0000-0000A8140000}"/>
    <cellStyle name="Comma 2 2 3 3 2 4 2 6 2" xfId="37507" xr:uid="{00000000-0005-0000-0000-0000A9140000}"/>
    <cellStyle name="Comma 2 2 3 3 2 4 2 7" xfId="17923" xr:uid="{00000000-0005-0000-0000-0000AA140000}"/>
    <cellStyle name="Comma 2 2 3 3 2 4 2 7 2" xfId="41201" xr:uid="{00000000-0005-0000-0000-0000AB140000}"/>
    <cellStyle name="Comma 2 2 3 3 2 4 2 8" xfId="25267" xr:uid="{00000000-0005-0000-0000-0000AC140000}"/>
    <cellStyle name="Comma 2 2 3 3 2 4 2 9" xfId="46097" xr:uid="{00000000-0005-0000-0000-0000AD140000}"/>
    <cellStyle name="Comma 2 2 3 3 2 4 3" xfId="3212" xr:uid="{00000000-0005-0000-0000-0000AE140000}"/>
    <cellStyle name="Comma 2 2 3 3 2 4 3 2" xfId="16699" xr:uid="{00000000-0005-0000-0000-0000AF140000}"/>
    <cellStyle name="Comma 2 2 3 3 2 4 3 2 2" xfId="39977" xr:uid="{00000000-0005-0000-0000-0000B0140000}"/>
    <cellStyle name="Comma 2 2 3 3 2 4 3 3" xfId="47321" xr:uid="{00000000-0005-0000-0000-0000B1140000}"/>
    <cellStyle name="Comma 2 2 3 3 2 4 3 4" xfId="26491" xr:uid="{00000000-0005-0000-0000-0000B2140000}"/>
    <cellStyle name="Comma 2 2 3 3 2 4 4" xfId="5660" xr:uid="{00000000-0005-0000-0000-0000B3140000}"/>
    <cellStyle name="Comma 2 2 3 3 2 4 4 2" xfId="19147" xr:uid="{00000000-0005-0000-0000-0000B4140000}"/>
    <cellStyle name="Comma 2 2 3 3 2 4 4 2 2" xfId="42425" xr:uid="{00000000-0005-0000-0000-0000B5140000}"/>
    <cellStyle name="Comma 2 2 3 3 2 4 4 3" xfId="28939" xr:uid="{00000000-0005-0000-0000-0000B6140000}"/>
    <cellStyle name="Comma 2 2 3 3 2 4 5" xfId="8108" xr:uid="{00000000-0005-0000-0000-0000B7140000}"/>
    <cellStyle name="Comma 2 2 3 3 2 4 5 2" xfId="31387" xr:uid="{00000000-0005-0000-0000-0000B8140000}"/>
    <cellStyle name="Comma 2 2 3 3 2 4 6" xfId="10556" xr:uid="{00000000-0005-0000-0000-0000B9140000}"/>
    <cellStyle name="Comma 2 2 3 3 2 4 6 2" xfId="33835" xr:uid="{00000000-0005-0000-0000-0000BA140000}"/>
    <cellStyle name="Comma 2 2 3 3 2 4 7" xfId="13004" xr:uid="{00000000-0005-0000-0000-0000BB140000}"/>
    <cellStyle name="Comma 2 2 3 3 2 4 7 2" xfId="36283" xr:uid="{00000000-0005-0000-0000-0000BC140000}"/>
    <cellStyle name="Comma 2 2 3 3 2 4 8" xfId="15475" xr:uid="{00000000-0005-0000-0000-0000BD140000}"/>
    <cellStyle name="Comma 2 2 3 3 2 4 8 2" xfId="38753" xr:uid="{00000000-0005-0000-0000-0000BE140000}"/>
    <cellStyle name="Comma 2 2 3 3 2 4 9" xfId="24043" xr:uid="{00000000-0005-0000-0000-0000BF140000}"/>
    <cellStyle name="Comma 2 2 3 3 2 5" xfId="1376" xr:uid="{00000000-0005-0000-0000-0000C0140000}"/>
    <cellStyle name="Comma 2 2 3 3 2 5 10" xfId="22207" xr:uid="{00000000-0005-0000-0000-0000C1140000}"/>
    <cellStyle name="Comma 2 2 3 3 2 5 2" xfId="3824" xr:uid="{00000000-0005-0000-0000-0000C2140000}"/>
    <cellStyle name="Comma 2 2 3 3 2 5 2 2" xfId="19759" xr:uid="{00000000-0005-0000-0000-0000C3140000}"/>
    <cellStyle name="Comma 2 2 3 3 2 5 2 2 2" xfId="43037" xr:uid="{00000000-0005-0000-0000-0000C4140000}"/>
    <cellStyle name="Comma 2 2 3 3 2 5 2 3" xfId="47933" xr:uid="{00000000-0005-0000-0000-0000C5140000}"/>
    <cellStyle name="Comma 2 2 3 3 2 5 2 4" xfId="27103" xr:uid="{00000000-0005-0000-0000-0000C6140000}"/>
    <cellStyle name="Comma 2 2 3 3 2 5 3" xfId="6272" xr:uid="{00000000-0005-0000-0000-0000C7140000}"/>
    <cellStyle name="Comma 2 2 3 3 2 5 3 2" xfId="29551" xr:uid="{00000000-0005-0000-0000-0000C8140000}"/>
    <cellStyle name="Comma 2 2 3 3 2 5 4" xfId="8720" xr:uid="{00000000-0005-0000-0000-0000C9140000}"/>
    <cellStyle name="Comma 2 2 3 3 2 5 4 2" xfId="31999" xr:uid="{00000000-0005-0000-0000-0000CA140000}"/>
    <cellStyle name="Comma 2 2 3 3 2 5 5" xfId="11168" xr:uid="{00000000-0005-0000-0000-0000CB140000}"/>
    <cellStyle name="Comma 2 2 3 3 2 5 5 2" xfId="34447" xr:uid="{00000000-0005-0000-0000-0000CC140000}"/>
    <cellStyle name="Comma 2 2 3 3 2 5 6" xfId="13616" xr:uid="{00000000-0005-0000-0000-0000CD140000}"/>
    <cellStyle name="Comma 2 2 3 3 2 5 6 2" xfId="36895" xr:uid="{00000000-0005-0000-0000-0000CE140000}"/>
    <cellStyle name="Comma 2 2 3 3 2 5 7" xfId="17311" xr:uid="{00000000-0005-0000-0000-0000CF140000}"/>
    <cellStyle name="Comma 2 2 3 3 2 5 7 2" xfId="40589" xr:uid="{00000000-0005-0000-0000-0000D0140000}"/>
    <cellStyle name="Comma 2 2 3 3 2 5 8" xfId="24655" xr:uid="{00000000-0005-0000-0000-0000D1140000}"/>
    <cellStyle name="Comma 2 2 3 3 2 5 9" xfId="45485" xr:uid="{00000000-0005-0000-0000-0000D2140000}"/>
    <cellStyle name="Comma 2 2 3 3 2 6" xfId="2600" xr:uid="{00000000-0005-0000-0000-0000D3140000}"/>
    <cellStyle name="Comma 2 2 3 3 2 6 2" xfId="16087" xr:uid="{00000000-0005-0000-0000-0000D4140000}"/>
    <cellStyle name="Comma 2 2 3 3 2 6 2 2" xfId="39365" xr:uid="{00000000-0005-0000-0000-0000D5140000}"/>
    <cellStyle name="Comma 2 2 3 3 2 6 3" xfId="46709" xr:uid="{00000000-0005-0000-0000-0000D6140000}"/>
    <cellStyle name="Comma 2 2 3 3 2 6 4" xfId="25879" xr:uid="{00000000-0005-0000-0000-0000D7140000}"/>
    <cellStyle name="Comma 2 2 3 3 2 7" xfId="5048" xr:uid="{00000000-0005-0000-0000-0000D8140000}"/>
    <cellStyle name="Comma 2 2 3 3 2 7 2" xfId="18535" xr:uid="{00000000-0005-0000-0000-0000D9140000}"/>
    <cellStyle name="Comma 2 2 3 3 2 7 2 2" xfId="41813" xr:uid="{00000000-0005-0000-0000-0000DA140000}"/>
    <cellStyle name="Comma 2 2 3 3 2 7 3" xfId="28327" xr:uid="{00000000-0005-0000-0000-0000DB140000}"/>
    <cellStyle name="Comma 2 2 3 3 2 8" xfId="7496" xr:uid="{00000000-0005-0000-0000-0000DC140000}"/>
    <cellStyle name="Comma 2 2 3 3 2 8 2" xfId="30775" xr:uid="{00000000-0005-0000-0000-0000DD140000}"/>
    <cellStyle name="Comma 2 2 3 3 2 9" xfId="9944" xr:uid="{00000000-0005-0000-0000-0000DE140000}"/>
    <cellStyle name="Comma 2 2 3 3 2 9 2" xfId="33223" xr:uid="{00000000-0005-0000-0000-0000DF140000}"/>
    <cellStyle name="Comma 2 2 3 3 3" xfId="220" xr:uid="{00000000-0005-0000-0000-0000E0140000}"/>
    <cellStyle name="Comma 2 2 3 3 3 10" xfId="12460" xr:uid="{00000000-0005-0000-0000-0000E1140000}"/>
    <cellStyle name="Comma 2 2 3 3 3 10 2" xfId="35739" xr:uid="{00000000-0005-0000-0000-0000E2140000}"/>
    <cellStyle name="Comma 2 2 3 3 3 11" xfId="14931" xr:uid="{00000000-0005-0000-0000-0000E3140000}"/>
    <cellStyle name="Comma 2 2 3 3 3 11 2" xfId="38209" xr:uid="{00000000-0005-0000-0000-0000E4140000}"/>
    <cellStyle name="Comma 2 2 3 3 3 12" xfId="23499" xr:uid="{00000000-0005-0000-0000-0000E5140000}"/>
    <cellStyle name="Comma 2 2 3 3 3 13" xfId="44329" xr:uid="{00000000-0005-0000-0000-0000E6140000}"/>
    <cellStyle name="Comma 2 2 3 3 3 14" xfId="21051" xr:uid="{00000000-0005-0000-0000-0000E7140000}"/>
    <cellStyle name="Comma 2 2 3 3 3 2" xfId="424" xr:uid="{00000000-0005-0000-0000-0000E8140000}"/>
    <cellStyle name="Comma 2 2 3 3 3 2 10" xfId="23703" xr:uid="{00000000-0005-0000-0000-0000E9140000}"/>
    <cellStyle name="Comma 2 2 3 3 3 2 11" xfId="44533" xr:uid="{00000000-0005-0000-0000-0000EA140000}"/>
    <cellStyle name="Comma 2 2 3 3 3 2 12" xfId="21255" xr:uid="{00000000-0005-0000-0000-0000EB140000}"/>
    <cellStyle name="Comma 2 2 3 3 3 2 2" xfId="1036" xr:uid="{00000000-0005-0000-0000-0000EC140000}"/>
    <cellStyle name="Comma 2 2 3 3 3 2 2 10" xfId="45145" xr:uid="{00000000-0005-0000-0000-0000ED140000}"/>
    <cellStyle name="Comma 2 2 3 3 3 2 2 11" xfId="21867" xr:uid="{00000000-0005-0000-0000-0000EE140000}"/>
    <cellStyle name="Comma 2 2 3 3 3 2 2 2" xfId="2260" xr:uid="{00000000-0005-0000-0000-0000EF140000}"/>
    <cellStyle name="Comma 2 2 3 3 3 2 2 2 10" xfId="23091" xr:uid="{00000000-0005-0000-0000-0000F0140000}"/>
    <cellStyle name="Comma 2 2 3 3 3 2 2 2 2" xfId="4708" xr:uid="{00000000-0005-0000-0000-0000F1140000}"/>
    <cellStyle name="Comma 2 2 3 3 3 2 2 2 2 2" xfId="20643" xr:uid="{00000000-0005-0000-0000-0000F2140000}"/>
    <cellStyle name="Comma 2 2 3 3 3 2 2 2 2 2 2" xfId="43921" xr:uid="{00000000-0005-0000-0000-0000F3140000}"/>
    <cellStyle name="Comma 2 2 3 3 3 2 2 2 2 3" xfId="48817" xr:uid="{00000000-0005-0000-0000-0000F4140000}"/>
    <cellStyle name="Comma 2 2 3 3 3 2 2 2 2 4" xfId="27987" xr:uid="{00000000-0005-0000-0000-0000F5140000}"/>
    <cellStyle name="Comma 2 2 3 3 3 2 2 2 3" xfId="7156" xr:uid="{00000000-0005-0000-0000-0000F6140000}"/>
    <cellStyle name="Comma 2 2 3 3 3 2 2 2 3 2" xfId="30435" xr:uid="{00000000-0005-0000-0000-0000F7140000}"/>
    <cellStyle name="Comma 2 2 3 3 3 2 2 2 4" xfId="9604" xr:uid="{00000000-0005-0000-0000-0000F8140000}"/>
    <cellStyle name="Comma 2 2 3 3 3 2 2 2 4 2" xfId="32883" xr:uid="{00000000-0005-0000-0000-0000F9140000}"/>
    <cellStyle name="Comma 2 2 3 3 3 2 2 2 5" xfId="12052" xr:uid="{00000000-0005-0000-0000-0000FA140000}"/>
    <cellStyle name="Comma 2 2 3 3 3 2 2 2 5 2" xfId="35331" xr:uid="{00000000-0005-0000-0000-0000FB140000}"/>
    <cellStyle name="Comma 2 2 3 3 3 2 2 2 6" xfId="14500" xr:uid="{00000000-0005-0000-0000-0000FC140000}"/>
    <cellStyle name="Comma 2 2 3 3 3 2 2 2 6 2" xfId="37779" xr:uid="{00000000-0005-0000-0000-0000FD140000}"/>
    <cellStyle name="Comma 2 2 3 3 3 2 2 2 7" xfId="18195" xr:uid="{00000000-0005-0000-0000-0000FE140000}"/>
    <cellStyle name="Comma 2 2 3 3 3 2 2 2 7 2" xfId="41473" xr:uid="{00000000-0005-0000-0000-0000FF140000}"/>
    <cellStyle name="Comma 2 2 3 3 3 2 2 2 8" xfId="25539" xr:uid="{00000000-0005-0000-0000-000000150000}"/>
    <cellStyle name="Comma 2 2 3 3 3 2 2 2 9" xfId="46369" xr:uid="{00000000-0005-0000-0000-000001150000}"/>
    <cellStyle name="Comma 2 2 3 3 3 2 2 3" xfId="3484" xr:uid="{00000000-0005-0000-0000-000002150000}"/>
    <cellStyle name="Comma 2 2 3 3 3 2 2 3 2" xfId="16971" xr:uid="{00000000-0005-0000-0000-000003150000}"/>
    <cellStyle name="Comma 2 2 3 3 3 2 2 3 2 2" xfId="40249" xr:uid="{00000000-0005-0000-0000-000004150000}"/>
    <cellStyle name="Comma 2 2 3 3 3 2 2 3 3" xfId="47593" xr:uid="{00000000-0005-0000-0000-000005150000}"/>
    <cellStyle name="Comma 2 2 3 3 3 2 2 3 4" xfId="26763" xr:uid="{00000000-0005-0000-0000-000006150000}"/>
    <cellStyle name="Comma 2 2 3 3 3 2 2 4" xfId="5932" xr:uid="{00000000-0005-0000-0000-000007150000}"/>
    <cellStyle name="Comma 2 2 3 3 3 2 2 4 2" xfId="19419" xr:uid="{00000000-0005-0000-0000-000008150000}"/>
    <cellStyle name="Comma 2 2 3 3 3 2 2 4 2 2" xfId="42697" xr:uid="{00000000-0005-0000-0000-000009150000}"/>
    <cellStyle name="Comma 2 2 3 3 3 2 2 4 3" xfId="29211" xr:uid="{00000000-0005-0000-0000-00000A150000}"/>
    <cellStyle name="Comma 2 2 3 3 3 2 2 5" xfId="8380" xr:uid="{00000000-0005-0000-0000-00000B150000}"/>
    <cellStyle name="Comma 2 2 3 3 3 2 2 5 2" xfId="31659" xr:uid="{00000000-0005-0000-0000-00000C150000}"/>
    <cellStyle name="Comma 2 2 3 3 3 2 2 6" xfId="10828" xr:uid="{00000000-0005-0000-0000-00000D150000}"/>
    <cellStyle name="Comma 2 2 3 3 3 2 2 6 2" xfId="34107" xr:uid="{00000000-0005-0000-0000-00000E150000}"/>
    <cellStyle name="Comma 2 2 3 3 3 2 2 7" xfId="13276" xr:uid="{00000000-0005-0000-0000-00000F150000}"/>
    <cellStyle name="Comma 2 2 3 3 3 2 2 7 2" xfId="36555" xr:uid="{00000000-0005-0000-0000-000010150000}"/>
    <cellStyle name="Comma 2 2 3 3 3 2 2 8" xfId="15747" xr:uid="{00000000-0005-0000-0000-000011150000}"/>
    <cellStyle name="Comma 2 2 3 3 3 2 2 8 2" xfId="39025" xr:uid="{00000000-0005-0000-0000-000012150000}"/>
    <cellStyle name="Comma 2 2 3 3 3 2 2 9" xfId="24315" xr:uid="{00000000-0005-0000-0000-000013150000}"/>
    <cellStyle name="Comma 2 2 3 3 3 2 3" xfId="1648" xr:uid="{00000000-0005-0000-0000-000014150000}"/>
    <cellStyle name="Comma 2 2 3 3 3 2 3 10" xfId="22479" xr:uid="{00000000-0005-0000-0000-000015150000}"/>
    <cellStyle name="Comma 2 2 3 3 3 2 3 2" xfId="4096" xr:uid="{00000000-0005-0000-0000-000016150000}"/>
    <cellStyle name="Comma 2 2 3 3 3 2 3 2 2" xfId="20031" xr:uid="{00000000-0005-0000-0000-000017150000}"/>
    <cellStyle name="Comma 2 2 3 3 3 2 3 2 2 2" xfId="43309" xr:uid="{00000000-0005-0000-0000-000018150000}"/>
    <cellStyle name="Comma 2 2 3 3 3 2 3 2 3" xfId="48205" xr:uid="{00000000-0005-0000-0000-000019150000}"/>
    <cellStyle name="Comma 2 2 3 3 3 2 3 2 4" xfId="27375" xr:uid="{00000000-0005-0000-0000-00001A150000}"/>
    <cellStyle name="Comma 2 2 3 3 3 2 3 3" xfId="6544" xr:uid="{00000000-0005-0000-0000-00001B150000}"/>
    <cellStyle name="Comma 2 2 3 3 3 2 3 3 2" xfId="29823" xr:uid="{00000000-0005-0000-0000-00001C150000}"/>
    <cellStyle name="Comma 2 2 3 3 3 2 3 4" xfId="8992" xr:uid="{00000000-0005-0000-0000-00001D150000}"/>
    <cellStyle name="Comma 2 2 3 3 3 2 3 4 2" xfId="32271" xr:uid="{00000000-0005-0000-0000-00001E150000}"/>
    <cellStyle name="Comma 2 2 3 3 3 2 3 5" xfId="11440" xr:uid="{00000000-0005-0000-0000-00001F150000}"/>
    <cellStyle name="Comma 2 2 3 3 3 2 3 5 2" xfId="34719" xr:uid="{00000000-0005-0000-0000-000020150000}"/>
    <cellStyle name="Comma 2 2 3 3 3 2 3 6" xfId="13888" xr:uid="{00000000-0005-0000-0000-000021150000}"/>
    <cellStyle name="Comma 2 2 3 3 3 2 3 6 2" xfId="37167" xr:uid="{00000000-0005-0000-0000-000022150000}"/>
    <cellStyle name="Comma 2 2 3 3 3 2 3 7" xfId="17583" xr:uid="{00000000-0005-0000-0000-000023150000}"/>
    <cellStyle name="Comma 2 2 3 3 3 2 3 7 2" xfId="40861" xr:uid="{00000000-0005-0000-0000-000024150000}"/>
    <cellStyle name="Comma 2 2 3 3 3 2 3 8" xfId="24927" xr:uid="{00000000-0005-0000-0000-000025150000}"/>
    <cellStyle name="Comma 2 2 3 3 3 2 3 9" xfId="45757" xr:uid="{00000000-0005-0000-0000-000026150000}"/>
    <cellStyle name="Comma 2 2 3 3 3 2 4" xfId="2872" xr:uid="{00000000-0005-0000-0000-000027150000}"/>
    <cellStyle name="Comma 2 2 3 3 3 2 4 2" xfId="16359" xr:uid="{00000000-0005-0000-0000-000028150000}"/>
    <cellStyle name="Comma 2 2 3 3 3 2 4 2 2" xfId="39637" xr:uid="{00000000-0005-0000-0000-000029150000}"/>
    <cellStyle name="Comma 2 2 3 3 3 2 4 3" xfId="46981" xr:uid="{00000000-0005-0000-0000-00002A150000}"/>
    <cellStyle name="Comma 2 2 3 3 3 2 4 4" xfId="26151" xr:uid="{00000000-0005-0000-0000-00002B150000}"/>
    <cellStyle name="Comma 2 2 3 3 3 2 5" xfId="5320" xr:uid="{00000000-0005-0000-0000-00002C150000}"/>
    <cellStyle name="Comma 2 2 3 3 3 2 5 2" xfId="18807" xr:uid="{00000000-0005-0000-0000-00002D150000}"/>
    <cellStyle name="Comma 2 2 3 3 3 2 5 2 2" xfId="42085" xr:uid="{00000000-0005-0000-0000-00002E150000}"/>
    <cellStyle name="Comma 2 2 3 3 3 2 5 3" xfId="28599" xr:uid="{00000000-0005-0000-0000-00002F150000}"/>
    <cellStyle name="Comma 2 2 3 3 3 2 6" xfId="7768" xr:uid="{00000000-0005-0000-0000-000030150000}"/>
    <cellStyle name="Comma 2 2 3 3 3 2 6 2" xfId="31047" xr:uid="{00000000-0005-0000-0000-000031150000}"/>
    <cellStyle name="Comma 2 2 3 3 3 2 7" xfId="10216" xr:uid="{00000000-0005-0000-0000-000032150000}"/>
    <cellStyle name="Comma 2 2 3 3 3 2 7 2" xfId="33495" xr:uid="{00000000-0005-0000-0000-000033150000}"/>
    <cellStyle name="Comma 2 2 3 3 3 2 8" xfId="12664" xr:uid="{00000000-0005-0000-0000-000034150000}"/>
    <cellStyle name="Comma 2 2 3 3 3 2 8 2" xfId="35943" xr:uid="{00000000-0005-0000-0000-000035150000}"/>
    <cellStyle name="Comma 2 2 3 3 3 2 9" xfId="15135" xr:uid="{00000000-0005-0000-0000-000036150000}"/>
    <cellStyle name="Comma 2 2 3 3 3 2 9 2" xfId="38413" xr:uid="{00000000-0005-0000-0000-000037150000}"/>
    <cellStyle name="Comma 2 2 3 3 3 3" xfId="628" xr:uid="{00000000-0005-0000-0000-000038150000}"/>
    <cellStyle name="Comma 2 2 3 3 3 3 10" xfId="23907" xr:uid="{00000000-0005-0000-0000-000039150000}"/>
    <cellStyle name="Comma 2 2 3 3 3 3 11" xfId="44737" xr:uid="{00000000-0005-0000-0000-00003A150000}"/>
    <cellStyle name="Comma 2 2 3 3 3 3 12" xfId="21459" xr:uid="{00000000-0005-0000-0000-00003B150000}"/>
    <cellStyle name="Comma 2 2 3 3 3 3 2" xfId="1240" xr:uid="{00000000-0005-0000-0000-00003C150000}"/>
    <cellStyle name="Comma 2 2 3 3 3 3 2 10" xfId="45349" xr:uid="{00000000-0005-0000-0000-00003D150000}"/>
    <cellStyle name="Comma 2 2 3 3 3 3 2 11" xfId="22071" xr:uid="{00000000-0005-0000-0000-00003E150000}"/>
    <cellStyle name="Comma 2 2 3 3 3 3 2 2" xfId="2464" xr:uid="{00000000-0005-0000-0000-00003F150000}"/>
    <cellStyle name="Comma 2 2 3 3 3 3 2 2 10" xfId="23295" xr:uid="{00000000-0005-0000-0000-000040150000}"/>
    <cellStyle name="Comma 2 2 3 3 3 3 2 2 2" xfId="4912" xr:uid="{00000000-0005-0000-0000-000041150000}"/>
    <cellStyle name="Comma 2 2 3 3 3 3 2 2 2 2" xfId="20847" xr:uid="{00000000-0005-0000-0000-000042150000}"/>
    <cellStyle name="Comma 2 2 3 3 3 3 2 2 2 2 2" xfId="44125" xr:uid="{00000000-0005-0000-0000-000043150000}"/>
    <cellStyle name="Comma 2 2 3 3 3 3 2 2 2 3" xfId="49021" xr:uid="{00000000-0005-0000-0000-000044150000}"/>
    <cellStyle name="Comma 2 2 3 3 3 3 2 2 2 4" xfId="28191" xr:uid="{00000000-0005-0000-0000-000045150000}"/>
    <cellStyle name="Comma 2 2 3 3 3 3 2 2 3" xfId="7360" xr:uid="{00000000-0005-0000-0000-000046150000}"/>
    <cellStyle name="Comma 2 2 3 3 3 3 2 2 3 2" xfId="30639" xr:uid="{00000000-0005-0000-0000-000047150000}"/>
    <cellStyle name="Comma 2 2 3 3 3 3 2 2 4" xfId="9808" xr:uid="{00000000-0005-0000-0000-000048150000}"/>
    <cellStyle name="Comma 2 2 3 3 3 3 2 2 4 2" xfId="33087" xr:uid="{00000000-0005-0000-0000-000049150000}"/>
    <cellStyle name="Comma 2 2 3 3 3 3 2 2 5" xfId="12256" xr:uid="{00000000-0005-0000-0000-00004A150000}"/>
    <cellStyle name="Comma 2 2 3 3 3 3 2 2 5 2" xfId="35535" xr:uid="{00000000-0005-0000-0000-00004B150000}"/>
    <cellStyle name="Comma 2 2 3 3 3 3 2 2 6" xfId="14704" xr:uid="{00000000-0005-0000-0000-00004C150000}"/>
    <cellStyle name="Comma 2 2 3 3 3 3 2 2 6 2" xfId="37983" xr:uid="{00000000-0005-0000-0000-00004D150000}"/>
    <cellStyle name="Comma 2 2 3 3 3 3 2 2 7" xfId="18399" xr:uid="{00000000-0005-0000-0000-00004E150000}"/>
    <cellStyle name="Comma 2 2 3 3 3 3 2 2 7 2" xfId="41677" xr:uid="{00000000-0005-0000-0000-00004F150000}"/>
    <cellStyle name="Comma 2 2 3 3 3 3 2 2 8" xfId="25743" xr:uid="{00000000-0005-0000-0000-000050150000}"/>
    <cellStyle name="Comma 2 2 3 3 3 3 2 2 9" xfId="46573" xr:uid="{00000000-0005-0000-0000-000051150000}"/>
    <cellStyle name="Comma 2 2 3 3 3 3 2 3" xfId="3688" xr:uid="{00000000-0005-0000-0000-000052150000}"/>
    <cellStyle name="Comma 2 2 3 3 3 3 2 3 2" xfId="17175" xr:uid="{00000000-0005-0000-0000-000053150000}"/>
    <cellStyle name="Comma 2 2 3 3 3 3 2 3 2 2" xfId="40453" xr:uid="{00000000-0005-0000-0000-000054150000}"/>
    <cellStyle name="Comma 2 2 3 3 3 3 2 3 3" xfId="47797" xr:uid="{00000000-0005-0000-0000-000055150000}"/>
    <cellStyle name="Comma 2 2 3 3 3 3 2 3 4" xfId="26967" xr:uid="{00000000-0005-0000-0000-000056150000}"/>
    <cellStyle name="Comma 2 2 3 3 3 3 2 4" xfId="6136" xr:uid="{00000000-0005-0000-0000-000057150000}"/>
    <cellStyle name="Comma 2 2 3 3 3 3 2 4 2" xfId="19623" xr:uid="{00000000-0005-0000-0000-000058150000}"/>
    <cellStyle name="Comma 2 2 3 3 3 3 2 4 2 2" xfId="42901" xr:uid="{00000000-0005-0000-0000-000059150000}"/>
    <cellStyle name="Comma 2 2 3 3 3 3 2 4 3" xfId="29415" xr:uid="{00000000-0005-0000-0000-00005A150000}"/>
    <cellStyle name="Comma 2 2 3 3 3 3 2 5" xfId="8584" xr:uid="{00000000-0005-0000-0000-00005B150000}"/>
    <cellStyle name="Comma 2 2 3 3 3 3 2 5 2" xfId="31863" xr:uid="{00000000-0005-0000-0000-00005C150000}"/>
    <cellStyle name="Comma 2 2 3 3 3 3 2 6" xfId="11032" xr:uid="{00000000-0005-0000-0000-00005D150000}"/>
    <cellStyle name="Comma 2 2 3 3 3 3 2 6 2" xfId="34311" xr:uid="{00000000-0005-0000-0000-00005E150000}"/>
    <cellStyle name="Comma 2 2 3 3 3 3 2 7" xfId="13480" xr:uid="{00000000-0005-0000-0000-00005F150000}"/>
    <cellStyle name="Comma 2 2 3 3 3 3 2 7 2" xfId="36759" xr:uid="{00000000-0005-0000-0000-000060150000}"/>
    <cellStyle name="Comma 2 2 3 3 3 3 2 8" xfId="15951" xr:uid="{00000000-0005-0000-0000-000061150000}"/>
    <cellStyle name="Comma 2 2 3 3 3 3 2 8 2" xfId="39229" xr:uid="{00000000-0005-0000-0000-000062150000}"/>
    <cellStyle name="Comma 2 2 3 3 3 3 2 9" xfId="24519" xr:uid="{00000000-0005-0000-0000-000063150000}"/>
    <cellStyle name="Comma 2 2 3 3 3 3 3" xfId="1852" xr:uid="{00000000-0005-0000-0000-000064150000}"/>
    <cellStyle name="Comma 2 2 3 3 3 3 3 10" xfId="22683" xr:uid="{00000000-0005-0000-0000-000065150000}"/>
    <cellStyle name="Comma 2 2 3 3 3 3 3 2" xfId="4300" xr:uid="{00000000-0005-0000-0000-000066150000}"/>
    <cellStyle name="Comma 2 2 3 3 3 3 3 2 2" xfId="20235" xr:uid="{00000000-0005-0000-0000-000067150000}"/>
    <cellStyle name="Comma 2 2 3 3 3 3 3 2 2 2" xfId="43513" xr:uid="{00000000-0005-0000-0000-000068150000}"/>
    <cellStyle name="Comma 2 2 3 3 3 3 3 2 3" xfId="48409" xr:uid="{00000000-0005-0000-0000-000069150000}"/>
    <cellStyle name="Comma 2 2 3 3 3 3 3 2 4" xfId="27579" xr:uid="{00000000-0005-0000-0000-00006A150000}"/>
    <cellStyle name="Comma 2 2 3 3 3 3 3 3" xfId="6748" xr:uid="{00000000-0005-0000-0000-00006B150000}"/>
    <cellStyle name="Comma 2 2 3 3 3 3 3 3 2" xfId="30027" xr:uid="{00000000-0005-0000-0000-00006C150000}"/>
    <cellStyle name="Comma 2 2 3 3 3 3 3 4" xfId="9196" xr:uid="{00000000-0005-0000-0000-00006D150000}"/>
    <cellStyle name="Comma 2 2 3 3 3 3 3 4 2" xfId="32475" xr:uid="{00000000-0005-0000-0000-00006E150000}"/>
    <cellStyle name="Comma 2 2 3 3 3 3 3 5" xfId="11644" xr:uid="{00000000-0005-0000-0000-00006F150000}"/>
    <cellStyle name="Comma 2 2 3 3 3 3 3 5 2" xfId="34923" xr:uid="{00000000-0005-0000-0000-000070150000}"/>
    <cellStyle name="Comma 2 2 3 3 3 3 3 6" xfId="14092" xr:uid="{00000000-0005-0000-0000-000071150000}"/>
    <cellStyle name="Comma 2 2 3 3 3 3 3 6 2" xfId="37371" xr:uid="{00000000-0005-0000-0000-000072150000}"/>
    <cellStyle name="Comma 2 2 3 3 3 3 3 7" xfId="17787" xr:uid="{00000000-0005-0000-0000-000073150000}"/>
    <cellStyle name="Comma 2 2 3 3 3 3 3 7 2" xfId="41065" xr:uid="{00000000-0005-0000-0000-000074150000}"/>
    <cellStyle name="Comma 2 2 3 3 3 3 3 8" xfId="25131" xr:uid="{00000000-0005-0000-0000-000075150000}"/>
    <cellStyle name="Comma 2 2 3 3 3 3 3 9" xfId="45961" xr:uid="{00000000-0005-0000-0000-000076150000}"/>
    <cellStyle name="Comma 2 2 3 3 3 3 4" xfId="3076" xr:uid="{00000000-0005-0000-0000-000077150000}"/>
    <cellStyle name="Comma 2 2 3 3 3 3 4 2" xfId="16563" xr:uid="{00000000-0005-0000-0000-000078150000}"/>
    <cellStyle name="Comma 2 2 3 3 3 3 4 2 2" xfId="39841" xr:uid="{00000000-0005-0000-0000-000079150000}"/>
    <cellStyle name="Comma 2 2 3 3 3 3 4 3" xfId="47185" xr:uid="{00000000-0005-0000-0000-00007A150000}"/>
    <cellStyle name="Comma 2 2 3 3 3 3 4 4" xfId="26355" xr:uid="{00000000-0005-0000-0000-00007B150000}"/>
    <cellStyle name="Comma 2 2 3 3 3 3 5" xfId="5524" xr:uid="{00000000-0005-0000-0000-00007C150000}"/>
    <cellStyle name="Comma 2 2 3 3 3 3 5 2" xfId="19011" xr:uid="{00000000-0005-0000-0000-00007D150000}"/>
    <cellStyle name="Comma 2 2 3 3 3 3 5 2 2" xfId="42289" xr:uid="{00000000-0005-0000-0000-00007E150000}"/>
    <cellStyle name="Comma 2 2 3 3 3 3 5 3" xfId="28803" xr:uid="{00000000-0005-0000-0000-00007F150000}"/>
    <cellStyle name="Comma 2 2 3 3 3 3 6" xfId="7972" xr:uid="{00000000-0005-0000-0000-000080150000}"/>
    <cellStyle name="Comma 2 2 3 3 3 3 6 2" xfId="31251" xr:uid="{00000000-0005-0000-0000-000081150000}"/>
    <cellStyle name="Comma 2 2 3 3 3 3 7" xfId="10420" xr:uid="{00000000-0005-0000-0000-000082150000}"/>
    <cellStyle name="Comma 2 2 3 3 3 3 7 2" xfId="33699" xr:uid="{00000000-0005-0000-0000-000083150000}"/>
    <cellStyle name="Comma 2 2 3 3 3 3 8" xfId="12868" xr:uid="{00000000-0005-0000-0000-000084150000}"/>
    <cellStyle name="Comma 2 2 3 3 3 3 8 2" xfId="36147" xr:uid="{00000000-0005-0000-0000-000085150000}"/>
    <cellStyle name="Comma 2 2 3 3 3 3 9" xfId="15339" xr:uid="{00000000-0005-0000-0000-000086150000}"/>
    <cellStyle name="Comma 2 2 3 3 3 3 9 2" xfId="38617" xr:uid="{00000000-0005-0000-0000-000087150000}"/>
    <cellStyle name="Comma 2 2 3 3 3 4" xfId="832" xr:uid="{00000000-0005-0000-0000-000088150000}"/>
    <cellStyle name="Comma 2 2 3 3 3 4 10" xfId="44941" xr:uid="{00000000-0005-0000-0000-000089150000}"/>
    <cellStyle name="Comma 2 2 3 3 3 4 11" xfId="21663" xr:uid="{00000000-0005-0000-0000-00008A150000}"/>
    <cellStyle name="Comma 2 2 3 3 3 4 2" xfId="2056" xr:uid="{00000000-0005-0000-0000-00008B150000}"/>
    <cellStyle name="Comma 2 2 3 3 3 4 2 10" xfId="22887" xr:uid="{00000000-0005-0000-0000-00008C150000}"/>
    <cellStyle name="Comma 2 2 3 3 3 4 2 2" xfId="4504" xr:uid="{00000000-0005-0000-0000-00008D150000}"/>
    <cellStyle name="Comma 2 2 3 3 3 4 2 2 2" xfId="20439" xr:uid="{00000000-0005-0000-0000-00008E150000}"/>
    <cellStyle name="Comma 2 2 3 3 3 4 2 2 2 2" xfId="43717" xr:uid="{00000000-0005-0000-0000-00008F150000}"/>
    <cellStyle name="Comma 2 2 3 3 3 4 2 2 3" xfId="48613" xr:uid="{00000000-0005-0000-0000-000090150000}"/>
    <cellStyle name="Comma 2 2 3 3 3 4 2 2 4" xfId="27783" xr:uid="{00000000-0005-0000-0000-000091150000}"/>
    <cellStyle name="Comma 2 2 3 3 3 4 2 3" xfId="6952" xr:uid="{00000000-0005-0000-0000-000092150000}"/>
    <cellStyle name="Comma 2 2 3 3 3 4 2 3 2" xfId="30231" xr:uid="{00000000-0005-0000-0000-000093150000}"/>
    <cellStyle name="Comma 2 2 3 3 3 4 2 4" xfId="9400" xr:uid="{00000000-0005-0000-0000-000094150000}"/>
    <cellStyle name="Comma 2 2 3 3 3 4 2 4 2" xfId="32679" xr:uid="{00000000-0005-0000-0000-000095150000}"/>
    <cellStyle name="Comma 2 2 3 3 3 4 2 5" xfId="11848" xr:uid="{00000000-0005-0000-0000-000096150000}"/>
    <cellStyle name="Comma 2 2 3 3 3 4 2 5 2" xfId="35127" xr:uid="{00000000-0005-0000-0000-000097150000}"/>
    <cellStyle name="Comma 2 2 3 3 3 4 2 6" xfId="14296" xr:uid="{00000000-0005-0000-0000-000098150000}"/>
    <cellStyle name="Comma 2 2 3 3 3 4 2 6 2" xfId="37575" xr:uid="{00000000-0005-0000-0000-000099150000}"/>
    <cellStyle name="Comma 2 2 3 3 3 4 2 7" xfId="17991" xr:uid="{00000000-0005-0000-0000-00009A150000}"/>
    <cellStyle name="Comma 2 2 3 3 3 4 2 7 2" xfId="41269" xr:uid="{00000000-0005-0000-0000-00009B150000}"/>
    <cellStyle name="Comma 2 2 3 3 3 4 2 8" xfId="25335" xr:uid="{00000000-0005-0000-0000-00009C150000}"/>
    <cellStyle name="Comma 2 2 3 3 3 4 2 9" xfId="46165" xr:uid="{00000000-0005-0000-0000-00009D150000}"/>
    <cellStyle name="Comma 2 2 3 3 3 4 3" xfId="3280" xr:uid="{00000000-0005-0000-0000-00009E150000}"/>
    <cellStyle name="Comma 2 2 3 3 3 4 3 2" xfId="16767" xr:uid="{00000000-0005-0000-0000-00009F150000}"/>
    <cellStyle name="Comma 2 2 3 3 3 4 3 2 2" xfId="40045" xr:uid="{00000000-0005-0000-0000-0000A0150000}"/>
    <cellStyle name="Comma 2 2 3 3 3 4 3 3" xfId="47389" xr:uid="{00000000-0005-0000-0000-0000A1150000}"/>
    <cellStyle name="Comma 2 2 3 3 3 4 3 4" xfId="26559" xr:uid="{00000000-0005-0000-0000-0000A2150000}"/>
    <cellStyle name="Comma 2 2 3 3 3 4 4" xfId="5728" xr:uid="{00000000-0005-0000-0000-0000A3150000}"/>
    <cellStyle name="Comma 2 2 3 3 3 4 4 2" xfId="19215" xr:uid="{00000000-0005-0000-0000-0000A4150000}"/>
    <cellStyle name="Comma 2 2 3 3 3 4 4 2 2" xfId="42493" xr:uid="{00000000-0005-0000-0000-0000A5150000}"/>
    <cellStyle name="Comma 2 2 3 3 3 4 4 3" xfId="29007" xr:uid="{00000000-0005-0000-0000-0000A6150000}"/>
    <cellStyle name="Comma 2 2 3 3 3 4 5" xfId="8176" xr:uid="{00000000-0005-0000-0000-0000A7150000}"/>
    <cellStyle name="Comma 2 2 3 3 3 4 5 2" xfId="31455" xr:uid="{00000000-0005-0000-0000-0000A8150000}"/>
    <cellStyle name="Comma 2 2 3 3 3 4 6" xfId="10624" xr:uid="{00000000-0005-0000-0000-0000A9150000}"/>
    <cellStyle name="Comma 2 2 3 3 3 4 6 2" xfId="33903" xr:uid="{00000000-0005-0000-0000-0000AA150000}"/>
    <cellStyle name="Comma 2 2 3 3 3 4 7" xfId="13072" xr:uid="{00000000-0005-0000-0000-0000AB150000}"/>
    <cellStyle name="Comma 2 2 3 3 3 4 7 2" xfId="36351" xr:uid="{00000000-0005-0000-0000-0000AC150000}"/>
    <cellStyle name="Comma 2 2 3 3 3 4 8" xfId="15543" xr:uid="{00000000-0005-0000-0000-0000AD150000}"/>
    <cellStyle name="Comma 2 2 3 3 3 4 8 2" xfId="38821" xr:uid="{00000000-0005-0000-0000-0000AE150000}"/>
    <cellStyle name="Comma 2 2 3 3 3 4 9" xfId="24111" xr:uid="{00000000-0005-0000-0000-0000AF150000}"/>
    <cellStyle name="Comma 2 2 3 3 3 5" xfId="1444" xr:uid="{00000000-0005-0000-0000-0000B0150000}"/>
    <cellStyle name="Comma 2 2 3 3 3 5 10" xfId="22275" xr:uid="{00000000-0005-0000-0000-0000B1150000}"/>
    <cellStyle name="Comma 2 2 3 3 3 5 2" xfId="3892" xr:uid="{00000000-0005-0000-0000-0000B2150000}"/>
    <cellStyle name="Comma 2 2 3 3 3 5 2 2" xfId="19827" xr:uid="{00000000-0005-0000-0000-0000B3150000}"/>
    <cellStyle name="Comma 2 2 3 3 3 5 2 2 2" xfId="43105" xr:uid="{00000000-0005-0000-0000-0000B4150000}"/>
    <cellStyle name="Comma 2 2 3 3 3 5 2 3" xfId="48001" xr:uid="{00000000-0005-0000-0000-0000B5150000}"/>
    <cellStyle name="Comma 2 2 3 3 3 5 2 4" xfId="27171" xr:uid="{00000000-0005-0000-0000-0000B6150000}"/>
    <cellStyle name="Comma 2 2 3 3 3 5 3" xfId="6340" xr:uid="{00000000-0005-0000-0000-0000B7150000}"/>
    <cellStyle name="Comma 2 2 3 3 3 5 3 2" xfId="29619" xr:uid="{00000000-0005-0000-0000-0000B8150000}"/>
    <cellStyle name="Comma 2 2 3 3 3 5 4" xfId="8788" xr:uid="{00000000-0005-0000-0000-0000B9150000}"/>
    <cellStyle name="Comma 2 2 3 3 3 5 4 2" xfId="32067" xr:uid="{00000000-0005-0000-0000-0000BA150000}"/>
    <cellStyle name="Comma 2 2 3 3 3 5 5" xfId="11236" xr:uid="{00000000-0005-0000-0000-0000BB150000}"/>
    <cellStyle name="Comma 2 2 3 3 3 5 5 2" xfId="34515" xr:uid="{00000000-0005-0000-0000-0000BC150000}"/>
    <cellStyle name="Comma 2 2 3 3 3 5 6" xfId="13684" xr:uid="{00000000-0005-0000-0000-0000BD150000}"/>
    <cellStyle name="Comma 2 2 3 3 3 5 6 2" xfId="36963" xr:uid="{00000000-0005-0000-0000-0000BE150000}"/>
    <cellStyle name="Comma 2 2 3 3 3 5 7" xfId="17379" xr:uid="{00000000-0005-0000-0000-0000BF150000}"/>
    <cellStyle name="Comma 2 2 3 3 3 5 7 2" xfId="40657" xr:uid="{00000000-0005-0000-0000-0000C0150000}"/>
    <cellStyle name="Comma 2 2 3 3 3 5 8" xfId="24723" xr:uid="{00000000-0005-0000-0000-0000C1150000}"/>
    <cellStyle name="Comma 2 2 3 3 3 5 9" xfId="45553" xr:uid="{00000000-0005-0000-0000-0000C2150000}"/>
    <cellStyle name="Comma 2 2 3 3 3 6" xfId="2668" xr:uid="{00000000-0005-0000-0000-0000C3150000}"/>
    <cellStyle name="Comma 2 2 3 3 3 6 2" xfId="16155" xr:uid="{00000000-0005-0000-0000-0000C4150000}"/>
    <cellStyle name="Comma 2 2 3 3 3 6 2 2" xfId="39433" xr:uid="{00000000-0005-0000-0000-0000C5150000}"/>
    <cellStyle name="Comma 2 2 3 3 3 6 3" xfId="46777" xr:uid="{00000000-0005-0000-0000-0000C6150000}"/>
    <cellStyle name="Comma 2 2 3 3 3 6 4" xfId="25947" xr:uid="{00000000-0005-0000-0000-0000C7150000}"/>
    <cellStyle name="Comma 2 2 3 3 3 7" xfId="5116" xr:uid="{00000000-0005-0000-0000-0000C8150000}"/>
    <cellStyle name="Comma 2 2 3 3 3 7 2" xfId="18603" xr:uid="{00000000-0005-0000-0000-0000C9150000}"/>
    <cellStyle name="Comma 2 2 3 3 3 7 2 2" xfId="41881" xr:uid="{00000000-0005-0000-0000-0000CA150000}"/>
    <cellStyle name="Comma 2 2 3 3 3 7 3" xfId="28395" xr:uid="{00000000-0005-0000-0000-0000CB150000}"/>
    <cellStyle name="Comma 2 2 3 3 3 8" xfId="7564" xr:uid="{00000000-0005-0000-0000-0000CC150000}"/>
    <cellStyle name="Comma 2 2 3 3 3 8 2" xfId="30843" xr:uid="{00000000-0005-0000-0000-0000CD150000}"/>
    <cellStyle name="Comma 2 2 3 3 3 9" xfId="10012" xr:uid="{00000000-0005-0000-0000-0000CE150000}"/>
    <cellStyle name="Comma 2 2 3 3 3 9 2" xfId="33291" xr:uid="{00000000-0005-0000-0000-0000CF150000}"/>
    <cellStyle name="Comma 2 2 3 3 4" xfId="288" xr:uid="{00000000-0005-0000-0000-0000D0150000}"/>
    <cellStyle name="Comma 2 2 3 3 4 10" xfId="23567" xr:uid="{00000000-0005-0000-0000-0000D1150000}"/>
    <cellStyle name="Comma 2 2 3 3 4 11" xfId="44397" xr:uid="{00000000-0005-0000-0000-0000D2150000}"/>
    <cellStyle name="Comma 2 2 3 3 4 12" xfId="21119" xr:uid="{00000000-0005-0000-0000-0000D3150000}"/>
    <cellStyle name="Comma 2 2 3 3 4 2" xfId="900" xr:uid="{00000000-0005-0000-0000-0000D4150000}"/>
    <cellStyle name="Comma 2 2 3 3 4 2 10" xfId="45009" xr:uid="{00000000-0005-0000-0000-0000D5150000}"/>
    <cellStyle name="Comma 2 2 3 3 4 2 11" xfId="21731" xr:uid="{00000000-0005-0000-0000-0000D6150000}"/>
    <cellStyle name="Comma 2 2 3 3 4 2 2" xfId="2124" xr:uid="{00000000-0005-0000-0000-0000D7150000}"/>
    <cellStyle name="Comma 2 2 3 3 4 2 2 10" xfId="22955" xr:uid="{00000000-0005-0000-0000-0000D8150000}"/>
    <cellStyle name="Comma 2 2 3 3 4 2 2 2" xfId="4572" xr:uid="{00000000-0005-0000-0000-0000D9150000}"/>
    <cellStyle name="Comma 2 2 3 3 4 2 2 2 2" xfId="20507" xr:uid="{00000000-0005-0000-0000-0000DA150000}"/>
    <cellStyle name="Comma 2 2 3 3 4 2 2 2 2 2" xfId="43785" xr:uid="{00000000-0005-0000-0000-0000DB150000}"/>
    <cellStyle name="Comma 2 2 3 3 4 2 2 2 3" xfId="48681" xr:uid="{00000000-0005-0000-0000-0000DC150000}"/>
    <cellStyle name="Comma 2 2 3 3 4 2 2 2 4" xfId="27851" xr:uid="{00000000-0005-0000-0000-0000DD150000}"/>
    <cellStyle name="Comma 2 2 3 3 4 2 2 3" xfId="7020" xr:uid="{00000000-0005-0000-0000-0000DE150000}"/>
    <cellStyle name="Comma 2 2 3 3 4 2 2 3 2" xfId="30299" xr:uid="{00000000-0005-0000-0000-0000DF150000}"/>
    <cellStyle name="Comma 2 2 3 3 4 2 2 4" xfId="9468" xr:uid="{00000000-0005-0000-0000-0000E0150000}"/>
    <cellStyle name="Comma 2 2 3 3 4 2 2 4 2" xfId="32747" xr:uid="{00000000-0005-0000-0000-0000E1150000}"/>
    <cellStyle name="Comma 2 2 3 3 4 2 2 5" xfId="11916" xr:uid="{00000000-0005-0000-0000-0000E2150000}"/>
    <cellStyle name="Comma 2 2 3 3 4 2 2 5 2" xfId="35195" xr:uid="{00000000-0005-0000-0000-0000E3150000}"/>
    <cellStyle name="Comma 2 2 3 3 4 2 2 6" xfId="14364" xr:uid="{00000000-0005-0000-0000-0000E4150000}"/>
    <cellStyle name="Comma 2 2 3 3 4 2 2 6 2" xfId="37643" xr:uid="{00000000-0005-0000-0000-0000E5150000}"/>
    <cellStyle name="Comma 2 2 3 3 4 2 2 7" xfId="18059" xr:uid="{00000000-0005-0000-0000-0000E6150000}"/>
    <cellStyle name="Comma 2 2 3 3 4 2 2 7 2" xfId="41337" xr:uid="{00000000-0005-0000-0000-0000E7150000}"/>
    <cellStyle name="Comma 2 2 3 3 4 2 2 8" xfId="25403" xr:uid="{00000000-0005-0000-0000-0000E8150000}"/>
    <cellStyle name="Comma 2 2 3 3 4 2 2 9" xfId="46233" xr:uid="{00000000-0005-0000-0000-0000E9150000}"/>
    <cellStyle name="Comma 2 2 3 3 4 2 3" xfId="3348" xr:uid="{00000000-0005-0000-0000-0000EA150000}"/>
    <cellStyle name="Comma 2 2 3 3 4 2 3 2" xfId="16835" xr:uid="{00000000-0005-0000-0000-0000EB150000}"/>
    <cellStyle name="Comma 2 2 3 3 4 2 3 2 2" xfId="40113" xr:uid="{00000000-0005-0000-0000-0000EC150000}"/>
    <cellStyle name="Comma 2 2 3 3 4 2 3 3" xfId="47457" xr:uid="{00000000-0005-0000-0000-0000ED150000}"/>
    <cellStyle name="Comma 2 2 3 3 4 2 3 4" xfId="26627" xr:uid="{00000000-0005-0000-0000-0000EE150000}"/>
    <cellStyle name="Comma 2 2 3 3 4 2 4" xfId="5796" xr:uid="{00000000-0005-0000-0000-0000EF150000}"/>
    <cellStyle name="Comma 2 2 3 3 4 2 4 2" xfId="19283" xr:uid="{00000000-0005-0000-0000-0000F0150000}"/>
    <cellStyle name="Comma 2 2 3 3 4 2 4 2 2" xfId="42561" xr:uid="{00000000-0005-0000-0000-0000F1150000}"/>
    <cellStyle name="Comma 2 2 3 3 4 2 4 3" xfId="29075" xr:uid="{00000000-0005-0000-0000-0000F2150000}"/>
    <cellStyle name="Comma 2 2 3 3 4 2 5" xfId="8244" xr:uid="{00000000-0005-0000-0000-0000F3150000}"/>
    <cellStyle name="Comma 2 2 3 3 4 2 5 2" xfId="31523" xr:uid="{00000000-0005-0000-0000-0000F4150000}"/>
    <cellStyle name="Comma 2 2 3 3 4 2 6" xfId="10692" xr:uid="{00000000-0005-0000-0000-0000F5150000}"/>
    <cellStyle name="Comma 2 2 3 3 4 2 6 2" xfId="33971" xr:uid="{00000000-0005-0000-0000-0000F6150000}"/>
    <cellStyle name="Comma 2 2 3 3 4 2 7" xfId="13140" xr:uid="{00000000-0005-0000-0000-0000F7150000}"/>
    <cellStyle name="Comma 2 2 3 3 4 2 7 2" xfId="36419" xr:uid="{00000000-0005-0000-0000-0000F8150000}"/>
    <cellStyle name="Comma 2 2 3 3 4 2 8" xfId="15611" xr:uid="{00000000-0005-0000-0000-0000F9150000}"/>
    <cellStyle name="Comma 2 2 3 3 4 2 8 2" xfId="38889" xr:uid="{00000000-0005-0000-0000-0000FA150000}"/>
    <cellStyle name="Comma 2 2 3 3 4 2 9" xfId="24179" xr:uid="{00000000-0005-0000-0000-0000FB150000}"/>
    <cellStyle name="Comma 2 2 3 3 4 3" xfId="1512" xr:uid="{00000000-0005-0000-0000-0000FC150000}"/>
    <cellStyle name="Comma 2 2 3 3 4 3 10" xfId="22343" xr:uid="{00000000-0005-0000-0000-0000FD150000}"/>
    <cellStyle name="Comma 2 2 3 3 4 3 2" xfId="3960" xr:uid="{00000000-0005-0000-0000-0000FE150000}"/>
    <cellStyle name="Comma 2 2 3 3 4 3 2 2" xfId="19895" xr:uid="{00000000-0005-0000-0000-0000FF150000}"/>
    <cellStyle name="Comma 2 2 3 3 4 3 2 2 2" xfId="43173" xr:uid="{00000000-0005-0000-0000-000000160000}"/>
    <cellStyle name="Comma 2 2 3 3 4 3 2 3" xfId="48069" xr:uid="{00000000-0005-0000-0000-000001160000}"/>
    <cellStyle name="Comma 2 2 3 3 4 3 2 4" xfId="27239" xr:uid="{00000000-0005-0000-0000-000002160000}"/>
    <cellStyle name="Comma 2 2 3 3 4 3 3" xfId="6408" xr:uid="{00000000-0005-0000-0000-000003160000}"/>
    <cellStyle name="Comma 2 2 3 3 4 3 3 2" xfId="29687" xr:uid="{00000000-0005-0000-0000-000004160000}"/>
    <cellStyle name="Comma 2 2 3 3 4 3 4" xfId="8856" xr:uid="{00000000-0005-0000-0000-000005160000}"/>
    <cellStyle name="Comma 2 2 3 3 4 3 4 2" xfId="32135" xr:uid="{00000000-0005-0000-0000-000006160000}"/>
    <cellStyle name="Comma 2 2 3 3 4 3 5" xfId="11304" xr:uid="{00000000-0005-0000-0000-000007160000}"/>
    <cellStyle name="Comma 2 2 3 3 4 3 5 2" xfId="34583" xr:uid="{00000000-0005-0000-0000-000008160000}"/>
    <cellStyle name="Comma 2 2 3 3 4 3 6" xfId="13752" xr:uid="{00000000-0005-0000-0000-000009160000}"/>
    <cellStyle name="Comma 2 2 3 3 4 3 6 2" xfId="37031" xr:uid="{00000000-0005-0000-0000-00000A160000}"/>
    <cellStyle name="Comma 2 2 3 3 4 3 7" xfId="17447" xr:uid="{00000000-0005-0000-0000-00000B160000}"/>
    <cellStyle name="Comma 2 2 3 3 4 3 7 2" xfId="40725" xr:uid="{00000000-0005-0000-0000-00000C160000}"/>
    <cellStyle name="Comma 2 2 3 3 4 3 8" xfId="24791" xr:uid="{00000000-0005-0000-0000-00000D160000}"/>
    <cellStyle name="Comma 2 2 3 3 4 3 9" xfId="45621" xr:uid="{00000000-0005-0000-0000-00000E160000}"/>
    <cellStyle name="Comma 2 2 3 3 4 4" xfId="2736" xr:uid="{00000000-0005-0000-0000-00000F160000}"/>
    <cellStyle name="Comma 2 2 3 3 4 4 2" xfId="16223" xr:uid="{00000000-0005-0000-0000-000010160000}"/>
    <cellStyle name="Comma 2 2 3 3 4 4 2 2" xfId="39501" xr:uid="{00000000-0005-0000-0000-000011160000}"/>
    <cellStyle name="Comma 2 2 3 3 4 4 3" xfId="46845" xr:uid="{00000000-0005-0000-0000-000012160000}"/>
    <cellStyle name="Comma 2 2 3 3 4 4 4" xfId="26015" xr:uid="{00000000-0005-0000-0000-000013160000}"/>
    <cellStyle name="Comma 2 2 3 3 4 5" xfId="5184" xr:uid="{00000000-0005-0000-0000-000014160000}"/>
    <cellStyle name="Comma 2 2 3 3 4 5 2" xfId="18671" xr:uid="{00000000-0005-0000-0000-000015160000}"/>
    <cellStyle name="Comma 2 2 3 3 4 5 2 2" xfId="41949" xr:uid="{00000000-0005-0000-0000-000016160000}"/>
    <cellStyle name="Comma 2 2 3 3 4 5 3" xfId="28463" xr:uid="{00000000-0005-0000-0000-000017160000}"/>
    <cellStyle name="Comma 2 2 3 3 4 6" xfId="7632" xr:uid="{00000000-0005-0000-0000-000018160000}"/>
    <cellStyle name="Comma 2 2 3 3 4 6 2" xfId="30911" xr:uid="{00000000-0005-0000-0000-000019160000}"/>
    <cellStyle name="Comma 2 2 3 3 4 7" xfId="10080" xr:uid="{00000000-0005-0000-0000-00001A160000}"/>
    <cellStyle name="Comma 2 2 3 3 4 7 2" xfId="33359" xr:uid="{00000000-0005-0000-0000-00001B160000}"/>
    <cellStyle name="Comma 2 2 3 3 4 8" xfId="12528" xr:uid="{00000000-0005-0000-0000-00001C160000}"/>
    <cellStyle name="Comma 2 2 3 3 4 8 2" xfId="35807" xr:uid="{00000000-0005-0000-0000-00001D160000}"/>
    <cellStyle name="Comma 2 2 3 3 4 9" xfId="14999" xr:uid="{00000000-0005-0000-0000-00001E160000}"/>
    <cellStyle name="Comma 2 2 3 3 4 9 2" xfId="38277" xr:uid="{00000000-0005-0000-0000-00001F160000}"/>
    <cellStyle name="Comma 2 2 3 3 5" xfId="492" xr:uid="{00000000-0005-0000-0000-000020160000}"/>
    <cellStyle name="Comma 2 2 3 3 5 10" xfId="23771" xr:uid="{00000000-0005-0000-0000-000021160000}"/>
    <cellStyle name="Comma 2 2 3 3 5 11" xfId="44601" xr:uid="{00000000-0005-0000-0000-000022160000}"/>
    <cellStyle name="Comma 2 2 3 3 5 12" xfId="21323" xr:uid="{00000000-0005-0000-0000-000023160000}"/>
    <cellStyle name="Comma 2 2 3 3 5 2" xfId="1104" xr:uid="{00000000-0005-0000-0000-000024160000}"/>
    <cellStyle name="Comma 2 2 3 3 5 2 10" xfId="45213" xr:uid="{00000000-0005-0000-0000-000025160000}"/>
    <cellStyle name="Comma 2 2 3 3 5 2 11" xfId="21935" xr:uid="{00000000-0005-0000-0000-000026160000}"/>
    <cellStyle name="Comma 2 2 3 3 5 2 2" xfId="2328" xr:uid="{00000000-0005-0000-0000-000027160000}"/>
    <cellStyle name="Comma 2 2 3 3 5 2 2 10" xfId="23159" xr:uid="{00000000-0005-0000-0000-000028160000}"/>
    <cellStyle name="Comma 2 2 3 3 5 2 2 2" xfId="4776" xr:uid="{00000000-0005-0000-0000-000029160000}"/>
    <cellStyle name="Comma 2 2 3 3 5 2 2 2 2" xfId="20711" xr:uid="{00000000-0005-0000-0000-00002A160000}"/>
    <cellStyle name="Comma 2 2 3 3 5 2 2 2 2 2" xfId="43989" xr:uid="{00000000-0005-0000-0000-00002B160000}"/>
    <cellStyle name="Comma 2 2 3 3 5 2 2 2 3" xfId="48885" xr:uid="{00000000-0005-0000-0000-00002C160000}"/>
    <cellStyle name="Comma 2 2 3 3 5 2 2 2 4" xfId="28055" xr:uid="{00000000-0005-0000-0000-00002D160000}"/>
    <cellStyle name="Comma 2 2 3 3 5 2 2 3" xfId="7224" xr:uid="{00000000-0005-0000-0000-00002E160000}"/>
    <cellStyle name="Comma 2 2 3 3 5 2 2 3 2" xfId="30503" xr:uid="{00000000-0005-0000-0000-00002F160000}"/>
    <cellStyle name="Comma 2 2 3 3 5 2 2 4" xfId="9672" xr:uid="{00000000-0005-0000-0000-000030160000}"/>
    <cellStyle name="Comma 2 2 3 3 5 2 2 4 2" xfId="32951" xr:uid="{00000000-0005-0000-0000-000031160000}"/>
    <cellStyle name="Comma 2 2 3 3 5 2 2 5" xfId="12120" xr:uid="{00000000-0005-0000-0000-000032160000}"/>
    <cellStyle name="Comma 2 2 3 3 5 2 2 5 2" xfId="35399" xr:uid="{00000000-0005-0000-0000-000033160000}"/>
    <cellStyle name="Comma 2 2 3 3 5 2 2 6" xfId="14568" xr:uid="{00000000-0005-0000-0000-000034160000}"/>
    <cellStyle name="Comma 2 2 3 3 5 2 2 6 2" xfId="37847" xr:uid="{00000000-0005-0000-0000-000035160000}"/>
    <cellStyle name="Comma 2 2 3 3 5 2 2 7" xfId="18263" xr:uid="{00000000-0005-0000-0000-000036160000}"/>
    <cellStyle name="Comma 2 2 3 3 5 2 2 7 2" xfId="41541" xr:uid="{00000000-0005-0000-0000-000037160000}"/>
    <cellStyle name="Comma 2 2 3 3 5 2 2 8" xfId="25607" xr:uid="{00000000-0005-0000-0000-000038160000}"/>
    <cellStyle name="Comma 2 2 3 3 5 2 2 9" xfId="46437" xr:uid="{00000000-0005-0000-0000-000039160000}"/>
    <cellStyle name="Comma 2 2 3 3 5 2 3" xfId="3552" xr:uid="{00000000-0005-0000-0000-00003A160000}"/>
    <cellStyle name="Comma 2 2 3 3 5 2 3 2" xfId="17039" xr:uid="{00000000-0005-0000-0000-00003B160000}"/>
    <cellStyle name="Comma 2 2 3 3 5 2 3 2 2" xfId="40317" xr:uid="{00000000-0005-0000-0000-00003C160000}"/>
    <cellStyle name="Comma 2 2 3 3 5 2 3 3" xfId="47661" xr:uid="{00000000-0005-0000-0000-00003D160000}"/>
    <cellStyle name="Comma 2 2 3 3 5 2 3 4" xfId="26831" xr:uid="{00000000-0005-0000-0000-00003E160000}"/>
    <cellStyle name="Comma 2 2 3 3 5 2 4" xfId="6000" xr:uid="{00000000-0005-0000-0000-00003F160000}"/>
    <cellStyle name="Comma 2 2 3 3 5 2 4 2" xfId="19487" xr:uid="{00000000-0005-0000-0000-000040160000}"/>
    <cellStyle name="Comma 2 2 3 3 5 2 4 2 2" xfId="42765" xr:uid="{00000000-0005-0000-0000-000041160000}"/>
    <cellStyle name="Comma 2 2 3 3 5 2 4 3" xfId="29279" xr:uid="{00000000-0005-0000-0000-000042160000}"/>
    <cellStyle name="Comma 2 2 3 3 5 2 5" xfId="8448" xr:uid="{00000000-0005-0000-0000-000043160000}"/>
    <cellStyle name="Comma 2 2 3 3 5 2 5 2" xfId="31727" xr:uid="{00000000-0005-0000-0000-000044160000}"/>
    <cellStyle name="Comma 2 2 3 3 5 2 6" xfId="10896" xr:uid="{00000000-0005-0000-0000-000045160000}"/>
    <cellStyle name="Comma 2 2 3 3 5 2 6 2" xfId="34175" xr:uid="{00000000-0005-0000-0000-000046160000}"/>
    <cellStyle name="Comma 2 2 3 3 5 2 7" xfId="13344" xr:uid="{00000000-0005-0000-0000-000047160000}"/>
    <cellStyle name="Comma 2 2 3 3 5 2 7 2" xfId="36623" xr:uid="{00000000-0005-0000-0000-000048160000}"/>
    <cellStyle name="Comma 2 2 3 3 5 2 8" xfId="15815" xr:uid="{00000000-0005-0000-0000-000049160000}"/>
    <cellStyle name="Comma 2 2 3 3 5 2 8 2" xfId="39093" xr:uid="{00000000-0005-0000-0000-00004A160000}"/>
    <cellStyle name="Comma 2 2 3 3 5 2 9" xfId="24383" xr:uid="{00000000-0005-0000-0000-00004B160000}"/>
    <cellStyle name="Comma 2 2 3 3 5 3" xfId="1716" xr:uid="{00000000-0005-0000-0000-00004C160000}"/>
    <cellStyle name="Comma 2 2 3 3 5 3 10" xfId="22547" xr:uid="{00000000-0005-0000-0000-00004D160000}"/>
    <cellStyle name="Comma 2 2 3 3 5 3 2" xfId="4164" xr:uid="{00000000-0005-0000-0000-00004E160000}"/>
    <cellStyle name="Comma 2 2 3 3 5 3 2 2" xfId="20099" xr:uid="{00000000-0005-0000-0000-00004F160000}"/>
    <cellStyle name="Comma 2 2 3 3 5 3 2 2 2" xfId="43377" xr:uid="{00000000-0005-0000-0000-000050160000}"/>
    <cellStyle name="Comma 2 2 3 3 5 3 2 3" xfId="48273" xr:uid="{00000000-0005-0000-0000-000051160000}"/>
    <cellStyle name="Comma 2 2 3 3 5 3 2 4" xfId="27443" xr:uid="{00000000-0005-0000-0000-000052160000}"/>
    <cellStyle name="Comma 2 2 3 3 5 3 3" xfId="6612" xr:uid="{00000000-0005-0000-0000-000053160000}"/>
    <cellStyle name="Comma 2 2 3 3 5 3 3 2" xfId="29891" xr:uid="{00000000-0005-0000-0000-000054160000}"/>
    <cellStyle name="Comma 2 2 3 3 5 3 4" xfId="9060" xr:uid="{00000000-0005-0000-0000-000055160000}"/>
    <cellStyle name="Comma 2 2 3 3 5 3 4 2" xfId="32339" xr:uid="{00000000-0005-0000-0000-000056160000}"/>
    <cellStyle name="Comma 2 2 3 3 5 3 5" xfId="11508" xr:uid="{00000000-0005-0000-0000-000057160000}"/>
    <cellStyle name="Comma 2 2 3 3 5 3 5 2" xfId="34787" xr:uid="{00000000-0005-0000-0000-000058160000}"/>
    <cellStyle name="Comma 2 2 3 3 5 3 6" xfId="13956" xr:uid="{00000000-0005-0000-0000-000059160000}"/>
    <cellStyle name="Comma 2 2 3 3 5 3 6 2" xfId="37235" xr:uid="{00000000-0005-0000-0000-00005A160000}"/>
    <cellStyle name="Comma 2 2 3 3 5 3 7" xfId="17651" xr:uid="{00000000-0005-0000-0000-00005B160000}"/>
    <cellStyle name="Comma 2 2 3 3 5 3 7 2" xfId="40929" xr:uid="{00000000-0005-0000-0000-00005C160000}"/>
    <cellStyle name="Comma 2 2 3 3 5 3 8" xfId="24995" xr:uid="{00000000-0005-0000-0000-00005D160000}"/>
    <cellStyle name="Comma 2 2 3 3 5 3 9" xfId="45825" xr:uid="{00000000-0005-0000-0000-00005E160000}"/>
    <cellStyle name="Comma 2 2 3 3 5 4" xfId="2940" xr:uid="{00000000-0005-0000-0000-00005F160000}"/>
    <cellStyle name="Comma 2 2 3 3 5 4 2" xfId="16427" xr:uid="{00000000-0005-0000-0000-000060160000}"/>
    <cellStyle name="Comma 2 2 3 3 5 4 2 2" xfId="39705" xr:uid="{00000000-0005-0000-0000-000061160000}"/>
    <cellStyle name="Comma 2 2 3 3 5 4 3" xfId="47049" xr:uid="{00000000-0005-0000-0000-000062160000}"/>
    <cellStyle name="Comma 2 2 3 3 5 4 4" xfId="26219" xr:uid="{00000000-0005-0000-0000-000063160000}"/>
    <cellStyle name="Comma 2 2 3 3 5 5" xfId="5388" xr:uid="{00000000-0005-0000-0000-000064160000}"/>
    <cellStyle name="Comma 2 2 3 3 5 5 2" xfId="18875" xr:uid="{00000000-0005-0000-0000-000065160000}"/>
    <cellStyle name="Comma 2 2 3 3 5 5 2 2" xfId="42153" xr:uid="{00000000-0005-0000-0000-000066160000}"/>
    <cellStyle name="Comma 2 2 3 3 5 5 3" xfId="28667" xr:uid="{00000000-0005-0000-0000-000067160000}"/>
    <cellStyle name="Comma 2 2 3 3 5 6" xfId="7836" xr:uid="{00000000-0005-0000-0000-000068160000}"/>
    <cellStyle name="Comma 2 2 3 3 5 6 2" xfId="31115" xr:uid="{00000000-0005-0000-0000-000069160000}"/>
    <cellStyle name="Comma 2 2 3 3 5 7" xfId="10284" xr:uid="{00000000-0005-0000-0000-00006A160000}"/>
    <cellStyle name="Comma 2 2 3 3 5 7 2" xfId="33563" xr:uid="{00000000-0005-0000-0000-00006B160000}"/>
    <cellStyle name="Comma 2 2 3 3 5 8" xfId="12732" xr:uid="{00000000-0005-0000-0000-00006C160000}"/>
    <cellStyle name="Comma 2 2 3 3 5 8 2" xfId="36011" xr:uid="{00000000-0005-0000-0000-00006D160000}"/>
    <cellStyle name="Comma 2 2 3 3 5 9" xfId="15203" xr:uid="{00000000-0005-0000-0000-00006E160000}"/>
    <cellStyle name="Comma 2 2 3 3 5 9 2" xfId="38481" xr:uid="{00000000-0005-0000-0000-00006F160000}"/>
    <cellStyle name="Comma 2 2 3 3 6" xfId="696" xr:uid="{00000000-0005-0000-0000-000070160000}"/>
    <cellStyle name="Comma 2 2 3 3 6 10" xfId="44805" xr:uid="{00000000-0005-0000-0000-000071160000}"/>
    <cellStyle name="Comma 2 2 3 3 6 11" xfId="21527" xr:uid="{00000000-0005-0000-0000-000072160000}"/>
    <cellStyle name="Comma 2 2 3 3 6 2" xfId="1920" xr:uid="{00000000-0005-0000-0000-000073160000}"/>
    <cellStyle name="Comma 2 2 3 3 6 2 10" xfId="22751" xr:uid="{00000000-0005-0000-0000-000074160000}"/>
    <cellStyle name="Comma 2 2 3 3 6 2 2" xfId="4368" xr:uid="{00000000-0005-0000-0000-000075160000}"/>
    <cellStyle name="Comma 2 2 3 3 6 2 2 2" xfId="20303" xr:uid="{00000000-0005-0000-0000-000076160000}"/>
    <cellStyle name="Comma 2 2 3 3 6 2 2 2 2" xfId="43581" xr:uid="{00000000-0005-0000-0000-000077160000}"/>
    <cellStyle name="Comma 2 2 3 3 6 2 2 3" xfId="48477" xr:uid="{00000000-0005-0000-0000-000078160000}"/>
    <cellStyle name="Comma 2 2 3 3 6 2 2 4" xfId="27647" xr:uid="{00000000-0005-0000-0000-000079160000}"/>
    <cellStyle name="Comma 2 2 3 3 6 2 3" xfId="6816" xr:uid="{00000000-0005-0000-0000-00007A160000}"/>
    <cellStyle name="Comma 2 2 3 3 6 2 3 2" xfId="30095" xr:uid="{00000000-0005-0000-0000-00007B160000}"/>
    <cellStyle name="Comma 2 2 3 3 6 2 4" xfId="9264" xr:uid="{00000000-0005-0000-0000-00007C160000}"/>
    <cellStyle name="Comma 2 2 3 3 6 2 4 2" xfId="32543" xr:uid="{00000000-0005-0000-0000-00007D160000}"/>
    <cellStyle name="Comma 2 2 3 3 6 2 5" xfId="11712" xr:uid="{00000000-0005-0000-0000-00007E160000}"/>
    <cellStyle name="Comma 2 2 3 3 6 2 5 2" xfId="34991" xr:uid="{00000000-0005-0000-0000-00007F160000}"/>
    <cellStyle name="Comma 2 2 3 3 6 2 6" xfId="14160" xr:uid="{00000000-0005-0000-0000-000080160000}"/>
    <cellStyle name="Comma 2 2 3 3 6 2 6 2" xfId="37439" xr:uid="{00000000-0005-0000-0000-000081160000}"/>
    <cellStyle name="Comma 2 2 3 3 6 2 7" xfId="17855" xr:uid="{00000000-0005-0000-0000-000082160000}"/>
    <cellStyle name="Comma 2 2 3 3 6 2 7 2" xfId="41133" xr:uid="{00000000-0005-0000-0000-000083160000}"/>
    <cellStyle name="Comma 2 2 3 3 6 2 8" xfId="25199" xr:uid="{00000000-0005-0000-0000-000084160000}"/>
    <cellStyle name="Comma 2 2 3 3 6 2 9" xfId="46029" xr:uid="{00000000-0005-0000-0000-000085160000}"/>
    <cellStyle name="Comma 2 2 3 3 6 3" xfId="3144" xr:uid="{00000000-0005-0000-0000-000086160000}"/>
    <cellStyle name="Comma 2 2 3 3 6 3 2" xfId="16631" xr:uid="{00000000-0005-0000-0000-000087160000}"/>
    <cellStyle name="Comma 2 2 3 3 6 3 2 2" xfId="39909" xr:uid="{00000000-0005-0000-0000-000088160000}"/>
    <cellStyle name="Comma 2 2 3 3 6 3 3" xfId="47253" xr:uid="{00000000-0005-0000-0000-000089160000}"/>
    <cellStyle name="Comma 2 2 3 3 6 3 4" xfId="26423" xr:uid="{00000000-0005-0000-0000-00008A160000}"/>
    <cellStyle name="Comma 2 2 3 3 6 4" xfId="5592" xr:uid="{00000000-0005-0000-0000-00008B160000}"/>
    <cellStyle name="Comma 2 2 3 3 6 4 2" xfId="19079" xr:uid="{00000000-0005-0000-0000-00008C160000}"/>
    <cellStyle name="Comma 2 2 3 3 6 4 2 2" xfId="42357" xr:uid="{00000000-0005-0000-0000-00008D160000}"/>
    <cellStyle name="Comma 2 2 3 3 6 4 3" xfId="28871" xr:uid="{00000000-0005-0000-0000-00008E160000}"/>
    <cellStyle name="Comma 2 2 3 3 6 5" xfId="8040" xr:uid="{00000000-0005-0000-0000-00008F160000}"/>
    <cellStyle name="Comma 2 2 3 3 6 5 2" xfId="31319" xr:uid="{00000000-0005-0000-0000-000090160000}"/>
    <cellStyle name="Comma 2 2 3 3 6 6" xfId="10488" xr:uid="{00000000-0005-0000-0000-000091160000}"/>
    <cellStyle name="Comma 2 2 3 3 6 6 2" xfId="33767" xr:uid="{00000000-0005-0000-0000-000092160000}"/>
    <cellStyle name="Comma 2 2 3 3 6 7" xfId="12936" xr:uid="{00000000-0005-0000-0000-000093160000}"/>
    <cellStyle name="Comma 2 2 3 3 6 7 2" xfId="36215" xr:uid="{00000000-0005-0000-0000-000094160000}"/>
    <cellStyle name="Comma 2 2 3 3 6 8" xfId="15407" xr:uid="{00000000-0005-0000-0000-000095160000}"/>
    <cellStyle name="Comma 2 2 3 3 6 8 2" xfId="38685" xr:uid="{00000000-0005-0000-0000-000096160000}"/>
    <cellStyle name="Comma 2 2 3 3 6 9" xfId="23975" xr:uid="{00000000-0005-0000-0000-000097160000}"/>
    <cellStyle name="Comma 2 2 3 3 7" xfId="1308" xr:uid="{00000000-0005-0000-0000-000098160000}"/>
    <cellStyle name="Comma 2 2 3 3 7 10" xfId="22139" xr:uid="{00000000-0005-0000-0000-000099160000}"/>
    <cellStyle name="Comma 2 2 3 3 7 2" xfId="3756" xr:uid="{00000000-0005-0000-0000-00009A160000}"/>
    <cellStyle name="Comma 2 2 3 3 7 2 2" xfId="19691" xr:uid="{00000000-0005-0000-0000-00009B160000}"/>
    <cellStyle name="Comma 2 2 3 3 7 2 2 2" xfId="42969" xr:uid="{00000000-0005-0000-0000-00009C160000}"/>
    <cellStyle name="Comma 2 2 3 3 7 2 3" xfId="47865" xr:uid="{00000000-0005-0000-0000-00009D160000}"/>
    <cellStyle name="Comma 2 2 3 3 7 2 4" xfId="27035" xr:uid="{00000000-0005-0000-0000-00009E160000}"/>
    <cellStyle name="Comma 2 2 3 3 7 3" xfId="6204" xr:uid="{00000000-0005-0000-0000-00009F160000}"/>
    <cellStyle name="Comma 2 2 3 3 7 3 2" xfId="29483" xr:uid="{00000000-0005-0000-0000-0000A0160000}"/>
    <cellStyle name="Comma 2 2 3 3 7 4" xfId="8652" xr:uid="{00000000-0005-0000-0000-0000A1160000}"/>
    <cellStyle name="Comma 2 2 3 3 7 4 2" xfId="31931" xr:uid="{00000000-0005-0000-0000-0000A2160000}"/>
    <cellStyle name="Comma 2 2 3 3 7 5" xfId="11100" xr:uid="{00000000-0005-0000-0000-0000A3160000}"/>
    <cellStyle name="Comma 2 2 3 3 7 5 2" xfId="34379" xr:uid="{00000000-0005-0000-0000-0000A4160000}"/>
    <cellStyle name="Comma 2 2 3 3 7 6" xfId="13548" xr:uid="{00000000-0005-0000-0000-0000A5160000}"/>
    <cellStyle name="Comma 2 2 3 3 7 6 2" xfId="36827" xr:uid="{00000000-0005-0000-0000-0000A6160000}"/>
    <cellStyle name="Comma 2 2 3 3 7 7" xfId="17243" xr:uid="{00000000-0005-0000-0000-0000A7160000}"/>
    <cellStyle name="Comma 2 2 3 3 7 7 2" xfId="40521" xr:uid="{00000000-0005-0000-0000-0000A8160000}"/>
    <cellStyle name="Comma 2 2 3 3 7 8" xfId="24587" xr:uid="{00000000-0005-0000-0000-0000A9160000}"/>
    <cellStyle name="Comma 2 2 3 3 7 9" xfId="45417" xr:uid="{00000000-0005-0000-0000-0000AA160000}"/>
    <cellStyle name="Comma 2 2 3 3 8" xfId="2532" xr:uid="{00000000-0005-0000-0000-0000AB160000}"/>
    <cellStyle name="Comma 2 2 3 3 8 2" xfId="16019" xr:uid="{00000000-0005-0000-0000-0000AC160000}"/>
    <cellStyle name="Comma 2 2 3 3 8 2 2" xfId="39297" xr:uid="{00000000-0005-0000-0000-0000AD160000}"/>
    <cellStyle name="Comma 2 2 3 3 8 3" xfId="46641" xr:uid="{00000000-0005-0000-0000-0000AE160000}"/>
    <cellStyle name="Comma 2 2 3 3 8 4" xfId="25811" xr:uid="{00000000-0005-0000-0000-0000AF160000}"/>
    <cellStyle name="Comma 2 2 3 3 9" xfId="4980" xr:uid="{00000000-0005-0000-0000-0000B0160000}"/>
    <cellStyle name="Comma 2 2 3 3 9 2" xfId="18467" xr:uid="{00000000-0005-0000-0000-0000B1160000}"/>
    <cellStyle name="Comma 2 2 3 3 9 2 2" xfId="41745" xr:uid="{00000000-0005-0000-0000-0000B2160000}"/>
    <cellStyle name="Comma 2 2 3 3 9 3" xfId="28259" xr:uid="{00000000-0005-0000-0000-0000B3160000}"/>
    <cellStyle name="Comma 2 2 3 4" xfId="101" xr:uid="{00000000-0005-0000-0000-0000B4160000}"/>
    <cellStyle name="Comma 2 2 3 4 10" xfId="7445" xr:uid="{00000000-0005-0000-0000-0000B5160000}"/>
    <cellStyle name="Comma 2 2 3 4 10 2" xfId="30724" xr:uid="{00000000-0005-0000-0000-0000B6160000}"/>
    <cellStyle name="Comma 2 2 3 4 11" xfId="9893" xr:uid="{00000000-0005-0000-0000-0000B7160000}"/>
    <cellStyle name="Comma 2 2 3 4 11 2" xfId="33172" xr:uid="{00000000-0005-0000-0000-0000B8160000}"/>
    <cellStyle name="Comma 2 2 3 4 12" xfId="12341" xr:uid="{00000000-0005-0000-0000-0000B9160000}"/>
    <cellStyle name="Comma 2 2 3 4 12 2" xfId="35620" xr:uid="{00000000-0005-0000-0000-0000BA160000}"/>
    <cellStyle name="Comma 2 2 3 4 13" xfId="14812" xr:uid="{00000000-0005-0000-0000-0000BB160000}"/>
    <cellStyle name="Comma 2 2 3 4 13 2" xfId="38090" xr:uid="{00000000-0005-0000-0000-0000BC160000}"/>
    <cellStyle name="Comma 2 2 3 4 14" xfId="23380" xr:uid="{00000000-0005-0000-0000-0000BD160000}"/>
    <cellStyle name="Comma 2 2 3 4 15" xfId="44210" xr:uid="{00000000-0005-0000-0000-0000BE160000}"/>
    <cellStyle name="Comma 2 2 3 4 16" xfId="20932" xr:uid="{00000000-0005-0000-0000-0000BF160000}"/>
    <cellStyle name="Comma 2 2 3 4 2" xfId="169" xr:uid="{00000000-0005-0000-0000-0000C0160000}"/>
    <cellStyle name="Comma 2 2 3 4 2 10" xfId="12409" xr:uid="{00000000-0005-0000-0000-0000C1160000}"/>
    <cellStyle name="Comma 2 2 3 4 2 10 2" xfId="35688" xr:uid="{00000000-0005-0000-0000-0000C2160000}"/>
    <cellStyle name="Comma 2 2 3 4 2 11" xfId="14880" xr:uid="{00000000-0005-0000-0000-0000C3160000}"/>
    <cellStyle name="Comma 2 2 3 4 2 11 2" xfId="38158" xr:uid="{00000000-0005-0000-0000-0000C4160000}"/>
    <cellStyle name="Comma 2 2 3 4 2 12" xfId="23448" xr:uid="{00000000-0005-0000-0000-0000C5160000}"/>
    <cellStyle name="Comma 2 2 3 4 2 13" xfId="44278" xr:uid="{00000000-0005-0000-0000-0000C6160000}"/>
    <cellStyle name="Comma 2 2 3 4 2 14" xfId="21000" xr:uid="{00000000-0005-0000-0000-0000C7160000}"/>
    <cellStyle name="Comma 2 2 3 4 2 2" xfId="373" xr:uid="{00000000-0005-0000-0000-0000C8160000}"/>
    <cellStyle name="Comma 2 2 3 4 2 2 10" xfId="23652" xr:uid="{00000000-0005-0000-0000-0000C9160000}"/>
    <cellStyle name="Comma 2 2 3 4 2 2 11" xfId="44482" xr:uid="{00000000-0005-0000-0000-0000CA160000}"/>
    <cellStyle name="Comma 2 2 3 4 2 2 12" xfId="21204" xr:uid="{00000000-0005-0000-0000-0000CB160000}"/>
    <cellStyle name="Comma 2 2 3 4 2 2 2" xfId="985" xr:uid="{00000000-0005-0000-0000-0000CC160000}"/>
    <cellStyle name="Comma 2 2 3 4 2 2 2 10" xfId="45094" xr:uid="{00000000-0005-0000-0000-0000CD160000}"/>
    <cellStyle name="Comma 2 2 3 4 2 2 2 11" xfId="21816" xr:uid="{00000000-0005-0000-0000-0000CE160000}"/>
    <cellStyle name="Comma 2 2 3 4 2 2 2 2" xfId="2209" xr:uid="{00000000-0005-0000-0000-0000CF160000}"/>
    <cellStyle name="Comma 2 2 3 4 2 2 2 2 10" xfId="23040" xr:uid="{00000000-0005-0000-0000-0000D0160000}"/>
    <cellStyle name="Comma 2 2 3 4 2 2 2 2 2" xfId="4657" xr:uid="{00000000-0005-0000-0000-0000D1160000}"/>
    <cellStyle name="Comma 2 2 3 4 2 2 2 2 2 2" xfId="20592" xr:uid="{00000000-0005-0000-0000-0000D2160000}"/>
    <cellStyle name="Comma 2 2 3 4 2 2 2 2 2 2 2" xfId="43870" xr:uid="{00000000-0005-0000-0000-0000D3160000}"/>
    <cellStyle name="Comma 2 2 3 4 2 2 2 2 2 3" xfId="48766" xr:uid="{00000000-0005-0000-0000-0000D4160000}"/>
    <cellStyle name="Comma 2 2 3 4 2 2 2 2 2 4" xfId="27936" xr:uid="{00000000-0005-0000-0000-0000D5160000}"/>
    <cellStyle name="Comma 2 2 3 4 2 2 2 2 3" xfId="7105" xr:uid="{00000000-0005-0000-0000-0000D6160000}"/>
    <cellStyle name="Comma 2 2 3 4 2 2 2 2 3 2" xfId="30384" xr:uid="{00000000-0005-0000-0000-0000D7160000}"/>
    <cellStyle name="Comma 2 2 3 4 2 2 2 2 4" xfId="9553" xr:uid="{00000000-0005-0000-0000-0000D8160000}"/>
    <cellStyle name="Comma 2 2 3 4 2 2 2 2 4 2" xfId="32832" xr:uid="{00000000-0005-0000-0000-0000D9160000}"/>
    <cellStyle name="Comma 2 2 3 4 2 2 2 2 5" xfId="12001" xr:uid="{00000000-0005-0000-0000-0000DA160000}"/>
    <cellStyle name="Comma 2 2 3 4 2 2 2 2 5 2" xfId="35280" xr:uid="{00000000-0005-0000-0000-0000DB160000}"/>
    <cellStyle name="Comma 2 2 3 4 2 2 2 2 6" xfId="14449" xr:uid="{00000000-0005-0000-0000-0000DC160000}"/>
    <cellStyle name="Comma 2 2 3 4 2 2 2 2 6 2" xfId="37728" xr:uid="{00000000-0005-0000-0000-0000DD160000}"/>
    <cellStyle name="Comma 2 2 3 4 2 2 2 2 7" xfId="18144" xr:uid="{00000000-0005-0000-0000-0000DE160000}"/>
    <cellStyle name="Comma 2 2 3 4 2 2 2 2 7 2" xfId="41422" xr:uid="{00000000-0005-0000-0000-0000DF160000}"/>
    <cellStyle name="Comma 2 2 3 4 2 2 2 2 8" xfId="25488" xr:uid="{00000000-0005-0000-0000-0000E0160000}"/>
    <cellStyle name="Comma 2 2 3 4 2 2 2 2 9" xfId="46318" xr:uid="{00000000-0005-0000-0000-0000E1160000}"/>
    <cellStyle name="Comma 2 2 3 4 2 2 2 3" xfId="3433" xr:uid="{00000000-0005-0000-0000-0000E2160000}"/>
    <cellStyle name="Comma 2 2 3 4 2 2 2 3 2" xfId="16920" xr:uid="{00000000-0005-0000-0000-0000E3160000}"/>
    <cellStyle name="Comma 2 2 3 4 2 2 2 3 2 2" xfId="40198" xr:uid="{00000000-0005-0000-0000-0000E4160000}"/>
    <cellStyle name="Comma 2 2 3 4 2 2 2 3 3" xfId="47542" xr:uid="{00000000-0005-0000-0000-0000E5160000}"/>
    <cellStyle name="Comma 2 2 3 4 2 2 2 3 4" xfId="26712" xr:uid="{00000000-0005-0000-0000-0000E6160000}"/>
    <cellStyle name="Comma 2 2 3 4 2 2 2 4" xfId="5881" xr:uid="{00000000-0005-0000-0000-0000E7160000}"/>
    <cellStyle name="Comma 2 2 3 4 2 2 2 4 2" xfId="19368" xr:uid="{00000000-0005-0000-0000-0000E8160000}"/>
    <cellStyle name="Comma 2 2 3 4 2 2 2 4 2 2" xfId="42646" xr:uid="{00000000-0005-0000-0000-0000E9160000}"/>
    <cellStyle name="Comma 2 2 3 4 2 2 2 4 3" xfId="29160" xr:uid="{00000000-0005-0000-0000-0000EA160000}"/>
    <cellStyle name="Comma 2 2 3 4 2 2 2 5" xfId="8329" xr:uid="{00000000-0005-0000-0000-0000EB160000}"/>
    <cellStyle name="Comma 2 2 3 4 2 2 2 5 2" xfId="31608" xr:uid="{00000000-0005-0000-0000-0000EC160000}"/>
    <cellStyle name="Comma 2 2 3 4 2 2 2 6" xfId="10777" xr:uid="{00000000-0005-0000-0000-0000ED160000}"/>
    <cellStyle name="Comma 2 2 3 4 2 2 2 6 2" xfId="34056" xr:uid="{00000000-0005-0000-0000-0000EE160000}"/>
    <cellStyle name="Comma 2 2 3 4 2 2 2 7" xfId="13225" xr:uid="{00000000-0005-0000-0000-0000EF160000}"/>
    <cellStyle name="Comma 2 2 3 4 2 2 2 7 2" xfId="36504" xr:uid="{00000000-0005-0000-0000-0000F0160000}"/>
    <cellStyle name="Comma 2 2 3 4 2 2 2 8" xfId="15696" xr:uid="{00000000-0005-0000-0000-0000F1160000}"/>
    <cellStyle name="Comma 2 2 3 4 2 2 2 8 2" xfId="38974" xr:uid="{00000000-0005-0000-0000-0000F2160000}"/>
    <cellStyle name="Comma 2 2 3 4 2 2 2 9" xfId="24264" xr:uid="{00000000-0005-0000-0000-0000F3160000}"/>
    <cellStyle name="Comma 2 2 3 4 2 2 3" xfId="1597" xr:uid="{00000000-0005-0000-0000-0000F4160000}"/>
    <cellStyle name="Comma 2 2 3 4 2 2 3 10" xfId="22428" xr:uid="{00000000-0005-0000-0000-0000F5160000}"/>
    <cellStyle name="Comma 2 2 3 4 2 2 3 2" xfId="4045" xr:uid="{00000000-0005-0000-0000-0000F6160000}"/>
    <cellStyle name="Comma 2 2 3 4 2 2 3 2 2" xfId="19980" xr:uid="{00000000-0005-0000-0000-0000F7160000}"/>
    <cellStyle name="Comma 2 2 3 4 2 2 3 2 2 2" xfId="43258" xr:uid="{00000000-0005-0000-0000-0000F8160000}"/>
    <cellStyle name="Comma 2 2 3 4 2 2 3 2 3" xfId="48154" xr:uid="{00000000-0005-0000-0000-0000F9160000}"/>
    <cellStyle name="Comma 2 2 3 4 2 2 3 2 4" xfId="27324" xr:uid="{00000000-0005-0000-0000-0000FA160000}"/>
    <cellStyle name="Comma 2 2 3 4 2 2 3 3" xfId="6493" xr:uid="{00000000-0005-0000-0000-0000FB160000}"/>
    <cellStyle name="Comma 2 2 3 4 2 2 3 3 2" xfId="29772" xr:uid="{00000000-0005-0000-0000-0000FC160000}"/>
    <cellStyle name="Comma 2 2 3 4 2 2 3 4" xfId="8941" xr:uid="{00000000-0005-0000-0000-0000FD160000}"/>
    <cellStyle name="Comma 2 2 3 4 2 2 3 4 2" xfId="32220" xr:uid="{00000000-0005-0000-0000-0000FE160000}"/>
    <cellStyle name="Comma 2 2 3 4 2 2 3 5" xfId="11389" xr:uid="{00000000-0005-0000-0000-0000FF160000}"/>
    <cellStyle name="Comma 2 2 3 4 2 2 3 5 2" xfId="34668" xr:uid="{00000000-0005-0000-0000-000000170000}"/>
    <cellStyle name="Comma 2 2 3 4 2 2 3 6" xfId="13837" xr:uid="{00000000-0005-0000-0000-000001170000}"/>
    <cellStyle name="Comma 2 2 3 4 2 2 3 6 2" xfId="37116" xr:uid="{00000000-0005-0000-0000-000002170000}"/>
    <cellStyle name="Comma 2 2 3 4 2 2 3 7" xfId="17532" xr:uid="{00000000-0005-0000-0000-000003170000}"/>
    <cellStyle name="Comma 2 2 3 4 2 2 3 7 2" xfId="40810" xr:uid="{00000000-0005-0000-0000-000004170000}"/>
    <cellStyle name="Comma 2 2 3 4 2 2 3 8" xfId="24876" xr:uid="{00000000-0005-0000-0000-000005170000}"/>
    <cellStyle name="Comma 2 2 3 4 2 2 3 9" xfId="45706" xr:uid="{00000000-0005-0000-0000-000006170000}"/>
    <cellStyle name="Comma 2 2 3 4 2 2 4" xfId="2821" xr:uid="{00000000-0005-0000-0000-000007170000}"/>
    <cellStyle name="Comma 2 2 3 4 2 2 4 2" xfId="16308" xr:uid="{00000000-0005-0000-0000-000008170000}"/>
    <cellStyle name="Comma 2 2 3 4 2 2 4 2 2" xfId="39586" xr:uid="{00000000-0005-0000-0000-000009170000}"/>
    <cellStyle name="Comma 2 2 3 4 2 2 4 3" xfId="46930" xr:uid="{00000000-0005-0000-0000-00000A170000}"/>
    <cellStyle name="Comma 2 2 3 4 2 2 4 4" xfId="26100" xr:uid="{00000000-0005-0000-0000-00000B170000}"/>
    <cellStyle name="Comma 2 2 3 4 2 2 5" xfId="5269" xr:uid="{00000000-0005-0000-0000-00000C170000}"/>
    <cellStyle name="Comma 2 2 3 4 2 2 5 2" xfId="18756" xr:uid="{00000000-0005-0000-0000-00000D170000}"/>
    <cellStyle name="Comma 2 2 3 4 2 2 5 2 2" xfId="42034" xr:uid="{00000000-0005-0000-0000-00000E170000}"/>
    <cellStyle name="Comma 2 2 3 4 2 2 5 3" xfId="28548" xr:uid="{00000000-0005-0000-0000-00000F170000}"/>
    <cellStyle name="Comma 2 2 3 4 2 2 6" xfId="7717" xr:uid="{00000000-0005-0000-0000-000010170000}"/>
    <cellStyle name="Comma 2 2 3 4 2 2 6 2" xfId="30996" xr:uid="{00000000-0005-0000-0000-000011170000}"/>
    <cellStyle name="Comma 2 2 3 4 2 2 7" xfId="10165" xr:uid="{00000000-0005-0000-0000-000012170000}"/>
    <cellStyle name="Comma 2 2 3 4 2 2 7 2" xfId="33444" xr:uid="{00000000-0005-0000-0000-000013170000}"/>
    <cellStyle name="Comma 2 2 3 4 2 2 8" xfId="12613" xr:uid="{00000000-0005-0000-0000-000014170000}"/>
    <cellStyle name="Comma 2 2 3 4 2 2 8 2" xfId="35892" xr:uid="{00000000-0005-0000-0000-000015170000}"/>
    <cellStyle name="Comma 2 2 3 4 2 2 9" xfId="15084" xr:uid="{00000000-0005-0000-0000-000016170000}"/>
    <cellStyle name="Comma 2 2 3 4 2 2 9 2" xfId="38362" xr:uid="{00000000-0005-0000-0000-000017170000}"/>
    <cellStyle name="Comma 2 2 3 4 2 3" xfId="577" xr:uid="{00000000-0005-0000-0000-000018170000}"/>
    <cellStyle name="Comma 2 2 3 4 2 3 10" xfId="23856" xr:uid="{00000000-0005-0000-0000-000019170000}"/>
    <cellStyle name="Comma 2 2 3 4 2 3 11" xfId="44686" xr:uid="{00000000-0005-0000-0000-00001A170000}"/>
    <cellStyle name="Comma 2 2 3 4 2 3 12" xfId="21408" xr:uid="{00000000-0005-0000-0000-00001B170000}"/>
    <cellStyle name="Comma 2 2 3 4 2 3 2" xfId="1189" xr:uid="{00000000-0005-0000-0000-00001C170000}"/>
    <cellStyle name="Comma 2 2 3 4 2 3 2 10" xfId="45298" xr:uid="{00000000-0005-0000-0000-00001D170000}"/>
    <cellStyle name="Comma 2 2 3 4 2 3 2 11" xfId="22020" xr:uid="{00000000-0005-0000-0000-00001E170000}"/>
    <cellStyle name="Comma 2 2 3 4 2 3 2 2" xfId="2413" xr:uid="{00000000-0005-0000-0000-00001F170000}"/>
    <cellStyle name="Comma 2 2 3 4 2 3 2 2 10" xfId="23244" xr:uid="{00000000-0005-0000-0000-000020170000}"/>
    <cellStyle name="Comma 2 2 3 4 2 3 2 2 2" xfId="4861" xr:uid="{00000000-0005-0000-0000-000021170000}"/>
    <cellStyle name="Comma 2 2 3 4 2 3 2 2 2 2" xfId="20796" xr:uid="{00000000-0005-0000-0000-000022170000}"/>
    <cellStyle name="Comma 2 2 3 4 2 3 2 2 2 2 2" xfId="44074" xr:uid="{00000000-0005-0000-0000-000023170000}"/>
    <cellStyle name="Comma 2 2 3 4 2 3 2 2 2 3" xfId="48970" xr:uid="{00000000-0005-0000-0000-000024170000}"/>
    <cellStyle name="Comma 2 2 3 4 2 3 2 2 2 4" xfId="28140" xr:uid="{00000000-0005-0000-0000-000025170000}"/>
    <cellStyle name="Comma 2 2 3 4 2 3 2 2 3" xfId="7309" xr:uid="{00000000-0005-0000-0000-000026170000}"/>
    <cellStyle name="Comma 2 2 3 4 2 3 2 2 3 2" xfId="30588" xr:uid="{00000000-0005-0000-0000-000027170000}"/>
    <cellStyle name="Comma 2 2 3 4 2 3 2 2 4" xfId="9757" xr:uid="{00000000-0005-0000-0000-000028170000}"/>
    <cellStyle name="Comma 2 2 3 4 2 3 2 2 4 2" xfId="33036" xr:uid="{00000000-0005-0000-0000-000029170000}"/>
    <cellStyle name="Comma 2 2 3 4 2 3 2 2 5" xfId="12205" xr:uid="{00000000-0005-0000-0000-00002A170000}"/>
    <cellStyle name="Comma 2 2 3 4 2 3 2 2 5 2" xfId="35484" xr:uid="{00000000-0005-0000-0000-00002B170000}"/>
    <cellStyle name="Comma 2 2 3 4 2 3 2 2 6" xfId="14653" xr:uid="{00000000-0005-0000-0000-00002C170000}"/>
    <cellStyle name="Comma 2 2 3 4 2 3 2 2 6 2" xfId="37932" xr:uid="{00000000-0005-0000-0000-00002D170000}"/>
    <cellStyle name="Comma 2 2 3 4 2 3 2 2 7" xfId="18348" xr:uid="{00000000-0005-0000-0000-00002E170000}"/>
    <cellStyle name="Comma 2 2 3 4 2 3 2 2 7 2" xfId="41626" xr:uid="{00000000-0005-0000-0000-00002F170000}"/>
    <cellStyle name="Comma 2 2 3 4 2 3 2 2 8" xfId="25692" xr:uid="{00000000-0005-0000-0000-000030170000}"/>
    <cellStyle name="Comma 2 2 3 4 2 3 2 2 9" xfId="46522" xr:uid="{00000000-0005-0000-0000-000031170000}"/>
    <cellStyle name="Comma 2 2 3 4 2 3 2 3" xfId="3637" xr:uid="{00000000-0005-0000-0000-000032170000}"/>
    <cellStyle name="Comma 2 2 3 4 2 3 2 3 2" xfId="17124" xr:uid="{00000000-0005-0000-0000-000033170000}"/>
    <cellStyle name="Comma 2 2 3 4 2 3 2 3 2 2" xfId="40402" xr:uid="{00000000-0005-0000-0000-000034170000}"/>
    <cellStyle name="Comma 2 2 3 4 2 3 2 3 3" xfId="47746" xr:uid="{00000000-0005-0000-0000-000035170000}"/>
    <cellStyle name="Comma 2 2 3 4 2 3 2 3 4" xfId="26916" xr:uid="{00000000-0005-0000-0000-000036170000}"/>
    <cellStyle name="Comma 2 2 3 4 2 3 2 4" xfId="6085" xr:uid="{00000000-0005-0000-0000-000037170000}"/>
    <cellStyle name="Comma 2 2 3 4 2 3 2 4 2" xfId="19572" xr:uid="{00000000-0005-0000-0000-000038170000}"/>
    <cellStyle name="Comma 2 2 3 4 2 3 2 4 2 2" xfId="42850" xr:uid="{00000000-0005-0000-0000-000039170000}"/>
    <cellStyle name="Comma 2 2 3 4 2 3 2 4 3" xfId="29364" xr:uid="{00000000-0005-0000-0000-00003A170000}"/>
    <cellStyle name="Comma 2 2 3 4 2 3 2 5" xfId="8533" xr:uid="{00000000-0005-0000-0000-00003B170000}"/>
    <cellStyle name="Comma 2 2 3 4 2 3 2 5 2" xfId="31812" xr:uid="{00000000-0005-0000-0000-00003C170000}"/>
    <cellStyle name="Comma 2 2 3 4 2 3 2 6" xfId="10981" xr:uid="{00000000-0005-0000-0000-00003D170000}"/>
    <cellStyle name="Comma 2 2 3 4 2 3 2 6 2" xfId="34260" xr:uid="{00000000-0005-0000-0000-00003E170000}"/>
    <cellStyle name="Comma 2 2 3 4 2 3 2 7" xfId="13429" xr:uid="{00000000-0005-0000-0000-00003F170000}"/>
    <cellStyle name="Comma 2 2 3 4 2 3 2 7 2" xfId="36708" xr:uid="{00000000-0005-0000-0000-000040170000}"/>
    <cellStyle name="Comma 2 2 3 4 2 3 2 8" xfId="15900" xr:uid="{00000000-0005-0000-0000-000041170000}"/>
    <cellStyle name="Comma 2 2 3 4 2 3 2 8 2" xfId="39178" xr:uid="{00000000-0005-0000-0000-000042170000}"/>
    <cellStyle name="Comma 2 2 3 4 2 3 2 9" xfId="24468" xr:uid="{00000000-0005-0000-0000-000043170000}"/>
    <cellStyle name="Comma 2 2 3 4 2 3 3" xfId="1801" xr:uid="{00000000-0005-0000-0000-000044170000}"/>
    <cellStyle name="Comma 2 2 3 4 2 3 3 10" xfId="22632" xr:uid="{00000000-0005-0000-0000-000045170000}"/>
    <cellStyle name="Comma 2 2 3 4 2 3 3 2" xfId="4249" xr:uid="{00000000-0005-0000-0000-000046170000}"/>
    <cellStyle name="Comma 2 2 3 4 2 3 3 2 2" xfId="20184" xr:uid="{00000000-0005-0000-0000-000047170000}"/>
    <cellStyle name="Comma 2 2 3 4 2 3 3 2 2 2" xfId="43462" xr:uid="{00000000-0005-0000-0000-000048170000}"/>
    <cellStyle name="Comma 2 2 3 4 2 3 3 2 3" xfId="48358" xr:uid="{00000000-0005-0000-0000-000049170000}"/>
    <cellStyle name="Comma 2 2 3 4 2 3 3 2 4" xfId="27528" xr:uid="{00000000-0005-0000-0000-00004A170000}"/>
    <cellStyle name="Comma 2 2 3 4 2 3 3 3" xfId="6697" xr:uid="{00000000-0005-0000-0000-00004B170000}"/>
    <cellStyle name="Comma 2 2 3 4 2 3 3 3 2" xfId="29976" xr:uid="{00000000-0005-0000-0000-00004C170000}"/>
    <cellStyle name="Comma 2 2 3 4 2 3 3 4" xfId="9145" xr:uid="{00000000-0005-0000-0000-00004D170000}"/>
    <cellStyle name="Comma 2 2 3 4 2 3 3 4 2" xfId="32424" xr:uid="{00000000-0005-0000-0000-00004E170000}"/>
    <cellStyle name="Comma 2 2 3 4 2 3 3 5" xfId="11593" xr:uid="{00000000-0005-0000-0000-00004F170000}"/>
    <cellStyle name="Comma 2 2 3 4 2 3 3 5 2" xfId="34872" xr:uid="{00000000-0005-0000-0000-000050170000}"/>
    <cellStyle name="Comma 2 2 3 4 2 3 3 6" xfId="14041" xr:uid="{00000000-0005-0000-0000-000051170000}"/>
    <cellStyle name="Comma 2 2 3 4 2 3 3 6 2" xfId="37320" xr:uid="{00000000-0005-0000-0000-000052170000}"/>
    <cellStyle name="Comma 2 2 3 4 2 3 3 7" xfId="17736" xr:uid="{00000000-0005-0000-0000-000053170000}"/>
    <cellStyle name="Comma 2 2 3 4 2 3 3 7 2" xfId="41014" xr:uid="{00000000-0005-0000-0000-000054170000}"/>
    <cellStyle name="Comma 2 2 3 4 2 3 3 8" xfId="25080" xr:uid="{00000000-0005-0000-0000-000055170000}"/>
    <cellStyle name="Comma 2 2 3 4 2 3 3 9" xfId="45910" xr:uid="{00000000-0005-0000-0000-000056170000}"/>
    <cellStyle name="Comma 2 2 3 4 2 3 4" xfId="3025" xr:uid="{00000000-0005-0000-0000-000057170000}"/>
    <cellStyle name="Comma 2 2 3 4 2 3 4 2" xfId="16512" xr:uid="{00000000-0005-0000-0000-000058170000}"/>
    <cellStyle name="Comma 2 2 3 4 2 3 4 2 2" xfId="39790" xr:uid="{00000000-0005-0000-0000-000059170000}"/>
    <cellStyle name="Comma 2 2 3 4 2 3 4 3" xfId="47134" xr:uid="{00000000-0005-0000-0000-00005A170000}"/>
    <cellStyle name="Comma 2 2 3 4 2 3 4 4" xfId="26304" xr:uid="{00000000-0005-0000-0000-00005B170000}"/>
    <cellStyle name="Comma 2 2 3 4 2 3 5" xfId="5473" xr:uid="{00000000-0005-0000-0000-00005C170000}"/>
    <cellStyle name="Comma 2 2 3 4 2 3 5 2" xfId="18960" xr:uid="{00000000-0005-0000-0000-00005D170000}"/>
    <cellStyle name="Comma 2 2 3 4 2 3 5 2 2" xfId="42238" xr:uid="{00000000-0005-0000-0000-00005E170000}"/>
    <cellStyle name="Comma 2 2 3 4 2 3 5 3" xfId="28752" xr:uid="{00000000-0005-0000-0000-00005F170000}"/>
    <cellStyle name="Comma 2 2 3 4 2 3 6" xfId="7921" xr:uid="{00000000-0005-0000-0000-000060170000}"/>
    <cellStyle name="Comma 2 2 3 4 2 3 6 2" xfId="31200" xr:uid="{00000000-0005-0000-0000-000061170000}"/>
    <cellStyle name="Comma 2 2 3 4 2 3 7" xfId="10369" xr:uid="{00000000-0005-0000-0000-000062170000}"/>
    <cellStyle name="Comma 2 2 3 4 2 3 7 2" xfId="33648" xr:uid="{00000000-0005-0000-0000-000063170000}"/>
    <cellStyle name="Comma 2 2 3 4 2 3 8" xfId="12817" xr:uid="{00000000-0005-0000-0000-000064170000}"/>
    <cellStyle name="Comma 2 2 3 4 2 3 8 2" xfId="36096" xr:uid="{00000000-0005-0000-0000-000065170000}"/>
    <cellStyle name="Comma 2 2 3 4 2 3 9" xfId="15288" xr:uid="{00000000-0005-0000-0000-000066170000}"/>
    <cellStyle name="Comma 2 2 3 4 2 3 9 2" xfId="38566" xr:uid="{00000000-0005-0000-0000-000067170000}"/>
    <cellStyle name="Comma 2 2 3 4 2 4" xfId="781" xr:uid="{00000000-0005-0000-0000-000068170000}"/>
    <cellStyle name="Comma 2 2 3 4 2 4 10" xfId="44890" xr:uid="{00000000-0005-0000-0000-000069170000}"/>
    <cellStyle name="Comma 2 2 3 4 2 4 11" xfId="21612" xr:uid="{00000000-0005-0000-0000-00006A170000}"/>
    <cellStyle name="Comma 2 2 3 4 2 4 2" xfId="2005" xr:uid="{00000000-0005-0000-0000-00006B170000}"/>
    <cellStyle name="Comma 2 2 3 4 2 4 2 10" xfId="22836" xr:uid="{00000000-0005-0000-0000-00006C170000}"/>
    <cellStyle name="Comma 2 2 3 4 2 4 2 2" xfId="4453" xr:uid="{00000000-0005-0000-0000-00006D170000}"/>
    <cellStyle name="Comma 2 2 3 4 2 4 2 2 2" xfId="20388" xr:uid="{00000000-0005-0000-0000-00006E170000}"/>
    <cellStyle name="Comma 2 2 3 4 2 4 2 2 2 2" xfId="43666" xr:uid="{00000000-0005-0000-0000-00006F170000}"/>
    <cellStyle name="Comma 2 2 3 4 2 4 2 2 3" xfId="48562" xr:uid="{00000000-0005-0000-0000-000070170000}"/>
    <cellStyle name="Comma 2 2 3 4 2 4 2 2 4" xfId="27732" xr:uid="{00000000-0005-0000-0000-000071170000}"/>
    <cellStyle name="Comma 2 2 3 4 2 4 2 3" xfId="6901" xr:uid="{00000000-0005-0000-0000-000072170000}"/>
    <cellStyle name="Comma 2 2 3 4 2 4 2 3 2" xfId="30180" xr:uid="{00000000-0005-0000-0000-000073170000}"/>
    <cellStyle name="Comma 2 2 3 4 2 4 2 4" xfId="9349" xr:uid="{00000000-0005-0000-0000-000074170000}"/>
    <cellStyle name="Comma 2 2 3 4 2 4 2 4 2" xfId="32628" xr:uid="{00000000-0005-0000-0000-000075170000}"/>
    <cellStyle name="Comma 2 2 3 4 2 4 2 5" xfId="11797" xr:uid="{00000000-0005-0000-0000-000076170000}"/>
    <cellStyle name="Comma 2 2 3 4 2 4 2 5 2" xfId="35076" xr:uid="{00000000-0005-0000-0000-000077170000}"/>
    <cellStyle name="Comma 2 2 3 4 2 4 2 6" xfId="14245" xr:uid="{00000000-0005-0000-0000-000078170000}"/>
    <cellStyle name="Comma 2 2 3 4 2 4 2 6 2" xfId="37524" xr:uid="{00000000-0005-0000-0000-000079170000}"/>
    <cellStyle name="Comma 2 2 3 4 2 4 2 7" xfId="17940" xr:uid="{00000000-0005-0000-0000-00007A170000}"/>
    <cellStyle name="Comma 2 2 3 4 2 4 2 7 2" xfId="41218" xr:uid="{00000000-0005-0000-0000-00007B170000}"/>
    <cellStyle name="Comma 2 2 3 4 2 4 2 8" xfId="25284" xr:uid="{00000000-0005-0000-0000-00007C170000}"/>
    <cellStyle name="Comma 2 2 3 4 2 4 2 9" xfId="46114" xr:uid="{00000000-0005-0000-0000-00007D170000}"/>
    <cellStyle name="Comma 2 2 3 4 2 4 3" xfId="3229" xr:uid="{00000000-0005-0000-0000-00007E170000}"/>
    <cellStyle name="Comma 2 2 3 4 2 4 3 2" xfId="16716" xr:uid="{00000000-0005-0000-0000-00007F170000}"/>
    <cellStyle name="Comma 2 2 3 4 2 4 3 2 2" xfId="39994" xr:uid="{00000000-0005-0000-0000-000080170000}"/>
    <cellStyle name="Comma 2 2 3 4 2 4 3 3" xfId="47338" xr:uid="{00000000-0005-0000-0000-000081170000}"/>
    <cellStyle name="Comma 2 2 3 4 2 4 3 4" xfId="26508" xr:uid="{00000000-0005-0000-0000-000082170000}"/>
    <cellStyle name="Comma 2 2 3 4 2 4 4" xfId="5677" xr:uid="{00000000-0005-0000-0000-000083170000}"/>
    <cellStyle name="Comma 2 2 3 4 2 4 4 2" xfId="19164" xr:uid="{00000000-0005-0000-0000-000084170000}"/>
    <cellStyle name="Comma 2 2 3 4 2 4 4 2 2" xfId="42442" xr:uid="{00000000-0005-0000-0000-000085170000}"/>
    <cellStyle name="Comma 2 2 3 4 2 4 4 3" xfId="28956" xr:uid="{00000000-0005-0000-0000-000086170000}"/>
    <cellStyle name="Comma 2 2 3 4 2 4 5" xfId="8125" xr:uid="{00000000-0005-0000-0000-000087170000}"/>
    <cellStyle name="Comma 2 2 3 4 2 4 5 2" xfId="31404" xr:uid="{00000000-0005-0000-0000-000088170000}"/>
    <cellStyle name="Comma 2 2 3 4 2 4 6" xfId="10573" xr:uid="{00000000-0005-0000-0000-000089170000}"/>
    <cellStyle name="Comma 2 2 3 4 2 4 6 2" xfId="33852" xr:uid="{00000000-0005-0000-0000-00008A170000}"/>
    <cellStyle name="Comma 2 2 3 4 2 4 7" xfId="13021" xr:uid="{00000000-0005-0000-0000-00008B170000}"/>
    <cellStyle name="Comma 2 2 3 4 2 4 7 2" xfId="36300" xr:uid="{00000000-0005-0000-0000-00008C170000}"/>
    <cellStyle name="Comma 2 2 3 4 2 4 8" xfId="15492" xr:uid="{00000000-0005-0000-0000-00008D170000}"/>
    <cellStyle name="Comma 2 2 3 4 2 4 8 2" xfId="38770" xr:uid="{00000000-0005-0000-0000-00008E170000}"/>
    <cellStyle name="Comma 2 2 3 4 2 4 9" xfId="24060" xr:uid="{00000000-0005-0000-0000-00008F170000}"/>
    <cellStyle name="Comma 2 2 3 4 2 5" xfId="1393" xr:uid="{00000000-0005-0000-0000-000090170000}"/>
    <cellStyle name="Comma 2 2 3 4 2 5 10" xfId="22224" xr:uid="{00000000-0005-0000-0000-000091170000}"/>
    <cellStyle name="Comma 2 2 3 4 2 5 2" xfId="3841" xr:uid="{00000000-0005-0000-0000-000092170000}"/>
    <cellStyle name="Comma 2 2 3 4 2 5 2 2" xfId="19776" xr:uid="{00000000-0005-0000-0000-000093170000}"/>
    <cellStyle name="Comma 2 2 3 4 2 5 2 2 2" xfId="43054" xr:uid="{00000000-0005-0000-0000-000094170000}"/>
    <cellStyle name="Comma 2 2 3 4 2 5 2 3" xfId="47950" xr:uid="{00000000-0005-0000-0000-000095170000}"/>
    <cellStyle name="Comma 2 2 3 4 2 5 2 4" xfId="27120" xr:uid="{00000000-0005-0000-0000-000096170000}"/>
    <cellStyle name="Comma 2 2 3 4 2 5 3" xfId="6289" xr:uid="{00000000-0005-0000-0000-000097170000}"/>
    <cellStyle name="Comma 2 2 3 4 2 5 3 2" xfId="29568" xr:uid="{00000000-0005-0000-0000-000098170000}"/>
    <cellStyle name="Comma 2 2 3 4 2 5 4" xfId="8737" xr:uid="{00000000-0005-0000-0000-000099170000}"/>
    <cellStyle name="Comma 2 2 3 4 2 5 4 2" xfId="32016" xr:uid="{00000000-0005-0000-0000-00009A170000}"/>
    <cellStyle name="Comma 2 2 3 4 2 5 5" xfId="11185" xr:uid="{00000000-0005-0000-0000-00009B170000}"/>
    <cellStyle name="Comma 2 2 3 4 2 5 5 2" xfId="34464" xr:uid="{00000000-0005-0000-0000-00009C170000}"/>
    <cellStyle name="Comma 2 2 3 4 2 5 6" xfId="13633" xr:uid="{00000000-0005-0000-0000-00009D170000}"/>
    <cellStyle name="Comma 2 2 3 4 2 5 6 2" xfId="36912" xr:uid="{00000000-0005-0000-0000-00009E170000}"/>
    <cellStyle name="Comma 2 2 3 4 2 5 7" xfId="17328" xr:uid="{00000000-0005-0000-0000-00009F170000}"/>
    <cellStyle name="Comma 2 2 3 4 2 5 7 2" xfId="40606" xr:uid="{00000000-0005-0000-0000-0000A0170000}"/>
    <cellStyle name="Comma 2 2 3 4 2 5 8" xfId="24672" xr:uid="{00000000-0005-0000-0000-0000A1170000}"/>
    <cellStyle name="Comma 2 2 3 4 2 5 9" xfId="45502" xr:uid="{00000000-0005-0000-0000-0000A2170000}"/>
    <cellStyle name="Comma 2 2 3 4 2 6" xfId="2617" xr:uid="{00000000-0005-0000-0000-0000A3170000}"/>
    <cellStyle name="Comma 2 2 3 4 2 6 2" xfId="16104" xr:uid="{00000000-0005-0000-0000-0000A4170000}"/>
    <cellStyle name="Comma 2 2 3 4 2 6 2 2" xfId="39382" xr:uid="{00000000-0005-0000-0000-0000A5170000}"/>
    <cellStyle name="Comma 2 2 3 4 2 6 3" xfId="46726" xr:uid="{00000000-0005-0000-0000-0000A6170000}"/>
    <cellStyle name="Comma 2 2 3 4 2 6 4" xfId="25896" xr:uid="{00000000-0005-0000-0000-0000A7170000}"/>
    <cellStyle name="Comma 2 2 3 4 2 7" xfId="5065" xr:uid="{00000000-0005-0000-0000-0000A8170000}"/>
    <cellStyle name="Comma 2 2 3 4 2 7 2" xfId="18552" xr:uid="{00000000-0005-0000-0000-0000A9170000}"/>
    <cellStyle name="Comma 2 2 3 4 2 7 2 2" xfId="41830" xr:uid="{00000000-0005-0000-0000-0000AA170000}"/>
    <cellStyle name="Comma 2 2 3 4 2 7 3" xfId="28344" xr:uid="{00000000-0005-0000-0000-0000AB170000}"/>
    <cellStyle name="Comma 2 2 3 4 2 8" xfId="7513" xr:uid="{00000000-0005-0000-0000-0000AC170000}"/>
    <cellStyle name="Comma 2 2 3 4 2 8 2" xfId="30792" xr:uid="{00000000-0005-0000-0000-0000AD170000}"/>
    <cellStyle name="Comma 2 2 3 4 2 9" xfId="9961" xr:uid="{00000000-0005-0000-0000-0000AE170000}"/>
    <cellStyle name="Comma 2 2 3 4 2 9 2" xfId="33240" xr:uid="{00000000-0005-0000-0000-0000AF170000}"/>
    <cellStyle name="Comma 2 2 3 4 3" xfId="237" xr:uid="{00000000-0005-0000-0000-0000B0170000}"/>
    <cellStyle name="Comma 2 2 3 4 3 10" xfId="12477" xr:uid="{00000000-0005-0000-0000-0000B1170000}"/>
    <cellStyle name="Comma 2 2 3 4 3 10 2" xfId="35756" xr:uid="{00000000-0005-0000-0000-0000B2170000}"/>
    <cellStyle name="Comma 2 2 3 4 3 11" xfId="14948" xr:uid="{00000000-0005-0000-0000-0000B3170000}"/>
    <cellStyle name="Comma 2 2 3 4 3 11 2" xfId="38226" xr:uid="{00000000-0005-0000-0000-0000B4170000}"/>
    <cellStyle name="Comma 2 2 3 4 3 12" xfId="23516" xr:uid="{00000000-0005-0000-0000-0000B5170000}"/>
    <cellStyle name="Comma 2 2 3 4 3 13" xfId="44346" xr:uid="{00000000-0005-0000-0000-0000B6170000}"/>
    <cellStyle name="Comma 2 2 3 4 3 14" xfId="21068" xr:uid="{00000000-0005-0000-0000-0000B7170000}"/>
    <cellStyle name="Comma 2 2 3 4 3 2" xfId="441" xr:uid="{00000000-0005-0000-0000-0000B8170000}"/>
    <cellStyle name="Comma 2 2 3 4 3 2 10" xfId="23720" xr:uid="{00000000-0005-0000-0000-0000B9170000}"/>
    <cellStyle name="Comma 2 2 3 4 3 2 11" xfId="44550" xr:uid="{00000000-0005-0000-0000-0000BA170000}"/>
    <cellStyle name="Comma 2 2 3 4 3 2 12" xfId="21272" xr:uid="{00000000-0005-0000-0000-0000BB170000}"/>
    <cellStyle name="Comma 2 2 3 4 3 2 2" xfId="1053" xr:uid="{00000000-0005-0000-0000-0000BC170000}"/>
    <cellStyle name="Comma 2 2 3 4 3 2 2 10" xfId="45162" xr:uid="{00000000-0005-0000-0000-0000BD170000}"/>
    <cellStyle name="Comma 2 2 3 4 3 2 2 11" xfId="21884" xr:uid="{00000000-0005-0000-0000-0000BE170000}"/>
    <cellStyle name="Comma 2 2 3 4 3 2 2 2" xfId="2277" xr:uid="{00000000-0005-0000-0000-0000BF170000}"/>
    <cellStyle name="Comma 2 2 3 4 3 2 2 2 10" xfId="23108" xr:uid="{00000000-0005-0000-0000-0000C0170000}"/>
    <cellStyle name="Comma 2 2 3 4 3 2 2 2 2" xfId="4725" xr:uid="{00000000-0005-0000-0000-0000C1170000}"/>
    <cellStyle name="Comma 2 2 3 4 3 2 2 2 2 2" xfId="20660" xr:uid="{00000000-0005-0000-0000-0000C2170000}"/>
    <cellStyle name="Comma 2 2 3 4 3 2 2 2 2 2 2" xfId="43938" xr:uid="{00000000-0005-0000-0000-0000C3170000}"/>
    <cellStyle name="Comma 2 2 3 4 3 2 2 2 2 3" xfId="48834" xr:uid="{00000000-0005-0000-0000-0000C4170000}"/>
    <cellStyle name="Comma 2 2 3 4 3 2 2 2 2 4" xfId="28004" xr:uid="{00000000-0005-0000-0000-0000C5170000}"/>
    <cellStyle name="Comma 2 2 3 4 3 2 2 2 3" xfId="7173" xr:uid="{00000000-0005-0000-0000-0000C6170000}"/>
    <cellStyle name="Comma 2 2 3 4 3 2 2 2 3 2" xfId="30452" xr:uid="{00000000-0005-0000-0000-0000C7170000}"/>
    <cellStyle name="Comma 2 2 3 4 3 2 2 2 4" xfId="9621" xr:uid="{00000000-0005-0000-0000-0000C8170000}"/>
    <cellStyle name="Comma 2 2 3 4 3 2 2 2 4 2" xfId="32900" xr:uid="{00000000-0005-0000-0000-0000C9170000}"/>
    <cellStyle name="Comma 2 2 3 4 3 2 2 2 5" xfId="12069" xr:uid="{00000000-0005-0000-0000-0000CA170000}"/>
    <cellStyle name="Comma 2 2 3 4 3 2 2 2 5 2" xfId="35348" xr:uid="{00000000-0005-0000-0000-0000CB170000}"/>
    <cellStyle name="Comma 2 2 3 4 3 2 2 2 6" xfId="14517" xr:uid="{00000000-0005-0000-0000-0000CC170000}"/>
    <cellStyle name="Comma 2 2 3 4 3 2 2 2 6 2" xfId="37796" xr:uid="{00000000-0005-0000-0000-0000CD170000}"/>
    <cellStyle name="Comma 2 2 3 4 3 2 2 2 7" xfId="18212" xr:uid="{00000000-0005-0000-0000-0000CE170000}"/>
    <cellStyle name="Comma 2 2 3 4 3 2 2 2 7 2" xfId="41490" xr:uid="{00000000-0005-0000-0000-0000CF170000}"/>
    <cellStyle name="Comma 2 2 3 4 3 2 2 2 8" xfId="25556" xr:uid="{00000000-0005-0000-0000-0000D0170000}"/>
    <cellStyle name="Comma 2 2 3 4 3 2 2 2 9" xfId="46386" xr:uid="{00000000-0005-0000-0000-0000D1170000}"/>
    <cellStyle name="Comma 2 2 3 4 3 2 2 3" xfId="3501" xr:uid="{00000000-0005-0000-0000-0000D2170000}"/>
    <cellStyle name="Comma 2 2 3 4 3 2 2 3 2" xfId="16988" xr:uid="{00000000-0005-0000-0000-0000D3170000}"/>
    <cellStyle name="Comma 2 2 3 4 3 2 2 3 2 2" xfId="40266" xr:uid="{00000000-0005-0000-0000-0000D4170000}"/>
    <cellStyle name="Comma 2 2 3 4 3 2 2 3 3" xfId="47610" xr:uid="{00000000-0005-0000-0000-0000D5170000}"/>
    <cellStyle name="Comma 2 2 3 4 3 2 2 3 4" xfId="26780" xr:uid="{00000000-0005-0000-0000-0000D6170000}"/>
    <cellStyle name="Comma 2 2 3 4 3 2 2 4" xfId="5949" xr:uid="{00000000-0005-0000-0000-0000D7170000}"/>
    <cellStyle name="Comma 2 2 3 4 3 2 2 4 2" xfId="19436" xr:uid="{00000000-0005-0000-0000-0000D8170000}"/>
    <cellStyle name="Comma 2 2 3 4 3 2 2 4 2 2" xfId="42714" xr:uid="{00000000-0005-0000-0000-0000D9170000}"/>
    <cellStyle name="Comma 2 2 3 4 3 2 2 4 3" xfId="29228" xr:uid="{00000000-0005-0000-0000-0000DA170000}"/>
    <cellStyle name="Comma 2 2 3 4 3 2 2 5" xfId="8397" xr:uid="{00000000-0005-0000-0000-0000DB170000}"/>
    <cellStyle name="Comma 2 2 3 4 3 2 2 5 2" xfId="31676" xr:uid="{00000000-0005-0000-0000-0000DC170000}"/>
    <cellStyle name="Comma 2 2 3 4 3 2 2 6" xfId="10845" xr:uid="{00000000-0005-0000-0000-0000DD170000}"/>
    <cellStyle name="Comma 2 2 3 4 3 2 2 6 2" xfId="34124" xr:uid="{00000000-0005-0000-0000-0000DE170000}"/>
    <cellStyle name="Comma 2 2 3 4 3 2 2 7" xfId="13293" xr:uid="{00000000-0005-0000-0000-0000DF170000}"/>
    <cellStyle name="Comma 2 2 3 4 3 2 2 7 2" xfId="36572" xr:uid="{00000000-0005-0000-0000-0000E0170000}"/>
    <cellStyle name="Comma 2 2 3 4 3 2 2 8" xfId="15764" xr:uid="{00000000-0005-0000-0000-0000E1170000}"/>
    <cellStyle name="Comma 2 2 3 4 3 2 2 8 2" xfId="39042" xr:uid="{00000000-0005-0000-0000-0000E2170000}"/>
    <cellStyle name="Comma 2 2 3 4 3 2 2 9" xfId="24332" xr:uid="{00000000-0005-0000-0000-0000E3170000}"/>
    <cellStyle name="Comma 2 2 3 4 3 2 3" xfId="1665" xr:uid="{00000000-0005-0000-0000-0000E4170000}"/>
    <cellStyle name="Comma 2 2 3 4 3 2 3 10" xfId="22496" xr:uid="{00000000-0005-0000-0000-0000E5170000}"/>
    <cellStyle name="Comma 2 2 3 4 3 2 3 2" xfId="4113" xr:uid="{00000000-0005-0000-0000-0000E6170000}"/>
    <cellStyle name="Comma 2 2 3 4 3 2 3 2 2" xfId="20048" xr:uid="{00000000-0005-0000-0000-0000E7170000}"/>
    <cellStyle name="Comma 2 2 3 4 3 2 3 2 2 2" xfId="43326" xr:uid="{00000000-0005-0000-0000-0000E8170000}"/>
    <cellStyle name="Comma 2 2 3 4 3 2 3 2 3" xfId="48222" xr:uid="{00000000-0005-0000-0000-0000E9170000}"/>
    <cellStyle name="Comma 2 2 3 4 3 2 3 2 4" xfId="27392" xr:uid="{00000000-0005-0000-0000-0000EA170000}"/>
    <cellStyle name="Comma 2 2 3 4 3 2 3 3" xfId="6561" xr:uid="{00000000-0005-0000-0000-0000EB170000}"/>
    <cellStyle name="Comma 2 2 3 4 3 2 3 3 2" xfId="29840" xr:uid="{00000000-0005-0000-0000-0000EC170000}"/>
    <cellStyle name="Comma 2 2 3 4 3 2 3 4" xfId="9009" xr:uid="{00000000-0005-0000-0000-0000ED170000}"/>
    <cellStyle name="Comma 2 2 3 4 3 2 3 4 2" xfId="32288" xr:uid="{00000000-0005-0000-0000-0000EE170000}"/>
    <cellStyle name="Comma 2 2 3 4 3 2 3 5" xfId="11457" xr:uid="{00000000-0005-0000-0000-0000EF170000}"/>
    <cellStyle name="Comma 2 2 3 4 3 2 3 5 2" xfId="34736" xr:uid="{00000000-0005-0000-0000-0000F0170000}"/>
    <cellStyle name="Comma 2 2 3 4 3 2 3 6" xfId="13905" xr:uid="{00000000-0005-0000-0000-0000F1170000}"/>
    <cellStyle name="Comma 2 2 3 4 3 2 3 6 2" xfId="37184" xr:uid="{00000000-0005-0000-0000-0000F2170000}"/>
    <cellStyle name="Comma 2 2 3 4 3 2 3 7" xfId="17600" xr:uid="{00000000-0005-0000-0000-0000F3170000}"/>
    <cellStyle name="Comma 2 2 3 4 3 2 3 7 2" xfId="40878" xr:uid="{00000000-0005-0000-0000-0000F4170000}"/>
    <cellStyle name="Comma 2 2 3 4 3 2 3 8" xfId="24944" xr:uid="{00000000-0005-0000-0000-0000F5170000}"/>
    <cellStyle name="Comma 2 2 3 4 3 2 3 9" xfId="45774" xr:uid="{00000000-0005-0000-0000-0000F6170000}"/>
    <cellStyle name="Comma 2 2 3 4 3 2 4" xfId="2889" xr:uid="{00000000-0005-0000-0000-0000F7170000}"/>
    <cellStyle name="Comma 2 2 3 4 3 2 4 2" xfId="16376" xr:uid="{00000000-0005-0000-0000-0000F8170000}"/>
    <cellStyle name="Comma 2 2 3 4 3 2 4 2 2" xfId="39654" xr:uid="{00000000-0005-0000-0000-0000F9170000}"/>
    <cellStyle name="Comma 2 2 3 4 3 2 4 3" xfId="46998" xr:uid="{00000000-0005-0000-0000-0000FA170000}"/>
    <cellStyle name="Comma 2 2 3 4 3 2 4 4" xfId="26168" xr:uid="{00000000-0005-0000-0000-0000FB170000}"/>
    <cellStyle name="Comma 2 2 3 4 3 2 5" xfId="5337" xr:uid="{00000000-0005-0000-0000-0000FC170000}"/>
    <cellStyle name="Comma 2 2 3 4 3 2 5 2" xfId="18824" xr:uid="{00000000-0005-0000-0000-0000FD170000}"/>
    <cellStyle name="Comma 2 2 3 4 3 2 5 2 2" xfId="42102" xr:uid="{00000000-0005-0000-0000-0000FE170000}"/>
    <cellStyle name="Comma 2 2 3 4 3 2 5 3" xfId="28616" xr:uid="{00000000-0005-0000-0000-0000FF170000}"/>
    <cellStyle name="Comma 2 2 3 4 3 2 6" xfId="7785" xr:uid="{00000000-0005-0000-0000-000000180000}"/>
    <cellStyle name="Comma 2 2 3 4 3 2 6 2" xfId="31064" xr:uid="{00000000-0005-0000-0000-000001180000}"/>
    <cellStyle name="Comma 2 2 3 4 3 2 7" xfId="10233" xr:uid="{00000000-0005-0000-0000-000002180000}"/>
    <cellStyle name="Comma 2 2 3 4 3 2 7 2" xfId="33512" xr:uid="{00000000-0005-0000-0000-000003180000}"/>
    <cellStyle name="Comma 2 2 3 4 3 2 8" xfId="12681" xr:uid="{00000000-0005-0000-0000-000004180000}"/>
    <cellStyle name="Comma 2 2 3 4 3 2 8 2" xfId="35960" xr:uid="{00000000-0005-0000-0000-000005180000}"/>
    <cellStyle name="Comma 2 2 3 4 3 2 9" xfId="15152" xr:uid="{00000000-0005-0000-0000-000006180000}"/>
    <cellStyle name="Comma 2 2 3 4 3 2 9 2" xfId="38430" xr:uid="{00000000-0005-0000-0000-000007180000}"/>
    <cellStyle name="Comma 2 2 3 4 3 3" xfId="645" xr:uid="{00000000-0005-0000-0000-000008180000}"/>
    <cellStyle name="Comma 2 2 3 4 3 3 10" xfId="23924" xr:uid="{00000000-0005-0000-0000-000009180000}"/>
    <cellStyle name="Comma 2 2 3 4 3 3 11" xfId="44754" xr:uid="{00000000-0005-0000-0000-00000A180000}"/>
    <cellStyle name="Comma 2 2 3 4 3 3 12" xfId="21476" xr:uid="{00000000-0005-0000-0000-00000B180000}"/>
    <cellStyle name="Comma 2 2 3 4 3 3 2" xfId="1257" xr:uid="{00000000-0005-0000-0000-00000C180000}"/>
    <cellStyle name="Comma 2 2 3 4 3 3 2 10" xfId="45366" xr:uid="{00000000-0005-0000-0000-00000D180000}"/>
    <cellStyle name="Comma 2 2 3 4 3 3 2 11" xfId="22088" xr:uid="{00000000-0005-0000-0000-00000E180000}"/>
    <cellStyle name="Comma 2 2 3 4 3 3 2 2" xfId="2481" xr:uid="{00000000-0005-0000-0000-00000F180000}"/>
    <cellStyle name="Comma 2 2 3 4 3 3 2 2 10" xfId="23312" xr:uid="{00000000-0005-0000-0000-000010180000}"/>
    <cellStyle name="Comma 2 2 3 4 3 3 2 2 2" xfId="4929" xr:uid="{00000000-0005-0000-0000-000011180000}"/>
    <cellStyle name="Comma 2 2 3 4 3 3 2 2 2 2" xfId="20864" xr:uid="{00000000-0005-0000-0000-000012180000}"/>
    <cellStyle name="Comma 2 2 3 4 3 3 2 2 2 2 2" xfId="44142" xr:uid="{00000000-0005-0000-0000-000013180000}"/>
    <cellStyle name="Comma 2 2 3 4 3 3 2 2 2 3" xfId="49038" xr:uid="{00000000-0005-0000-0000-000014180000}"/>
    <cellStyle name="Comma 2 2 3 4 3 3 2 2 2 4" xfId="28208" xr:uid="{00000000-0005-0000-0000-000015180000}"/>
    <cellStyle name="Comma 2 2 3 4 3 3 2 2 3" xfId="7377" xr:uid="{00000000-0005-0000-0000-000016180000}"/>
    <cellStyle name="Comma 2 2 3 4 3 3 2 2 3 2" xfId="30656" xr:uid="{00000000-0005-0000-0000-000017180000}"/>
    <cellStyle name="Comma 2 2 3 4 3 3 2 2 4" xfId="9825" xr:uid="{00000000-0005-0000-0000-000018180000}"/>
    <cellStyle name="Comma 2 2 3 4 3 3 2 2 4 2" xfId="33104" xr:uid="{00000000-0005-0000-0000-000019180000}"/>
    <cellStyle name="Comma 2 2 3 4 3 3 2 2 5" xfId="12273" xr:uid="{00000000-0005-0000-0000-00001A180000}"/>
    <cellStyle name="Comma 2 2 3 4 3 3 2 2 5 2" xfId="35552" xr:uid="{00000000-0005-0000-0000-00001B180000}"/>
    <cellStyle name="Comma 2 2 3 4 3 3 2 2 6" xfId="14721" xr:uid="{00000000-0005-0000-0000-00001C180000}"/>
    <cellStyle name="Comma 2 2 3 4 3 3 2 2 6 2" xfId="38000" xr:uid="{00000000-0005-0000-0000-00001D180000}"/>
    <cellStyle name="Comma 2 2 3 4 3 3 2 2 7" xfId="18416" xr:uid="{00000000-0005-0000-0000-00001E180000}"/>
    <cellStyle name="Comma 2 2 3 4 3 3 2 2 7 2" xfId="41694" xr:uid="{00000000-0005-0000-0000-00001F180000}"/>
    <cellStyle name="Comma 2 2 3 4 3 3 2 2 8" xfId="25760" xr:uid="{00000000-0005-0000-0000-000020180000}"/>
    <cellStyle name="Comma 2 2 3 4 3 3 2 2 9" xfId="46590" xr:uid="{00000000-0005-0000-0000-000021180000}"/>
    <cellStyle name="Comma 2 2 3 4 3 3 2 3" xfId="3705" xr:uid="{00000000-0005-0000-0000-000022180000}"/>
    <cellStyle name="Comma 2 2 3 4 3 3 2 3 2" xfId="17192" xr:uid="{00000000-0005-0000-0000-000023180000}"/>
    <cellStyle name="Comma 2 2 3 4 3 3 2 3 2 2" xfId="40470" xr:uid="{00000000-0005-0000-0000-000024180000}"/>
    <cellStyle name="Comma 2 2 3 4 3 3 2 3 3" xfId="47814" xr:uid="{00000000-0005-0000-0000-000025180000}"/>
    <cellStyle name="Comma 2 2 3 4 3 3 2 3 4" xfId="26984" xr:uid="{00000000-0005-0000-0000-000026180000}"/>
    <cellStyle name="Comma 2 2 3 4 3 3 2 4" xfId="6153" xr:uid="{00000000-0005-0000-0000-000027180000}"/>
    <cellStyle name="Comma 2 2 3 4 3 3 2 4 2" xfId="19640" xr:uid="{00000000-0005-0000-0000-000028180000}"/>
    <cellStyle name="Comma 2 2 3 4 3 3 2 4 2 2" xfId="42918" xr:uid="{00000000-0005-0000-0000-000029180000}"/>
    <cellStyle name="Comma 2 2 3 4 3 3 2 4 3" xfId="29432" xr:uid="{00000000-0005-0000-0000-00002A180000}"/>
    <cellStyle name="Comma 2 2 3 4 3 3 2 5" xfId="8601" xr:uid="{00000000-0005-0000-0000-00002B180000}"/>
    <cellStyle name="Comma 2 2 3 4 3 3 2 5 2" xfId="31880" xr:uid="{00000000-0005-0000-0000-00002C180000}"/>
    <cellStyle name="Comma 2 2 3 4 3 3 2 6" xfId="11049" xr:uid="{00000000-0005-0000-0000-00002D180000}"/>
    <cellStyle name="Comma 2 2 3 4 3 3 2 6 2" xfId="34328" xr:uid="{00000000-0005-0000-0000-00002E180000}"/>
    <cellStyle name="Comma 2 2 3 4 3 3 2 7" xfId="13497" xr:uid="{00000000-0005-0000-0000-00002F180000}"/>
    <cellStyle name="Comma 2 2 3 4 3 3 2 7 2" xfId="36776" xr:uid="{00000000-0005-0000-0000-000030180000}"/>
    <cellStyle name="Comma 2 2 3 4 3 3 2 8" xfId="15968" xr:uid="{00000000-0005-0000-0000-000031180000}"/>
    <cellStyle name="Comma 2 2 3 4 3 3 2 8 2" xfId="39246" xr:uid="{00000000-0005-0000-0000-000032180000}"/>
    <cellStyle name="Comma 2 2 3 4 3 3 2 9" xfId="24536" xr:uid="{00000000-0005-0000-0000-000033180000}"/>
    <cellStyle name="Comma 2 2 3 4 3 3 3" xfId="1869" xr:uid="{00000000-0005-0000-0000-000034180000}"/>
    <cellStyle name="Comma 2 2 3 4 3 3 3 10" xfId="22700" xr:uid="{00000000-0005-0000-0000-000035180000}"/>
    <cellStyle name="Comma 2 2 3 4 3 3 3 2" xfId="4317" xr:uid="{00000000-0005-0000-0000-000036180000}"/>
    <cellStyle name="Comma 2 2 3 4 3 3 3 2 2" xfId="20252" xr:uid="{00000000-0005-0000-0000-000037180000}"/>
    <cellStyle name="Comma 2 2 3 4 3 3 3 2 2 2" xfId="43530" xr:uid="{00000000-0005-0000-0000-000038180000}"/>
    <cellStyle name="Comma 2 2 3 4 3 3 3 2 3" xfId="48426" xr:uid="{00000000-0005-0000-0000-000039180000}"/>
    <cellStyle name="Comma 2 2 3 4 3 3 3 2 4" xfId="27596" xr:uid="{00000000-0005-0000-0000-00003A180000}"/>
    <cellStyle name="Comma 2 2 3 4 3 3 3 3" xfId="6765" xr:uid="{00000000-0005-0000-0000-00003B180000}"/>
    <cellStyle name="Comma 2 2 3 4 3 3 3 3 2" xfId="30044" xr:uid="{00000000-0005-0000-0000-00003C180000}"/>
    <cellStyle name="Comma 2 2 3 4 3 3 3 4" xfId="9213" xr:uid="{00000000-0005-0000-0000-00003D180000}"/>
    <cellStyle name="Comma 2 2 3 4 3 3 3 4 2" xfId="32492" xr:uid="{00000000-0005-0000-0000-00003E180000}"/>
    <cellStyle name="Comma 2 2 3 4 3 3 3 5" xfId="11661" xr:uid="{00000000-0005-0000-0000-00003F180000}"/>
    <cellStyle name="Comma 2 2 3 4 3 3 3 5 2" xfId="34940" xr:uid="{00000000-0005-0000-0000-000040180000}"/>
    <cellStyle name="Comma 2 2 3 4 3 3 3 6" xfId="14109" xr:uid="{00000000-0005-0000-0000-000041180000}"/>
    <cellStyle name="Comma 2 2 3 4 3 3 3 6 2" xfId="37388" xr:uid="{00000000-0005-0000-0000-000042180000}"/>
    <cellStyle name="Comma 2 2 3 4 3 3 3 7" xfId="17804" xr:uid="{00000000-0005-0000-0000-000043180000}"/>
    <cellStyle name="Comma 2 2 3 4 3 3 3 7 2" xfId="41082" xr:uid="{00000000-0005-0000-0000-000044180000}"/>
    <cellStyle name="Comma 2 2 3 4 3 3 3 8" xfId="25148" xr:uid="{00000000-0005-0000-0000-000045180000}"/>
    <cellStyle name="Comma 2 2 3 4 3 3 3 9" xfId="45978" xr:uid="{00000000-0005-0000-0000-000046180000}"/>
    <cellStyle name="Comma 2 2 3 4 3 3 4" xfId="3093" xr:uid="{00000000-0005-0000-0000-000047180000}"/>
    <cellStyle name="Comma 2 2 3 4 3 3 4 2" xfId="16580" xr:uid="{00000000-0005-0000-0000-000048180000}"/>
    <cellStyle name="Comma 2 2 3 4 3 3 4 2 2" xfId="39858" xr:uid="{00000000-0005-0000-0000-000049180000}"/>
    <cellStyle name="Comma 2 2 3 4 3 3 4 3" xfId="47202" xr:uid="{00000000-0005-0000-0000-00004A180000}"/>
    <cellStyle name="Comma 2 2 3 4 3 3 4 4" xfId="26372" xr:uid="{00000000-0005-0000-0000-00004B180000}"/>
    <cellStyle name="Comma 2 2 3 4 3 3 5" xfId="5541" xr:uid="{00000000-0005-0000-0000-00004C180000}"/>
    <cellStyle name="Comma 2 2 3 4 3 3 5 2" xfId="19028" xr:uid="{00000000-0005-0000-0000-00004D180000}"/>
    <cellStyle name="Comma 2 2 3 4 3 3 5 2 2" xfId="42306" xr:uid="{00000000-0005-0000-0000-00004E180000}"/>
    <cellStyle name="Comma 2 2 3 4 3 3 5 3" xfId="28820" xr:uid="{00000000-0005-0000-0000-00004F180000}"/>
    <cellStyle name="Comma 2 2 3 4 3 3 6" xfId="7989" xr:uid="{00000000-0005-0000-0000-000050180000}"/>
    <cellStyle name="Comma 2 2 3 4 3 3 6 2" xfId="31268" xr:uid="{00000000-0005-0000-0000-000051180000}"/>
    <cellStyle name="Comma 2 2 3 4 3 3 7" xfId="10437" xr:uid="{00000000-0005-0000-0000-000052180000}"/>
    <cellStyle name="Comma 2 2 3 4 3 3 7 2" xfId="33716" xr:uid="{00000000-0005-0000-0000-000053180000}"/>
    <cellStyle name="Comma 2 2 3 4 3 3 8" xfId="12885" xr:uid="{00000000-0005-0000-0000-000054180000}"/>
    <cellStyle name="Comma 2 2 3 4 3 3 8 2" xfId="36164" xr:uid="{00000000-0005-0000-0000-000055180000}"/>
    <cellStyle name="Comma 2 2 3 4 3 3 9" xfId="15356" xr:uid="{00000000-0005-0000-0000-000056180000}"/>
    <cellStyle name="Comma 2 2 3 4 3 3 9 2" xfId="38634" xr:uid="{00000000-0005-0000-0000-000057180000}"/>
    <cellStyle name="Comma 2 2 3 4 3 4" xfId="849" xr:uid="{00000000-0005-0000-0000-000058180000}"/>
    <cellStyle name="Comma 2 2 3 4 3 4 10" xfId="44958" xr:uid="{00000000-0005-0000-0000-000059180000}"/>
    <cellStyle name="Comma 2 2 3 4 3 4 11" xfId="21680" xr:uid="{00000000-0005-0000-0000-00005A180000}"/>
    <cellStyle name="Comma 2 2 3 4 3 4 2" xfId="2073" xr:uid="{00000000-0005-0000-0000-00005B180000}"/>
    <cellStyle name="Comma 2 2 3 4 3 4 2 10" xfId="22904" xr:uid="{00000000-0005-0000-0000-00005C180000}"/>
    <cellStyle name="Comma 2 2 3 4 3 4 2 2" xfId="4521" xr:uid="{00000000-0005-0000-0000-00005D180000}"/>
    <cellStyle name="Comma 2 2 3 4 3 4 2 2 2" xfId="20456" xr:uid="{00000000-0005-0000-0000-00005E180000}"/>
    <cellStyle name="Comma 2 2 3 4 3 4 2 2 2 2" xfId="43734" xr:uid="{00000000-0005-0000-0000-00005F180000}"/>
    <cellStyle name="Comma 2 2 3 4 3 4 2 2 3" xfId="48630" xr:uid="{00000000-0005-0000-0000-000060180000}"/>
    <cellStyle name="Comma 2 2 3 4 3 4 2 2 4" xfId="27800" xr:uid="{00000000-0005-0000-0000-000061180000}"/>
    <cellStyle name="Comma 2 2 3 4 3 4 2 3" xfId="6969" xr:uid="{00000000-0005-0000-0000-000062180000}"/>
    <cellStyle name="Comma 2 2 3 4 3 4 2 3 2" xfId="30248" xr:uid="{00000000-0005-0000-0000-000063180000}"/>
    <cellStyle name="Comma 2 2 3 4 3 4 2 4" xfId="9417" xr:uid="{00000000-0005-0000-0000-000064180000}"/>
    <cellStyle name="Comma 2 2 3 4 3 4 2 4 2" xfId="32696" xr:uid="{00000000-0005-0000-0000-000065180000}"/>
    <cellStyle name="Comma 2 2 3 4 3 4 2 5" xfId="11865" xr:uid="{00000000-0005-0000-0000-000066180000}"/>
    <cellStyle name="Comma 2 2 3 4 3 4 2 5 2" xfId="35144" xr:uid="{00000000-0005-0000-0000-000067180000}"/>
    <cellStyle name="Comma 2 2 3 4 3 4 2 6" xfId="14313" xr:uid="{00000000-0005-0000-0000-000068180000}"/>
    <cellStyle name="Comma 2 2 3 4 3 4 2 6 2" xfId="37592" xr:uid="{00000000-0005-0000-0000-000069180000}"/>
    <cellStyle name="Comma 2 2 3 4 3 4 2 7" xfId="18008" xr:uid="{00000000-0005-0000-0000-00006A180000}"/>
    <cellStyle name="Comma 2 2 3 4 3 4 2 7 2" xfId="41286" xr:uid="{00000000-0005-0000-0000-00006B180000}"/>
    <cellStyle name="Comma 2 2 3 4 3 4 2 8" xfId="25352" xr:uid="{00000000-0005-0000-0000-00006C180000}"/>
    <cellStyle name="Comma 2 2 3 4 3 4 2 9" xfId="46182" xr:uid="{00000000-0005-0000-0000-00006D180000}"/>
    <cellStyle name="Comma 2 2 3 4 3 4 3" xfId="3297" xr:uid="{00000000-0005-0000-0000-00006E180000}"/>
    <cellStyle name="Comma 2 2 3 4 3 4 3 2" xfId="16784" xr:uid="{00000000-0005-0000-0000-00006F180000}"/>
    <cellStyle name="Comma 2 2 3 4 3 4 3 2 2" xfId="40062" xr:uid="{00000000-0005-0000-0000-000070180000}"/>
    <cellStyle name="Comma 2 2 3 4 3 4 3 3" xfId="47406" xr:uid="{00000000-0005-0000-0000-000071180000}"/>
    <cellStyle name="Comma 2 2 3 4 3 4 3 4" xfId="26576" xr:uid="{00000000-0005-0000-0000-000072180000}"/>
    <cellStyle name="Comma 2 2 3 4 3 4 4" xfId="5745" xr:uid="{00000000-0005-0000-0000-000073180000}"/>
    <cellStyle name="Comma 2 2 3 4 3 4 4 2" xfId="19232" xr:uid="{00000000-0005-0000-0000-000074180000}"/>
    <cellStyle name="Comma 2 2 3 4 3 4 4 2 2" xfId="42510" xr:uid="{00000000-0005-0000-0000-000075180000}"/>
    <cellStyle name="Comma 2 2 3 4 3 4 4 3" xfId="29024" xr:uid="{00000000-0005-0000-0000-000076180000}"/>
    <cellStyle name="Comma 2 2 3 4 3 4 5" xfId="8193" xr:uid="{00000000-0005-0000-0000-000077180000}"/>
    <cellStyle name="Comma 2 2 3 4 3 4 5 2" xfId="31472" xr:uid="{00000000-0005-0000-0000-000078180000}"/>
    <cellStyle name="Comma 2 2 3 4 3 4 6" xfId="10641" xr:uid="{00000000-0005-0000-0000-000079180000}"/>
    <cellStyle name="Comma 2 2 3 4 3 4 6 2" xfId="33920" xr:uid="{00000000-0005-0000-0000-00007A180000}"/>
    <cellStyle name="Comma 2 2 3 4 3 4 7" xfId="13089" xr:uid="{00000000-0005-0000-0000-00007B180000}"/>
    <cellStyle name="Comma 2 2 3 4 3 4 7 2" xfId="36368" xr:uid="{00000000-0005-0000-0000-00007C180000}"/>
    <cellStyle name="Comma 2 2 3 4 3 4 8" xfId="15560" xr:uid="{00000000-0005-0000-0000-00007D180000}"/>
    <cellStyle name="Comma 2 2 3 4 3 4 8 2" xfId="38838" xr:uid="{00000000-0005-0000-0000-00007E180000}"/>
    <cellStyle name="Comma 2 2 3 4 3 4 9" xfId="24128" xr:uid="{00000000-0005-0000-0000-00007F180000}"/>
    <cellStyle name="Comma 2 2 3 4 3 5" xfId="1461" xr:uid="{00000000-0005-0000-0000-000080180000}"/>
    <cellStyle name="Comma 2 2 3 4 3 5 10" xfId="22292" xr:uid="{00000000-0005-0000-0000-000081180000}"/>
    <cellStyle name="Comma 2 2 3 4 3 5 2" xfId="3909" xr:uid="{00000000-0005-0000-0000-000082180000}"/>
    <cellStyle name="Comma 2 2 3 4 3 5 2 2" xfId="19844" xr:uid="{00000000-0005-0000-0000-000083180000}"/>
    <cellStyle name="Comma 2 2 3 4 3 5 2 2 2" xfId="43122" xr:uid="{00000000-0005-0000-0000-000084180000}"/>
    <cellStyle name="Comma 2 2 3 4 3 5 2 3" xfId="48018" xr:uid="{00000000-0005-0000-0000-000085180000}"/>
    <cellStyle name="Comma 2 2 3 4 3 5 2 4" xfId="27188" xr:uid="{00000000-0005-0000-0000-000086180000}"/>
    <cellStyle name="Comma 2 2 3 4 3 5 3" xfId="6357" xr:uid="{00000000-0005-0000-0000-000087180000}"/>
    <cellStyle name="Comma 2 2 3 4 3 5 3 2" xfId="29636" xr:uid="{00000000-0005-0000-0000-000088180000}"/>
    <cellStyle name="Comma 2 2 3 4 3 5 4" xfId="8805" xr:uid="{00000000-0005-0000-0000-000089180000}"/>
    <cellStyle name="Comma 2 2 3 4 3 5 4 2" xfId="32084" xr:uid="{00000000-0005-0000-0000-00008A180000}"/>
    <cellStyle name="Comma 2 2 3 4 3 5 5" xfId="11253" xr:uid="{00000000-0005-0000-0000-00008B180000}"/>
    <cellStyle name="Comma 2 2 3 4 3 5 5 2" xfId="34532" xr:uid="{00000000-0005-0000-0000-00008C180000}"/>
    <cellStyle name="Comma 2 2 3 4 3 5 6" xfId="13701" xr:uid="{00000000-0005-0000-0000-00008D180000}"/>
    <cellStyle name="Comma 2 2 3 4 3 5 6 2" xfId="36980" xr:uid="{00000000-0005-0000-0000-00008E180000}"/>
    <cellStyle name="Comma 2 2 3 4 3 5 7" xfId="17396" xr:uid="{00000000-0005-0000-0000-00008F180000}"/>
    <cellStyle name="Comma 2 2 3 4 3 5 7 2" xfId="40674" xr:uid="{00000000-0005-0000-0000-000090180000}"/>
    <cellStyle name="Comma 2 2 3 4 3 5 8" xfId="24740" xr:uid="{00000000-0005-0000-0000-000091180000}"/>
    <cellStyle name="Comma 2 2 3 4 3 5 9" xfId="45570" xr:uid="{00000000-0005-0000-0000-000092180000}"/>
    <cellStyle name="Comma 2 2 3 4 3 6" xfId="2685" xr:uid="{00000000-0005-0000-0000-000093180000}"/>
    <cellStyle name="Comma 2 2 3 4 3 6 2" xfId="16172" xr:uid="{00000000-0005-0000-0000-000094180000}"/>
    <cellStyle name="Comma 2 2 3 4 3 6 2 2" xfId="39450" xr:uid="{00000000-0005-0000-0000-000095180000}"/>
    <cellStyle name="Comma 2 2 3 4 3 6 3" xfId="46794" xr:uid="{00000000-0005-0000-0000-000096180000}"/>
    <cellStyle name="Comma 2 2 3 4 3 6 4" xfId="25964" xr:uid="{00000000-0005-0000-0000-000097180000}"/>
    <cellStyle name="Comma 2 2 3 4 3 7" xfId="5133" xr:uid="{00000000-0005-0000-0000-000098180000}"/>
    <cellStyle name="Comma 2 2 3 4 3 7 2" xfId="18620" xr:uid="{00000000-0005-0000-0000-000099180000}"/>
    <cellStyle name="Comma 2 2 3 4 3 7 2 2" xfId="41898" xr:uid="{00000000-0005-0000-0000-00009A180000}"/>
    <cellStyle name="Comma 2 2 3 4 3 7 3" xfId="28412" xr:uid="{00000000-0005-0000-0000-00009B180000}"/>
    <cellStyle name="Comma 2 2 3 4 3 8" xfId="7581" xr:uid="{00000000-0005-0000-0000-00009C180000}"/>
    <cellStyle name="Comma 2 2 3 4 3 8 2" xfId="30860" xr:uid="{00000000-0005-0000-0000-00009D180000}"/>
    <cellStyle name="Comma 2 2 3 4 3 9" xfId="10029" xr:uid="{00000000-0005-0000-0000-00009E180000}"/>
    <cellStyle name="Comma 2 2 3 4 3 9 2" xfId="33308" xr:uid="{00000000-0005-0000-0000-00009F180000}"/>
    <cellStyle name="Comma 2 2 3 4 4" xfId="305" xr:uid="{00000000-0005-0000-0000-0000A0180000}"/>
    <cellStyle name="Comma 2 2 3 4 4 10" xfId="23584" xr:uid="{00000000-0005-0000-0000-0000A1180000}"/>
    <cellStyle name="Comma 2 2 3 4 4 11" xfId="44414" xr:uid="{00000000-0005-0000-0000-0000A2180000}"/>
    <cellStyle name="Comma 2 2 3 4 4 12" xfId="21136" xr:uid="{00000000-0005-0000-0000-0000A3180000}"/>
    <cellStyle name="Comma 2 2 3 4 4 2" xfId="917" xr:uid="{00000000-0005-0000-0000-0000A4180000}"/>
    <cellStyle name="Comma 2 2 3 4 4 2 10" xfId="45026" xr:uid="{00000000-0005-0000-0000-0000A5180000}"/>
    <cellStyle name="Comma 2 2 3 4 4 2 11" xfId="21748" xr:uid="{00000000-0005-0000-0000-0000A6180000}"/>
    <cellStyle name="Comma 2 2 3 4 4 2 2" xfId="2141" xr:uid="{00000000-0005-0000-0000-0000A7180000}"/>
    <cellStyle name="Comma 2 2 3 4 4 2 2 10" xfId="22972" xr:uid="{00000000-0005-0000-0000-0000A8180000}"/>
    <cellStyle name="Comma 2 2 3 4 4 2 2 2" xfId="4589" xr:uid="{00000000-0005-0000-0000-0000A9180000}"/>
    <cellStyle name="Comma 2 2 3 4 4 2 2 2 2" xfId="20524" xr:uid="{00000000-0005-0000-0000-0000AA180000}"/>
    <cellStyle name="Comma 2 2 3 4 4 2 2 2 2 2" xfId="43802" xr:uid="{00000000-0005-0000-0000-0000AB180000}"/>
    <cellStyle name="Comma 2 2 3 4 4 2 2 2 3" xfId="48698" xr:uid="{00000000-0005-0000-0000-0000AC180000}"/>
    <cellStyle name="Comma 2 2 3 4 4 2 2 2 4" xfId="27868" xr:uid="{00000000-0005-0000-0000-0000AD180000}"/>
    <cellStyle name="Comma 2 2 3 4 4 2 2 3" xfId="7037" xr:uid="{00000000-0005-0000-0000-0000AE180000}"/>
    <cellStyle name="Comma 2 2 3 4 4 2 2 3 2" xfId="30316" xr:uid="{00000000-0005-0000-0000-0000AF180000}"/>
    <cellStyle name="Comma 2 2 3 4 4 2 2 4" xfId="9485" xr:uid="{00000000-0005-0000-0000-0000B0180000}"/>
    <cellStyle name="Comma 2 2 3 4 4 2 2 4 2" xfId="32764" xr:uid="{00000000-0005-0000-0000-0000B1180000}"/>
    <cellStyle name="Comma 2 2 3 4 4 2 2 5" xfId="11933" xr:uid="{00000000-0005-0000-0000-0000B2180000}"/>
    <cellStyle name="Comma 2 2 3 4 4 2 2 5 2" xfId="35212" xr:uid="{00000000-0005-0000-0000-0000B3180000}"/>
    <cellStyle name="Comma 2 2 3 4 4 2 2 6" xfId="14381" xr:uid="{00000000-0005-0000-0000-0000B4180000}"/>
    <cellStyle name="Comma 2 2 3 4 4 2 2 6 2" xfId="37660" xr:uid="{00000000-0005-0000-0000-0000B5180000}"/>
    <cellStyle name="Comma 2 2 3 4 4 2 2 7" xfId="18076" xr:uid="{00000000-0005-0000-0000-0000B6180000}"/>
    <cellStyle name="Comma 2 2 3 4 4 2 2 7 2" xfId="41354" xr:uid="{00000000-0005-0000-0000-0000B7180000}"/>
    <cellStyle name="Comma 2 2 3 4 4 2 2 8" xfId="25420" xr:uid="{00000000-0005-0000-0000-0000B8180000}"/>
    <cellStyle name="Comma 2 2 3 4 4 2 2 9" xfId="46250" xr:uid="{00000000-0005-0000-0000-0000B9180000}"/>
    <cellStyle name="Comma 2 2 3 4 4 2 3" xfId="3365" xr:uid="{00000000-0005-0000-0000-0000BA180000}"/>
    <cellStyle name="Comma 2 2 3 4 4 2 3 2" xfId="16852" xr:uid="{00000000-0005-0000-0000-0000BB180000}"/>
    <cellStyle name="Comma 2 2 3 4 4 2 3 2 2" xfId="40130" xr:uid="{00000000-0005-0000-0000-0000BC180000}"/>
    <cellStyle name="Comma 2 2 3 4 4 2 3 3" xfId="47474" xr:uid="{00000000-0005-0000-0000-0000BD180000}"/>
    <cellStyle name="Comma 2 2 3 4 4 2 3 4" xfId="26644" xr:uid="{00000000-0005-0000-0000-0000BE180000}"/>
    <cellStyle name="Comma 2 2 3 4 4 2 4" xfId="5813" xr:uid="{00000000-0005-0000-0000-0000BF180000}"/>
    <cellStyle name="Comma 2 2 3 4 4 2 4 2" xfId="19300" xr:uid="{00000000-0005-0000-0000-0000C0180000}"/>
    <cellStyle name="Comma 2 2 3 4 4 2 4 2 2" xfId="42578" xr:uid="{00000000-0005-0000-0000-0000C1180000}"/>
    <cellStyle name="Comma 2 2 3 4 4 2 4 3" xfId="29092" xr:uid="{00000000-0005-0000-0000-0000C2180000}"/>
    <cellStyle name="Comma 2 2 3 4 4 2 5" xfId="8261" xr:uid="{00000000-0005-0000-0000-0000C3180000}"/>
    <cellStyle name="Comma 2 2 3 4 4 2 5 2" xfId="31540" xr:uid="{00000000-0005-0000-0000-0000C4180000}"/>
    <cellStyle name="Comma 2 2 3 4 4 2 6" xfId="10709" xr:uid="{00000000-0005-0000-0000-0000C5180000}"/>
    <cellStyle name="Comma 2 2 3 4 4 2 6 2" xfId="33988" xr:uid="{00000000-0005-0000-0000-0000C6180000}"/>
    <cellStyle name="Comma 2 2 3 4 4 2 7" xfId="13157" xr:uid="{00000000-0005-0000-0000-0000C7180000}"/>
    <cellStyle name="Comma 2 2 3 4 4 2 7 2" xfId="36436" xr:uid="{00000000-0005-0000-0000-0000C8180000}"/>
    <cellStyle name="Comma 2 2 3 4 4 2 8" xfId="15628" xr:uid="{00000000-0005-0000-0000-0000C9180000}"/>
    <cellStyle name="Comma 2 2 3 4 4 2 8 2" xfId="38906" xr:uid="{00000000-0005-0000-0000-0000CA180000}"/>
    <cellStyle name="Comma 2 2 3 4 4 2 9" xfId="24196" xr:uid="{00000000-0005-0000-0000-0000CB180000}"/>
    <cellStyle name="Comma 2 2 3 4 4 3" xfId="1529" xr:uid="{00000000-0005-0000-0000-0000CC180000}"/>
    <cellStyle name="Comma 2 2 3 4 4 3 10" xfId="22360" xr:uid="{00000000-0005-0000-0000-0000CD180000}"/>
    <cellStyle name="Comma 2 2 3 4 4 3 2" xfId="3977" xr:uid="{00000000-0005-0000-0000-0000CE180000}"/>
    <cellStyle name="Comma 2 2 3 4 4 3 2 2" xfId="19912" xr:uid="{00000000-0005-0000-0000-0000CF180000}"/>
    <cellStyle name="Comma 2 2 3 4 4 3 2 2 2" xfId="43190" xr:uid="{00000000-0005-0000-0000-0000D0180000}"/>
    <cellStyle name="Comma 2 2 3 4 4 3 2 3" xfId="48086" xr:uid="{00000000-0005-0000-0000-0000D1180000}"/>
    <cellStyle name="Comma 2 2 3 4 4 3 2 4" xfId="27256" xr:uid="{00000000-0005-0000-0000-0000D2180000}"/>
    <cellStyle name="Comma 2 2 3 4 4 3 3" xfId="6425" xr:uid="{00000000-0005-0000-0000-0000D3180000}"/>
    <cellStyle name="Comma 2 2 3 4 4 3 3 2" xfId="29704" xr:uid="{00000000-0005-0000-0000-0000D4180000}"/>
    <cellStyle name="Comma 2 2 3 4 4 3 4" xfId="8873" xr:uid="{00000000-0005-0000-0000-0000D5180000}"/>
    <cellStyle name="Comma 2 2 3 4 4 3 4 2" xfId="32152" xr:uid="{00000000-0005-0000-0000-0000D6180000}"/>
    <cellStyle name="Comma 2 2 3 4 4 3 5" xfId="11321" xr:uid="{00000000-0005-0000-0000-0000D7180000}"/>
    <cellStyle name="Comma 2 2 3 4 4 3 5 2" xfId="34600" xr:uid="{00000000-0005-0000-0000-0000D8180000}"/>
    <cellStyle name="Comma 2 2 3 4 4 3 6" xfId="13769" xr:uid="{00000000-0005-0000-0000-0000D9180000}"/>
    <cellStyle name="Comma 2 2 3 4 4 3 6 2" xfId="37048" xr:uid="{00000000-0005-0000-0000-0000DA180000}"/>
    <cellStyle name="Comma 2 2 3 4 4 3 7" xfId="17464" xr:uid="{00000000-0005-0000-0000-0000DB180000}"/>
    <cellStyle name="Comma 2 2 3 4 4 3 7 2" xfId="40742" xr:uid="{00000000-0005-0000-0000-0000DC180000}"/>
    <cellStyle name="Comma 2 2 3 4 4 3 8" xfId="24808" xr:uid="{00000000-0005-0000-0000-0000DD180000}"/>
    <cellStyle name="Comma 2 2 3 4 4 3 9" xfId="45638" xr:uid="{00000000-0005-0000-0000-0000DE180000}"/>
    <cellStyle name="Comma 2 2 3 4 4 4" xfId="2753" xr:uid="{00000000-0005-0000-0000-0000DF180000}"/>
    <cellStyle name="Comma 2 2 3 4 4 4 2" xfId="16240" xr:uid="{00000000-0005-0000-0000-0000E0180000}"/>
    <cellStyle name="Comma 2 2 3 4 4 4 2 2" xfId="39518" xr:uid="{00000000-0005-0000-0000-0000E1180000}"/>
    <cellStyle name="Comma 2 2 3 4 4 4 3" xfId="46862" xr:uid="{00000000-0005-0000-0000-0000E2180000}"/>
    <cellStyle name="Comma 2 2 3 4 4 4 4" xfId="26032" xr:uid="{00000000-0005-0000-0000-0000E3180000}"/>
    <cellStyle name="Comma 2 2 3 4 4 5" xfId="5201" xr:uid="{00000000-0005-0000-0000-0000E4180000}"/>
    <cellStyle name="Comma 2 2 3 4 4 5 2" xfId="18688" xr:uid="{00000000-0005-0000-0000-0000E5180000}"/>
    <cellStyle name="Comma 2 2 3 4 4 5 2 2" xfId="41966" xr:uid="{00000000-0005-0000-0000-0000E6180000}"/>
    <cellStyle name="Comma 2 2 3 4 4 5 3" xfId="28480" xr:uid="{00000000-0005-0000-0000-0000E7180000}"/>
    <cellStyle name="Comma 2 2 3 4 4 6" xfId="7649" xr:uid="{00000000-0005-0000-0000-0000E8180000}"/>
    <cellStyle name="Comma 2 2 3 4 4 6 2" xfId="30928" xr:uid="{00000000-0005-0000-0000-0000E9180000}"/>
    <cellStyle name="Comma 2 2 3 4 4 7" xfId="10097" xr:uid="{00000000-0005-0000-0000-0000EA180000}"/>
    <cellStyle name="Comma 2 2 3 4 4 7 2" xfId="33376" xr:uid="{00000000-0005-0000-0000-0000EB180000}"/>
    <cellStyle name="Comma 2 2 3 4 4 8" xfId="12545" xr:uid="{00000000-0005-0000-0000-0000EC180000}"/>
    <cellStyle name="Comma 2 2 3 4 4 8 2" xfId="35824" xr:uid="{00000000-0005-0000-0000-0000ED180000}"/>
    <cellStyle name="Comma 2 2 3 4 4 9" xfId="15016" xr:uid="{00000000-0005-0000-0000-0000EE180000}"/>
    <cellStyle name="Comma 2 2 3 4 4 9 2" xfId="38294" xr:uid="{00000000-0005-0000-0000-0000EF180000}"/>
    <cellStyle name="Comma 2 2 3 4 5" xfId="509" xr:uid="{00000000-0005-0000-0000-0000F0180000}"/>
    <cellStyle name="Comma 2 2 3 4 5 10" xfId="23788" xr:uid="{00000000-0005-0000-0000-0000F1180000}"/>
    <cellStyle name="Comma 2 2 3 4 5 11" xfId="44618" xr:uid="{00000000-0005-0000-0000-0000F2180000}"/>
    <cellStyle name="Comma 2 2 3 4 5 12" xfId="21340" xr:uid="{00000000-0005-0000-0000-0000F3180000}"/>
    <cellStyle name="Comma 2 2 3 4 5 2" xfId="1121" xr:uid="{00000000-0005-0000-0000-0000F4180000}"/>
    <cellStyle name="Comma 2 2 3 4 5 2 10" xfId="45230" xr:uid="{00000000-0005-0000-0000-0000F5180000}"/>
    <cellStyle name="Comma 2 2 3 4 5 2 11" xfId="21952" xr:uid="{00000000-0005-0000-0000-0000F6180000}"/>
    <cellStyle name="Comma 2 2 3 4 5 2 2" xfId="2345" xr:uid="{00000000-0005-0000-0000-0000F7180000}"/>
    <cellStyle name="Comma 2 2 3 4 5 2 2 10" xfId="23176" xr:uid="{00000000-0005-0000-0000-0000F8180000}"/>
    <cellStyle name="Comma 2 2 3 4 5 2 2 2" xfId="4793" xr:uid="{00000000-0005-0000-0000-0000F9180000}"/>
    <cellStyle name="Comma 2 2 3 4 5 2 2 2 2" xfId="20728" xr:uid="{00000000-0005-0000-0000-0000FA180000}"/>
    <cellStyle name="Comma 2 2 3 4 5 2 2 2 2 2" xfId="44006" xr:uid="{00000000-0005-0000-0000-0000FB180000}"/>
    <cellStyle name="Comma 2 2 3 4 5 2 2 2 3" xfId="48902" xr:uid="{00000000-0005-0000-0000-0000FC180000}"/>
    <cellStyle name="Comma 2 2 3 4 5 2 2 2 4" xfId="28072" xr:uid="{00000000-0005-0000-0000-0000FD180000}"/>
    <cellStyle name="Comma 2 2 3 4 5 2 2 3" xfId="7241" xr:uid="{00000000-0005-0000-0000-0000FE180000}"/>
    <cellStyle name="Comma 2 2 3 4 5 2 2 3 2" xfId="30520" xr:uid="{00000000-0005-0000-0000-0000FF180000}"/>
    <cellStyle name="Comma 2 2 3 4 5 2 2 4" xfId="9689" xr:uid="{00000000-0005-0000-0000-000000190000}"/>
    <cellStyle name="Comma 2 2 3 4 5 2 2 4 2" xfId="32968" xr:uid="{00000000-0005-0000-0000-000001190000}"/>
    <cellStyle name="Comma 2 2 3 4 5 2 2 5" xfId="12137" xr:uid="{00000000-0005-0000-0000-000002190000}"/>
    <cellStyle name="Comma 2 2 3 4 5 2 2 5 2" xfId="35416" xr:uid="{00000000-0005-0000-0000-000003190000}"/>
    <cellStyle name="Comma 2 2 3 4 5 2 2 6" xfId="14585" xr:uid="{00000000-0005-0000-0000-000004190000}"/>
    <cellStyle name="Comma 2 2 3 4 5 2 2 6 2" xfId="37864" xr:uid="{00000000-0005-0000-0000-000005190000}"/>
    <cellStyle name="Comma 2 2 3 4 5 2 2 7" xfId="18280" xr:uid="{00000000-0005-0000-0000-000006190000}"/>
    <cellStyle name="Comma 2 2 3 4 5 2 2 7 2" xfId="41558" xr:uid="{00000000-0005-0000-0000-000007190000}"/>
    <cellStyle name="Comma 2 2 3 4 5 2 2 8" xfId="25624" xr:uid="{00000000-0005-0000-0000-000008190000}"/>
    <cellStyle name="Comma 2 2 3 4 5 2 2 9" xfId="46454" xr:uid="{00000000-0005-0000-0000-000009190000}"/>
    <cellStyle name="Comma 2 2 3 4 5 2 3" xfId="3569" xr:uid="{00000000-0005-0000-0000-00000A190000}"/>
    <cellStyle name="Comma 2 2 3 4 5 2 3 2" xfId="17056" xr:uid="{00000000-0005-0000-0000-00000B190000}"/>
    <cellStyle name="Comma 2 2 3 4 5 2 3 2 2" xfId="40334" xr:uid="{00000000-0005-0000-0000-00000C190000}"/>
    <cellStyle name="Comma 2 2 3 4 5 2 3 3" xfId="47678" xr:uid="{00000000-0005-0000-0000-00000D190000}"/>
    <cellStyle name="Comma 2 2 3 4 5 2 3 4" xfId="26848" xr:uid="{00000000-0005-0000-0000-00000E190000}"/>
    <cellStyle name="Comma 2 2 3 4 5 2 4" xfId="6017" xr:uid="{00000000-0005-0000-0000-00000F190000}"/>
    <cellStyle name="Comma 2 2 3 4 5 2 4 2" xfId="19504" xr:uid="{00000000-0005-0000-0000-000010190000}"/>
    <cellStyle name="Comma 2 2 3 4 5 2 4 2 2" xfId="42782" xr:uid="{00000000-0005-0000-0000-000011190000}"/>
    <cellStyle name="Comma 2 2 3 4 5 2 4 3" xfId="29296" xr:uid="{00000000-0005-0000-0000-000012190000}"/>
    <cellStyle name="Comma 2 2 3 4 5 2 5" xfId="8465" xr:uid="{00000000-0005-0000-0000-000013190000}"/>
    <cellStyle name="Comma 2 2 3 4 5 2 5 2" xfId="31744" xr:uid="{00000000-0005-0000-0000-000014190000}"/>
    <cellStyle name="Comma 2 2 3 4 5 2 6" xfId="10913" xr:uid="{00000000-0005-0000-0000-000015190000}"/>
    <cellStyle name="Comma 2 2 3 4 5 2 6 2" xfId="34192" xr:uid="{00000000-0005-0000-0000-000016190000}"/>
    <cellStyle name="Comma 2 2 3 4 5 2 7" xfId="13361" xr:uid="{00000000-0005-0000-0000-000017190000}"/>
    <cellStyle name="Comma 2 2 3 4 5 2 7 2" xfId="36640" xr:uid="{00000000-0005-0000-0000-000018190000}"/>
    <cellStyle name="Comma 2 2 3 4 5 2 8" xfId="15832" xr:uid="{00000000-0005-0000-0000-000019190000}"/>
    <cellStyle name="Comma 2 2 3 4 5 2 8 2" xfId="39110" xr:uid="{00000000-0005-0000-0000-00001A190000}"/>
    <cellStyle name="Comma 2 2 3 4 5 2 9" xfId="24400" xr:uid="{00000000-0005-0000-0000-00001B190000}"/>
    <cellStyle name="Comma 2 2 3 4 5 3" xfId="1733" xr:uid="{00000000-0005-0000-0000-00001C190000}"/>
    <cellStyle name="Comma 2 2 3 4 5 3 10" xfId="22564" xr:uid="{00000000-0005-0000-0000-00001D190000}"/>
    <cellStyle name="Comma 2 2 3 4 5 3 2" xfId="4181" xr:uid="{00000000-0005-0000-0000-00001E190000}"/>
    <cellStyle name="Comma 2 2 3 4 5 3 2 2" xfId="20116" xr:uid="{00000000-0005-0000-0000-00001F190000}"/>
    <cellStyle name="Comma 2 2 3 4 5 3 2 2 2" xfId="43394" xr:uid="{00000000-0005-0000-0000-000020190000}"/>
    <cellStyle name="Comma 2 2 3 4 5 3 2 3" xfId="48290" xr:uid="{00000000-0005-0000-0000-000021190000}"/>
    <cellStyle name="Comma 2 2 3 4 5 3 2 4" xfId="27460" xr:uid="{00000000-0005-0000-0000-000022190000}"/>
    <cellStyle name="Comma 2 2 3 4 5 3 3" xfId="6629" xr:uid="{00000000-0005-0000-0000-000023190000}"/>
    <cellStyle name="Comma 2 2 3 4 5 3 3 2" xfId="29908" xr:uid="{00000000-0005-0000-0000-000024190000}"/>
    <cellStyle name="Comma 2 2 3 4 5 3 4" xfId="9077" xr:uid="{00000000-0005-0000-0000-000025190000}"/>
    <cellStyle name="Comma 2 2 3 4 5 3 4 2" xfId="32356" xr:uid="{00000000-0005-0000-0000-000026190000}"/>
    <cellStyle name="Comma 2 2 3 4 5 3 5" xfId="11525" xr:uid="{00000000-0005-0000-0000-000027190000}"/>
    <cellStyle name="Comma 2 2 3 4 5 3 5 2" xfId="34804" xr:uid="{00000000-0005-0000-0000-000028190000}"/>
    <cellStyle name="Comma 2 2 3 4 5 3 6" xfId="13973" xr:uid="{00000000-0005-0000-0000-000029190000}"/>
    <cellStyle name="Comma 2 2 3 4 5 3 6 2" xfId="37252" xr:uid="{00000000-0005-0000-0000-00002A190000}"/>
    <cellStyle name="Comma 2 2 3 4 5 3 7" xfId="17668" xr:uid="{00000000-0005-0000-0000-00002B190000}"/>
    <cellStyle name="Comma 2 2 3 4 5 3 7 2" xfId="40946" xr:uid="{00000000-0005-0000-0000-00002C190000}"/>
    <cellStyle name="Comma 2 2 3 4 5 3 8" xfId="25012" xr:uid="{00000000-0005-0000-0000-00002D190000}"/>
    <cellStyle name="Comma 2 2 3 4 5 3 9" xfId="45842" xr:uid="{00000000-0005-0000-0000-00002E190000}"/>
    <cellStyle name="Comma 2 2 3 4 5 4" xfId="2957" xr:uid="{00000000-0005-0000-0000-00002F190000}"/>
    <cellStyle name="Comma 2 2 3 4 5 4 2" xfId="16444" xr:uid="{00000000-0005-0000-0000-000030190000}"/>
    <cellStyle name="Comma 2 2 3 4 5 4 2 2" xfId="39722" xr:uid="{00000000-0005-0000-0000-000031190000}"/>
    <cellStyle name="Comma 2 2 3 4 5 4 3" xfId="47066" xr:uid="{00000000-0005-0000-0000-000032190000}"/>
    <cellStyle name="Comma 2 2 3 4 5 4 4" xfId="26236" xr:uid="{00000000-0005-0000-0000-000033190000}"/>
    <cellStyle name="Comma 2 2 3 4 5 5" xfId="5405" xr:uid="{00000000-0005-0000-0000-000034190000}"/>
    <cellStyle name="Comma 2 2 3 4 5 5 2" xfId="18892" xr:uid="{00000000-0005-0000-0000-000035190000}"/>
    <cellStyle name="Comma 2 2 3 4 5 5 2 2" xfId="42170" xr:uid="{00000000-0005-0000-0000-000036190000}"/>
    <cellStyle name="Comma 2 2 3 4 5 5 3" xfId="28684" xr:uid="{00000000-0005-0000-0000-000037190000}"/>
    <cellStyle name="Comma 2 2 3 4 5 6" xfId="7853" xr:uid="{00000000-0005-0000-0000-000038190000}"/>
    <cellStyle name="Comma 2 2 3 4 5 6 2" xfId="31132" xr:uid="{00000000-0005-0000-0000-000039190000}"/>
    <cellStyle name="Comma 2 2 3 4 5 7" xfId="10301" xr:uid="{00000000-0005-0000-0000-00003A190000}"/>
    <cellStyle name="Comma 2 2 3 4 5 7 2" xfId="33580" xr:uid="{00000000-0005-0000-0000-00003B190000}"/>
    <cellStyle name="Comma 2 2 3 4 5 8" xfId="12749" xr:uid="{00000000-0005-0000-0000-00003C190000}"/>
    <cellStyle name="Comma 2 2 3 4 5 8 2" xfId="36028" xr:uid="{00000000-0005-0000-0000-00003D190000}"/>
    <cellStyle name="Comma 2 2 3 4 5 9" xfId="15220" xr:uid="{00000000-0005-0000-0000-00003E190000}"/>
    <cellStyle name="Comma 2 2 3 4 5 9 2" xfId="38498" xr:uid="{00000000-0005-0000-0000-00003F190000}"/>
    <cellStyle name="Comma 2 2 3 4 6" xfId="713" xr:uid="{00000000-0005-0000-0000-000040190000}"/>
    <cellStyle name="Comma 2 2 3 4 6 10" xfId="44822" xr:uid="{00000000-0005-0000-0000-000041190000}"/>
    <cellStyle name="Comma 2 2 3 4 6 11" xfId="21544" xr:uid="{00000000-0005-0000-0000-000042190000}"/>
    <cellStyle name="Comma 2 2 3 4 6 2" xfId="1937" xr:uid="{00000000-0005-0000-0000-000043190000}"/>
    <cellStyle name="Comma 2 2 3 4 6 2 10" xfId="22768" xr:uid="{00000000-0005-0000-0000-000044190000}"/>
    <cellStyle name="Comma 2 2 3 4 6 2 2" xfId="4385" xr:uid="{00000000-0005-0000-0000-000045190000}"/>
    <cellStyle name="Comma 2 2 3 4 6 2 2 2" xfId="20320" xr:uid="{00000000-0005-0000-0000-000046190000}"/>
    <cellStyle name="Comma 2 2 3 4 6 2 2 2 2" xfId="43598" xr:uid="{00000000-0005-0000-0000-000047190000}"/>
    <cellStyle name="Comma 2 2 3 4 6 2 2 3" xfId="48494" xr:uid="{00000000-0005-0000-0000-000048190000}"/>
    <cellStyle name="Comma 2 2 3 4 6 2 2 4" xfId="27664" xr:uid="{00000000-0005-0000-0000-000049190000}"/>
    <cellStyle name="Comma 2 2 3 4 6 2 3" xfId="6833" xr:uid="{00000000-0005-0000-0000-00004A190000}"/>
    <cellStyle name="Comma 2 2 3 4 6 2 3 2" xfId="30112" xr:uid="{00000000-0005-0000-0000-00004B190000}"/>
    <cellStyle name="Comma 2 2 3 4 6 2 4" xfId="9281" xr:uid="{00000000-0005-0000-0000-00004C190000}"/>
    <cellStyle name="Comma 2 2 3 4 6 2 4 2" xfId="32560" xr:uid="{00000000-0005-0000-0000-00004D190000}"/>
    <cellStyle name="Comma 2 2 3 4 6 2 5" xfId="11729" xr:uid="{00000000-0005-0000-0000-00004E190000}"/>
    <cellStyle name="Comma 2 2 3 4 6 2 5 2" xfId="35008" xr:uid="{00000000-0005-0000-0000-00004F190000}"/>
    <cellStyle name="Comma 2 2 3 4 6 2 6" xfId="14177" xr:uid="{00000000-0005-0000-0000-000050190000}"/>
    <cellStyle name="Comma 2 2 3 4 6 2 6 2" xfId="37456" xr:uid="{00000000-0005-0000-0000-000051190000}"/>
    <cellStyle name="Comma 2 2 3 4 6 2 7" xfId="17872" xr:uid="{00000000-0005-0000-0000-000052190000}"/>
    <cellStyle name="Comma 2 2 3 4 6 2 7 2" xfId="41150" xr:uid="{00000000-0005-0000-0000-000053190000}"/>
    <cellStyle name="Comma 2 2 3 4 6 2 8" xfId="25216" xr:uid="{00000000-0005-0000-0000-000054190000}"/>
    <cellStyle name="Comma 2 2 3 4 6 2 9" xfId="46046" xr:uid="{00000000-0005-0000-0000-000055190000}"/>
    <cellStyle name="Comma 2 2 3 4 6 3" xfId="3161" xr:uid="{00000000-0005-0000-0000-000056190000}"/>
    <cellStyle name="Comma 2 2 3 4 6 3 2" xfId="16648" xr:uid="{00000000-0005-0000-0000-000057190000}"/>
    <cellStyle name="Comma 2 2 3 4 6 3 2 2" xfId="39926" xr:uid="{00000000-0005-0000-0000-000058190000}"/>
    <cellStyle name="Comma 2 2 3 4 6 3 3" xfId="47270" xr:uid="{00000000-0005-0000-0000-000059190000}"/>
    <cellStyle name="Comma 2 2 3 4 6 3 4" xfId="26440" xr:uid="{00000000-0005-0000-0000-00005A190000}"/>
    <cellStyle name="Comma 2 2 3 4 6 4" xfId="5609" xr:uid="{00000000-0005-0000-0000-00005B190000}"/>
    <cellStyle name="Comma 2 2 3 4 6 4 2" xfId="19096" xr:uid="{00000000-0005-0000-0000-00005C190000}"/>
    <cellStyle name="Comma 2 2 3 4 6 4 2 2" xfId="42374" xr:uid="{00000000-0005-0000-0000-00005D190000}"/>
    <cellStyle name="Comma 2 2 3 4 6 4 3" xfId="28888" xr:uid="{00000000-0005-0000-0000-00005E190000}"/>
    <cellStyle name="Comma 2 2 3 4 6 5" xfId="8057" xr:uid="{00000000-0005-0000-0000-00005F190000}"/>
    <cellStyle name="Comma 2 2 3 4 6 5 2" xfId="31336" xr:uid="{00000000-0005-0000-0000-000060190000}"/>
    <cellStyle name="Comma 2 2 3 4 6 6" xfId="10505" xr:uid="{00000000-0005-0000-0000-000061190000}"/>
    <cellStyle name="Comma 2 2 3 4 6 6 2" xfId="33784" xr:uid="{00000000-0005-0000-0000-000062190000}"/>
    <cellStyle name="Comma 2 2 3 4 6 7" xfId="12953" xr:uid="{00000000-0005-0000-0000-000063190000}"/>
    <cellStyle name="Comma 2 2 3 4 6 7 2" xfId="36232" xr:uid="{00000000-0005-0000-0000-000064190000}"/>
    <cellStyle name="Comma 2 2 3 4 6 8" xfId="15424" xr:uid="{00000000-0005-0000-0000-000065190000}"/>
    <cellStyle name="Comma 2 2 3 4 6 8 2" xfId="38702" xr:uid="{00000000-0005-0000-0000-000066190000}"/>
    <cellStyle name="Comma 2 2 3 4 6 9" xfId="23992" xr:uid="{00000000-0005-0000-0000-000067190000}"/>
    <cellStyle name="Comma 2 2 3 4 7" xfId="1325" xr:uid="{00000000-0005-0000-0000-000068190000}"/>
    <cellStyle name="Comma 2 2 3 4 7 10" xfId="22156" xr:uid="{00000000-0005-0000-0000-000069190000}"/>
    <cellStyle name="Comma 2 2 3 4 7 2" xfId="3773" xr:uid="{00000000-0005-0000-0000-00006A190000}"/>
    <cellStyle name="Comma 2 2 3 4 7 2 2" xfId="19708" xr:uid="{00000000-0005-0000-0000-00006B190000}"/>
    <cellStyle name="Comma 2 2 3 4 7 2 2 2" xfId="42986" xr:uid="{00000000-0005-0000-0000-00006C190000}"/>
    <cellStyle name="Comma 2 2 3 4 7 2 3" xfId="47882" xr:uid="{00000000-0005-0000-0000-00006D190000}"/>
    <cellStyle name="Comma 2 2 3 4 7 2 4" xfId="27052" xr:uid="{00000000-0005-0000-0000-00006E190000}"/>
    <cellStyle name="Comma 2 2 3 4 7 3" xfId="6221" xr:uid="{00000000-0005-0000-0000-00006F190000}"/>
    <cellStyle name="Comma 2 2 3 4 7 3 2" xfId="29500" xr:uid="{00000000-0005-0000-0000-000070190000}"/>
    <cellStyle name="Comma 2 2 3 4 7 4" xfId="8669" xr:uid="{00000000-0005-0000-0000-000071190000}"/>
    <cellStyle name="Comma 2 2 3 4 7 4 2" xfId="31948" xr:uid="{00000000-0005-0000-0000-000072190000}"/>
    <cellStyle name="Comma 2 2 3 4 7 5" xfId="11117" xr:uid="{00000000-0005-0000-0000-000073190000}"/>
    <cellStyle name="Comma 2 2 3 4 7 5 2" xfId="34396" xr:uid="{00000000-0005-0000-0000-000074190000}"/>
    <cellStyle name="Comma 2 2 3 4 7 6" xfId="13565" xr:uid="{00000000-0005-0000-0000-000075190000}"/>
    <cellStyle name="Comma 2 2 3 4 7 6 2" xfId="36844" xr:uid="{00000000-0005-0000-0000-000076190000}"/>
    <cellStyle name="Comma 2 2 3 4 7 7" xfId="17260" xr:uid="{00000000-0005-0000-0000-000077190000}"/>
    <cellStyle name="Comma 2 2 3 4 7 7 2" xfId="40538" xr:uid="{00000000-0005-0000-0000-000078190000}"/>
    <cellStyle name="Comma 2 2 3 4 7 8" xfId="24604" xr:uid="{00000000-0005-0000-0000-000079190000}"/>
    <cellStyle name="Comma 2 2 3 4 7 9" xfId="45434" xr:uid="{00000000-0005-0000-0000-00007A190000}"/>
    <cellStyle name="Comma 2 2 3 4 8" xfId="2549" xr:uid="{00000000-0005-0000-0000-00007B190000}"/>
    <cellStyle name="Comma 2 2 3 4 8 2" xfId="16036" xr:uid="{00000000-0005-0000-0000-00007C190000}"/>
    <cellStyle name="Comma 2 2 3 4 8 2 2" xfId="39314" xr:uid="{00000000-0005-0000-0000-00007D190000}"/>
    <cellStyle name="Comma 2 2 3 4 8 3" xfId="46658" xr:uid="{00000000-0005-0000-0000-00007E190000}"/>
    <cellStyle name="Comma 2 2 3 4 8 4" xfId="25828" xr:uid="{00000000-0005-0000-0000-00007F190000}"/>
    <cellStyle name="Comma 2 2 3 4 9" xfId="4997" xr:uid="{00000000-0005-0000-0000-000080190000}"/>
    <cellStyle name="Comma 2 2 3 4 9 2" xfId="18484" xr:uid="{00000000-0005-0000-0000-000081190000}"/>
    <cellStyle name="Comma 2 2 3 4 9 2 2" xfId="41762" xr:uid="{00000000-0005-0000-0000-000082190000}"/>
    <cellStyle name="Comma 2 2 3 4 9 3" xfId="28276" xr:uid="{00000000-0005-0000-0000-000083190000}"/>
    <cellStyle name="Comma 2 2 3 5" xfId="118" xr:uid="{00000000-0005-0000-0000-000084190000}"/>
    <cellStyle name="Comma 2 2 3 5 10" xfId="12358" xr:uid="{00000000-0005-0000-0000-000085190000}"/>
    <cellStyle name="Comma 2 2 3 5 10 2" xfId="35637" xr:uid="{00000000-0005-0000-0000-000086190000}"/>
    <cellStyle name="Comma 2 2 3 5 11" xfId="14829" xr:uid="{00000000-0005-0000-0000-000087190000}"/>
    <cellStyle name="Comma 2 2 3 5 11 2" xfId="38107" xr:uid="{00000000-0005-0000-0000-000088190000}"/>
    <cellStyle name="Comma 2 2 3 5 12" xfId="23397" xr:uid="{00000000-0005-0000-0000-000089190000}"/>
    <cellStyle name="Comma 2 2 3 5 13" xfId="44227" xr:uid="{00000000-0005-0000-0000-00008A190000}"/>
    <cellStyle name="Comma 2 2 3 5 14" xfId="20949" xr:uid="{00000000-0005-0000-0000-00008B190000}"/>
    <cellStyle name="Comma 2 2 3 5 2" xfId="322" xr:uid="{00000000-0005-0000-0000-00008C190000}"/>
    <cellStyle name="Comma 2 2 3 5 2 10" xfId="23601" xr:uid="{00000000-0005-0000-0000-00008D190000}"/>
    <cellStyle name="Comma 2 2 3 5 2 11" xfId="44431" xr:uid="{00000000-0005-0000-0000-00008E190000}"/>
    <cellStyle name="Comma 2 2 3 5 2 12" xfId="21153" xr:uid="{00000000-0005-0000-0000-00008F190000}"/>
    <cellStyle name="Comma 2 2 3 5 2 2" xfId="934" xr:uid="{00000000-0005-0000-0000-000090190000}"/>
    <cellStyle name="Comma 2 2 3 5 2 2 10" xfId="45043" xr:uid="{00000000-0005-0000-0000-000091190000}"/>
    <cellStyle name="Comma 2 2 3 5 2 2 11" xfId="21765" xr:uid="{00000000-0005-0000-0000-000092190000}"/>
    <cellStyle name="Comma 2 2 3 5 2 2 2" xfId="2158" xr:uid="{00000000-0005-0000-0000-000093190000}"/>
    <cellStyle name="Comma 2 2 3 5 2 2 2 10" xfId="22989" xr:uid="{00000000-0005-0000-0000-000094190000}"/>
    <cellStyle name="Comma 2 2 3 5 2 2 2 2" xfId="4606" xr:uid="{00000000-0005-0000-0000-000095190000}"/>
    <cellStyle name="Comma 2 2 3 5 2 2 2 2 2" xfId="20541" xr:uid="{00000000-0005-0000-0000-000096190000}"/>
    <cellStyle name="Comma 2 2 3 5 2 2 2 2 2 2" xfId="43819" xr:uid="{00000000-0005-0000-0000-000097190000}"/>
    <cellStyle name="Comma 2 2 3 5 2 2 2 2 3" xfId="48715" xr:uid="{00000000-0005-0000-0000-000098190000}"/>
    <cellStyle name="Comma 2 2 3 5 2 2 2 2 4" xfId="27885" xr:uid="{00000000-0005-0000-0000-000099190000}"/>
    <cellStyle name="Comma 2 2 3 5 2 2 2 3" xfId="7054" xr:uid="{00000000-0005-0000-0000-00009A190000}"/>
    <cellStyle name="Comma 2 2 3 5 2 2 2 3 2" xfId="30333" xr:uid="{00000000-0005-0000-0000-00009B190000}"/>
    <cellStyle name="Comma 2 2 3 5 2 2 2 4" xfId="9502" xr:uid="{00000000-0005-0000-0000-00009C190000}"/>
    <cellStyle name="Comma 2 2 3 5 2 2 2 4 2" xfId="32781" xr:uid="{00000000-0005-0000-0000-00009D190000}"/>
    <cellStyle name="Comma 2 2 3 5 2 2 2 5" xfId="11950" xr:uid="{00000000-0005-0000-0000-00009E190000}"/>
    <cellStyle name="Comma 2 2 3 5 2 2 2 5 2" xfId="35229" xr:uid="{00000000-0005-0000-0000-00009F190000}"/>
    <cellStyle name="Comma 2 2 3 5 2 2 2 6" xfId="14398" xr:uid="{00000000-0005-0000-0000-0000A0190000}"/>
    <cellStyle name="Comma 2 2 3 5 2 2 2 6 2" xfId="37677" xr:uid="{00000000-0005-0000-0000-0000A1190000}"/>
    <cellStyle name="Comma 2 2 3 5 2 2 2 7" xfId="18093" xr:uid="{00000000-0005-0000-0000-0000A2190000}"/>
    <cellStyle name="Comma 2 2 3 5 2 2 2 7 2" xfId="41371" xr:uid="{00000000-0005-0000-0000-0000A3190000}"/>
    <cellStyle name="Comma 2 2 3 5 2 2 2 8" xfId="25437" xr:uid="{00000000-0005-0000-0000-0000A4190000}"/>
    <cellStyle name="Comma 2 2 3 5 2 2 2 9" xfId="46267" xr:uid="{00000000-0005-0000-0000-0000A5190000}"/>
    <cellStyle name="Comma 2 2 3 5 2 2 3" xfId="3382" xr:uid="{00000000-0005-0000-0000-0000A6190000}"/>
    <cellStyle name="Comma 2 2 3 5 2 2 3 2" xfId="16869" xr:uid="{00000000-0005-0000-0000-0000A7190000}"/>
    <cellStyle name="Comma 2 2 3 5 2 2 3 2 2" xfId="40147" xr:uid="{00000000-0005-0000-0000-0000A8190000}"/>
    <cellStyle name="Comma 2 2 3 5 2 2 3 3" xfId="47491" xr:uid="{00000000-0005-0000-0000-0000A9190000}"/>
    <cellStyle name="Comma 2 2 3 5 2 2 3 4" xfId="26661" xr:uid="{00000000-0005-0000-0000-0000AA190000}"/>
    <cellStyle name="Comma 2 2 3 5 2 2 4" xfId="5830" xr:uid="{00000000-0005-0000-0000-0000AB190000}"/>
    <cellStyle name="Comma 2 2 3 5 2 2 4 2" xfId="19317" xr:uid="{00000000-0005-0000-0000-0000AC190000}"/>
    <cellStyle name="Comma 2 2 3 5 2 2 4 2 2" xfId="42595" xr:uid="{00000000-0005-0000-0000-0000AD190000}"/>
    <cellStyle name="Comma 2 2 3 5 2 2 4 3" xfId="29109" xr:uid="{00000000-0005-0000-0000-0000AE190000}"/>
    <cellStyle name="Comma 2 2 3 5 2 2 5" xfId="8278" xr:uid="{00000000-0005-0000-0000-0000AF190000}"/>
    <cellStyle name="Comma 2 2 3 5 2 2 5 2" xfId="31557" xr:uid="{00000000-0005-0000-0000-0000B0190000}"/>
    <cellStyle name="Comma 2 2 3 5 2 2 6" xfId="10726" xr:uid="{00000000-0005-0000-0000-0000B1190000}"/>
    <cellStyle name="Comma 2 2 3 5 2 2 6 2" xfId="34005" xr:uid="{00000000-0005-0000-0000-0000B2190000}"/>
    <cellStyle name="Comma 2 2 3 5 2 2 7" xfId="13174" xr:uid="{00000000-0005-0000-0000-0000B3190000}"/>
    <cellStyle name="Comma 2 2 3 5 2 2 7 2" xfId="36453" xr:uid="{00000000-0005-0000-0000-0000B4190000}"/>
    <cellStyle name="Comma 2 2 3 5 2 2 8" xfId="15645" xr:uid="{00000000-0005-0000-0000-0000B5190000}"/>
    <cellStyle name="Comma 2 2 3 5 2 2 8 2" xfId="38923" xr:uid="{00000000-0005-0000-0000-0000B6190000}"/>
    <cellStyle name="Comma 2 2 3 5 2 2 9" xfId="24213" xr:uid="{00000000-0005-0000-0000-0000B7190000}"/>
    <cellStyle name="Comma 2 2 3 5 2 3" xfId="1546" xr:uid="{00000000-0005-0000-0000-0000B8190000}"/>
    <cellStyle name="Comma 2 2 3 5 2 3 10" xfId="22377" xr:uid="{00000000-0005-0000-0000-0000B9190000}"/>
    <cellStyle name="Comma 2 2 3 5 2 3 2" xfId="3994" xr:uid="{00000000-0005-0000-0000-0000BA190000}"/>
    <cellStyle name="Comma 2 2 3 5 2 3 2 2" xfId="19929" xr:uid="{00000000-0005-0000-0000-0000BB190000}"/>
    <cellStyle name="Comma 2 2 3 5 2 3 2 2 2" xfId="43207" xr:uid="{00000000-0005-0000-0000-0000BC190000}"/>
    <cellStyle name="Comma 2 2 3 5 2 3 2 3" xfId="48103" xr:uid="{00000000-0005-0000-0000-0000BD190000}"/>
    <cellStyle name="Comma 2 2 3 5 2 3 2 4" xfId="27273" xr:uid="{00000000-0005-0000-0000-0000BE190000}"/>
    <cellStyle name="Comma 2 2 3 5 2 3 3" xfId="6442" xr:uid="{00000000-0005-0000-0000-0000BF190000}"/>
    <cellStyle name="Comma 2 2 3 5 2 3 3 2" xfId="29721" xr:uid="{00000000-0005-0000-0000-0000C0190000}"/>
    <cellStyle name="Comma 2 2 3 5 2 3 4" xfId="8890" xr:uid="{00000000-0005-0000-0000-0000C1190000}"/>
    <cellStyle name="Comma 2 2 3 5 2 3 4 2" xfId="32169" xr:uid="{00000000-0005-0000-0000-0000C2190000}"/>
    <cellStyle name="Comma 2 2 3 5 2 3 5" xfId="11338" xr:uid="{00000000-0005-0000-0000-0000C3190000}"/>
    <cellStyle name="Comma 2 2 3 5 2 3 5 2" xfId="34617" xr:uid="{00000000-0005-0000-0000-0000C4190000}"/>
    <cellStyle name="Comma 2 2 3 5 2 3 6" xfId="13786" xr:uid="{00000000-0005-0000-0000-0000C5190000}"/>
    <cellStyle name="Comma 2 2 3 5 2 3 6 2" xfId="37065" xr:uid="{00000000-0005-0000-0000-0000C6190000}"/>
    <cellStyle name="Comma 2 2 3 5 2 3 7" xfId="17481" xr:uid="{00000000-0005-0000-0000-0000C7190000}"/>
    <cellStyle name="Comma 2 2 3 5 2 3 7 2" xfId="40759" xr:uid="{00000000-0005-0000-0000-0000C8190000}"/>
    <cellStyle name="Comma 2 2 3 5 2 3 8" xfId="24825" xr:uid="{00000000-0005-0000-0000-0000C9190000}"/>
    <cellStyle name="Comma 2 2 3 5 2 3 9" xfId="45655" xr:uid="{00000000-0005-0000-0000-0000CA190000}"/>
    <cellStyle name="Comma 2 2 3 5 2 4" xfId="2770" xr:uid="{00000000-0005-0000-0000-0000CB190000}"/>
    <cellStyle name="Comma 2 2 3 5 2 4 2" xfId="16257" xr:uid="{00000000-0005-0000-0000-0000CC190000}"/>
    <cellStyle name="Comma 2 2 3 5 2 4 2 2" xfId="39535" xr:uid="{00000000-0005-0000-0000-0000CD190000}"/>
    <cellStyle name="Comma 2 2 3 5 2 4 3" xfId="46879" xr:uid="{00000000-0005-0000-0000-0000CE190000}"/>
    <cellStyle name="Comma 2 2 3 5 2 4 4" xfId="26049" xr:uid="{00000000-0005-0000-0000-0000CF190000}"/>
    <cellStyle name="Comma 2 2 3 5 2 5" xfId="5218" xr:uid="{00000000-0005-0000-0000-0000D0190000}"/>
    <cellStyle name="Comma 2 2 3 5 2 5 2" xfId="18705" xr:uid="{00000000-0005-0000-0000-0000D1190000}"/>
    <cellStyle name="Comma 2 2 3 5 2 5 2 2" xfId="41983" xr:uid="{00000000-0005-0000-0000-0000D2190000}"/>
    <cellStyle name="Comma 2 2 3 5 2 5 3" xfId="28497" xr:uid="{00000000-0005-0000-0000-0000D3190000}"/>
    <cellStyle name="Comma 2 2 3 5 2 6" xfId="7666" xr:uid="{00000000-0005-0000-0000-0000D4190000}"/>
    <cellStyle name="Comma 2 2 3 5 2 6 2" xfId="30945" xr:uid="{00000000-0005-0000-0000-0000D5190000}"/>
    <cellStyle name="Comma 2 2 3 5 2 7" xfId="10114" xr:uid="{00000000-0005-0000-0000-0000D6190000}"/>
    <cellStyle name="Comma 2 2 3 5 2 7 2" xfId="33393" xr:uid="{00000000-0005-0000-0000-0000D7190000}"/>
    <cellStyle name="Comma 2 2 3 5 2 8" xfId="12562" xr:uid="{00000000-0005-0000-0000-0000D8190000}"/>
    <cellStyle name="Comma 2 2 3 5 2 8 2" xfId="35841" xr:uid="{00000000-0005-0000-0000-0000D9190000}"/>
    <cellStyle name="Comma 2 2 3 5 2 9" xfId="15033" xr:uid="{00000000-0005-0000-0000-0000DA190000}"/>
    <cellStyle name="Comma 2 2 3 5 2 9 2" xfId="38311" xr:uid="{00000000-0005-0000-0000-0000DB190000}"/>
    <cellStyle name="Comma 2 2 3 5 3" xfId="526" xr:uid="{00000000-0005-0000-0000-0000DC190000}"/>
    <cellStyle name="Comma 2 2 3 5 3 10" xfId="23805" xr:uid="{00000000-0005-0000-0000-0000DD190000}"/>
    <cellStyle name="Comma 2 2 3 5 3 11" xfId="44635" xr:uid="{00000000-0005-0000-0000-0000DE190000}"/>
    <cellStyle name="Comma 2 2 3 5 3 12" xfId="21357" xr:uid="{00000000-0005-0000-0000-0000DF190000}"/>
    <cellStyle name="Comma 2 2 3 5 3 2" xfId="1138" xr:uid="{00000000-0005-0000-0000-0000E0190000}"/>
    <cellStyle name="Comma 2 2 3 5 3 2 10" xfId="45247" xr:uid="{00000000-0005-0000-0000-0000E1190000}"/>
    <cellStyle name="Comma 2 2 3 5 3 2 11" xfId="21969" xr:uid="{00000000-0005-0000-0000-0000E2190000}"/>
    <cellStyle name="Comma 2 2 3 5 3 2 2" xfId="2362" xr:uid="{00000000-0005-0000-0000-0000E3190000}"/>
    <cellStyle name="Comma 2 2 3 5 3 2 2 10" xfId="23193" xr:uid="{00000000-0005-0000-0000-0000E4190000}"/>
    <cellStyle name="Comma 2 2 3 5 3 2 2 2" xfId="4810" xr:uid="{00000000-0005-0000-0000-0000E5190000}"/>
    <cellStyle name="Comma 2 2 3 5 3 2 2 2 2" xfId="20745" xr:uid="{00000000-0005-0000-0000-0000E6190000}"/>
    <cellStyle name="Comma 2 2 3 5 3 2 2 2 2 2" xfId="44023" xr:uid="{00000000-0005-0000-0000-0000E7190000}"/>
    <cellStyle name="Comma 2 2 3 5 3 2 2 2 3" xfId="48919" xr:uid="{00000000-0005-0000-0000-0000E8190000}"/>
    <cellStyle name="Comma 2 2 3 5 3 2 2 2 4" xfId="28089" xr:uid="{00000000-0005-0000-0000-0000E9190000}"/>
    <cellStyle name="Comma 2 2 3 5 3 2 2 3" xfId="7258" xr:uid="{00000000-0005-0000-0000-0000EA190000}"/>
    <cellStyle name="Comma 2 2 3 5 3 2 2 3 2" xfId="30537" xr:uid="{00000000-0005-0000-0000-0000EB190000}"/>
    <cellStyle name="Comma 2 2 3 5 3 2 2 4" xfId="9706" xr:uid="{00000000-0005-0000-0000-0000EC190000}"/>
    <cellStyle name="Comma 2 2 3 5 3 2 2 4 2" xfId="32985" xr:uid="{00000000-0005-0000-0000-0000ED190000}"/>
    <cellStyle name="Comma 2 2 3 5 3 2 2 5" xfId="12154" xr:uid="{00000000-0005-0000-0000-0000EE190000}"/>
    <cellStyle name="Comma 2 2 3 5 3 2 2 5 2" xfId="35433" xr:uid="{00000000-0005-0000-0000-0000EF190000}"/>
    <cellStyle name="Comma 2 2 3 5 3 2 2 6" xfId="14602" xr:uid="{00000000-0005-0000-0000-0000F0190000}"/>
    <cellStyle name="Comma 2 2 3 5 3 2 2 6 2" xfId="37881" xr:uid="{00000000-0005-0000-0000-0000F1190000}"/>
    <cellStyle name="Comma 2 2 3 5 3 2 2 7" xfId="18297" xr:uid="{00000000-0005-0000-0000-0000F2190000}"/>
    <cellStyle name="Comma 2 2 3 5 3 2 2 7 2" xfId="41575" xr:uid="{00000000-0005-0000-0000-0000F3190000}"/>
    <cellStyle name="Comma 2 2 3 5 3 2 2 8" xfId="25641" xr:uid="{00000000-0005-0000-0000-0000F4190000}"/>
    <cellStyle name="Comma 2 2 3 5 3 2 2 9" xfId="46471" xr:uid="{00000000-0005-0000-0000-0000F5190000}"/>
    <cellStyle name="Comma 2 2 3 5 3 2 3" xfId="3586" xr:uid="{00000000-0005-0000-0000-0000F6190000}"/>
    <cellStyle name="Comma 2 2 3 5 3 2 3 2" xfId="17073" xr:uid="{00000000-0005-0000-0000-0000F7190000}"/>
    <cellStyle name="Comma 2 2 3 5 3 2 3 2 2" xfId="40351" xr:uid="{00000000-0005-0000-0000-0000F8190000}"/>
    <cellStyle name="Comma 2 2 3 5 3 2 3 3" xfId="47695" xr:uid="{00000000-0005-0000-0000-0000F9190000}"/>
    <cellStyle name="Comma 2 2 3 5 3 2 3 4" xfId="26865" xr:uid="{00000000-0005-0000-0000-0000FA190000}"/>
    <cellStyle name="Comma 2 2 3 5 3 2 4" xfId="6034" xr:uid="{00000000-0005-0000-0000-0000FB190000}"/>
    <cellStyle name="Comma 2 2 3 5 3 2 4 2" xfId="19521" xr:uid="{00000000-0005-0000-0000-0000FC190000}"/>
    <cellStyle name="Comma 2 2 3 5 3 2 4 2 2" xfId="42799" xr:uid="{00000000-0005-0000-0000-0000FD190000}"/>
    <cellStyle name="Comma 2 2 3 5 3 2 4 3" xfId="29313" xr:uid="{00000000-0005-0000-0000-0000FE190000}"/>
    <cellStyle name="Comma 2 2 3 5 3 2 5" xfId="8482" xr:uid="{00000000-0005-0000-0000-0000FF190000}"/>
    <cellStyle name="Comma 2 2 3 5 3 2 5 2" xfId="31761" xr:uid="{00000000-0005-0000-0000-0000001A0000}"/>
    <cellStyle name="Comma 2 2 3 5 3 2 6" xfId="10930" xr:uid="{00000000-0005-0000-0000-0000011A0000}"/>
    <cellStyle name="Comma 2 2 3 5 3 2 6 2" xfId="34209" xr:uid="{00000000-0005-0000-0000-0000021A0000}"/>
    <cellStyle name="Comma 2 2 3 5 3 2 7" xfId="13378" xr:uid="{00000000-0005-0000-0000-0000031A0000}"/>
    <cellStyle name="Comma 2 2 3 5 3 2 7 2" xfId="36657" xr:uid="{00000000-0005-0000-0000-0000041A0000}"/>
    <cellStyle name="Comma 2 2 3 5 3 2 8" xfId="15849" xr:uid="{00000000-0005-0000-0000-0000051A0000}"/>
    <cellStyle name="Comma 2 2 3 5 3 2 8 2" xfId="39127" xr:uid="{00000000-0005-0000-0000-0000061A0000}"/>
    <cellStyle name="Comma 2 2 3 5 3 2 9" xfId="24417" xr:uid="{00000000-0005-0000-0000-0000071A0000}"/>
    <cellStyle name="Comma 2 2 3 5 3 3" xfId="1750" xr:uid="{00000000-0005-0000-0000-0000081A0000}"/>
    <cellStyle name="Comma 2 2 3 5 3 3 10" xfId="22581" xr:uid="{00000000-0005-0000-0000-0000091A0000}"/>
    <cellStyle name="Comma 2 2 3 5 3 3 2" xfId="4198" xr:uid="{00000000-0005-0000-0000-00000A1A0000}"/>
    <cellStyle name="Comma 2 2 3 5 3 3 2 2" xfId="20133" xr:uid="{00000000-0005-0000-0000-00000B1A0000}"/>
    <cellStyle name="Comma 2 2 3 5 3 3 2 2 2" xfId="43411" xr:uid="{00000000-0005-0000-0000-00000C1A0000}"/>
    <cellStyle name="Comma 2 2 3 5 3 3 2 3" xfId="48307" xr:uid="{00000000-0005-0000-0000-00000D1A0000}"/>
    <cellStyle name="Comma 2 2 3 5 3 3 2 4" xfId="27477" xr:uid="{00000000-0005-0000-0000-00000E1A0000}"/>
    <cellStyle name="Comma 2 2 3 5 3 3 3" xfId="6646" xr:uid="{00000000-0005-0000-0000-00000F1A0000}"/>
    <cellStyle name="Comma 2 2 3 5 3 3 3 2" xfId="29925" xr:uid="{00000000-0005-0000-0000-0000101A0000}"/>
    <cellStyle name="Comma 2 2 3 5 3 3 4" xfId="9094" xr:uid="{00000000-0005-0000-0000-0000111A0000}"/>
    <cellStyle name="Comma 2 2 3 5 3 3 4 2" xfId="32373" xr:uid="{00000000-0005-0000-0000-0000121A0000}"/>
    <cellStyle name="Comma 2 2 3 5 3 3 5" xfId="11542" xr:uid="{00000000-0005-0000-0000-0000131A0000}"/>
    <cellStyle name="Comma 2 2 3 5 3 3 5 2" xfId="34821" xr:uid="{00000000-0005-0000-0000-0000141A0000}"/>
    <cellStyle name="Comma 2 2 3 5 3 3 6" xfId="13990" xr:uid="{00000000-0005-0000-0000-0000151A0000}"/>
    <cellStyle name="Comma 2 2 3 5 3 3 6 2" xfId="37269" xr:uid="{00000000-0005-0000-0000-0000161A0000}"/>
    <cellStyle name="Comma 2 2 3 5 3 3 7" xfId="17685" xr:uid="{00000000-0005-0000-0000-0000171A0000}"/>
    <cellStyle name="Comma 2 2 3 5 3 3 7 2" xfId="40963" xr:uid="{00000000-0005-0000-0000-0000181A0000}"/>
    <cellStyle name="Comma 2 2 3 5 3 3 8" xfId="25029" xr:uid="{00000000-0005-0000-0000-0000191A0000}"/>
    <cellStyle name="Comma 2 2 3 5 3 3 9" xfId="45859" xr:uid="{00000000-0005-0000-0000-00001A1A0000}"/>
    <cellStyle name="Comma 2 2 3 5 3 4" xfId="2974" xr:uid="{00000000-0005-0000-0000-00001B1A0000}"/>
    <cellStyle name="Comma 2 2 3 5 3 4 2" xfId="16461" xr:uid="{00000000-0005-0000-0000-00001C1A0000}"/>
    <cellStyle name="Comma 2 2 3 5 3 4 2 2" xfId="39739" xr:uid="{00000000-0005-0000-0000-00001D1A0000}"/>
    <cellStyle name="Comma 2 2 3 5 3 4 3" xfId="47083" xr:uid="{00000000-0005-0000-0000-00001E1A0000}"/>
    <cellStyle name="Comma 2 2 3 5 3 4 4" xfId="26253" xr:uid="{00000000-0005-0000-0000-00001F1A0000}"/>
    <cellStyle name="Comma 2 2 3 5 3 5" xfId="5422" xr:uid="{00000000-0005-0000-0000-0000201A0000}"/>
    <cellStyle name="Comma 2 2 3 5 3 5 2" xfId="18909" xr:uid="{00000000-0005-0000-0000-0000211A0000}"/>
    <cellStyle name="Comma 2 2 3 5 3 5 2 2" xfId="42187" xr:uid="{00000000-0005-0000-0000-0000221A0000}"/>
    <cellStyle name="Comma 2 2 3 5 3 5 3" xfId="28701" xr:uid="{00000000-0005-0000-0000-0000231A0000}"/>
    <cellStyle name="Comma 2 2 3 5 3 6" xfId="7870" xr:uid="{00000000-0005-0000-0000-0000241A0000}"/>
    <cellStyle name="Comma 2 2 3 5 3 6 2" xfId="31149" xr:uid="{00000000-0005-0000-0000-0000251A0000}"/>
    <cellStyle name="Comma 2 2 3 5 3 7" xfId="10318" xr:uid="{00000000-0005-0000-0000-0000261A0000}"/>
    <cellStyle name="Comma 2 2 3 5 3 7 2" xfId="33597" xr:uid="{00000000-0005-0000-0000-0000271A0000}"/>
    <cellStyle name="Comma 2 2 3 5 3 8" xfId="12766" xr:uid="{00000000-0005-0000-0000-0000281A0000}"/>
    <cellStyle name="Comma 2 2 3 5 3 8 2" xfId="36045" xr:uid="{00000000-0005-0000-0000-0000291A0000}"/>
    <cellStyle name="Comma 2 2 3 5 3 9" xfId="15237" xr:uid="{00000000-0005-0000-0000-00002A1A0000}"/>
    <cellStyle name="Comma 2 2 3 5 3 9 2" xfId="38515" xr:uid="{00000000-0005-0000-0000-00002B1A0000}"/>
    <cellStyle name="Comma 2 2 3 5 4" xfId="730" xr:uid="{00000000-0005-0000-0000-00002C1A0000}"/>
    <cellStyle name="Comma 2 2 3 5 4 10" xfId="44839" xr:uid="{00000000-0005-0000-0000-00002D1A0000}"/>
    <cellStyle name="Comma 2 2 3 5 4 11" xfId="21561" xr:uid="{00000000-0005-0000-0000-00002E1A0000}"/>
    <cellStyle name="Comma 2 2 3 5 4 2" xfId="1954" xr:uid="{00000000-0005-0000-0000-00002F1A0000}"/>
    <cellStyle name="Comma 2 2 3 5 4 2 10" xfId="22785" xr:uid="{00000000-0005-0000-0000-0000301A0000}"/>
    <cellStyle name="Comma 2 2 3 5 4 2 2" xfId="4402" xr:uid="{00000000-0005-0000-0000-0000311A0000}"/>
    <cellStyle name="Comma 2 2 3 5 4 2 2 2" xfId="20337" xr:uid="{00000000-0005-0000-0000-0000321A0000}"/>
    <cellStyle name="Comma 2 2 3 5 4 2 2 2 2" xfId="43615" xr:uid="{00000000-0005-0000-0000-0000331A0000}"/>
    <cellStyle name="Comma 2 2 3 5 4 2 2 3" xfId="48511" xr:uid="{00000000-0005-0000-0000-0000341A0000}"/>
    <cellStyle name="Comma 2 2 3 5 4 2 2 4" xfId="27681" xr:uid="{00000000-0005-0000-0000-0000351A0000}"/>
    <cellStyle name="Comma 2 2 3 5 4 2 3" xfId="6850" xr:uid="{00000000-0005-0000-0000-0000361A0000}"/>
    <cellStyle name="Comma 2 2 3 5 4 2 3 2" xfId="30129" xr:uid="{00000000-0005-0000-0000-0000371A0000}"/>
    <cellStyle name="Comma 2 2 3 5 4 2 4" xfId="9298" xr:uid="{00000000-0005-0000-0000-0000381A0000}"/>
    <cellStyle name="Comma 2 2 3 5 4 2 4 2" xfId="32577" xr:uid="{00000000-0005-0000-0000-0000391A0000}"/>
    <cellStyle name="Comma 2 2 3 5 4 2 5" xfId="11746" xr:uid="{00000000-0005-0000-0000-00003A1A0000}"/>
    <cellStyle name="Comma 2 2 3 5 4 2 5 2" xfId="35025" xr:uid="{00000000-0005-0000-0000-00003B1A0000}"/>
    <cellStyle name="Comma 2 2 3 5 4 2 6" xfId="14194" xr:uid="{00000000-0005-0000-0000-00003C1A0000}"/>
    <cellStyle name="Comma 2 2 3 5 4 2 6 2" xfId="37473" xr:uid="{00000000-0005-0000-0000-00003D1A0000}"/>
    <cellStyle name="Comma 2 2 3 5 4 2 7" xfId="17889" xr:uid="{00000000-0005-0000-0000-00003E1A0000}"/>
    <cellStyle name="Comma 2 2 3 5 4 2 7 2" xfId="41167" xr:uid="{00000000-0005-0000-0000-00003F1A0000}"/>
    <cellStyle name="Comma 2 2 3 5 4 2 8" xfId="25233" xr:uid="{00000000-0005-0000-0000-0000401A0000}"/>
    <cellStyle name="Comma 2 2 3 5 4 2 9" xfId="46063" xr:uid="{00000000-0005-0000-0000-0000411A0000}"/>
    <cellStyle name="Comma 2 2 3 5 4 3" xfId="3178" xr:uid="{00000000-0005-0000-0000-0000421A0000}"/>
    <cellStyle name="Comma 2 2 3 5 4 3 2" xfId="16665" xr:uid="{00000000-0005-0000-0000-0000431A0000}"/>
    <cellStyle name="Comma 2 2 3 5 4 3 2 2" xfId="39943" xr:uid="{00000000-0005-0000-0000-0000441A0000}"/>
    <cellStyle name="Comma 2 2 3 5 4 3 3" xfId="47287" xr:uid="{00000000-0005-0000-0000-0000451A0000}"/>
    <cellStyle name="Comma 2 2 3 5 4 3 4" xfId="26457" xr:uid="{00000000-0005-0000-0000-0000461A0000}"/>
    <cellStyle name="Comma 2 2 3 5 4 4" xfId="5626" xr:uid="{00000000-0005-0000-0000-0000471A0000}"/>
    <cellStyle name="Comma 2 2 3 5 4 4 2" xfId="19113" xr:uid="{00000000-0005-0000-0000-0000481A0000}"/>
    <cellStyle name="Comma 2 2 3 5 4 4 2 2" xfId="42391" xr:uid="{00000000-0005-0000-0000-0000491A0000}"/>
    <cellStyle name="Comma 2 2 3 5 4 4 3" xfId="28905" xr:uid="{00000000-0005-0000-0000-00004A1A0000}"/>
    <cellStyle name="Comma 2 2 3 5 4 5" xfId="8074" xr:uid="{00000000-0005-0000-0000-00004B1A0000}"/>
    <cellStyle name="Comma 2 2 3 5 4 5 2" xfId="31353" xr:uid="{00000000-0005-0000-0000-00004C1A0000}"/>
    <cellStyle name="Comma 2 2 3 5 4 6" xfId="10522" xr:uid="{00000000-0005-0000-0000-00004D1A0000}"/>
    <cellStyle name="Comma 2 2 3 5 4 6 2" xfId="33801" xr:uid="{00000000-0005-0000-0000-00004E1A0000}"/>
    <cellStyle name="Comma 2 2 3 5 4 7" xfId="12970" xr:uid="{00000000-0005-0000-0000-00004F1A0000}"/>
    <cellStyle name="Comma 2 2 3 5 4 7 2" xfId="36249" xr:uid="{00000000-0005-0000-0000-0000501A0000}"/>
    <cellStyle name="Comma 2 2 3 5 4 8" xfId="15441" xr:uid="{00000000-0005-0000-0000-0000511A0000}"/>
    <cellStyle name="Comma 2 2 3 5 4 8 2" xfId="38719" xr:uid="{00000000-0005-0000-0000-0000521A0000}"/>
    <cellStyle name="Comma 2 2 3 5 4 9" xfId="24009" xr:uid="{00000000-0005-0000-0000-0000531A0000}"/>
    <cellStyle name="Comma 2 2 3 5 5" xfId="1342" xr:uid="{00000000-0005-0000-0000-0000541A0000}"/>
    <cellStyle name="Comma 2 2 3 5 5 10" xfId="22173" xr:uid="{00000000-0005-0000-0000-0000551A0000}"/>
    <cellStyle name="Comma 2 2 3 5 5 2" xfId="3790" xr:uid="{00000000-0005-0000-0000-0000561A0000}"/>
    <cellStyle name="Comma 2 2 3 5 5 2 2" xfId="19725" xr:uid="{00000000-0005-0000-0000-0000571A0000}"/>
    <cellStyle name="Comma 2 2 3 5 5 2 2 2" xfId="43003" xr:uid="{00000000-0005-0000-0000-0000581A0000}"/>
    <cellStyle name="Comma 2 2 3 5 5 2 3" xfId="47899" xr:uid="{00000000-0005-0000-0000-0000591A0000}"/>
    <cellStyle name="Comma 2 2 3 5 5 2 4" xfId="27069" xr:uid="{00000000-0005-0000-0000-00005A1A0000}"/>
    <cellStyle name="Comma 2 2 3 5 5 3" xfId="6238" xr:uid="{00000000-0005-0000-0000-00005B1A0000}"/>
    <cellStyle name="Comma 2 2 3 5 5 3 2" xfId="29517" xr:uid="{00000000-0005-0000-0000-00005C1A0000}"/>
    <cellStyle name="Comma 2 2 3 5 5 4" xfId="8686" xr:uid="{00000000-0005-0000-0000-00005D1A0000}"/>
    <cellStyle name="Comma 2 2 3 5 5 4 2" xfId="31965" xr:uid="{00000000-0005-0000-0000-00005E1A0000}"/>
    <cellStyle name="Comma 2 2 3 5 5 5" xfId="11134" xr:uid="{00000000-0005-0000-0000-00005F1A0000}"/>
    <cellStyle name="Comma 2 2 3 5 5 5 2" xfId="34413" xr:uid="{00000000-0005-0000-0000-0000601A0000}"/>
    <cellStyle name="Comma 2 2 3 5 5 6" xfId="13582" xr:uid="{00000000-0005-0000-0000-0000611A0000}"/>
    <cellStyle name="Comma 2 2 3 5 5 6 2" xfId="36861" xr:uid="{00000000-0005-0000-0000-0000621A0000}"/>
    <cellStyle name="Comma 2 2 3 5 5 7" xfId="17277" xr:uid="{00000000-0005-0000-0000-0000631A0000}"/>
    <cellStyle name="Comma 2 2 3 5 5 7 2" xfId="40555" xr:uid="{00000000-0005-0000-0000-0000641A0000}"/>
    <cellStyle name="Comma 2 2 3 5 5 8" xfId="24621" xr:uid="{00000000-0005-0000-0000-0000651A0000}"/>
    <cellStyle name="Comma 2 2 3 5 5 9" xfId="45451" xr:uid="{00000000-0005-0000-0000-0000661A0000}"/>
    <cellStyle name="Comma 2 2 3 5 6" xfId="2566" xr:uid="{00000000-0005-0000-0000-0000671A0000}"/>
    <cellStyle name="Comma 2 2 3 5 6 2" xfId="16053" xr:uid="{00000000-0005-0000-0000-0000681A0000}"/>
    <cellStyle name="Comma 2 2 3 5 6 2 2" xfId="39331" xr:uid="{00000000-0005-0000-0000-0000691A0000}"/>
    <cellStyle name="Comma 2 2 3 5 6 3" xfId="46675" xr:uid="{00000000-0005-0000-0000-00006A1A0000}"/>
    <cellStyle name="Comma 2 2 3 5 6 4" xfId="25845" xr:uid="{00000000-0005-0000-0000-00006B1A0000}"/>
    <cellStyle name="Comma 2 2 3 5 7" xfId="5014" xr:uid="{00000000-0005-0000-0000-00006C1A0000}"/>
    <cellStyle name="Comma 2 2 3 5 7 2" xfId="18501" xr:uid="{00000000-0005-0000-0000-00006D1A0000}"/>
    <cellStyle name="Comma 2 2 3 5 7 2 2" xfId="41779" xr:uid="{00000000-0005-0000-0000-00006E1A0000}"/>
    <cellStyle name="Comma 2 2 3 5 7 3" xfId="28293" xr:uid="{00000000-0005-0000-0000-00006F1A0000}"/>
    <cellStyle name="Comma 2 2 3 5 8" xfId="7462" xr:uid="{00000000-0005-0000-0000-0000701A0000}"/>
    <cellStyle name="Comma 2 2 3 5 8 2" xfId="30741" xr:uid="{00000000-0005-0000-0000-0000711A0000}"/>
    <cellStyle name="Comma 2 2 3 5 9" xfId="9910" xr:uid="{00000000-0005-0000-0000-0000721A0000}"/>
    <cellStyle name="Comma 2 2 3 5 9 2" xfId="33189" xr:uid="{00000000-0005-0000-0000-0000731A0000}"/>
    <cellStyle name="Comma 2 2 3 6" xfId="186" xr:uid="{00000000-0005-0000-0000-0000741A0000}"/>
    <cellStyle name="Comma 2 2 3 6 10" xfId="12426" xr:uid="{00000000-0005-0000-0000-0000751A0000}"/>
    <cellStyle name="Comma 2 2 3 6 10 2" xfId="35705" xr:uid="{00000000-0005-0000-0000-0000761A0000}"/>
    <cellStyle name="Comma 2 2 3 6 11" xfId="14897" xr:uid="{00000000-0005-0000-0000-0000771A0000}"/>
    <cellStyle name="Comma 2 2 3 6 11 2" xfId="38175" xr:uid="{00000000-0005-0000-0000-0000781A0000}"/>
    <cellStyle name="Comma 2 2 3 6 12" xfId="23465" xr:uid="{00000000-0005-0000-0000-0000791A0000}"/>
    <cellStyle name="Comma 2 2 3 6 13" xfId="44295" xr:uid="{00000000-0005-0000-0000-00007A1A0000}"/>
    <cellStyle name="Comma 2 2 3 6 14" xfId="21017" xr:uid="{00000000-0005-0000-0000-00007B1A0000}"/>
    <cellStyle name="Comma 2 2 3 6 2" xfId="390" xr:uid="{00000000-0005-0000-0000-00007C1A0000}"/>
    <cellStyle name="Comma 2 2 3 6 2 10" xfId="23669" xr:uid="{00000000-0005-0000-0000-00007D1A0000}"/>
    <cellStyle name="Comma 2 2 3 6 2 11" xfId="44499" xr:uid="{00000000-0005-0000-0000-00007E1A0000}"/>
    <cellStyle name="Comma 2 2 3 6 2 12" xfId="21221" xr:uid="{00000000-0005-0000-0000-00007F1A0000}"/>
    <cellStyle name="Comma 2 2 3 6 2 2" xfId="1002" xr:uid="{00000000-0005-0000-0000-0000801A0000}"/>
    <cellStyle name="Comma 2 2 3 6 2 2 10" xfId="45111" xr:uid="{00000000-0005-0000-0000-0000811A0000}"/>
    <cellStyle name="Comma 2 2 3 6 2 2 11" xfId="21833" xr:uid="{00000000-0005-0000-0000-0000821A0000}"/>
    <cellStyle name="Comma 2 2 3 6 2 2 2" xfId="2226" xr:uid="{00000000-0005-0000-0000-0000831A0000}"/>
    <cellStyle name="Comma 2 2 3 6 2 2 2 10" xfId="23057" xr:uid="{00000000-0005-0000-0000-0000841A0000}"/>
    <cellStyle name="Comma 2 2 3 6 2 2 2 2" xfId="4674" xr:uid="{00000000-0005-0000-0000-0000851A0000}"/>
    <cellStyle name="Comma 2 2 3 6 2 2 2 2 2" xfId="20609" xr:uid="{00000000-0005-0000-0000-0000861A0000}"/>
    <cellStyle name="Comma 2 2 3 6 2 2 2 2 2 2" xfId="43887" xr:uid="{00000000-0005-0000-0000-0000871A0000}"/>
    <cellStyle name="Comma 2 2 3 6 2 2 2 2 3" xfId="48783" xr:uid="{00000000-0005-0000-0000-0000881A0000}"/>
    <cellStyle name="Comma 2 2 3 6 2 2 2 2 4" xfId="27953" xr:uid="{00000000-0005-0000-0000-0000891A0000}"/>
    <cellStyle name="Comma 2 2 3 6 2 2 2 3" xfId="7122" xr:uid="{00000000-0005-0000-0000-00008A1A0000}"/>
    <cellStyle name="Comma 2 2 3 6 2 2 2 3 2" xfId="30401" xr:uid="{00000000-0005-0000-0000-00008B1A0000}"/>
    <cellStyle name="Comma 2 2 3 6 2 2 2 4" xfId="9570" xr:uid="{00000000-0005-0000-0000-00008C1A0000}"/>
    <cellStyle name="Comma 2 2 3 6 2 2 2 4 2" xfId="32849" xr:uid="{00000000-0005-0000-0000-00008D1A0000}"/>
    <cellStyle name="Comma 2 2 3 6 2 2 2 5" xfId="12018" xr:uid="{00000000-0005-0000-0000-00008E1A0000}"/>
    <cellStyle name="Comma 2 2 3 6 2 2 2 5 2" xfId="35297" xr:uid="{00000000-0005-0000-0000-00008F1A0000}"/>
    <cellStyle name="Comma 2 2 3 6 2 2 2 6" xfId="14466" xr:uid="{00000000-0005-0000-0000-0000901A0000}"/>
    <cellStyle name="Comma 2 2 3 6 2 2 2 6 2" xfId="37745" xr:uid="{00000000-0005-0000-0000-0000911A0000}"/>
    <cellStyle name="Comma 2 2 3 6 2 2 2 7" xfId="18161" xr:uid="{00000000-0005-0000-0000-0000921A0000}"/>
    <cellStyle name="Comma 2 2 3 6 2 2 2 7 2" xfId="41439" xr:uid="{00000000-0005-0000-0000-0000931A0000}"/>
    <cellStyle name="Comma 2 2 3 6 2 2 2 8" xfId="25505" xr:uid="{00000000-0005-0000-0000-0000941A0000}"/>
    <cellStyle name="Comma 2 2 3 6 2 2 2 9" xfId="46335" xr:uid="{00000000-0005-0000-0000-0000951A0000}"/>
    <cellStyle name="Comma 2 2 3 6 2 2 3" xfId="3450" xr:uid="{00000000-0005-0000-0000-0000961A0000}"/>
    <cellStyle name="Comma 2 2 3 6 2 2 3 2" xfId="16937" xr:uid="{00000000-0005-0000-0000-0000971A0000}"/>
    <cellStyle name="Comma 2 2 3 6 2 2 3 2 2" xfId="40215" xr:uid="{00000000-0005-0000-0000-0000981A0000}"/>
    <cellStyle name="Comma 2 2 3 6 2 2 3 3" xfId="47559" xr:uid="{00000000-0005-0000-0000-0000991A0000}"/>
    <cellStyle name="Comma 2 2 3 6 2 2 3 4" xfId="26729" xr:uid="{00000000-0005-0000-0000-00009A1A0000}"/>
    <cellStyle name="Comma 2 2 3 6 2 2 4" xfId="5898" xr:uid="{00000000-0005-0000-0000-00009B1A0000}"/>
    <cellStyle name="Comma 2 2 3 6 2 2 4 2" xfId="19385" xr:uid="{00000000-0005-0000-0000-00009C1A0000}"/>
    <cellStyle name="Comma 2 2 3 6 2 2 4 2 2" xfId="42663" xr:uid="{00000000-0005-0000-0000-00009D1A0000}"/>
    <cellStyle name="Comma 2 2 3 6 2 2 4 3" xfId="29177" xr:uid="{00000000-0005-0000-0000-00009E1A0000}"/>
    <cellStyle name="Comma 2 2 3 6 2 2 5" xfId="8346" xr:uid="{00000000-0005-0000-0000-00009F1A0000}"/>
    <cellStyle name="Comma 2 2 3 6 2 2 5 2" xfId="31625" xr:uid="{00000000-0005-0000-0000-0000A01A0000}"/>
    <cellStyle name="Comma 2 2 3 6 2 2 6" xfId="10794" xr:uid="{00000000-0005-0000-0000-0000A11A0000}"/>
    <cellStyle name="Comma 2 2 3 6 2 2 6 2" xfId="34073" xr:uid="{00000000-0005-0000-0000-0000A21A0000}"/>
    <cellStyle name="Comma 2 2 3 6 2 2 7" xfId="13242" xr:uid="{00000000-0005-0000-0000-0000A31A0000}"/>
    <cellStyle name="Comma 2 2 3 6 2 2 7 2" xfId="36521" xr:uid="{00000000-0005-0000-0000-0000A41A0000}"/>
    <cellStyle name="Comma 2 2 3 6 2 2 8" xfId="15713" xr:uid="{00000000-0005-0000-0000-0000A51A0000}"/>
    <cellStyle name="Comma 2 2 3 6 2 2 8 2" xfId="38991" xr:uid="{00000000-0005-0000-0000-0000A61A0000}"/>
    <cellStyle name="Comma 2 2 3 6 2 2 9" xfId="24281" xr:uid="{00000000-0005-0000-0000-0000A71A0000}"/>
    <cellStyle name="Comma 2 2 3 6 2 3" xfId="1614" xr:uid="{00000000-0005-0000-0000-0000A81A0000}"/>
    <cellStyle name="Comma 2 2 3 6 2 3 10" xfId="22445" xr:uid="{00000000-0005-0000-0000-0000A91A0000}"/>
    <cellStyle name="Comma 2 2 3 6 2 3 2" xfId="4062" xr:uid="{00000000-0005-0000-0000-0000AA1A0000}"/>
    <cellStyle name="Comma 2 2 3 6 2 3 2 2" xfId="19997" xr:uid="{00000000-0005-0000-0000-0000AB1A0000}"/>
    <cellStyle name="Comma 2 2 3 6 2 3 2 2 2" xfId="43275" xr:uid="{00000000-0005-0000-0000-0000AC1A0000}"/>
    <cellStyle name="Comma 2 2 3 6 2 3 2 3" xfId="48171" xr:uid="{00000000-0005-0000-0000-0000AD1A0000}"/>
    <cellStyle name="Comma 2 2 3 6 2 3 2 4" xfId="27341" xr:uid="{00000000-0005-0000-0000-0000AE1A0000}"/>
    <cellStyle name="Comma 2 2 3 6 2 3 3" xfId="6510" xr:uid="{00000000-0005-0000-0000-0000AF1A0000}"/>
    <cellStyle name="Comma 2 2 3 6 2 3 3 2" xfId="29789" xr:uid="{00000000-0005-0000-0000-0000B01A0000}"/>
    <cellStyle name="Comma 2 2 3 6 2 3 4" xfId="8958" xr:uid="{00000000-0005-0000-0000-0000B11A0000}"/>
    <cellStyle name="Comma 2 2 3 6 2 3 4 2" xfId="32237" xr:uid="{00000000-0005-0000-0000-0000B21A0000}"/>
    <cellStyle name="Comma 2 2 3 6 2 3 5" xfId="11406" xr:uid="{00000000-0005-0000-0000-0000B31A0000}"/>
    <cellStyle name="Comma 2 2 3 6 2 3 5 2" xfId="34685" xr:uid="{00000000-0005-0000-0000-0000B41A0000}"/>
    <cellStyle name="Comma 2 2 3 6 2 3 6" xfId="13854" xr:uid="{00000000-0005-0000-0000-0000B51A0000}"/>
    <cellStyle name="Comma 2 2 3 6 2 3 6 2" xfId="37133" xr:uid="{00000000-0005-0000-0000-0000B61A0000}"/>
    <cellStyle name="Comma 2 2 3 6 2 3 7" xfId="17549" xr:uid="{00000000-0005-0000-0000-0000B71A0000}"/>
    <cellStyle name="Comma 2 2 3 6 2 3 7 2" xfId="40827" xr:uid="{00000000-0005-0000-0000-0000B81A0000}"/>
    <cellStyle name="Comma 2 2 3 6 2 3 8" xfId="24893" xr:uid="{00000000-0005-0000-0000-0000B91A0000}"/>
    <cellStyle name="Comma 2 2 3 6 2 3 9" xfId="45723" xr:uid="{00000000-0005-0000-0000-0000BA1A0000}"/>
    <cellStyle name="Comma 2 2 3 6 2 4" xfId="2838" xr:uid="{00000000-0005-0000-0000-0000BB1A0000}"/>
    <cellStyle name="Comma 2 2 3 6 2 4 2" xfId="16325" xr:uid="{00000000-0005-0000-0000-0000BC1A0000}"/>
    <cellStyle name="Comma 2 2 3 6 2 4 2 2" xfId="39603" xr:uid="{00000000-0005-0000-0000-0000BD1A0000}"/>
    <cellStyle name="Comma 2 2 3 6 2 4 3" xfId="46947" xr:uid="{00000000-0005-0000-0000-0000BE1A0000}"/>
    <cellStyle name="Comma 2 2 3 6 2 4 4" xfId="26117" xr:uid="{00000000-0005-0000-0000-0000BF1A0000}"/>
    <cellStyle name="Comma 2 2 3 6 2 5" xfId="5286" xr:uid="{00000000-0005-0000-0000-0000C01A0000}"/>
    <cellStyle name="Comma 2 2 3 6 2 5 2" xfId="18773" xr:uid="{00000000-0005-0000-0000-0000C11A0000}"/>
    <cellStyle name="Comma 2 2 3 6 2 5 2 2" xfId="42051" xr:uid="{00000000-0005-0000-0000-0000C21A0000}"/>
    <cellStyle name="Comma 2 2 3 6 2 5 3" xfId="28565" xr:uid="{00000000-0005-0000-0000-0000C31A0000}"/>
    <cellStyle name="Comma 2 2 3 6 2 6" xfId="7734" xr:uid="{00000000-0005-0000-0000-0000C41A0000}"/>
    <cellStyle name="Comma 2 2 3 6 2 6 2" xfId="31013" xr:uid="{00000000-0005-0000-0000-0000C51A0000}"/>
    <cellStyle name="Comma 2 2 3 6 2 7" xfId="10182" xr:uid="{00000000-0005-0000-0000-0000C61A0000}"/>
    <cellStyle name="Comma 2 2 3 6 2 7 2" xfId="33461" xr:uid="{00000000-0005-0000-0000-0000C71A0000}"/>
    <cellStyle name="Comma 2 2 3 6 2 8" xfId="12630" xr:uid="{00000000-0005-0000-0000-0000C81A0000}"/>
    <cellStyle name="Comma 2 2 3 6 2 8 2" xfId="35909" xr:uid="{00000000-0005-0000-0000-0000C91A0000}"/>
    <cellStyle name="Comma 2 2 3 6 2 9" xfId="15101" xr:uid="{00000000-0005-0000-0000-0000CA1A0000}"/>
    <cellStyle name="Comma 2 2 3 6 2 9 2" xfId="38379" xr:uid="{00000000-0005-0000-0000-0000CB1A0000}"/>
    <cellStyle name="Comma 2 2 3 6 3" xfId="594" xr:uid="{00000000-0005-0000-0000-0000CC1A0000}"/>
    <cellStyle name="Comma 2 2 3 6 3 10" xfId="23873" xr:uid="{00000000-0005-0000-0000-0000CD1A0000}"/>
    <cellStyle name="Comma 2 2 3 6 3 11" xfId="44703" xr:uid="{00000000-0005-0000-0000-0000CE1A0000}"/>
    <cellStyle name="Comma 2 2 3 6 3 12" xfId="21425" xr:uid="{00000000-0005-0000-0000-0000CF1A0000}"/>
    <cellStyle name="Comma 2 2 3 6 3 2" xfId="1206" xr:uid="{00000000-0005-0000-0000-0000D01A0000}"/>
    <cellStyle name="Comma 2 2 3 6 3 2 10" xfId="45315" xr:uid="{00000000-0005-0000-0000-0000D11A0000}"/>
    <cellStyle name="Comma 2 2 3 6 3 2 11" xfId="22037" xr:uid="{00000000-0005-0000-0000-0000D21A0000}"/>
    <cellStyle name="Comma 2 2 3 6 3 2 2" xfId="2430" xr:uid="{00000000-0005-0000-0000-0000D31A0000}"/>
    <cellStyle name="Comma 2 2 3 6 3 2 2 10" xfId="23261" xr:uid="{00000000-0005-0000-0000-0000D41A0000}"/>
    <cellStyle name="Comma 2 2 3 6 3 2 2 2" xfId="4878" xr:uid="{00000000-0005-0000-0000-0000D51A0000}"/>
    <cellStyle name="Comma 2 2 3 6 3 2 2 2 2" xfId="20813" xr:uid="{00000000-0005-0000-0000-0000D61A0000}"/>
    <cellStyle name="Comma 2 2 3 6 3 2 2 2 2 2" xfId="44091" xr:uid="{00000000-0005-0000-0000-0000D71A0000}"/>
    <cellStyle name="Comma 2 2 3 6 3 2 2 2 3" xfId="48987" xr:uid="{00000000-0005-0000-0000-0000D81A0000}"/>
    <cellStyle name="Comma 2 2 3 6 3 2 2 2 4" xfId="28157" xr:uid="{00000000-0005-0000-0000-0000D91A0000}"/>
    <cellStyle name="Comma 2 2 3 6 3 2 2 3" xfId="7326" xr:uid="{00000000-0005-0000-0000-0000DA1A0000}"/>
    <cellStyle name="Comma 2 2 3 6 3 2 2 3 2" xfId="30605" xr:uid="{00000000-0005-0000-0000-0000DB1A0000}"/>
    <cellStyle name="Comma 2 2 3 6 3 2 2 4" xfId="9774" xr:uid="{00000000-0005-0000-0000-0000DC1A0000}"/>
    <cellStyle name="Comma 2 2 3 6 3 2 2 4 2" xfId="33053" xr:uid="{00000000-0005-0000-0000-0000DD1A0000}"/>
    <cellStyle name="Comma 2 2 3 6 3 2 2 5" xfId="12222" xr:uid="{00000000-0005-0000-0000-0000DE1A0000}"/>
    <cellStyle name="Comma 2 2 3 6 3 2 2 5 2" xfId="35501" xr:uid="{00000000-0005-0000-0000-0000DF1A0000}"/>
    <cellStyle name="Comma 2 2 3 6 3 2 2 6" xfId="14670" xr:uid="{00000000-0005-0000-0000-0000E01A0000}"/>
    <cellStyle name="Comma 2 2 3 6 3 2 2 6 2" xfId="37949" xr:uid="{00000000-0005-0000-0000-0000E11A0000}"/>
    <cellStyle name="Comma 2 2 3 6 3 2 2 7" xfId="18365" xr:uid="{00000000-0005-0000-0000-0000E21A0000}"/>
    <cellStyle name="Comma 2 2 3 6 3 2 2 7 2" xfId="41643" xr:uid="{00000000-0005-0000-0000-0000E31A0000}"/>
    <cellStyle name="Comma 2 2 3 6 3 2 2 8" xfId="25709" xr:uid="{00000000-0005-0000-0000-0000E41A0000}"/>
    <cellStyle name="Comma 2 2 3 6 3 2 2 9" xfId="46539" xr:uid="{00000000-0005-0000-0000-0000E51A0000}"/>
    <cellStyle name="Comma 2 2 3 6 3 2 3" xfId="3654" xr:uid="{00000000-0005-0000-0000-0000E61A0000}"/>
    <cellStyle name="Comma 2 2 3 6 3 2 3 2" xfId="17141" xr:uid="{00000000-0005-0000-0000-0000E71A0000}"/>
    <cellStyle name="Comma 2 2 3 6 3 2 3 2 2" xfId="40419" xr:uid="{00000000-0005-0000-0000-0000E81A0000}"/>
    <cellStyle name="Comma 2 2 3 6 3 2 3 3" xfId="47763" xr:uid="{00000000-0005-0000-0000-0000E91A0000}"/>
    <cellStyle name="Comma 2 2 3 6 3 2 3 4" xfId="26933" xr:uid="{00000000-0005-0000-0000-0000EA1A0000}"/>
    <cellStyle name="Comma 2 2 3 6 3 2 4" xfId="6102" xr:uid="{00000000-0005-0000-0000-0000EB1A0000}"/>
    <cellStyle name="Comma 2 2 3 6 3 2 4 2" xfId="19589" xr:uid="{00000000-0005-0000-0000-0000EC1A0000}"/>
    <cellStyle name="Comma 2 2 3 6 3 2 4 2 2" xfId="42867" xr:uid="{00000000-0005-0000-0000-0000ED1A0000}"/>
    <cellStyle name="Comma 2 2 3 6 3 2 4 3" xfId="29381" xr:uid="{00000000-0005-0000-0000-0000EE1A0000}"/>
    <cellStyle name="Comma 2 2 3 6 3 2 5" xfId="8550" xr:uid="{00000000-0005-0000-0000-0000EF1A0000}"/>
    <cellStyle name="Comma 2 2 3 6 3 2 5 2" xfId="31829" xr:uid="{00000000-0005-0000-0000-0000F01A0000}"/>
    <cellStyle name="Comma 2 2 3 6 3 2 6" xfId="10998" xr:uid="{00000000-0005-0000-0000-0000F11A0000}"/>
    <cellStyle name="Comma 2 2 3 6 3 2 6 2" xfId="34277" xr:uid="{00000000-0005-0000-0000-0000F21A0000}"/>
    <cellStyle name="Comma 2 2 3 6 3 2 7" xfId="13446" xr:uid="{00000000-0005-0000-0000-0000F31A0000}"/>
    <cellStyle name="Comma 2 2 3 6 3 2 7 2" xfId="36725" xr:uid="{00000000-0005-0000-0000-0000F41A0000}"/>
    <cellStyle name="Comma 2 2 3 6 3 2 8" xfId="15917" xr:uid="{00000000-0005-0000-0000-0000F51A0000}"/>
    <cellStyle name="Comma 2 2 3 6 3 2 8 2" xfId="39195" xr:uid="{00000000-0005-0000-0000-0000F61A0000}"/>
    <cellStyle name="Comma 2 2 3 6 3 2 9" xfId="24485" xr:uid="{00000000-0005-0000-0000-0000F71A0000}"/>
    <cellStyle name="Comma 2 2 3 6 3 3" xfId="1818" xr:uid="{00000000-0005-0000-0000-0000F81A0000}"/>
    <cellStyle name="Comma 2 2 3 6 3 3 10" xfId="22649" xr:uid="{00000000-0005-0000-0000-0000F91A0000}"/>
    <cellStyle name="Comma 2 2 3 6 3 3 2" xfId="4266" xr:uid="{00000000-0005-0000-0000-0000FA1A0000}"/>
    <cellStyle name="Comma 2 2 3 6 3 3 2 2" xfId="20201" xr:uid="{00000000-0005-0000-0000-0000FB1A0000}"/>
    <cellStyle name="Comma 2 2 3 6 3 3 2 2 2" xfId="43479" xr:uid="{00000000-0005-0000-0000-0000FC1A0000}"/>
    <cellStyle name="Comma 2 2 3 6 3 3 2 3" xfId="48375" xr:uid="{00000000-0005-0000-0000-0000FD1A0000}"/>
    <cellStyle name="Comma 2 2 3 6 3 3 2 4" xfId="27545" xr:uid="{00000000-0005-0000-0000-0000FE1A0000}"/>
    <cellStyle name="Comma 2 2 3 6 3 3 3" xfId="6714" xr:uid="{00000000-0005-0000-0000-0000FF1A0000}"/>
    <cellStyle name="Comma 2 2 3 6 3 3 3 2" xfId="29993" xr:uid="{00000000-0005-0000-0000-0000001B0000}"/>
    <cellStyle name="Comma 2 2 3 6 3 3 4" xfId="9162" xr:uid="{00000000-0005-0000-0000-0000011B0000}"/>
    <cellStyle name="Comma 2 2 3 6 3 3 4 2" xfId="32441" xr:uid="{00000000-0005-0000-0000-0000021B0000}"/>
    <cellStyle name="Comma 2 2 3 6 3 3 5" xfId="11610" xr:uid="{00000000-0005-0000-0000-0000031B0000}"/>
    <cellStyle name="Comma 2 2 3 6 3 3 5 2" xfId="34889" xr:uid="{00000000-0005-0000-0000-0000041B0000}"/>
    <cellStyle name="Comma 2 2 3 6 3 3 6" xfId="14058" xr:uid="{00000000-0005-0000-0000-0000051B0000}"/>
    <cellStyle name="Comma 2 2 3 6 3 3 6 2" xfId="37337" xr:uid="{00000000-0005-0000-0000-0000061B0000}"/>
    <cellStyle name="Comma 2 2 3 6 3 3 7" xfId="17753" xr:uid="{00000000-0005-0000-0000-0000071B0000}"/>
    <cellStyle name="Comma 2 2 3 6 3 3 7 2" xfId="41031" xr:uid="{00000000-0005-0000-0000-0000081B0000}"/>
    <cellStyle name="Comma 2 2 3 6 3 3 8" xfId="25097" xr:uid="{00000000-0005-0000-0000-0000091B0000}"/>
    <cellStyle name="Comma 2 2 3 6 3 3 9" xfId="45927" xr:uid="{00000000-0005-0000-0000-00000A1B0000}"/>
    <cellStyle name="Comma 2 2 3 6 3 4" xfId="3042" xr:uid="{00000000-0005-0000-0000-00000B1B0000}"/>
    <cellStyle name="Comma 2 2 3 6 3 4 2" xfId="16529" xr:uid="{00000000-0005-0000-0000-00000C1B0000}"/>
    <cellStyle name="Comma 2 2 3 6 3 4 2 2" xfId="39807" xr:uid="{00000000-0005-0000-0000-00000D1B0000}"/>
    <cellStyle name="Comma 2 2 3 6 3 4 3" xfId="47151" xr:uid="{00000000-0005-0000-0000-00000E1B0000}"/>
    <cellStyle name="Comma 2 2 3 6 3 4 4" xfId="26321" xr:uid="{00000000-0005-0000-0000-00000F1B0000}"/>
    <cellStyle name="Comma 2 2 3 6 3 5" xfId="5490" xr:uid="{00000000-0005-0000-0000-0000101B0000}"/>
    <cellStyle name="Comma 2 2 3 6 3 5 2" xfId="18977" xr:uid="{00000000-0005-0000-0000-0000111B0000}"/>
    <cellStyle name="Comma 2 2 3 6 3 5 2 2" xfId="42255" xr:uid="{00000000-0005-0000-0000-0000121B0000}"/>
    <cellStyle name="Comma 2 2 3 6 3 5 3" xfId="28769" xr:uid="{00000000-0005-0000-0000-0000131B0000}"/>
    <cellStyle name="Comma 2 2 3 6 3 6" xfId="7938" xr:uid="{00000000-0005-0000-0000-0000141B0000}"/>
    <cellStyle name="Comma 2 2 3 6 3 6 2" xfId="31217" xr:uid="{00000000-0005-0000-0000-0000151B0000}"/>
    <cellStyle name="Comma 2 2 3 6 3 7" xfId="10386" xr:uid="{00000000-0005-0000-0000-0000161B0000}"/>
    <cellStyle name="Comma 2 2 3 6 3 7 2" xfId="33665" xr:uid="{00000000-0005-0000-0000-0000171B0000}"/>
    <cellStyle name="Comma 2 2 3 6 3 8" xfId="12834" xr:uid="{00000000-0005-0000-0000-0000181B0000}"/>
    <cellStyle name="Comma 2 2 3 6 3 8 2" xfId="36113" xr:uid="{00000000-0005-0000-0000-0000191B0000}"/>
    <cellStyle name="Comma 2 2 3 6 3 9" xfId="15305" xr:uid="{00000000-0005-0000-0000-00001A1B0000}"/>
    <cellStyle name="Comma 2 2 3 6 3 9 2" xfId="38583" xr:uid="{00000000-0005-0000-0000-00001B1B0000}"/>
    <cellStyle name="Comma 2 2 3 6 4" xfId="798" xr:uid="{00000000-0005-0000-0000-00001C1B0000}"/>
    <cellStyle name="Comma 2 2 3 6 4 10" xfId="44907" xr:uid="{00000000-0005-0000-0000-00001D1B0000}"/>
    <cellStyle name="Comma 2 2 3 6 4 11" xfId="21629" xr:uid="{00000000-0005-0000-0000-00001E1B0000}"/>
    <cellStyle name="Comma 2 2 3 6 4 2" xfId="2022" xr:uid="{00000000-0005-0000-0000-00001F1B0000}"/>
    <cellStyle name="Comma 2 2 3 6 4 2 10" xfId="22853" xr:uid="{00000000-0005-0000-0000-0000201B0000}"/>
    <cellStyle name="Comma 2 2 3 6 4 2 2" xfId="4470" xr:uid="{00000000-0005-0000-0000-0000211B0000}"/>
    <cellStyle name="Comma 2 2 3 6 4 2 2 2" xfId="20405" xr:uid="{00000000-0005-0000-0000-0000221B0000}"/>
    <cellStyle name="Comma 2 2 3 6 4 2 2 2 2" xfId="43683" xr:uid="{00000000-0005-0000-0000-0000231B0000}"/>
    <cellStyle name="Comma 2 2 3 6 4 2 2 3" xfId="48579" xr:uid="{00000000-0005-0000-0000-0000241B0000}"/>
    <cellStyle name="Comma 2 2 3 6 4 2 2 4" xfId="27749" xr:uid="{00000000-0005-0000-0000-0000251B0000}"/>
    <cellStyle name="Comma 2 2 3 6 4 2 3" xfId="6918" xr:uid="{00000000-0005-0000-0000-0000261B0000}"/>
    <cellStyle name="Comma 2 2 3 6 4 2 3 2" xfId="30197" xr:uid="{00000000-0005-0000-0000-0000271B0000}"/>
    <cellStyle name="Comma 2 2 3 6 4 2 4" xfId="9366" xr:uid="{00000000-0005-0000-0000-0000281B0000}"/>
    <cellStyle name="Comma 2 2 3 6 4 2 4 2" xfId="32645" xr:uid="{00000000-0005-0000-0000-0000291B0000}"/>
    <cellStyle name="Comma 2 2 3 6 4 2 5" xfId="11814" xr:uid="{00000000-0005-0000-0000-00002A1B0000}"/>
    <cellStyle name="Comma 2 2 3 6 4 2 5 2" xfId="35093" xr:uid="{00000000-0005-0000-0000-00002B1B0000}"/>
    <cellStyle name="Comma 2 2 3 6 4 2 6" xfId="14262" xr:uid="{00000000-0005-0000-0000-00002C1B0000}"/>
    <cellStyle name="Comma 2 2 3 6 4 2 6 2" xfId="37541" xr:uid="{00000000-0005-0000-0000-00002D1B0000}"/>
    <cellStyle name="Comma 2 2 3 6 4 2 7" xfId="17957" xr:uid="{00000000-0005-0000-0000-00002E1B0000}"/>
    <cellStyle name="Comma 2 2 3 6 4 2 7 2" xfId="41235" xr:uid="{00000000-0005-0000-0000-00002F1B0000}"/>
    <cellStyle name="Comma 2 2 3 6 4 2 8" xfId="25301" xr:uid="{00000000-0005-0000-0000-0000301B0000}"/>
    <cellStyle name="Comma 2 2 3 6 4 2 9" xfId="46131" xr:uid="{00000000-0005-0000-0000-0000311B0000}"/>
    <cellStyle name="Comma 2 2 3 6 4 3" xfId="3246" xr:uid="{00000000-0005-0000-0000-0000321B0000}"/>
    <cellStyle name="Comma 2 2 3 6 4 3 2" xfId="16733" xr:uid="{00000000-0005-0000-0000-0000331B0000}"/>
    <cellStyle name="Comma 2 2 3 6 4 3 2 2" xfId="40011" xr:uid="{00000000-0005-0000-0000-0000341B0000}"/>
    <cellStyle name="Comma 2 2 3 6 4 3 3" xfId="47355" xr:uid="{00000000-0005-0000-0000-0000351B0000}"/>
    <cellStyle name="Comma 2 2 3 6 4 3 4" xfId="26525" xr:uid="{00000000-0005-0000-0000-0000361B0000}"/>
    <cellStyle name="Comma 2 2 3 6 4 4" xfId="5694" xr:uid="{00000000-0005-0000-0000-0000371B0000}"/>
    <cellStyle name="Comma 2 2 3 6 4 4 2" xfId="19181" xr:uid="{00000000-0005-0000-0000-0000381B0000}"/>
    <cellStyle name="Comma 2 2 3 6 4 4 2 2" xfId="42459" xr:uid="{00000000-0005-0000-0000-0000391B0000}"/>
    <cellStyle name="Comma 2 2 3 6 4 4 3" xfId="28973" xr:uid="{00000000-0005-0000-0000-00003A1B0000}"/>
    <cellStyle name="Comma 2 2 3 6 4 5" xfId="8142" xr:uid="{00000000-0005-0000-0000-00003B1B0000}"/>
    <cellStyle name="Comma 2 2 3 6 4 5 2" xfId="31421" xr:uid="{00000000-0005-0000-0000-00003C1B0000}"/>
    <cellStyle name="Comma 2 2 3 6 4 6" xfId="10590" xr:uid="{00000000-0005-0000-0000-00003D1B0000}"/>
    <cellStyle name="Comma 2 2 3 6 4 6 2" xfId="33869" xr:uid="{00000000-0005-0000-0000-00003E1B0000}"/>
    <cellStyle name="Comma 2 2 3 6 4 7" xfId="13038" xr:uid="{00000000-0005-0000-0000-00003F1B0000}"/>
    <cellStyle name="Comma 2 2 3 6 4 7 2" xfId="36317" xr:uid="{00000000-0005-0000-0000-0000401B0000}"/>
    <cellStyle name="Comma 2 2 3 6 4 8" xfId="15509" xr:uid="{00000000-0005-0000-0000-0000411B0000}"/>
    <cellStyle name="Comma 2 2 3 6 4 8 2" xfId="38787" xr:uid="{00000000-0005-0000-0000-0000421B0000}"/>
    <cellStyle name="Comma 2 2 3 6 4 9" xfId="24077" xr:uid="{00000000-0005-0000-0000-0000431B0000}"/>
    <cellStyle name="Comma 2 2 3 6 5" xfId="1410" xr:uid="{00000000-0005-0000-0000-0000441B0000}"/>
    <cellStyle name="Comma 2 2 3 6 5 10" xfId="22241" xr:uid="{00000000-0005-0000-0000-0000451B0000}"/>
    <cellStyle name="Comma 2 2 3 6 5 2" xfId="3858" xr:uid="{00000000-0005-0000-0000-0000461B0000}"/>
    <cellStyle name="Comma 2 2 3 6 5 2 2" xfId="19793" xr:uid="{00000000-0005-0000-0000-0000471B0000}"/>
    <cellStyle name="Comma 2 2 3 6 5 2 2 2" xfId="43071" xr:uid="{00000000-0005-0000-0000-0000481B0000}"/>
    <cellStyle name="Comma 2 2 3 6 5 2 3" xfId="47967" xr:uid="{00000000-0005-0000-0000-0000491B0000}"/>
    <cellStyle name="Comma 2 2 3 6 5 2 4" xfId="27137" xr:uid="{00000000-0005-0000-0000-00004A1B0000}"/>
    <cellStyle name="Comma 2 2 3 6 5 3" xfId="6306" xr:uid="{00000000-0005-0000-0000-00004B1B0000}"/>
    <cellStyle name="Comma 2 2 3 6 5 3 2" xfId="29585" xr:uid="{00000000-0005-0000-0000-00004C1B0000}"/>
    <cellStyle name="Comma 2 2 3 6 5 4" xfId="8754" xr:uid="{00000000-0005-0000-0000-00004D1B0000}"/>
    <cellStyle name="Comma 2 2 3 6 5 4 2" xfId="32033" xr:uid="{00000000-0005-0000-0000-00004E1B0000}"/>
    <cellStyle name="Comma 2 2 3 6 5 5" xfId="11202" xr:uid="{00000000-0005-0000-0000-00004F1B0000}"/>
    <cellStyle name="Comma 2 2 3 6 5 5 2" xfId="34481" xr:uid="{00000000-0005-0000-0000-0000501B0000}"/>
    <cellStyle name="Comma 2 2 3 6 5 6" xfId="13650" xr:uid="{00000000-0005-0000-0000-0000511B0000}"/>
    <cellStyle name="Comma 2 2 3 6 5 6 2" xfId="36929" xr:uid="{00000000-0005-0000-0000-0000521B0000}"/>
    <cellStyle name="Comma 2 2 3 6 5 7" xfId="17345" xr:uid="{00000000-0005-0000-0000-0000531B0000}"/>
    <cellStyle name="Comma 2 2 3 6 5 7 2" xfId="40623" xr:uid="{00000000-0005-0000-0000-0000541B0000}"/>
    <cellStyle name="Comma 2 2 3 6 5 8" xfId="24689" xr:uid="{00000000-0005-0000-0000-0000551B0000}"/>
    <cellStyle name="Comma 2 2 3 6 5 9" xfId="45519" xr:uid="{00000000-0005-0000-0000-0000561B0000}"/>
    <cellStyle name="Comma 2 2 3 6 6" xfId="2634" xr:uid="{00000000-0005-0000-0000-0000571B0000}"/>
    <cellStyle name="Comma 2 2 3 6 6 2" xfId="16121" xr:uid="{00000000-0005-0000-0000-0000581B0000}"/>
    <cellStyle name="Comma 2 2 3 6 6 2 2" xfId="39399" xr:uid="{00000000-0005-0000-0000-0000591B0000}"/>
    <cellStyle name="Comma 2 2 3 6 6 3" xfId="46743" xr:uid="{00000000-0005-0000-0000-00005A1B0000}"/>
    <cellStyle name="Comma 2 2 3 6 6 4" xfId="25913" xr:uid="{00000000-0005-0000-0000-00005B1B0000}"/>
    <cellStyle name="Comma 2 2 3 6 7" xfId="5082" xr:uid="{00000000-0005-0000-0000-00005C1B0000}"/>
    <cellStyle name="Comma 2 2 3 6 7 2" xfId="18569" xr:uid="{00000000-0005-0000-0000-00005D1B0000}"/>
    <cellStyle name="Comma 2 2 3 6 7 2 2" xfId="41847" xr:uid="{00000000-0005-0000-0000-00005E1B0000}"/>
    <cellStyle name="Comma 2 2 3 6 7 3" xfId="28361" xr:uid="{00000000-0005-0000-0000-00005F1B0000}"/>
    <cellStyle name="Comma 2 2 3 6 8" xfId="7530" xr:uid="{00000000-0005-0000-0000-0000601B0000}"/>
    <cellStyle name="Comma 2 2 3 6 8 2" xfId="30809" xr:uid="{00000000-0005-0000-0000-0000611B0000}"/>
    <cellStyle name="Comma 2 2 3 6 9" xfId="9978" xr:uid="{00000000-0005-0000-0000-0000621B0000}"/>
    <cellStyle name="Comma 2 2 3 6 9 2" xfId="33257" xr:uid="{00000000-0005-0000-0000-0000631B0000}"/>
    <cellStyle name="Comma 2 2 3 7" xfId="254" xr:uid="{00000000-0005-0000-0000-0000641B0000}"/>
    <cellStyle name="Comma 2 2 3 7 10" xfId="23533" xr:uid="{00000000-0005-0000-0000-0000651B0000}"/>
    <cellStyle name="Comma 2 2 3 7 11" xfId="44363" xr:uid="{00000000-0005-0000-0000-0000661B0000}"/>
    <cellStyle name="Comma 2 2 3 7 12" xfId="21085" xr:uid="{00000000-0005-0000-0000-0000671B0000}"/>
    <cellStyle name="Comma 2 2 3 7 2" xfId="866" xr:uid="{00000000-0005-0000-0000-0000681B0000}"/>
    <cellStyle name="Comma 2 2 3 7 2 10" xfId="44975" xr:uid="{00000000-0005-0000-0000-0000691B0000}"/>
    <cellStyle name="Comma 2 2 3 7 2 11" xfId="21697" xr:uid="{00000000-0005-0000-0000-00006A1B0000}"/>
    <cellStyle name="Comma 2 2 3 7 2 2" xfId="2090" xr:uid="{00000000-0005-0000-0000-00006B1B0000}"/>
    <cellStyle name="Comma 2 2 3 7 2 2 10" xfId="22921" xr:uid="{00000000-0005-0000-0000-00006C1B0000}"/>
    <cellStyle name="Comma 2 2 3 7 2 2 2" xfId="4538" xr:uid="{00000000-0005-0000-0000-00006D1B0000}"/>
    <cellStyle name="Comma 2 2 3 7 2 2 2 2" xfId="20473" xr:uid="{00000000-0005-0000-0000-00006E1B0000}"/>
    <cellStyle name="Comma 2 2 3 7 2 2 2 2 2" xfId="43751" xr:uid="{00000000-0005-0000-0000-00006F1B0000}"/>
    <cellStyle name="Comma 2 2 3 7 2 2 2 3" xfId="48647" xr:uid="{00000000-0005-0000-0000-0000701B0000}"/>
    <cellStyle name="Comma 2 2 3 7 2 2 2 4" xfId="27817" xr:uid="{00000000-0005-0000-0000-0000711B0000}"/>
    <cellStyle name="Comma 2 2 3 7 2 2 3" xfId="6986" xr:uid="{00000000-0005-0000-0000-0000721B0000}"/>
    <cellStyle name="Comma 2 2 3 7 2 2 3 2" xfId="30265" xr:uid="{00000000-0005-0000-0000-0000731B0000}"/>
    <cellStyle name="Comma 2 2 3 7 2 2 4" xfId="9434" xr:uid="{00000000-0005-0000-0000-0000741B0000}"/>
    <cellStyle name="Comma 2 2 3 7 2 2 4 2" xfId="32713" xr:uid="{00000000-0005-0000-0000-0000751B0000}"/>
    <cellStyle name="Comma 2 2 3 7 2 2 5" xfId="11882" xr:uid="{00000000-0005-0000-0000-0000761B0000}"/>
    <cellStyle name="Comma 2 2 3 7 2 2 5 2" xfId="35161" xr:uid="{00000000-0005-0000-0000-0000771B0000}"/>
    <cellStyle name="Comma 2 2 3 7 2 2 6" xfId="14330" xr:uid="{00000000-0005-0000-0000-0000781B0000}"/>
    <cellStyle name="Comma 2 2 3 7 2 2 6 2" xfId="37609" xr:uid="{00000000-0005-0000-0000-0000791B0000}"/>
    <cellStyle name="Comma 2 2 3 7 2 2 7" xfId="18025" xr:uid="{00000000-0005-0000-0000-00007A1B0000}"/>
    <cellStyle name="Comma 2 2 3 7 2 2 7 2" xfId="41303" xr:uid="{00000000-0005-0000-0000-00007B1B0000}"/>
    <cellStyle name="Comma 2 2 3 7 2 2 8" xfId="25369" xr:uid="{00000000-0005-0000-0000-00007C1B0000}"/>
    <cellStyle name="Comma 2 2 3 7 2 2 9" xfId="46199" xr:uid="{00000000-0005-0000-0000-00007D1B0000}"/>
    <cellStyle name="Comma 2 2 3 7 2 3" xfId="3314" xr:uid="{00000000-0005-0000-0000-00007E1B0000}"/>
    <cellStyle name="Comma 2 2 3 7 2 3 2" xfId="16801" xr:uid="{00000000-0005-0000-0000-00007F1B0000}"/>
    <cellStyle name="Comma 2 2 3 7 2 3 2 2" xfId="40079" xr:uid="{00000000-0005-0000-0000-0000801B0000}"/>
    <cellStyle name="Comma 2 2 3 7 2 3 3" xfId="47423" xr:uid="{00000000-0005-0000-0000-0000811B0000}"/>
    <cellStyle name="Comma 2 2 3 7 2 3 4" xfId="26593" xr:uid="{00000000-0005-0000-0000-0000821B0000}"/>
    <cellStyle name="Comma 2 2 3 7 2 4" xfId="5762" xr:uid="{00000000-0005-0000-0000-0000831B0000}"/>
    <cellStyle name="Comma 2 2 3 7 2 4 2" xfId="19249" xr:uid="{00000000-0005-0000-0000-0000841B0000}"/>
    <cellStyle name="Comma 2 2 3 7 2 4 2 2" xfId="42527" xr:uid="{00000000-0005-0000-0000-0000851B0000}"/>
    <cellStyle name="Comma 2 2 3 7 2 4 3" xfId="29041" xr:uid="{00000000-0005-0000-0000-0000861B0000}"/>
    <cellStyle name="Comma 2 2 3 7 2 5" xfId="8210" xr:uid="{00000000-0005-0000-0000-0000871B0000}"/>
    <cellStyle name="Comma 2 2 3 7 2 5 2" xfId="31489" xr:uid="{00000000-0005-0000-0000-0000881B0000}"/>
    <cellStyle name="Comma 2 2 3 7 2 6" xfId="10658" xr:uid="{00000000-0005-0000-0000-0000891B0000}"/>
    <cellStyle name="Comma 2 2 3 7 2 6 2" xfId="33937" xr:uid="{00000000-0005-0000-0000-00008A1B0000}"/>
    <cellStyle name="Comma 2 2 3 7 2 7" xfId="13106" xr:uid="{00000000-0005-0000-0000-00008B1B0000}"/>
    <cellStyle name="Comma 2 2 3 7 2 7 2" xfId="36385" xr:uid="{00000000-0005-0000-0000-00008C1B0000}"/>
    <cellStyle name="Comma 2 2 3 7 2 8" xfId="15577" xr:uid="{00000000-0005-0000-0000-00008D1B0000}"/>
    <cellStyle name="Comma 2 2 3 7 2 8 2" xfId="38855" xr:uid="{00000000-0005-0000-0000-00008E1B0000}"/>
    <cellStyle name="Comma 2 2 3 7 2 9" xfId="24145" xr:uid="{00000000-0005-0000-0000-00008F1B0000}"/>
    <cellStyle name="Comma 2 2 3 7 3" xfId="1478" xr:uid="{00000000-0005-0000-0000-0000901B0000}"/>
    <cellStyle name="Comma 2 2 3 7 3 10" xfId="22309" xr:uid="{00000000-0005-0000-0000-0000911B0000}"/>
    <cellStyle name="Comma 2 2 3 7 3 2" xfId="3926" xr:uid="{00000000-0005-0000-0000-0000921B0000}"/>
    <cellStyle name="Comma 2 2 3 7 3 2 2" xfId="19861" xr:uid="{00000000-0005-0000-0000-0000931B0000}"/>
    <cellStyle name="Comma 2 2 3 7 3 2 2 2" xfId="43139" xr:uid="{00000000-0005-0000-0000-0000941B0000}"/>
    <cellStyle name="Comma 2 2 3 7 3 2 3" xfId="48035" xr:uid="{00000000-0005-0000-0000-0000951B0000}"/>
    <cellStyle name="Comma 2 2 3 7 3 2 4" xfId="27205" xr:uid="{00000000-0005-0000-0000-0000961B0000}"/>
    <cellStyle name="Comma 2 2 3 7 3 3" xfId="6374" xr:uid="{00000000-0005-0000-0000-0000971B0000}"/>
    <cellStyle name="Comma 2 2 3 7 3 3 2" xfId="29653" xr:uid="{00000000-0005-0000-0000-0000981B0000}"/>
    <cellStyle name="Comma 2 2 3 7 3 4" xfId="8822" xr:uid="{00000000-0005-0000-0000-0000991B0000}"/>
    <cellStyle name="Comma 2 2 3 7 3 4 2" xfId="32101" xr:uid="{00000000-0005-0000-0000-00009A1B0000}"/>
    <cellStyle name="Comma 2 2 3 7 3 5" xfId="11270" xr:uid="{00000000-0005-0000-0000-00009B1B0000}"/>
    <cellStyle name="Comma 2 2 3 7 3 5 2" xfId="34549" xr:uid="{00000000-0005-0000-0000-00009C1B0000}"/>
    <cellStyle name="Comma 2 2 3 7 3 6" xfId="13718" xr:uid="{00000000-0005-0000-0000-00009D1B0000}"/>
    <cellStyle name="Comma 2 2 3 7 3 6 2" xfId="36997" xr:uid="{00000000-0005-0000-0000-00009E1B0000}"/>
    <cellStyle name="Comma 2 2 3 7 3 7" xfId="17413" xr:uid="{00000000-0005-0000-0000-00009F1B0000}"/>
    <cellStyle name="Comma 2 2 3 7 3 7 2" xfId="40691" xr:uid="{00000000-0005-0000-0000-0000A01B0000}"/>
    <cellStyle name="Comma 2 2 3 7 3 8" xfId="24757" xr:uid="{00000000-0005-0000-0000-0000A11B0000}"/>
    <cellStyle name="Comma 2 2 3 7 3 9" xfId="45587" xr:uid="{00000000-0005-0000-0000-0000A21B0000}"/>
    <cellStyle name="Comma 2 2 3 7 4" xfId="2702" xr:uid="{00000000-0005-0000-0000-0000A31B0000}"/>
    <cellStyle name="Comma 2 2 3 7 4 2" xfId="16189" xr:uid="{00000000-0005-0000-0000-0000A41B0000}"/>
    <cellStyle name="Comma 2 2 3 7 4 2 2" xfId="39467" xr:uid="{00000000-0005-0000-0000-0000A51B0000}"/>
    <cellStyle name="Comma 2 2 3 7 4 3" xfId="46811" xr:uid="{00000000-0005-0000-0000-0000A61B0000}"/>
    <cellStyle name="Comma 2 2 3 7 4 4" xfId="25981" xr:uid="{00000000-0005-0000-0000-0000A71B0000}"/>
    <cellStyle name="Comma 2 2 3 7 5" xfId="5150" xr:uid="{00000000-0005-0000-0000-0000A81B0000}"/>
    <cellStyle name="Comma 2 2 3 7 5 2" xfId="18637" xr:uid="{00000000-0005-0000-0000-0000A91B0000}"/>
    <cellStyle name="Comma 2 2 3 7 5 2 2" xfId="41915" xr:uid="{00000000-0005-0000-0000-0000AA1B0000}"/>
    <cellStyle name="Comma 2 2 3 7 5 3" xfId="28429" xr:uid="{00000000-0005-0000-0000-0000AB1B0000}"/>
    <cellStyle name="Comma 2 2 3 7 6" xfId="7598" xr:uid="{00000000-0005-0000-0000-0000AC1B0000}"/>
    <cellStyle name="Comma 2 2 3 7 6 2" xfId="30877" xr:uid="{00000000-0005-0000-0000-0000AD1B0000}"/>
    <cellStyle name="Comma 2 2 3 7 7" xfId="10046" xr:uid="{00000000-0005-0000-0000-0000AE1B0000}"/>
    <cellStyle name="Comma 2 2 3 7 7 2" xfId="33325" xr:uid="{00000000-0005-0000-0000-0000AF1B0000}"/>
    <cellStyle name="Comma 2 2 3 7 8" xfId="12494" xr:uid="{00000000-0005-0000-0000-0000B01B0000}"/>
    <cellStyle name="Comma 2 2 3 7 8 2" xfId="35773" xr:uid="{00000000-0005-0000-0000-0000B11B0000}"/>
    <cellStyle name="Comma 2 2 3 7 9" xfId="14965" xr:uid="{00000000-0005-0000-0000-0000B21B0000}"/>
    <cellStyle name="Comma 2 2 3 7 9 2" xfId="38243" xr:uid="{00000000-0005-0000-0000-0000B31B0000}"/>
    <cellStyle name="Comma 2 2 3 8" xfId="458" xr:uid="{00000000-0005-0000-0000-0000B41B0000}"/>
    <cellStyle name="Comma 2 2 3 8 10" xfId="23737" xr:uid="{00000000-0005-0000-0000-0000B51B0000}"/>
    <cellStyle name="Comma 2 2 3 8 11" xfId="44567" xr:uid="{00000000-0005-0000-0000-0000B61B0000}"/>
    <cellStyle name="Comma 2 2 3 8 12" xfId="21289" xr:uid="{00000000-0005-0000-0000-0000B71B0000}"/>
    <cellStyle name="Comma 2 2 3 8 2" xfId="1070" xr:uid="{00000000-0005-0000-0000-0000B81B0000}"/>
    <cellStyle name="Comma 2 2 3 8 2 10" xfId="45179" xr:uid="{00000000-0005-0000-0000-0000B91B0000}"/>
    <cellStyle name="Comma 2 2 3 8 2 11" xfId="21901" xr:uid="{00000000-0005-0000-0000-0000BA1B0000}"/>
    <cellStyle name="Comma 2 2 3 8 2 2" xfId="2294" xr:uid="{00000000-0005-0000-0000-0000BB1B0000}"/>
    <cellStyle name="Comma 2 2 3 8 2 2 10" xfId="23125" xr:uid="{00000000-0005-0000-0000-0000BC1B0000}"/>
    <cellStyle name="Comma 2 2 3 8 2 2 2" xfId="4742" xr:uid="{00000000-0005-0000-0000-0000BD1B0000}"/>
    <cellStyle name="Comma 2 2 3 8 2 2 2 2" xfId="20677" xr:uid="{00000000-0005-0000-0000-0000BE1B0000}"/>
    <cellStyle name="Comma 2 2 3 8 2 2 2 2 2" xfId="43955" xr:uid="{00000000-0005-0000-0000-0000BF1B0000}"/>
    <cellStyle name="Comma 2 2 3 8 2 2 2 3" xfId="48851" xr:uid="{00000000-0005-0000-0000-0000C01B0000}"/>
    <cellStyle name="Comma 2 2 3 8 2 2 2 4" xfId="28021" xr:uid="{00000000-0005-0000-0000-0000C11B0000}"/>
    <cellStyle name="Comma 2 2 3 8 2 2 3" xfId="7190" xr:uid="{00000000-0005-0000-0000-0000C21B0000}"/>
    <cellStyle name="Comma 2 2 3 8 2 2 3 2" xfId="30469" xr:uid="{00000000-0005-0000-0000-0000C31B0000}"/>
    <cellStyle name="Comma 2 2 3 8 2 2 4" xfId="9638" xr:uid="{00000000-0005-0000-0000-0000C41B0000}"/>
    <cellStyle name="Comma 2 2 3 8 2 2 4 2" xfId="32917" xr:uid="{00000000-0005-0000-0000-0000C51B0000}"/>
    <cellStyle name="Comma 2 2 3 8 2 2 5" xfId="12086" xr:uid="{00000000-0005-0000-0000-0000C61B0000}"/>
    <cellStyle name="Comma 2 2 3 8 2 2 5 2" xfId="35365" xr:uid="{00000000-0005-0000-0000-0000C71B0000}"/>
    <cellStyle name="Comma 2 2 3 8 2 2 6" xfId="14534" xr:uid="{00000000-0005-0000-0000-0000C81B0000}"/>
    <cellStyle name="Comma 2 2 3 8 2 2 6 2" xfId="37813" xr:uid="{00000000-0005-0000-0000-0000C91B0000}"/>
    <cellStyle name="Comma 2 2 3 8 2 2 7" xfId="18229" xr:uid="{00000000-0005-0000-0000-0000CA1B0000}"/>
    <cellStyle name="Comma 2 2 3 8 2 2 7 2" xfId="41507" xr:uid="{00000000-0005-0000-0000-0000CB1B0000}"/>
    <cellStyle name="Comma 2 2 3 8 2 2 8" xfId="25573" xr:uid="{00000000-0005-0000-0000-0000CC1B0000}"/>
    <cellStyle name="Comma 2 2 3 8 2 2 9" xfId="46403" xr:uid="{00000000-0005-0000-0000-0000CD1B0000}"/>
    <cellStyle name="Comma 2 2 3 8 2 3" xfId="3518" xr:uid="{00000000-0005-0000-0000-0000CE1B0000}"/>
    <cellStyle name="Comma 2 2 3 8 2 3 2" xfId="17005" xr:uid="{00000000-0005-0000-0000-0000CF1B0000}"/>
    <cellStyle name="Comma 2 2 3 8 2 3 2 2" xfId="40283" xr:uid="{00000000-0005-0000-0000-0000D01B0000}"/>
    <cellStyle name="Comma 2 2 3 8 2 3 3" xfId="47627" xr:uid="{00000000-0005-0000-0000-0000D11B0000}"/>
    <cellStyle name="Comma 2 2 3 8 2 3 4" xfId="26797" xr:uid="{00000000-0005-0000-0000-0000D21B0000}"/>
    <cellStyle name="Comma 2 2 3 8 2 4" xfId="5966" xr:uid="{00000000-0005-0000-0000-0000D31B0000}"/>
    <cellStyle name="Comma 2 2 3 8 2 4 2" xfId="19453" xr:uid="{00000000-0005-0000-0000-0000D41B0000}"/>
    <cellStyle name="Comma 2 2 3 8 2 4 2 2" xfId="42731" xr:uid="{00000000-0005-0000-0000-0000D51B0000}"/>
    <cellStyle name="Comma 2 2 3 8 2 4 3" xfId="29245" xr:uid="{00000000-0005-0000-0000-0000D61B0000}"/>
    <cellStyle name="Comma 2 2 3 8 2 5" xfId="8414" xr:uid="{00000000-0005-0000-0000-0000D71B0000}"/>
    <cellStyle name="Comma 2 2 3 8 2 5 2" xfId="31693" xr:uid="{00000000-0005-0000-0000-0000D81B0000}"/>
    <cellStyle name="Comma 2 2 3 8 2 6" xfId="10862" xr:uid="{00000000-0005-0000-0000-0000D91B0000}"/>
    <cellStyle name="Comma 2 2 3 8 2 6 2" xfId="34141" xr:uid="{00000000-0005-0000-0000-0000DA1B0000}"/>
    <cellStyle name="Comma 2 2 3 8 2 7" xfId="13310" xr:uid="{00000000-0005-0000-0000-0000DB1B0000}"/>
    <cellStyle name="Comma 2 2 3 8 2 7 2" xfId="36589" xr:uid="{00000000-0005-0000-0000-0000DC1B0000}"/>
    <cellStyle name="Comma 2 2 3 8 2 8" xfId="15781" xr:uid="{00000000-0005-0000-0000-0000DD1B0000}"/>
    <cellStyle name="Comma 2 2 3 8 2 8 2" xfId="39059" xr:uid="{00000000-0005-0000-0000-0000DE1B0000}"/>
    <cellStyle name="Comma 2 2 3 8 2 9" xfId="24349" xr:uid="{00000000-0005-0000-0000-0000DF1B0000}"/>
    <cellStyle name="Comma 2 2 3 8 3" xfId="1682" xr:uid="{00000000-0005-0000-0000-0000E01B0000}"/>
    <cellStyle name="Comma 2 2 3 8 3 10" xfId="22513" xr:uid="{00000000-0005-0000-0000-0000E11B0000}"/>
    <cellStyle name="Comma 2 2 3 8 3 2" xfId="4130" xr:uid="{00000000-0005-0000-0000-0000E21B0000}"/>
    <cellStyle name="Comma 2 2 3 8 3 2 2" xfId="20065" xr:uid="{00000000-0005-0000-0000-0000E31B0000}"/>
    <cellStyle name="Comma 2 2 3 8 3 2 2 2" xfId="43343" xr:uid="{00000000-0005-0000-0000-0000E41B0000}"/>
    <cellStyle name="Comma 2 2 3 8 3 2 3" xfId="48239" xr:uid="{00000000-0005-0000-0000-0000E51B0000}"/>
    <cellStyle name="Comma 2 2 3 8 3 2 4" xfId="27409" xr:uid="{00000000-0005-0000-0000-0000E61B0000}"/>
    <cellStyle name="Comma 2 2 3 8 3 3" xfId="6578" xr:uid="{00000000-0005-0000-0000-0000E71B0000}"/>
    <cellStyle name="Comma 2 2 3 8 3 3 2" xfId="29857" xr:uid="{00000000-0005-0000-0000-0000E81B0000}"/>
    <cellStyle name="Comma 2 2 3 8 3 4" xfId="9026" xr:uid="{00000000-0005-0000-0000-0000E91B0000}"/>
    <cellStyle name="Comma 2 2 3 8 3 4 2" xfId="32305" xr:uid="{00000000-0005-0000-0000-0000EA1B0000}"/>
    <cellStyle name="Comma 2 2 3 8 3 5" xfId="11474" xr:uid="{00000000-0005-0000-0000-0000EB1B0000}"/>
    <cellStyle name="Comma 2 2 3 8 3 5 2" xfId="34753" xr:uid="{00000000-0005-0000-0000-0000EC1B0000}"/>
    <cellStyle name="Comma 2 2 3 8 3 6" xfId="13922" xr:uid="{00000000-0005-0000-0000-0000ED1B0000}"/>
    <cellStyle name="Comma 2 2 3 8 3 6 2" xfId="37201" xr:uid="{00000000-0005-0000-0000-0000EE1B0000}"/>
    <cellStyle name="Comma 2 2 3 8 3 7" xfId="17617" xr:uid="{00000000-0005-0000-0000-0000EF1B0000}"/>
    <cellStyle name="Comma 2 2 3 8 3 7 2" xfId="40895" xr:uid="{00000000-0005-0000-0000-0000F01B0000}"/>
    <cellStyle name="Comma 2 2 3 8 3 8" xfId="24961" xr:uid="{00000000-0005-0000-0000-0000F11B0000}"/>
    <cellStyle name="Comma 2 2 3 8 3 9" xfId="45791" xr:uid="{00000000-0005-0000-0000-0000F21B0000}"/>
    <cellStyle name="Comma 2 2 3 8 4" xfId="2906" xr:uid="{00000000-0005-0000-0000-0000F31B0000}"/>
    <cellStyle name="Comma 2 2 3 8 4 2" xfId="16393" xr:uid="{00000000-0005-0000-0000-0000F41B0000}"/>
    <cellStyle name="Comma 2 2 3 8 4 2 2" xfId="39671" xr:uid="{00000000-0005-0000-0000-0000F51B0000}"/>
    <cellStyle name="Comma 2 2 3 8 4 3" xfId="47015" xr:uid="{00000000-0005-0000-0000-0000F61B0000}"/>
    <cellStyle name="Comma 2 2 3 8 4 4" xfId="26185" xr:uid="{00000000-0005-0000-0000-0000F71B0000}"/>
    <cellStyle name="Comma 2 2 3 8 5" xfId="5354" xr:uid="{00000000-0005-0000-0000-0000F81B0000}"/>
    <cellStyle name="Comma 2 2 3 8 5 2" xfId="18841" xr:uid="{00000000-0005-0000-0000-0000F91B0000}"/>
    <cellStyle name="Comma 2 2 3 8 5 2 2" xfId="42119" xr:uid="{00000000-0005-0000-0000-0000FA1B0000}"/>
    <cellStyle name="Comma 2 2 3 8 5 3" xfId="28633" xr:uid="{00000000-0005-0000-0000-0000FB1B0000}"/>
    <cellStyle name="Comma 2 2 3 8 6" xfId="7802" xr:uid="{00000000-0005-0000-0000-0000FC1B0000}"/>
    <cellStyle name="Comma 2 2 3 8 6 2" xfId="31081" xr:uid="{00000000-0005-0000-0000-0000FD1B0000}"/>
    <cellStyle name="Comma 2 2 3 8 7" xfId="10250" xr:uid="{00000000-0005-0000-0000-0000FE1B0000}"/>
    <cellStyle name="Comma 2 2 3 8 7 2" xfId="33529" xr:uid="{00000000-0005-0000-0000-0000FF1B0000}"/>
    <cellStyle name="Comma 2 2 3 8 8" xfId="12698" xr:uid="{00000000-0005-0000-0000-0000001C0000}"/>
    <cellStyle name="Comma 2 2 3 8 8 2" xfId="35977" xr:uid="{00000000-0005-0000-0000-0000011C0000}"/>
    <cellStyle name="Comma 2 2 3 8 9" xfId="15169" xr:uid="{00000000-0005-0000-0000-0000021C0000}"/>
    <cellStyle name="Comma 2 2 3 8 9 2" xfId="38447" xr:uid="{00000000-0005-0000-0000-0000031C0000}"/>
    <cellStyle name="Comma 2 2 3 9" xfId="662" xr:uid="{00000000-0005-0000-0000-0000041C0000}"/>
    <cellStyle name="Comma 2 2 3 9 10" xfId="44771" xr:uid="{00000000-0005-0000-0000-0000051C0000}"/>
    <cellStyle name="Comma 2 2 3 9 11" xfId="21493" xr:uid="{00000000-0005-0000-0000-0000061C0000}"/>
    <cellStyle name="Comma 2 2 3 9 2" xfId="1886" xr:uid="{00000000-0005-0000-0000-0000071C0000}"/>
    <cellStyle name="Comma 2 2 3 9 2 10" xfId="22717" xr:uid="{00000000-0005-0000-0000-0000081C0000}"/>
    <cellStyle name="Comma 2 2 3 9 2 2" xfId="4334" xr:uid="{00000000-0005-0000-0000-0000091C0000}"/>
    <cellStyle name="Comma 2 2 3 9 2 2 2" xfId="20269" xr:uid="{00000000-0005-0000-0000-00000A1C0000}"/>
    <cellStyle name="Comma 2 2 3 9 2 2 2 2" xfId="43547" xr:uid="{00000000-0005-0000-0000-00000B1C0000}"/>
    <cellStyle name="Comma 2 2 3 9 2 2 3" xfId="48443" xr:uid="{00000000-0005-0000-0000-00000C1C0000}"/>
    <cellStyle name="Comma 2 2 3 9 2 2 4" xfId="27613" xr:uid="{00000000-0005-0000-0000-00000D1C0000}"/>
    <cellStyle name="Comma 2 2 3 9 2 3" xfId="6782" xr:uid="{00000000-0005-0000-0000-00000E1C0000}"/>
    <cellStyle name="Comma 2 2 3 9 2 3 2" xfId="30061" xr:uid="{00000000-0005-0000-0000-00000F1C0000}"/>
    <cellStyle name="Comma 2 2 3 9 2 4" xfId="9230" xr:uid="{00000000-0005-0000-0000-0000101C0000}"/>
    <cellStyle name="Comma 2 2 3 9 2 4 2" xfId="32509" xr:uid="{00000000-0005-0000-0000-0000111C0000}"/>
    <cellStyle name="Comma 2 2 3 9 2 5" xfId="11678" xr:uid="{00000000-0005-0000-0000-0000121C0000}"/>
    <cellStyle name="Comma 2 2 3 9 2 5 2" xfId="34957" xr:uid="{00000000-0005-0000-0000-0000131C0000}"/>
    <cellStyle name="Comma 2 2 3 9 2 6" xfId="14126" xr:uid="{00000000-0005-0000-0000-0000141C0000}"/>
    <cellStyle name="Comma 2 2 3 9 2 6 2" xfId="37405" xr:uid="{00000000-0005-0000-0000-0000151C0000}"/>
    <cellStyle name="Comma 2 2 3 9 2 7" xfId="17821" xr:uid="{00000000-0005-0000-0000-0000161C0000}"/>
    <cellStyle name="Comma 2 2 3 9 2 7 2" xfId="41099" xr:uid="{00000000-0005-0000-0000-0000171C0000}"/>
    <cellStyle name="Comma 2 2 3 9 2 8" xfId="25165" xr:uid="{00000000-0005-0000-0000-0000181C0000}"/>
    <cellStyle name="Comma 2 2 3 9 2 9" xfId="45995" xr:uid="{00000000-0005-0000-0000-0000191C0000}"/>
    <cellStyle name="Comma 2 2 3 9 3" xfId="3110" xr:uid="{00000000-0005-0000-0000-00001A1C0000}"/>
    <cellStyle name="Comma 2 2 3 9 3 2" xfId="16597" xr:uid="{00000000-0005-0000-0000-00001B1C0000}"/>
    <cellStyle name="Comma 2 2 3 9 3 2 2" xfId="39875" xr:uid="{00000000-0005-0000-0000-00001C1C0000}"/>
    <cellStyle name="Comma 2 2 3 9 3 3" xfId="47219" xr:uid="{00000000-0005-0000-0000-00001D1C0000}"/>
    <cellStyle name="Comma 2 2 3 9 3 4" xfId="26389" xr:uid="{00000000-0005-0000-0000-00001E1C0000}"/>
    <cellStyle name="Comma 2 2 3 9 4" xfId="5558" xr:uid="{00000000-0005-0000-0000-00001F1C0000}"/>
    <cellStyle name="Comma 2 2 3 9 4 2" xfId="19045" xr:uid="{00000000-0005-0000-0000-0000201C0000}"/>
    <cellStyle name="Comma 2 2 3 9 4 2 2" xfId="42323" xr:uid="{00000000-0005-0000-0000-0000211C0000}"/>
    <cellStyle name="Comma 2 2 3 9 4 3" xfId="28837" xr:uid="{00000000-0005-0000-0000-0000221C0000}"/>
    <cellStyle name="Comma 2 2 3 9 5" xfId="8006" xr:uid="{00000000-0005-0000-0000-0000231C0000}"/>
    <cellStyle name="Comma 2 2 3 9 5 2" xfId="31285" xr:uid="{00000000-0005-0000-0000-0000241C0000}"/>
    <cellStyle name="Comma 2 2 3 9 6" xfId="10454" xr:uid="{00000000-0005-0000-0000-0000251C0000}"/>
    <cellStyle name="Comma 2 2 3 9 6 2" xfId="33733" xr:uid="{00000000-0005-0000-0000-0000261C0000}"/>
    <cellStyle name="Comma 2 2 3 9 7" xfId="12902" xr:uid="{00000000-0005-0000-0000-0000271C0000}"/>
    <cellStyle name="Comma 2 2 3 9 7 2" xfId="36181" xr:uid="{00000000-0005-0000-0000-0000281C0000}"/>
    <cellStyle name="Comma 2 2 3 9 8" xfId="15373" xr:uid="{00000000-0005-0000-0000-0000291C0000}"/>
    <cellStyle name="Comma 2 2 3 9 8 2" xfId="38651" xr:uid="{00000000-0005-0000-0000-00002A1C0000}"/>
    <cellStyle name="Comma 2 2 3 9 9" xfId="23941" xr:uid="{00000000-0005-0000-0000-00002B1C0000}"/>
    <cellStyle name="Comma 2 2 4" xfId="52" xr:uid="{00000000-0005-0000-0000-00002C1C0000}"/>
    <cellStyle name="Comma 2 2 4 10" xfId="1276" xr:uid="{00000000-0005-0000-0000-00002D1C0000}"/>
    <cellStyle name="Comma 2 2 4 10 10" xfId="22107" xr:uid="{00000000-0005-0000-0000-00002E1C0000}"/>
    <cellStyle name="Comma 2 2 4 10 2" xfId="3724" xr:uid="{00000000-0005-0000-0000-00002F1C0000}"/>
    <cellStyle name="Comma 2 2 4 10 2 2" xfId="17211" xr:uid="{00000000-0005-0000-0000-0000301C0000}"/>
    <cellStyle name="Comma 2 2 4 10 2 2 2" xfId="40489" xr:uid="{00000000-0005-0000-0000-0000311C0000}"/>
    <cellStyle name="Comma 2 2 4 10 2 3" xfId="47833" xr:uid="{00000000-0005-0000-0000-0000321C0000}"/>
    <cellStyle name="Comma 2 2 4 10 2 4" xfId="27003" xr:uid="{00000000-0005-0000-0000-0000331C0000}"/>
    <cellStyle name="Comma 2 2 4 10 3" xfId="6172" xr:uid="{00000000-0005-0000-0000-0000341C0000}"/>
    <cellStyle name="Comma 2 2 4 10 3 2" xfId="19659" xr:uid="{00000000-0005-0000-0000-0000351C0000}"/>
    <cellStyle name="Comma 2 2 4 10 3 2 2" xfId="42937" xr:uid="{00000000-0005-0000-0000-0000361C0000}"/>
    <cellStyle name="Comma 2 2 4 10 3 3" xfId="29451" xr:uid="{00000000-0005-0000-0000-0000371C0000}"/>
    <cellStyle name="Comma 2 2 4 10 4" xfId="8620" xr:uid="{00000000-0005-0000-0000-0000381C0000}"/>
    <cellStyle name="Comma 2 2 4 10 4 2" xfId="31899" xr:uid="{00000000-0005-0000-0000-0000391C0000}"/>
    <cellStyle name="Comma 2 2 4 10 5" xfId="11068" xr:uid="{00000000-0005-0000-0000-00003A1C0000}"/>
    <cellStyle name="Comma 2 2 4 10 5 2" xfId="34347" xr:uid="{00000000-0005-0000-0000-00003B1C0000}"/>
    <cellStyle name="Comma 2 2 4 10 6" xfId="13516" xr:uid="{00000000-0005-0000-0000-00003C1C0000}"/>
    <cellStyle name="Comma 2 2 4 10 6 2" xfId="36795" xr:uid="{00000000-0005-0000-0000-00003D1C0000}"/>
    <cellStyle name="Comma 2 2 4 10 7" xfId="14763" xr:uid="{00000000-0005-0000-0000-00003E1C0000}"/>
    <cellStyle name="Comma 2 2 4 10 7 2" xfId="38041" xr:uid="{00000000-0005-0000-0000-00003F1C0000}"/>
    <cellStyle name="Comma 2 2 4 10 8" xfId="24555" xr:uid="{00000000-0005-0000-0000-0000401C0000}"/>
    <cellStyle name="Comma 2 2 4 10 9" xfId="45385" xr:uid="{00000000-0005-0000-0000-0000411C0000}"/>
    <cellStyle name="Comma 2 2 4 11" xfId="2500" xr:uid="{00000000-0005-0000-0000-0000421C0000}"/>
    <cellStyle name="Comma 2 2 4 11 2" xfId="15987" xr:uid="{00000000-0005-0000-0000-0000431C0000}"/>
    <cellStyle name="Comma 2 2 4 11 2 2" xfId="39265" xr:uid="{00000000-0005-0000-0000-0000441C0000}"/>
    <cellStyle name="Comma 2 2 4 11 3" xfId="46609" xr:uid="{00000000-0005-0000-0000-0000451C0000}"/>
    <cellStyle name="Comma 2 2 4 11 4" xfId="25779" xr:uid="{00000000-0005-0000-0000-0000461C0000}"/>
    <cellStyle name="Comma 2 2 4 12" xfId="4948" xr:uid="{00000000-0005-0000-0000-0000471C0000}"/>
    <cellStyle name="Comma 2 2 4 12 2" xfId="18435" xr:uid="{00000000-0005-0000-0000-0000481C0000}"/>
    <cellStyle name="Comma 2 2 4 12 2 2" xfId="41713" xr:uid="{00000000-0005-0000-0000-0000491C0000}"/>
    <cellStyle name="Comma 2 2 4 12 3" xfId="28227" xr:uid="{00000000-0005-0000-0000-00004A1C0000}"/>
    <cellStyle name="Comma 2 2 4 13" xfId="7396" xr:uid="{00000000-0005-0000-0000-00004B1C0000}"/>
    <cellStyle name="Comma 2 2 4 13 2" xfId="30675" xr:uid="{00000000-0005-0000-0000-00004C1C0000}"/>
    <cellStyle name="Comma 2 2 4 14" xfId="9844" xr:uid="{00000000-0005-0000-0000-00004D1C0000}"/>
    <cellStyle name="Comma 2 2 4 14 2" xfId="33123" xr:uid="{00000000-0005-0000-0000-00004E1C0000}"/>
    <cellStyle name="Comma 2 2 4 15" xfId="12292" xr:uid="{00000000-0005-0000-0000-00004F1C0000}"/>
    <cellStyle name="Comma 2 2 4 15 2" xfId="35571" xr:uid="{00000000-0005-0000-0000-0000501C0000}"/>
    <cellStyle name="Comma 2 2 4 16" xfId="14746" xr:uid="{00000000-0005-0000-0000-0000511C0000}"/>
    <cellStyle name="Comma 2 2 4 16 2" xfId="38024" xr:uid="{00000000-0005-0000-0000-0000521C0000}"/>
    <cellStyle name="Comma 2 2 4 17" xfId="23331" xr:uid="{00000000-0005-0000-0000-0000531C0000}"/>
    <cellStyle name="Comma 2 2 4 18" xfId="44161" xr:uid="{00000000-0005-0000-0000-0000541C0000}"/>
    <cellStyle name="Comma 2 2 4 19" xfId="20883" xr:uid="{00000000-0005-0000-0000-0000551C0000}"/>
    <cellStyle name="Comma 2 2 4 2" xfId="69" xr:uid="{00000000-0005-0000-0000-0000561C0000}"/>
    <cellStyle name="Comma 2 2 4 2 10" xfId="7413" xr:uid="{00000000-0005-0000-0000-0000571C0000}"/>
    <cellStyle name="Comma 2 2 4 2 10 2" xfId="30692" xr:uid="{00000000-0005-0000-0000-0000581C0000}"/>
    <cellStyle name="Comma 2 2 4 2 11" xfId="9861" xr:uid="{00000000-0005-0000-0000-0000591C0000}"/>
    <cellStyle name="Comma 2 2 4 2 11 2" xfId="33140" xr:uid="{00000000-0005-0000-0000-00005A1C0000}"/>
    <cellStyle name="Comma 2 2 4 2 12" xfId="12309" xr:uid="{00000000-0005-0000-0000-00005B1C0000}"/>
    <cellStyle name="Comma 2 2 4 2 12 2" xfId="35588" xr:uid="{00000000-0005-0000-0000-00005C1C0000}"/>
    <cellStyle name="Comma 2 2 4 2 13" xfId="14780" xr:uid="{00000000-0005-0000-0000-00005D1C0000}"/>
    <cellStyle name="Comma 2 2 4 2 13 2" xfId="38058" xr:uid="{00000000-0005-0000-0000-00005E1C0000}"/>
    <cellStyle name="Comma 2 2 4 2 14" xfId="23348" xr:uid="{00000000-0005-0000-0000-00005F1C0000}"/>
    <cellStyle name="Comma 2 2 4 2 15" xfId="44178" xr:uid="{00000000-0005-0000-0000-0000601C0000}"/>
    <cellStyle name="Comma 2 2 4 2 16" xfId="20900" xr:uid="{00000000-0005-0000-0000-0000611C0000}"/>
    <cellStyle name="Comma 2 2 4 2 2" xfId="137" xr:uid="{00000000-0005-0000-0000-0000621C0000}"/>
    <cellStyle name="Comma 2 2 4 2 2 10" xfId="12377" xr:uid="{00000000-0005-0000-0000-0000631C0000}"/>
    <cellStyle name="Comma 2 2 4 2 2 10 2" xfId="35656" xr:uid="{00000000-0005-0000-0000-0000641C0000}"/>
    <cellStyle name="Comma 2 2 4 2 2 11" xfId="14848" xr:uid="{00000000-0005-0000-0000-0000651C0000}"/>
    <cellStyle name="Comma 2 2 4 2 2 11 2" xfId="38126" xr:uid="{00000000-0005-0000-0000-0000661C0000}"/>
    <cellStyle name="Comma 2 2 4 2 2 12" xfId="23416" xr:uid="{00000000-0005-0000-0000-0000671C0000}"/>
    <cellStyle name="Comma 2 2 4 2 2 13" xfId="44246" xr:uid="{00000000-0005-0000-0000-0000681C0000}"/>
    <cellStyle name="Comma 2 2 4 2 2 14" xfId="20968" xr:uid="{00000000-0005-0000-0000-0000691C0000}"/>
    <cellStyle name="Comma 2 2 4 2 2 2" xfId="341" xr:uid="{00000000-0005-0000-0000-00006A1C0000}"/>
    <cellStyle name="Comma 2 2 4 2 2 2 10" xfId="23620" xr:uid="{00000000-0005-0000-0000-00006B1C0000}"/>
    <cellStyle name="Comma 2 2 4 2 2 2 11" xfId="44450" xr:uid="{00000000-0005-0000-0000-00006C1C0000}"/>
    <cellStyle name="Comma 2 2 4 2 2 2 12" xfId="21172" xr:uid="{00000000-0005-0000-0000-00006D1C0000}"/>
    <cellStyle name="Comma 2 2 4 2 2 2 2" xfId="953" xr:uid="{00000000-0005-0000-0000-00006E1C0000}"/>
    <cellStyle name="Comma 2 2 4 2 2 2 2 10" xfId="45062" xr:uid="{00000000-0005-0000-0000-00006F1C0000}"/>
    <cellStyle name="Comma 2 2 4 2 2 2 2 11" xfId="21784" xr:uid="{00000000-0005-0000-0000-0000701C0000}"/>
    <cellStyle name="Comma 2 2 4 2 2 2 2 2" xfId="2177" xr:uid="{00000000-0005-0000-0000-0000711C0000}"/>
    <cellStyle name="Comma 2 2 4 2 2 2 2 2 10" xfId="23008" xr:uid="{00000000-0005-0000-0000-0000721C0000}"/>
    <cellStyle name="Comma 2 2 4 2 2 2 2 2 2" xfId="4625" xr:uid="{00000000-0005-0000-0000-0000731C0000}"/>
    <cellStyle name="Comma 2 2 4 2 2 2 2 2 2 2" xfId="20560" xr:uid="{00000000-0005-0000-0000-0000741C0000}"/>
    <cellStyle name="Comma 2 2 4 2 2 2 2 2 2 2 2" xfId="43838" xr:uid="{00000000-0005-0000-0000-0000751C0000}"/>
    <cellStyle name="Comma 2 2 4 2 2 2 2 2 2 3" xfId="48734" xr:uid="{00000000-0005-0000-0000-0000761C0000}"/>
    <cellStyle name="Comma 2 2 4 2 2 2 2 2 2 4" xfId="27904" xr:uid="{00000000-0005-0000-0000-0000771C0000}"/>
    <cellStyle name="Comma 2 2 4 2 2 2 2 2 3" xfId="7073" xr:uid="{00000000-0005-0000-0000-0000781C0000}"/>
    <cellStyle name="Comma 2 2 4 2 2 2 2 2 3 2" xfId="30352" xr:uid="{00000000-0005-0000-0000-0000791C0000}"/>
    <cellStyle name="Comma 2 2 4 2 2 2 2 2 4" xfId="9521" xr:uid="{00000000-0005-0000-0000-00007A1C0000}"/>
    <cellStyle name="Comma 2 2 4 2 2 2 2 2 4 2" xfId="32800" xr:uid="{00000000-0005-0000-0000-00007B1C0000}"/>
    <cellStyle name="Comma 2 2 4 2 2 2 2 2 5" xfId="11969" xr:uid="{00000000-0005-0000-0000-00007C1C0000}"/>
    <cellStyle name="Comma 2 2 4 2 2 2 2 2 5 2" xfId="35248" xr:uid="{00000000-0005-0000-0000-00007D1C0000}"/>
    <cellStyle name="Comma 2 2 4 2 2 2 2 2 6" xfId="14417" xr:uid="{00000000-0005-0000-0000-00007E1C0000}"/>
    <cellStyle name="Comma 2 2 4 2 2 2 2 2 6 2" xfId="37696" xr:uid="{00000000-0005-0000-0000-00007F1C0000}"/>
    <cellStyle name="Comma 2 2 4 2 2 2 2 2 7" xfId="18112" xr:uid="{00000000-0005-0000-0000-0000801C0000}"/>
    <cellStyle name="Comma 2 2 4 2 2 2 2 2 7 2" xfId="41390" xr:uid="{00000000-0005-0000-0000-0000811C0000}"/>
    <cellStyle name="Comma 2 2 4 2 2 2 2 2 8" xfId="25456" xr:uid="{00000000-0005-0000-0000-0000821C0000}"/>
    <cellStyle name="Comma 2 2 4 2 2 2 2 2 9" xfId="46286" xr:uid="{00000000-0005-0000-0000-0000831C0000}"/>
    <cellStyle name="Comma 2 2 4 2 2 2 2 3" xfId="3401" xr:uid="{00000000-0005-0000-0000-0000841C0000}"/>
    <cellStyle name="Comma 2 2 4 2 2 2 2 3 2" xfId="16888" xr:uid="{00000000-0005-0000-0000-0000851C0000}"/>
    <cellStyle name="Comma 2 2 4 2 2 2 2 3 2 2" xfId="40166" xr:uid="{00000000-0005-0000-0000-0000861C0000}"/>
    <cellStyle name="Comma 2 2 4 2 2 2 2 3 3" xfId="47510" xr:uid="{00000000-0005-0000-0000-0000871C0000}"/>
    <cellStyle name="Comma 2 2 4 2 2 2 2 3 4" xfId="26680" xr:uid="{00000000-0005-0000-0000-0000881C0000}"/>
    <cellStyle name="Comma 2 2 4 2 2 2 2 4" xfId="5849" xr:uid="{00000000-0005-0000-0000-0000891C0000}"/>
    <cellStyle name="Comma 2 2 4 2 2 2 2 4 2" xfId="19336" xr:uid="{00000000-0005-0000-0000-00008A1C0000}"/>
    <cellStyle name="Comma 2 2 4 2 2 2 2 4 2 2" xfId="42614" xr:uid="{00000000-0005-0000-0000-00008B1C0000}"/>
    <cellStyle name="Comma 2 2 4 2 2 2 2 4 3" xfId="29128" xr:uid="{00000000-0005-0000-0000-00008C1C0000}"/>
    <cellStyle name="Comma 2 2 4 2 2 2 2 5" xfId="8297" xr:uid="{00000000-0005-0000-0000-00008D1C0000}"/>
    <cellStyle name="Comma 2 2 4 2 2 2 2 5 2" xfId="31576" xr:uid="{00000000-0005-0000-0000-00008E1C0000}"/>
    <cellStyle name="Comma 2 2 4 2 2 2 2 6" xfId="10745" xr:uid="{00000000-0005-0000-0000-00008F1C0000}"/>
    <cellStyle name="Comma 2 2 4 2 2 2 2 6 2" xfId="34024" xr:uid="{00000000-0005-0000-0000-0000901C0000}"/>
    <cellStyle name="Comma 2 2 4 2 2 2 2 7" xfId="13193" xr:uid="{00000000-0005-0000-0000-0000911C0000}"/>
    <cellStyle name="Comma 2 2 4 2 2 2 2 7 2" xfId="36472" xr:uid="{00000000-0005-0000-0000-0000921C0000}"/>
    <cellStyle name="Comma 2 2 4 2 2 2 2 8" xfId="15664" xr:uid="{00000000-0005-0000-0000-0000931C0000}"/>
    <cellStyle name="Comma 2 2 4 2 2 2 2 8 2" xfId="38942" xr:uid="{00000000-0005-0000-0000-0000941C0000}"/>
    <cellStyle name="Comma 2 2 4 2 2 2 2 9" xfId="24232" xr:uid="{00000000-0005-0000-0000-0000951C0000}"/>
    <cellStyle name="Comma 2 2 4 2 2 2 3" xfId="1565" xr:uid="{00000000-0005-0000-0000-0000961C0000}"/>
    <cellStyle name="Comma 2 2 4 2 2 2 3 10" xfId="22396" xr:uid="{00000000-0005-0000-0000-0000971C0000}"/>
    <cellStyle name="Comma 2 2 4 2 2 2 3 2" xfId="4013" xr:uid="{00000000-0005-0000-0000-0000981C0000}"/>
    <cellStyle name="Comma 2 2 4 2 2 2 3 2 2" xfId="19948" xr:uid="{00000000-0005-0000-0000-0000991C0000}"/>
    <cellStyle name="Comma 2 2 4 2 2 2 3 2 2 2" xfId="43226" xr:uid="{00000000-0005-0000-0000-00009A1C0000}"/>
    <cellStyle name="Comma 2 2 4 2 2 2 3 2 3" xfId="48122" xr:uid="{00000000-0005-0000-0000-00009B1C0000}"/>
    <cellStyle name="Comma 2 2 4 2 2 2 3 2 4" xfId="27292" xr:uid="{00000000-0005-0000-0000-00009C1C0000}"/>
    <cellStyle name="Comma 2 2 4 2 2 2 3 3" xfId="6461" xr:uid="{00000000-0005-0000-0000-00009D1C0000}"/>
    <cellStyle name="Comma 2 2 4 2 2 2 3 3 2" xfId="29740" xr:uid="{00000000-0005-0000-0000-00009E1C0000}"/>
    <cellStyle name="Comma 2 2 4 2 2 2 3 4" xfId="8909" xr:uid="{00000000-0005-0000-0000-00009F1C0000}"/>
    <cellStyle name="Comma 2 2 4 2 2 2 3 4 2" xfId="32188" xr:uid="{00000000-0005-0000-0000-0000A01C0000}"/>
    <cellStyle name="Comma 2 2 4 2 2 2 3 5" xfId="11357" xr:uid="{00000000-0005-0000-0000-0000A11C0000}"/>
    <cellStyle name="Comma 2 2 4 2 2 2 3 5 2" xfId="34636" xr:uid="{00000000-0005-0000-0000-0000A21C0000}"/>
    <cellStyle name="Comma 2 2 4 2 2 2 3 6" xfId="13805" xr:uid="{00000000-0005-0000-0000-0000A31C0000}"/>
    <cellStyle name="Comma 2 2 4 2 2 2 3 6 2" xfId="37084" xr:uid="{00000000-0005-0000-0000-0000A41C0000}"/>
    <cellStyle name="Comma 2 2 4 2 2 2 3 7" xfId="17500" xr:uid="{00000000-0005-0000-0000-0000A51C0000}"/>
    <cellStyle name="Comma 2 2 4 2 2 2 3 7 2" xfId="40778" xr:uid="{00000000-0005-0000-0000-0000A61C0000}"/>
    <cellStyle name="Comma 2 2 4 2 2 2 3 8" xfId="24844" xr:uid="{00000000-0005-0000-0000-0000A71C0000}"/>
    <cellStyle name="Comma 2 2 4 2 2 2 3 9" xfId="45674" xr:uid="{00000000-0005-0000-0000-0000A81C0000}"/>
    <cellStyle name="Comma 2 2 4 2 2 2 4" xfId="2789" xr:uid="{00000000-0005-0000-0000-0000A91C0000}"/>
    <cellStyle name="Comma 2 2 4 2 2 2 4 2" xfId="16276" xr:uid="{00000000-0005-0000-0000-0000AA1C0000}"/>
    <cellStyle name="Comma 2 2 4 2 2 2 4 2 2" xfId="39554" xr:uid="{00000000-0005-0000-0000-0000AB1C0000}"/>
    <cellStyle name="Comma 2 2 4 2 2 2 4 3" xfId="46898" xr:uid="{00000000-0005-0000-0000-0000AC1C0000}"/>
    <cellStyle name="Comma 2 2 4 2 2 2 4 4" xfId="26068" xr:uid="{00000000-0005-0000-0000-0000AD1C0000}"/>
    <cellStyle name="Comma 2 2 4 2 2 2 5" xfId="5237" xr:uid="{00000000-0005-0000-0000-0000AE1C0000}"/>
    <cellStyle name="Comma 2 2 4 2 2 2 5 2" xfId="18724" xr:uid="{00000000-0005-0000-0000-0000AF1C0000}"/>
    <cellStyle name="Comma 2 2 4 2 2 2 5 2 2" xfId="42002" xr:uid="{00000000-0005-0000-0000-0000B01C0000}"/>
    <cellStyle name="Comma 2 2 4 2 2 2 5 3" xfId="28516" xr:uid="{00000000-0005-0000-0000-0000B11C0000}"/>
    <cellStyle name="Comma 2 2 4 2 2 2 6" xfId="7685" xr:uid="{00000000-0005-0000-0000-0000B21C0000}"/>
    <cellStyle name="Comma 2 2 4 2 2 2 6 2" xfId="30964" xr:uid="{00000000-0005-0000-0000-0000B31C0000}"/>
    <cellStyle name="Comma 2 2 4 2 2 2 7" xfId="10133" xr:uid="{00000000-0005-0000-0000-0000B41C0000}"/>
    <cellStyle name="Comma 2 2 4 2 2 2 7 2" xfId="33412" xr:uid="{00000000-0005-0000-0000-0000B51C0000}"/>
    <cellStyle name="Comma 2 2 4 2 2 2 8" xfId="12581" xr:uid="{00000000-0005-0000-0000-0000B61C0000}"/>
    <cellStyle name="Comma 2 2 4 2 2 2 8 2" xfId="35860" xr:uid="{00000000-0005-0000-0000-0000B71C0000}"/>
    <cellStyle name="Comma 2 2 4 2 2 2 9" xfId="15052" xr:uid="{00000000-0005-0000-0000-0000B81C0000}"/>
    <cellStyle name="Comma 2 2 4 2 2 2 9 2" xfId="38330" xr:uid="{00000000-0005-0000-0000-0000B91C0000}"/>
    <cellStyle name="Comma 2 2 4 2 2 3" xfId="545" xr:uid="{00000000-0005-0000-0000-0000BA1C0000}"/>
    <cellStyle name="Comma 2 2 4 2 2 3 10" xfId="23824" xr:uid="{00000000-0005-0000-0000-0000BB1C0000}"/>
    <cellStyle name="Comma 2 2 4 2 2 3 11" xfId="44654" xr:uid="{00000000-0005-0000-0000-0000BC1C0000}"/>
    <cellStyle name="Comma 2 2 4 2 2 3 12" xfId="21376" xr:uid="{00000000-0005-0000-0000-0000BD1C0000}"/>
    <cellStyle name="Comma 2 2 4 2 2 3 2" xfId="1157" xr:uid="{00000000-0005-0000-0000-0000BE1C0000}"/>
    <cellStyle name="Comma 2 2 4 2 2 3 2 10" xfId="45266" xr:uid="{00000000-0005-0000-0000-0000BF1C0000}"/>
    <cellStyle name="Comma 2 2 4 2 2 3 2 11" xfId="21988" xr:uid="{00000000-0005-0000-0000-0000C01C0000}"/>
    <cellStyle name="Comma 2 2 4 2 2 3 2 2" xfId="2381" xr:uid="{00000000-0005-0000-0000-0000C11C0000}"/>
    <cellStyle name="Comma 2 2 4 2 2 3 2 2 10" xfId="23212" xr:uid="{00000000-0005-0000-0000-0000C21C0000}"/>
    <cellStyle name="Comma 2 2 4 2 2 3 2 2 2" xfId="4829" xr:uid="{00000000-0005-0000-0000-0000C31C0000}"/>
    <cellStyle name="Comma 2 2 4 2 2 3 2 2 2 2" xfId="20764" xr:uid="{00000000-0005-0000-0000-0000C41C0000}"/>
    <cellStyle name="Comma 2 2 4 2 2 3 2 2 2 2 2" xfId="44042" xr:uid="{00000000-0005-0000-0000-0000C51C0000}"/>
    <cellStyle name="Comma 2 2 4 2 2 3 2 2 2 3" xfId="48938" xr:uid="{00000000-0005-0000-0000-0000C61C0000}"/>
    <cellStyle name="Comma 2 2 4 2 2 3 2 2 2 4" xfId="28108" xr:uid="{00000000-0005-0000-0000-0000C71C0000}"/>
    <cellStyle name="Comma 2 2 4 2 2 3 2 2 3" xfId="7277" xr:uid="{00000000-0005-0000-0000-0000C81C0000}"/>
    <cellStyle name="Comma 2 2 4 2 2 3 2 2 3 2" xfId="30556" xr:uid="{00000000-0005-0000-0000-0000C91C0000}"/>
    <cellStyle name="Comma 2 2 4 2 2 3 2 2 4" xfId="9725" xr:uid="{00000000-0005-0000-0000-0000CA1C0000}"/>
    <cellStyle name="Comma 2 2 4 2 2 3 2 2 4 2" xfId="33004" xr:uid="{00000000-0005-0000-0000-0000CB1C0000}"/>
    <cellStyle name="Comma 2 2 4 2 2 3 2 2 5" xfId="12173" xr:uid="{00000000-0005-0000-0000-0000CC1C0000}"/>
    <cellStyle name="Comma 2 2 4 2 2 3 2 2 5 2" xfId="35452" xr:uid="{00000000-0005-0000-0000-0000CD1C0000}"/>
    <cellStyle name="Comma 2 2 4 2 2 3 2 2 6" xfId="14621" xr:uid="{00000000-0005-0000-0000-0000CE1C0000}"/>
    <cellStyle name="Comma 2 2 4 2 2 3 2 2 6 2" xfId="37900" xr:uid="{00000000-0005-0000-0000-0000CF1C0000}"/>
    <cellStyle name="Comma 2 2 4 2 2 3 2 2 7" xfId="18316" xr:uid="{00000000-0005-0000-0000-0000D01C0000}"/>
    <cellStyle name="Comma 2 2 4 2 2 3 2 2 7 2" xfId="41594" xr:uid="{00000000-0005-0000-0000-0000D11C0000}"/>
    <cellStyle name="Comma 2 2 4 2 2 3 2 2 8" xfId="25660" xr:uid="{00000000-0005-0000-0000-0000D21C0000}"/>
    <cellStyle name="Comma 2 2 4 2 2 3 2 2 9" xfId="46490" xr:uid="{00000000-0005-0000-0000-0000D31C0000}"/>
    <cellStyle name="Comma 2 2 4 2 2 3 2 3" xfId="3605" xr:uid="{00000000-0005-0000-0000-0000D41C0000}"/>
    <cellStyle name="Comma 2 2 4 2 2 3 2 3 2" xfId="17092" xr:uid="{00000000-0005-0000-0000-0000D51C0000}"/>
    <cellStyle name="Comma 2 2 4 2 2 3 2 3 2 2" xfId="40370" xr:uid="{00000000-0005-0000-0000-0000D61C0000}"/>
    <cellStyle name="Comma 2 2 4 2 2 3 2 3 3" xfId="47714" xr:uid="{00000000-0005-0000-0000-0000D71C0000}"/>
    <cellStyle name="Comma 2 2 4 2 2 3 2 3 4" xfId="26884" xr:uid="{00000000-0005-0000-0000-0000D81C0000}"/>
    <cellStyle name="Comma 2 2 4 2 2 3 2 4" xfId="6053" xr:uid="{00000000-0005-0000-0000-0000D91C0000}"/>
    <cellStyle name="Comma 2 2 4 2 2 3 2 4 2" xfId="19540" xr:uid="{00000000-0005-0000-0000-0000DA1C0000}"/>
    <cellStyle name="Comma 2 2 4 2 2 3 2 4 2 2" xfId="42818" xr:uid="{00000000-0005-0000-0000-0000DB1C0000}"/>
    <cellStyle name="Comma 2 2 4 2 2 3 2 4 3" xfId="29332" xr:uid="{00000000-0005-0000-0000-0000DC1C0000}"/>
    <cellStyle name="Comma 2 2 4 2 2 3 2 5" xfId="8501" xr:uid="{00000000-0005-0000-0000-0000DD1C0000}"/>
    <cellStyle name="Comma 2 2 4 2 2 3 2 5 2" xfId="31780" xr:uid="{00000000-0005-0000-0000-0000DE1C0000}"/>
    <cellStyle name="Comma 2 2 4 2 2 3 2 6" xfId="10949" xr:uid="{00000000-0005-0000-0000-0000DF1C0000}"/>
    <cellStyle name="Comma 2 2 4 2 2 3 2 6 2" xfId="34228" xr:uid="{00000000-0005-0000-0000-0000E01C0000}"/>
    <cellStyle name="Comma 2 2 4 2 2 3 2 7" xfId="13397" xr:uid="{00000000-0005-0000-0000-0000E11C0000}"/>
    <cellStyle name="Comma 2 2 4 2 2 3 2 7 2" xfId="36676" xr:uid="{00000000-0005-0000-0000-0000E21C0000}"/>
    <cellStyle name="Comma 2 2 4 2 2 3 2 8" xfId="15868" xr:uid="{00000000-0005-0000-0000-0000E31C0000}"/>
    <cellStyle name="Comma 2 2 4 2 2 3 2 8 2" xfId="39146" xr:uid="{00000000-0005-0000-0000-0000E41C0000}"/>
    <cellStyle name="Comma 2 2 4 2 2 3 2 9" xfId="24436" xr:uid="{00000000-0005-0000-0000-0000E51C0000}"/>
    <cellStyle name="Comma 2 2 4 2 2 3 3" xfId="1769" xr:uid="{00000000-0005-0000-0000-0000E61C0000}"/>
    <cellStyle name="Comma 2 2 4 2 2 3 3 10" xfId="22600" xr:uid="{00000000-0005-0000-0000-0000E71C0000}"/>
    <cellStyle name="Comma 2 2 4 2 2 3 3 2" xfId="4217" xr:uid="{00000000-0005-0000-0000-0000E81C0000}"/>
    <cellStyle name="Comma 2 2 4 2 2 3 3 2 2" xfId="20152" xr:uid="{00000000-0005-0000-0000-0000E91C0000}"/>
    <cellStyle name="Comma 2 2 4 2 2 3 3 2 2 2" xfId="43430" xr:uid="{00000000-0005-0000-0000-0000EA1C0000}"/>
    <cellStyle name="Comma 2 2 4 2 2 3 3 2 3" xfId="48326" xr:uid="{00000000-0005-0000-0000-0000EB1C0000}"/>
    <cellStyle name="Comma 2 2 4 2 2 3 3 2 4" xfId="27496" xr:uid="{00000000-0005-0000-0000-0000EC1C0000}"/>
    <cellStyle name="Comma 2 2 4 2 2 3 3 3" xfId="6665" xr:uid="{00000000-0005-0000-0000-0000ED1C0000}"/>
    <cellStyle name="Comma 2 2 4 2 2 3 3 3 2" xfId="29944" xr:uid="{00000000-0005-0000-0000-0000EE1C0000}"/>
    <cellStyle name="Comma 2 2 4 2 2 3 3 4" xfId="9113" xr:uid="{00000000-0005-0000-0000-0000EF1C0000}"/>
    <cellStyle name="Comma 2 2 4 2 2 3 3 4 2" xfId="32392" xr:uid="{00000000-0005-0000-0000-0000F01C0000}"/>
    <cellStyle name="Comma 2 2 4 2 2 3 3 5" xfId="11561" xr:uid="{00000000-0005-0000-0000-0000F11C0000}"/>
    <cellStyle name="Comma 2 2 4 2 2 3 3 5 2" xfId="34840" xr:uid="{00000000-0005-0000-0000-0000F21C0000}"/>
    <cellStyle name="Comma 2 2 4 2 2 3 3 6" xfId="14009" xr:uid="{00000000-0005-0000-0000-0000F31C0000}"/>
    <cellStyle name="Comma 2 2 4 2 2 3 3 6 2" xfId="37288" xr:uid="{00000000-0005-0000-0000-0000F41C0000}"/>
    <cellStyle name="Comma 2 2 4 2 2 3 3 7" xfId="17704" xr:uid="{00000000-0005-0000-0000-0000F51C0000}"/>
    <cellStyle name="Comma 2 2 4 2 2 3 3 7 2" xfId="40982" xr:uid="{00000000-0005-0000-0000-0000F61C0000}"/>
    <cellStyle name="Comma 2 2 4 2 2 3 3 8" xfId="25048" xr:uid="{00000000-0005-0000-0000-0000F71C0000}"/>
    <cellStyle name="Comma 2 2 4 2 2 3 3 9" xfId="45878" xr:uid="{00000000-0005-0000-0000-0000F81C0000}"/>
    <cellStyle name="Comma 2 2 4 2 2 3 4" xfId="2993" xr:uid="{00000000-0005-0000-0000-0000F91C0000}"/>
    <cellStyle name="Comma 2 2 4 2 2 3 4 2" xfId="16480" xr:uid="{00000000-0005-0000-0000-0000FA1C0000}"/>
    <cellStyle name="Comma 2 2 4 2 2 3 4 2 2" xfId="39758" xr:uid="{00000000-0005-0000-0000-0000FB1C0000}"/>
    <cellStyle name="Comma 2 2 4 2 2 3 4 3" xfId="47102" xr:uid="{00000000-0005-0000-0000-0000FC1C0000}"/>
    <cellStyle name="Comma 2 2 4 2 2 3 4 4" xfId="26272" xr:uid="{00000000-0005-0000-0000-0000FD1C0000}"/>
    <cellStyle name="Comma 2 2 4 2 2 3 5" xfId="5441" xr:uid="{00000000-0005-0000-0000-0000FE1C0000}"/>
    <cellStyle name="Comma 2 2 4 2 2 3 5 2" xfId="18928" xr:uid="{00000000-0005-0000-0000-0000FF1C0000}"/>
    <cellStyle name="Comma 2 2 4 2 2 3 5 2 2" xfId="42206" xr:uid="{00000000-0005-0000-0000-0000001D0000}"/>
    <cellStyle name="Comma 2 2 4 2 2 3 5 3" xfId="28720" xr:uid="{00000000-0005-0000-0000-0000011D0000}"/>
    <cellStyle name="Comma 2 2 4 2 2 3 6" xfId="7889" xr:uid="{00000000-0005-0000-0000-0000021D0000}"/>
    <cellStyle name="Comma 2 2 4 2 2 3 6 2" xfId="31168" xr:uid="{00000000-0005-0000-0000-0000031D0000}"/>
    <cellStyle name="Comma 2 2 4 2 2 3 7" xfId="10337" xr:uid="{00000000-0005-0000-0000-0000041D0000}"/>
    <cellStyle name="Comma 2 2 4 2 2 3 7 2" xfId="33616" xr:uid="{00000000-0005-0000-0000-0000051D0000}"/>
    <cellStyle name="Comma 2 2 4 2 2 3 8" xfId="12785" xr:uid="{00000000-0005-0000-0000-0000061D0000}"/>
    <cellStyle name="Comma 2 2 4 2 2 3 8 2" xfId="36064" xr:uid="{00000000-0005-0000-0000-0000071D0000}"/>
    <cellStyle name="Comma 2 2 4 2 2 3 9" xfId="15256" xr:uid="{00000000-0005-0000-0000-0000081D0000}"/>
    <cellStyle name="Comma 2 2 4 2 2 3 9 2" xfId="38534" xr:uid="{00000000-0005-0000-0000-0000091D0000}"/>
    <cellStyle name="Comma 2 2 4 2 2 4" xfId="749" xr:uid="{00000000-0005-0000-0000-00000A1D0000}"/>
    <cellStyle name="Comma 2 2 4 2 2 4 10" xfId="44858" xr:uid="{00000000-0005-0000-0000-00000B1D0000}"/>
    <cellStyle name="Comma 2 2 4 2 2 4 11" xfId="21580" xr:uid="{00000000-0005-0000-0000-00000C1D0000}"/>
    <cellStyle name="Comma 2 2 4 2 2 4 2" xfId="1973" xr:uid="{00000000-0005-0000-0000-00000D1D0000}"/>
    <cellStyle name="Comma 2 2 4 2 2 4 2 10" xfId="22804" xr:uid="{00000000-0005-0000-0000-00000E1D0000}"/>
    <cellStyle name="Comma 2 2 4 2 2 4 2 2" xfId="4421" xr:uid="{00000000-0005-0000-0000-00000F1D0000}"/>
    <cellStyle name="Comma 2 2 4 2 2 4 2 2 2" xfId="20356" xr:uid="{00000000-0005-0000-0000-0000101D0000}"/>
    <cellStyle name="Comma 2 2 4 2 2 4 2 2 2 2" xfId="43634" xr:uid="{00000000-0005-0000-0000-0000111D0000}"/>
    <cellStyle name="Comma 2 2 4 2 2 4 2 2 3" xfId="48530" xr:uid="{00000000-0005-0000-0000-0000121D0000}"/>
    <cellStyle name="Comma 2 2 4 2 2 4 2 2 4" xfId="27700" xr:uid="{00000000-0005-0000-0000-0000131D0000}"/>
    <cellStyle name="Comma 2 2 4 2 2 4 2 3" xfId="6869" xr:uid="{00000000-0005-0000-0000-0000141D0000}"/>
    <cellStyle name="Comma 2 2 4 2 2 4 2 3 2" xfId="30148" xr:uid="{00000000-0005-0000-0000-0000151D0000}"/>
    <cellStyle name="Comma 2 2 4 2 2 4 2 4" xfId="9317" xr:uid="{00000000-0005-0000-0000-0000161D0000}"/>
    <cellStyle name="Comma 2 2 4 2 2 4 2 4 2" xfId="32596" xr:uid="{00000000-0005-0000-0000-0000171D0000}"/>
    <cellStyle name="Comma 2 2 4 2 2 4 2 5" xfId="11765" xr:uid="{00000000-0005-0000-0000-0000181D0000}"/>
    <cellStyle name="Comma 2 2 4 2 2 4 2 5 2" xfId="35044" xr:uid="{00000000-0005-0000-0000-0000191D0000}"/>
    <cellStyle name="Comma 2 2 4 2 2 4 2 6" xfId="14213" xr:uid="{00000000-0005-0000-0000-00001A1D0000}"/>
    <cellStyle name="Comma 2 2 4 2 2 4 2 6 2" xfId="37492" xr:uid="{00000000-0005-0000-0000-00001B1D0000}"/>
    <cellStyle name="Comma 2 2 4 2 2 4 2 7" xfId="17908" xr:uid="{00000000-0005-0000-0000-00001C1D0000}"/>
    <cellStyle name="Comma 2 2 4 2 2 4 2 7 2" xfId="41186" xr:uid="{00000000-0005-0000-0000-00001D1D0000}"/>
    <cellStyle name="Comma 2 2 4 2 2 4 2 8" xfId="25252" xr:uid="{00000000-0005-0000-0000-00001E1D0000}"/>
    <cellStyle name="Comma 2 2 4 2 2 4 2 9" xfId="46082" xr:uid="{00000000-0005-0000-0000-00001F1D0000}"/>
    <cellStyle name="Comma 2 2 4 2 2 4 3" xfId="3197" xr:uid="{00000000-0005-0000-0000-0000201D0000}"/>
    <cellStyle name="Comma 2 2 4 2 2 4 3 2" xfId="16684" xr:uid="{00000000-0005-0000-0000-0000211D0000}"/>
    <cellStyle name="Comma 2 2 4 2 2 4 3 2 2" xfId="39962" xr:uid="{00000000-0005-0000-0000-0000221D0000}"/>
    <cellStyle name="Comma 2 2 4 2 2 4 3 3" xfId="47306" xr:uid="{00000000-0005-0000-0000-0000231D0000}"/>
    <cellStyle name="Comma 2 2 4 2 2 4 3 4" xfId="26476" xr:uid="{00000000-0005-0000-0000-0000241D0000}"/>
    <cellStyle name="Comma 2 2 4 2 2 4 4" xfId="5645" xr:uid="{00000000-0005-0000-0000-0000251D0000}"/>
    <cellStyle name="Comma 2 2 4 2 2 4 4 2" xfId="19132" xr:uid="{00000000-0005-0000-0000-0000261D0000}"/>
    <cellStyle name="Comma 2 2 4 2 2 4 4 2 2" xfId="42410" xr:uid="{00000000-0005-0000-0000-0000271D0000}"/>
    <cellStyle name="Comma 2 2 4 2 2 4 4 3" xfId="28924" xr:uid="{00000000-0005-0000-0000-0000281D0000}"/>
    <cellStyle name="Comma 2 2 4 2 2 4 5" xfId="8093" xr:uid="{00000000-0005-0000-0000-0000291D0000}"/>
    <cellStyle name="Comma 2 2 4 2 2 4 5 2" xfId="31372" xr:uid="{00000000-0005-0000-0000-00002A1D0000}"/>
    <cellStyle name="Comma 2 2 4 2 2 4 6" xfId="10541" xr:uid="{00000000-0005-0000-0000-00002B1D0000}"/>
    <cellStyle name="Comma 2 2 4 2 2 4 6 2" xfId="33820" xr:uid="{00000000-0005-0000-0000-00002C1D0000}"/>
    <cellStyle name="Comma 2 2 4 2 2 4 7" xfId="12989" xr:uid="{00000000-0005-0000-0000-00002D1D0000}"/>
    <cellStyle name="Comma 2 2 4 2 2 4 7 2" xfId="36268" xr:uid="{00000000-0005-0000-0000-00002E1D0000}"/>
    <cellStyle name="Comma 2 2 4 2 2 4 8" xfId="15460" xr:uid="{00000000-0005-0000-0000-00002F1D0000}"/>
    <cellStyle name="Comma 2 2 4 2 2 4 8 2" xfId="38738" xr:uid="{00000000-0005-0000-0000-0000301D0000}"/>
    <cellStyle name="Comma 2 2 4 2 2 4 9" xfId="24028" xr:uid="{00000000-0005-0000-0000-0000311D0000}"/>
    <cellStyle name="Comma 2 2 4 2 2 5" xfId="1361" xr:uid="{00000000-0005-0000-0000-0000321D0000}"/>
    <cellStyle name="Comma 2 2 4 2 2 5 10" xfId="22192" xr:uid="{00000000-0005-0000-0000-0000331D0000}"/>
    <cellStyle name="Comma 2 2 4 2 2 5 2" xfId="3809" xr:uid="{00000000-0005-0000-0000-0000341D0000}"/>
    <cellStyle name="Comma 2 2 4 2 2 5 2 2" xfId="19744" xr:uid="{00000000-0005-0000-0000-0000351D0000}"/>
    <cellStyle name="Comma 2 2 4 2 2 5 2 2 2" xfId="43022" xr:uid="{00000000-0005-0000-0000-0000361D0000}"/>
    <cellStyle name="Comma 2 2 4 2 2 5 2 3" xfId="47918" xr:uid="{00000000-0005-0000-0000-0000371D0000}"/>
    <cellStyle name="Comma 2 2 4 2 2 5 2 4" xfId="27088" xr:uid="{00000000-0005-0000-0000-0000381D0000}"/>
    <cellStyle name="Comma 2 2 4 2 2 5 3" xfId="6257" xr:uid="{00000000-0005-0000-0000-0000391D0000}"/>
    <cellStyle name="Comma 2 2 4 2 2 5 3 2" xfId="29536" xr:uid="{00000000-0005-0000-0000-00003A1D0000}"/>
    <cellStyle name="Comma 2 2 4 2 2 5 4" xfId="8705" xr:uid="{00000000-0005-0000-0000-00003B1D0000}"/>
    <cellStyle name="Comma 2 2 4 2 2 5 4 2" xfId="31984" xr:uid="{00000000-0005-0000-0000-00003C1D0000}"/>
    <cellStyle name="Comma 2 2 4 2 2 5 5" xfId="11153" xr:uid="{00000000-0005-0000-0000-00003D1D0000}"/>
    <cellStyle name="Comma 2 2 4 2 2 5 5 2" xfId="34432" xr:uid="{00000000-0005-0000-0000-00003E1D0000}"/>
    <cellStyle name="Comma 2 2 4 2 2 5 6" xfId="13601" xr:uid="{00000000-0005-0000-0000-00003F1D0000}"/>
    <cellStyle name="Comma 2 2 4 2 2 5 6 2" xfId="36880" xr:uid="{00000000-0005-0000-0000-0000401D0000}"/>
    <cellStyle name="Comma 2 2 4 2 2 5 7" xfId="17296" xr:uid="{00000000-0005-0000-0000-0000411D0000}"/>
    <cellStyle name="Comma 2 2 4 2 2 5 7 2" xfId="40574" xr:uid="{00000000-0005-0000-0000-0000421D0000}"/>
    <cellStyle name="Comma 2 2 4 2 2 5 8" xfId="24640" xr:uid="{00000000-0005-0000-0000-0000431D0000}"/>
    <cellStyle name="Comma 2 2 4 2 2 5 9" xfId="45470" xr:uid="{00000000-0005-0000-0000-0000441D0000}"/>
    <cellStyle name="Comma 2 2 4 2 2 6" xfId="2585" xr:uid="{00000000-0005-0000-0000-0000451D0000}"/>
    <cellStyle name="Comma 2 2 4 2 2 6 2" xfId="16072" xr:uid="{00000000-0005-0000-0000-0000461D0000}"/>
    <cellStyle name="Comma 2 2 4 2 2 6 2 2" xfId="39350" xr:uid="{00000000-0005-0000-0000-0000471D0000}"/>
    <cellStyle name="Comma 2 2 4 2 2 6 3" xfId="46694" xr:uid="{00000000-0005-0000-0000-0000481D0000}"/>
    <cellStyle name="Comma 2 2 4 2 2 6 4" xfId="25864" xr:uid="{00000000-0005-0000-0000-0000491D0000}"/>
    <cellStyle name="Comma 2 2 4 2 2 7" xfId="5033" xr:uid="{00000000-0005-0000-0000-00004A1D0000}"/>
    <cellStyle name="Comma 2 2 4 2 2 7 2" xfId="18520" xr:uid="{00000000-0005-0000-0000-00004B1D0000}"/>
    <cellStyle name="Comma 2 2 4 2 2 7 2 2" xfId="41798" xr:uid="{00000000-0005-0000-0000-00004C1D0000}"/>
    <cellStyle name="Comma 2 2 4 2 2 7 3" xfId="28312" xr:uid="{00000000-0005-0000-0000-00004D1D0000}"/>
    <cellStyle name="Comma 2 2 4 2 2 8" xfId="7481" xr:uid="{00000000-0005-0000-0000-00004E1D0000}"/>
    <cellStyle name="Comma 2 2 4 2 2 8 2" xfId="30760" xr:uid="{00000000-0005-0000-0000-00004F1D0000}"/>
    <cellStyle name="Comma 2 2 4 2 2 9" xfId="9929" xr:uid="{00000000-0005-0000-0000-0000501D0000}"/>
    <cellStyle name="Comma 2 2 4 2 2 9 2" xfId="33208" xr:uid="{00000000-0005-0000-0000-0000511D0000}"/>
    <cellStyle name="Comma 2 2 4 2 3" xfId="205" xr:uid="{00000000-0005-0000-0000-0000521D0000}"/>
    <cellStyle name="Comma 2 2 4 2 3 10" xfId="12445" xr:uid="{00000000-0005-0000-0000-0000531D0000}"/>
    <cellStyle name="Comma 2 2 4 2 3 10 2" xfId="35724" xr:uid="{00000000-0005-0000-0000-0000541D0000}"/>
    <cellStyle name="Comma 2 2 4 2 3 11" xfId="14916" xr:uid="{00000000-0005-0000-0000-0000551D0000}"/>
    <cellStyle name="Comma 2 2 4 2 3 11 2" xfId="38194" xr:uid="{00000000-0005-0000-0000-0000561D0000}"/>
    <cellStyle name="Comma 2 2 4 2 3 12" xfId="23484" xr:uid="{00000000-0005-0000-0000-0000571D0000}"/>
    <cellStyle name="Comma 2 2 4 2 3 13" xfId="44314" xr:uid="{00000000-0005-0000-0000-0000581D0000}"/>
    <cellStyle name="Comma 2 2 4 2 3 14" xfId="21036" xr:uid="{00000000-0005-0000-0000-0000591D0000}"/>
    <cellStyle name="Comma 2 2 4 2 3 2" xfId="409" xr:uid="{00000000-0005-0000-0000-00005A1D0000}"/>
    <cellStyle name="Comma 2 2 4 2 3 2 10" xfId="23688" xr:uid="{00000000-0005-0000-0000-00005B1D0000}"/>
    <cellStyle name="Comma 2 2 4 2 3 2 11" xfId="44518" xr:uid="{00000000-0005-0000-0000-00005C1D0000}"/>
    <cellStyle name="Comma 2 2 4 2 3 2 12" xfId="21240" xr:uid="{00000000-0005-0000-0000-00005D1D0000}"/>
    <cellStyle name="Comma 2 2 4 2 3 2 2" xfId="1021" xr:uid="{00000000-0005-0000-0000-00005E1D0000}"/>
    <cellStyle name="Comma 2 2 4 2 3 2 2 10" xfId="45130" xr:uid="{00000000-0005-0000-0000-00005F1D0000}"/>
    <cellStyle name="Comma 2 2 4 2 3 2 2 11" xfId="21852" xr:uid="{00000000-0005-0000-0000-0000601D0000}"/>
    <cellStyle name="Comma 2 2 4 2 3 2 2 2" xfId="2245" xr:uid="{00000000-0005-0000-0000-0000611D0000}"/>
    <cellStyle name="Comma 2 2 4 2 3 2 2 2 10" xfId="23076" xr:uid="{00000000-0005-0000-0000-0000621D0000}"/>
    <cellStyle name="Comma 2 2 4 2 3 2 2 2 2" xfId="4693" xr:uid="{00000000-0005-0000-0000-0000631D0000}"/>
    <cellStyle name="Comma 2 2 4 2 3 2 2 2 2 2" xfId="20628" xr:uid="{00000000-0005-0000-0000-0000641D0000}"/>
    <cellStyle name="Comma 2 2 4 2 3 2 2 2 2 2 2" xfId="43906" xr:uid="{00000000-0005-0000-0000-0000651D0000}"/>
    <cellStyle name="Comma 2 2 4 2 3 2 2 2 2 3" xfId="48802" xr:uid="{00000000-0005-0000-0000-0000661D0000}"/>
    <cellStyle name="Comma 2 2 4 2 3 2 2 2 2 4" xfId="27972" xr:uid="{00000000-0005-0000-0000-0000671D0000}"/>
    <cellStyle name="Comma 2 2 4 2 3 2 2 2 3" xfId="7141" xr:uid="{00000000-0005-0000-0000-0000681D0000}"/>
    <cellStyle name="Comma 2 2 4 2 3 2 2 2 3 2" xfId="30420" xr:uid="{00000000-0005-0000-0000-0000691D0000}"/>
    <cellStyle name="Comma 2 2 4 2 3 2 2 2 4" xfId="9589" xr:uid="{00000000-0005-0000-0000-00006A1D0000}"/>
    <cellStyle name="Comma 2 2 4 2 3 2 2 2 4 2" xfId="32868" xr:uid="{00000000-0005-0000-0000-00006B1D0000}"/>
    <cellStyle name="Comma 2 2 4 2 3 2 2 2 5" xfId="12037" xr:uid="{00000000-0005-0000-0000-00006C1D0000}"/>
    <cellStyle name="Comma 2 2 4 2 3 2 2 2 5 2" xfId="35316" xr:uid="{00000000-0005-0000-0000-00006D1D0000}"/>
    <cellStyle name="Comma 2 2 4 2 3 2 2 2 6" xfId="14485" xr:uid="{00000000-0005-0000-0000-00006E1D0000}"/>
    <cellStyle name="Comma 2 2 4 2 3 2 2 2 6 2" xfId="37764" xr:uid="{00000000-0005-0000-0000-00006F1D0000}"/>
    <cellStyle name="Comma 2 2 4 2 3 2 2 2 7" xfId="18180" xr:uid="{00000000-0005-0000-0000-0000701D0000}"/>
    <cellStyle name="Comma 2 2 4 2 3 2 2 2 7 2" xfId="41458" xr:uid="{00000000-0005-0000-0000-0000711D0000}"/>
    <cellStyle name="Comma 2 2 4 2 3 2 2 2 8" xfId="25524" xr:uid="{00000000-0005-0000-0000-0000721D0000}"/>
    <cellStyle name="Comma 2 2 4 2 3 2 2 2 9" xfId="46354" xr:uid="{00000000-0005-0000-0000-0000731D0000}"/>
    <cellStyle name="Comma 2 2 4 2 3 2 2 3" xfId="3469" xr:uid="{00000000-0005-0000-0000-0000741D0000}"/>
    <cellStyle name="Comma 2 2 4 2 3 2 2 3 2" xfId="16956" xr:uid="{00000000-0005-0000-0000-0000751D0000}"/>
    <cellStyle name="Comma 2 2 4 2 3 2 2 3 2 2" xfId="40234" xr:uid="{00000000-0005-0000-0000-0000761D0000}"/>
    <cellStyle name="Comma 2 2 4 2 3 2 2 3 3" xfId="47578" xr:uid="{00000000-0005-0000-0000-0000771D0000}"/>
    <cellStyle name="Comma 2 2 4 2 3 2 2 3 4" xfId="26748" xr:uid="{00000000-0005-0000-0000-0000781D0000}"/>
    <cellStyle name="Comma 2 2 4 2 3 2 2 4" xfId="5917" xr:uid="{00000000-0005-0000-0000-0000791D0000}"/>
    <cellStyle name="Comma 2 2 4 2 3 2 2 4 2" xfId="19404" xr:uid="{00000000-0005-0000-0000-00007A1D0000}"/>
    <cellStyle name="Comma 2 2 4 2 3 2 2 4 2 2" xfId="42682" xr:uid="{00000000-0005-0000-0000-00007B1D0000}"/>
    <cellStyle name="Comma 2 2 4 2 3 2 2 4 3" xfId="29196" xr:uid="{00000000-0005-0000-0000-00007C1D0000}"/>
    <cellStyle name="Comma 2 2 4 2 3 2 2 5" xfId="8365" xr:uid="{00000000-0005-0000-0000-00007D1D0000}"/>
    <cellStyle name="Comma 2 2 4 2 3 2 2 5 2" xfId="31644" xr:uid="{00000000-0005-0000-0000-00007E1D0000}"/>
    <cellStyle name="Comma 2 2 4 2 3 2 2 6" xfId="10813" xr:uid="{00000000-0005-0000-0000-00007F1D0000}"/>
    <cellStyle name="Comma 2 2 4 2 3 2 2 6 2" xfId="34092" xr:uid="{00000000-0005-0000-0000-0000801D0000}"/>
    <cellStyle name="Comma 2 2 4 2 3 2 2 7" xfId="13261" xr:uid="{00000000-0005-0000-0000-0000811D0000}"/>
    <cellStyle name="Comma 2 2 4 2 3 2 2 7 2" xfId="36540" xr:uid="{00000000-0005-0000-0000-0000821D0000}"/>
    <cellStyle name="Comma 2 2 4 2 3 2 2 8" xfId="15732" xr:uid="{00000000-0005-0000-0000-0000831D0000}"/>
    <cellStyle name="Comma 2 2 4 2 3 2 2 8 2" xfId="39010" xr:uid="{00000000-0005-0000-0000-0000841D0000}"/>
    <cellStyle name="Comma 2 2 4 2 3 2 2 9" xfId="24300" xr:uid="{00000000-0005-0000-0000-0000851D0000}"/>
    <cellStyle name="Comma 2 2 4 2 3 2 3" xfId="1633" xr:uid="{00000000-0005-0000-0000-0000861D0000}"/>
    <cellStyle name="Comma 2 2 4 2 3 2 3 10" xfId="22464" xr:uid="{00000000-0005-0000-0000-0000871D0000}"/>
    <cellStyle name="Comma 2 2 4 2 3 2 3 2" xfId="4081" xr:uid="{00000000-0005-0000-0000-0000881D0000}"/>
    <cellStyle name="Comma 2 2 4 2 3 2 3 2 2" xfId="20016" xr:uid="{00000000-0005-0000-0000-0000891D0000}"/>
    <cellStyle name="Comma 2 2 4 2 3 2 3 2 2 2" xfId="43294" xr:uid="{00000000-0005-0000-0000-00008A1D0000}"/>
    <cellStyle name="Comma 2 2 4 2 3 2 3 2 3" xfId="48190" xr:uid="{00000000-0005-0000-0000-00008B1D0000}"/>
    <cellStyle name="Comma 2 2 4 2 3 2 3 2 4" xfId="27360" xr:uid="{00000000-0005-0000-0000-00008C1D0000}"/>
    <cellStyle name="Comma 2 2 4 2 3 2 3 3" xfId="6529" xr:uid="{00000000-0005-0000-0000-00008D1D0000}"/>
    <cellStyle name="Comma 2 2 4 2 3 2 3 3 2" xfId="29808" xr:uid="{00000000-0005-0000-0000-00008E1D0000}"/>
    <cellStyle name="Comma 2 2 4 2 3 2 3 4" xfId="8977" xr:uid="{00000000-0005-0000-0000-00008F1D0000}"/>
    <cellStyle name="Comma 2 2 4 2 3 2 3 4 2" xfId="32256" xr:uid="{00000000-0005-0000-0000-0000901D0000}"/>
    <cellStyle name="Comma 2 2 4 2 3 2 3 5" xfId="11425" xr:uid="{00000000-0005-0000-0000-0000911D0000}"/>
    <cellStyle name="Comma 2 2 4 2 3 2 3 5 2" xfId="34704" xr:uid="{00000000-0005-0000-0000-0000921D0000}"/>
    <cellStyle name="Comma 2 2 4 2 3 2 3 6" xfId="13873" xr:uid="{00000000-0005-0000-0000-0000931D0000}"/>
    <cellStyle name="Comma 2 2 4 2 3 2 3 6 2" xfId="37152" xr:uid="{00000000-0005-0000-0000-0000941D0000}"/>
    <cellStyle name="Comma 2 2 4 2 3 2 3 7" xfId="17568" xr:uid="{00000000-0005-0000-0000-0000951D0000}"/>
    <cellStyle name="Comma 2 2 4 2 3 2 3 7 2" xfId="40846" xr:uid="{00000000-0005-0000-0000-0000961D0000}"/>
    <cellStyle name="Comma 2 2 4 2 3 2 3 8" xfId="24912" xr:uid="{00000000-0005-0000-0000-0000971D0000}"/>
    <cellStyle name="Comma 2 2 4 2 3 2 3 9" xfId="45742" xr:uid="{00000000-0005-0000-0000-0000981D0000}"/>
    <cellStyle name="Comma 2 2 4 2 3 2 4" xfId="2857" xr:uid="{00000000-0005-0000-0000-0000991D0000}"/>
    <cellStyle name="Comma 2 2 4 2 3 2 4 2" xfId="16344" xr:uid="{00000000-0005-0000-0000-00009A1D0000}"/>
    <cellStyle name="Comma 2 2 4 2 3 2 4 2 2" xfId="39622" xr:uid="{00000000-0005-0000-0000-00009B1D0000}"/>
    <cellStyle name="Comma 2 2 4 2 3 2 4 3" xfId="46966" xr:uid="{00000000-0005-0000-0000-00009C1D0000}"/>
    <cellStyle name="Comma 2 2 4 2 3 2 4 4" xfId="26136" xr:uid="{00000000-0005-0000-0000-00009D1D0000}"/>
    <cellStyle name="Comma 2 2 4 2 3 2 5" xfId="5305" xr:uid="{00000000-0005-0000-0000-00009E1D0000}"/>
    <cellStyle name="Comma 2 2 4 2 3 2 5 2" xfId="18792" xr:uid="{00000000-0005-0000-0000-00009F1D0000}"/>
    <cellStyle name="Comma 2 2 4 2 3 2 5 2 2" xfId="42070" xr:uid="{00000000-0005-0000-0000-0000A01D0000}"/>
    <cellStyle name="Comma 2 2 4 2 3 2 5 3" xfId="28584" xr:uid="{00000000-0005-0000-0000-0000A11D0000}"/>
    <cellStyle name="Comma 2 2 4 2 3 2 6" xfId="7753" xr:uid="{00000000-0005-0000-0000-0000A21D0000}"/>
    <cellStyle name="Comma 2 2 4 2 3 2 6 2" xfId="31032" xr:uid="{00000000-0005-0000-0000-0000A31D0000}"/>
    <cellStyle name="Comma 2 2 4 2 3 2 7" xfId="10201" xr:uid="{00000000-0005-0000-0000-0000A41D0000}"/>
    <cellStyle name="Comma 2 2 4 2 3 2 7 2" xfId="33480" xr:uid="{00000000-0005-0000-0000-0000A51D0000}"/>
    <cellStyle name="Comma 2 2 4 2 3 2 8" xfId="12649" xr:uid="{00000000-0005-0000-0000-0000A61D0000}"/>
    <cellStyle name="Comma 2 2 4 2 3 2 8 2" xfId="35928" xr:uid="{00000000-0005-0000-0000-0000A71D0000}"/>
    <cellStyle name="Comma 2 2 4 2 3 2 9" xfId="15120" xr:uid="{00000000-0005-0000-0000-0000A81D0000}"/>
    <cellStyle name="Comma 2 2 4 2 3 2 9 2" xfId="38398" xr:uid="{00000000-0005-0000-0000-0000A91D0000}"/>
    <cellStyle name="Comma 2 2 4 2 3 3" xfId="613" xr:uid="{00000000-0005-0000-0000-0000AA1D0000}"/>
    <cellStyle name="Comma 2 2 4 2 3 3 10" xfId="23892" xr:uid="{00000000-0005-0000-0000-0000AB1D0000}"/>
    <cellStyle name="Comma 2 2 4 2 3 3 11" xfId="44722" xr:uid="{00000000-0005-0000-0000-0000AC1D0000}"/>
    <cellStyle name="Comma 2 2 4 2 3 3 12" xfId="21444" xr:uid="{00000000-0005-0000-0000-0000AD1D0000}"/>
    <cellStyle name="Comma 2 2 4 2 3 3 2" xfId="1225" xr:uid="{00000000-0005-0000-0000-0000AE1D0000}"/>
    <cellStyle name="Comma 2 2 4 2 3 3 2 10" xfId="45334" xr:uid="{00000000-0005-0000-0000-0000AF1D0000}"/>
    <cellStyle name="Comma 2 2 4 2 3 3 2 11" xfId="22056" xr:uid="{00000000-0005-0000-0000-0000B01D0000}"/>
    <cellStyle name="Comma 2 2 4 2 3 3 2 2" xfId="2449" xr:uid="{00000000-0005-0000-0000-0000B11D0000}"/>
    <cellStyle name="Comma 2 2 4 2 3 3 2 2 10" xfId="23280" xr:uid="{00000000-0005-0000-0000-0000B21D0000}"/>
    <cellStyle name="Comma 2 2 4 2 3 3 2 2 2" xfId="4897" xr:uid="{00000000-0005-0000-0000-0000B31D0000}"/>
    <cellStyle name="Comma 2 2 4 2 3 3 2 2 2 2" xfId="20832" xr:uid="{00000000-0005-0000-0000-0000B41D0000}"/>
    <cellStyle name="Comma 2 2 4 2 3 3 2 2 2 2 2" xfId="44110" xr:uid="{00000000-0005-0000-0000-0000B51D0000}"/>
    <cellStyle name="Comma 2 2 4 2 3 3 2 2 2 3" xfId="49006" xr:uid="{00000000-0005-0000-0000-0000B61D0000}"/>
    <cellStyle name="Comma 2 2 4 2 3 3 2 2 2 4" xfId="28176" xr:uid="{00000000-0005-0000-0000-0000B71D0000}"/>
    <cellStyle name="Comma 2 2 4 2 3 3 2 2 3" xfId="7345" xr:uid="{00000000-0005-0000-0000-0000B81D0000}"/>
    <cellStyle name="Comma 2 2 4 2 3 3 2 2 3 2" xfId="30624" xr:uid="{00000000-0005-0000-0000-0000B91D0000}"/>
    <cellStyle name="Comma 2 2 4 2 3 3 2 2 4" xfId="9793" xr:uid="{00000000-0005-0000-0000-0000BA1D0000}"/>
    <cellStyle name="Comma 2 2 4 2 3 3 2 2 4 2" xfId="33072" xr:uid="{00000000-0005-0000-0000-0000BB1D0000}"/>
    <cellStyle name="Comma 2 2 4 2 3 3 2 2 5" xfId="12241" xr:uid="{00000000-0005-0000-0000-0000BC1D0000}"/>
    <cellStyle name="Comma 2 2 4 2 3 3 2 2 5 2" xfId="35520" xr:uid="{00000000-0005-0000-0000-0000BD1D0000}"/>
    <cellStyle name="Comma 2 2 4 2 3 3 2 2 6" xfId="14689" xr:uid="{00000000-0005-0000-0000-0000BE1D0000}"/>
    <cellStyle name="Comma 2 2 4 2 3 3 2 2 6 2" xfId="37968" xr:uid="{00000000-0005-0000-0000-0000BF1D0000}"/>
    <cellStyle name="Comma 2 2 4 2 3 3 2 2 7" xfId="18384" xr:uid="{00000000-0005-0000-0000-0000C01D0000}"/>
    <cellStyle name="Comma 2 2 4 2 3 3 2 2 7 2" xfId="41662" xr:uid="{00000000-0005-0000-0000-0000C11D0000}"/>
    <cellStyle name="Comma 2 2 4 2 3 3 2 2 8" xfId="25728" xr:uid="{00000000-0005-0000-0000-0000C21D0000}"/>
    <cellStyle name="Comma 2 2 4 2 3 3 2 2 9" xfId="46558" xr:uid="{00000000-0005-0000-0000-0000C31D0000}"/>
    <cellStyle name="Comma 2 2 4 2 3 3 2 3" xfId="3673" xr:uid="{00000000-0005-0000-0000-0000C41D0000}"/>
    <cellStyle name="Comma 2 2 4 2 3 3 2 3 2" xfId="17160" xr:uid="{00000000-0005-0000-0000-0000C51D0000}"/>
    <cellStyle name="Comma 2 2 4 2 3 3 2 3 2 2" xfId="40438" xr:uid="{00000000-0005-0000-0000-0000C61D0000}"/>
    <cellStyle name="Comma 2 2 4 2 3 3 2 3 3" xfId="47782" xr:uid="{00000000-0005-0000-0000-0000C71D0000}"/>
    <cellStyle name="Comma 2 2 4 2 3 3 2 3 4" xfId="26952" xr:uid="{00000000-0005-0000-0000-0000C81D0000}"/>
    <cellStyle name="Comma 2 2 4 2 3 3 2 4" xfId="6121" xr:uid="{00000000-0005-0000-0000-0000C91D0000}"/>
    <cellStyle name="Comma 2 2 4 2 3 3 2 4 2" xfId="19608" xr:uid="{00000000-0005-0000-0000-0000CA1D0000}"/>
    <cellStyle name="Comma 2 2 4 2 3 3 2 4 2 2" xfId="42886" xr:uid="{00000000-0005-0000-0000-0000CB1D0000}"/>
    <cellStyle name="Comma 2 2 4 2 3 3 2 4 3" xfId="29400" xr:uid="{00000000-0005-0000-0000-0000CC1D0000}"/>
    <cellStyle name="Comma 2 2 4 2 3 3 2 5" xfId="8569" xr:uid="{00000000-0005-0000-0000-0000CD1D0000}"/>
    <cellStyle name="Comma 2 2 4 2 3 3 2 5 2" xfId="31848" xr:uid="{00000000-0005-0000-0000-0000CE1D0000}"/>
    <cellStyle name="Comma 2 2 4 2 3 3 2 6" xfId="11017" xr:uid="{00000000-0005-0000-0000-0000CF1D0000}"/>
    <cellStyle name="Comma 2 2 4 2 3 3 2 6 2" xfId="34296" xr:uid="{00000000-0005-0000-0000-0000D01D0000}"/>
    <cellStyle name="Comma 2 2 4 2 3 3 2 7" xfId="13465" xr:uid="{00000000-0005-0000-0000-0000D11D0000}"/>
    <cellStyle name="Comma 2 2 4 2 3 3 2 7 2" xfId="36744" xr:uid="{00000000-0005-0000-0000-0000D21D0000}"/>
    <cellStyle name="Comma 2 2 4 2 3 3 2 8" xfId="15936" xr:uid="{00000000-0005-0000-0000-0000D31D0000}"/>
    <cellStyle name="Comma 2 2 4 2 3 3 2 8 2" xfId="39214" xr:uid="{00000000-0005-0000-0000-0000D41D0000}"/>
    <cellStyle name="Comma 2 2 4 2 3 3 2 9" xfId="24504" xr:uid="{00000000-0005-0000-0000-0000D51D0000}"/>
    <cellStyle name="Comma 2 2 4 2 3 3 3" xfId="1837" xr:uid="{00000000-0005-0000-0000-0000D61D0000}"/>
    <cellStyle name="Comma 2 2 4 2 3 3 3 10" xfId="22668" xr:uid="{00000000-0005-0000-0000-0000D71D0000}"/>
    <cellStyle name="Comma 2 2 4 2 3 3 3 2" xfId="4285" xr:uid="{00000000-0005-0000-0000-0000D81D0000}"/>
    <cellStyle name="Comma 2 2 4 2 3 3 3 2 2" xfId="20220" xr:uid="{00000000-0005-0000-0000-0000D91D0000}"/>
    <cellStyle name="Comma 2 2 4 2 3 3 3 2 2 2" xfId="43498" xr:uid="{00000000-0005-0000-0000-0000DA1D0000}"/>
    <cellStyle name="Comma 2 2 4 2 3 3 3 2 3" xfId="48394" xr:uid="{00000000-0005-0000-0000-0000DB1D0000}"/>
    <cellStyle name="Comma 2 2 4 2 3 3 3 2 4" xfId="27564" xr:uid="{00000000-0005-0000-0000-0000DC1D0000}"/>
    <cellStyle name="Comma 2 2 4 2 3 3 3 3" xfId="6733" xr:uid="{00000000-0005-0000-0000-0000DD1D0000}"/>
    <cellStyle name="Comma 2 2 4 2 3 3 3 3 2" xfId="30012" xr:uid="{00000000-0005-0000-0000-0000DE1D0000}"/>
    <cellStyle name="Comma 2 2 4 2 3 3 3 4" xfId="9181" xr:uid="{00000000-0005-0000-0000-0000DF1D0000}"/>
    <cellStyle name="Comma 2 2 4 2 3 3 3 4 2" xfId="32460" xr:uid="{00000000-0005-0000-0000-0000E01D0000}"/>
    <cellStyle name="Comma 2 2 4 2 3 3 3 5" xfId="11629" xr:uid="{00000000-0005-0000-0000-0000E11D0000}"/>
    <cellStyle name="Comma 2 2 4 2 3 3 3 5 2" xfId="34908" xr:uid="{00000000-0005-0000-0000-0000E21D0000}"/>
    <cellStyle name="Comma 2 2 4 2 3 3 3 6" xfId="14077" xr:uid="{00000000-0005-0000-0000-0000E31D0000}"/>
    <cellStyle name="Comma 2 2 4 2 3 3 3 6 2" xfId="37356" xr:uid="{00000000-0005-0000-0000-0000E41D0000}"/>
    <cellStyle name="Comma 2 2 4 2 3 3 3 7" xfId="17772" xr:uid="{00000000-0005-0000-0000-0000E51D0000}"/>
    <cellStyle name="Comma 2 2 4 2 3 3 3 7 2" xfId="41050" xr:uid="{00000000-0005-0000-0000-0000E61D0000}"/>
    <cellStyle name="Comma 2 2 4 2 3 3 3 8" xfId="25116" xr:uid="{00000000-0005-0000-0000-0000E71D0000}"/>
    <cellStyle name="Comma 2 2 4 2 3 3 3 9" xfId="45946" xr:uid="{00000000-0005-0000-0000-0000E81D0000}"/>
    <cellStyle name="Comma 2 2 4 2 3 3 4" xfId="3061" xr:uid="{00000000-0005-0000-0000-0000E91D0000}"/>
    <cellStyle name="Comma 2 2 4 2 3 3 4 2" xfId="16548" xr:uid="{00000000-0005-0000-0000-0000EA1D0000}"/>
    <cellStyle name="Comma 2 2 4 2 3 3 4 2 2" xfId="39826" xr:uid="{00000000-0005-0000-0000-0000EB1D0000}"/>
    <cellStyle name="Comma 2 2 4 2 3 3 4 3" xfId="47170" xr:uid="{00000000-0005-0000-0000-0000EC1D0000}"/>
    <cellStyle name="Comma 2 2 4 2 3 3 4 4" xfId="26340" xr:uid="{00000000-0005-0000-0000-0000ED1D0000}"/>
    <cellStyle name="Comma 2 2 4 2 3 3 5" xfId="5509" xr:uid="{00000000-0005-0000-0000-0000EE1D0000}"/>
    <cellStyle name="Comma 2 2 4 2 3 3 5 2" xfId="18996" xr:uid="{00000000-0005-0000-0000-0000EF1D0000}"/>
    <cellStyle name="Comma 2 2 4 2 3 3 5 2 2" xfId="42274" xr:uid="{00000000-0005-0000-0000-0000F01D0000}"/>
    <cellStyle name="Comma 2 2 4 2 3 3 5 3" xfId="28788" xr:uid="{00000000-0005-0000-0000-0000F11D0000}"/>
    <cellStyle name="Comma 2 2 4 2 3 3 6" xfId="7957" xr:uid="{00000000-0005-0000-0000-0000F21D0000}"/>
    <cellStyle name="Comma 2 2 4 2 3 3 6 2" xfId="31236" xr:uid="{00000000-0005-0000-0000-0000F31D0000}"/>
    <cellStyle name="Comma 2 2 4 2 3 3 7" xfId="10405" xr:uid="{00000000-0005-0000-0000-0000F41D0000}"/>
    <cellStyle name="Comma 2 2 4 2 3 3 7 2" xfId="33684" xr:uid="{00000000-0005-0000-0000-0000F51D0000}"/>
    <cellStyle name="Comma 2 2 4 2 3 3 8" xfId="12853" xr:uid="{00000000-0005-0000-0000-0000F61D0000}"/>
    <cellStyle name="Comma 2 2 4 2 3 3 8 2" xfId="36132" xr:uid="{00000000-0005-0000-0000-0000F71D0000}"/>
    <cellStyle name="Comma 2 2 4 2 3 3 9" xfId="15324" xr:uid="{00000000-0005-0000-0000-0000F81D0000}"/>
    <cellStyle name="Comma 2 2 4 2 3 3 9 2" xfId="38602" xr:uid="{00000000-0005-0000-0000-0000F91D0000}"/>
    <cellStyle name="Comma 2 2 4 2 3 4" xfId="817" xr:uid="{00000000-0005-0000-0000-0000FA1D0000}"/>
    <cellStyle name="Comma 2 2 4 2 3 4 10" xfId="44926" xr:uid="{00000000-0005-0000-0000-0000FB1D0000}"/>
    <cellStyle name="Comma 2 2 4 2 3 4 11" xfId="21648" xr:uid="{00000000-0005-0000-0000-0000FC1D0000}"/>
    <cellStyle name="Comma 2 2 4 2 3 4 2" xfId="2041" xr:uid="{00000000-0005-0000-0000-0000FD1D0000}"/>
    <cellStyle name="Comma 2 2 4 2 3 4 2 10" xfId="22872" xr:uid="{00000000-0005-0000-0000-0000FE1D0000}"/>
    <cellStyle name="Comma 2 2 4 2 3 4 2 2" xfId="4489" xr:uid="{00000000-0005-0000-0000-0000FF1D0000}"/>
    <cellStyle name="Comma 2 2 4 2 3 4 2 2 2" xfId="20424" xr:uid="{00000000-0005-0000-0000-0000001E0000}"/>
    <cellStyle name="Comma 2 2 4 2 3 4 2 2 2 2" xfId="43702" xr:uid="{00000000-0005-0000-0000-0000011E0000}"/>
    <cellStyle name="Comma 2 2 4 2 3 4 2 2 3" xfId="48598" xr:uid="{00000000-0005-0000-0000-0000021E0000}"/>
    <cellStyle name="Comma 2 2 4 2 3 4 2 2 4" xfId="27768" xr:uid="{00000000-0005-0000-0000-0000031E0000}"/>
    <cellStyle name="Comma 2 2 4 2 3 4 2 3" xfId="6937" xr:uid="{00000000-0005-0000-0000-0000041E0000}"/>
    <cellStyle name="Comma 2 2 4 2 3 4 2 3 2" xfId="30216" xr:uid="{00000000-0005-0000-0000-0000051E0000}"/>
    <cellStyle name="Comma 2 2 4 2 3 4 2 4" xfId="9385" xr:uid="{00000000-0005-0000-0000-0000061E0000}"/>
    <cellStyle name="Comma 2 2 4 2 3 4 2 4 2" xfId="32664" xr:uid="{00000000-0005-0000-0000-0000071E0000}"/>
    <cellStyle name="Comma 2 2 4 2 3 4 2 5" xfId="11833" xr:uid="{00000000-0005-0000-0000-0000081E0000}"/>
    <cellStyle name="Comma 2 2 4 2 3 4 2 5 2" xfId="35112" xr:uid="{00000000-0005-0000-0000-0000091E0000}"/>
    <cellStyle name="Comma 2 2 4 2 3 4 2 6" xfId="14281" xr:uid="{00000000-0005-0000-0000-00000A1E0000}"/>
    <cellStyle name="Comma 2 2 4 2 3 4 2 6 2" xfId="37560" xr:uid="{00000000-0005-0000-0000-00000B1E0000}"/>
    <cellStyle name="Comma 2 2 4 2 3 4 2 7" xfId="17976" xr:uid="{00000000-0005-0000-0000-00000C1E0000}"/>
    <cellStyle name="Comma 2 2 4 2 3 4 2 7 2" xfId="41254" xr:uid="{00000000-0005-0000-0000-00000D1E0000}"/>
    <cellStyle name="Comma 2 2 4 2 3 4 2 8" xfId="25320" xr:uid="{00000000-0005-0000-0000-00000E1E0000}"/>
    <cellStyle name="Comma 2 2 4 2 3 4 2 9" xfId="46150" xr:uid="{00000000-0005-0000-0000-00000F1E0000}"/>
    <cellStyle name="Comma 2 2 4 2 3 4 3" xfId="3265" xr:uid="{00000000-0005-0000-0000-0000101E0000}"/>
    <cellStyle name="Comma 2 2 4 2 3 4 3 2" xfId="16752" xr:uid="{00000000-0005-0000-0000-0000111E0000}"/>
    <cellStyle name="Comma 2 2 4 2 3 4 3 2 2" xfId="40030" xr:uid="{00000000-0005-0000-0000-0000121E0000}"/>
    <cellStyle name="Comma 2 2 4 2 3 4 3 3" xfId="47374" xr:uid="{00000000-0005-0000-0000-0000131E0000}"/>
    <cellStyle name="Comma 2 2 4 2 3 4 3 4" xfId="26544" xr:uid="{00000000-0005-0000-0000-0000141E0000}"/>
    <cellStyle name="Comma 2 2 4 2 3 4 4" xfId="5713" xr:uid="{00000000-0005-0000-0000-0000151E0000}"/>
    <cellStyle name="Comma 2 2 4 2 3 4 4 2" xfId="19200" xr:uid="{00000000-0005-0000-0000-0000161E0000}"/>
    <cellStyle name="Comma 2 2 4 2 3 4 4 2 2" xfId="42478" xr:uid="{00000000-0005-0000-0000-0000171E0000}"/>
    <cellStyle name="Comma 2 2 4 2 3 4 4 3" xfId="28992" xr:uid="{00000000-0005-0000-0000-0000181E0000}"/>
    <cellStyle name="Comma 2 2 4 2 3 4 5" xfId="8161" xr:uid="{00000000-0005-0000-0000-0000191E0000}"/>
    <cellStyle name="Comma 2 2 4 2 3 4 5 2" xfId="31440" xr:uid="{00000000-0005-0000-0000-00001A1E0000}"/>
    <cellStyle name="Comma 2 2 4 2 3 4 6" xfId="10609" xr:uid="{00000000-0005-0000-0000-00001B1E0000}"/>
    <cellStyle name="Comma 2 2 4 2 3 4 6 2" xfId="33888" xr:uid="{00000000-0005-0000-0000-00001C1E0000}"/>
    <cellStyle name="Comma 2 2 4 2 3 4 7" xfId="13057" xr:uid="{00000000-0005-0000-0000-00001D1E0000}"/>
    <cellStyle name="Comma 2 2 4 2 3 4 7 2" xfId="36336" xr:uid="{00000000-0005-0000-0000-00001E1E0000}"/>
    <cellStyle name="Comma 2 2 4 2 3 4 8" xfId="15528" xr:uid="{00000000-0005-0000-0000-00001F1E0000}"/>
    <cellStyle name="Comma 2 2 4 2 3 4 8 2" xfId="38806" xr:uid="{00000000-0005-0000-0000-0000201E0000}"/>
    <cellStyle name="Comma 2 2 4 2 3 4 9" xfId="24096" xr:uid="{00000000-0005-0000-0000-0000211E0000}"/>
    <cellStyle name="Comma 2 2 4 2 3 5" xfId="1429" xr:uid="{00000000-0005-0000-0000-0000221E0000}"/>
    <cellStyle name="Comma 2 2 4 2 3 5 10" xfId="22260" xr:uid="{00000000-0005-0000-0000-0000231E0000}"/>
    <cellStyle name="Comma 2 2 4 2 3 5 2" xfId="3877" xr:uid="{00000000-0005-0000-0000-0000241E0000}"/>
    <cellStyle name="Comma 2 2 4 2 3 5 2 2" xfId="19812" xr:uid="{00000000-0005-0000-0000-0000251E0000}"/>
    <cellStyle name="Comma 2 2 4 2 3 5 2 2 2" xfId="43090" xr:uid="{00000000-0005-0000-0000-0000261E0000}"/>
    <cellStyle name="Comma 2 2 4 2 3 5 2 3" xfId="47986" xr:uid="{00000000-0005-0000-0000-0000271E0000}"/>
    <cellStyle name="Comma 2 2 4 2 3 5 2 4" xfId="27156" xr:uid="{00000000-0005-0000-0000-0000281E0000}"/>
    <cellStyle name="Comma 2 2 4 2 3 5 3" xfId="6325" xr:uid="{00000000-0005-0000-0000-0000291E0000}"/>
    <cellStyle name="Comma 2 2 4 2 3 5 3 2" xfId="29604" xr:uid="{00000000-0005-0000-0000-00002A1E0000}"/>
    <cellStyle name="Comma 2 2 4 2 3 5 4" xfId="8773" xr:uid="{00000000-0005-0000-0000-00002B1E0000}"/>
    <cellStyle name="Comma 2 2 4 2 3 5 4 2" xfId="32052" xr:uid="{00000000-0005-0000-0000-00002C1E0000}"/>
    <cellStyle name="Comma 2 2 4 2 3 5 5" xfId="11221" xr:uid="{00000000-0005-0000-0000-00002D1E0000}"/>
    <cellStyle name="Comma 2 2 4 2 3 5 5 2" xfId="34500" xr:uid="{00000000-0005-0000-0000-00002E1E0000}"/>
    <cellStyle name="Comma 2 2 4 2 3 5 6" xfId="13669" xr:uid="{00000000-0005-0000-0000-00002F1E0000}"/>
    <cellStyle name="Comma 2 2 4 2 3 5 6 2" xfId="36948" xr:uid="{00000000-0005-0000-0000-0000301E0000}"/>
    <cellStyle name="Comma 2 2 4 2 3 5 7" xfId="17364" xr:uid="{00000000-0005-0000-0000-0000311E0000}"/>
    <cellStyle name="Comma 2 2 4 2 3 5 7 2" xfId="40642" xr:uid="{00000000-0005-0000-0000-0000321E0000}"/>
    <cellStyle name="Comma 2 2 4 2 3 5 8" xfId="24708" xr:uid="{00000000-0005-0000-0000-0000331E0000}"/>
    <cellStyle name="Comma 2 2 4 2 3 5 9" xfId="45538" xr:uid="{00000000-0005-0000-0000-0000341E0000}"/>
    <cellStyle name="Comma 2 2 4 2 3 6" xfId="2653" xr:uid="{00000000-0005-0000-0000-0000351E0000}"/>
    <cellStyle name="Comma 2 2 4 2 3 6 2" xfId="16140" xr:uid="{00000000-0005-0000-0000-0000361E0000}"/>
    <cellStyle name="Comma 2 2 4 2 3 6 2 2" xfId="39418" xr:uid="{00000000-0005-0000-0000-0000371E0000}"/>
    <cellStyle name="Comma 2 2 4 2 3 6 3" xfId="46762" xr:uid="{00000000-0005-0000-0000-0000381E0000}"/>
    <cellStyle name="Comma 2 2 4 2 3 6 4" xfId="25932" xr:uid="{00000000-0005-0000-0000-0000391E0000}"/>
    <cellStyle name="Comma 2 2 4 2 3 7" xfId="5101" xr:uid="{00000000-0005-0000-0000-00003A1E0000}"/>
    <cellStyle name="Comma 2 2 4 2 3 7 2" xfId="18588" xr:uid="{00000000-0005-0000-0000-00003B1E0000}"/>
    <cellStyle name="Comma 2 2 4 2 3 7 2 2" xfId="41866" xr:uid="{00000000-0005-0000-0000-00003C1E0000}"/>
    <cellStyle name="Comma 2 2 4 2 3 7 3" xfId="28380" xr:uid="{00000000-0005-0000-0000-00003D1E0000}"/>
    <cellStyle name="Comma 2 2 4 2 3 8" xfId="7549" xr:uid="{00000000-0005-0000-0000-00003E1E0000}"/>
    <cellStyle name="Comma 2 2 4 2 3 8 2" xfId="30828" xr:uid="{00000000-0005-0000-0000-00003F1E0000}"/>
    <cellStyle name="Comma 2 2 4 2 3 9" xfId="9997" xr:uid="{00000000-0005-0000-0000-0000401E0000}"/>
    <cellStyle name="Comma 2 2 4 2 3 9 2" xfId="33276" xr:uid="{00000000-0005-0000-0000-0000411E0000}"/>
    <cellStyle name="Comma 2 2 4 2 4" xfId="273" xr:uid="{00000000-0005-0000-0000-0000421E0000}"/>
    <cellStyle name="Comma 2 2 4 2 4 10" xfId="23552" xr:uid="{00000000-0005-0000-0000-0000431E0000}"/>
    <cellStyle name="Comma 2 2 4 2 4 11" xfId="44382" xr:uid="{00000000-0005-0000-0000-0000441E0000}"/>
    <cellStyle name="Comma 2 2 4 2 4 12" xfId="21104" xr:uid="{00000000-0005-0000-0000-0000451E0000}"/>
    <cellStyle name="Comma 2 2 4 2 4 2" xfId="885" xr:uid="{00000000-0005-0000-0000-0000461E0000}"/>
    <cellStyle name="Comma 2 2 4 2 4 2 10" xfId="44994" xr:uid="{00000000-0005-0000-0000-0000471E0000}"/>
    <cellStyle name="Comma 2 2 4 2 4 2 11" xfId="21716" xr:uid="{00000000-0005-0000-0000-0000481E0000}"/>
    <cellStyle name="Comma 2 2 4 2 4 2 2" xfId="2109" xr:uid="{00000000-0005-0000-0000-0000491E0000}"/>
    <cellStyle name="Comma 2 2 4 2 4 2 2 10" xfId="22940" xr:uid="{00000000-0005-0000-0000-00004A1E0000}"/>
    <cellStyle name="Comma 2 2 4 2 4 2 2 2" xfId="4557" xr:uid="{00000000-0005-0000-0000-00004B1E0000}"/>
    <cellStyle name="Comma 2 2 4 2 4 2 2 2 2" xfId="20492" xr:uid="{00000000-0005-0000-0000-00004C1E0000}"/>
    <cellStyle name="Comma 2 2 4 2 4 2 2 2 2 2" xfId="43770" xr:uid="{00000000-0005-0000-0000-00004D1E0000}"/>
    <cellStyle name="Comma 2 2 4 2 4 2 2 2 3" xfId="48666" xr:uid="{00000000-0005-0000-0000-00004E1E0000}"/>
    <cellStyle name="Comma 2 2 4 2 4 2 2 2 4" xfId="27836" xr:uid="{00000000-0005-0000-0000-00004F1E0000}"/>
    <cellStyle name="Comma 2 2 4 2 4 2 2 3" xfId="7005" xr:uid="{00000000-0005-0000-0000-0000501E0000}"/>
    <cellStyle name="Comma 2 2 4 2 4 2 2 3 2" xfId="30284" xr:uid="{00000000-0005-0000-0000-0000511E0000}"/>
    <cellStyle name="Comma 2 2 4 2 4 2 2 4" xfId="9453" xr:uid="{00000000-0005-0000-0000-0000521E0000}"/>
    <cellStyle name="Comma 2 2 4 2 4 2 2 4 2" xfId="32732" xr:uid="{00000000-0005-0000-0000-0000531E0000}"/>
    <cellStyle name="Comma 2 2 4 2 4 2 2 5" xfId="11901" xr:uid="{00000000-0005-0000-0000-0000541E0000}"/>
    <cellStyle name="Comma 2 2 4 2 4 2 2 5 2" xfId="35180" xr:uid="{00000000-0005-0000-0000-0000551E0000}"/>
    <cellStyle name="Comma 2 2 4 2 4 2 2 6" xfId="14349" xr:uid="{00000000-0005-0000-0000-0000561E0000}"/>
    <cellStyle name="Comma 2 2 4 2 4 2 2 6 2" xfId="37628" xr:uid="{00000000-0005-0000-0000-0000571E0000}"/>
    <cellStyle name="Comma 2 2 4 2 4 2 2 7" xfId="18044" xr:uid="{00000000-0005-0000-0000-0000581E0000}"/>
    <cellStyle name="Comma 2 2 4 2 4 2 2 7 2" xfId="41322" xr:uid="{00000000-0005-0000-0000-0000591E0000}"/>
    <cellStyle name="Comma 2 2 4 2 4 2 2 8" xfId="25388" xr:uid="{00000000-0005-0000-0000-00005A1E0000}"/>
    <cellStyle name="Comma 2 2 4 2 4 2 2 9" xfId="46218" xr:uid="{00000000-0005-0000-0000-00005B1E0000}"/>
    <cellStyle name="Comma 2 2 4 2 4 2 3" xfId="3333" xr:uid="{00000000-0005-0000-0000-00005C1E0000}"/>
    <cellStyle name="Comma 2 2 4 2 4 2 3 2" xfId="16820" xr:uid="{00000000-0005-0000-0000-00005D1E0000}"/>
    <cellStyle name="Comma 2 2 4 2 4 2 3 2 2" xfId="40098" xr:uid="{00000000-0005-0000-0000-00005E1E0000}"/>
    <cellStyle name="Comma 2 2 4 2 4 2 3 3" xfId="47442" xr:uid="{00000000-0005-0000-0000-00005F1E0000}"/>
    <cellStyle name="Comma 2 2 4 2 4 2 3 4" xfId="26612" xr:uid="{00000000-0005-0000-0000-0000601E0000}"/>
    <cellStyle name="Comma 2 2 4 2 4 2 4" xfId="5781" xr:uid="{00000000-0005-0000-0000-0000611E0000}"/>
    <cellStyle name="Comma 2 2 4 2 4 2 4 2" xfId="19268" xr:uid="{00000000-0005-0000-0000-0000621E0000}"/>
    <cellStyle name="Comma 2 2 4 2 4 2 4 2 2" xfId="42546" xr:uid="{00000000-0005-0000-0000-0000631E0000}"/>
    <cellStyle name="Comma 2 2 4 2 4 2 4 3" xfId="29060" xr:uid="{00000000-0005-0000-0000-0000641E0000}"/>
    <cellStyle name="Comma 2 2 4 2 4 2 5" xfId="8229" xr:uid="{00000000-0005-0000-0000-0000651E0000}"/>
    <cellStyle name="Comma 2 2 4 2 4 2 5 2" xfId="31508" xr:uid="{00000000-0005-0000-0000-0000661E0000}"/>
    <cellStyle name="Comma 2 2 4 2 4 2 6" xfId="10677" xr:uid="{00000000-0005-0000-0000-0000671E0000}"/>
    <cellStyle name="Comma 2 2 4 2 4 2 6 2" xfId="33956" xr:uid="{00000000-0005-0000-0000-0000681E0000}"/>
    <cellStyle name="Comma 2 2 4 2 4 2 7" xfId="13125" xr:uid="{00000000-0005-0000-0000-0000691E0000}"/>
    <cellStyle name="Comma 2 2 4 2 4 2 7 2" xfId="36404" xr:uid="{00000000-0005-0000-0000-00006A1E0000}"/>
    <cellStyle name="Comma 2 2 4 2 4 2 8" xfId="15596" xr:uid="{00000000-0005-0000-0000-00006B1E0000}"/>
    <cellStyle name="Comma 2 2 4 2 4 2 8 2" xfId="38874" xr:uid="{00000000-0005-0000-0000-00006C1E0000}"/>
    <cellStyle name="Comma 2 2 4 2 4 2 9" xfId="24164" xr:uid="{00000000-0005-0000-0000-00006D1E0000}"/>
    <cellStyle name="Comma 2 2 4 2 4 3" xfId="1497" xr:uid="{00000000-0005-0000-0000-00006E1E0000}"/>
    <cellStyle name="Comma 2 2 4 2 4 3 10" xfId="22328" xr:uid="{00000000-0005-0000-0000-00006F1E0000}"/>
    <cellStyle name="Comma 2 2 4 2 4 3 2" xfId="3945" xr:uid="{00000000-0005-0000-0000-0000701E0000}"/>
    <cellStyle name="Comma 2 2 4 2 4 3 2 2" xfId="19880" xr:uid="{00000000-0005-0000-0000-0000711E0000}"/>
    <cellStyle name="Comma 2 2 4 2 4 3 2 2 2" xfId="43158" xr:uid="{00000000-0005-0000-0000-0000721E0000}"/>
    <cellStyle name="Comma 2 2 4 2 4 3 2 3" xfId="48054" xr:uid="{00000000-0005-0000-0000-0000731E0000}"/>
    <cellStyle name="Comma 2 2 4 2 4 3 2 4" xfId="27224" xr:uid="{00000000-0005-0000-0000-0000741E0000}"/>
    <cellStyle name="Comma 2 2 4 2 4 3 3" xfId="6393" xr:uid="{00000000-0005-0000-0000-0000751E0000}"/>
    <cellStyle name="Comma 2 2 4 2 4 3 3 2" xfId="29672" xr:uid="{00000000-0005-0000-0000-0000761E0000}"/>
    <cellStyle name="Comma 2 2 4 2 4 3 4" xfId="8841" xr:uid="{00000000-0005-0000-0000-0000771E0000}"/>
    <cellStyle name="Comma 2 2 4 2 4 3 4 2" xfId="32120" xr:uid="{00000000-0005-0000-0000-0000781E0000}"/>
    <cellStyle name="Comma 2 2 4 2 4 3 5" xfId="11289" xr:uid="{00000000-0005-0000-0000-0000791E0000}"/>
    <cellStyle name="Comma 2 2 4 2 4 3 5 2" xfId="34568" xr:uid="{00000000-0005-0000-0000-00007A1E0000}"/>
    <cellStyle name="Comma 2 2 4 2 4 3 6" xfId="13737" xr:uid="{00000000-0005-0000-0000-00007B1E0000}"/>
    <cellStyle name="Comma 2 2 4 2 4 3 6 2" xfId="37016" xr:uid="{00000000-0005-0000-0000-00007C1E0000}"/>
    <cellStyle name="Comma 2 2 4 2 4 3 7" xfId="17432" xr:uid="{00000000-0005-0000-0000-00007D1E0000}"/>
    <cellStyle name="Comma 2 2 4 2 4 3 7 2" xfId="40710" xr:uid="{00000000-0005-0000-0000-00007E1E0000}"/>
    <cellStyle name="Comma 2 2 4 2 4 3 8" xfId="24776" xr:uid="{00000000-0005-0000-0000-00007F1E0000}"/>
    <cellStyle name="Comma 2 2 4 2 4 3 9" xfId="45606" xr:uid="{00000000-0005-0000-0000-0000801E0000}"/>
    <cellStyle name="Comma 2 2 4 2 4 4" xfId="2721" xr:uid="{00000000-0005-0000-0000-0000811E0000}"/>
    <cellStyle name="Comma 2 2 4 2 4 4 2" xfId="16208" xr:uid="{00000000-0005-0000-0000-0000821E0000}"/>
    <cellStyle name="Comma 2 2 4 2 4 4 2 2" xfId="39486" xr:uid="{00000000-0005-0000-0000-0000831E0000}"/>
    <cellStyle name="Comma 2 2 4 2 4 4 3" xfId="46830" xr:uid="{00000000-0005-0000-0000-0000841E0000}"/>
    <cellStyle name="Comma 2 2 4 2 4 4 4" xfId="26000" xr:uid="{00000000-0005-0000-0000-0000851E0000}"/>
    <cellStyle name="Comma 2 2 4 2 4 5" xfId="5169" xr:uid="{00000000-0005-0000-0000-0000861E0000}"/>
    <cellStyle name="Comma 2 2 4 2 4 5 2" xfId="18656" xr:uid="{00000000-0005-0000-0000-0000871E0000}"/>
    <cellStyle name="Comma 2 2 4 2 4 5 2 2" xfId="41934" xr:uid="{00000000-0005-0000-0000-0000881E0000}"/>
    <cellStyle name="Comma 2 2 4 2 4 5 3" xfId="28448" xr:uid="{00000000-0005-0000-0000-0000891E0000}"/>
    <cellStyle name="Comma 2 2 4 2 4 6" xfId="7617" xr:uid="{00000000-0005-0000-0000-00008A1E0000}"/>
    <cellStyle name="Comma 2 2 4 2 4 6 2" xfId="30896" xr:uid="{00000000-0005-0000-0000-00008B1E0000}"/>
    <cellStyle name="Comma 2 2 4 2 4 7" xfId="10065" xr:uid="{00000000-0005-0000-0000-00008C1E0000}"/>
    <cellStyle name="Comma 2 2 4 2 4 7 2" xfId="33344" xr:uid="{00000000-0005-0000-0000-00008D1E0000}"/>
    <cellStyle name="Comma 2 2 4 2 4 8" xfId="12513" xr:uid="{00000000-0005-0000-0000-00008E1E0000}"/>
    <cellStyle name="Comma 2 2 4 2 4 8 2" xfId="35792" xr:uid="{00000000-0005-0000-0000-00008F1E0000}"/>
    <cellStyle name="Comma 2 2 4 2 4 9" xfId="14984" xr:uid="{00000000-0005-0000-0000-0000901E0000}"/>
    <cellStyle name="Comma 2 2 4 2 4 9 2" xfId="38262" xr:uid="{00000000-0005-0000-0000-0000911E0000}"/>
    <cellStyle name="Comma 2 2 4 2 5" xfId="477" xr:uid="{00000000-0005-0000-0000-0000921E0000}"/>
    <cellStyle name="Comma 2 2 4 2 5 10" xfId="23756" xr:uid="{00000000-0005-0000-0000-0000931E0000}"/>
    <cellStyle name="Comma 2 2 4 2 5 11" xfId="44586" xr:uid="{00000000-0005-0000-0000-0000941E0000}"/>
    <cellStyle name="Comma 2 2 4 2 5 12" xfId="21308" xr:uid="{00000000-0005-0000-0000-0000951E0000}"/>
    <cellStyle name="Comma 2 2 4 2 5 2" xfId="1089" xr:uid="{00000000-0005-0000-0000-0000961E0000}"/>
    <cellStyle name="Comma 2 2 4 2 5 2 10" xfId="45198" xr:uid="{00000000-0005-0000-0000-0000971E0000}"/>
    <cellStyle name="Comma 2 2 4 2 5 2 11" xfId="21920" xr:uid="{00000000-0005-0000-0000-0000981E0000}"/>
    <cellStyle name="Comma 2 2 4 2 5 2 2" xfId="2313" xr:uid="{00000000-0005-0000-0000-0000991E0000}"/>
    <cellStyle name="Comma 2 2 4 2 5 2 2 10" xfId="23144" xr:uid="{00000000-0005-0000-0000-00009A1E0000}"/>
    <cellStyle name="Comma 2 2 4 2 5 2 2 2" xfId="4761" xr:uid="{00000000-0005-0000-0000-00009B1E0000}"/>
    <cellStyle name="Comma 2 2 4 2 5 2 2 2 2" xfId="20696" xr:uid="{00000000-0005-0000-0000-00009C1E0000}"/>
    <cellStyle name="Comma 2 2 4 2 5 2 2 2 2 2" xfId="43974" xr:uid="{00000000-0005-0000-0000-00009D1E0000}"/>
    <cellStyle name="Comma 2 2 4 2 5 2 2 2 3" xfId="48870" xr:uid="{00000000-0005-0000-0000-00009E1E0000}"/>
    <cellStyle name="Comma 2 2 4 2 5 2 2 2 4" xfId="28040" xr:uid="{00000000-0005-0000-0000-00009F1E0000}"/>
    <cellStyle name="Comma 2 2 4 2 5 2 2 3" xfId="7209" xr:uid="{00000000-0005-0000-0000-0000A01E0000}"/>
    <cellStyle name="Comma 2 2 4 2 5 2 2 3 2" xfId="30488" xr:uid="{00000000-0005-0000-0000-0000A11E0000}"/>
    <cellStyle name="Comma 2 2 4 2 5 2 2 4" xfId="9657" xr:uid="{00000000-0005-0000-0000-0000A21E0000}"/>
    <cellStyle name="Comma 2 2 4 2 5 2 2 4 2" xfId="32936" xr:uid="{00000000-0005-0000-0000-0000A31E0000}"/>
    <cellStyle name="Comma 2 2 4 2 5 2 2 5" xfId="12105" xr:uid="{00000000-0005-0000-0000-0000A41E0000}"/>
    <cellStyle name="Comma 2 2 4 2 5 2 2 5 2" xfId="35384" xr:uid="{00000000-0005-0000-0000-0000A51E0000}"/>
    <cellStyle name="Comma 2 2 4 2 5 2 2 6" xfId="14553" xr:uid="{00000000-0005-0000-0000-0000A61E0000}"/>
    <cellStyle name="Comma 2 2 4 2 5 2 2 6 2" xfId="37832" xr:uid="{00000000-0005-0000-0000-0000A71E0000}"/>
    <cellStyle name="Comma 2 2 4 2 5 2 2 7" xfId="18248" xr:uid="{00000000-0005-0000-0000-0000A81E0000}"/>
    <cellStyle name="Comma 2 2 4 2 5 2 2 7 2" xfId="41526" xr:uid="{00000000-0005-0000-0000-0000A91E0000}"/>
    <cellStyle name="Comma 2 2 4 2 5 2 2 8" xfId="25592" xr:uid="{00000000-0005-0000-0000-0000AA1E0000}"/>
    <cellStyle name="Comma 2 2 4 2 5 2 2 9" xfId="46422" xr:uid="{00000000-0005-0000-0000-0000AB1E0000}"/>
    <cellStyle name="Comma 2 2 4 2 5 2 3" xfId="3537" xr:uid="{00000000-0005-0000-0000-0000AC1E0000}"/>
    <cellStyle name="Comma 2 2 4 2 5 2 3 2" xfId="17024" xr:uid="{00000000-0005-0000-0000-0000AD1E0000}"/>
    <cellStyle name="Comma 2 2 4 2 5 2 3 2 2" xfId="40302" xr:uid="{00000000-0005-0000-0000-0000AE1E0000}"/>
    <cellStyle name="Comma 2 2 4 2 5 2 3 3" xfId="47646" xr:uid="{00000000-0005-0000-0000-0000AF1E0000}"/>
    <cellStyle name="Comma 2 2 4 2 5 2 3 4" xfId="26816" xr:uid="{00000000-0005-0000-0000-0000B01E0000}"/>
    <cellStyle name="Comma 2 2 4 2 5 2 4" xfId="5985" xr:uid="{00000000-0005-0000-0000-0000B11E0000}"/>
    <cellStyle name="Comma 2 2 4 2 5 2 4 2" xfId="19472" xr:uid="{00000000-0005-0000-0000-0000B21E0000}"/>
    <cellStyle name="Comma 2 2 4 2 5 2 4 2 2" xfId="42750" xr:uid="{00000000-0005-0000-0000-0000B31E0000}"/>
    <cellStyle name="Comma 2 2 4 2 5 2 4 3" xfId="29264" xr:uid="{00000000-0005-0000-0000-0000B41E0000}"/>
    <cellStyle name="Comma 2 2 4 2 5 2 5" xfId="8433" xr:uid="{00000000-0005-0000-0000-0000B51E0000}"/>
    <cellStyle name="Comma 2 2 4 2 5 2 5 2" xfId="31712" xr:uid="{00000000-0005-0000-0000-0000B61E0000}"/>
    <cellStyle name="Comma 2 2 4 2 5 2 6" xfId="10881" xr:uid="{00000000-0005-0000-0000-0000B71E0000}"/>
    <cellStyle name="Comma 2 2 4 2 5 2 6 2" xfId="34160" xr:uid="{00000000-0005-0000-0000-0000B81E0000}"/>
    <cellStyle name="Comma 2 2 4 2 5 2 7" xfId="13329" xr:uid="{00000000-0005-0000-0000-0000B91E0000}"/>
    <cellStyle name="Comma 2 2 4 2 5 2 7 2" xfId="36608" xr:uid="{00000000-0005-0000-0000-0000BA1E0000}"/>
    <cellStyle name="Comma 2 2 4 2 5 2 8" xfId="15800" xr:uid="{00000000-0005-0000-0000-0000BB1E0000}"/>
    <cellStyle name="Comma 2 2 4 2 5 2 8 2" xfId="39078" xr:uid="{00000000-0005-0000-0000-0000BC1E0000}"/>
    <cellStyle name="Comma 2 2 4 2 5 2 9" xfId="24368" xr:uid="{00000000-0005-0000-0000-0000BD1E0000}"/>
    <cellStyle name="Comma 2 2 4 2 5 3" xfId="1701" xr:uid="{00000000-0005-0000-0000-0000BE1E0000}"/>
    <cellStyle name="Comma 2 2 4 2 5 3 10" xfId="22532" xr:uid="{00000000-0005-0000-0000-0000BF1E0000}"/>
    <cellStyle name="Comma 2 2 4 2 5 3 2" xfId="4149" xr:uid="{00000000-0005-0000-0000-0000C01E0000}"/>
    <cellStyle name="Comma 2 2 4 2 5 3 2 2" xfId="20084" xr:uid="{00000000-0005-0000-0000-0000C11E0000}"/>
    <cellStyle name="Comma 2 2 4 2 5 3 2 2 2" xfId="43362" xr:uid="{00000000-0005-0000-0000-0000C21E0000}"/>
    <cellStyle name="Comma 2 2 4 2 5 3 2 3" xfId="48258" xr:uid="{00000000-0005-0000-0000-0000C31E0000}"/>
    <cellStyle name="Comma 2 2 4 2 5 3 2 4" xfId="27428" xr:uid="{00000000-0005-0000-0000-0000C41E0000}"/>
    <cellStyle name="Comma 2 2 4 2 5 3 3" xfId="6597" xr:uid="{00000000-0005-0000-0000-0000C51E0000}"/>
    <cellStyle name="Comma 2 2 4 2 5 3 3 2" xfId="29876" xr:uid="{00000000-0005-0000-0000-0000C61E0000}"/>
    <cellStyle name="Comma 2 2 4 2 5 3 4" xfId="9045" xr:uid="{00000000-0005-0000-0000-0000C71E0000}"/>
    <cellStyle name="Comma 2 2 4 2 5 3 4 2" xfId="32324" xr:uid="{00000000-0005-0000-0000-0000C81E0000}"/>
    <cellStyle name="Comma 2 2 4 2 5 3 5" xfId="11493" xr:uid="{00000000-0005-0000-0000-0000C91E0000}"/>
    <cellStyle name="Comma 2 2 4 2 5 3 5 2" xfId="34772" xr:uid="{00000000-0005-0000-0000-0000CA1E0000}"/>
    <cellStyle name="Comma 2 2 4 2 5 3 6" xfId="13941" xr:uid="{00000000-0005-0000-0000-0000CB1E0000}"/>
    <cellStyle name="Comma 2 2 4 2 5 3 6 2" xfId="37220" xr:uid="{00000000-0005-0000-0000-0000CC1E0000}"/>
    <cellStyle name="Comma 2 2 4 2 5 3 7" xfId="17636" xr:uid="{00000000-0005-0000-0000-0000CD1E0000}"/>
    <cellStyle name="Comma 2 2 4 2 5 3 7 2" xfId="40914" xr:uid="{00000000-0005-0000-0000-0000CE1E0000}"/>
    <cellStyle name="Comma 2 2 4 2 5 3 8" xfId="24980" xr:uid="{00000000-0005-0000-0000-0000CF1E0000}"/>
    <cellStyle name="Comma 2 2 4 2 5 3 9" xfId="45810" xr:uid="{00000000-0005-0000-0000-0000D01E0000}"/>
    <cellStyle name="Comma 2 2 4 2 5 4" xfId="2925" xr:uid="{00000000-0005-0000-0000-0000D11E0000}"/>
    <cellStyle name="Comma 2 2 4 2 5 4 2" xfId="16412" xr:uid="{00000000-0005-0000-0000-0000D21E0000}"/>
    <cellStyle name="Comma 2 2 4 2 5 4 2 2" xfId="39690" xr:uid="{00000000-0005-0000-0000-0000D31E0000}"/>
    <cellStyle name="Comma 2 2 4 2 5 4 3" xfId="47034" xr:uid="{00000000-0005-0000-0000-0000D41E0000}"/>
    <cellStyle name="Comma 2 2 4 2 5 4 4" xfId="26204" xr:uid="{00000000-0005-0000-0000-0000D51E0000}"/>
    <cellStyle name="Comma 2 2 4 2 5 5" xfId="5373" xr:uid="{00000000-0005-0000-0000-0000D61E0000}"/>
    <cellStyle name="Comma 2 2 4 2 5 5 2" xfId="18860" xr:uid="{00000000-0005-0000-0000-0000D71E0000}"/>
    <cellStyle name="Comma 2 2 4 2 5 5 2 2" xfId="42138" xr:uid="{00000000-0005-0000-0000-0000D81E0000}"/>
    <cellStyle name="Comma 2 2 4 2 5 5 3" xfId="28652" xr:uid="{00000000-0005-0000-0000-0000D91E0000}"/>
    <cellStyle name="Comma 2 2 4 2 5 6" xfId="7821" xr:uid="{00000000-0005-0000-0000-0000DA1E0000}"/>
    <cellStyle name="Comma 2 2 4 2 5 6 2" xfId="31100" xr:uid="{00000000-0005-0000-0000-0000DB1E0000}"/>
    <cellStyle name="Comma 2 2 4 2 5 7" xfId="10269" xr:uid="{00000000-0005-0000-0000-0000DC1E0000}"/>
    <cellStyle name="Comma 2 2 4 2 5 7 2" xfId="33548" xr:uid="{00000000-0005-0000-0000-0000DD1E0000}"/>
    <cellStyle name="Comma 2 2 4 2 5 8" xfId="12717" xr:uid="{00000000-0005-0000-0000-0000DE1E0000}"/>
    <cellStyle name="Comma 2 2 4 2 5 8 2" xfId="35996" xr:uid="{00000000-0005-0000-0000-0000DF1E0000}"/>
    <cellStyle name="Comma 2 2 4 2 5 9" xfId="15188" xr:uid="{00000000-0005-0000-0000-0000E01E0000}"/>
    <cellStyle name="Comma 2 2 4 2 5 9 2" xfId="38466" xr:uid="{00000000-0005-0000-0000-0000E11E0000}"/>
    <cellStyle name="Comma 2 2 4 2 6" xfId="681" xr:uid="{00000000-0005-0000-0000-0000E21E0000}"/>
    <cellStyle name="Comma 2 2 4 2 6 10" xfId="44790" xr:uid="{00000000-0005-0000-0000-0000E31E0000}"/>
    <cellStyle name="Comma 2 2 4 2 6 11" xfId="21512" xr:uid="{00000000-0005-0000-0000-0000E41E0000}"/>
    <cellStyle name="Comma 2 2 4 2 6 2" xfId="1905" xr:uid="{00000000-0005-0000-0000-0000E51E0000}"/>
    <cellStyle name="Comma 2 2 4 2 6 2 10" xfId="22736" xr:uid="{00000000-0005-0000-0000-0000E61E0000}"/>
    <cellStyle name="Comma 2 2 4 2 6 2 2" xfId="4353" xr:uid="{00000000-0005-0000-0000-0000E71E0000}"/>
    <cellStyle name="Comma 2 2 4 2 6 2 2 2" xfId="20288" xr:uid="{00000000-0005-0000-0000-0000E81E0000}"/>
    <cellStyle name="Comma 2 2 4 2 6 2 2 2 2" xfId="43566" xr:uid="{00000000-0005-0000-0000-0000E91E0000}"/>
    <cellStyle name="Comma 2 2 4 2 6 2 2 3" xfId="48462" xr:uid="{00000000-0005-0000-0000-0000EA1E0000}"/>
    <cellStyle name="Comma 2 2 4 2 6 2 2 4" xfId="27632" xr:uid="{00000000-0005-0000-0000-0000EB1E0000}"/>
    <cellStyle name="Comma 2 2 4 2 6 2 3" xfId="6801" xr:uid="{00000000-0005-0000-0000-0000EC1E0000}"/>
    <cellStyle name="Comma 2 2 4 2 6 2 3 2" xfId="30080" xr:uid="{00000000-0005-0000-0000-0000ED1E0000}"/>
    <cellStyle name="Comma 2 2 4 2 6 2 4" xfId="9249" xr:uid="{00000000-0005-0000-0000-0000EE1E0000}"/>
    <cellStyle name="Comma 2 2 4 2 6 2 4 2" xfId="32528" xr:uid="{00000000-0005-0000-0000-0000EF1E0000}"/>
    <cellStyle name="Comma 2 2 4 2 6 2 5" xfId="11697" xr:uid="{00000000-0005-0000-0000-0000F01E0000}"/>
    <cellStyle name="Comma 2 2 4 2 6 2 5 2" xfId="34976" xr:uid="{00000000-0005-0000-0000-0000F11E0000}"/>
    <cellStyle name="Comma 2 2 4 2 6 2 6" xfId="14145" xr:uid="{00000000-0005-0000-0000-0000F21E0000}"/>
    <cellStyle name="Comma 2 2 4 2 6 2 6 2" xfId="37424" xr:uid="{00000000-0005-0000-0000-0000F31E0000}"/>
    <cellStyle name="Comma 2 2 4 2 6 2 7" xfId="17840" xr:uid="{00000000-0005-0000-0000-0000F41E0000}"/>
    <cellStyle name="Comma 2 2 4 2 6 2 7 2" xfId="41118" xr:uid="{00000000-0005-0000-0000-0000F51E0000}"/>
    <cellStyle name="Comma 2 2 4 2 6 2 8" xfId="25184" xr:uid="{00000000-0005-0000-0000-0000F61E0000}"/>
    <cellStyle name="Comma 2 2 4 2 6 2 9" xfId="46014" xr:uid="{00000000-0005-0000-0000-0000F71E0000}"/>
    <cellStyle name="Comma 2 2 4 2 6 3" xfId="3129" xr:uid="{00000000-0005-0000-0000-0000F81E0000}"/>
    <cellStyle name="Comma 2 2 4 2 6 3 2" xfId="16616" xr:uid="{00000000-0005-0000-0000-0000F91E0000}"/>
    <cellStyle name="Comma 2 2 4 2 6 3 2 2" xfId="39894" xr:uid="{00000000-0005-0000-0000-0000FA1E0000}"/>
    <cellStyle name="Comma 2 2 4 2 6 3 3" xfId="47238" xr:uid="{00000000-0005-0000-0000-0000FB1E0000}"/>
    <cellStyle name="Comma 2 2 4 2 6 3 4" xfId="26408" xr:uid="{00000000-0005-0000-0000-0000FC1E0000}"/>
    <cellStyle name="Comma 2 2 4 2 6 4" xfId="5577" xr:uid="{00000000-0005-0000-0000-0000FD1E0000}"/>
    <cellStyle name="Comma 2 2 4 2 6 4 2" xfId="19064" xr:uid="{00000000-0005-0000-0000-0000FE1E0000}"/>
    <cellStyle name="Comma 2 2 4 2 6 4 2 2" xfId="42342" xr:uid="{00000000-0005-0000-0000-0000FF1E0000}"/>
    <cellStyle name="Comma 2 2 4 2 6 4 3" xfId="28856" xr:uid="{00000000-0005-0000-0000-0000001F0000}"/>
    <cellStyle name="Comma 2 2 4 2 6 5" xfId="8025" xr:uid="{00000000-0005-0000-0000-0000011F0000}"/>
    <cellStyle name="Comma 2 2 4 2 6 5 2" xfId="31304" xr:uid="{00000000-0005-0000-0000-0000021F0000}"/>
    <cellStyle name="Comma 2 2 4 2 6 6" xfId="10473" xr:uid="{00000000-0005-0000-0000-0000031F0000}"/>
    <cellStyle name="Comma 2 2 4 2 6 6 2" xfId="33752" xr:uid="{00000000-0005-0000-0000-0000041F0000}"/>
    <cellStyle name="Comma 2 2 4 2 6 7" xfId="12921" xr:uid="{00000000-0005-0000-0000-0000051F0000}"/>
    <cellStyle name="Comma 2 2 4 2 6 7 2" xfId="36200" xr:uid="{00000000-0005-0000-0000-0000061F0000}"/>
    <cellStyle name="Comma 2 2 4 2 6 8" xfId="15392" xr:uid="{00000000-0005-0000-0000-0000071F0000}"/>
    <cellStyle name="Comma 2 2 4 2 6 8 2" xfId="38670" xr:uid="{00000000-0005-0000-0000-0000081F0000}"/>
    <cellStyle name="Comma 2 2 4 2 6 9" xfId="23960" xr:uid="{00000000-0005-0000-0000-0000091F0000}"/>
    <cellStyle name="Comma 2 2 4 2 7" xfId="1293" xr:uid="{00000000-0005-0000-0000-00000A1F0000}"/>
    <cellStyle name="Comma 2 2 4 2 7 10" xfId="22124" xr:uid="{00000000-0005-0000-0000-00000B1F0000}"/>
    <cellStyle name="Comma 2 2 4 2 7 2" xfId="3741" xr:uid="{00000000-0005-0000-0000-00000C1F0000}"/>
    <cellStyle name="Comma 2 2 4 2 7 2 2" xfId="19676" xr:uid="{00000000-0005-0000-0000-00000D1F0000}"/>
    <cellStyle name="Comma 2 2 4 2 7 2 2 2" xfId="42954" xr:uid="{00000000-0005-0000-0000-00000E1F0000}"/>
    <cellStyle name="Comma 2 2 4 2 7 2 3" xfId="47850" xr:uid="{00000000-0005-0000-0000-00000F1F0000}"/>
    <cellStyle name="Comma 2 2 4 2 7 2 4" xfId="27020" xr:uid="{00000000-0005-0000-0000-0000101F0000}"/>
    <cellStyle name="Comma 2 2 4 2 7 3" xfId="6189" xr:uid="{00000000-0005-0000-0000-0000111F0000}"/>
    <cellStyle name="Comma 2 2 4 2 7 3 2" xfId="29468" xr:uid="{00000000-0005-0000-0000-0000121F0000}"/>
    <cellStyle name="Comma 2 2 4 2 7 4" xfId="8637" xr:uid="{00000000-0005-0000-0000-0000131F0000}"/>
    <cellStyle name="Comma 2 2 4 2 7 4 2" xfId="31916" xr:uid="{00000000-0005-0000-0000-0000141F0000}"/>
    <cellStyle name="Comma 2 2 4 2 7 5" xfId="11085" xr:uid="{00000000-0005-0000-0000-0000151F0000}"/>
    <cellStyle name="Comma 2 2 4 2 7 5 2" xfId="34364" xr:uid="{00000000-0005-0000-0000-0000161F0000}"/>
    <cellStyle name="Comma 2 2 4 2 7 6" xfId="13533" xr:uid="{00000000-0005-0000-0000-0000171F0000}"/>
    <cellStyle name="Comma 2 2 4 2 7 6 2" xfId="36812" xr:uid="{00000000-0005-0000-0000-0000181F0000}"/>
    <cellStyle name="Comma 2 2 4 2 7 7" xfId="17228" xr:uid="{00000000-0005-0000-0000-0000191F0000}"/>
    <cellStyle name="Comma 2 2 4 2 7 7 2" xfId="40506" xr:uid="{00000000-0005-0000-0000-00001A1F0000}"/>
    <cellStyle name="Comma 2 2 4 2 7 8" xfId="24572" xr:uid="{00000000-0005-0000-0000-00001B1F0000}"/>
    <cellStyle name="Comma 2 2 4 2 7 9" xfId="45402" xr:uid="{00000000-0005-0000-0000-00001C1F0000}"/>
    <cellStyle name="Comma 2 2 4 2 8" xfId="2517" xr:uid="{00000000-0005-0000-0000-00001D1F0000}"/>
    <cellStyle name="Comma 2 2 4 2 8 2" xfId="16004" xr:uid="{00000000-0005-0000-0000-00001E1F0000}"/>
    <cellStyle name="Comma 2 2 4 2 8 2 2" xfId="39282" xr:uid="{00000000-0005-0000-0000-00001F1F0000}"/>
    <cellStyle name="Comma 2 2 4 2 8 3" xfId="46626" xr:uid="{00000000-0005-0000-0000-0000201F0000}"/>
    <cellStyle name="Comma 2 2 4 2 8 4" xfId="25796" xr:uid="{00000000-0005-0000-0000-0000211F0000}"/>
    <cellStyle name="Comma 2 2 4 2 9" xfId="4965" xr:uid="{00000000-0005-0000-0000-0000221F0000}"/>
    <cellStyle name="Comma 2 2 4 2 9 2" xfId="18452" xr:uid="{00000000-0005-0000-0000-0000231F0000}"/>
    <cellStyle name="Comma 2 2 4 2 9 2 2" xfId="41730" xr:uid="{00000000-0005-0000-0000-0000241F0000}"/>
    <cellStyle name="Comma 2 2 4 2 9 3" xfId="28244" xr:uid="{00000000-0005-0000-0000-0000251F0000}"/>
    <cellStyle name="Comma 2 2 4 3" xfId="86" xr:uid="{00000000-0005-0000-0000-0000261F0000}"/>
    <cellStyle name="Comma 2 2 4 3 10" xfId="7430" xr:uid="{00000000-0005-0000-0000-0000271F0000}"/>
    <cellStyle name="Comma 2 2 4 3 10 2" xfId="30709" xr:uid="{00000000-0005-0000-0000-0000281F0000}"/>
    <cellStyle name="Comma 2 2 4 3 11" xfId="9878" xr:uid="{00000000-0005-0000-0000-0000291F0000}"/>
    <cellStyle name="Comma 2 2 4 3 11 2" xfId="33157" xr:uid="{00000000-0005-0000-0000-00002A1F0000}"/>
    <cellStyle name="Comma 2 2 4 3 12" xfId="12326" xr:uid="{00000000-0005-0000-0000-00002B1F0000}"/>
    <cellStyle name="Comma 2 2 4 3 12 2" xfId="35605" xr:uid="{00000000-0005-0000-0000-00002C1F0000}"/>
    <cellStyle name="Comma 2 2 4 3 13" xfId="14797" xr:uid="{00000000-0005-0000-0000-00002D1F0000}"/>
    <cellStyle name="Comma 2 2 4 3 13 2" xfId="38075" xr:uid="{00000000-0005-0000-0000-00002E1F0000}"/>
    <cellStyle name="Comma 2 2 4 3 14" xfId="23365" xr:uid="{00000000-0005-0000-0000-00002F1F0000}"/>
    <cellStyle name="Comma 2 2 4 3 15" xfId="44195" xr:uid="{00000000-0005-0000-0000-0000301F0000}"/>
    <cellStyle name="Comma 2 2 4 3 16" xfId="20917" xr:uid="{00000000-0005-0000-0000-0000311F0000}"/>
    <cellStyle name="Comma 2 2 4 3 2" xfId="154" xr:uid="{00000000-0005-0000-0000-0000321F0000}"/>
    <cellStyle name="Comma 2 2 4 3 2 10" xfId="12394" xr:uid="{00000000-0005-0000-0000-0000331F0000}"/>
    <cellStyle name="Comma 2 2 4 3 2 10 2" xfId="35673" xr:uid="{00000000-0005-0000-0000-0000341F0000}"/>
    <cellStyle name="Comma 2 2 4 3 2 11" xfId="14865" xr:uid="{00000000-0005-0000-0000-0000351F0000}"/>
    <cellStyle name="Comma 2 2 4 3 2 11 2" xfId="38143" xr:uid="{00000000-0005-0000-0000-0000361F0000}"/>
    <cellStyle name="Comma 2 2 4 3 2 12" xfId="23433" xr:uid="{00000000-0005-0000-0000-0000371F0000}"/>
    <cellStyle name="Comma 2 2 4 3 2 13" xfId="44263" xr:uid="{00000000-0005-0000-0000-0000381F0000}"/>
    <cellStyle name="Comma 2 2 4 3 2 14" xfId="20985" xr:uid="{00000000-0005-0000-0000-0000391F0000}"/>
    <cellStyle name="Comma 2 2 4 3 2 2" xfId="358" xr:uid="{00000000-0005-0000-0000-00003A1F0000}"/>
    <cellStyle name="Comma 2 2 4 3 2 2 10" xfId="23637" xr:uid="{00000000-0005-0000-0000-00003B1F0000}"/>
    <cellStyle name="Comma 2 2 4 3 2 2 11" xfId="44467" xr:uid="{00000000-0005-0000-0000-00003C1F0000}"/>
    <cellStyle name="Comma 2 2 4 3 2 2 12" xfId="21189" xr:uid="{00000000-0005-0000-0000-00003D1F0000}"/>
    <cellStyle name="Comma 2 2 4 3 2 2 2" xfId="970" xr:uid="{00000000-0005-0000-0000-00003E1F0000}"/>
    <cellStyle name="Comma 2 2 4 3 2 2 2 10" xfId="45079" xr:uid="{00000000-0005-0000-0000-00003F1F0000}"/>
    <cellStyle name="Comma 2 2 4 3 2 2 2 11" xfId="21801" xr:uid="{00000000-0005-0000-0000-0000401F0000}"/>
    <cellStyle name="Comma 2 2 4 3 2 2 2 2" xfId="2194" xr:uid="{00000000-0005-0000-0000-0000411F0000}"/>
    <cellStyle name="Comma 2 2 4 3 2 2 2 2 10" xfId="23025" xr:uid="{00000000-0005-0000-0000-0000421F0000}"/>
    <cellStyle name="Comma 2 2 4 3 2 2 2 2 2" xfId="4642" xr:uid="{00000000-0005-0000-0000-0000431F0000}"/>
    <cellStyle name="Comma 2 2 4 3 2 2 2 2 2 2" xfId="20577" xr:uid="{00000000-0005-0000-0000-0000441F0000}"/>
    <cellStyle name="Comma 2 2 4 3 2 2 2 2 2 2 2" xfId="43855" xr:uid="{00000000-0005-0000-0000-0000451F0000}"/>
    <cellStyle name="Comma 2 2 4 3 2 2 2 2 2 3" xfId="48751" xr:uid="{00000000-0005-0000-0000-0000461F0000}"/>
    <cellStyle name="Comma 2 2 4 3 2 2 2 2 2 4" xfId="27921" xr:uid="{00000000-0005-0000-0000-0000471F0000}"/>
    <cellStyle name="Comma 2 2 4 3 2 2 2 2 3" xfId="7090" xr:uid="{00000000-0005-0000-0000-0000481F0000}"/>
    <cellStyle name="Comma 2 2 4 3 2 2 2 2 3 2" xfId="30369" xr:uid="{00000000-0005-0000-0000-0000491F0000}"/>
    <cellStyle name="Comma 2 2 4 3 2 2 2 2 4" xfId="9538" xr:uid="{00000000-0005-0000-0000-00004A1F0000}"/>
    <cellStyle name="Comma 2 2 4 3 2 2 2 2 4 2" xfId="32817" xr:uid="{00000000-0005-0000-0000-00004B1F0000}"/>
    <cellStyle name="Comma 2 2 4 3 2 2 2 2 5" xfId="11986" xr:uid="{00000000-0005-0000-0000-00004C1F0000}"/>
    <cellStyle name="Comma 2 2 4 3 2 2 2 2 5 2" xfId="35265" xr:uid="{00000000-0005-0000-0000-00004D1F0000}"/>
    <cellStyle name="Comma 2 2 4 3 2 2 2 2 6" xfId="14434" xr:uid="{00000000-0005-0000-0000-00004E1F0000}"/>
    <cellStyle name="Comma 2 2 4 3 2 2 2 2 6 2" xfId="37713" xr:uid="{00000000-0005-0000-0000-00004F1F0000}"/>
    <cellStyle name="Comma 2 2 4 3 2 2 2 2 7" xfId="18129" xr:uid="{00000000-0005-0000-0000-0000501F0000}"/>
    <cellStyle name="Comma 2 2 4 3 2 2 2 2 7 2" xfId="41407" xr:uid="{00000000-0005-0000-0000-0000511F0000}"/>
    <cellStyle name="Comma 2 2 4 3 2 2 2 2 8" xfId="25473" xr:uid="{00000000-0005-0000-0000-0000521F0000}"/>
    <cellStyle name="Comma 2 2 4 3 2 2 2 2 9" xfId="46303" xr:uid="{00000000-0005-0000-0000-0000531F0000}"/>
    <cellStyle name="Comma 2 2 4 3 2 2 2 3" xfId="3418" xr:uid="{00000000-0005-0000-0000-0000541F0000}"/>
    <cellStyle name="Comma 2 2 4 3 2 2 2 3 2" xfId="16905" xr:uid="{00000000-0005-0000-0000-0000551F0000}"/>
    <cellStyle name="Comma 2 2 4 3 2 2 2 3 2 2" xfId="40183" xr:uid="{00000000-0005-0000-0000-0000561F0000}"/>
    <cellStyle name="Comma 2 2 4 3 2 2 2 3 3" xfId="47527" xr:uid="{00000000-0005-0000-0000-0000571F0000}"/>
    <cellStyle name="Comma 2 2 4 3 2 2 2 3 4" xfId="26697" xr:uid="{00000000-0005-0000-0000-0000581F0000}"/>
    <cellStyle name="Comma 2 2 4 3 2 2 2 4" xfId="5866" xr:uid="{00000000-0005-0000-0000-0000591F0000}"/>
    <cellStyle name="Comma 2 2 4 3 2 2 2 4 2" xfId="19353" xr:uid="{00000000-0005-0000-0000-00005A1F0000}"/>
    <cellStyle name="Comma 2 2 4 3 2 2 2 4 2 2" xfId="42631" xr:uid="{00000000-0005-0000-0000-00005B1F0000}"/>
    <cellStyle name="Comma 2 2 4 3 2 2 2 4 3" xfId="29145" xr:uid="{00000000-0005-0000-0000-00005C1F0000}"/>
    <cellStyle name="Comma 2 2 4 3 2 2 2 5" xfId="8314" xr:uid="{00000000-0005-0000-0000-00005D1F0000}"/>
    <cellStyle name="Comma 2 2 4 3 2 2 2 5 2" xfId="31593" xr:uid="{00000000-0005-0000-0000-00005E1F0000}"/>
    <cellStyle name="Comma 2 2 4 3 2 2 2 6" xfId="10762" xr:uid="{00000000-0005-0000-0000-00005F1F0000}"/>
    <cellStyle name="Comma 2 2 4 3 2 2 2 6 2" xfId="34041" xr:uid="{00000000-0005-0000-0000-0000601F0000}"/>
    <cellStyle name="Comma 2 2 4 3 2 2 2 7" xfId="13210" xr:uid="{00000000-0005-0000-0000-0000611F0000}"/>
    <cellStyle name="Comma 2 2 4 3 2 2 2 7 2" xfId="36489" xr:uid="{00000000-0005-0000-0000-0000621F0000}"/>
    <cellStyle name="Comma 2 2 4 3 2 2 2 8" xfId="15681" xr:uid="{00000000-0005-0000-0000-0000631F0000}"/>
    <cellStyle name="Comma 2 2 4 3 2 2 2 8 2" xfId="38959" xr:uid="{00000000-0005-0000-0000-0000641F0000}"/>
    <cellStyle name="Comma 2 2 4 3 2 2 2 9" xfId="24249" xr:uid="{00000000-0005-0000-0000-0000651F0000}"/>
    <cellStyle name="Comma 2 2 4 3 2 2 3" xfId="1582" xr:uid="{00000000-0005-0000-0000-0000661F0000}"/>
    <cellStyle name="Comma 2 2 4 3 2 2 3 10" xfId="22413" xr:uid="{00000000-0005-0000-0000-0000671F0000}"/>
    <cellStyle name="Comma 2 2 4 3 2 2 3 2" xfId="4030" xr:uid="{00000000-0005-0000-0000-0000681F0000}"/>
    <cellStyle name="Comma 2 2 4 3 2 2 3 2 2" xfId="19965" xr:uid="{00000000-0005-0000-0000-0000691F0000}"/>
    <cellStyle name="Comma 2 2 4 3 2 2 3 2 2 2" xfId="43243" xr:uid="{00000000-0005-0000-0000-00006A1F0000}"/>
    <cellStyle name="Comma 2 2 4 3 2 2 3 2 3" xfId="48139" xr:uid="{00000000-0005-0000-0000-00006B1F0000}"/>
    <cellStyle name="Comma 2 2 4 3 2 2 3 2 4" xfId="27309" xr:uid="{00000000-0005-0000-0000-00006C1F0000}"/>
    <cellStyle name="Comma 2 2 4 3 2 2 3 3" xfId="6478" xr:uid="{00000000-0005-0000-0000-00006D1F0000}"/>
    <cellStyle name="Comma 2 2 4 3 2 2 3 3 2" xfId="29757" xr:uid="{00000000-0005-0000-0000-00006E1F0000}"/>
    <cellStyle name="Comma 2 2 4 3 2 2 3 4" xfId="8926" xr:uid="{00000000-0005-0000-0000-00006F1F0000}"/>
    <cellStyle name="Comma 2 2 4 3 2 2 3 4 2" xfId="32205" xr:uid="{00000000-0005-0000-0000-0000701F0000}"/>
    <cellStyle name="Comma 2 2 4 3 2 2 3 5" xfId="11374" xr:uid="{00000000-0005-0000-0000-0000711F0000}"/>
    <cellStyle name="Comma 2 2 4 3 2 2 3 5 2" xfId="34653" xr:uid="{00000000-0005-0000-0000-0000721F0000}"/>
    <cellStyle name="Comma 2 2 4 3 2 2 3 6" xfId="13822" xr:uid="{00000000-0005-0000-0000-0000731F0000}"/>
    <cellStyle name="Comma 2 2 4 3 2 2 3 6 2" xfId="37101" xr:uid="{00000000-0005-0000-0000-0000741F0000}"/>
    <cellStyle name="Comma 2 2 4 3 2 2 3 7" xfId="17517" xr:uid="{00000000-0005-0000-0000-0000751F0000}"/>
    <cellStyle name="Comma 2 2 4 3 2 2 3 7 2" xfId="40795" xr:uid="{00000000-0005-0000-0000-0000761F0000}"/>
    <cellStyle name="Comma 2 2 4 3 2 2 3 8" xfId="24861" xr:uid="{00000000-0005-0000-0000-0000771F0000}"/>
    <cellStyle name="Comma 2 2 4 3 2 2 3 9" xfId="45691" xr:uid="{00000000-0005-0000-0000-0000781F0000}"/>
    <cellStyle name="Comma 2 2 4 3 2 2 4" xfId="2806" xr:uid="{00000000-0005-0000-0000-0000791F0000}"/>
    <cellStyle name="Comma 2 2 4 3 2 2 4 2" xfId="16293" xr:uid="{00000000-0005-0000-0000-00007A1F0000}"/>
    <cellStyle name="Comma 2 2 4 3 2 2 4 2 2" xfId="39571" xr:uid="{00000000-0005-0000-0000-00007B1F0000}"/>
    <cellStyle name="Comma 2 2 4 3 2 2 4 3" xfId="46915" xr:uid="{00000000-0005-0000-0000-00007C1F0000}"/>
    <cellStyle name="Comma 2 2 4 3 2 2 4 4" xfId="26085" xr:uid="{00000000-0005-0000-0000-00007D1F0000}"/>
    <cellStyle name="Comma 2 2 4 3 2 2 5" xfId="5254" xr:uid="{00000000-0005-0000-0000-00007E1F0000}"/>
    <cellStyle name="Comma 2 2 4 3 2 2 5 2" xfId="18741" xr:uid="{00000000-0005-0000-0000-00007F1F0000}"/>
    <cellStyle name="Comma 2 2 4 3 2 2 5 2 2" xfId="42019" xr:uid="{00000000-0005-0000-0000-0000801F0000}"/>
    <cellStyle name="Comma 2 2 4 3 2 2 5 3" xfId="28533" xr:uid="{00000000-0005-0000-0000-0000811F0000}"/>
    <cellStyle name="Comma 2 2 4 3 2 2 6" xfId="7702" xr:uid="{00000000-0005-0000-0000-0000821F0000}"/>
    <cellStyle name="Comma 2 2 4 3 2 2 6 2" xfId="30981" xr:uid="{00000000-0005-0000-0000-0000831F0000}"/>
    <cellStyle name="Comma 2 2 4 3 2 2 7" xfId="10150" xr:uid="{00000000-0005-0000-0000-0000841F0000}"/>
    <cellStyle name="Comma 2 2 4 3 2 2 7 2" xfId="33429" xr:uid="{00000000-0005-0000-0000-0000851F0000}"/>
    <cellStyle name="Comma 2 2 4 3 2 2 8" xfId="12598" xr:uid="{00000000-0005-0000-0000-0000861F0000}"/>
    <cellStyle name="Comma 2 2 4 3 2 2 8 2" xfId="35877" xr:uid="{00000000-0005-0000-0000-0000871F0000}"/>
    <cellStyle name="Comma 2 2 4 3 2 2 9" xfId="15069" xr:uid="{00000000-0005-0000-0000-0000881F0000}"/>
    <cellStyle name="Comma 2 2 4 3 2 2 9 2" xfId="38347" xr:uid="{00000000-0005-0000-0000-0000891F0000}"/>
    <cellStyle name="Comma 2 2 4 3 2 3" xfId="562" xr:uid="{00000000-0005-0000-0000-00008A1F0000}"/>
    <cellStyle name="Comma 2 2 4 3 2 3 10" xfId="23841" xr:uid="{00000000-0005-0000-0000-00008B1F0000}"/>
    <cellStyle name="Comma 2 2 4 3 2 3 11" xfId="44671" xr:uid="{00000000-0005-0000-0000-00008C1F0000}"/>
    <cellStyle name="Comma 2 2 4 3 2 3 12" xfId="21393" xr:uid="{00000000-0005-0000-0000-00008D1F0000}"/>
    <cellStyle name="Comma 2 2 4 3 2 3 2" xfId="1174" xr:uid="{00000000-0005-0000-0000-00008E1F0000}"/>
    <cellStyle name="Comma 2 2 4 3 2 3 2 10" xfId="45283" xr:uid="{00000000-0005-0000-0000-00008F1F0000}"/>
    <cellStyle name="Comma 2 2 4 3 2 3 2 11" xfId="22005" xr:uid="{00000000-0005-0000-0000-0000901F0000}"/>
    <cellStyle name="Comma 2 2 4 3 2 3 2 2" xfId="2398" xr:uid="{00000000-0005-0000-0000-0000911F0000}"/>
    <cellStyle name="Comma 2 2 4 3 2 3 2 2 10" xfId="23229" xr:uid="{00000000-0005-0000-0000-0000921F0000}"/>
    <cellStyle name="Comma 2 2 4 3 2 3 2 2 2" xfId="4846" xr:uid="{00000000-0005-0000-0000-0000931F0000}"/>
    <cellStyle name="Comma 2 2 4 3 2 3 2 2 2 2" xfId="20781" xr:uid="{00000000-0005-0000-0000-0000941F0000}"/>
    <cellStyle name="Comma 2 2 4 3 2 3 2 2 2 2 2" xfId="44059" xr:uid="{00000000-0005-0000-0000-0000951F0000}"/>
    <cellStyle name="Comma 2 2 4 3 2 3 2 2 2 3" xfId="48955" xr:uid="{00000000-0005-0000-0000-0000961F0000}"/>
    <cellStyle name="Comma 2 2 4 3 2 3 2 2 2 4" xfId="28125" xr:uid="{00000000-0005-0000-0000-0000971F0000}"/>
    <cellStyle name="Comma 2 2 4 3 2 3 2 2 3" xfId="7294" xr:uid="{00000000-0005-0000-0000-0000981F0000}"/>
    <cellStyle name="Comma 2 2 4 3 2 3 2 2 3 2" xfId="30573" xr:uid="{00000000-0005-0000-0000-0000991F0000}"/>
    <cellStyle name="Comma 2 2 4 3 2 3 2 2 4" xfId="9742" xr:uid="{00000000-0005-0000-0000-00009A1F0000}"/>
    <cellStyle name="Comma 2 2 4 3 2 3 2 2 4 2" xfId="33021" xr:uid="{00000000-0005-0000-0000-00009B1F0000}"/>
    <cellStyle name="Comma 2 2 4 3 2 3 2 2 5" xfId="12190" xr:uid="{00000000-0005-0000-0000-00009C1F0000}"/>
    <cellStyle name="Comma 2 2 4 3 2 3 2 2 5 2" xfId="35469" xr:uid="{00000000-0005-0000-0000-00009D1F0000}"/>
    <cellStyle name="Comma 2 2 4 3 2 3 2 2 6" xfId="14638" xr:uid="{00000000-0005-0000-0000-00009E1F0000}"/>
    <cellStyle name="Comma 2 2 4 3 2 3 2 2 6 2" xfId="37917" xr:uid="{00000000-0005-0000-0000-00009F1F0000}"/>
    <cellStyle name="Comma 2 2 4 3 2 3 2 2 7" xfId="18333" xr:uid="{00000000-0005-0000-0000-0000A01F0000}"/>
    <cellStyle name="Comma 2 2 4 3 2 3 2 2 7 2" xfId="41611" xr:uid="{00000000-0005-0000-0000-0000A11F0000}"/>
    <cellStyle name="Comma 2 2 4 3 2 3 2 2 8" xfId="25677" xr:uid="{00000000-0005-0000-0000-0000A21F0000}"/>
    <cellStyle name="Comma 2 2 4 3 2 3 2 2 9" xfId="46507" xr:uid="{00000000-0005-0000-0000-0000A31F0000}"/>
    <cellStyle name="Comma 2 2 4 3 2 3 2 3" xfId="3622" xr:uid="{00000000-0005-0000-0000-0000A41F0000}"/>
    <cellStyle name="Comma 2 2 4 3 2 3 2 3 2" xfId="17109" xr:uid="{00000000-0005-0000-0000-0000A51F0000}"/>
    <cellStyle name="Comma 2 2 4 3 2 3 2 3 2 2" xfId="40387" xr:uid="{00000000-0005-0000-0000-0000A61F0000}"/>
    <cellStyle name="Comma 2 2 4 3 2 3 2 3 3" xfId="47731" xr:uid="{00000000-0005-0000-0000-0000A71F0000}"/>
    <cellStyle name="Comma 2 2 4 3 2 3 2 3 4" xfId="26901" xr:uid="{00000000-0005-0000-0000-0000A81F0000}"/>
    <cellStyle name="Comma 2 2 4 3 2 3 2 4" xfId="6070" xr:uid="{00000000-0005-0000-0000-0000A91F0000}"/>
    <cellStyle name="Comma 2 2 4 3 2 3 2 4 2" xfId="19557" xr:uid="{00000000-0005-0000-0000-0000AA1F0000}"/>
    <cellStyle name="Comma 2 2 4 3 2 3 2 4 2 2" xfId="42835" xr:uid="{00000000-0005-0000-0000-0000AB1F0000}"/>
    <cellStyle name="Comma 2 2 4 3 2 3 2 4 3" xfId="29349" xr:uid="{00000000-0005-0000-0000-0000AC1F0000}"/>
    <cellStyle name="Comma 2 2 4 3 2 3 2 5" xfId="8518" xr:uid="{00000000-0005-0000-0000-0000AD1F0000}"/>
    <cellStyle name="Comma 2 2 4 3 2 3 2 5 2" xfId="31797" xr:uid="{00000000-0005-0000-0000-0000AE1F0000}"/>
    <cellStyle name="Comma 2 2 4 3 2 3 2 6" xfId="10966" xr:uid="{00000000-0005-0000-0000-0000AF1F0000}"/>
    <cellStyle name="Comma 2 2 4 3 2 3 2 6 2" xfId="34245" xr:uid="{00000000-0005-0000-0000-0000B01F0000}"/>
    <cellStyle name="Comma 2 2 4 3 2 3 2 7" xfId="13414" xr:uid="{00000000-0005-0000-0000-0000B11F0000}"/>
    <cellStyle name="Comma 2 2 4 3 2 3 2 7 2" xfId="36693" xr:uid="{00000000-0005-0000-0000-0000B21F0000}"/>
    <cellStyle name="Comma 2 2 4 3 2 3 2 8" xfId="15885" xr:uid="{00000000-0005-0000-0000-0000B31F0000}"/>
    <cellStyle name="Comma 2 2 4 3 2 3 2 8 2" xfId="39163" xr:uid="{00000000-0005-0000-0000-0000B41F0000}"/>
    <cellStyle name="Comma 2 2 4 3 2 3 2 9" xfId="24453" xr:uid="{00000000-0005-0000-0000-0000B51F0000}"/>
    <cellStyle name="Comma 2 2 4 3 2 3 3" xfId="1786" xr:uid="{00000000-0005-0000-0000-0000B61F0000}"/>
    <cellStyle name="Comma 2 2 4 3 2 3 3 10" xfId="22617" xr:uid="{00000000-0005-0000-0000-0000B71F0000}"/>
    <cellStyle name="Comma 2 2 4 3 2 3 3 2" xfId="4234" xr:uid="{00000000-0005-0000-0000-0000B81F0000}"/>
    <cellStyle name="Comma 2 2 4 3 2 3 3 2 2" xfId="20169" xr:uid="{00000000-0005-0000-0000-0000B91F0000}"/>
    <cellStyle name="Comma 2 2 4 3 2 3 3 2 2 2" xfId="43447" xr:uid="{00000000-0005-0000-0000-0000BA1F0000}"/>
    <cellStyle name="Comma 2 2 4 3 2 3 3 2 3" xfId="48343" xr:uid="{00000000-0005-0000-0000-0000BB1F0000}"/>
    <cellStyle name="Comma 2 2 4 3 2 3 3 2 4" xfId="27513" xr:uid="{00000000-0005-0000-0000-0000BC1F0000}"/>
    <cellStyle name="Comma 2 2 4 3 2 3 3 3" xfId="6682" xr:uid="{00000000-0005-0000-0000-0000BD1F0000}"/>
    <cellStyle name="Comma 2 2 4 3 2 3 3 3 2" xfId="29961" xr:uid="{00000000-0005-0000-0000-0000BE1F0000}"/>
    <cellStyle name="Comma 2 2 4 3 2 3 3 4" xfId="9130" xr:uid="{00000000-0005-0000-0000-0000BF1F0000}"/>
    <cellStyle name="Comma 2 2 4 3 2 3 3 4 2" xfId="32409" xr:uid="{00000000-0005-0000-0000-0000C01F0000}"/>
    <cellStyle name="Comma 2 2 4 3 2 3 3 5" xfId="11578" xr:uid="{00000000-0005-0000-0000-0000C11F0000}"/>
    <cellStyle name="Comma 2 2 4 3 2 3 3 5 2" xfId="34857" xr:uid="{00000000-0005-0000-0000-0000C21F0000}"/>
    <cellStyle name="Comma 2 2 4 3 2 3 3 6" xfId="14026" xr:uid="{00000000-0005-0000-0000-0000C31F0000}"/>
    <cellStyle name="Comma 2 2 4 3 2 3 3 6 2" xfId="37305" xr:uid="{00000000-0005-0000-0000-0000C41F0000}"/>
    <cellStyle name="Comma 2 2 4 3 2 3 3 7" xfId="17721" xr:uid="{00000000-0005-0000-0000-0000C51F0000}"/>
    <cellStyle name="Comma 2 2 4 3 2 3 3 7 2" xfId="40999" xr:uid="{00000000-0005-0000-0000-0000C61F0000}"/>
    <cellStyle name="Comma 2 2 4 3 2 3 3 8" xfId="25065" xr:uid="{00000000-0005-0000-0000-0000C71F0000}"/>
    <cellStyle name="Comma 2 2 4 3 2 3 3 9" xfId="45895" xr:uid="{00000000-0005-0000-0000-0000C81F0000}"/>
    <cellStyle name="Comma 2 2 4 3 2 3 4" xfId="3010" xr:uid="{00000000-0005-0000-0000-0000C91F0000}"/>
    <cellStyle name="Comma 2 2 4 3 2 3 4 2" xfId="16497" xr:uid="{00000000-0005-0000-0000-0000CA1F0000}"/>
    <cellStyle name="Comma 2 2 4 3 2 3 4 2 2" xfId="39775" xr:uid="{00000000-0005-0000-0000-0000CB1F0000}"/>
    <cellStyle name="Comma 2 2 4 3 2 3 4 3" xfId="47119" xr:uid="{00000000-0005-0000-0000-0000CC1F0000}"/>
    <cellStyle name="Comma 2 2 4 3 2 3 4 4" xfId="26289" xr:uid="{00000000-0005-0000-0000-0000CD1F0000}"/>
    <cellStyle name="Comma 2 2 4 3 2 3 5" xfId="5458" xr:uid="{00000000-0005-0000-0000-0000CE1F0000}"/>
    <cellStyle name="Comma 2 2 4 3 2 3 5 2" xfId="18945" xr:uid="{00000000-0005-0000-0000-0000CF1F0000}"/>
    <cellStyle name="Comma 2 2 4 3 2 3 5 2 2" xfId="42223" xr:uid="{00000000-0005-0000-0000-0000D01F0000}"/>
    <cellStyle name="Comma 2 2 4 3 2 3 5 3" xfId="28737" xr:uid="{00000000-0005-0000-0000-0000D11F0000}"/>
    <cellStyle name="Comma 2 2 4 3 2 3 6" xfId="7906" xr:uid="{00000000-0005-0000-0000-0000D21F0000}"/>
    <cellStyle name="Comma 2 2 4 3 2 3 6 2" xfId="31185" xr:uid="{00000000-0005-0000-0000-0000D31F0000}"/>
    <cellStyle name="Comma 2 2 4 3 2 3 7" xfId="10354" xr:uid="{00000000-0005-0000-0000-0000D41F0000}"/>
    <cellStyle name="Comma 2 2 4 3 2 3 7 2" xfId="33633" xr:uid="{00000000-0005-0000-0000-0000D51F0000}"/>
    <cellStyle name="Comma 2 2 4 3 2 3 8" xfId="12802" xr:uid="{00000000-0005-0000-0000-0000D61F0000}"/>
    <cellStyle name="Comma 2 2 4 3 2 3 8 2" xfId="36081" xr:uid="{00000000-0005-0000-0000-0000D71F0000}"/>
    <cellStyle name="Comma 2 2 4 3 2 3 9" xfId="15273" xr:uid="{00000000-0005-0000-0000-0000D81F0000}"/>
    <cellStyle name="Comma 2 2 4 3 2 3 9 2" xfId="38551" xr:uid="{00000000-0005-0000-0000-0000D91F0000}"/>
    <cellStyle name="Comma 2 2 4 3 2 4" xfId="766" xr:uid="{00000000-0005-0000-0000-0000DA1F0000}"/>
    <cellStyle name="Comma 2 2 4 3 2 4 10" xfId="44875" xr:uid="{00000000-0005-0000-0000-0000DB1F0000}"/>
    <cellStyle name="Comma 2 2 4 3 2 4 11" xfId="21597" xr:uid="{00000000-0005-0000-0000-0000DC1F0000}"/>
    <cellStyle name="Comma 2 2 4 3 2 4 2" xfId="1990" xr:uid="{00000000-0005-0000-0000-0000DD1F0000}"/>
    <cellStyle name="Comma 2 2 4 3 2 4 2 10" xfId="22821" xr:uid="{00000000-0005-0000-0000-0000DE1F0000}"/>
    <cellStyle name="Comma 2 2 4 3 2 4 2 2" xfId="4438" xr:uid="{00000000-0005-0000-0000-0000DF1F0000}"/>
    <cellStyle name="Comma 2 2 4 3 2 4 2 2 2" xfId="20373" xr:uid="{00000000-0005-0000-0000-0000E01F0000}"/>
    <cellStyle name="Comma 2 2 4 3 2 4 2 2 2 2" xfId="43651" xr:uid="{00000000-0005-0000-0000-0000E11F0000}"/>
    <cellStyle name="Comma 2 2 4 3 2 4 2 2 3" xfId="48547" xr:uid="{00000000-0005-0000-0000-0000E21F0000}"/>
    <cellStyle name="Comma 2 2 4 3 2 4 2 2 4" xfId="27717" xr:uid="{00000000-0005-0000-0000-0000E31F0000}"/>
    <cellStyle name="Comma 2 2 4 3 2 4 2 3" xfId="6886" xr:uid="{00000000-0005-0000-0000-0000E41F0000}"/>
    <cellStyle name="Comma 2 2 4 3 2 4 2 3 2" xfId="30165" xr:uid="{00000000-0005-0000-0000-0000E51F0000}"/>
    <cellStyle name="Comma 2 2 4 3 2 4 2 4" xfId="9334" xr:uid="{00000000-0005-0000-0000-0000E61F0000}"/>
    <cellStyle name="Comma 2 2 4 3 2 4 2 4 2" xfId="32613" xr:uid="{00000000-0005-0000-0000-0000E71F0000}"/>
    <cellStyle name="Comma 2 2 4 3 2 4 2 5" xfId="11782" xr:uid="{00000000-0005-0000-0000-0000E81F0000}"/>
    <cellStyle name="Comma 2 2 4 3 2 4 2 5 2" xfId="35061" xr:uid="{00000000-0005-0000-0000-0000E91F0000}"/>
    <cellStyle name="Comma 2 2 4 3 2 4 2 6" xfId="14230" xr:uid="{00000000-0005-0000-0000-0000EA1F0000}"/>
    <cellStyle name="Comma 2 2 4 3 2 4 2 6 2" xfId="37509" xr:uid="{00000000-0005-0000-0000-0000EB1F0000}"/>
    <cellStyle name="Comma 2 2 4 3 2 4 2 7" xfId="17925" xr:uid="{00000000-0005-0000-0000-0000EC1F0000}"/>
    <cellStyle name="Comma 2 2 4 3 2 4 2 7 2" xfId="41203" xr:uid="{00000000-0005-0000-0000-0000ED1F0000}"/>
    <cellStyle name="Comma 2 2 4 3 2 4 2 8" xfId="25269" xr:uid="{00000000-0005-0000-0000-0000EE1F0000}"/>
    <cellStyle name="Comma 2 2 4 3 2 4 2 9" xfId="46099" xr:uid="{00000000-0005-0000-0000-0000EF1F0000}"/>
    <cellStyle name="Comma 2 2 4 3 2 4 3" xfId="3214" xr:uid="{00000000-0005-0000-0000-0000F01F0000}"/>
    <cellStyle name="Comma 2 2 4 3 2 4 3 2" xfId="16701" xr:uid="{00000000-0005-0000-0000-0000F11F0000}"/>
    <cellStyle name="Comma 2 2 4 3 2 4 3 2 2" xfId="39979" xr:uid="{00000000-0005-0000-0000-0000F21F0000}"/>
    <cellStyle name="Comma 2 2 4 3 2 4 3 3" xfId="47323" xr:uid="{00000000-0005-0000-0000-0000F31F0000}"/>
    <cellStyle name="Comma 2 2 4 3 2 4 3 4" xfId="26493" xr:uid="{00000000-0005-0000-0000-0000F41F0000}"/>
    <cellStyle name="Comma 2 2 4 3 2 4 4" xfId="5662" xr:uid="{00000000-0005-0000-0000-0000F51F0000}"/>
    <cellStyle name="Comma 2 2 4 3 2 4 4 2" xfId="19149" xr:uid="{00000000-0005-0000-0000-0000F61F0000}"/>
    <cellStyle name="Comma 2 2 4 3 2 4 4 2 2" xfId="42427" xr:uid="{00000000-0005-0000-0000-0000F71F0000}"/>
    <cellStyle name="Comma 2 2 4 3 2 4 4 3" xfId="28941" xr:uid="{00000000-0005-0000-0000-0000F81F0000}"/>
    <cellStyle name="Comma 2 2 4 3 2 4 5" xfId="8110" xr:uid="{00000000-0005-0000-0000-0000F91F0000}"/>
    <cellStyle name="Comma 2 2 4 3 2 4 5 2" xfId="31389" xr:uid="{00000000-0005-0000-0000-0000FA1F0000}"/>
    <cellStyle name="Comma 2 2 4 3 2 4 6" xfId="10558" xr:uid="{00000000-0005-0000-0000-0000FB1F0000}"/>
    <cellStyle name="Comma 2 2 4 3 2 4 6 2" xfId="33837" xr:uid="{00000000-0005-0000-0000-0000FC1F0000}"/>
    <cellStyle name="Comma 2 2 4 3 2 4 7" xfId="13006" xr:uid="{00000000-0005-0000-0000-0000FD1F0000}"/>
    <cellStyle name="Comma 2 2 4 3 2 4 7 2" xfId="36285" xr:uid="{00000000-0005-0000-0000-0000FE1F0000}"/>
    <cellStyle name="Comma 2 2 4 3 2 4 8" xfId="15477" xr:uid="{00000000-0005-0000-0000-0000FF1F0000}"/>
    <cellStyle name="Comma 2 2 4 3 2 4 8 2" xfId="38755" xr:uid="{00000000-0005-0000-0000-000000200000}"/>
    <cellStyle name="Comma 2 2 4 3 2 4 9" xfId="24045" xr:uid="{00000000-0005-0000-0000-000001200000}"/>
    <cellStyle name="Comma 2 2 4 3 2 5" xfId="1378" xr:uid="{00000000-0005-0000-0000-000002200000}"/>
    <cellStyle name="Comma 2 2 4 3 2 5 10" xfId="22209" xr:uid="{00000000-0005-0000-0000-000003200000}"/>
    <cellStyle name="Comma 2 2 4 3 2 5 2" xfId="3826" xr:uid="{00000000-0005-0000-0000-000004200000}"/>
    <cellStyle name="Comma 2 2 4 3 2 5 2 2" xfId="19761" xr:uid="{00000000-0005-0000-0000-000005200000}"/>
    <cellStyle name="Comma 2 2 4 3 2 5 2 2 2" xfId="43039" xr:uid="{00000000-0005-0000-0000-000006200000}"/>
    <cellStyle name="Comma 2 2 4 3 2 5 2 3" xfId="47935" xr:uid="{00000000-0005-0000-0000-000007200000}"/>
    <cellStyle name="Comma 2 2 4 3 2 5 2 4" xfId="27105" xr:uid="{00000000-0005-0000-0000-000008200000}"/>
    <cellStyle name="Comma 2 2 4 3 2 5 3" xfId="6274" xr:uid="{00000000-0005-0000-0000-000009200000}"/>
    <cellStyle name="Comma 2 2 4 3 2 5 3 2" xfId="29553" xr:uid="{00000000-0005-0000-0000-00000A200000}"/>
    <cellStyle name="Comma 2 2 4 3 2 5 4" xfId="8722" xr:uid="{00000000-0005-0000-0000-00000B200000}"/>
    <cellStyle name="Comma 2 2 4 3 2 5 4 2" xfId="32001" xr:uid="{00000000-0005-0000-0000-00000C200000}"/>
    <cellStyle name="Comma 2 2 4 3 2 5 5" xfId="11170" xr:uid="{00000000-0005-0000-0000-00000D200000}"/>
    <cellStyle name="Comma 2 2 4 3 2 5 5 2" xfId="34449" xr:uid="{00000000-0005-0000-0000-00000E200000}"/>
    <cellStyle name="Comma 2 2 4 3 2 5 6" xfId="13618" xr:uid="{00000000-0005-0000-0000-00000F200000}"/>
    <cellStyle name="Comma 2 2 4 3 2 5 6 2" xfId="36897" xr:uid="{00000000-0005-0000-0000-000010200000}"/>
    <cellStyle name="Comma 2 2 4 3 2 5 7" xfId="17313" xr:uid="{00000000-0005-0000-0000-000011200000}"/>
    <cellStyle name="Comma 2 2 4 3 2 5 7 2" xfId="40591" xr:uid="{00000000-0005-0000-0000-000012200000}"/>
    <cellStyle name="Comma 2 2 4 3 2 5 8" xfId="24657" xr:uid="{00000000-0005-0000-0000-000013200000}"/>
    <cellStyle name="Comma 2 2 4 3 2 5 9" xfId="45487" xr:uid="{00000000-0005-0000-0000-000014200000}"/>
    <cellStyle name="Comma 2 2 4 3 2 6" xfId="2602" xr:uid="{00000000-0005-0000-0000-000015200000}"/>
    <cellStyle name="Comma 2 2 4 3 2 6 2" xfId="16089" xr:uid="{00000000-0005-0000-0000-000016200000}"/>
    <cellStyle name="Comma 2 2 4 3 2 6 2 2" xfId="39367" xr:uid="{00000000-0005-0000-0000-000017200000}"/>
    <cellStyle name="Comma 2 2 4 3 2 6 3" xfId="46711" xr:uid="{00000000-0005-0000-0000-000018200000}"/>
    <cellStyle name="Comma 2 2 4 3 2 6 4" xfId="25881" xr:uid="{00000000-0005-0000-0000-000019200000}"/>
    <cellStyle name="Comma 2 2 4 3 2 7" xfId="5050" xr:uid="{00000000-0005-0000-0000-00001A200000}"/>
    <cellStyle name="Comma 2 2 4 3 2 7 2" xfId="18537" xr:uid="{00000000-0005-0000-0000-00001B200000}"/>
    <cellStyle name="Comma 2 2 4 3 2 7 2 2" xfId="41815" xr:uid="{00000000-0005-0000-0000-00001C200000}"/>
    <cellStyle name="Comma 2 2 4 3 2 7 3" xfId="28329" xr:uid="{00000000-0005-0000-0000-00001D200000}"/>
    <cellStyle name="Comma 2 2 4 3 2 8" xfId="7498" xr:uid="{00000000-0005-0000-0000-00001E200000}"/>
    <cellStyle name="Comma 2 2 4 3 2 8 2" xfId="30777" xr:uid="{00000000-0005-0000-0000-00001F200000}"/>
    <cellStyle name="Comma 2 2 4 3 2 9" xfId="9946" xr:uid="{00000000-0005-0000-0000-000020200000}"/>
    <cellStyle name="Comma 2 2 4 3 2 9 2" xfId="33225" xr:uid="{00000000-0005-0000-0000-000021200000}"/>
    <cellStyle name="Comma 2 2 4 3 3" xfId="222" xr:uid="{00000000-0005-0000-0000-000022200000}"/>
    <cellStyle name="Comma 2 2 4 3 3 10" xfId="12462" xr:uid="{00000000-0005-0000-0000-000023200000}"/>
    <cellStyle name="Comma 2 2 4 3 3 10 2" xfId="35741" xr:uid="{00000000-0005-0000-0000-000024200000}"/>
    <cellStyle name="Comma 2 2 4 3 3 11" xfId="14933" xr:uid="{00000000-0005-0000-0000-000025200000}"/>
    <cellStyle name="Comma 2 2 4 3 3 11 2" xfId="38211" xr:uid="{00000000-0005-0000-0000-000026200000}"/>
    <cellStyle name="Comma 2 2 4 3 3 12" xfId="23501" xr:uid="{00000000-0005-0000-0000-000027200000}"/>
    <cellStyle name="Comma 2 2 4 3 3 13" xfId="44331" xr:uid="{00000000-0005-0000-0000-000028200000}"/>
    <cellStyle name="Comma 2 2 4 3 3 14" xfId="21053" xr:uid="{00000000-0005-0000-0000-000029200000}"/>
    <cellStyle name="Comma 2 2 4 3 3 2" xfId="426" xr:uid="{00000000-0005-0000-0000-00002A200000}"/>
    <cellStyle name="Comma 2 2 4 3 3 2 10" xfId="23705" xr:uid="{00000000-0005-0000-0000-00002B200000}"/>
    <cellStyle name="Comma 2 2 4 3 3 2 11" xfId="44535" xr:uid="{00000000-0005-0000-0000-00002C200000}"/>
    <cellStyle name="Comma 2 2 4 3 3 2 12" xfId="21257" xr:uid="{00000000-0005-0000-0000-00002D200000}"/>
    <cellStyle name="Comma 2 2 4 3 3 2 2" xfId="1038" xr:uid="{00000000-0005-0000-0000-00002E200000}"/>
    <cellStyle name="Comma 2 2 4 3 3 2 2 10" xfId="45147" xr:uid="{00000000-0005-0000-0000-00002F200000}"/>
    <cellStyle name="Comma 2 2 4 3 3 2 2 11" xfId="21869" xr:uid="{00000000-0005-0000-0000-000030200000}"/>
    <cellStyle name="Comma 2 2 4 3 3 2 2 2" xfId="2262" xr:uid="{00000000-0005-0000-0000-000031200000}"/>
    <cellStyle name="Comma 2 2 4 3 3 2 2 2 10" xfId="23093" xr:uid="{00000000-0005-0000-0000-000032200000}"/>
    <cellStyle name="Comma 2 2 4 3 3 2 2 2 2" xfId="4710" xr:uid="{00000000-0005-0000-0000-000033200000}"/>
    <cellStyle name="Comma 2 2 4 3 3 2 2 2 2 2" xfId="20645" xr:uid="{00000000-0005-0000-0000-000034200000}"/>
    <cellStyle name="Comma 2 2 4 3 3 2 2 2 2 2 2" xfId="43923" xr:uid="{00000000-0005-0000-0000-000035200000}"/>
    <cellStyle name="Comma 2 2 4 3 3 2 2 2 2 3" xfId="48819" xr:uid="{00000000-0005-0000-0000-000036200000}"/>
    <cellStyle name="Comma 2 2 4 3 3 2 2 2 2 4" xfId="27989" xr:uid="{00000000-0005-0000-0000-000037200000}"/>
    <cellStyle name="Comma 2 2 4 3 3 2 2 2 3" xfId="7158" xr:uid="{00000000-0005-0000-0000-000038200000}"/>
    <cellStyle name="Comma 2 2 4 3 3 2 2 2 3 2" xfId="30437" xr:uid="{00000000-0005-0000-0000-000039200000}"/>
    <cellStyle name="Comma 2 2 4 3 3 2 2 2 4" xfId="9606" xr:uid="{00000000-0005-0000-0000-00003A200000}"/>
    <cellStyle name="Comma 2 2 4 3 3 2 2 2 4 2" xfId="32885" xr:uid="{00000000-0005-0000-0000-00003B200000}"/>
    <cellStyle name="Comma 2 2 4 3 3 2 2 2 5" xfId="12054" xr:uid="{00000000-0005-0000-0000-00003C200000}"/>
    <cellStyle name="Comma 2 2 4 3 3 2 2 2 5 2" xfId="35333" xr:uid="{00000000-0005-0000-0000-00003D200000}"/>
    <cellStyle name="Comma 2 2 4 3 3 2 2 2 6" xfId="14502" xr:uid="{00000000-0005-0000-0000-00003E200000}"/>
    <cellStyle name="Comma 2 2 4 3 3 2 2 2 6 2" xfId="37781" xr:uid="{00000000-0005-0000-0000-00003F200000}"/>
    <cellStyle name="Comma 2 2 4 3 3 2 2 2 7" xfId="18197" xr:uid="{00000000-0005-0000-0000-000040200000}"/>
    <cellStyle name="Comma 2 2 4 3 3 2 2 2 7 2" xfId="41475" xr:uid="{00000000-0005-0000-0000-000041200000}"/>
    <cellStyle name="Comma 2 2 4 3 3 2 2 2 8" xfId="25541" xr:uid="{00000000-0005-0000-0000-000042200000}"/>
    <cellStyle name="Comma 2 2 4 3 3 2 2 2 9" xfId="46371" xr:uid="{00000000-0005-0000-0000-000043200000}"/>
    <cellStyle name="Comma 2 2 4 3 3 2 2 3" xfId="3486" xr:uid="{00000000-0005-0000-0000-000044200000}"/>
    <cellStyle name="Comma 2 2 4 3 3 2 2 3 2" xfId="16973" xr:uid="{00000000-0005-0000-0000-000045200000}"/>
    <cellStyle name="Comma 2 2 4 3 3 2 2 3 2 2" xfId="40251" xr:uid="{00000000-0005-0000-0000-000046200000}"/>
    <cellStyle name="Comma 2 2 4 3 3 2 2 3 3" xfId="47595" xr:uid="{00000000-0005-0000-0000-000047200000}"/>
    <cellStyle name="Comma 2 2 4 3 3 2 2 3 4" xfId="26765" xr:uid="{00000000-0005-0000-0000-000048200000}"/>
    <cellStyle name="Comma 2 2 4 3 3 2 2 4" xfId="5934" xr:uid="{00000000-0005-0000-0000-000049200000}"/>
    <cellStyle name="Comma 2 2 4 3 3 2 2 4 2" xfId="19421" xr:uid="{00000000-0005-0000-0000-00004A200000}"/>
    <cellStyle name="Comma 2 2 4 3 3 2 2 4 2 2" xfId="42699" xr:uid="{00000000-0005-0000-0000-00004B200000}"/>
    <cellStyle name="Comma 2 2 4 3 3 2 2 4 3" xfId="29213" xr:uid="{00000000-0005-0000-0000-00004C200000}"/>
    <cellStyle name="Comma 2 2 4 3 3 2 2 5" xfId="8382" xr:uid="{00000000-0005-0000-0000-00004D200000}"/>
    <cellStyle name="Comma 2 2 4 3 3 2 2 5 2" xfId="31661" xr:uid="{00000000-0005-0000-0000-00004E200000}"/>
    <cellStyle name="Comma 2 2 4 3 3 2 2 6" xfId="10830" xr:uid="{00000000-0005-0000-0000-00004F200000}"/>
    <cellStyle name="Comma 2 2 4 3 3 2 2 6 2" xfId="34109" xr:uid="{00000000-0005-0000-0000-000050200000}"/>
    <cellStyle name="Comma 2 2 4 3 3 2 2 7" xfId="13278" xr:uid="{00000000-0005-0000-0000-000051200000}"/>
    <cellStyle name="Comma 2 2 4 3 3 2 2 7 2" xfId="36557" xr:uid="{00000000-0005-0000-0000-000052200000}"/>
    <cellStyle name="Comma 2 2 4 3 3 2 2 8" xfId="15749" xr:uid="{00000000-0005-0000-0000-000053200000}"/>
    <cellStyle name="Comma 2 2 4 3 3 2 2 8 2" xfId="39027" xr:uid="{00000000-0005-0000-0000-000054200000}"/>
    <cellStyle name="Comma 2 2 4 3 3 2 2 9" xfId="24317" xr:uid="{00000000-0005-0000-0000-000055200000}"/>
    <cellStyle name="Comma 2 2 4 3 3 2 3" xfId="1650" xr:uid="{00000000-0005-0000-0000-000056200000}"/>
    <cellStyle name="Comma 2 2 4 3 3 2 3 10" xfId="22481" xr:uid="{00000000-0005-0000-0000-000057200000}"/>
    <cellStyle name="Comma 2 2 4 3 3 2 3 2" xfId="4098" xr:uid="{00000000-0005-0000-0000-000058200000}"/>
    <cellStyle name="Comma 2 2 4 3 3 2 3 2 2" xfId="20033" xr:uid="{00000000-0005-0000-0000-000059200000}"/>
    <cellStyle name="Comma 2 2 4 3 3 2 3 2 2 2" xfId="43311" xr:uid="{00000000-0005-0000-0000-00005A200000}"/>
    <cellStyle name="Comma 2 2 4 3 3 2 3 2 3" xfId="48207" xr:uid="{00000000-0005-0000-0000-00005B200000}"/>
    <cellStyle name="Comma 2 2 4 3 3 2 3 2 4" xfId="27377" xr:uid="{00000000-0005-0000-0000-00005C200000}"/>
    <cellStyle name="Comma 2 2 4 3 3 2 3 3" xfId="6546" xr:uid="{00000000-0005-0000-0000-00005D200000}"/>
    <cellStyle name="Comma 2 2 4 3 3 2 3 3 2" xfId="29825" xr:uid="{00000000-0005-0000-0000-00005E200000}"/>
    <cellStyle name="Comma 2 2 4 3 3 2 3 4" xfId="8994" xr:uid="{00000000-0005-0000-0000-00005F200000}"/>
    <cellStyle name="Comma 2 2 4 3 3 2 3 4 2" xfId="32273" xr:uid="{00000000-0005-0000-0000-000060200000}"/>
    <cellStyle name="Comma 2 2 4 3 3 2 3 5" xfId="11442" xr:uid="{00000000-0005-0000-0000-000061200000}"/>
    <cellStyle name="Comma 2 2 4 3 3 2 3 5 2" xfId="34721" xr:uid="{00000000-0005-0000-0000-000062200000}"/>
    <cellStyle name="Comma 2 2 4 3 3 2 3 6" xfId="13890" xr:uid="{00000000-0005-0000-0000-000063200000}"/>
    <cellStyle name="Comma 2 2 4 3 3 2 3 6 2" xfId="37169" xr:uid="{00000000-0005-0000-0000-000064200000}"/>
    <cellStyle name="Comma 2 2 4 3 3 2 3 7" xfId="17585" xr:uid="{00000000-0005-0000-0000-000065200000}"/>
    <cellStyle name="Comma 2 2 4 3 3 2 3 7 2" xfId="40863" xr:uid="{00000000-0005-0000-0000-000066200000}"/>
    <cellStyle name="Comma 2 2 4 3 3 2 3 8" xfId="24929" xr:uid="{00000000-0005-0000-0000-000067200000}"/>
    <cellStyle name="Comma 2 2 4 3 3 2 3 9" xfId="45759" xr:uid="{00000000-0005-0000-0000-000068200000}"/>
    <cellStyle name="Comma 2 2 4 3 3 2 4" xfId="2874" xr:uid="{00000000-0005-0000-0000-000069200000}"/>
    <cellStyle name="Comma 2 2 4 3 3 2 4 2" xfId="16361" xr:uid="{00000000-0005-0000-0000-00006A200000}"/>
    <cellStyle name="Comma 2 2 4 3 3 2 4 2 2" xfId="39639" xr:uid="{00000000-0005-0000-0000-00006B200000}"/>
    <cellStyle name="Comma 2 2 4 3 3 2 4 3" xfId="46983" xr:uid="{00000000-0005-0000-0000-00006C200000}"/>
    <cellStyle name="Comma 2 2 4 3 3 2 4 4" xfId="26153" xr:uid="{00000000-0005-0000-0000-00006D200000}"/>
    <cellStyle name="Comma 2 2 4 3 3 2 5" xfId="5322" xr:uid="{00000000-0005-0000-0000-00006E200000}"/>
    <cellStyle name="Comma 2 2 4 3 3 2 5 2" xfId="18809" xr:uid="{00000000-0005-0000-0000-00006F200000}"/>
    <cellStyle name="Comma 2 2 4 3 3 2 5 2 2" xfId="42087" xr:uid="{00000000-0005-0000-0000-000070200000}"/>
    <cellStyle name="Comma 2 2 4 3 3 2 5 3" xfId="28601" xr:uid="{00000000-0005-0000-0000-000071200000}"/>
    <cellStyle name="Comma 2 2 4 3 3 2 6" xfId="7770" xr:uid="{00000000-0005-0000-0000-000072200000}"/>
    <cellStyle name="Comma 2 2 4 3 3 2 6 2" xfId="31049" xr:uid="{00000000-0005-0000-0000-000073200000}"/>
    <cellStyle name="Comma 2 2 4 3 3 2 7" xfId="10218" xr:uid="{00000000-0005-0000-0000-000074200000}"/>
    <cellStyle name="Comma 2 2 4 3 3 2 7 2" xfId="33497" xr:uid="{00000000-0005-0000-0000-000075200000}"/>
    <cellStyle name="Comma 2 2 4 3 3 2 8" xfId="12666" xr:uid="{00000000-0005-0000-0000-000076200000}"/>
    <cellStyle name="Comma 2 2 4 3 3 2 8 2" xfId="35945" xr:uid="{00000000-0005-0000-0000-000077200000}"/>
    <cellStyle name="Comma 2 2 4 3 3 2 9" xfId="15137" xr:uid="{00000000-0005-0000-0000-000078200000}"/>
    <cellStyle name="Comma 2 2 4 3 3 2 9 2" xfId="38415" xr:uid="{00000000-0005-0000-0000-000079200000}"/>
    <cellStyle name="Comma 2 2 4 3 3 3" xfId="630" xr:uid="{00000000-0005-0000-0000-00007A200000}"/>
    <cellStyle name="Comma 2 2 4 3 3 3 10" xfId="23909" xr:uid="{00000000-0005-0000-0000-00007B200000}"/>
    <cellStyle name="Comma 2 2 4 3 3 3 11" xfId="44739" xr:uid="{00000000-0005-0000-0000-00007C200000}"/>
    <cellStyle name="Comma 2 2 4 3 3 3 12" xfId="21461" xr:uid="{00000000-0005-0000-0000-00007D200000}"/>
    <cellStyle name="Comma 2 2 4 3 3 3 2" xfId="1242" xr:uid="{00000000-0005-0000-0000-00007E200000}"/>
    <cellStyle name="Comma 2 2 4 3 3 3 2 10" xfId="45351" xr:uid="{00000000-0005-0000-0000-00007F200000}"/>
    <cellStyle name="Comma 2 2 4 3 3 3 2 11" xfId="22073" xr:uid="{00000000-0005-0000-0000-000080200000}"/>
    <cellStyle name="Comma 2 2 4 3 3 3 2 2" xfId="2466" xr:uid="{00000000-0005-0000-0000-000081200000}"/>
    <cellStyle name="Comma 2 2 4 3 3 3 2 2 10" xfId="23297" xr:uid="{00000000-0005-0000-0000-000082200000}"/>
    <cellStyle name="Comma 2 2 4 3 3 3 2 2 2" xfId="4914" xr:uid="{00000000-0005-0000-0000-000083200000}"/>
    <cellStyle name="Comma 2 2 4 3 3 3 2 2 2 2" xfId="20849" xr:uid="{00000000-0005-0000-0000-000084200000}"/>
    <cellStyle name="Comma 2 2 4 3 3 3 2 2 2 2 2" xfId="44127" xr:uid="{00000000-0005-0000-0000-000085200000}"/>
    <cellStyle name="Comma 2 2 4 3 3 3 2 2 2 3" xfId="49023" xr:uid="{00000000-0005-0000-0000-000086200000}"/>
    <cellStyle name="Comma 2 2 4 3 3 3 2 2 2 4" xfId="28193" xr:uid="{00000000-0005-0000-0000-000087200000}"/>
    <cellStyle name="Comma 2 2 4 3 3 3 2 2 3" xfId="7362" xr:uid="{00000000-0005-0000-0000-000088200000}"/>
    <cellStyle name="Comma 2 2 4 3 3 3 2 2 3 2" xfId="30641" xr:uid="{00000000-0005-0000-0000-000089200000}"/>
    <cellStyle name="Comma 2 2 4 3 3 3 2 2 4" xfId="9810" xr:uid="{00000000-0005-0000-0000-00008A200000}"/>
    <cellStyle name="Comma 2 2 4 3 3 3 2 2 4 2" xfId="33089" xr:uid="{00000000-0005-0000-0000-00008B200000}"/>
    <cellStyle name="Comma 2 2 4 3 3 3 2 2 5" xfId="12258" xr:uid="{00000000-0005-0000-0000-00008C200000}"/>
    <cellStyle name="Comma 2 2 4 3 3 3 2 2 5 2" xfId="35537" xr:uid="{00000000-0005-0000-0000-00008D200000}"/>
    <cellStyle name="Comma 2 2 4 3 3 3 2 2 6" xfId="14706" xr:uid="{00000000-0005-0000-0000-00008E200000}"/>
    <cellStyle name="Comma 2 2 4 3 3 3 2 2 6 2" xfId="37985" xr:uid="{00000000-0005-0000-0000-00008F200000}"/>
    <cellStyle name="Comma 2 2 4 3 3 3 2 2 7" xfId="18401" xr:uid="{00000000-0005-0000-0000-000090200000}"/>
    <cellStyle name="Comma 2 2 4 3 3 3 2 2 7 2" xfId="41679" xr:uid="{00000000-0005-0000-0000-000091200000}"/>
    <cellStyle name="Comma 2 2 4 3 3 3 2 2 8" xfId="25745" xr:uid="{00000000-0005-0000-0000-000092200000}"/>
    <cellStyle name="Comma 2 2 4 3 3 3 2 2 9" xfId="46575" xr:uid="{00000000-0005-0000-0000-000093200000}"/>
    <cellStyle name="Comma 2 2 4 3 3 3 2 3" xfId="3690" xr:uid="{00000000-0005-0000-0000-000094200000}"/>
    <cellStyle name="Comma 2 2 4 3 3 3 2 3 2" xfId="17177" xr:uid="{00000000-0005-0000-0000-000095200000}"/>
    <cellStyle name="Comma 2 2 4 3 3 3 2 3 2 2" xfId="40455" xr:uid="{00000000-0005-0000-0000-000096200000}"/>
    <cellStyle name="Comma 2 2 4 3 3 3 2 3 3" xfId="47799" xr:uid="{00000000-0005-0000-0000-000097200000}"/>
    <cellStyle name="Comma 2 2 4 3 3 3 2 3 4" xfId="26969" xr:uid="{00000000-0005-0000-0000-000098200000}"/>
    <cellStyle name="Comma 2 2 4 3 3 3 2 4" xfId="6138" xr:uid="{00000000-0005-0000-0000-000099200000}"/>
    <cellStyle name="Comma 2 2 4 3 3 3 2 4 2" xfId="19625" xr:uid="{00000000-0005-0000-0000-00009A200000}"/>
    <cellStyle name="Comma 2 2 4 3 3 3 2 4 2 2" xfId="42903" xr:uid="{00000000-0005-0000-0000-00009B200000}"/>
    <cellStyle name="Comma 2 2 4 3 3 3 2 4 3" xfId="29417" xr:uid="{00000000-0005-0000-0000-00009C200000}"/>
    <cellStyle name="Comma 2 2 4 3 3 3 2 5" xfId="8586" xr:uid="{00000000-0005-0000-0000-00009D200000}"/>
    <cellStyle name="Comma 2 2 4 3 3 3 2 5 2" xfId="31865" xr:uid="{00000000-0005-0000-0000-00009E200000}"/>
    <cellStyle name="Comma 2 2 4 3 3 3 2 6" xfId="11034" xr:uid="{00000000-0005-0000-0000-00009F200000}"/>
    <cellStyle name="Comma 2 2 4 3 3 3 2 6 2" xfId="34313" xr:uid="{00000000-0005-0000-0000-0000A0200000}"/>
    <cellStyle name="Comma 2 2 4 3 3 3 2 7" xfId="13482" xr:uid="{00000000-0005-0000-0000-0000A1200000}"/>
    <cellStyle name="Comma 2 2 4 3 3 3 2 7 2" xfId="36761" xr:uid="{00000000-0005-0000-0000-0000A2200000}"/>
    <cellStyle name="Comma 2 2 4 3 3 3 2 8" xfId="15953" xr:uid="{00000000-0005-0000-0000-0000A3200000}"/>
    <cellStyle name="Comma 2 2 4 3 3 3 2 8 2" xfId="39231" xr:uid="{00000000-0005-0000-0000-0000A4200000}"/>
    <cellStyle name="Comma 2 2 4 3 3 3 2 9" xfId="24521" xr:uid="{00000000-0005-0000-0000-0000A5200000}"/>
    <cellStyle name="Comma 2 2 4 3 3 3 3" xfId="1854" xr:uid="{00000000-0005-0000-0000-0000A6200000}"/>
    <cellStyle name="Comma 2 2 4 3 3 3 3 10" xfId="22685" xr:uid="{00000000-0005-0000-0000-0000A7200000}"/>
    <cellStyle name="Comma 2 2 4 3 3 3 3 2" xfId="4302" xr:uid="{00000000-0005-0000-0000-0000A8200000}"/>
    <cellStyle name="Comma 2 2 4 3 3 3 3 2 2" xfId="20237" xr:uid="{00000000-0005-0000-0000-0000A9200000}"/>
    <cellStyle name="Comma 2 2 4 3 3 3 3 2 2 2" xfId="43515" xr:uid="{00000000-0005-0000-0000-0000AA200000}"/>
    <cellStyle name="Comma 2 2 4 3 3 3 3 2 3" xfId="48411" xr:uid="{00000000-0005-0000-0000-0000AB200000}"/>
    <cellStyle name="Comma 2 2 4 3 3 3 3 2 4" xfId="27581" xr:uid="{00000000-0005-0000-0000-0000AC200000}"/>
    <cellStyle name="Comma 2 2 4 3 3 3 3 3" xfId="6750" xr:uid="{00000000-0005-0000-0000-0000AD200000}"/>
    <cellStyle name="Comma 2 2 4 3 3 3 3 3 2" xfId="30029" xr:uid="{00000000-0005-0000-0000-0000AE200000}"/>
    <cellStyle name="Comma 2 2 4 3 3 3 3 4" xfId="9198" xr:uid="{00000000-0005-0000-0000-0000AF200000}"/>
    <cellStyle name="Comma 2 2 4 3 3 3 3 4 2" xfId="32477" xr:uid="{00000000-0005-0000-0000-0000B0200000}"/>
    <cellStyle name="Comma 2 2 4 3 3 3 3 5" xfId="11646" xr:uid="{00000000-0005-0000-0000-0000B1200000}"/>
    <cellStyle name="Comma 2 2 4 3 3 3 3 5 2" xfId="34925" xr:uid="{00000000-0005-0000-0000-0000B2200000}"/>
    <cellStyle name="Comma 2 2 4 3 3 3 3 6" xfId="14094" xr:uid="{00000000-0005-0000-0000-0000B3200000}"/>
    <cellStyle name="Comma 2 2 4 3 3 3 3 6 2" xfId="37373" xr:uid="{00000000-0005-0000-0000-0000B4200000}"/>
    <cellStyle name="Comma 2 2 4 3 3 3 3 7" xfId="17789" xr:uid="{00000000-0005-0000-0000-0000B5200000}"/>
    <cellStyle name="Comma 2 2 4 3 3 3 3 7 2" xfId="41067" xr:uid="{00000000-0005-0000-0000-0000B6200000}"/>
    <cellStyle name="Comma 2 2 4 3 3 3 3 8" xfId="25133" xr:uid="{00000000-0005-0000-0000-0000B7200000}"/>
    <cellStyle name="Comma 2 2 4 3 3 3 3 9" xfId="45963" xr:uid="{00000000-0005-0000-0000-0000B8200000}"/>
    <cellStyle name="Comma 2 2 4 3 3 3 4" xfId="3078" xr:uid="{00000000-0005-0000-0000-0000B9200000}"/>
    <cellStyle name="Comma 2 2 4 3 3 3 4 2" xfId="16565" xr:uid="{00000000-0005-0000-0000-0000BA200000}"/>
    <cellStyle name="Comma 2 2 4 3 3 3 4 2 2" xfId="39843" xr:uid="{00000000-0005-0000-0000-0000BB200000}"/>
    <cellStyle name="Comma 2 2 4 3 3 3 4 3" xfId="47187" xr:uid="{00000000-0005-0000-0000-0000BC200000}"/>
    <cellStyle name="Comma 2 2 4 3 3 3 4 4" xfId="26357" xr:uid="{00000000-0005-0000-0000-0000BD200000}"/>
    <cellStyle name="Comma 2 2 4 3 3 3 5" xfId="5526" xr:uid="{00000000-0005-0000-0000-0000BE200000}"/>
    <cellStyle name="Comma 2 2 4 3 3 3 5 2" xfId="19013" xr:uid="{00000000-0005-0000-0000-0000BF200000}"/>
    <cellStyle name="Comma 2 2 4 3 3 3 5 2 2" xfId="42291" xr:uid="{00000000-0005-0000-0000-0000C0200000}"/>
    <cellStyle name="Comma 2 2 4 3 3 3 5 3" xfId="28805" xr:uid="{00000000-0005-0000-0000-0000C1200000}"/>
    <cellStyle name="Comma 2 2 4 3 3 3 6" xfId="7974" xr:uid="{00000000-0005-0000-0000-0000C2200000}"/>
    <cellStyle name="Comma 2 2 4 3 3 3 6 2" xfId="31253" xr:uid="{00000000-0005-0000-0000-0000C3200000}"/>
    <cellStyle name="Comma 2 2 4 3 3 3 7" xfId="10422" xr:uid="{00000000-0005-0000-0000-0000C4200000}"/>
    <cellStyle name="Comma 2 2 4 3 3 3 7 2" xfId="33701" xr:uid="{00000000-0005-0000-0000-0000C5200000}"/>
    <cellStyle name="Comma 2 2 4 3 3 3 8" xfId="12870" xr:uid="{00000000-0005-0000-0000-0000C6200000}"/>
    <cellStyle name="Comma 2 2 4 3 3 3 8 2" xfId="36149" xr:uid="{00000000-0005-0000-0000-0000C7200000}"/>
    <cellStyle name="Comma 2 2 4 3 3 3 9" xfId="15341" xr:uid="{00000000-0005-0000-0000-0000C8200000}"/>
    <cellStyle name="Comma 2 2 4 3 3 3 9 2" xfId="38619" xr:uid="{00000000-0005-0000-0000-0000C9200000}"/>
    <cellStyle name="Comma 2 2 4 3 3 4" xfId="834" xr:uid="{00000000-0005-0000-0000-0000CA200000}"/>
    <cellStyle name="Comma 2 2 4 3 3 4 10" xfId="44943" xr:uid="{00000000-0005-0000-0000-0000CB200000}"/>
    <cellStyle name="Comma 2 2 4 3 3 4 11" xfId="21665" xr:uid="{00000000-0005-0000-0000-0000CC200000}"/>
    <cellStyle name="Comma 2 2 4 3 3 4 2" xfId="2058" xr:uid="{00000000-0005-0000-0000-0000CD200000}"/>
    <cellStyle name="Comma 2 2 4 3 3 4 2 10" xfId="22889" xr:uid="{00000000-0005-0000-0000-0000CE200000}"/>
    <cellStyle name="Comma 2 2 4 3 3 4 2 2" xfId="4506" xr:uid="{00000000-0005-0000-0000-0000CF200000}"/>
    <cellStyle name="Comma 2 2 4 3 3 4 2 2 2" xfId="20441" xr:uid="{00000000-0005-0000-0000-0000D0200000}"/>
    <cellStyle name="Comma 2 2 4 3 3 4 2 2 2 2" xfId="43719" xr:uid="{00000000-0005-0000-0000-0000D1200000}"/>
    <cellStyle name="Comma 2 2 4 3 3 4 2 2 3" xfId="48615" xr:uid="{00000000-0005-0000-0000-0000D2200000}"/>
    <cellStyle name="Comma 2 2 4 3 3 4 2 2 4" xfId="27785" xr:uid="{00000000-0005-0000-0000-0000D3200000}"/>
    <cellStyle name="Comma 2 2 4 3 3 4 2 3" xfId="6954" xr:uid="{00000000-0005-0000-0000-0000D4200000}"/>
    <cellStyle name="Comma 2 2 4 3 3 4 2 3 2" xfId="30233" xr:uid="{00000000-0005-0000-0000-0000D5200000}"/>
    <cellStyle name="Comma 2 2 4 3 3 4 2 4" xfId="9402" xr:uid="{00000000-0005-0000-0000-0000D6200000}"/>
    <cellStyle name="Comma 2 2 4 3 3 4 2 4 2" xfId="32681" xr:uid="{00000000-0005-0000-0000-0000D7200000}"/>
    <cellStyle name="Comma 2 2 4 3 3 4 2 5" xfId="11850" xr:uid="{00000000-0005-0000-0000-0000D8200000}"/>
    <cellStyle name="Comma 2 2 4 3 3 4 2 5 2" xfId="35129" xr:uid="{00000000-0005-0000-0000-0000D9200000}"/>
    <cellStyle name="Comma 2 2 4 3 3 4 2 6" xfId="14298" xr:uid="{00000000-0005-0000-0000-0000DA200000}"/>
    <cellStyle name="Comma 2 2 4 3 3 4 2 6 2" xfId="37577" xr:uid="{00000000-0005-0000-0000-0000DB200000}"/>
    <cellStyle name="Comma 2 2 4 3 3 4 2 7" xfId="17993" xr:uid="{00000000-0005-0000-0000-0000DC200000}"/>
    <cellStyle name="Comma 2 2 4 3 3 4 2 7 2" xfId="41271" xr:uid="{00000000-0005-0000-0000-0000DD200000}"/>
    <cellStyle name="Comma 2 2 4 3 3 4 2 8" xfId="25337" xr:uid="{00000000-0005-0000-0000-0000DE200000}"/>
    <cellStyle name="Comma 2 2 4 3 3 4 2 9" xfId="46167" xr:uid="{00000000-0005-0000-0000-0000DF200000}"/>
    <cellStyle name="Comma 2 2 4 3 3 4 3" xfId="3282" xr:uid="{00000000-0005-0000-0000-0000E0200000}"/>
    <cellStyle name="Comma 2 2 4 3 3 4 3 2" xfId="16769" xr:uid="{00000000-0005-0000-0000-0000E1200000}"/>
    <cellStyle name="Comma 2 2 4 3 3 4 3 2 2" xfId="40047" xr:uid="{00000000-0005-0000-0000-0000E2200000}"/>
    <cellStyle name="Comma 2 2 4 3 3 4 3 3" xfId="47391" xr:uid="{00000000-0005-0000-0000-0000E3200000}"/>
    <cellStyle name="Comma 2 2 4 3 3 4 3 4" xfId="26561" xr:uid="{00000000-0005-0000-0000-0000E4200000}"/>
    <cellStyle name="Comma 2 2 4 3 3 4 4" xfId="5730" xr:uid="{00000000-0005-0000-0000-0000E5200000}"/>
    <cellStyle name="Comma 2 2 4 3 3 4 4 2" xfId="19217" xr:uid="{00000000-0005-0000-0000-0000E6200000}"/>
    <cellStyle name="Comma 2 2 4 3 3 4 4 2 2" xfId="42495" xr:uid="{00000000-0005-0000-0000-0000E7200000}"/>
    <cellStyle name="Comma 2 2 4 3 3 4 4 3" xfId="29009" xr:uid="{00000000-0005-0000-0000-0000E8200000}"/>
    <cellStyle name="Comma 2 2 4 3 3 4 5" xfId="8178" xr:uid="{00000000-0005-0000-0000-0000E9200000}"/>
    <cellStyle name="Comma 2 2 4 3 3 4 5 2" xfId="31457" xr:uid="{00000000-0005-0000-0000-0000EA200000}"/>
    <cellStyle name="Comma 2 2 4 3 3 4 6" xfId="10626" xr:uid="{00000000-0005-0000-0000-0000EB200000}"/>
    <cellStyle name="Comma 2 2 4 3 3 4 6 2" xfId="33905" xr:uid="{00000000-0005-0000-0000-0000EC200000}"/>
    <cellStyle name="Comma 2 2 4 3 3 4 7" xfId="13074" xr:uid="{00000000-0005-0000-0000-0000ED200000}"/>
    <cellStyle name="Comma 2 2 4 3 3 4 7 2" xfId="36353" xr:uid="{00000000-0005-0000-0000-0000EE200000}"/>
    <cellStyle name="Comma 2 2 4 3 3 4 8" xfId="15545" xr:uid="{00000000-0005-0000-0000-0000EF200000}"/>
    <cellStyle name="Comma 2 2 4 3 3 4 8 2" xfId="38823" xr:uid="{00000000-0005-0000-0000-0000F0200000}"/>
    <cellStyle name="Comma 2 2 4 3 3 4 9" xfId="24113" xr:uid="{00000000-0005-0000-0000-0000F1200000}"/>
    <cellStyle name="Comma 2 2 4 3 3 5" xfId="1446" xr:uid="{00000000-0005-0000-0000-0000F2200000}"/>
    <cellStyle name="Comma 2 2 4 3 3 5 10" xfId="22277" xr:uid="{00000000-0005-0000-0000-0000F3200000}"/>
    <cellStyle name="Comma 2 2 4 3 3 5 2" xfId="3894" xr:uid="{00000000-0005-0000-0000-0000F4200000}"/>
    <cellStyle name="Comma 2 2 4 3 3 5 2 2" xfId="19829" xr:uid="{00000000-0005-0000-0000-0000F5200000}"/>
    <cellStyle name="Comma 2 2 4 3 3 5 2 2 2" xfId="43107" xr:uid="{00000000-0005-0000-0000-0000F6200000}"/>
    <cellStyle name="Comma 2 2 4 3 3 5 2 3" xfId="48003" xr:uid="{00000000-0005-0000-0000-0000F7200000}"/>
    <cellStyle name="Comma 2 2 4 3 3 5 2 4" xfId="27173" xr:uid="{00000000-0005-0000-0000-0000F8200000}"/>
    <cellStyle name="Comma 2 2 4 3 3 5 3" xfId="6342" xr:uid="{00000000-0005-0000-0000-0000F9200000}"/>
    <cellStyle name="Comma 2 2 4 3 3 5 3 2" xfId="29621" xr:uid="{00000000-0005-0000-0000-0000FA200000}"/>
    <cellStyle name="Comma 2 2 4 3 3 5 4" xfId="8790" xr:uid="{00000000-0005-0000-0000-0000FB200000}"/>
    <cellStyle name="Comma 2 2 4 3 3 5 4 2" xfId="32069" xr:uid="{00000000-0005-0000-0000-0000FC200000}"/>
    <cellStyle name="Comma 2 2 4 3 3 5 5" xfId="11238" xr:uid="{00000000-0005-0000-0000-0000FD200000}"/>
    <cellStyle name="Comma 2 2 4 3 3 5 5 2" xfId="34517" xr:uid="{00000000-0005-0000-0000-0000FE200000}"/>
    <cellStyle name="Comma 2 2 4 3 3 5 6" xfId="13686" xr:uid="{00000000-0005-0000-0000-0000FF200000}"/>
    <cellStyle name="Comma 2 2 4 3 3 5 6 2" xfId="36965" xr:uid="{00000000-0005-0000-0000-000000210000}"/>
    <cellStyle name="Comma 2 2 4 3 3 5 7" xfId="17381" xr:uid="{00000000-0005-0000-0000-000001210000}"/>
    <cellStyle name="Comma 2 2 4 3 3 5 7 2" xfId="40659" xr:uid="{00000000-0005-0000-0000-000002210000}"/>
    <cellStyle name="Comma 2 2 4 3 3 5 8" xfId="24725" xr:uid="{00000000-0005-0000-0000-000003210000}"/>
    <cellStyle name="Comma 2 2 4 3 3 5 9" xfId="45555" xr:uid="{00000000-0005-0000-0000-000004210000}"/>
    <cellStyle name="Comma 2 2 4 3 3 6" xfId="2670" xr:uid="{00000000-0005-0000-0000-000005210000}"/>
    <cellStyle name="Comma 2 2 4 3 3 6 2" xfId="16157" xr:uid="{00000000-0005-0000-0000-000006210000}"/>
    <cellStyle name="Comma 2 2 4 3 3 6 2 2" xfId="39435" xr:uid="{00000000-0005-0000-0000-000007210000}"/>
    <cellStyle name="Comma 2 2 4 3 3 6 3" xfId="46779" xr:uid="{00000000-0005-0000-0000-000008210000}"/>
    <cellStyle name="Comma 2 2 4 3 3 6 4" xfId="25949" xr:uid="{00000000-0005-0000-0000-000009210000}"/>
    <cellStyle name="Comma 2 2 4 3 3 7" xfId="5118" xr:uid="{00000000-0005-0000-0000-00000A210000}"/>
    <cellStyle name="Comma 2 2 4 3 3 7 2" xfId="18605" xr:uid="{00000000-0005-0000-0000-00000B210000}"/>
    <cellStyle name="Comma 2 2 4 3 3 7 2 2" xfId="41883" xr:uid="{00000000-0005-0000-0000-00000C210000}"/>
    <cellStyle name="Comma 2 2 4 3 3 7 3" xfId="28397" xr:uid="{00000000-0005-0000-0000-00000D210000}"/>
    <cellStyle name="Comma 2 2 4 3 3 8" xfId="7566" xr:uid="{00000000-0005-0000-0000-00000E210000}"/>
    <cellStyle name="Comma 2 2 4 3 3 8 2" xfId="30845" xr:uid="{00000000-0005-0000-0000-00000F210000}"/>
    <cellStyle name="Comma 2 2 4 3 3 9" xfId="10014" xr:uid="{00000000-0005-0000-0000-000010210000}"/>
    <cellStyle name="Comma 2 2 4 3 3 9 2" xfId="33293" xr:uid="{00000000-0005-0000-0000-000011210000}"/>
    <cellStyle name="Comma 2 2 4 3 4" xfId="290" xr:uid="{00000000-0005-0000-0000-000012210000}"/>
    <cellStyle name="Comma 2 2 4 3 4 10" xfId="23569" xr:uid="{00000000-0005-0000-0000-000013210000}"/>
    <cellStyle name="Comma 2 2 4 3 4 11" xfId="44399" xr:uid="{00000000-0005-0000-0000-000014210000}"/>
    <cellStyle name="Comma 2 2 4 3 4 12" xfId="21121" xr:uid="{00000000-0005-0000-0000-000015210000}"/>
    <cellStyle name="Comma 2 2 4 3 4 2" xfId="902" xr:uid="{00000000-0005-0000-0000-000016210000}"/>
    <cellStyle name="Comma 2 2 4 3 4 2 10" xfId="45011" xr:uid="{00000000-0005-0000-0000-000017210000}"/>
    <cellStyle name="Comma 2 2 4 3 4 2 11" xfId="21733" xr:uid="{00000000-0005-0000-0000-000018210000}"/>
    <cellStyle name="Comma 2 2 4 3 4 2 2" xfId="2126" xr:uid="{00000000-0005-0000-0000-000019210000}"/>
    <cellStyle name="Comma 2 2 4 3 4 2 2 10" xfId="22957" xr:uid="{00000000-0005-0000-0000-00001A210000}"/>
    <cellStyle name="Comma 2 2 4 3 4 2 2 2" xfId="4574" xr:uid="{00000000-0005-0000-0000-00001B210000}"/>
    <cellStyle name="Comma 2 2 4 3 4 2 2 2 2" xfId="20509" xr:uid="{00000000-0005-0000-0000-00001C210000}"/>
    <cellStyle name="Comma 2 2 4 3 4 2 2 2 2 2" xfId="43787" xr:uid="{00000000-0005-0000-0000-00001D210000}"/>
    <cellStyle name="Comma 2 2 4 3 4 2 2 2 3" xfId="48683" xr:uid="{00000000-0005-0000-0000-00001E210000}"/>
    <cellStyle name="Comma 2 2 4 3 4 2 2 2 4" xfId="27853" xr:uid="{00000000-0005-0000-0000-00001F210000}"/>
    <cellStyle name="Comma 2 2 4 3 4 2 2 3" xfId="7022" xr:uid="{00000000-0005-0000-0000-000020210000}"/>
    <cellStyle name="Comma 2 2 4 3 4 2 2 3 2" xfId="30301" xr:uid="{00000000-0005-0000-0000-000021210000}"/>
    <cellStyle name="Comma 2 2 4 3 4 2 2 4" xfId="9470" xr:uid="{00000000-0005-0000-0000-000022210000}"/>
    <cellStyle name="Comma 2 2 4 3 4 2 2 4 2" xfId="32749" xr:uid="{00000000-0005-0000-0000-000023210000}"/>
    <cellStyle name="Comma 2 2 4 3 4 2 2 5" xfId="11918" xr:uid="{00000000-0005-0000-0000-000024210000}"/>
    <cellStyle name="Comma 2 2 4 3 4 2 2 5 2" xfId="35197" xr:uid="{00000000-0005-0000-0000-000025210000}"/>
    <cellStyle name="Comma 2 2 4 3 4 2 2 6" xfId="14366" xr:uid="{00000000-0005-0000-0000-000026210000}"/>
    <cellStyle name="Comma 2 2 4 3 4 2 2 6 2" xfId="37645" xr:uid="{00000000-0005-0000-0000-000027210000}"/>
    <cellStyle name="Comma 2 2 4 3 4 2 2 7" xfId="18061" xr:uid="{00000000-0005-0000-0000-000028210000}"/>
    <cellStyle name="Comma 2 2 4 3 4 2 2 7 2" xfId="41339" xr:uid="{00000000-0005-0000-0000-000029210000}"/>
    <cellStyle name="Comma 2 2 4 3 4 2 2 8" xfId="25405" xr:uid="{00000000-0005-0000-0000-00002A210000}"/>
    <cellStyle name="Comma 2 2 4 3 4 2 2 9" xfId="46235" xr:uid="{00000000-0005-0000-0000-00002B210000}"/>
    <cellStyle name="Comma 2 2 4 3 4 2 3" xfId="3350" xr:uid="{00000000-0005-0000-0000-00002C210000}"/>
    <cellStyle name="Comma 2 2 4 3 4 2 3 2" xfId="16837" xr:uid="{00000000-0005-0000-0000-00002D210000}"/>
    <cellStyle name="Comma 2 2 4 3 4 2 3 2 2" xfId="40115" xr:uid="{00000000-0005-0000-0000-00002E210000}"/>
    <cellStyle name="Comma 2 2 4 3 4 2 3 3" xfId="47459" xr:uid="{00000000-0005-0000-0000-00002F210000}"/>
    <cellStyle name="Comma 2 2 4 3 4 2 3 4" xfId="26629" xr:uid="{00000000-0005-0000-0000-000030210000}"/>
    <cellStyle name="Comma 2 2 4 3 4 2 4" xfId="5798" xr:uid="{00000000-0005-0000-0000-000031210000}"/>
    <cellStyle name="Comma 2 2 4 3 4 2 4 2" xfId="19285" xr:uid="{00000000-0005-0000-0000-000032210000}"/>
    <cellStyle name="Comma 2 2 4 3 4 2 4 2 2" xfId="42563" xr:uid="{00000000-0005-0000-0000-000033210000}"/>
    <cellStyle name="Comma 2 2 4 3 4 2 4 3" xfId="29077" xr:uid="{00000000-0005-0000-0000-000034210000}"/>
    <cellStyle name="Comma 2 2 4 3 4 2 5" xfId="8246" xr:uid="{00000000-0005-0000-0000-000035210000}"/>
    <cellStyle name="Comma 2 2 4 3 4 2 5 2" xfId="31525" xr:uid="{00000000-0005-0000-0000-000036210000}"/>
    <cellStyle name="Comma 2 2 4 3 4 2 6" xfId="10694" xr:uid="{00000000-0005-0000-0000-000037210000}"/>
    <cellStyle name="Comma 2 2 4 3 4 2 6 2" xfId="33973" xr:uid="{00000000-0005-0000-0000-000038210000}"/>
    <cellStyle name="Comma 2 2 4 3 4 2 7" xfId="13142" xr:uid="{00000000-0005-0000-0000-000039210000}"/>
    <cellStyle name="Comma 2 2 4 3 4 2 7 2" xfId="36421" xr:uid="{00000000-0005-0000-0000-00003A210000}"/>
    <cellStyle name="Comma 2 2 4 3 4 2 8" xfId="15613" xr:uid="{00000000-0005-0000-0000-00003B210000}"/>
    <cellStyle name="Comma 2 2 4 3 4 2 8 2" xfId="38891" xr:uid="{00000000-0005-0000-0000-00003C210000}"/>
    <cellStyle name="Comma 2 2 4 3 4 2 9" xfId="24181" xr:uid="{00000000-0005-0000-0000-00003D210000}"/>
    <cellStyle name="Comma 2 2 4 3 4 3" xfId="1514" xr:uid="{00000000-0005-0000-0000-00003E210000}"/>
    <cellStyle name="Comma 2 2 4 3 4 3 10" xfId="22345" xr:uid="{00000000-0005-0000-0000-00003F210000}"/>
    <cellStyle name="Comma 2 2 4 3 4 3 2" xfId="3962" xr:uid="{00000000-0005-0000-0000-000040210000}"/>
    <cellStyle name="Comma 2 2 4 3 4 3 2 2" xfId="19897" xr:uid="{00000000-0005-0000-0000-000041210000}"/>
    <cellStyle name="Comma 2 2 4 3 4 3 2 2 2" xfId="43175" xr:uid="{00000000-0005-0000-0000-000042210000}"/>
    <cellStyle name="Comma 2 2 4 3 4 3 2 3" xfId="48071" xr:uid="{00000000-0005-0000-0000-000043210000}"/>
    <cellStyle name="Comma 2 2 4 3 4 3 2 4" xfId="27241" xr:uid="{00000000-0005-0000-0000-000044210000}"/>
    <cellStyle name="Comma 2 2 4 3 4 3 3" xfId="6410" xr:uid="{00000000-0005-0000-0000-000045210000}"/>
    <cellStyle name="Comma 2 2 4 3 4 3 3 2" xfId="29689" xr:uid="{00000000-0005-0000-0000-000046210000}"/>
    <cellStyle name="Comma 2 2 4 3 4 3 4" xfId="8858" xr:uid="{00000000-0005-0000-0000-000047210000}"/>
    <cellStyle name="Comma 2 2 4 3 4 3 4 2" xfId="32137" xr:uid="{00000000-0005-0000-0000-000048210000}"/>
    <cellStyle name="Comma 2 2 4 3 4 3 5" xfId="11306" xr:uid="{00000000-0005-0000-0000-000049210000}"/>
    <cellStyle name="Comma 2 2 4 3 4 3 5 2" xfId="34585" xr:uid="{00000000-0005-0000-0000-00004A210000}"/>
    <cellStyle name="Comma 2 2 4 3 4 3 6" xfId="13754" xr:uid="{00000000-0005-0000-0000-00004B210000}"/>
    <cellStyle name="Comma 2 2 4 3 4 3 6 2" xfId="37033" xr:uid="{00000000-0005-0000-0000-00004C210000}"/>
    <cellStyle name="Comma 2 2 4 3 4 3 7" xfId="17449" xr:uid="{00000000-0005-0000-0000-00004D210000}"/>
    <cellStyle name="Comma 2 2 4 3 4 3 7 2" xfId="40727" xr:uid="{00000000-0005-0000-0000-00004E210000}"/>
    <cellStyle name="Comma 2 2 4 3 4 3 8" xfId="24793" xr:uid="{00000000-0005-0000-0000-00004F210000}"/>
    <cellStyle name="Comma 2 2 4 3 4 3 9" xfId="45623" xr:uid="{00000000-0005-0000-0000-000050210000}"/>
    <cellStyle name="Comma 2 2 4 3 4 4" xfId="2738" xr:uid="{00000000-0005-0000-0000-000051210000}"/>
    <cellStyle name="Comma 2 2 4 3 4 4 2" xfId="16225" xr:uid="{00000000-0005-0000-0000-000052210000}"/>
    <cellStyle name="Comma 2 2 4 3 4 4 2 2" xfId="39503" xr:uid="{00000000-0005-0000-0000-000053210000}"/>
    <cellStyle name="Comma 2 2 4 3 4 4 3" xfId="46847" xr:uid="{00000000-0005-0000-0000-000054210000}"/>
    <cellStyle name="Comma 2 2 4 3 4 4 4" xfId="26017" xr:uid="{00000000-0005-0000-0000-000055210000}"/>
    <cellStyle name="Comma 2 2 4 3 4 5" xfId="5186" xr:uid="{00000000-0005-0000-0000-000056210000}"/>
    <cellStyle name="Comma 2 2 4 3 4 5 2" xfId="18673" xr:uid="{00000000-0005-0000-0000-000057210000}"/>
    <cellStyle name="Comma 2 2 4 3 4 5 2 2" xfId="41951" xr:uid="{00000000-0005-0000-0000-000058210000}"/>
    <cellStyle name="Comma 2 2 4 3 4 5 3" xfId="28465" xr:uid="{00000000-0005-0000-0000-000059210000}"/>
    <cellStyle name="Comma 2 2 4 3 4 6" xfId="7634" xr:uid="{00000000-0005-0000-0000-00005A210000}"/>
    <cellStyle name="Comma 2 2 4 3 4 6 2" xfId="30913" xr:uid="{00000000-0005-0000-0000-00005B210000}"/>
    <cellStyle name="Comma 2 2 4 3 4 7" xfId="10082" xr:uid="{00000000-0005-0000-0000-00005C210000}"/>
    <cellStyle name="Comma 2 2 4 3 4 7 2" xfId="33361" xr:uid="{00000000-0005-0000-0000-00005D210000}"/>
    <cellStyle name="Comma 2 2 4 3 4 8" xfId="12530" xr:uid="{00000000-0005-0000-0000-00005E210000}"/>
    <cellStyle name="Comma 2 2 4 3 4 8 2" xfId="35809" xr:uid="{00000000-0005-0000-0000-00005F210000}"/>
    <cellStyle name="Comma 2 2 4 3 4 9" xfId="15001" xr:uid="{00000000-0005-0000-0000-000060210000}"/>
    <cellStyle name="Comma 2 2 4 3 4 9 2" xfId="38279" xr:uid="{00000000-0005-0000-0000-000061210000}"/>
    <cellStyle name="Comma 2 2 4 3 5" xfId="494" xr:uid="{00000000-0005-0000-0000-000062210000}"/>
    <cellStyle name="Comma 2 2 4 3 5 10" xfId="23773" xr:uid="{00000000-0005-0000-0000-000063210000}"/>
    <cellStyle name="Comma 2 2 4 3 5 11" xfId="44603" xr:uid="{00000000-0005-0000-0000-000064210000}"/>
    <cellStyle name="Comma 2 2 4 3 5 12" xfId="21325" xr:uid="{00000000-0005-0000-0000-000065210000}"/>
    <cellStyle name="Comma 2 2 4 3 5 2" xfId="1106" xr:uid="{00000000-0005-0000-0000-000066210000}"/>
    <cellStyle name="Comma 2 2 4 3 5 2 10" xfId="45215" xr:uid="{00000000-0005-0000-0000-000067210000}"/>
    <cellStyle name="Comma 2 2 4 3 5 2 11" xfId="21937" xr:uid="{00000000-0005-0000-0000-000068210000}"/>
    <cellStyle name="Comma 2 2 4 3 5 2 2" xfId="2330" xr:uid="{00000000-0005-0000-0000-000069210000}"/>
    <cellStyle name="Comma 2 2 4 3 5 2 2 10" xfId="23161" xr:uid="{00000000-0005-0000-0000-00006A210000}"/>
    <cellStyle name="Comma 2 2 4 3 5 2 2 2" xfId="4778" xr:uid="{00000000-0005-0000-0000-00006B210000}"/>
    <cellStyle name="Comma 2 2 4 3 5 2 2 2 2" xfId="20713" xr:uid="{00000000-0005-0000-0000-00006C210000}"/>
    <cellStyle name="Comma 2 2 4 3 5 2 2 2 2 2" xfId="43991" xr:uid="{00000000-0005-0000-0000-00006D210000}"/>
    <cellStyle name="Comma 2 2 4 3 5 2 2 2 3" xfId="48887" xr:uid="{00000000-0005-0000-0000-00006E210000}"/>
    <cellStyle name="Comma 2 2 4 3 5 2 2 2 4" xfId="28057" xr:uid="{00000000-0005-0000-0000-00006F210000}"/>
    <cellStyle name="Comma 2 2 4 3 5 2 2 3" xfId="7226" xr:uid="{00000000-0005-0000-0000-000070210000}"/>
    <cellStyle name="Comma 2 2 4 3 5 2 2 3 2" xfId="30505" xr:uid="{00000000-0005-0000-0000-000071210000}"/>
    <cellStyle name="Comma 2 2 4 3 5 2 2 4" xfId="9674" xr:uid="{00000000-0005-0000-0000-000072210000}"/>
    <cellStyle name="Comma 2 2 4 3 5 2 2 4 2" xfId="32953" xr:uid="{00000000-0005-0000-0000-000073210000}"/>
    <cellStyle name="Comma 2 2 4 3 5 2 2 5" xfId="12122" xr:uid="{00000000-0005-0000-0000-000074210000}"/>
    <cellStyle name="Comma 2 2 4 3 5 2 2 5 2" xfId="35401" xr:uid="{00000000-0005-0000-0000-000075210000}"/>
    <cellStyle name="Comma 2 2 4 3 5 2 2 6" xfId="14570" xr:uid="{00000000-0005-0000-0000-000076210000}"/>
    <cellStyle name="Comma 2 2 4 3 5 2 2 6 2" xfId="37849" xr:uid="{00000000-0005-0000-0000-000077210000}"/>
    <cellStyle name="Comma 2 2 4 3 5 2 2 7" xfId="18265" xr:uid="{00000000-0005-0000-0000-000078210000}"/>
    <cellStyle name="Comma 2 2 4 3 5 2 2 7 2" xfId="41543" xr:uid="{00000000-0005-0000-0000-000079210000}"/>
    <cellStyle name="Comma 2 2 4 3 5 2 2 8" xfId="25609" xr:uid="{00000000-0005-0000-0000-00007A210000}"/>
    <cellStyle name="Comma 2 2 4 3 5 2 2 9" xfId="46439" xr:uid="{00000000-0005-0000-0000-00007B210000}"/>
    <cellStyle name="Comma 2 2 4 3 5 2 3" xfId="3554" xr:uid="{00000000-0005-0000-0000-00007C210000}"/>
    <cellStyle name="Comma 2 2 4 3 5 2 3 2" xfId="17041" xr:uid="{00000000-0005-0000-0000-00007D210000}"/>
    <cellStyle name="Comma 2 2 4 3 5 2 3 2 2" xfId="40319" xr:uid="{00000000-0005-0000-0000-00007E210000}"/>
    <cellStyle name="Comma 2 2 4 3 5 2 3 3" xfId="47663" xr:uid="{00000000-0005-0000-0000-00007F210000}"/>
    <cellStyle name="Comma 2 2 4 3 5 2 3 4" xfId="26833" xr:uid="{00000000-0005-0000-0000-000080210000}"/>
    <cellStyle name="Comma 2 2 4 3 5 2 4" xfId="6002" xr:uid="{00000000-0005-0000-0000-000081210000}"/>
    <cellStyle name="Comma 2 2 4 3 5 2 4 2" xfId="19489" xr:uid="{00000000-0005-0000-0000-000082210000}"/>
    <cellStyle name="Comma 2 2 4 3 5 2 4 2 2" xfId="42767" xr:uid="{00000000-0005-0000-0000-000083210000}"/>
    <cellStyle name="Comma 2 2 4 3 5 2 4 3" xfId="29281" xr:uid="{00000000-0005-0000-0000-000084210000}"/>
    <cellStyle name="Comma 2 2 4 3 5 2 5" xfId="8450" xr:uid="{00000000-0005-0000-0000-000085210000}"/>
    <cellStyle name="Comma 2 2 4 3 5 2 5 2" xfId="31729" xr:uid="{00000000-0005-0000-0000-000086210000}"/>
    <cellStyle name="Comma 2 2 4 3 5 2 6" xfId="10898" xr:uid="{00000000-0005-0000-0000-000087210000}"/>
    <cellStyle name="Comma 2 2 4 3 5 2 6 2" xfId="34177" xr:uid="{00000000-0005-0000-0000-000088210000}"/>
    <cellStyle name="Comma 2 2 4 3 5 2 7" xfId="13346" xr:uid="{00000000-0005-0000-0000-000089210000}"/>
    <cellStyle name="Comma 2 2 4 3 5 2 7 2" xfId="36625" xr:uid="{00000000-0005-0000-0000-00008A210000}"/>
    <cellStyle name="Comma 2 2 4 3 5 2 8" xfId="15817" xr:uid="{00000000-0005-0000-0000-00008B210000}"/>
    <cellStyle name="Comma 2 2 4 3 5 2 8 2" xfId="39095" xr:uid="{00000000-0005-0000-0000-00008C210000}"/>
    <cellStyle name="Comma 2 2 4 3 5 2 9" xfId="24385" xr:uid="{00000000-0005-0000-0000-00008D210000}"/>
    <cellStyle name="Comma 2 2 4 3 5 3" xfId="1718" xr:uid="{00000000-0005-0000-0000-00008E210000}"/>
    <cellStyle name="Comma 2 2 4 3 5 3 10" xfId="22549" xr:uid="{00000000-0005-0000-0000-00008F210000}"/>
    <cellStyle name="Comma 2 2 4 3 5 3 2" xfId="4166" xr:uid="{00000000-0005-0000-0000-000090210000}"/>
    <cellStyle name="Comma 2 2 4 3 5 3 2 2" xfId="20101" xr:uid="{00000000-0005-0000-0000-000091210000}"/>
    <cellStyle name="Comma 2 2 4 3 5 3 2 2 2" xfId="43379" xr:uid="{00000000-0005-0000-0000-000092210000}"/>
    <cellStyle name="Comma 2 2 4 3 5 3 2 3" xfId="48275" xr:uid="{00000000-0005-0000-0000-000093210000}"/>
    <cellStyle name="Comma 2 2 4 3 5 3 2 4" xfId="27445" xr:uid="{00000000-0005-0000-0000-000094210000}"/>
    <cellStyle name="Comma 2 2 4 3 5 3 3" xfId="6614" xr:uid="{00000000-0005-0000-0000-000095210000}"/>
    <cellStyle name="Comma 2 2 4 3 5 3 3 2" xfId="29893" xr:uid="{00000000-0005-0000-0000-000096210000}"/>
    <cellStyle name="Comma 2 2 4 3 5 3 4" xfId="9062" xr:uid="{00000000-0005-0000-0000-000097210000}"/>
    <cellStyle name="Comma 2 2 4 3 5 3 4 2" xfId="32341" xr:uid="{00000000-0005-0000-0000-000098210000}"/>
    <cellStyle name="Comma 2 2 4 3 5 3 5" xfId="11510" xr:uid="{00000000-0005-0000-0000-000099210000}"/>
    <cellStyle name="Comma 2 2 4 3 5 3 5 2" xfId="34789" xr:uid="{00000000-0005-0000-0000-00009A210000}"/>
    <cellStyle name="Comma 2 2 4 3 5 3 6" xfId="13958" xr:uid="{00000000-0005-0000-0000-00009B210000}"/>
    <cellStyle name="Comma 2 2 4 3 5 3 6 2" xfId="37237" xr:uid="{00000000-0005-0000-0000-00009C210000}"/>
    <cellStyle name="Comma 2 2 4 3 5 3 7" xfId="17653" xr:uid="{00000000-0005-0000-0000-00009D210000}"/>
    <cellStyle name="Comma 2 2 4 3 5 3 7 2" xfId="40931" xr:uid="{00000000-0005-0000-0000-00009E210000}"/>
    <cellStyle name="Comma 2 2 4 3 5 3 8" xfId="24997" xr:uid="{00000000-0005-0000-0000-00009F210000}"/>
    <cellStyle name="Comma 2 2 4 3 5 3 9" xfId="45827" xr:uid="{00000000-0005-0000-0000-0000A0210000}"/>
    <cellStyle name="Comma 2 2 4 3 5 4" xfId="2942" xr:uid="{00000000-0005-0000-0000-0000A1210000}"/>
    <cellStyle name="Comma 2 2 4 3 5 4 2" xfId="16429" xr:uid="{00000000-0005-0000-0000-0000A2210000}"/>
    <cellStyle name="Comma 2 2 4 3 5 4 2 2" xfId="39707" xr:uid="{00000000-0005-0000-0000-0000A3210000}"/>
    <cellStyle name="Comma 2 2 4 3 5 4 3" xfId="47051" xr:uid="{00000000-0005-0000-0000-0000A4210000}"/>
    <cellStyle name="Comma 2 2 4 3 5 4 4" xfId="26221" xr:uid="{00000000-0005-0000-0000-0000A5210000}"/>
    <cellStyle name="Comma 2 2 4 3 5 5" xfId="5390" xr:uid="{00000000-0005-0000-0000-0000A6210000}"/>
    <cellStyle name="Comma 2 2 4 3 5 5 2" xfId="18877" xr:uid="{00000000-0005-0000-0000-0000A7210000}"/>
    <cellStyle name="Comma 2 2 4 3 5 5 2 2" xfId="42155" xr:uid="{00000000-0005-0000-0000-0000A8210000}"/>
    <cellStyle name="Comma 2 2 4 3 5 5 3" xfId="28669" xr:uid="{00000000-0005-0000-0000-0000A9210000}"/>
    <cellStyle name="Comma 2 2 4 3 5 6" xfId="7838" xr:uid="{00000000-0005-0000-0000-0000AA210000}"/>
    <cellStyle name="Comma 2 2 4 3 5 6 2" xfId="31117" xr:uid="{00000000-0005-0000-0000-0000AB210000}"/>
    <cellStyle name="Comma 2 2 4 3 5 7" xfId="10286" xr:uid="{00000000-0005-0000-0000-0000AC210000}"/>
    <cellStyle name="Comma 2 2 4 3 5 7 2" xfId="33565" xr:uid="{00000000-0005-0000-0000-0000AD210000}"/>
    <cellStyle name="Comma 2 2 4 3 5 8" xfId="12734" xr:uid="{00000000-0005-0000-0000-0000AE210000}"/>
    <cellStyle name="Comma 2 2 4 3 5 8 2" xfId="36013" xr:uid="{00000000-0005-0000-0000-0000AF210000}"/>
    <cellStyle name="Comma 2 2 4 3 5 9" xfId="15205" xr:uid="{00000000-0005-0000-0000-0000B0210000}"/>
    <cellStyle name="Comma 2 2 4 3 5 9 2" xfId="38483" xr:uid="{00000000-0005-0000-0000-0000B1210000}"/>
    <cellStyle name="Comma 2 2 4 3 6" xfId="698" xr:uid="{00000000-0005-0000-0000-0000B2210000}"/>
    <cellStyle name="Comma 2 2 4 3 6 10" xfId="44807" xr:uid="{00000000-0005-0000-0000-0000B3210000}"/>
    <cellStyle name="Comma 2 2 4 3 6 11" xfId="21529" xr:uid="{00000000-0005-0000-0000-0000B4210000}"/>
    <cellStyle name="Comma 2 2 4 3 6 2" xfId="1922" xr:uid="{00000000-0005-0000-0000-0000B5210000}"/>
    <cellStyle name="Comma 2 2 4 3 6 2 10" xfId="22753" xr:uid="{00000000-0005-0000-0000-0000B6210000}"/>
    <cellStyle name="Comma 2 2 4 3 6 2 2" xfId="4370" xr:uid="{00000000-0005-0000-0000-0000B7210000}"/>
    <cellStyle name="Comma 2 2 4 3 6 2 2 2" xfId="20305" xr:uid="{00000000-0005-0000-0000-0000B8210000}"/>
    <cellStyle name="Comma 2 2 4 3 6 2 2 2 2" xfId="43583" xr:uid="{00000000-0005-0000-0000-0000B9210000}"/>
    <cellStyle name="Comma 2 2 4 3 6 2 2 3" xfId="48479" xr:uid="{00000000-0005-0000-0000-0000BA210000}"/>
    <cellStyle name="Comma 2 2 4 3 6 2 2 4" xfId="27649" xr:uid="{00000000-0005-0000-0000-0000BB210000}"/>
    <cellStyle name="Comma 2 2 4 3 6 2 3" xfId="6818" xr:uid="{00000000-0005-0000-0000-0000BC210000}"/>
    <cellStyle name="Comma 2 2 4 3 6 2 3 2" xfId="30097" xr:uid="{00000000-0005-0000-0000-0000BD210000}"/>
    <cellStyle name="Comma 2 2 4 3 6 2 4" xfId="9266" xr:uid="{00000000-0005-0000-0000-0000BE210000}"/>
    <cellStyle name="Comma 2 2 4 3 6 2 4 2" xfId="32545" xr:uid="{00000000-0005-0000-0000-0000BF210000}"/>
    <cellStyle name="Comma 2 2 4 3 6 2 5" xfId="11714" xr:uid="{00000000-0005-0000-0000-0000C0210000}"/>
    <cellStyle name="Comma 2 2 4 3 6 2 5 2" xfId="34993" xr:uid="{00000000-0005-0000-0000-0000C1210000}"/>
    <cellStyle name="Comma 2 2 4 3 6 2 6" xfId="14162" xr:uid="{00000000-0005-0000-0000-0000C2210000}"/>
    <cellStyle name="Comma 2 2 4 3 6 2 6 2" xfId="37441" xr:uid="{00000000-0005-0000-0000-0000C3210000}"/>
    <cellStyle name="Comma 2 2 4 3 6 2 7" xfId="17857" xr:uid="{00000000-0005-0000-0000-0000C4210000}"/>
    <cellStyle name="Comma 2 2 4 3 6 2 7 2" xfId="41135" xr:uid="{00000000-0005-0000-0000-0000C5210000}"/>
    <cellStyle name="Comma 2 2 4 3 6 2 8" xfId="25201" xr:uid="{00000000-0005-0000-0000-0000C6210000}"/>
    <cellStyle name="Comma 2 2 4 3 6 2 9" xfId="46031" xr:uid="{00000000-0005-0000-0000-0000C7210000}"/>
    <cellStyle name="Comma 2 2 4 3 6 3" xfId="3146" xr:uid="{00000000-0005-0000-0000-0000C8210000}"/>
    <cellStyle name="Comma 2 2 4 3 6 3 2" xfId="16633" xr:uid="{00000000-0005-0000-0000-0000C9210000}"/>
    <cellStyle name="Comma 2 2 4 3 6 3 2 2" xfId="39911" xr:uid="{00000000-0005-0000-0000-0000CA210000}"/>
    <cellStyle name="Comma 2 2 4 3 6 3 3" xfId="47255" xr:uid="{00000000-0005-0000-0000-0000CB210000}"/>
    <cellStyle name="Comma 2 2 4 3 6 3 4" xfId="26425" xr:uid="{00000000-0005-0000-0000-0000CC210000}"/>
    <cellStyle name="Comma 2 2 4 3 6 4" xfId="5594" xr:uid="{00000000-0005-0000-0000-0000CD210000}"/>
    <cellStyle name="Comma 2 2 4 3 6 4 2" xfId="19081" xr:uid="{00000000-0005-0000-0000-0000CE210000}"/>
    <cellStyle name="Comma 2 2 4 3 6 4 2 2" xfId="42359" xr:uid="{00000000-0005-0000-0000-0000CF210000}"/>
    <cellStyle name="Comma 2 2 4 3 6 4 3" xfId="28873" xr:uid="{00000000-0005-0000-0000-0000D0210000}"/>
    <cellStyle name="Comma 2 2 4 3 6 5" xfId="8042" xr:uid="{00000000-0005-0000-0000-0000D1210000}"/>
    <cellStyle name="Comma 2 2 4 3 6 5 2" xfId="31321" xr:uid="{00000000-0005-0000-0000-0000D2210000}"/>
    <cellStyle name="Comma 2 2 4 3 6 6" xfId="10490" xr:uid="{00000000-0005-0000-0000-0000D3210000}"/>
    <cellStyle name="Comma 2 2 4 3 6 6 2" xfId="33769" xr:uid="{00000000-0005-0000-0000-0000D4210000}"/>
    <cellStyle name="Comma 2 2 4 3 6 7" xfId="12938" xr:uid="{00000000-0005-0000-0000-0000D5210000}"/>
    <cellStyle name="Comma 2 2 4 3 6 7 2" xfId="36217" xr:uid="{00000000-0005-0000-0000-0000D6210000}"/>
    <cellStyle name="Comma 2 2 4 3 6 8" xfId="15409" xr:uid="{00000000-0005-0000-0000-0000D7210000}"/>
    <cellStyle name="Comma 2 2 4 3 6 8 2" xfId="38687" xr:uid="{00000000-0005-0000-0000-0000D8210000}"/>
    <cellStyle name="Comma 2 2 4 3 6 9" xfId="23977" xr:uid="{00000000-0005-0000-0000-0000D9210000}"/>
    <cellStyle name="Comma 2 2 4 3 7" xfId="1310" xr:uid="{00000000-0005-0000-0000-0000DA210000}"/>
    <cellStyle name="Comma 2 2 4 3 7 10" xfId="22141" xr:uid="{00000000-0005-0000-0000-0000DB210000}"/>
    <cellStyle name="Comma 2 2 4 3 7 2" xfId="3758" xr:uid="{00000000-0005-0000-0000-0000DC210000}"/>
    <cellStyle name="Comma 2 2 4 3 7 2 2" xfId="19693" xr:uid="{00000000-0005-0000-0000-0000DD210000}"/>
    <cellStyle name="Comma 2 2 4 3 7 2 2 2" xfId="42971" xr:uid="{00000000-0005-0000-0000-0000DE210000}"/>
    <cellStyle name="Comma 2 2 4 3 7 2 3" xfId="47867" xr:uid="{00000000-0005-0000-0000-0000DF210000}"/>
    <cellStyle name="Comma 2 2 4 3 7 2 4" xfId="27037" xr:uid="{00000000-0005-0000-0000-0000E0210000}"/>
    <cellStyle name="Comma 2 2 4 3 7 3" xfId="6206" xr:uid="{00000000-0005-0000-0000-0000E1210000}"/>
    <cellStyle name="Comma 2 2 4 3 7 3 2" xfId="29485" xr:uid="{00000000-0005-0000-0000-0000E2210000}"/>
    <cellStyle name="Comma 2 2 4 3 7 4" xfId="8654" xr:uid="{00000000-0005-0000-0000-0000E3210000}"/>
    <cellStyle name="Comma 2 2 4 3 7 4 2" xfId="31933" xr:uid="{00000000-0005-0000-0000-0000E4210000}"/>
    <cellStyle name="Comma 2 2 4 3 7 5" xfId="11102" xr:uid="{00000000-0005-0000-0000-0000E5210000}"/>
    <cellStyle name="Comma 2 2 4 3 7 5 2" xfId="34381" xr:uid="{00000000-0005-0000-0000-0000E6210000}"/>
    <cellStyle name="Comma 2 2 4 3 7 6" xfId="13550" xr:uid="{00000000-0005-0000-0000-0000E7210000}"/>
    <cellStyle name="Comma 2 2 4 3 7 6 2" xfId="36829" xr:uid="{00000000-0005-0000-0000-0000E8210000}"/>
    <cellStyle name="Comma 2 2 4 3 7 7" xfId="17245" xr:uid="{00000000-0005-0000-0000-0000E9210000}"/>
    <cellStyle name="Comma 2 2 4 3 7 7 2" xfId="40523" xr:uid="{00000000-0005-0000-0000-0000EA210000}"/>
    <cellStyle name="Comma 2 2 4 3 7 8" xfId="24589" xr:uid="{00000000-0005-0000-0000-0000EB210000}"/>
    <cellStyle name="Comma 2 2 4 3 7 9" xfId="45419" xr:uid="{00000000-0005-0000-0000-0000EC210000}"/>
    <cellStyle name="Comma 2 2 4 3 8" xfId="2534" xr:uid="{00000000-0005-0000-0000-0000ED210000}"/>
    <cellStyle name="Comma 2 2 4 3 8 2" xfId="16021" xr:uid="{00000000-0005-0000-0000-0000EE210000}"/>
    <cellStyle name="Comma 2 2 4 3 8 2 2" xfId="39299" xr:uid="{00000000-0005-0000-0000-0000EF210000}"/>
    <cellStyle name="Comma 2 2 4 3 8 3" xfId="46643" xr:uid="{00000000-0005-0000-0000-0000F0210000}"/>
    <cellStyle name="Comma 2 2 4 3 8 4" xfId="25813" xr:uid="{00000000-0005-0000-0000-0000F1210000}"/>
    <cellStyle name="Comma 2 2 4 3 9" xfId="4982" xr:uid="{00000000-0005-0000-0000-0000F2210000}"/>
    <cellStyle name="Comma 2 2 4 3 9 2" xfId="18469" xr:uid="{00000000-0005-0000-0000-0000F3210000}"/>
    <cellStyle name="Comma 2 2 4 3 9 2 2" xfId="41747" xr:uid="{00000000-0005-0000-0000-0000F4210000}"/>
    <cellStyle name="Comma 2 2 4 3 9 3" xfId="28261" xr:uid="{00000000-0005-0000-0000-0000F5210000}"/>
    <cellStyle name="Comma 2 2 4 4" xfId="103" xr:uid="{00000000-0005-0000-0000-0000F6210000}"/>
    <cellStyle name="Comma 2 2 4 4 10" xfId="7447" xr:uid="{00000000-0005-0000-0000-0000F7210000}"/>
    <cellStyle name="Comma 2 2 4 4 10 2" xfId="30726" xr:uid="{00000000-0005-0000-0000-0000F8210000}"/>
    <cellStyle name="Comma 2 2 4 4 11" xfId="9895" xr:uid="{00000000-0005-0000-0000-0000F9210000}"/>
    <cellStyle name="Comma 2 2 4 4 11 2" xfId="33174" xr:uid="{00000000-0005-0000-0000-0000FA210000}"/>
    <cellStyle name="Comma 2 2 4 4 12" xfId="12343" xr:uid="{00000000-0005-0000-0000-0000FB210000}"/>
    <cellStyle name="Comma 2 2 4 4 12 2" xfId="35622" xr:uid="{00000000-0005-0000-0000-0000FC210000}"/>
    <cellStyle name="Comma 2 2 4 4 13" xfId="14814" xr:uid="{00000000-0005-0000-0000-0000FD210000}"/>
    <cellStyle name="Comma 2 2 4 4 13 2" xfId="38092" xr:uid="{00000000-0005-0000-0000-0000FE210000}"/>
    <cellStyle name="Comma 2 2 4 4 14" xfId="23382" xr:uid="{00000000-0005-0000-0000-0000FF210000}"/>
    <cellStyle name="Comma 2 2 4 4 15" xfId="44212" xr:uid="{00000000-0005-0000-0000-000000220000}"/>
    <cellStyle name="Comma 2 2 4 4 16" xfId="20934" xr:uid="{00000000-0005-0000-0000-000001220000}"/>
    <cellStyle name="Comma 2 2 4 4 2" xfId="171" xr:uid="{00000000-0005-0000-0000-000002220000}"/>
    <cellStyle name="Comma 2 2 4 4 2 10" xfId="12411" xr:uid="{00000000-0005-0000-0000-000003220000}"/>
    <cellStyle name="Comma 2 2 4 4 2 10 2" xfId="35690" xr:uid="{00000000-0005-0000-0000-000004220000}"/>
    <cellStyle name="Comma 2 2 4 4 2 11" xfId="14882" xr:uid="{00000000-0005-0000-0000-000005220000}"/>
    <cellStyle name="Comma 2 2 4 4 2 11 2" xfId="38160" xr:uid="{00000000-0005-0000-0000-000006220000}"/>
    <cellStyle name="Comma 2 2 4 4 2 12" xfId="23450" xr:uid="{00000000-0005-0000-0000-000007220000}"/>
    <cellStyle name="Comma 2 2 4 4 2 13" xfId="44280" xr:uid="{00000000-0005-0000-0000-000008220000}"/>
    <cellStyle name="Comma 2 2 4 4 2 14" xfId="21002" xr:uid="{00000000-0005-0000-0000-000009220000}"/>
    <cellStyle name="Comma 2 2 4 4 2 2" xfId="375" xr:uid="{00000000-0005-0000-0000-00000A220000}"/>
    <cellStyle name="Comma 2 2 4 4 2 2 10" xfId="23654" xr:uid="{00000000-0005-0000-0000-00000B220000}"/>
    <cellStyle name="Comma 2 2 4 4 2 2 11" xfId="44484" xr:uid="{00000000-0005-0000-0000-00000C220000}"/>
    <cellStyle name="Comma 2 2 4 4 2 2 12" xfId="21206" xr:uid="{00000000-0005-0000-0000-00000D220000}"/>
    <cellStyle name="Comma 2 2 4 4 2 2 2" xfId="987" xr:uid="{00000000-0005-0000-0000-00000E220000}"/>
    <cellStyle name="Comma 2 2 4 4 2 2 2 10" xfId="45096" xr:uid="{00000000-0005-0000-0000-00000F220000}"/>
    <cellStyle name="Comma 2 2 4 4 2 2 2 11" xfId="21818" xr:uid="{00000000-0005-0000-0000-000010220000}"/>
    <cellStyle name="Comma 2 2 4 4 2 2 2 2" xfId="2211" xr:uid="{00000000-0005-0000-0000-000011220000}"/>
    <cellStyle name="Comma 2 2 4 4 2 2 2 2 10" xfId="23042" xr:uid="{00000000-0005-0000-0000-000012220000}"/>
    <cellStyle name="Comma 2 2 4 4 2 2 2 2 2" xfId="4659" xr:uid="{00000000-0005-0000-0000-000013220000}"/>
    <cellStyle name="Comma 2 2 4 4 2 2 2 2 2 2" xfId="20594" xr:uid="{00000000-0005-0000-0000-000014220000}"/>
    <cellStyle name="Comma 2 2 4 4 2 2 2 2 2 2 2" xfId="43872" xr:uid="{00000000-0005-0000-0000-000015220000}"/>
    <cellStyle name="Comma 2 2 4 4 2 2 2 2 2 3" xfId="48768" xr:uid="{00000000-0005-0000-0000-000016220000}"/>
    <cellStyle name="Comma 2 2 4 4 2 2 2 2 2 4" xfId="27938" xr:uid="{00000000-0005-0000-0000-000017220000}"/>
    <cellStyle name="Comma 2 2 4 4 2 2 2 2 3" xfId="7107" xr:uid="{00000000-0005-0000-0000-000018220000}"/>
    <cellStyle name="Comma 2 2 4 4 2 2 2 2 3 2" xfId="30386" xr:uid="{00000000-0005-0000-0000-000019220000}"/>
    <cellStyle name="Comma 2 2 4 4 2 2 2 2 4" xfId="9555" xr:uid="{00000000-0005-0000-0000-00001A220000}"/>
    <cellStyle name="Comma 2 2 4 4 2 2 2 2 4 2" xfId="32834" xr:uid="{00000000-0005-0000-0000-00001B220000}"/>
    <cellStyle name="Comma 2 2 4 4 2 2 2 2 5" xfId="12003" xr:uid="{00000000-0005-0000-0000-00001C220000}"/>
    <cellStyle name="Comma 2 2 4 4 2 2 2 2 5 2" xfId="35282" xr:uid="{00000000-0005-0000-0000-00001D220000}"/>
    <cellStyle name="Comma 2 2 4 4 2 2 2 2 6" xfId="14451" xr:uid="{00000000-0005-0000-0000-00001E220000}"/>
    <cellStyle name="Comma 2 2 4 4 2 2 2 2 6 2" xfId="37730" xr:uid="{00000000-0005-0000-0000-00001F220000}"/>
    <cellStyle name="Comma 2 2 4 4 2 2 2 2 7" xfId="18146" xr:uid="{00000000-0005-0000-0000-000020220000}"/>
    <cellStyle name="Comma 2 2 4 4 2 2 2 2 7 2" xfId="41424" xr:uid="{00000000-0005-0000-0000-000021220000}"/>
    <cellStyle name="Comma 2 2 4 4 2 2 2 2 8" xfId="25490" xr:uid="{00000000-0005-0000-0000-000022220000}"/>
    <cellStyle name="Comma 2 2 4 4 2 2 2 2 9" xfId="46320" xr:uid="{00000000-0005-0000-0000-000023220000}"/>
    <cellStyle name="Comma 2 2 4 4 2 2 2 3" xfId="3435" xr:uid="{00000000-0005-0000-0000-000024220000}"/>
    <cellStyle name="Comma 2 2 4 4 2 2 2 3 2" xfId="16922" xr:uid="{00000000-0005-0000-0000-000025220000}"/>
    <cellStyle name="Comma 2 2 4 4 2 2 2 3 2 2" xfId="40200" xr:uid="{00000000-0005-0000-0000-000026220000}"/>
    <cellStyle name="Comma 2 2 4 4 2 2 2 3 3" xfId="47544" xr:uid="{00000000-0005-0000-0000-000027220000}"/>
    <cellStyle name="Comma 2 2 4 4 2 2 2 3 4" xfId="26714" xr:uid="{00000000-0005-0000-0000-000028220000}"/>
    <cellStyle name="Comma 2 2 4 4 2 2 2 4" xfId="5883" xr:uid="{00000000-0005-0000-0000-000029220000}"/>
    <cellStyle name="Comma 2 2 4 4 2 2 2 4 2" xfId="19370" xr:uid="{00000000-0005-0000-0000-00002A220000}"/>
    <cellStyle name="Comma 2 2 4 4 2 2 2 4 2 2" xfId="42648" xr:uid="{00000000-0005-0000-0000-00002B220000}"/>
    <cellStyle name="Comma 2 2 4 4 2 2 2 4 3" xfId="29162" xr:uid="{00000000-0005-0000-0000-00002C220000}"/>
    <cellStyle name="Comma 2 2 4 4 2 2 2 5" xfId="8331" xr:uid="{00000000-0005-0000-0000-00002D220000}"/>
    <cellStyle name="Comma 2 2 4 4 2 2 2 5 2" xfId="31610" xr:uid="{00000000-0005-0000-0000-00002E220000}"/>
    <cellStyle name="Comma 2 2 4 4 2 2 2 6" xfId="10779" xr:uid="{00000000-0005-0000-0000-00002F220000}"/>
    <cellStyle name="Comma 2 2 4 4 2 2 2 6 2" xfId="34058" xr:uid="{00000000-0005-0000-0000-000030220000}"/>
    <cellStyle name="Comma 2 2 4 4 2 2 2 7" xfId="13227" xr:uid="{00000000-0005-0000-0000-000031220000}"/>
    <cellStyle name="Comma 2 2 4 4 2 2 2 7 2" xfId="36506" xr:uid="{00000000-0005-0000-0000-000032220000}"/>
    <cellStyle name="Comma 2 2 4 4 2 2 2 8" xfId="15698" xr:uid="{00000000-0005-0000-0000-000033220000}"/>
    <cellStyle name="Comma 2 2 4 4 2 2 2 8 2" xfId="38976" xr:uid="{00000000-0005-0000-0000-000034220000}"/>
    <cellStyle name="Comma 2 2 4 4 2 2 2 9" xfId="24266" xr:uid="{00000000-0005-0000-0000-000035220000}"/>
    <cellStyle name="Comma 2 2 4 4 2 2 3" xfId="1599" xr:uid="{00000000-0005-0000-0000-000036220000}"/>
    <cellStyle name="Comma 2 2 4 4 2 2 3 10" xfId="22430" xr:uid="{00000000-0005-0000-0000-000037220000}"/>
    <cellStyle name="Comma 2 2 4 4 2 2 3 2" xfId="4047" xr:uid="{00000000-0005-0000-0000-000038220000}"/>
    <cellStyle name="Comma 2 2 4 4 2 2 3 2 2" xfId="19982" xr:uid="{00000000-0005-0000-0000-000039220000}"/>
    <cellStyle name="Comma 2 2 4 4 2 2 3 2 2 2" xfId="43260" xr:uid="{00000000-0005-0000-0000-00003A220000}"/>
    <cellStyle name="Comma 2 2 4 4 2 2 3 2 3" xfId="48156" xr:uid="{00000000-0005-0000-0000-00003B220000}"/>
    <cellStyle name="Comma 2 2 4 4 2 2 3 2 4" xfId="27326" xr:uid="{00000000-0005-0000-0000-00003C220000}"/>
    <cellStyle name="Comma 2 2 4 4 2 2 3 3" xfId="6495" xr:uid="{00000000-0005-0000-0000-00003D220000}"/>
    <cellStyle name="Comma 2 2 4 4 2 2 3 3 2" xfId="29774" xr:uid="{00000000-0005-0000-0000-00003E220000}"/>
    <cellStyle name="Comma 2 2 4 4 2 2 3 4" xfId="8943" xr:uid="{00000000-0005-0000-0000-00003F220000}"/>
    <cellStyle name="Comma 2 2 4 4 2 2 3 4 2" xfId="32222" xr:uid="{00000000-0005-0000-0000-000040220000}"/>
    <cellStyle name="Comma 2 2 4 4 2 2 3 5" xfId="11391" xr:uid="{00000000-0005-0000-0000-000041220000}"/>
    <cellStyle name="Comma 2 2 4 4 2 2 3 5 2" xfId="34670" xr:uid="{00000000-0005-0000-0000-000042220000}"/>
    <cellStyle name="Comma 2 2 4 4 2 2 3 6" xfId="13839" xr:uid="{00000000-0005-0000-0000-000043220000}"/>
    <cellStyle name="Comma 2 2 4 4 2 2 3 6 2" xfId="37118" xr:uid="{00000000-0005-0000-0000-000044220000}"/>
    <cellStyle name="Comma 2 2 4 4 2 2 3 7" xfId="17534" xr:uid="{00000000-0005-0000-0000-000045220000}"/>
    <cellStyle name="Comma 2 2 4 4 2 2 3 7 2" xfId="40812" xr:uid="{00000000-0005-0000-0000-000046220000}"/>
    <cellStyle name="Comma 2 2 4 4 2 2 3 8" xfId="24878" xr:uid="{00000000-0005-0000-0000-000047220000}"/>
    <cellStyle name="Comma 2 2 4 4 2 2 3 9" xfId="45708" xr:uid="{00000000-0005-0000-0000-000048220000}"/>
    <cellStyle name="Comma 2 2 4 4 2 2 4" xfId="2823" xr:uid="{00000000-0005-0000-0000-000049220000}"/>
    <cellStyle name="Comma 2 2 4 4 2 2 4 2" xfId="16310" xr:uid="{00000000-0005-0000-0000-00004A220000}"/>
    <cellStyle name="Comma 2 2 4 4 2 2 4 2 2" xfId="39588" xr:uid="{00000000-0005-0000-0000-00004B220000}"/>
    <cellStyle name="Comma 2 2 4 4 2 2 4 3" xfId="46932" xr:uid="{00000000-0005-0000-0000-00004C220000}"/>
    <cellStyle name="Comma 2 2 4 4 2 2 4 4" xfId="26102" xr:uid="{00000000-0005-0000-0000-00004D220000}"/>
    <cellStyle name="Comma 2 2 4 4 2 2 5" xfId="5271" xr:uid="{00000000-0005-0000-0000-00004E220000}"/>
    <cellStyle name="Comma 2 2 4 4 2 2 5 2" xfId="18758" xr:uid="{00000000-0005-0000-0000-00004F220000}"/>
    <cellStyle name="Comma 2 2 4 4 2 2 5 2 2" xfId="42036" xr:uid="{00000000-0005-0000-0000-000050220000}"/>
    <cellStyle name="Comma 2 2 4 4 2 2 5 3" xfId="28550" xr:uid="{00000000-0005-0000-0000-000051220000}"/>
    <cellStyle name="Comma 2 2 4 4 2 2 6" xfId="7719" xr:uid="{00000000-0005-0000-0000-000052220000}"/>
    <cellStyle name="Comma 2 2 4 4 2 2 6 2" xfId="30998" xr:uid="{00000000-0005-0000-0000-000053220000}"/>
    <cellStyle name="Comma 2 2 4 4 2 2 7" xfId="10167" xr:uid="{00000000-0005-0000-0000-000054220000}"/>
    <cellStyle name="Comma 2 2 4 4 2 2 7 2" xfId="33446" xr:uid="{00000000-0005-0000-0000-000055220000}"/>
    <cellStyle name="Comma 2 2 4 4 2 2 8" xfId="12615" xr:uid="{00000000-0005-0000-0000-000056220000}"/>
    <cellStyle name="Comma 2 2 4 4 2 2 8 2" xfId="35894" xr:uid="{00000000-0005-0000-0000-000057220000}"/>
    <cellStyle name="Comma 2 2 4 4 2 2 9" xfId="15086" xr:uid="{00000000-0005-0000-0000-000058220000}"/>
    <cellStyle name="Comma 2 2 4 4 2 2 9 2" xfId="38364" xr:uid="{00000000-0005-0000-0000-000059220000}"/>
    <cellStyle name="Comma 2 2 4 4 2 3" xfId="579" xr:uid="{00000000-0005-0000-0000-00005A220000}"/>
    <cellStyle name="Comma 2 2 4 4 2 3 10" xfId="23858" xr:uid="{00000000-0005-0000-0000-00005B220000}"/>
    <cellStyle name="Comma 2 2 4 4 2 3 11" xfId="44688" xr:uid="{00000000-0005-0000-0000-00005C220000}"/>
    <cellStyle name="Comma 2 2 4 4 2 3 12" xfId="21410" xr:uid="{00000000-0005-0000-0000-00005D220000}"/>
    <cellStyle name="Comma 2 2 4 4 2 3 2" xfId="1191" xr:uid="{00000000-0005-0000-0000-00005E220000}"/>
    <cellStyle name="Comma 2 2 4 4 2 3 2 10" xfId="45300" xr:uid="{00000000-0005-0000-0000-00005F220000}"/>
    <cellStyle name="Comma 2 2 4 4 2 3 2 11" xfId="22022" xr:uid="{00000000-0005-0000-0000-000060220000}"/>
    <cellStyle name="Comma 2 2 4 4 2 3 2 2" xfId="2415" xr:uid="{00000000-0005-0000-0000-000061220000}"/>
    <cellStyle name="Comma 2 2 4 4 2 3 2 2 10" xfId="23246" xr:uid="{00000000-0005-0000-0000-000062220000}"/>
    <cellStyle name="Comma 2 2 4 4 2 3 2 2 2" xfId="4863" xr:uid="{00000000-0005-0000-0000-000063220000}"/>
    <cellStyle name="Comma 2 2 4 4 2 3 2 2 2 2" xfId="20798" xr:uid="{00000000-0005-0000-0000-000064220000}"/>
    <cellStyle name="Comma 2 2 4 4 2 3 2 2 2 2 2" xfId="44076" xr:uid="{00000000-0005-0000-0000-000065220000}"/>
    <cellStyle name="Comma 2 2 4 4 2 3 2 2 2 3" xfId="48972" xr:uid="{00000000-0005-0000-0000-000066220000}"/>
    <cellStyle name="Comma 2 2 4 4 2 3 2 2 2 4" xfId="28142" xr:uid="{00000000-0005-0000-0000-000067220000}"/>
    <cellStyle name="Comma 2 2 4 4 2 3 2 2 3" xfId="7311" xr:uid="{00000000-0005-0000-0000-000068220000}"/>
    <cellStyle name="Comma 2 2 4 4 2 3 2 2 3 2" xfId="30590" xr:uid="{00000000-0005-0000-0000-000069220000}"/>
    <cellStyle name="Comma 2 2 4 4 2 3 2 2 4" xfId="9759" xr:uid="{00000000-0005-0000-0000-00006A220000}"/>
    <cellStyle name="Comma 2 2 4 4 2 3 2 2 4 2" xfId="33038" xr:uid="{00000000-0005-0000-0000-00006B220000}"/>
    <cellStyle name="Comma 2 2 4 4 2 3 2 2 5" xfId="12207" xr:uid="{00000000-0005-0000-0000-00006C220000}"/>
    <cellStyle name="Comma 2 2 4 4 2 3 2 2 5 2" xfId="35486" xr:uid="{00000000-0005-0000-0000-00006D220000}"/>
    <cellStyle name="Comma 2 2 4 4 2 3 2 2 6" xfId="14655" xr:uid="{00000000-0005-0000-0000-00006E220000}"/>
    <cellStyle name="Comma 2 2 4 4 2 3 2 2 6 2" xfId="37934" xr:uid="{00000000-0005-0000-0000-00006F220000}"/>
    <cellStyle name="Comma 2 2 4 4 2 3 2 2 7" xfId="18350" xr:uid="{00000000-0005-0000-0000-000070220000}"/>
    <cellStyle name="Comma 2 2 4 4 2 3 2 2 7 2" xfId="41628" xr:uid="{00000000-0005-0000-0000-000071220000}"/>
    <cellStyle name="Comma 2 2 4 4 2 3 2 2 8" xfId="25694" xr:uid="{00000000-0005-0000-0000-000072220000}"/>
    <cellStyle name="Comma 2 2 4 4 2 3 2 2 9" xfId="46524" xr:uid="{00000000-0005-0000-0000-000073220000}"/>
    <cellStyle name="Comma 2 2 4 4 2 3 2 3" xfId="3639" xr:uid="{00000000-0005-0000-0000-000074220000}"/>
    <cellStyle name="Comma 2 2 4 4 2 3 2 3 2" xfId="17126" xr:uid="{00000000-0005-0000-0000-000075220000}"/>
    <cellStyle name="Comma 2 2 4 4 2 3 2 3 2 2" xfId="40404" xr:uid="{00000000-0005-0000-0000-000076220000}"/>
    <cellStyle name="Comma 2 2 4 4 2 3 2 3 3" xfId="47748" xr:uid="{00000000-0005-0000-0000-000077220000}"/>
    <cellStyle name="Comma 2 2 4 4 2 3 2 3 4" xfId="26918" xr:uid="{00000000-0005-0000-0000-000078220000}"/>
    <cellStyle name="Comma 2 2 4 4 2 3 2 4" xfId="6087" xr:uid="{00000000-0005-0000-0000-000079220000}"/>
    <cellStyle name="Comma 2 2 4 4 2 3 2 4 2" xfId="19574" xr:uid="{00000000-0005-0000-0000-00007A220000}"/>
    <cellStyle name="Comma 2 2 4 4 2 3 2 4 2 2" xfId="42852" xr:uid="{00000000-0005-0000-0000-00007B220000}"/>
    <cellStyle name="Comma 2 2 4 4 2 3 2 4 3" xfId="29366" xr:uid="{00000000-0005-0000-0000-00007C220000}"/>
    <cellStyle name="Comma 2 2 4 4 2 3 2 5" xfId="8535" xr:uid="{00000000-0005-0000-0000-00007D220000}"/>
    <cellStyle name="Comma 2 2 4 4 2 3 2 5 2" xfId="31814" xr:uid="{00000000-0005-0000-0000-00007E220000}"/>
    <cellStyle name="Comma 2 2 4 4 2 3 2 6" xfId="10983" xr:uid="{00000000-0005-0000-0000-00007F220000}"/>
    <cellStyle name="Comma 2 2 4 4 2 3 2 6 2" xfId="34262" xr:uid="{00000000-0005-0000-0000-000080220000}"/>
    <cellStyle name="Comma 2 2 4 4 2 3 2 7" xfId="13431" xr:uid="{00000000-0005-0000-0000-000081220000}"/>
    <cellStyle name="Comma 2 2 4 4 2 3 2 7 2" xfId="36710" xr:uid="{00000000-0005-0000-0000-000082220000}"/>
    <cellStyle name="Comma 2 2 4 4 2 3 2 8" xfId="15902" xr:uid="{00000000-0005-0000-0000-000083220000}"/>
    <cellStyle name="Comma 2 2 4 4 2 3 2 8 2" xfId="39180" xr:uid="{00000000-0005-0000-0000-000084220000}"/>
    <cellStyle name="Comma 2 2 4 4 2 3 2 9" xfId="24470" xr:uid="{00000000-0005-0000-0000-000085220000}"/>
    <cellStyle name="Comma 2 2 4 4 2 3 3" xfId="1803" xr:uid="{00000000-0005-0000-0000-000086220000}"/>
    <cellStyle name="Comma 2 2 4 4 2 3 3 10" xfId="22634" xr:uid="{00000000-0005-0000-0000-000087220000}"/>
    <cellStyle name="Comma 2 2 4 4 2 3 3 2" xfId="4251" xr:uid="{00000000-0005-0000-0000-000088220000}"/>
    <cellStyle name="Comma 2 2 4 4 2 3 3 2 2" xfId="20186" xr:uid="{00000000-0005-0000-0000-000089220000}"/>
    <cellStyle name="Comma 2 2 4 4 2 3 3 2 2 2" xfId="43464" xr:uid="{00000000-0005-0000-0000-00008A220000}"/>
    <cellStyle name="Comma 2 2 4 4 2 3 3 2 3" xfId="48360" xr:uid="{00000000-0005-0000-0000-00008B220000}"/>
    <cellStyle name="Comma 2 2 4 4 2 3 3 2 4" xfId="27530" xr:uid="{00000000-0005-0000-0000-00008C220000}"/>
    <cellStyle name="Comma 2 2 4 4 2 3 3 3" xfId="6699" xr:uid="{00000000-0005-0000-0000-00008D220000}"/>
    <cellStyle name="Comma 2 2 4 4 2 3 3 3 2" xfId="29978" xr:uid="{00000000-0005-0000-0000-00008E220000}"/>
    <cellStyle name="Comma 2 2 4 4 2 3 3 4" xfId="9147" xr:uid="{00000000-0005-0000-0000-00008F220000}"/>
    <cellStyle name="Comma 2 2 4 4 2 3 3 4 2" xfId="32426" xr:uid="{00000000-0005-0000-0000-000090220000}"/>
    <cellStyle name="Comma 2 2 4 4 2 3 3 5" xfId="11595" xr:uid="{00000000-0005-0000-0000-000091220000}"/>
    <cellStyle name="Comma 2 2 4 4 2 3 3 5 2" xfId="34874" xr:uid="{00000000-0005-0000-0000-000092220000}"/>
    <cellStyle name="Comma 2 2 4 4 2 3 3 6" xfId="14043" xr:uid="{00000000-0005-0000-0000-000093220000}"/>
    <cellStyle name="Comma 2 2 4 4 2 3 3 6 2" xfId="37322" xr:uid="{00000000-0005-0000-0000-000094220000}"/>
    <cellStyle name="Comma 2 2 4 4 2 3 3 7" xfId="17738" xr:uid="{00000000-0005-0000-0000-000095220000}"/>
    <cellStyle name="Comma 2 2 4 4 2 3 3 7 2" xfId="41016" xr:uid="{00000000-0005-0000-0000-000096220000}"/>
    <cellStyle name="Comma 2 2 4 4 2 3 3 8" xfId="25082" xr:uid="{00000000-0005-0000-0000-000097220000}"/>
    <cellStyle name="Comma 2 2 4 4 2 3 3 9" xfId="45912" xr:uid="{00000000-0005-0000-0000-000098220000}"/>
    <cellStyle name="Comma 2 2 4 4 2 3 4" xfId="3027" xr:uid="{00000000-0005-0000-0000-000099220000}"/>
    <cellStyle name="Comma 2 2 4 4 2 3 4 2" xfId="16514" xr:uid="{00000000-0005-0000-0000-00009A220000}"/>
    <cellStyle name="Comma 2 2 4 4 2 3 4 2 2" xfId="39792" xr:uid="{00000000-0005-0000-0000-00009B220000}"/>
    <cellStyle name="Comma 2 2 4 4 2 3 4 3" xfId="47136" xr:uid="{00000000-0005-0000-0000-00009C220000}"/>
    <cellStyle name="Comma 2 2 4 4 2 3 4 4" xfId="26306" xr:uid="{00000000-0005-0000-0000-00009D220000}"/>
    <cellStyle name="Comma 2 2 4 4 2 3 5" xfId="5475" xr:uid="{00000000-0005-0000-0000-00009E220000}"/>
    <cellStyle name="Comma 2 2 4 4 2 3 5 2" xfId="18962" xr:uid="{00000000-0005-0000-0000-00009F220000}"/>
    <cellStyle name="Comma 2 2 4 4 2 3 5 2 2" xfId="42240" xr:uid="{00000000-0005-0000-0000-0000A0220000}"/>
    <cellStyle name="Comma 2 2 4 4 2 3 5 3" xfId="28754" xr:uid="{00000000-0005-0000-0000-0000A1220000}"/>
    <cellStyle name="Comma 2 2 4 4 2 3 6" xfId="7923" xr:uid="{00000000-0005-0000-0000-0000A2220000}"/>
    <cellStyle name="Comma 2 2 4 4 2 3 6 2" xfId="31202" xr:uid="{00000000-0005-0000-0000-0000A3220000}"/>
    <cellStyle name="Comma 2 2 4 4 2 3 7" xfId="10371" xr:uid="{00000000-0005-0000-0000-0000A4220000}"/>
    <cellStyle name="Comma 2 2 4 4 2 3 7 2" xfId="33650" xr:uid="{00000000-0005-0000-0000-0000A5220000}"/>
    <cellStyle name="Comma 2 2 4 4 2 3 8" xfId="12819" xr:uid="{00000000-0005-0000-0000-0000A6220000}"/>
    <cellStyle name="Comma 2 2 4 4 2 3 8 2" xfId="36098" xr:uid="{00000000-0005-0000-0000-0000A7220000}"/>
    <cellStyle name="Comma 2 2 4 4 2 3 9" xfId="15290" xr:uid="{00000000-0005-0000-0000-0000A8220000}"/>
    <cellStyle name="Comma 2 2 4 4 2 3 9 2" xfId="38568" xr:uid="{00000000-0005-0000-0000-0000A9220000}"/>
    <cellStyle name="Comma 2 2 4 4 2 4" xfId="783" xr:uid="{00000000-0005-0000-0000-0000AA220000}"/>
    <cellStyle name="Comma 2 2 4 4 2 4 10" xfId="44892" xr:uid="{00000000-0005-0000-0000-0000AB220000}"/>
    <cellStyle name="Comma 2 2 4 4 2 4 11" xfId="21614" xr:uid="{00000000-0005-0000-0000-0000AC220000}"/>
    <cellStyle name="Comma 2 2 4 4 2 4 2" xfId="2007" xr:uid="{00000000-0005-0000-0000-0000AD220000}"/>
    <cellStyle name="Comma 2 2 4 4 2 4 2 10" xfId="22838" xr:uid="{00000000-0005-0000-0000-0000AE220000}"/>
    <cellStyle name="Comma 2 2 4 4 2 4 2 2" xfId="4455" xr:uid="{00000000-0005-0000-0000-0000AF220000}"/>
    <cellStyle name="Comma 2 2 4 4 2 4 2 2 2" xfId="20390" xr:uid="{00000000-0005-0000-0000-0000B0220000}"/>
    <cellStyle name="Comma 2 2 4 4 2 4 2 2 2 2" xfId="43668" xr:uid="{00000000-0005-0000-0000-0000B1220000}"/>
    <cellStyle name="Comma 2 2 4 4 2 4 2 2 3" xfId="48564" xr:uid="{00000000-0005-0000-0000-0000B2220000}"/>
    <cellStyle name="Comma 2 2 4 4 2 4 2 2 4" xfId="27734" xr:uid="{00000000-0005-0000-0000-0000B3220000}"/>
    <cellStyle name="Comma 2 2 4 4 2 4 2 3" xfId="6903" xr:uid="{00000000-0005-0000-0000-0000B4220000}"/>
    <cellStyle name="Comma 2 2 4 4 2 4 2 3 2" xfId="30182" xr:uid="{00000000-0005-0000-0000-0000B5220000}"/>
    <cellStyle name="Comma 2 2 4 4 2 4 2 4" xfId="9351" xr:uid="{00000000-0005-0000-0000-0000B6220000}"/>
    <cellStyle name="Comma 2 2 4 4 2 4 2 4 2" xfId="32630" xr:uid="{00000000-0005-0000-0000-0000B7220000}"/>
    <cellStyle name="Comma 2 2 4 4 2 4 2 5" xfId="11799" xr:uid="{00000000-0005-0000-0000-0000B8220000}"/>
    <cellStyle name="Comma 2 2 4 4 2 4 2 5 2" xfId="35078" xr:uid="{00000000-0005-0000-0000-0000B9220000}"/>
    <cellStyle name="Comma 2 2 4 4 2 4 2 6" xfId="14247" xr:uid="{00000000-0005-0000-0000-0000BA220000}"/>
    <cellStyle name="Comma 2 2 4 4 2 4 2 6 2" xfId="37526" xr:uid="{00000000-0005-0000-0000-0000BB220000}"/>
    <cellStyle name="Comma 2 2 4 4 2 4 2 7" xfId="17942" xr:uid="{00000000-0005-0000-0000-0000BC220000}"/>
    <cellStyle name="Comma 2 2 4 4 2 4 2 7 2" xfId="41220" xr:uid="{00000000-0005-0000-0000-0000BD220000}"/>
    <cellStyle name="Comma 2 2 4 4 2 4 2 8" xfId="25286" xr:uid="{00000000-0005-0000-0000-0000BE220000}"/>
    <cellStyle name="Comma 2 2 4 4 2 4 2 9" xfId="46116" xr:uid="{00000000-0005-0000-0000-0000BF220000}"/>
    <cellStyle name="Comma 2 2 4 4 2 4 3" xfId="3231" xr:uid="{00000000-0005-0000-0000-0000C0220000}"/>
    <cellStyle name="Comma 2 2 4 4 2 4 3 2" xfId="16718" xr:uid="{00000000-0005-0000-0000-0000C1220000}"/>
    <cellStyle name="Comma 2 2 4 4 2 4 3 2 2" xfId="39996" xr:uid="{00000000-0005-0000-0000-0000C2220000}"/>
    <cellStyle name="Comma 2 2 4 4 2 4 3 3" xfId="47340" xr:uid="{00000000-0005-0000-0000-0000C3220000}"/>
    <cellStyle name="Comma 2 2 4 4 2 4 3 4" xfId="26510" xr:uid="{00000000-0005-0000-0000-0000C4220000}"/>
    <cellStyle name="Comma 2 2 4 4 2 4 4" xfId="5679" xr:uid="{00000000-0005-0000-0000-0000C5220000}"/>
    <cellStyle name="Comma 2 2 4 4 2 4 4 2" xfId="19166" xr:uid="{00000000-0005-0000-0000-0000C6220000}"/>
    <cellStyle name="Comma 2 2 4 4 2 4 4 2 2" xfId="42444" xr:uid="{00000000-0005-0000-0000-0000C7220000}"/>
    <cellStyle name="Comma 2 2 4 4 2 4 4 3" xfId="28958" xr:uid="{00000000-0005-0000-0000-0000C8220000}"/>
    <cellStyle name="Comma 2 2 4 4 2 4 5" xfId="8127" xr:uid="{00000000-0005-0000-0000-0000C9220000}"/>
    <cellStyle name="Comma 2 2 4 4 2 4 5 2" xfId="31406" xr:uid="{00000000-0005-0000-0000-0000CA220000}"/>
    <cellStyle name="Comma 2 2 4 4 2 4 6" xfId="10575" xr:uid="{00000000-0005-0000-0000-0000CB220000}"/>
    <cellStyle name="Comma 2 2 4 4 2 4 6 2" xfId="33854" xr:uid="{00000000-0005-0000-0000-0000CC220000}"/>
    <cellStyle name="Comma 2 2 4 4 2 4 7" xfId="13023" xr:uid="{00000000-0005-0000-0000-0000CD220000}"/>
    <cellStyle name="Comma 2 2 4 4 2 4 7 2" xfId="36302" xr:uid="{00000000-0005-0000-0000-0000CE220000}"/>
    <cellStyle name="Comma 2 2 4 4 2 4 8" xfId="15494" xr:uid="{00000000-0005-0000-0000-0000CF220000}"/>
    <cellStyle name="Comma 2 2 4 4 2 4 8 2" xfId="38772" xr:uid="{00000000-0005-0000-0000-0000D0220000}"/>
    <cellStyle name="Comma 2 2 4 4 2 4 9" xfId="24062" xr:uid="{00000000-0005-0000-0000-0000D1220000}"/>
    <cellStyle name="Comma 2 2 4 4 2 5" xfId="1395" xr:uid="{00000000-0005-0000-0000-0000D2220000}"/>
    <cellStyle name="Comma 2 2 4 4 2 5 10" xfId="22226" xr:uid="{00000000-0005-0000-0000-0000D3220000}"/>
    <cellStyle name="Comma 2 2 4 4 2 5 2" xfId="3843" xr:uid="{00000000-0005-0000-0000-0000D4220000}"/>
    <cellStyle name="Comma 2 2 4 4 2 5 2 2" xfId="19778" xr:uid="{00000000-0005-0000-0000-0000D5220000}"/>
    <cellStyle name="Comma 2 2 4 4 2 5 2 2 2" xfId="43056" xr:uid="{00000000-0005-0000-0000-0000D6220000}"/>
    <cellStyle name="Comma 2 2 4 4 2 5 2 3" xfId="47952" xr:uid="{00000000-0005-0000-0000-0000D7220000}"/>
    <cellStyle name="Comma 2 2 4 4 2 5 2 4" xfId="27122" xr:uid="{00000000-0005-0000-0000-0000D8220000}"/>
    <cellStyle name="Comma 2 2 4 4 2 5 3" xfId="6291" xr:uid="{00000000-0005-0000-0000-0000D9220000}"/>
    <cellStyle name="Comma 2 2 4 4 2 5 3 2" xfId="29570" xr:uid="{00000000-0005-0000-0000-0000DA220000}"/>
    <cellStyle name="Comma 2 2 4 4 2 5 4" xfId="8739" xr:uid="{00000000-0005-0000-0000-0000DB220000}"/>
    <cellStyle name="Comma 2 2 4 4 2 5 4 2" xfId="32018" xr:uid="{00000000-0005-0000-0000-0000DC220000}"/>
    <cellStyle name="Comma 2 2 4 4 2 5 5" xfId="11187" xr:uid="{00000000-0005-0000-0000-0000DD220000}"/>
    <cellStyle name="Comma 2 2 4 4 2 5 5 2" xfId="34466" xr:uid="{00000000-0005-0000-0000-0000DE220000}"/>
    <cellStyle name="Comma 2 2 4 4 2 5 6" xfId="13635" xr:uid="{00000000-0005-0000-0000-0000DF220000}"/>
    <cellStyle name="Comma 2 2 4 4 2 5 6 2" xfId="36914" xr:uid="{00000000-0005-0000-0000-0000E0220000}"/>
    <cellStyle name="Comma 2 2 4 4 2 5 7" xfId="17330" xr:uid="{00000000-0005-0000-0000-0000E1220000}"/>
    <cellStyle name="Comma 2 2 4 4 2 5 7 2" xfId="40608" xr:uid="{00000000-0005-0000-0000-0000E2220000}"/>
    <cellStyle name="Comma 2 2 4 4 2 5 8" xfId="24674" xr:uid="{00000000-0005-0000-0000-0000E3220000}"/>
    <cellStyle name="Comma 2 2 4 4 2 5 9" xfId="45504" xr:uid="{00000000-0005-0000-0000-0000E4220000}"/>
    <cellStyle name="Comma 2 2 4 4 2 6" xfId="2619" xr:uid="{00000000-0005-0000-0000-0000E5220000}"/>
    <cellStyle name="Comma 2 2 4 4 2 6 2" xfId="16106" xr:uid="{00000000-0005-0000-0000-0000E6220000}"/>
    <cellStyle name="Comma 2 2 4 4 2 6 2 2" xfId="39384" xr:uid="{00000000-0005-0000-0000-0000E7220000}"/>
    <cellStyle name="Comma 2 2 4 4 2 6 3" xfId="46728" xr:uid="{00000000-0005-0000-0000-0000E8220000}"/>
    <cellStyle name="Comma 2 2 4 4 2 6 4" xfId="25898" xr:uid="{00000000-0005-0000-0000-0000E9220000}"/>
    <cellStyle name="Comma 2 2 4 4 2 7" xfId="5067" xr:uid="{00000000-0005-0000-0000-0000EA220000}"/>
    <cellStyle name="Comma 2 2 4 4 2 7 2" xfId="18554" xr:uid="{00000000-0005-0000-0000-0000EB220000}"/>
    <cellStyle name="Comma 2 2 4 4 2 7 2 2" xfId="41832" xr:uid="{00000000-0005-0000-0000-0000EC220000}"/>
    <cellStyle name="Comma 2 2 4 4 2 7 3" xfId="28346" xr:uid="{00000000-0005-0000-0000-0000ED220000}"/>
    <cellStyle name="Comma 2 2 4 4 2 8" xfId="7515" xr:uid="{00000000-0005-0000-0000-0000EE220000}"/>
    <cellStyle name="Comma 2 2 4 4 2 8 2" xfId="30794" xr:uid="{00000000-0005-0000-0000-0000EF220000}"/>
    <cellStyle name="Comma 2 2 4 4 2 9" xfId="9963" xr:uid="{00000000-0005-0000-0000-0000F0220000}"/>
    <cellStyle name="Comma 2 2 4 4 2 9 2" xfId="33242" xr:uid="{00000000-0005-0000-0000-0000F1220000}"/>
    <cellStyle name="Comma 2 2 4 4 3" xfId="239" xr:uid="{00000000-0005-0000-0000-0000F2220000}"/>
    <cellStyle name="Comma 2 2 4 4 3 10" xfId="12479" xr:uid="{00000000-0005-0000-0000-0000F3220000}"/>
    <cellStyle name="Comma 2 2 4 4 3 10 2" xfId="35758" xr:uid="{00000000-0005-0000-0000-0000F4220000}"/>
    <cellStyle name="Comma 2 2 4 4 3 11" xfId="14950" xr:uid="{00000000-0005-0000-0000-0000F5220000}"/>
    <cellStyle name="Comma 2 2 4 4 3 11 2" xfId="38228" xr:uid="{00000000-0005-0000-0000-0000F6220000}"/>
    <cellStyle name="Comma 2 2 4 4 3 12" xfId="23518" xr:uid="{00000000-0005-0000-0000-0000F7220000}"/>
    <cellStyle name="Comma 2 2 4 4 3 13" xfId="44348" xr:uid="{00000000-0005-0000-0000-0000F8220000}"/>
    <cellStyle name="Comma 2 2 4 4 3 14" xfId="21070" xr:uid="{00000000-0005-0000-0000-0000F9220000}"/>
    <cellStyle name="Comma 2 2 4 4 3 2" xfId="443" xr:uid="{00000000-0005-0000-0000-0000FA220000}"/>
    <cellStyle name="Comma 2 2 4 4 3 2 10" xfId="23722" xr:uid="{00000000-0005-0000-0000-0000FB220000}"/>
    <cellStyle name="Comma 2 2 4 4 3 2 11" xfId="44552" xr:uid="{00000000-0005-0000-0000-0000FC220000}"/>
    <cellStyle name="Comma 2 2 4 4 3 2 12" xfId="21274" xr:uid="{00000000-0005-0000-0000-0000FD220000}"/>
    <cellStyle name="Comma 2 2 4 4 3 2 2" xfId="1055" xr:uid="{00000000-0005-0000-0000-0000FE220000}"/>
    <cellStyle name="Comma 2 2 4 4 3 2 2 10" xfId="45164" xr:uid="{00000000-0005-0000-0000-0000FF220000}"/>
    <cellStyle name="Comma 2 2 4 4 3 2 2 11" xfId="21886" xr:uid="{00000000-0005-0000-0000-000000230000}"/>
    <cellStyle name="Comma 2 2 4 4 3 2 2 2" xfId="2279" xr:uid="{00000000-0005-0000-0000-000001230000}"/>
    <cellStyle name="Comma 2 2 4 4 3 2 2 2 10" xfId="23110" xr:uid="{00000000-0005-0000-0000-000002230000}"/>
    <cellStyle name="Comma 2 2 4 4 3 2 2 2 2" xfId="4727" xr:uid="{00000000-0005-0000-0000-000003230000}"/>
    <cellStyle name="Comma 2 2 4 4 3 2 2 2 2 2" xfId="20662" xr:uid="{00000000-0005-0000-0000-000004230000}"/>
    <cellStyle name="Comma 2 2 4 4 3 2 2 2 2 2 2" xfId="43940" xr:uid="{00000000-0005-0000-0000-000005230000}"/>
    <cellStyle name="Comma 2 2 4 4 3 2 2 2 2 3" xfId="48836" xr:uid="{00000000-0005-0000-0000-000006230000}"/>
    <cellStyle name="Comma 2 2 4 4 3 2 2 2 2 4" xfId="28006" xr:uid="{00000000-0005-0000-0000-000007230000}"/>
    <cellStyle name="Comma 2 2 4 4 3 2 2 2 3" xfId="7175" xr:uid="{00000000-0005-0000-0000-000008230000}"/>
    <cellStyle name="Comma 2 2 4 4 3 2 2 2 3 2" xfId="30454" xr:uid="{00000000-0005-0000-0000-000009230000}"/>
    <cellStyle name="Comma 2 2 4 4 3 2 2 2 4" xfId="9623" xr:uid="{00000000-0005-0000-0000-00000A230000}"/>
    <cellStyle name="Comma 2 2 4 4 3 2 2 2 4 2" xfId="32902" xr:uid="{00000000-0005-0000-0000-00000B230000}"/>
    <cellStyle name="Comma 2 2 4 4 3 2 2 2 5" xfId="12071" xr:uid="{00000000-0005-0000-0000-00000C230000}"/>
    <cellStyle name="Comma 2 2 4 4 3 2 2 2 5 2" xfId="35350" xr:uid="{00000000-0005-0000-0000-00000D230000}"/>
    <cellStyle name="Comma 2 2 4 4 3 2 2 2 6" xfId="14519" xr:uid="{00000000-0005-0000-0000-00000E230000}"/>
    <cellStyle name="Comma 2 2 4 4 3 2 2 2 6 2" xfId="37798" xr:uid="{00000000-0005-0000-0000-00000F230000}"/>
    <cellStyle name="Comma 2 2 4 4 3 2 2 2 7" xfId="18214" xr:uid="{00000000-0005-0000-0000-000010230000}"/>
    <cellStyle name="Comma 2 2 4 4 3 2 2 2 7 2" xfId="41492" xr:uid="{00000000-0005-0000-0000-000011230000}"/>
    <cellStyle name="Comma 2 2 4 4 3 2 2 2 8" xfId="25558" xr:uid="{00000000-0005-0000-0000-000012230000}"/>
    <cellStyle name="Comma 2 2 4 4 3 2 2 2 9" xfId="46388" xr:uid="{00000000-0005-0000-0000-000013230000}"/>
    <cellStyle name="Comma 2 2 4 4 3 2 2 3" xfId="3503" xr:uid="{00000000-0005-0000-0000-000014230000}"/>
    <cellStyle name="Comma 2 2 4 4 3 2 2 3 2" xfId="16990" xr:uid="{00000000-0005-0000-0000-000015230000}"/>
    <cellStyle name="Comma 2 2 4 4 3 2 2 3 2 2" xfId="40268" xr:uid="{00000000-0005-0000-0000-000016230000}"/>
    <cellStyle name="Comma 2 2 4 4 3 2 2 3 3" xfId="47612" xr:uid="{00000000-0005-0000-0000-000017230000}"/>
    <cellStyle name="Comma 2 2 4 4 3 2 2 3 4" xfId="26782" xr:uid="{00000000-0005-0000-0000-000018230000}"/>
    <cellStyle name="Comma 2 2 4 4 3 2 2 4" xfId="5951" xr:uid="{00000000-0005-0000-0000-000019230000}"/>
    <cellStyle name="Comma 2 2 4 4 3 2 2 4 2" xfId="19438" xr:uid="{00000000-0005-0000-0000-00001A230000}"/>
    <cellStyle name="Comma 2 2 4 4 3 2 2 4 2 2" xfId="42716" xr:uid="{00000000-0005-0000-0000-00001B230000}"/>
    <cellStyle name="Comma 2 2 4 4 3 2 2 4 3" xfId="29230" xr:uid="{00000000-0005-0000-0000-00001C230000}"/>
    <cellStyle name="Comma 2 2 4 4 3 2 2 5" xfId="8399" xr:uid="{00000000-0005-0000-0000-00001D230000}"/>
    <cellStyle name="Comma 2 2 4 4 3 2 2 5 2" xfId="31678" xr:uid="{00000000-0005-0000-0000-00001E230000}"/>
    <cellStyle name="Comma 2 2 4 4 3 2 2 6" xfId="10847" xr:uid="{00000000-0005-0000-0000-00001F230000}"/>
    <cellStyle name="Comma 2 2 4 4 3 2 2 6 2" xfId="34126" xr:uid="{00000000-0005-0000-0000-000020230000}"/>
    <cellStyle name="Comma 2 2 4 4 3 2 2 7" xfId="13295" xr:uid="{00000000-0005-0000-0000-000021230000}"/>
    <cellStyle name="Comma 2 2 4 4 3 2 2 7 2" xfId="36574" xr:uid="{00000000-0005-0000-0000-000022230000}"/>
    <cellStyle name="Comma 2 2 4 4 3 2 2 8" xfId="15766" xr:uid="{00000000-0005-0000-0000-000023230000}"/>
    <cellStyle name="Comma 2 2 4 4 3 2 2 8 2" xfId="39044" xr:uid="{00000000-0005-0000-0000-000024230000}"/>
    <cellStyle name="Comma 2 2 4 4 3 2 2 9" xfId="24334" xr:uid="{00000000-0005-0000-0000-000025230000}"/>
    <cellStyle name="Comma 2 2 4 4 3 2 3" xfId="1667" xr:uid="{00000000-0005-0000-0000-000026230000}"/>
    <cellStyle name="Comma 2 2 4 4 3 2 3 10" xfId="22498" xr:uid="{00000000-0005-0000-0000-000027230000}"/>
    <cellStyle name="Comma 2 2 4 4 3 2 3 2" xfId="4115" xr:uid="{00000000-0005-0000-0000-000028230000}"/>
    <cellStyle name="Comma 2 2 4 4 3 2 3 2 2" xfId="20050" xr:uid="{00000000-0005-0000-0000-000029230000}"/>
    <cellStyle name="Comma 2 2 4 4 3 2 3 2 2 2" xfId="43328" xr:uid="{00000000-0005-0000-0000-00002A230000}"/>
    <cellStyle name="Comma 2 2 4 4 3 2 3 2 3" xfId="48224" xr:uid="{00000000-0005-0000-0000-00002B230000}"/>
    <cellStyle name="Comma 2 2 4 4 3 2 3 2 4" xfId="27394" xr:uid="{00000000-0005-0000-0000-00002C230000}"/>
    <cellStyle name="Comma 2 2 4 4 3 2 3 3" xfId="6563" xr:uid="{00000000-0005-0000-0000-00002D230000}"/>
    <cellStyle name="Comma 2 2 4 4 3 2 3 3 2" xfId="29842" xr:uid="{00000000-0005-0000-0000-00002E230000}"/>
    <cellStyle name="Comma 2 2 4 4 3 2 3 4" xfId="9011" xr:uid="{00000000-0005-0000-0000-00002F230000}"/>
    <cellStyle name="Comma 2 2 4 4 3 2 3 4 2" xfId="32290" xr:uid="{00000000-0005-0000-0000-000030230000}"/>
    <cellStyle name="Comma 2 2 4 4 3 2 3 5" xfId="11459" xr:uid="{00000000-0005-0000-0000-000031230000}"/>
    <cellStyle name="Comma 2 2 4 4 3 2 3 5 2" xfId="34738" xr:uid="{00000000-0005-0000-0000-000032230000}"/>
    <cellStyle name="Comma 2 2 4 4 3 2 3 6" xfId="13907" xr:uid="{00000000-0005-0000-0000-000033230000}"/>
    <cellStyle name="Comma 2 2 4 4 3 2 3 6 2" xfId="37186" xr:uid="{00000000-0005-0000-0000-000034230000}"/>
    <cellStyle name="Comma 2 2 4 4 3 2 3 7" xfId="17602" xr:uid="{00000000-0005-0000-0000-000035230000}"/>
    <cellStyle name="Comma 2 2 4 4 3 2 3 7 2" xfId="40880" xr:uid="{00000000-0005-0000-0000-000036230000}"/>
    <cellStyle name="Comma 2 2 4 4 3 2 3 8" xfId="24946" xr:uid="{00000000-0005-0000-0000-000037230000}"/>
    <cellStyle name="Comma 2 2 4 4 3 2 3 9" xfId="45776" xr:uid="{00000000-0005-0000-0000-000038230000}"/>
    <cellStyle name="Comma 2 2 4 4 3 2 4" xfId="2891" xr:uid="{00000000-0005-0000-0000-000039230000}"/>
    <cellStyle name="Comma 2 2 4 4 3 2 4 2" xfId="16378" xr:uid="{00000000-0005-0000-0000-00003A230000}"/>
    <cellStyle name="Comma 2 2 4 4 3 2 4 2 2" xfId="39656" xr:uid="{00000000-0005-0000-0000-00003B230000}"/>
    <cellStyle name="Comma 2 2 4 4 3 2 4 3" xfId="47000" xr:uid="{00000000-0005-0000-0000-00003C230000}"/>
    <cellStyle name="Comma 2 2 4 4 3 2 4 4" xfId="26170" xr:uid="{00000000-0005-0000-0000-00003D230000}"/>
    <cellStyle name="Comma 2 2 4 4 3 2 5" xfId="5339" xr:uid="{00000000-0005-0000-0000-00003E230000}"/>
    <cellStyle name="Comma 2 2 4 4 3 2 5 2" xfId="18826" xr:uid="{00000000-0005-0000-0000-00003F230000}"/>
    <cellStyle name="Comma 2 2 4 4 3 2 5 2 2" xfId="42104" xr:uid="{00000000-0005-0000-0000-000040230000}"/>
    <cellStyle name="Comma 2 2 4 4 3 2 5 3" xfId="28618" xr:uid="{00000000-0005-0000-0000-000041230000}"/>
    <cellStyle name="Comma 2 2 4 4 3 2 6" xfId="7787" xr:uid="{00000000-0005-0000-0000-000042230000}"/>
    <cellStyle name="Comma 2 2 4 4 3 2 6 2" xfId="31066" xr:uid="{00000000-0005-0000-0000-000043230000}"/>
    <cellStyle name="Comma 2 2 4 4 3 2 7" xfId="10235" xr:uid="{00000000-0005-0000-0000-000044230000}"/>
    <cellStyle name="Comma 2 2 4 4 3 2 7 2" xfId="33514" xr:uid="{00000000-0005-0000-0000-000045230000}"/>
    <cellStyle name="Comma 2 2 4 4 3 2 8" xfId="12683" xr:uid="{00000000-0005-0000-0000-000046230000}"/>
    <cellStyle name="Comma 2 2 4 4 3 2 8 2" xfId="35962" xr:uid="{00000000-0005-0000-0000-000047230000}"/>
    <cellStyle name="Comma 2 2 4 4 3 2 9" xfId="15154" xr:uid="{00000000-0005-0000-0000-000048230000}"/>
    <cellStyle name="Comma 2 2 4 4 3 2 9 2" xfId="38432" xr:uid="{00000000-0005-0000-0000-000049230000}"/>
    <cellStyle name="Comma 2 2 4 4 3 3" xfId="647" xr:uid="{00000000-0005-0000-0000-00004A230000}"/>
    <cellStyle name="Comma 2 2 4 4 3 3 10" xfId="23926" xr:uid="{00000000-0005-0000-0000-00004B230000}"/>
    <cellStyle name="Comma 2 2 4 4 3 3 11" xfId="44756" xr:uid="{00000000-0005-0000-0000-00004C230000}"/>
    <cellStyle name="Comma 2 2 4 4 3 3 12" xfId="21478" xr:uid="{00000000-0005-0000-0000-00004D230000}"/>
    <cellStyle name="Comma 2 2 4 4 3 3 2" xfId="1259" xr:uid="{00000000-0005-0000-0000-00004E230000}"/>
    <cellStyle name="Comma 2 2 4 4 3 3 2 10" xfId="45368" xr:uid="{00000000-0005-0000-0000-00004F230000}"/>
    <cellStyle name="Comma 2 2 4 4 3 3 2 11" xfId="22090" xr:uid="{00000000-0005-0000-0000-000050230000}"/>
    <cellStyle name="Comma 2 2 4 4 3 3 2 2" xfId="2483" xr:uid="{00000000-0005-0000-0000-000051230000}"/>
    <cellStyle name="Comma 2 2 4 4 3 3 2 2 10" xfId="23314" xr:uid="{00000000-0005-0000-0000-000052230000}"/>
    <cellStyle name="Comma 2 2 4 4 3 3 2 2 2" xfId="4931" xr:uid="{00000000-0005-0000-0000-000053230000}"/>
    <cellStyle name="Comma 2 2 4 4 3 3 2 2 2 2" xfId="20866" xr:uid="{00000000-0005-0000-0000-000054230000}"/>
    <cellStyle name="Comma 2 2 4 4 3 3 2 2 2 2 2" xfId="44144" xr:uid="{00000000-0005-0000-0000-000055230000}"/>
    <cellStyle name="Comma 2 2 4 4 3 3 2 2 2 3" xfId="49040" xr:uid="{00000000-0005-0000-0000-000056230000}"/>
    <cellStyle name="Comma 2 2 4 4 3 3 2 2 2 4" xfId="28210" xr:uid="{00000000-0005-0000-0000-000057230000}"/>
    <cellStyle name="Comma 2 2 4 4 3 3 2 2 3" xfId="7379" xr:uid="{00000000-0005-0000-0000-000058230000}"/>
    <cellStyle name="Comma 2 2 4 4 3 3 2 2 3 2" xfId="30658" xr:uid="{00000000-0005-0000-0000-000059230000}"/>
    <cellStyle name="Comma 2 2 4 4 3 3 2 2 4" xfId="9827" xr:uid="{00000000-0005-0000-0000-00005A230000}"/>
    <cellStyle name="Comma 2 2 4 4 3 3 2 2 4 2" xfId="33106" xr:uid="{00000000-0005-0000-0000-00005B230000}"/>
    <cellStyle name="Comma 2 2 4 4 3 3 2 2 5" xfId="12275" xr:uid="{00000000-0005-0000-0000-00005C230000}"/>
    <cellStyle name="Comma 2 2 4 4 3 3 2 2 5 2" xfId="35554" xr:uid="{00000000-0005-0000-0000-00005D230000}"/>
    <cellStyle name="Comma 2 2 4 4 3 3 2 2 6" xfId="14723" xr:uid="{00000000-0005-0000-0000-00005E230000}"/>
    <cellStyle name="Comma 2 2 4 4 3 3 2 2 6 2" xfId="38002" xr:uid="{00000000-0005-0000-0000-00005F230000}"/>
    <cellStyle name="Comma 2 2 4 4 3 3 2 2 7" xfId="18418" xr:uid="{00000000-0005-0000-0000-000060230000}"/>
    <cellStyle name="Comma 2 2 4 4 3 3 2 2 7 2" xfId="41696" xr:uid="{00000000-0005-0000-0000-000061230000}"/>
    <cellStyle name="Comma 2 2 4 4 3 3 2 2 8" xfId="25762" xr:uid="{00000000-0005-0000-0000-000062230000}"/>
    <cellStyle name="Comma 2 2 4 4 3 3 2 2 9" xfId="46592" xr:uid="{00000000-0005-0000-0000-000063230000}"/>
    <cellStyle name="Comma 2 2 4 4 3 3 2 3" xfId="3707" xr:uid="{00000000-0005-0000-0000-000064230000}"/>
    <cellStyle name="Comma 2 2 4 4 3 3 2 3 2" xfId="17194" xr:uid="{00000000-0005-0000-0000-000065230000}"/>
    <cellStyle name="Comma 2 2 4 4 3 3 2 3 2 2" xfId="40472" xr:uid="{00000000-0005-0000-0000-000066230000}"/>
    <cellStyle name="Comma 2 2 4 4 3 3 2 3 3" xfId="47816" xr:uid="{00000000-0005-0000-0000-000067230000}"/>
    <cellStyle name="Comma 2 2 4 4 3 3 2 3 4" xfId="26986" xr:uid="{00000000-0005-0000-0000-000068230000}"/>
    <cellStyle name="Comma 2 2 4 4 3 3 2 4" xfId="6155" xr:uid="{00000000-0005-0000-0000-000069230000}"/>
    <cellStyle name="Comma 2 2 4 4 3 3 2 4 2" xfId="19642" xr:uid="{00000000-0005-0000-0000-00006A230000}"/>
    <cellStyle name="Comma 2 2 4 4 3 3 2 4 2 2" xfId="42920" xr:uid="{00000000-0005-0000-0000-00006B230000}"/>
    <cellStyle name="Comma 2 2 4 4 3 3 2 4 3" xfId="29434" xr:uid="{00000000-0005-0000-0000-00006C230000}"/>
    <cellStyle name="Comma 2 2 4 4 3 3 2 5" xfId="8603" xr:uid="{00000000-0005-0000-0000-00006D230000}"/>
    <cellStyle name="Comma 2 2 4 4 3 3 2 5 2" xfId="31882" xr:uid="{00000000-0005-0000-0000-00006E230000}"/>
    <cellStyle name="Comma 2 2 4 4 3 3 2 6" xfId="11051" xr:uid="{00000000-0005-0000-0000-00006F230000}"/>
    <cellStyle name="Comma 2 2 4 4 3 3 2 6 2" xfId="34330" xr:uid="{00000000-0005-0000-0000-000070230000}"/>
    <cellStyle name="Comma 2 2 4 4 3 3 2 7" xfId="13499" xr:uid="{00000000-0005-0000-0000-000071230000}"/>
    <cellStyle name="Comma 2 2 4 4 3 3 2 7 2" xfId="36778" xr:uid="{00000000-0005-0000-0000-000072230000}"/>
    <cellStyle name="Comma 2 2 4 4 3 3 2 8" xfId="15970" xr:uid="{00000000-0005-0000-0000-000073230000}"/>
    <cellStyle name="Comma 2 2 4 4 3 3 2 8 2" xfId="39248" xr:uid="{00000000-0005-0000-0000-000074230000}"/>
    <cellStyle name="Comma 2 2 4 4 3 3 2 9" xfId="24538" xr:uid="{00000000-0005-0000-0000-000075230000}"/>
    <cellStyle name="Comma 2 2 4 4 3 3 3" xfId="1871" xr:uid="{00000000-0005-0000-0000-000076230000}"/>
    <cellStyle name="Comma 2 2 4 4 3 3 3 10" xfId="22702" xr:uid="{00000000-0005-0000-0000-000077230000}"/>
    <cellStyle name="Comma 2 2 4 4 3 3 3 2" xfId="4319" xr:uid="{00000000-0005-0000-0000-000078230000}"/>
    <cellStyle name="Comma 2 2 4 4 3 3 3 2 2" xfId="20254" xr:uid="{00000000-0005-0000-0000-000079230000}"/>
    <cellStyle name="Comma 2 2 4 4 3 3 3 2 2 2" xfId="43532" xr:uid="{00000000-0005-0000-0000-00007A230000}"/>
    <cellStyle name="Comma 2 2 4 4 3 3 3 2 3" xfId="48428" xr:uid="{00000000-0005-0000-0000-00007B230000}"/>
    <cellStyle name="Comma 2 2 4 4 3 3 3 2 4" xfId="27598" xr:uid="{00000000-0005-0000-0000-00007C230000}"/>
    <cellStyle name="Comma 2 2 4 4 3 3 3 3" xfId="6767" xr:uid="{00000000-0005-0000-0000-00007D230000}"/>
    <cellStyle name="Comma 2 2 4 4 3 3 3 3 2" xfId="30046" xr:uid="{00000000-0005-0000-0000-00007E230000}"/>
    <cellStyle name="Comma 2 2 4 4 3 3 3 4" xfId="9215" xr:uid="{00000000-0005-0000-0000-00007F230000}"/>
    <cellStyle name="Comma 2 2 4 4 3 3 3 4 2" xfId="32494" xr:uid="{00000000-0005-0000-0000-000080230000}"/>
    <cellStyle name="Comma 2 2 4 4 3 3 3 5" xfId="11663" xr:uid="{00000000-0005-0000-0000-000081230000}"/>
    <cellStyle name="Comma 2 2 4 4 3 3 3 5 2" xfId="34942" xr:uid="{00000000-0005-0000-0000-000082230000}"/>
    <cellStyle name="Comma 2 2 4 4 3 3 3 6" xfId="14111" xr:uid="{00000000-0005-0000-0000-000083230000}"/>
    <cellStyle name="Comma 2 2 4 4 3 3 3 6 2" xfId="37390" xr:uid="{00000000-0005-0000-0000-000084230000}"/>
    <cellStyle name="Comma 2 2 4 4 3 3 3 7" xfId="17806" xr:uid="{00000000-0005-0000-0000-000085230000}"/>
    <cellStyle name="Comma 2 2 4 4 3 3 3 7 2" xfId="41084" xr:uid="{00000000-0005-0000-0000-000086230000}"/>
    <cellStyle name="Comma 2 2 4 4 3 3 3 8" xfId="25150" xr:uid="{00000000-0005-0000-0000-000087230000}"/>
    <cellStyle name="Comma 2 2 4 4 3 3 3 9" xfId="45980" xr:uid="{00000000-0005-0000-0000-000088230000}"/>
    <cellStyle name="Comma 2 2 4 4 3 3 4" xfId="3095" xr:uid="{00000000-0005-0000-0000-000089230000}"/>
    <cellStyle name="Comma 2 2 4 4 3 3 4 2" xfId="16582" xr:uid="{00000000-0005-0000-0000-00008A230000}"/>
    <cellStyle name="Comma 2 2 4 4 3 3 4 2 2" xfId="39860" xr:uid="{00000000-0005-0000-0000-00008B230000}"/>
    <cellStyle name="Comma 2 2 4 4 3 3 4 3" xfId="47204" xr:uid="{00000000-0005-0000-0000-00008C230000}"/>
    <cellStyle name="Comma 2 2 4 4 3 3 4 4" xfId="26374" xr:uid="{00000000-0005-0000-0000-00008D230000}"/>
    <cellStyle name="Comma 2 2 4 4 3 3 5" xfId="5543" xr:uid="{00000000-0005-0000-0000-00008E230000}"/>
    <cellStyle name="Comma 2 2 4 4 3 3 5 2" xfId="19030" xr:uid="{00000000-0005-0000-0000-00008F230000}"/>
    <cellStyle name="Comma 2 2 4 4 3 3 5 2 2" xfId="42308" xr:uid="{00000000-0005-0000-0000-000090230000}"/>
    <cellStyle name="Comma 2 2 4 4 3 3 5 3" xfId="28822" xr:uid="{00000000-0005-0000-0000-000091230000}"/>
    <cellStyle name="Comma 2 2 4 4 3 3 6" xfId="7991" xr:uid="{00000000-0005-0000-0000-000092230000}"/>
    <cellStyle name="Comma 2 2 4 4 3 3 6 2" xfId="31270" xr:uid="{00000000-0005-0000-0000-000093230000}"/>
    <cellStyle name="Comma 2 2 4 4 3 3 7" xfId="10439" xr:uid="{00000000-0005-0000-0000-000094230000}"/>
    <cellStyle name="Comma 2 2 4 4 3 3 7 2" xfId="33718" xr:uid="{00000000-0005-0000-0000-000095230000}"/>
    <cellStyle name="Comma 2 2 4 4 3 3 8" xfId="12887" xr:uid="{00000000-0005-0000-0000-000096230000}"/>
    <cellStyle name="Comma 2 2 4 4 3 3 8 2" xfId="36166" xr:uid="{00000000-0005-0000-0000-000097230000}"/>
    <cellStyle name="Comma 2 2 4 4 3 3 9" xfId="15358" xr:uid="{00000000-0005-0000-0000-000098230000}"/>
    <cellStyle name="Comma 2 2 4 4 3 3 9 2" xfId="38636" xr:uid="{00000000-0005-0000-0000-000099230000}"/>
    <cellStyle name="Comma 2 2 4 4 3 4" xfId="851" xr:uid="{00000000-0005-0000-0000-00009A230000}"/>
    <cellStyle name="Comma 2 2 4 4 3 4 10" xfId="44960" xr:uid="{00000000-0005-0000-0000-00009B230000}"/>
    <cellStyle name="Comma 2 2 4 4 3 4 11" xfId="21682" xr:uid="{00000000-0005-0000-0000-00009C230000}"/>
    <cellStyle name="Comma 2 2 4 4 3 4 2" xfId="2075" xr:uid="{00000000-0005-0000-0000-00009D230000}"/>
    <cellStyle name="Comma 2 2 4 4 3 4 2 10" xfId="22906" xr:uid="{00000000-0005-0000-0000-00009E230000}"/>
    <cellStyle name="Comma 2 2 4 4 3 4 2 2" xfId="4523" xr:uid="{00000000-0005-0000-0000-00009F230000}"/>
    <cellStyle name="Comma 2 2 4 4 3 4 2 2 2" xfId="20458" xr:uid="{00000000-0005-0000-0000-0000A0230000}"/>
    <cellStyle name="Comma 2 2 4 4 3 4 2 2 2 2" xfId="43736" xr:uid="{00000000-0005-0000-0000-0000A1230000}"/>
    <cellStyle name="Comma 2 2 4 4 3 4 2 2 3" xfId="48632" xr:uid="{00000000-0005-0000-0000-0000A2230000}"/>
    <cellStyle name="Comma 2 2 4 4 3 4 2 2 4" xfId="27802" xr:uid="{00000000-0005-0000-0000-0000A3230000}"/>
    <cellStyle name="Comma 2 2 4 4 3 4 2 3" xfId="6971" xr:uid="{00000000-0005-0000-0000-0000A4230000}"/>
    <cellStyle name="Comma 2 2 4 4 3 4 2 3 2" xfId="30250" xr:uid="{00000000-0005-0000-0000-0000A5230000}"/>
    <cellStyle name="Comma 2 2 4 4 3 4 2 4" xfId="9419" xr:uid="{00000000-0005-0000-0000-0000A6230000}"/>
    <cellStyle name="Comma 2 2 4 4 3 4 2 4 2" xfId="32698" xr:uid="{00000000-0005-0000-0000-0000A7230000}"/>
    <cellStyle name="Comma 2 2 4 4 3 4 2 5" xfId="11867" xr:uid="{00000000-0005-0000-0000-0000A8230000}"/>
    <cellStyle name="Comma 2 2 4 4 3 4 2 5 2" xfId="35146" xr:uid="{00000000-0005-0000-0000-0000A9230000}"/>
    <cellStyle name="Comma 2 2 4 4 3 4 2 6" xfId="14315" xr:uid="{00000000-0005-0000-0000-0000AA230000}"/>
    <cellStyle name="Comma 2 2 4 4 3 4 2 6 2" xfId="37594" xr:uid="{00000000-0005-0000-0000-0000AB230000}"/>
    <cellStyle name="Comma 2 2 4 4 3 4 2 7" xfId="18010" xr:uid="{00000000-0005-0000-0000-0000AC230000}"/>
    <cellStyle name="Comma 2 2 4 4 3 4 2 7 2" xfId="41288" xr:uid="{00000000-0005-0000-0000-0000AD230000}"/>
    <cellStyle name="Comma 2 2 4 4 3 4 2 8" xfId="25354" xr:uid="{00000000-0005-0000-0000-0000AE230000}"/>
    <cellStyle name="Comma 2 2 4 4 3 4 2 9" xfId="46184" xr:uid="{00000000-0005-0000-0000-0000AF230000}"/>
    <cellStyle name="Comma 2 2 4 4 3 4 3" xfId="3299" xr:uid="{00000000-0005-0000-0000-0000B0230000}"/>
    <cellStyle name="Comma 2 2 4 4 3 4 3 2" xfId="16786" xr:uid="{00000000-0005-0000-0000-0000B1230000}"/>
    <cellStyle name="Comma 2 2 4 4 3 4 3 2 2" xfId="40064" xr:uid="{00000000-0005-0000-0000-0000B2230000}"/>
    <cellStyle name="Comma 2 2 4 4 3 4 3 3" xfId="47408" xr:uid="{00000000-0005-0000-0000-0000B3230000}"/>
    <cellStyle name="Comma 2 2 4 4 3 4 3 4" xfId="26578" xr:uid="{00000000-0005-0000-0000-0000B4230000}"/>
    <cellStyle name="Comma 2 2 4 4 3 4 4" xfId="5747" xr:uid="{00000000-0005-0000-0000-0000B5230000}"/>
    <cellStyle name="Comma 2 2 4 4 3 4 4 2" xfId="19234" xr:uid="{00000000-0005-0000-0000-0000B6230000}"/>
    <cellStyle name="Comma 2 2 4 4 3 4 4 2 2" xfId="42512" xr:uid="{00000000-0005-0000-0000-0000B7230000}"/>
    <cellStyle name="Comma 2 2 4 4 3 4 4 3" xfId="29026" xr:uid="{00000000-0005-0000-0000-0000B8230000}"/>
    <cellStyle name="Comma 2 2 4 4 3 4 5" xfId="8195" xr:uid="{00000000-0005-0000-0000-0000B9230000}"/>
    <cellStyle name="Comma 2 2 4 4 3 4 5 2" xfId="31474" xr:uid="{00000000-0005-0000-0000-0000BA230000}"/>
    <cellStyle name="Comma 2 2 4 4 3 4 6" xfId="10643" xr:uid="{00000000-0005-0000-0000-0000BB230000}"/>
    <cellStyle name="Comma 2 2 4 4 3 4 6 2" xfId="33922" xr:uid="{00000000-0005-0000-0000-0000BC230000}"/>
    <cellStyle name="Comma 2 2 4 4 3 4 7" xfId="13091" xr:uid="{00000000-0005-0000-0000-0000BD230000}"/>
    <cellStyle name="Comma 2 2 4 4 3 4 7 2" xfId="36370" xr:uid="{00000000-0005-0000-0000-0000BE230000}"/>
    <cellStyle name="Comma 2 2 4 4 3 4 8" xfId="15562" xr:uid="{00000000-0005-0000-0000-0000BF230000}"/>
    <cellStyle name="Comma 2 2 4 4 3 4 8 2" xfId="38840" xr:uid="{00000000-0005-0000-0000-0000C0230000}"/>
    <cellStyle name="Comma 2 2 4 4 3 4 9" xfId="24130" xr:uid="{00000000-0005-0000-0000-0000C1230000}"/>
    <cellStyle name="Comma 2 2 4 4 3 5" xfId="1463" xr:uid="{00000000-0005-0000-0000-0000C2230000}"/>
    <cellStyle name="Comma 2 2 4 4 3 5 10" xfId="22294" xr:uid="{00000000-0005-0000-0000-0000C3230000}"/>
    <cellStyle name="Comma 2 2 4 4 3 5 2" xfId="3911" xr:uid="{00000000-0005-0000-0000-0000C4230000}"/>
    <cellStyle name="Comma 2 2 4 4 3 5 2 2" xfId="19846" xr:uid="{00000000-0005-0000-0000-0000C5230000}"/>
    <cellStyle name="Comma 2 2 4 4 3 5 2 2 2" xfId="43124" xr:uid="{00000000-0005-0000-0000-0000C6230000}"/>
    <cellStyle name="Comma 2 2 4 4 3 5 2 3" xfId="48020" xr:uid="{00000000-0005-0000-0000-0000C7230000}"/>
    <cellStyle name="Comma 2 2 4 4 3 5 2 4" xfId="27190" xr:uid="{00000000-0005-0000-0000-0000C8230000}"/>
    <cellStyle name="Comma 2 2 4 4 3 5 3" xfId="6359" xr:uid="{00000000-0005-0000-0000-0000C9230000}"/>
    <cellStyle name="Comma 2 2 4 4 3 5 3 2" xfId="29638" xr:uid="{00000000-0005-0000-0000-0000CA230000}"/>
    <cellStyle name="Comma 2 2 4 4 3 5 4" xfId="8807" xr:uid="{00000000-0005-0000-0000-0000CB230000}"/>
    <cellStyle name="Comma 2 2 4 4 3 5 4 2" xfId="32086" xr:uid="{00000000-0005-0000-0000-0000CC230000}"/>
    <cellStyle name="Comma 2 2 4 4 3 5 5" xfId="11255" xr:uid="{00000000-0005-0000-0000-0000CD230000}"/>
    <cellStyle name="Comma 2 2 4 4 3 5 5 2" xfId="34534" xr:uid="{00000000-0005-0000-0000-0000CE230000}"/>
    <cellStyle name="Comma 2 2 4 4 3 5 6" xfId="13703" xr:uid="{00000000-0005-0000-0000-0000CF230000}"/>
    <cellStyle name="Comma 2 2 4 4 3 5 6 2" xfId="36982" xr:uid="{00000000-0005-0000-0000-0000D0230000}"/>
    <cellStyle name="Comma 2 2 4 4 3 5 7" xfId="17398" xr:uid="{00000000-0005-0000-0000-0000D1230000}"/>
    <cellStyle name="Comma 2 2 4 4 3 5 7 2" xfId="40676" xr:uid="{00000000-0005-0000-0000-0000D2230000}"/>
    <cellStyle name="Comma 2 2 4 4 3 5 8" xfId="24742" xr:uid="{00000000-0005-0000-0000-0000D3230000}"/>
    <cellStyle name="Comma 2 2 4 4 3 5 9" xfId="45572" xr:uid="{00000000-0005-0000-0000-0000D4230000}"/>
    <cellStyle name="Comma 2 2 4 4 3 6" xfId="2687" xr:uid="{00000000-0005-0000-0000-0000D5230000}"/>
    <cellStyle name="Comma 2 2 4 4 3 6 2" xfId="16174" xr:uid="{00000000-0005-0000-0000-0000D6230000}"/>
    <cellStyle name="Comma 2 2 4 4 3 6 2 2" xfId="39452" xr:uid="{00000000-0005-0000-0000-0000D7230000}"/>
    <cellStyle name="Comma 2 2 4 4 3 6 3" xfId="46796" xr:uid="{00000000-0005-0000-0000-0000D8230000}"/>
    <cellStyle name="Comma 2 2 4 4 3 6 4" xfId="25966" xr:uid="{00000000-0005-0000-0000-0000D9230000}"/>
    <cellStyle name="Comma 2 2 4 4 3 7" xfId="5135" xr:uid="{00000000-0005-0000-0000-0000DA230000}"/>
    <cellStyle name="Comma 2 2 4 4 3 7 2" xfId="18622" xr:uid="{00000000-0005-0000-0000-0000DB230000}"/>
    <cellStyle name="Comma 2 2 4 4 3 7 2 2" xfId="41900" xr:uid="{00000000-0005-0000-0000-0000DC230000}"/>
    <cellStyle name="Comma 2 2 4 4 3 7 3" xfId="28414" xr:uid="{00000000-0005-0000-0000-0000DD230000}"/>
    <cellStyle name="Comma 2 2 4 4 3 8" xfId="7583" xr:uid="{00000000-0005-0000-0000-0000DE230000}"/>
    <cellStyle name="Comma 2 2 4 4 3 8 2" xfId="30862" xr:uid="{00000000-0005-0000-0000-0000DF230000}"/>
    <cellStyle name="Comma 2 2 4 4 3 9" xfId="10031" xr:uid="{00000000-0005-0000-0000-0000E0230000}"/>
    <cellStyle name="Comma 2 2 4 4 3 9 2" xfId="33310" xr:uid="{00000000-0005-0000-0000-0000E1230000}"/>
    <cellStyle name="Comma 2 2 4 4 4" xfId="307" xr:uid="{00000000-0005-0000-0000-0000E2230000}"/>
    <cellStyle name="Comma 2 2 4 4 4 10" xfId="23586" xr:uid="{00000000-0005-0000-0000-0000E3230000}"/>
    <cellStyle name="Comma 2 2 4 4 4 11" xfId="44416" xr:uid="{00000000-0005-0000-0000-0000E4230000}"/>
    <cellStyle name="Comma 2 2 4 4 4 12" xfId="21138" xr:uid="{00000000-0005-0000-0000-0000E5230000}"/>
    <cellStyle name="Comma 2 2 4 4 4 2" xfId="919" xr:uid="{00000000-0005-0000-0000-0000E6230000}"/>
    <cellStyle name="Comma 2 2 4 4 4 2 10" xfId="45028" xr:uid="{00000000-0005-0000-0000-0000E7230000}"/>
    <cellStyle name="Comma 2 2 4 4 4 2 11" xfId="21750" xr:uid="{00000000-0005-0000-0000-0000E8230000}"/>
    <cellStyle name="Comma 2 2 4 4 4 2 2" xfId="2143" xr:uid="{00000000-0005-0000-0000-0000E9230000}"/>
    <cellStyle name="Comma 2 2 4 4 4 2 2 10" xfId="22974" xr:uid="{00000000-0005-0000-0000-0000EA230000}"/>
    <cellStyle name="Comma 2 2 4 4 4 2 2 2" xfId="4591" xr:uid="{00000000-0005-0000-0000-0000EB230000}"/>
    <cellStyle name="Comma 2 2 4 4 4 2 2 2 2" xfId="20526" xr:uid="{00000000-0005-0000-0000-0000EC230000}"/>
    <cellStyle name="Comma 2 2 4 4 4 2 2 2 2 2" xfId="43804" xr:uid="{00000000-0005-0000-0000-0000ED230000}"/>
    <cellStyle name="Comma 2 2 4 4 4 2 2 2 3" xfId="48700" xr:uid="{00000000-0005-0000-0000-0000EE230000}"/>
    <cellStyle name="Comma 2 2 4 4 4 2 2 2 4" xfId="27870" xr:uid="{00000000-0005-0000-0000-0000EF230000}"/>
    <cellStyle name="Comma 2 2 4 4 4 2 2 3" xfId="7039" xr:uid="{00000000-0005-0000-0000-0000F0230000}"/>
    <cellStyle name="Comma 2 2 4 4 4 2 2 3 2" xfId="30318" xr:uid="{00000000-0005-0000-0000-0000F1230000}"/>
    <cellStyle name="Comma 2 2 4 4 4 2 2 4" xfId="9487" xr:uid="{00000000-0005-0000-0000-0000F2230000}"/>
    <cellStyle name="Comma 2 2 4 4 4 2 2 4 2" xfId="32766" xr:uid="{00000000-0005-0000-0000-0000F3230000}"/>
    <cellStyle name="Comma 2 2 4 4 4 2 2 5" xfId="11935" xr:uid="{00000000-0005-0000-0000-0000F4230000}"/>
    <cellStyle name="Comma 2 2 4 4 4 2 2 5 2" xfId="35214" xr:uid="{00000000-0005-0000-0000-0000F5230000}"/>
    <cellStyle name="Comma 2 2 4 4 4 2 2 6" xfId="14383" xr:uid="{00000000-0005-0000-0000-0000F6230000}"/>
    <cellStyle name="Comma 2 2 4 4 4 2 2 6 2" xfId="37662" xr:uid="{00000000-0005-0000-0000-0000F7230000}"/>
    <cellStyle name="Comma 2 2 4 4 4 2 2 7" xfId="18078" xr:uid="{00000000-0005-0000-0000-0000F8230000}"/>
    <cellStyle name="Comma 2 2 4 4 4 2 2 7 2" xfId="41356" xr:uid="{00000000-0005-0000-0000-0000F9230000}"/>
    <cellStyle name="Comma 2 2 4 4 4 2 2 8" xfId="25422" xr:uid="{00000000-0005-0000-0000-0000FA230000}"/>
    <cellStyle name="Comma 2 2 4 4 4 2 2 9" xfId="46252" xr:uid="{00000000-0005-0000-0000-0000FB230000}"/>
    <cellStyle name="Comma 2 2 4 4 4 2 3" xfId="3367" xr:uid="{00000000-0005-0000-0000-0000FC230000}"/>
    <cellStyle name="Comma 2 2 4 4 4 2 3 2" xfId="16854" xr:uid="{00000000-0005-0000-0000-0000FD230000}"/>
    <cellStyle name="Comma 2 2 4 4 4 2 3 2 2" xfId="40132" xr:uid="{00000000-0005-0000-0000-0000FE230000}"/>
    <cellStyle name="Comma 2 2 4 4 4 2 3 3" xfId="47476" xr:uid="{00000000-0005-0000-0000-0000FF230000}"/>
    <cellStyle name="Comma 2 2 4 4 4 2 3 4" xfId="26646" xr:uid="{00000000-0005-0000-0000-000000240000}"/>
    <cellStyle name="Comma 2 2 4 4 4 2 4" xfId="5815" xr:uid="{00000000-0005-0000-0000-000001240000}"/>
    <cellStyle name="Comma 2 2 4 4 4 2 4 2" xfId="19302" xr:uid="{00000000-0005-0000-0000-000002240000}"/>
    <cellStyle name="Comma 2 2 4 4 4 2 4 2 2" xfId="42580" xr:uid="{00000000-0005-0000-0000-000003240000}"/>
    <cellStyle name="Comma 2 2 4 4 4 2 4 3" xfId="29094" xr:uid="{00000000-0005-0000-0000-000004240000}"/>
    <cellStyle name="Comma 2 2 4 4 4 2 5" xfId="8263" xr:uid="{00000000-0005-0000-0000-000005240000}"/>
    <cellStyle name="Comma 2 2 4 4 4 2 5 2" xfId="31542" xr:uid="{00000000-0005-0000-0000-000006240000}"/>
    <cellStyle name="Comma 2 2 4 4 4 2 6" xfId="10711" xr:uid="{00000000-0005-0000-0000-000007240000}"/>
    <cellStyle name="Comma 2 2 4 4 4 2 6 2" xfId="33990" xr:uid="{00000000-0005-0000-0000-000008240000}"/>
    <cellStyle name="Comma 2 2 4 4 4 2 7" xfId="13159" xr:uid="{00000000-0005-0000-0000-000009240000}"/>
    <cellStyle name="Comma 2 2 4 4 4 2 7 2" xfId="36438" xr:uid="{00000000-0005-0000-0000-00000A240000}"/>
    <cellStyle name="Comma 2 2 4 4 4 2 8" xfId="15630" xr:uid="{00000000-0005-0000-0000-00000B240000}"/>
    <cellStyle name="Comma 2 2 4 4 4 2 8 2" xfId="38908" xr:uid="{00000000-0005-0000-0000-00000C240000}"/>
    <cellStyle name="Comma 2 2 4 4 4 2 9" xfId="24198" xr:uid="{00000000-0005-0000-0000-00000D240000}"/>
    <cellStyle name="Comma 2 2 4 4 4 3" xfId="1531" xr:uid="{00000000-0005-0000-0000-00000E240000}"/>
    <cellStyle name="Comma 2 2 4 4 4 3 10" xfId="22362" xr:uid="{00000000-0005-0000-0000-00000F240000}"/>
    <cellStyle name="Comma 2 2 4 4 4 3 2" xfId="3979" xr:uid="{00000000-0005-0000-0000-000010240000}"/>
    <cellStyle name="Comma 2 2 4 4 4 3 2 2" xfId="19914" xr:uid="{00000000-0005-0000-0000-000011240000}"/>
    <cellStyle name="Comma 2 2 4 4 4 3 2 2 2" xfId="43192" xr:uid="{00000000-0005-0000-0000-000012240000}"/>
    <cellStyle name="Comma 2 2 4 4 4 3 2 3" xfId="48088" xr:uid="{00000000-0005-0000-0000-000013240000}"/>
    <cellStyle name="Comma 2 2 4 4 4 3 2 4" xfId="27258" xr:uid="{00000000-0005-0000-0000-000014240000}"/>
    <cellStyle name="Comma 2 2 4 4 4 3 3" xfId="6427" xr:uid="{00000000-0005-0000-0000-000015240000}"/>
    <cellStyle name="Comma 2 2 4 4 4 3 3 2" xfId="29706" xr:uid="{00000000-0005-0000-0000-000016240000}"/>
    <cellStyle name="Comma 2 2 4 4 4 3 4" xfId="8875" xr:uid="{00000000-0005-0000-0000-000017240000}"/>
    <cellStyle name="Comma 2 2 4 4 4 3 4 2" xfId="32154" xr:uid="{00000000-0005-0000-0000-000018240000}"/>
    <cellStyle name="Comma 2 2 4 4 4 3 5" xfId="11323" xr:uid="{00000000-0005-0000-0000-000019240000}"/>
    <cellStyle name="Comma 2 2 4 4 4 3 5 2" xfId="34602" xr:uid="{00000000-0005-0000-0000-00001A240000}"/>
    <cellStyle name="Comma 2 2 4 4 4 3 6" xfId="13771" xr:uid="{00000000-0005-0000-0000-00001B240000}"/>
    <cellStyle name="Comma 2 2 4 4 4 3 6 2" xfId="37050" xr:uid="{00000000-0005-0000-0000-00001C240000}"/>
    <cellStyle name="Comma 2 2 4 4 4 3 7" xfId="17466" xr:uid="{00000000-0005-0000-0000-00001D240000}"/>
    <cellStyle name="Comma 2 2 4 4 4 3 7 2" xfId="40744" xr:uid="{00000000-0005-0000-0000-00001E240000}"/>
    <cellStyle name="Comma 2 2 4 4 4 3 8" xfId="24810" xr:uid="{00000000-0005-0000-0000-00001F240000}"/>
    <cellStyle name="Comma 2 2 4 4 4 3 9" xfId="45640" xr:uid="{00000000-0005-0000-0000-000020240000}"/>
    <cellStyle name="Comma 2 2 4 4 4 4" xfId="2755" xr:uid="{00000000-0005-0000-0000-000021240000}"/>
    <cellStyle name="Comma 2 2 4 4 4 4 2" xfId="16242" xr:uid="{00000000-0005-0000-0000-000022240000}"/>
    <cellStyle name="Comma 2 2 4 4 4 4 2 2" xfId="39520" xr:uid="{00000000-0005-0000-0000-000023240000}"/>
    <cellStyle name="Comma 2 2 4 4 4 4 3" xfId="46864" xr:uid="{00000000-0005-0000-0000-000024240000}"/>
    <cellStyle name="Comma 2 2 4 4 4 4 4" xfId="26034" xr:uid="{00000000-0005-0000-0000-000025240000}"/>
    <cellStyle name="Comma 2 2 4 4 4 5" xfId="5203" xr:uid="{00000000-0005-0000-0000-000026240000}"/>
    <cellStyle name="Comma 2 2 4 4 4 5 2" xfId="18690" xr:uid="{00000000-0005-0000-0000-000027240000}"/>
    <cellStyle name="Comma 2 2 4 4 4 5 2 2" xfId="41968" xr:uid="{00000000-0005-0000-0000-000028240000}"/>
    <cellStyle name="Comma 2 2 4 4 4 5 3" xfId="28482" xr:uid="{00000000-0005-0000-0000-000029240000}"/>
    <cellStyle name="Comma 2 2 4 4 4 6" xfId="7651" xr:uid="{00000000-0005-0000-0000-00002A240000}"/>
    <cellStyle name="Comma 2 2 4 4 4 6 2" xfId="30930" xr:uid="{00000000-0005-0000-0000-00002B240000}"/>
    <cellStyle name="Comma 2 2 4 4 4 7" xfId="10099" xr:uid="{00000000-0005-0000-0000-00002C240000}"/>
    <cellStyle name="Comma 2 2 4 4 4 7 2" xfId="33378" xr:uid="{00000000-0005-0000-0000-00002D240000}"/>
    <cellStyle name="Comma 2 2 4 4 4 8" xfId="12547" xr:uid="{00000000-0005-0000-0000-00002E240000}"/>
    <cellStyle name="Comma 2 2 4 4 4 8 2" xfId="35826" xr:uid="{00000000-0005-0000-0000-00002F240000}"/>
    <cellStyle name="Comma 2 2 4 4 4 9" xfId="15018" xr:uid="{00000000-0005-0000-0000-000030240000}"/>
    <cellStyle name="Comma 2 2 4 4 4 9 2" xfId="38296" xr:uid="{00000000-0005-0000-0000-000031240000}"/>
    <cellStyle name="Comma 2 2 4 4 5" xfId="511" xr:uid="{00000000-0005-0000-0000-000032240000}"/>
    <cellStyle name="Comma 2 2 4 4 5 10" xfId="23790" xr:uid="{00000000-0005-0000-0000-000033240000}"/>
    <cellStyle name="Comma 2 2 4 4 5 11" xfId="44620" xr:uid="{00000000-0005-0000-0000-000034240000}"/>
    <cellStyle name="Comma 2 2 4 4 5 12" xfId="21342" xr:uid="{00000000-0005-0000-0000-000035240000}"/>
    <cellStyle name="Comma 2 2 4 4 5 2" xfId="1123" xr:uid="{00000000-0005-0000-0000-000036240000}"/>
    <cellStyle name="Comma 2 2 4 4 5 2 10" xfId="45232" xr:uid="{00000000-0005-0000-0000-000037240000}"/>
    <cellStyle name="Comma 2 2 4 4 5 2 11" xfId="21954" xr:uid="{00000000-0005-0000-0000-000038240000}"/>
    <cellStyle name="Comma 2 2 4 4 5 2 2" xfId="2347" xr:uid="{00000000-0005-0000-0000-000039240000}"/>
    <cellStyle name="Comma 2 2 4 4 5 2 2 10" xfId="23178" xr:uid="{00000000-0005-0000-0000-00003A240000}"/>
    <cellStyle name="Comma 2 2 4 4 5 2 2 2" xfId="4795" xr:uid="{00000000-0005-0000-0000-00003B240000}"/>
    <cellStyle name="Comma 2 2 4 4 5 2 2 2 2" xfId="20730" xr:uid="{00000000-0005-0000-0000-00003C240000}"/>
    <cellStyle name="Comma 2 2 4 4 5 2 2 2 2 2" xfId="44008" xr:uid="{00000000-0005-0000-0000-00003D240000}"/>
    <cellStyle name="Comma 2 2 4 4 5 2 2 2 3" xfId="48904" xr:uid="{00000000-0005-0000-0000-00003E240000}"/>
    <cellStyle name="Comma 2 2 4 4 5 2 2 2 4" xfId="28074" xr:uid="{00000000-0005-0000-0000-00003F240000}"/>
    <cellStyle name="Comma 2 2 4 4 5 2 2 3" xfId="7243" xr:uid="{00000000-0005-0000-0000-000040240000}"/>
    <cellStyle name="Comma 2 2 4 4 5 2 2 3 2" xfId="30522" xr:uid="{00000000-0005-0000-0000-000041240000}"/>
    <cellStyle name="Comma 2 2 4 4 5 2 2 4" xfId="9691" xr:uid="{00000000-0005-0000-0000-000042240000}"/>
    <cellStyle name="Comma 2 2 4 4 5 2 2 4 2" xfId="32970" xr:uid="{00000000-0005-0000-0000-000043240000}"/>
    <cellStyle name="Comma 2 2 4 4 5 2 2 5" xfId="12139" xr:uid="{00000000-0005-0000-0000-000044240000}"/>
    <cellStyle name="Comma 2 2 4 4 5 2 2 5 2" xfId="35418" xr:uid="{00000000-0005-0000-0000-000045240000}"/>
    <cellStyle name="Comma 2 2 4 4 5 2 2 6" xfId="14587" xr:uid="{00000000-0005-0000-0000-000046240000}"/>
    <cellStyle name="Comma 2 2 4 4 5 2 2 6 2" xfId="37866" xr:uid="{00000000-0005-0000-0000-000047240000}"/>
    <cellStyle name="Comma 2 2 4 4 5 2 2 7" xfId="18282" xr:uid="{00000000-0005-0000-0000-000048240000}"/>
    <cellStyle name="Comma 2 2 4 4 5 2 2 7 2" xfId="41560" xr:uid="{00000000-0005-0000-0000-000049240000}"/>
    <cellStyle name="Comma 2 2 4 4 5 2 2 8" xfId="25626" xr:uid="{00000000-0005-0000-0000-00004A240000}"/>
    <cellStyle name="Comma 2 2 4 4 5 2 2 9" xfId="46456" xr:uid="{00000000-0005-0000-0000-00004B240000}"/>
    <cellStyle name="Comma 2 2 4 4 5 2 3" xfId="3571" xr:uid="{00000000-0005-0000-0000-00004C240000}"/>
    <cellStyle name="Comma 2 2 4 4 5 2 3 2" xfId="17058" xr:uid="{00000000-0005-0000-0000-00004D240000}"/>
    <cellStyle name="Comma 2 2 4 4 5 2 3 2 2" xfId="40336" xr:uid="{00000000-0005-0000-0000-00004E240000}"/>
    <cellStyle name="Comma 2 2 4 4 5 2 3 3" xfId="47680" xr:uid="{00000000-0005-0000-0000-00004F240000}"/>
    <cellStyle name="Comma 2 2 4 4 5 2 3 4" xfId="26850" xr:uid="{00000000-0005-0000-0000-000050240000}"/>
    <cellStyle name="Comma 2 2 4 4 5 2 4" xfId="6019" xr:uid="{00000000-0005-0000-0000-000051240000}"/>
    <cellStyle name="Comma 2 2 4 4 5 2 4 2" xfId="19506" xr:uid="{00000000-0005-0000-0000-000052240000}"/>
    <cellStyle name="Comma 2 2 4 4 5 2 4 2 2" xfId="42784" xr:uid="{00000000-0005-0000-0000-000053240000}"/>
    <cellStyle name="Comma 2 2 4 4 5 2 4 3" xfId="29298" xr:uid="{00000000-0005-0000-0000-000054240000}"/>
    <cellStyle name="Comma 2 2 4 4 5 2 5" xfId="8467" xr:uid="{00000000-0005-0000-0000-000055240000}"/>
    <cellStyle name="Comma 2 2 4 4 5 2 5 2" xfId="31746" xr:uid="{00000000-0005-0000-0000-000056240000}"/>
    <cellStyle name="Comma 2 2 4 4 5 2 6" xfId="10915" xr:uid="{00000000-0005-0000-0000-000057240000}"/>
    <cellStyle name="Comma 2 2 4 4 5 2 6 2" xfId="34194" xr:uid="{00000000-0005-0000-0000-000058240000}"/>
    <cellStyle name="Comma 2 2 4 4 5 2 7" xfId="13363" xr:uid="{00000000-0005-0000-0000-000059240000}"/>
    <cellStyle name="Comma 2 2 4 4 5 2 7 2" xfId="36642" xr:uid="{00000000-0005-0000-0000-00005A240000}"/>
    <cellStyle name="Comma 2 2 4 4 5 2 8" xfId="15834" xr:uid="{00000000-0005-0000-0000-00005B240000}"/>
    <cellStyle name="Comma 2 2 4 4 5 2 8 2" xfId="39112" xr:uid="{00000000-0005-0000-0000-00005C240000}"/>
    <cellStyle name="Comma 2 2 4 4 5 2 9" xfId="24402" xr:uid="{00000000-0005-0000-0000-00005D240000}"/>
    <cellStyle name="Comma 2 2 4 4 5 3" xfId="1735" xr:uid="{00000000-0005-0000-0000-00005E240000}"/>
    <cellStyle name="Comma 2 2 4 4 5 3 10" xfId="22566" xr:uid="{00000000-0005-0000-0000-00005F240000}"/>
    <cellStyle name="Comma 2 2 4 4 5 3 2" xfId="4183" xr:uid="{00000000-0005-0000-0000-000060240000}"/>
    <cellStyle name="Comma 2 2 4 4 5 3 2 2" xfId="20118" xr:uid="{00000000-0005-0000-0000-000061240000}"/>
    <cellStyle name="Comma 2 2 4 4 5 3 2 2 2" xfId="43396" xr:uid="{00000000-0005-0000-0000-000062240000}"/>
    <cellStyle name="Comma 2 2 4 4 5 3 2 3" xfId="48292" xr:uid="{00000000-0005-0000-0000-000063240000}"/>
    <cellStyle name="Comma 2 2 4 4 5 3 2 4" xfId="27462" xr:uid="{00000000-0005-0000-0000-000064240000}"/>
    <cellStyle name="Comma 2 2 4 4 5 3 3" xfId="6631" xr:uid="{00000000-0005-0000-0000-000065240000}"/>
    <cellStyle name="Comma 2 2 4 4 5 3 3 2" xfId="29910" xr:uid="{00000000-0005-0000-0000-000066240000}"/>
    <cellStyle name="Comma 2 2 4 4 5 3 4" xfId="9079" xr:uid="{00000000-0005-0000-0000-000067240000}"/>
    <cellStyle name="Comma 2 2 4 4 5 3 4 2" xfId="32358" xr:uid="{00000000-0005-0000-0000-000068240000}"/>
    <cellStyle name="Comma 2 2 4 4 5 3 5" xfId="11527" xr:uid="{00000000-0005-0000-0000-000069240000}"/>
    <cellStyle name="Comma 2 2 4 4 5 3 5 2" xfId="34806" xr:uid="{00000000-0005-0000-0000-00006A240000}"/>
    <cellStyle name="Comma 2 2 4 4 5 3 6" xfId="13975" xr:uid="{00000000-0005-0000-0000-00006B240000}"/>
    <cellStyle name="Comma 2 2 4 4 5 3 6 2" xfId="37254" xr:uid="{00000000-0005-0000-0000-00006C240000}"/>
    <cellStyle name="Comma 2 2 4 4 5 3 7" xfId="17670" xr:uid="{00000000-0005-0000-0000-00006D240000}"/>
    <cellStyle name="Comma 2 2 4 4 5 3 7 2" xfId="40948" xr:uid="{00000000-0005-0000-0000-00006E240000}"/>
    <cellStyle name="Comma 2 2 4 4 5 3 8" xfId="25014" xr:uid="{00000000-0005-0000-0000-00006F240000}"/>
    <cellStyle name="Comma 2 2 4 4 5 3 9" xfId="45844" xr:uid="{00000000-0005-0000-0000-000070240000}"/>
    <cellStyle name="Comma 2 2 4 4 5 4" xfId="2959" xr:uid="{00000000-0005-0000-0000-000071240000}"/>
    <cellStyle name="Comma 2 2 4 4 5 4 2" xfId="16446" xr:uid="{00000000-0005-0000-0000-000072240000}"/>
    <cellStyle name="Comma 2 2 4 4 5 4 2 2" xfId="39724" xr:uid="{00000000-0005-0000-0000-000073240000}"/>
    <cellStyle name="Comma 2 2 4 4 5 4 3" xfId="47068" xr:uid="{00000000-0005-0000-0000-000074240000}"/>
    <cellStyle name="Comma 2 2 4 4 5 4 4" xfId="26238" xr:uid="{00000000-0005-0000-0000-000075240000}"/>
    <cellStyle name="Comma 2 2 4 4 5 5" xfId="5407" xr:uid="{00000000-0005-0000-0000-000076240000}"/>
    <cellStyle name="Comma 2 2 4 4 5 5 2" xfId="18894" xr:uid="{00000000-0005-0000-0000-000077240000}"/>
    <cellStyle name="Comma 2 2 4 4 5 5 2 2" xfId="42172" xr:uid="{00000000-0005-0000-0000-000078240000}"/>
    <cellStyle name="Comma 2 2 4 4 5 5 3" xfId="28686" xr:uid="{00000000-0005-0000-0000-000079240000}"/>
    <cellStyle name="Comma 2 2 4 4 5 6" xfId="7855" xr:uid="{00000000-0005-0000-0000-00007A240000}"/>
    <cellStyle name="Comma 2 2 4 4 5 6 2" xfId="31134" xr:uid="{00000000-0005-0000-0000-00007B240000}"/>
    <cellStyle name="Comma 2 2 4 4 5 7" xfId="10303" xr:uid="{00000000-0005-0000-0000-00007C240000}"/>
    <cellStyle name="Comma 2 2 4 4 5 7 2" xfId="33582" xr:uid="{00000000-0005-0000-0000-00007D240000}"/>
    <cellStyle name="Comma 2 2 4 4 5 8" xfId="12751" xr:uid="{00000000-0005-0000-0000-00007E240000}"/>
    <cellStyle name="Comma 2 2 4 4 5 8 2" xfId="36030" xr:uid="{00000000-0005-0000-0000-00007F240000}"/>
    <cellStyle name="Comma 2 2 4 4 5 9" xfId="15222" xr:uid="{00000000-0005-0000-0000-000080240000}"/>
    <cellStyle name="Comma 2 2 4 4 5 9 2" xfId="38500" xr:uid="{00000000-0005-0000-0000-000081240000}"/>
    <cellStyle name="Comma 2 2 4 4 6" xfId="715" xr:uid="{00000000-0005-0000-0000-000082240000}"/>
    <cellStyle name="Comma 2 2 4 4 6 10" xfId="44824" xr:uid="{00000000-0005-0000-0000-000083240000}"/>
    <cellStyle name="Comma 2 2 4 4 6 11" xfId="21546" xr:uid="{00000000-0005-0000-0000-000084240000}"/>
    <cellStyle name="Comma 2 2 4 4 6 2" xfId="1939" xr:uid="{00000000-0005-0000-0000-000085240000}"/>
    <cellStyle name="Comma 2 2 4 4 6 2 10" xfId="22770" xr:uid="{00000000-0005-0000-0000-000086240000}"/>
    <cellStyle name="Comma 2 2 4 4 6 2 2" xfId="4387" xr:uid="{00000000-0005-0000-0000-000087240000}"/>
    <cellStyle name="Comma 2 2 4 4 6 2 2 2" xfId="20322" xr:uid="{00000000-0005-0000-0000-000088240000}"/>
    <cellStyle name="Comma 2 2 4 4 6 2 2 2 2" xfId="43600" xr:uid="{00000000-0005-0000-0000-000089240000}"/>
    <cellStyle name="Comma 2 2 4 4 6 2 2 3" xfId="48496" xr:uid="{00000000-0005-0000-0000-00008A240000}"/>
    <cellStyle name="Comma 2 2 4 4 6 2 2 4" xfId="27666" xr:uid="{00000000-0005-0000-0000-00008B240000}"/>
    <cellStyle name="Comma 2 2 4 4 6 2 3" xfId="6835" xr:uid="{00000000-0005-0000-0000-00008C240000}"/>
    <cellStyle name="Comma 2 2 4 4 6 2 3 2" xfId="30114" xr:uid="{00000000-0005-0000-0000-00008D240000}"/>
    <cellStyle name="Comma 2 2 4 4 6 2 4" xfId="9283" xr:uid="{00000000-0005-0000-0000-00008E240000}"/>
    <cellStyle name="Comma 2 2 4 4 6 2 4 2" xfId="32562" xr:uid="{00000000-0005-0000-0000-00008F240000}"/>
    <cellStyle name="Comma 2 2 4 4 6 2 5" xfId="11731" xr:uid="{00000000-0005-0000-0000-000090240000}"/>
    <cellStyle name="Comma 2 2 4 4 6 2 5 2" xfId="35010" xr:uid="{00000000-0005-0000-0000-000091240000}"/>
    <cellStyle name="Comma 2 2 4 4 6 2 6" xfId="14179" xr:uid="{00000000-0005-0000-0000-000092240000}"/>
    <cellStyle name="Comma 2 2 4 4 6 2 6 2" xfId="37458" xr:uid="{00000000-0005-0000-0000-000093240000}"/>
    <cellStyle name="Comma 2 2 4 4 6 2 7" xfId="17874" xr:uid="{00000000-0005-0000-0000-000094240000}"/>
    <cellStyle name="Comma 2 2 4 4 6 2 7 2" xfId="41152" xr:uid="{00000000-0005-0000-0000-000095240000}"/>
    <cellStyle name="Comma 2 2 4 4 6 2 8" xfId="25218" xr:uid="{00000000-0005-0000-0000-000096240000}"/>
    <cellStyle name="Comma 2 2 4 4 6 2 9" xfId="46048" xr:uid="{00000000-0005-0000-0000-000097240000}"/>
    <cellStyle name="Comma 2 2 4 4 6 3" xfId="3163" xr:uid="{00000000-0005-0000-0000-000098240000}"/>
    <cellStyle name="Comma 2 2 4 4 6 3 2" xfId="16650" xr:uid="{00000000-0005-0000-0000-000099240000}"/>
    <cellStyle name="Comma 2 2 4 4 6 3 2 2" xfId="39928" xr:uid="{00000000-0005-0000-0000-00009A240000}"/>
    <cellStyle name="Comma 2 2 4 4 6 3 3" xfId="47272" xr:uid="{00000000-0005-0000-0000-00009B240000}"/>
    <cellStyle name="Comma 2 2 4 4 6 3 4" xfId="26442" xr:uid="{00000000-0005-0000-0000-00009C240000}"/>
    <cellStyle name="Comma 2 2 4 4 6 4" xfId="5611" xr:uid="{00000000-0005-0000-0000-00009D240000}"/>
    <cellStyle name="Comma 2 2 4 4 6 4 2" xfId="19098" xr:uid="{00000000-0005-0000-0000-00009E240000}"/>
    <cellStyle name="Comma 2 2 4 4 6 4 2 2" xfId="42376" xr:uid="{00000000-0005-0000-0000-00009F240000}"/>
    <cellStyle name="Comma 2 2 4 4 6 4 3" xfId="28890" xr:uid="{00000000-0005-0000-0000-0000A0240000}"/>
    <cellStyle name="Comma 2 2 4 4 6 5" xfId="8059" xr:uid="{00000000-0005-0000-0000-0000A1240000}"/>
    <cellStyle name="Comma 2 2 4 4 6 5 2" xfId="31338" xr:uid="{00000000-0005-0000-0000-0000A2240000}"/>
    <cellStyle name="Comma 2 2 4 4 6 6" xfId="10507" xr:uid="{00000000-0005-0000-0000-0000A3240000}"/>
    <cellStyle name="Comma 2 2 4 4 6 6 2" xfId="33786" xr:uid="{00000000-0005-0000-0000-0000A4240000}"/>
    <cellStyle name="Comma 2 2 4 4 6 7" xfId="12955" xr:uid="{00000000-0005-0000-0000-0000A5240000}"/>
    <cellStyle name="Comma 2 2 4 4 6 7 2" xfId="36234" xr:uid="{00000000-0005-0000-0000-0000A6240000}"/>
    <cellStyle name="Comma 2 2 4 4 6 8" xfId="15426" xr:uid="{00000000-0005-0000-0000-0000A7240000}"/>
    <cellStyle name="Comma 2 2 4 4 6 8 2" xfId="38704" xr:uid="{00000000-0005-0000-0000-0000A8240000}"/>
    <cellStyle name="Comma 2 2 4 4 6 9" xfId="23994" xr:uid="{00000000-0005-0000-0000-0000A9240000}"/>
    <cellStyle name="Comma 2 2 4 4 7" xfId="1327" xr:uid="{00000000-0005-0000-0000-0000AA240000}"/>
    <cellStyle name="Comma 2 2 4 4 7 10" xfId="22158" xr:uid="{00000000-0005-0000-0000-0000AB240000}"/>
    <cellStyle name="Comma 2 2 4 4 7 2" xfId="3775" xr:uid="{00000000-0005-0000-0000-0000AC240000}"/>
    <cellStyle name="Comma 2 2 4 4 7 2 2" xfId="19710" xr:uid="{00000000-0005-0000-0000-0000AD240000}"/>
    <cellStyle name="Comma 2 2 4 4 7 2 2 2" xfId="42988" xr:uid="{00000000-0005-0000-0000-0000AE240000}"/>
    <cellStyle name="Comma 2 2 4 4 7 2 3" xfId="47884" xr:uid="{00000000-0005-0000-0000-0000AF240000}"/>
    <cellStyle name="Comma 2 2 4 4 7 2 4" xfId="27054" xr:uid="{00000000-0005-0000-0000-0000B0240000}"/>
    <cellStyle name="Comma 2 2 4 4 7 3" xfId="6223" xr:uid="{00000000-0005-0000-0000-0000B1240000}"/>
    <cellStyle name="Comma 2 2 4 4 7 3 2" xfId="29502" xr:uid="{00000000-0005-0000-0000-0000B2240000}"/>
    <cellStyle name="Comma 2 2 4 4 7 4" xfId="8671" xr:uid="{00000000-0005-0000-0000-0000B3240000}"/>
    <cellStyle name="Comma 2 2 4 4 7 4 2" xfId="31950" xr:uid="{00000000-0005-0000-0000-0000B4240000}"/>
    <cellStyle name="Comma 2 2 4 4 7 5" xfId="11119" xr:uid="{00000000-0005-0000-0000-0000B5240000}"/>
    <cellStyle name="Comma 2 2 4 4 7 5 2" xfId="34398" xr:uid="{00000000-0005-0000-0000-0000B6240000}"/>
    <cellStyle name="Comma 2 2 4 4 7 6" xfId="13567" xr:uid="{00000000-0005-0000-0000-0000B7240000}"/>
    <cellStyle name="Comma 2 2 4 4 7 6 2" xfId="36846" xr:uid="{00000000-0005-0000-0000-0000B8240000}"/>
    <cellStyle name="Comma 2 2 4 4 7 7" xfId="17262" xr:uid="{00000000-0005-0000-0000-0000B9240000}"/>
    <cellStyle name="Comma 2 2 4 4 7 7 2" xfId="40540" xr:uid="{00000000-0005-0000-0000-0000BA240000}"/>
    <cellStyle name="Comma 2 2 4 4 7 8" xfId="24606" xr:uid="{00000000-0005-0000-0000-0000BB240000}"/>
    <cellStyle name="Comma 2 2 4 4 7 9" xfId="45436" xr:uid="{00000000-0005-0000-0000-0000BC240000}"/>
    <cellStyle name="Comma 2 2 4 4 8" xfId="2551" xr:uid="{00000000-0005-0000-0000-0000BD240000}"/>
    <cellStyle name="Comma 2 2 4 4 8 2" xfId="16038" xr:uid="{00000000-0005-0000-0000-0000BE240000}"/>
    <cellStyle name="Comma 2 2 4 4 8 2 2" xfId="39316" xr:uid="{00000000-0005-0000-0000-0000BF240000}"/>
    <cellStyle name="Comma 2 2 4 4 8 3" xfId="46660" xr:uid="{00000000-0005-0000-0000-0000C0240000}"/>
    <cellStyle name="Comma 2 2 4 4 8 4" xfId="25830" xr:uid="{00000000-0005-0000-0000-0000C1240000}"/>
    <cellStyle name="Comma 2 2 4 4 9" xfId="4999" xr:uid="{00000000-0005-0000-0000-0000C2240000}"/>
    <cellStyle name="Comma 2 2 4 4 9 2" xfId="18486" xr:uid="{00000000-0005-0000-0000-0000C3240000}"/>
    <cellStyle name="Comma 2 2 4 4 9 2 2" xfId="41764" xr:uid="{00000000-0005-0000-0000-0000C4240000}"/>
    <cellStyle name="Comma 2 2 4 4 9 3" xfId="28278" xr:uid="{00000000-0005-0000-0000-0000C5240000}"/>
    <cellStyle name="Comma 2 2 4 5" xfId="120" xr:uid="{00000000-0005-0000-0000-0000C6240000}"/>
    <cellStyle name="Comma 2 2 4 5 10" xfId="12360" xr:uid="{00000000-0005-0000-0000-0000C7240000}"/>
    <cellStyle name="Comma 2 2 4 5 10 2" xfId="35639" xr:uid="{00000000-0005-0000-0000-0000C8240000}"/>
    <cellStyle name="Comma 2 2 4 5 11" xfId="14831" xr:uid="{00000000-0005-0000-0000-0000C9240000}"/>
    <cellStyle name="Comma 2 2 4 5 11 2" xfId="38109" xr:uid="{00000000-0005-0000-0000-0000CA240000}"/>
    <cellStyle name="Comma 2 2 4 5 12" xfId="23399" xr:uid="{00000000-0005-0000-0000-0000CB240000}"/>
    <cellStyle name="Comma 2 2 4 5 13" xfId="44229" xr:uid="{00000000-0005-0000-0000-0000CC240000}"/>
    <cellStyle name="Comma 2 2 4 5 14" xfId="20951" xr:uid="{00000000-0005-0000-0000-0000CD240000}"/>
    <cellStyle name="Comma 2 2 4 5 2" xfId="324" xr:uid="{00000000-0005-0000-0000-0000CE240000}"/>
    <cellStyle name="Comma 2 2 4 5 2 10" xfId="23603" xr:uid="{00000000-0005-0000-0000-0000CF240000}"/>
    <cellStyle name="Comma 2 2 4 5 2 11" xfId="44433" xr:uid="{00000000-0005-0000-0000-0000D0240000}"/>
    <cellStyle name="Comma 2 2 4 5 2 12" xfId="21155" xr:uid="{00000000-0005-0000-0000-0000D1240000}"/>
    <cellStyle name="Comma 2 2 4 5 2 2" xfId="936" xr:uid="{00000000-0005-0000-0000-0000D2240000}"/>
    <cellStyle name="Comma 2 2 4 5 2 2 10" xfId="45045" xr:uid="{00000000-0005-0000-0000-0000D3240000}"/>
    <cellStyle name="Comma 2 2 4 5 2 2 11" xfId="21767" xr:uid="{00000000-0005-0000-0000-0000D4240000}"/>
    <cellStyle name="Comma 2 2 4 5 2 2 2" xfId="2160" xr:uid="{00000000-0005-0000-0000-0000D5240000}"/>
    <cellStyle name="Comma 2 2 4 5 2 2 2 10" xfId="22991" xr:uid="{00000000-0005-0000-0000-0000D6240000}"/>
    <cellStyle name="Comma 2 2 4 5 2 2 2 2" xfId="4608" xr:uid="{00000000-0005-0000-0000-0000D7240000}"/>
    <cellStyle name="Comma 2 2 4 5 2 2 2 2 2" xfId="20543" xr:uid="{00000000-0005-0000-0000-0000D8240000}"/>
    <cellStyle name="Comma 2 2 4 5 2 2 2 2 2 2" xfId="43821" xr:uid="{00000000-0005-0000-0000-0000D9240000}"/>
    <cellStyle name="Comma 2 2 4 5 2 2 2 2 3" xfId="48717" xr:uid="{00000000-0005-0000-0000-0000DA240000}"/>
    <cellStyle name="Comma 2 2 4 5 2 2 2 2 4" xfId="27887" xr:uid="{00000000-0005-0000-0000-0000DB240000}"/>
    <cellStyle name="Comma 2 2 4 5 2 2 2 3" xfId="7056" xr:uid="{00000000-0005-0000-0000-0000DC240000}"/>
    <cellStyle name="Comma 2 2 4 5 2 2 2 3 2" xfId="30335" xr:uid="{00000000-0005-0000-0000-0000DD240000}"/>
    <cellStyle name="Comma 2 2 4 5 2 2 2 4" xfId="9504" xr:uid="{00000000-0005-0000-0000-0000DE240000}"/>
    <cellStyle name="Comma 2 2 4 5 2 2 2 4 2" xfId="32783" xr:uid="{00000000-0005-0000-0000-0000DF240000}"/>
    <cellStyle name="Comma 2 2 4 5 2 2 2 5" xfId="11952" xr:uid="{00000000-0005-0000-0000-0000E0240000}"/>
    <cellStyle name="Comma 2 2 4 5 2 2 2 5 2" xfId="35231" xr:uid="{00000000-0005-0000-0000-0000E1240000}"/>
    <cellStyle name="Comma 2 2 4 5 2 2 2 6" xfId="14400" xr:uid="{00000000-0005-0000-0000-0000E2240000}"/>
    <cellStyle name="Comma 2 2 4 5 2 2 2 6 2" xfId="37679" xr:uid="{00000000-0005-0000-0000-0000E3240000}"/>
    <cellStyle name="Comma 2 2 4 5 2 2 2 7" xfId="18095" xr:uid="{00000000-0005-0000-0000-0000E4240000}"/>
    <cellStyle name="Comma 2 2 4 5 2 2 2 7 2" xfId="41373" xr:uid="{00000000-0005-0000-0000-0000E5240000}"/>
    <cellStyle name="Comma 2 2 4 5 2 2 2 8" xfId="25439" xr:uid="{00000000-0005-0000-0000-0000E6240000}"/>
    <cellStyle name="Comma 2 2 4 5 2 2 2 9" xfId="46269" xr:uid="{00000000-0005-0000-0000-0000E7240000}"/>
    <cellStyle name="Comma 2 2 4 5 2 2 3" xfId="3384" xr:uid="{00000000-0005-0000-0000-0000E8240000}"/>
    <cellStyle name="Comma 2 2 4 5 2 2 3 2" xfId="16871" xr:uid="{00000000-0005-0000-0000-0000E9240000}"/>
    <cellStyle name="Comma 2 2 4 5 2 2 3 2 2" xfId="40149" xr:uid="{00000000-0005-0000-0000-0000EA240000}"/>
    <cellStyle name="Comma 2 2 4 5 2 2 3 3" xfId="47493" xr:uid="{00000000-0005-0000-0000-0000EB240000}"/>
    <cellStyle name="Comma 2 2 4 5 2 2 3 4" xfId="26663" xr:uid="{00000000-0005-0000-0000-0000EC240000}"/>
    <cellStyle name="Comma 2 2 4 5 2 2 4" xfId="5832" xr:uid="{00000000-0005-0000-0000-0000ED240000}"/>
    <cellStyle name="Comma 2 2 4 5 2 2 4 2" xfId="19319" xr:uid="{00000000-0005-0000-0000-0000EE240000}"/>
    <cellStyle name="Comma 2 2 4 5 2 2 4 2 2" xfId="42597" xr:uid="{00000000-0005-0000-0000-0000EF240000}"/>
    <cellStyle name="Comma 2 2 4 5 2 2 4 3" xfId="29111" xr:uid="{00000000-0005-0000-0000-0000F0240000}"/>
    <cellStyle name="Comma 2 2 4 5 2 2 5" xfId="8280" xr:uid="{00000000-0005-0000-0000-0000F1240000}"/>
    <cellStyle name="Comma 2 2 4 5 2 2 5 2" xfId="31559" xr:uid="{00000000-0005-0000-0000-0000F2240000}"/>
    <cellStyle name="Comma 2 2 4 5 2 2 6" xfId="10728" xr:uid="{00000000-0005-0000-0000-0000F3240000}"/>
    <cellStyle name="Comma 2 2 4 5 2 2 6 2" xfId="34007" xr:uid="{00000000-0005-0000-0000-0000F4240000}"/>
    <cellStyle name="Comma 2 2 4 5 2 2 7" xfId="13176" xr:uid="{00000000-0005-0000-0000-0000F5240000}"/>
    <cellStyle name="Comma 2 2 4 5 2 2 7 2" xfId="36455" xr:uid="{00000000-0005-0000-0000-0000F6240000}"/>
    <cellStyle name="Comma 2 2 4 5 2 2 8" xfId="15647" xr:uid="{00000000-0005-0000-0000-0000F7240000}"/>
    <cellStyle name="Comma 2 2 4 5 2 2 8 2" xfId="38925" xr:uid="{00000000-0005-0000-0000-0000F8240000}"/>
    <cellStyle name="Comma 2 2 4 5 2 2 9" xfId="24215" xr:uid="{00000000-0005-0000-0000-0000F9240000}"/>
    <cellStyle name="Comma 2 2 4 5 2 3" xfId="1548" xr:uid="{00000000-0005-0000-0000-0000FA240000}"/>
    <cellStyle name="Comma 2 2 4 5 2 3 10" xfId="22379" xr:uid="{00000000-0005-0000-0000-0000FB240000}"/>
    <cellStyle name="Comma 2 2 4 5 2 3 2" xfId="3996" xr:uid="{00000000-0005-0000-0000-0000FC240000}"/>
    <cellStyle name="Comma 2 2 4 5 2 3 2 2" xfId="19931" xr:uid="{00000000-0005-0000-0000-0000FD240000}"/>
    <cellStyle name="Comma 2 2 4 5 2 3 2 2 2" xfId="43209" xr:uid="{00000000-0005-0000-0000-0000FE240000}"/>
    <cellStyle name="Comma 2 2 4 5 2 3 2 3" xfId="48105" xr:uid="{00000000-0005-0000-0000-0000FF240000}"/>
    <cellStyle name="Comma 2 2 4 5 2 3 2 4" xfId="27275" xr:uid="{00000000-0005-0000-0000-000000250000}"/>
    <cellStyle name="Comma 2 2 4 5 2 3 3" xfId="6444" xr:uid="{00000000-0005-0000-0000-000001250000}"/>
    <cellStyle name="Comma 2 2 4 5 2 3 3 2" xfId="29723" xr:uid="{00000000-0005-0000-0000-000002250000}"/>
    <cellStyle name="Comma 2 2 4 5 2 3 4" xfId="8892" xr:uid="{00000000-0005-0000-0000-000003250000}"/>
    <cellStyle name="Comma 2 2 4 5 2 3 4 2" xfId="32171" xr:uid="{00000000-0005-0000-0000-000004250000}"/>
    <cellStyle name="Comma 2 2 4 5 2 3 5" xfId="11340" xr:uid="{00000000-0005-0000-0000-000005250000}"/>
    <cellStyle name="Comma 2 2 4 5 2 3 5 2" xfId="34619" xr:uid="{00000000-0005-0000-0000-000006250000}"/>
    <cellStyle name="Comma 2 2 4 5 2 3 6" xfId="13788" xr:uid="{00000000-0005-0000-0000-000007250000}"/>
    <cellStyle name="Comma 2 2 4 5 2 3 6 2" xfId="37067" xr:uid="{00000000-0005-0000-0000-000008250000}"/>
    <cellStyle name="Comma 2 2 4 5 2 3 7" xfId="17483" xr:uid="{00000000-0005-0000-0000-000009250000}"/>
    <cellStyle name="Comma 2 2 4 5 2 3 7 2" xfId="40761" xr:uid="{00000000-0005-0000-0000-00000A250000}"/>
    <cellStyle name="Comma 2 2 4 5 2 3 8" xfId="24827" xr:uid="{00000000-0005-0000-0000-00000B250000}"/>
    <cellStyle name="Comma 2 2 4 5 2 3 9" xfId="45657" xr:uid="{00000000-0005-0000-0000-00000C250000}"/>
    <cellStyle name="Comma 2 2 4 5 2 4" xfId="2772" xr:uid="{00000000-0005-0000-0000-00000D250000}"/>
    <cellStyle name="Comma 2 2 4 5 2 4 2" xfId="16259" xr:uid="{00000000-0005-0000-0000-00000E250000}"/>
    <cellStyle name="Comma 2 2 4 5 2 4 2 2" xfId="39537" xr:uid="{00000000-0005-0000-0000-00000F250000}"/>
    <cellStyle name="Comma 2 2 4 5 2 4 3" xfId="46881" xr:uid="{00000000-0005-0000-0000-000010250000}"/>
    <cellStyle name="Comma 2 2 4 5 2 4 4" xfId="26051" xr:uid="{00000000-0005-0000-0000-000011250000}"/>
    <cellStyle name="Comma 2 2 4 5 2 5" xfId="5220" xr:uid="{00000000-0005-0000-0000-000012250000}"/>
    <cellStyle name="Comma 2 2 4 5 2 5 2" xfId="18707" xr:uid="{00000000-0005-0000-0000-000013250000}"/>
    <cellStyle name="Comma 2 2 4 5 2 5 2 2" xfId="41985" xr:uid="{00000000-0005-0000-0000-000014250000}"/>
    <cellStyle name="Comma 2 2 4 5 2 5 3" xfId="28499" xr:uid="{00000000-0005-0000-0000-000015250000}"/>
    <cellStyle name="Comma 2 2 4 5 2 6" xfId="7668" xr:uid="{00000000-0005-0000-0000-000016250000}"/>
    <cellStyle name="Comma 2 2 4 5 2 6 2" xfId="30947" xr:uid="{00000000-0005-0000-0000-000017250000}"/>
    <cellStyle name="Comma 2 2 4 5 2 7" xfId="10116" xr:uid="{00000000-0005-0000-0000-000018250000}"/>
    <cellStyle name="Comma 2 2 4 5 2 7 2" xfId="33395" xr:uid="{00000000-0005-0000-0000-000019250000}"/>
    <cellStyle name="Comma 2 2 4 5 2 8" xfId="12564" xr:uid="{00000000-0005-0000-0000-00001A250000}"/>
    <cellStyle name="Comma 2 2 4 5 2 8 2" xfId="35843" xr:uid="{00000000-0005-0000-0000-00001B250000}"/>
    <cellStyle name="Comma 2 2 4 5 2 9" xfId="15035" xr:uid="{00000000-0005-0000-0000-00001C250000}"/>
    <cellStyle name="Comma 2 2 4 5 2 9 2" xfId="38313" xr:uid="{00000000-0005-0000-0000-00001D250000}"/>
    <cellStyle name="Comma 2 2 4 5 3" xfId="528" xr:uid="{00000000-0005-0000-0000-00001E250000}"/>
    <cellStyle name="Comma 2 2 4 5 3 10" xfId="23807" xr:uid="{00000000-0005-0000-0000-00001F250000}"/>
    <cellStyle name="Comma 2 2 4 5 3 11" xfId="44637" xr:uid="{00000000-0005-0000-0000-000020250000}"/>
    <cellStyle name="Comma 2 2 4 5 3 12" xfId="21359" xr:uid="{00000000-0005-0000-0000-000021250000}"/>
    <cellStyle name="Comma 2 2 4 5 3 2" xfId="1140" xr:uid="{00000000-0005-0000-0000-000022250000}"/>
    <cellStyle name="Comma 2 2 4 5 3 2 10" xfId="45249" xr:uid="{00000000-0005-0000-0000-000023250000}"/>
    <cellStyle name="Comma 2 2 4 5 3 2 11" xfId="21971" xr:uid="{00000000-0005-0000-0000-000024250000}"/>
    <cellStyle name="Comma 2 2 4 5 3 2 2" xfId="2364" xr:uid="{00000000-0005-0000-0000-000025250000}"/>
    <cellStyle name="Comma 2 2 4 5 3 2 2 10" xfId="23195" xr:uid="{00000000-0005-0000-0000-000026250000}"/>
    <cellStyle name="Comma 2 2 4 5 3 2 2 2" xfId="4812" xr:uid="{00000000-0005-0000-0000-000027250000}"/>
    <cellStyle name="Comma 2 2 4 5 3 2 2 2 2" xfId="20747" xr:uid="{00000000-0005-0000-0000-000028250000}"/>
    <cellStyle name="Comma 2 2 4 5 3 2 2 2 2 2" xfId="44025" xr:uid="{00000000-0005-0000-0000-000029250000}"/>
    <cellStyle name="Comma 2 2 4 5 3 2 2 2 3" xfId="48921" xr:uid="{00000000-0005-0000-0000-00002A250000}"/>
    <cellStyle name="Comma 2 2 4 5 3 2 2 2 4" xfId="28091" xr:uid="{00000000-0005-0000-0000-00002B250000}"/>
    <cellStyle name="Comma 2 2 4 5 3 2 2 3" xfId="7260" xr:uid="{00000000-0005-0000-0000-00002C250000}"/>
    <cellStyle name="Comma 2 2 4 5 3 2 2 3 2" xfId="30539" xr:uid="{00000000-0005-0000-0000-00002D250000}"/>
    <cellStyle name="Comma 2 2 4 5 3 2 2 4" xfId="9708" xr:uid="{00000000-0005-0000-0000-00002E250000}"/>
    <cellStyle name="Comma 2 2 4 5 3 2 2 4 2" xfId="32987" xr:uid="{00000000-0005-0000-0000-00002F250000}"/>
    <cellStyle name="Comma 2 2 4 5 3 2 2 5" xfId="12156" xr:uid="{00000000-0005-0000-0000-000030250000}"/>
    <cellStyle name="Comma 2 2 4 5 3 2 2 5 2" xfId="35435" xr:uid="{00000000-0005-0000-0000-000031250000}"/>
    <cellStyle name="Comma 2 2 4 5 3 2 2 6" xfId="14604" xr:uid="{00000000-0005-0000-0000-000032250000}"/>
    <cellStyle name="Comma 2 2 4 5 3 2 2 6 2" xfId="37883" xr:uid="{00000000-0005-0000-0000-000033250000}"/>
    <cellStyle name="Comma 2 2 4 5 3 2 2 7" xfId="18299" xr:uid="{00000000-0005-0000-0000-000034250000}"/>
    <cellStyle name="Comma 2 2 4 5 3 2 2 7 2" xfId="41577" xr:uid="{00000000-0005-0000-0000-000035250000}"/>
    <cellStyle name="Comma 2 2 4 5 3 2 2 8" xfId="25643" xr:uid="{00000000-0005-0000-0000-000036250000}"/>
    <cellStyle name="Comma 2 2 4 5 3 2 2 9" xfId="46473" xr:uid="{00000000-0005-0000-0000-000037250000}"/>
    <cellStyle name="Comma 2 2 4 5 3 2 3" xfId="3588" xr:uid="{00000000-0005-0000-0000-000038250000}"/>
    <cellStyle name="Comma 2 2 4 5 3 2 3 2" xfId="17075" xr:uid="{00000000-0005-0000-0000-000039250000}"/>
    <cellStyle name="Comma 2 2 4 5 3 2 3 2 2" xfId="40353" xr:uid="{00000000-0005-0000-0000-00003A250000}"/>
    <cellStyle name="Comma 2 2 4 5 3 2 3 3" xfId="47697" xr:uid="{00000000-0005-0000-0000-00003B250000}"/>
    <cellStyle name="Comma 2 2 4 5 3 2 3 4" xfId="26867" xr:uid="{00000000-0005-0000-0000-00003C250000}"/>
    <cellStyle name="Comma 2 2 4 5 3 2 4" xfId="6036" xr:uid="{00000000-0005-0000-0000-00003D250000}"/>
    <cellStyle name="Comma 2 2 4 5 3 2 4 2" xfId="19523" xr:uid="{00000000-0005-0000-0000-00003E250000}"/>
    <cellStyle name="Comma 2 2 4 5 3 2 4 2 2" xfId="42801" xr:uid="{00000000-0005-0000-0000-00003F250000}"/>
    <cellStyle name="Comma 2 2 4 5 3 2 4 3" xfId="29315" xr:uid="{00000000-0005-0000-0000-000040250000}"/>
    <cellStyle name="Comma 2 2 4 5 3 2 5" xfId="8484" xr:uid="{00000000-0005-0000-0000-000041250000}"/>
    <cellStyle name="Comma 2 2 4 5 3 2 5 2" xfId="31763" xr:uid="{00000000-0005-0000-0000-000042250000}"/>
    <cellStyle name="Comma 2 2 4 5 3 2 6" xfId="10932" xr:uid="{00000000-0005-0000-0000-000043250000}"/>
    <cellStyle name="Comma 2 2 4 5 3 2 6 2" xfId="34211" xr:uid="{00000000-0005-0000-0000-000044250000}"/>
    <cellStyle name="Comma 2 2 4 5 3 2 7" xfId="13380" xr:uid="{00000000-0005-0000-0000-000045250000}"/>
    <cellStyle name="Comma 2 2 4 5 3 2 7 2" xfId="36659" xr:uid="{00000000-0005-0000-0000-000046250000}"/>
    <cellStyle name="Comma 2 2 4 5 3 2 8" xfId="15851" xr:uid="{00000000-0005-0000-0000-000047250000}"/>
    <cellStyle name="Comma 2 2 4 5 3 2 8 2" xfId="39129" xr:uid="{00000000-0005-0000-0000-000048250000}"/>
    <cellStyle name="Comma 2 2 4 5 3 2 9" xfId="24419" xr:uid="{00000000-0005-0000-0000-000049250000}"/>
    <cellStyle name="Comma 2 2 4 5 3 3" xfId="1752" xr:uid="{00000000-0005-0000-0000-00004A250000}"/>
    <cellStyle name="Comma 2 2 4 5 3 3 10" xfId="22583" xr:uid="{00000000-0005-0000-0000-00004B250000}"/>
    <cellStyle name="Comma 2 2 4 5 3 3 2" xfId="4200" xr:uid="{00000000-0005-0000-0000-00004C250000}"/>
    <cellStyle name="Comma 2 2 4 5 3 3 2 2" xfId="20135" xr:uid="{00000000-0005-0000-0000-00004D250000}"/>
    <cellStyle name="Comma 2 2 4 5 3 3 2 2 2" xfId="43413" xr:uid="{00000000-0005-0000-0000-00004E250000}"/>
    <cellStyle name="Comma 2 2 4 5 3 3 2 3" xfId="48309" xr:uid="{00000000-0005-0000-0000-00004F250000}"/>
    <cellStyle name="Comma 2 2 4 5 3 3 2 4" xfId="27479" xr:uid="{00000000-0005-0000-0000-000050250000}"/>
    <cellStyle name="Comma 2 2 4 5 3 3 3" xfId="6648" xr:uid="{00000000-0005-0000-0000-000051250000}"/>
    <cellStyle name="Comma 2 2 4 5 3 3 3 2" xfId="29927" xr:uid="{00000000-0005-0000-0000-000052250000}"/>
    <cellStyle name="Comma 2 2 4 5 3 3 4" xfId="9096" xr:uid="{00000000-0005-0000-0000-000053250000}"/>
    <cellStyle name="Comma 2 2 4 5 3 3 4 2" xfId="32375" xr:uid="{00000000-0005-0000-0000-000054250000}"/>
    <cellStyle name="Comma 2 2 4 5 3 3 5" xfId="11544" xr:uid="{00000000-0005-0000-0000-000055250000}"/>
    <cellStyle name="Comma 2 2 4 5 3 3 5 2" xfId="34823" xr:uid="{00000000-0005-0000-0000-000056250000}"/>
    <cellStyle name="Comma 2 2 4 5 3 3 6" xfId="13992" xr:uid="{00000000-0005-0000-0000-000057250000}"/>
    <cellStyle name="Comma 2 2 4 5 3 3 6 2" xfId="37271" xr:uid="{00000000-0005-0000-0000-000058250000}"/>
    <cellStyle name="Comma 2 2 4 5 3 3 7" xfId="17687" xr:uid="{00000000-0005-0000-0000-000059250000}"/>
    <cellStyle name="Comma 2 2 4 5 3 3 7 2" xfId="40965" xr:uid="{00000000-0005-0000-0000-00005A250000}"/>
    <cellStyle name="Comma 2 2 4 5 3 3 8" xfId="25031" xr:uid="{00000000-0005-0000-0000-00005B250000}"/>
    <cellStyle name="Comma 2 2 4 5 3 3 9" xfId="45861" xr:uid="{00000000-0005-0000-0000-00005C250000}"/>
    <cellStyle name="Comma 2 2 4 5 3 4" xfId="2976" xr:uid="{00000000-0005-0000-0000-00005D250000}"/>
    <cellStyle name="Comma 2 2 4 5 3 4 2" xfId="16463" xr:uid="{00000000-0005-0000-0000-00005E250000}"/>
    <cellStyle name="Comma 2 2 4 5 3 4 2 2" xfId="39741" xr:uid="{00000000-0005-0000-0000-00005F250000}"/>
    <cellStyle name="Comma 2 2 4 5 3 4 3" xfId="47085" xr:uid="{00000000-0005-0000-0000-000060250000}"/>
    <cellStyle name="Comma 2 2 4 5 3 4 4" xfId="26255" xr:uid="{00000000-0005-0000-0000-000061250000}"/>
    <cellStyle name="Comma 2 2 4 5 3 5" xfId="5424" xr:uid="{00000000-0005-0000-0000-000062250000}"/>
    <cellStyle name="Comma 2 2 4 5 3 5 2" xfId="18911" xr:uid="{00000000-0005-0000-0000-000063250000}"/>
    <cellStyle name="Comma 2 2 4 5 3 5 2 2" xfId="42189" xr:uid="{00000000-0005-0000-0000-000064250000}"/>
    <cellStyle name="Comma 2 2 4 5 3 5 3" xfId="28703" xr:uid="{00000000-0005-0000-0000-000065250000}"/>
    <cellStyle name="Comma 2 2 4 5 3 6" xfId="7872" xr:uid="{00000000-0005-0000-0000-000066250000}"/>
    <cellStyle name="Comma 2 2 4 5 3 6 2" xfId="31151" xr:uid="{00000000-0005-0000-0000-000067250000}"/>
    <cellStyle name="Comma 2 2 4 5 3 7" xfId="10320" xr:uid="{00000000-0005-0000-0000-000068250000}"/>
    <cellStyle name="Comma 2 2 4 5 3 7 2" xfId="33599" xr:uid="{00000000-0005-0000-0000-000069250000}"/>
    <cellStyle name="Comma 2 2 4 5 3 8" xfId="12768" xr:uid="{00000000-0005-0000-0000-00006A250000}"/>
    <cellStyle name="Comma 2 2 4 5 3 8 2" xfId="36047" xr:uid="{00000000-0005-0000-0000-00006B250000}"/>
    <cellStyle name="Comma 2 2 4 5 3 9" xfId="15239" xr:uid="{00000000-0005-0000-0000-00006C250000}"/>
    <cellStyle name="Comma 2 2 4 5 3 9 2" xfId="38517" xr:uid="{00000000-0005-0000-0000-00006D250000}"/>
    <cellStyle name="Comma 2 2 4 5 4" xfId="732" xr:uid="{00000000-0005-0000-0000-00006E250000}"/>
    <cellStyle name="Comma 2 2 4 5 4 10" xfId="44841" xr:uid="{00000000-0005-0000-0000-00006F250000}"/>
    <cellStyle name="Comma 2 2 4 5 4 11" xfId="21563" xr:uid="{00000000-0005-0000-0000-000070250000}"/>
    <cellStyle name="Comma 2 2 4 5 4 2" xfId="1956" xr:uid="{00000000-0005-0000-0000-000071250000}"/>
    <cellStyle name="Comma 2 2 4 5 4 2 10" xfId="22787" xr:uid="{00000000-0005-0000-0000-000072250000}"/>
    <cellStyle name="Comma 2 2 4 5 4 2 2" xfId="4404" xr:uid="{00000000-0005-0000-0000-000073250000}"/>
    <cellStyle name="Comma 2 2 4 5 4 2 2 2" xfId="20339" xr:uid="{00000000-0005-0000-0000-000074250000}"/>
    <cellStyle name="Comma 2 2 4 5 4 2 2 2 2" xfId="43617" xr:uid="{00000000-0005-0000-0000-000075250000}"/>
    <cellStyle name="Comma 2 2 4 5 4 2 2 3" xfId="48513" xr:uid="{00000000-0005-0000-0000-000076250000}"/>
    <cellStyle name="Comma 2 2 4 5 4 2 2 4" xfId="27683" xr:uid="{00000000-0005-0000-0000-000077250000}"/>
    <cellStyle name="Comma 2 2 4 5 4 2 3" xfId="6852" xr:uid="{00000000-0005-0000-0000-000078250000}"/>
    <cellStyle name="Comma 2 2 4 5 4 2 3 2" xfId="30131" xr:uid="{00000000-0005-0000-0000-000079250000}"/>
    <cellStyle name="Comma 2 2 4 5 4 2 4" xfId="9300" xr:uid="{00000000-0005-0000-0000-00007A250000}"/>
    <cellStyle name="Comma 2 2 4 5 4 2 4 2" xfId="32579" xr:uid="{00000000-0005-0000-0000-00007B250000}"/>
    <cellStyle name="Comma 2 2 4 5 4 2 5" xfId="11748" xr:uid="{00000000-0005-0000-0000-00007C250000}"/>
    <cellStyle name="Comma 2 2 4 5 4 2 5 2" xfId="35027" xr:uid="{00000000-0005-0000-0000-00007D250000}"/>
    <cellStyle name="Comma 2 2 4 5 4 2 6" xfId="14196" xr:uid="{00000000-0005-0000-0000-00007E250000}"/>
    <cellStyle name="Comma 2 2 4 5 4 2 6 2" xfId="37475" xr:uid="{00000000-0005-0000-0000-00007F250000}"/>
    <cellStyle name="Comma 2 2 4 5 4 2 7" xfId="17891" xr:uid="{00000000-0005-0000-0000-000080250000}"/>
    <cellStyle name="Comma 2 2 4 5 4 2 7 2" xfId="41169" xr:uid="{00000000-0005-0000-0000-000081250000}"/>
    <cellStyle name="Comma 2 2 4 5 4 2 8" xfId="25235" xr:uid="{00000000-0005-0000-0000-000082250000}"/>
    <cellStyle name="Comma 2 2 4 5 4 2 9" xfId="46065" xr:uid="{00000000-0005-0000-0000-000083250000}"/>
    <cellStyle name="Comma 2 2 4 5 4 3" xfId="3180" xr:uid="{00000000-0005-0000-0000-000084250000}"/>
    <cellStyle name="Comma 2 2 4 5 4 3 2" xfId="16667" xr:uid="{00000000-0005-0000-0000-000085250000}"/>
    <cellStyle name="Comma 2 2 4 5 4 3 2 2" xfId="39945" xr:uid="{00000000-0005-0000-0000-000086250000}"/>
    <cellStyle name="Comma 2 2 4 5 4 3 3" xfId="47289" xr:uid="{00000000-0005-0000-0000-000087250000}"/>
    <cellStyle name="Comma 2 2 4 5 4 3 4" xfId="26459" xr:uid="{00000000-0005-0000-0000-000088250000}"/>
    <cellStyle name="Comma 2 2 4 5 4 4" xfId="5628" xr:uid="{00000000-0005-0000-0000-000089250000}"/>
    <cellStyle name="Comma 2 2 4 5 4 4 2" xfId="19115" xr:uid="{00000000-0005-0000-0000-00008A250000}"/>
    <cellStyle name="Comma 2 2 4 5 4 4 2 2" xfId="42393" xr:uid="{00000000-0005-0000-0000-00008B250000}"/>
    <cellStyle name="Comma 2 2 4 5 4 4 3" xfId="28907" xr:uid="{00000000-0005-0000-0000-00008C250000}"/>
    <cellStyle name="Comma 2 2 4 5 4 5" xfId="8076" xr:uid="{00000000-0005-0000-0000-00008D250000}"/>
    <cellStyle name="Comma 2 2 4 5 4 5 2" xfId="31355" xr:uid="{00000000-0005-0000-0000-00008E250000}"/>
    <cellStyle name="Comma 2 2 4 5 4 6" xfId="10524" xr:uid="{00000000-0005-0000-0000-00008F250000}"/>
    <cellStyle name="Comma 2 2 4 5 4 6 2" xfId="33803" xr:uid="{00000000-0005-0000-0000-000090250000}"/>
    <cellStyle name="Comma 2 2 4 5 4 7" xfId="12972" xr:uid="{00000000-0005-0000-0000-000091250000}"/>
    <cellStyle name="Comma 2 2 4 5 4 7 2" xfId="36251" xr:uid="{00000000-0005-0000-0000-000092250000}"/>
    <cellStyle name="Comma 2 2 4 5 4 8" xfId="15443" xr:uid="{00000000-0005-0000-0000-000093250000}"/>
    <cellStyle name="Comma 2 2 4 5 4 8 2" xfId="38721" xr:uid="{00000000-0005-0000-0000-000094250000}"/>
    <cellStyle name="Comma 2 2 4 5 4 9" xfId="24011" xr:uid="{00000000-0005-0000-0000-000095250000}"/>
    <cellStyle name="Comma 2 2 4 5 5" xfId="1344" xr:uid="{00000000-0005-0000-0000-000096250000}"/>
    <cellStyle name="Comma 2 2 4 5 5 10" xfId="22175" xr:uid="{00000000-0005-0000-0000-000097250000}"/>
    <cellStyle name="Comma 2 2 4 5 5 2" xfId="3792" xr:uid="{00000000-0005-0000-0000-000098250000}"/>
    <cellStyle name="Comma 2 2 4 5 5 2 2" xfId="19727" xr:uid="{00000000-0005-0000-0000-000099250000}"/>
    <cellStyle name="Comma 2 2 4 5 5 2 2 2" xfId="43005" xr:uid="{00000000-0005-0000-0000-00009A250000}"/>
    <cellStyle name="Comma 2 2 4 5 5 2 3" xfId="47901" xr:uid="{00000000-0005-0000-0000-00009B250000}"/>
    <cellStyle name="Comma 2 2 4 5 5 2 4" xfId="27071" xr:uid="{00000000-0005-0000-0000-00009C250000}"/>
    <cellStyle name="Comma 2 2 4 5 5 3" xfId="6240" xr:uid="{00000000-0005-0000-0000-00009D250000}"/>
    <cellStyle name="Comma 2 2 4 5 5 3 2" xfId="29519" xr:uid="{00000000-0005-0000-0000-00009E250000}"/>
    <cellStyle name="Comma 2 2 4 5 5 4" xfId="8688" xr:uid="{00000000-0005-0000-0000-00009F250000}"/>
    <cellStyle name="Comma 2 2 4 5 5 4 2" xfId="31967" xr:uid="{00000000-0005-0000-0000-0000A0250000}"/>
    <cellStyle name="Comma 2 2 4 5 5 5" xfId="11136" xr:uid="{00000000-0005-0000-0000-0000A1250000}"/>
    <cellStyle name="Comma 2 2 4 5 5 5 2" xfId="34415" xr:uid="{00000000-0005-0000-0000-0000A2250000}"/>
    <cellStyle name="Comma 2 2 4 5 5 6" xfId="13584" xr:uid="{00000000-0005-0000-0000-0000A3250000}"/>
    <cellStyle name="Comma 2 2 4 5 5 6 2" xfId="36863" xr:uid="{00000000-0005-0000-0000-0000A4250000}"/>
    <cellStyle name="Comma 2 2 4 5 5 7" xfId="17279" xr:uid="{00000000-0005-0000-0000-0000A5250000}"/>
    <cellStyle name="Comma 2 2 4 5 5 7 2" xfId="40557" xr:uid="{00000000-0005-0000-0000-0000A6250000}"/>
    <cellStyle name="Comma 2 2 4 5 5 8" xfId="24623" xr:uid="{00000000-0005-0000-0000-0000A7250000}"/>
    <cellStyle name="Comma 2 2 4 5 5 9" xfId="45453" xr:uid="{00000000-0005-0000-0000-0000A8250000}"/>
    <cellStyle name="Comma 2 2 4 5 6" xfId="2568" xr:uid="{00000000-0005-0000-0000-0000A9250000}"/>
    <cellStyle name="Comma 2 2 4 5 6 2" xfId="16055" xr:uid="{00000000-0005-0000-0000-0000AA250000}"/>
    <cellStyle name="Comma 2 2 4 5 6 2 2" xfId="39333" xr:uid="{00000000-0005-0000-0000-0000AB250000}"/>
    <cellStyle name="Comma 2 2 4 5 6 3" xfId="46677" xr:uid="{00000000-0005-0000-0000-0000AC250000}"/>
    <cellStyle name="Comma 2 2 4 5 6 4" xfId="25847" xr:uid="{00000000-0005-0000-0000-0000AD250000}"/>
    <cellStyle name="Comma 2 2 4 5 7" xfId="5016" xr:uid="{00000000-0005-0000-0000-0000AE250000}"/>
    <cellStyle name="Comma 2 2 4 5 7 2" xfId="18503" xr:uid="{00000000-0005-0000-0000-0000AF250000}"/>
    <cellStyle name="Comma 2 2 4 5 7 2 2" xfId="41781" xr:uid="{00000000-0005-0000-0000-0000B0250000}"/>
    <cellStyle name="Comma 2 2 4 5 7 3" xfId="28295" xr:uid="{00000000-0005-0000-0000-0000B1250000}"/>
    <cellStyle name="Comma 2 2 4 5 8" xfId="7464" xr:uid="{00000000-0005-0000-0000-0000B2250000}"/>
    <cellStyle name="Comma 2 2 4 5 8 2" xfId="30743" xr:uid="{00000000-0005-0000-0000-0000B3250000}"/>
    <cellStyle name="Comma 2 2 4 5 9" xfId="9912" xr:uid="{00000000-0005-0000-0000-0000B4250000}"/>
    <cellStyle name="Comma 2 2 4 5 9 2" xfId="33191" xr:uid="{00000000-0005-0000-0000-0000B5250000}"/>
    <cellStyle name="Comma 2 2 4 6" xfId="188" xr:uid="{00000000-0005-0000-0000-0000B6250000}"/>
    <cellStyle name="Comma 2 2 4 6 10" xfId="12428" xr:uid="{00000000-0005-0000-0000-0000B7250000}"/>
    <cellStyle name="Comma 2 2 4 6 10 2" xfId="35707" xr:uid="{00000000-0005-0000-0000-0000B8250000}"/>
    <cellStyle name="Comma 2 2 4 6 11" xfId="14899" xr:uid="{00000000-0005-0000-0000-0000B9250000}"/>
    <cellStyle name="Comma 2 2 4 6 11 2" xfId="38177" xr:uid="{00000000-0005-0000-0000-0000BA250000}"/>
    <cellStyle name="Comma 2 2 4 6 12" xfId="23467" xr:uid="{00000000-0005-0000-0000-0000BB250000}"/>
    <cellStyle name="Comma 2 2 4 6 13" xfId="44297" xr:uid="{00000000-0005-0000-0000-0000BC250000}"/>
    <cellStyle name="Comma 2 2 4 6 14" xfId="21019" xr:uid="{00000000-0005-0000-0000-0000BD250000}"/>
    <cellStyle name="Comma 2 2 4 6 2" xfId="392" xr:uid="{00000000-0005-0000-0000-0000BE250000}"/>
    <cellStyle name="Comma 2 2 4 6 2 10" xfId="23671" xr:uid="{00000000-0005-0000-0000-0000BF250000}"/>
    <cellStyle name="Comma 2 2 4 6 2 11" xfId="44501" xr:uid="{00000000-0005-0000-0000-0000C0250000}"/>
    <cellStyle name="Comma 2 2 4 6 2 12" xfId="21223" xr:uid="{00000000-0005-0000-0000-0000C1250000}"/>
    <cellStyle name="Comma 2 2 4 6 2 2" xfId="1004" xr:uid="{00000000-0005-0000-0000-0000C2250000}"/>
    <cellStyle name="Comma 2 2 4 6 2 2 10" xfId="45113" xr:uid="{00000000-0005-0000-0000-0000C3250000}"/>
    <cellStyle name="Comma 2 2 4 6 2 2 11" xfId="21835" xr:uid="{00000000-0005-0000-0000-0000C4250000}"/>
    <cellStyle name="Comma 2 2 4 6 2 2 2" xfId="2228" xr:uid="{00000000-0005-0000-0000-0000C5250000}"/>
    <cellStyle name="Comma 2 2 4 6 2 2 2 10" xfId="23059" xr:uid="{00000000-0005-0000-0000-0000C6250000}"/>
    <cellStyle name="Comma 2 2 4 6 2 2 2 2" xfId="4676" xr:uid="{00000000-0005-0000-0000-0000C7250000}"/>
    <cellStyle name="Comma 2 2 4 6 2 2 2 2 2" xfId="20611" xr:uid="{00000000-0005-0000-0000-0000C8250000}"/>
    <cellStyle name="Comma 2 2 4 6 2 2 2 2 2 2" xfId="43889" xr:uid="{00000000-0005-0000-0000-0000C9250000}"/>
    <cellStyle name="Comma 2 2 4 6 2 2 2 2 3" xfId="48785" xr:uid="{00000000-0005-0000-0000-0000CA250000}"/>
    <cellStyle name="Comma 2 2 4 6 2 2 2 2 4" xfId="27955" xr:uid="{00000000-0005-0000-0000-0000CB250000}"/>
    <cellStyle name="Comma 2 2 4 6 2 2 2 3" xfId="7124" xr:uid="{00000000-0005-0000-0000-0000CC250000}"/>
    <cellStyle name="Comma 2 2 4 6 2 2 2 3 2" xfId="30403" xr:uid="{00000000-0005-0000-0000-0000CD250000}"/>
    <cellStyle name="Comma 2 2 4 6 2 2 2 4" xfId="9572" xr:uid="{00000000-0005-0000-0000-0000CE250000}"/>
    <cellStyle name="Comma 2 2 4 6 2 2 2 4 2" xfId="32851" xr:uid="{00000000-0005-0000-0000-0000CF250000}"/>
    <cellStyle name="Comma 2 2 4 6 2 2 2 5" xfId="12020" xr:uid="{00000000-0005-0000-0000-0000D0250000}"/>
    <cellStyle name="Comma 2 2 4 6 2 2 2 5 2" xfId="35299" xr:uid="{00000000-0005-0000-0000-0000D1250000}"/>
    <cellStyle name="Comma 2 2 4 6 2 2 2 6" xfId="14468" xr:uid="{00000000-0005-0000-0000-0000D2250000}"/>
    <cellStyle name="Comma 2 2 4 6 2 2 2 6 2" xfId="37747" xr:uid="{00000000-0005-0000-0000-0000D3250000}"/>
    <cellStyle name="Comma 2 2 4 6 2 2 2 7" xfId="18163" xr:uid="{00000000-0005-0000-0000-0000D4250000}"/>
    <cellStyle name="Comma 2 2 4 6 2 2 2 7 2" xfId="41441" xr:uid="{00000000-0005-0000-0000-0000D5250000}"/>
    <cellStyle name="Comma 2 2 4 6 2 2 2 8" xfId="25507" xr:uid="{00000000-0005-0000-0000-0000D6250000}"/>
    <cellStyle name="Comma 2 2 4 6 2 2 2 9" xfId="46337" xr:uid="{00000000-0005-0000-0000-0000D7250000}"/>
    <cellStyle name="Comma 2 2 4 6 2 2 3" xfId="3452" xr:uid="{00000000-0005-0000-0000-0000D8250000}"/>
    <cellStyle name="Comma 2 2 4 6 2 2 3 2" xfId="16939" xr:uid="{00000000-0005-0000-0000-0000D9250000}"/>
    <cellStyle name="Comma 2 2 4 6 2 2 3 2 2" xfId="40217" xr:uid="{00000000-0005-0000-0000-0000DA250000}"/>
    <cellStyle name="Comma 2 2 4 6 2 2 3 3" xfId="47561" xr:uid="{00000000-0005-0000-0000-0000DB250000}"/>
    <cellStyle name="Comma 2 2 4 6 2 2 3 4" xfId="26731" xr:uid="{00000000-0005-0000-0000-0000DC250000}"/>
    <cellStyle name="Comma 2 2 4 6 2 2 4" xfId="5900" xr:uid="{00000000-0005-0000-0000-0000DD250000}"/>
    <cellStyle name="Comma 2 2 4 6 2 2 4 2" xfId="19387" xr:uid="{00000000-0005-0000-0000-0000DE250000}"/>
    <cellStyle name="Comma 2 2 4 6 2 2 4 2 2" xfId="42665" xr:uid="{00000000-0005-0000-0000-0000DF250000}"/>
    <cellStyle name="Comma 2 2 4 6 2 2 4 3" xfId="29179" xr:uid="{00000000-0005-0000-0000-0000E0250000}"/>
    <cellStyle name="Comma 2 2 4 6 2 2 5" xfId="8348" xr:uid="{00000000-0005-0000-0000-0000E1250000}"/>
    <cellStyle name="Comma 2 2 4 6 2 2 5 2" xfId="31627" xr:uid="{00000000-0005-0000-0000-0000E2250000}"/>
    <cellStyle name="Comma 2 2 4 6 2 2 6" xfId="10796" xr:uid="{00000000-0005-0000-0000-0000E3250000}"/>
    <cellStyle name="Comma 2 2 4 6 2 2 6 2" xfId="34075" xr:uid="{00000000-0005-0000-0000-0000E4250000}"/>
    <cellStyle name="Comma 2 2 4 6 2 2 7" xfId="13244" xr:uid="{00000000-0005-0000-0000-0000E5250000}"/>
    <cellStyle name="Comma 2 2 4 6 2 2 7 2" xfId="36523" xr:uid="{00000000-0005-0000-0000-0000E6250000}"/>
    <cellStyle name="Comma 2 2 4 6 2 2 8" xfId="15715" xr:uid="{00000000-0005-0000-0000-0000E7250000}"/>
    <cellStyle name="Comma 2 2 4 6 2 2 8 2" xfId="38993" xr:uid="{00000000-0005-0000-0000-0000E8250000}"/>
    <cellStyle name="Comma 2 2 4 6 2 2 9" xfId="24283" xr:uid="{00000000-0005-0000-0000-0000E9250000}"/>
    <cellStyle name="Comma 2 2 4 6 2 3" xfId="1616" xr:uid="{00000000-0005-0000-0000-0000EA250000}"/>
    <cellStyle name="Comma 2 2 4 6 2 3 10" xfId="22447" xr:uid="{00000000-0005-0000-0000-0000EB250000}"/>
    <cellStyle name="Comma 2 2 4 6 2 3 2" xfId="4064" xr:uid="{00000000-0005-0000-0000-0000EC250000}"/>
    <cellStyle name="Comma 2 2 4 6 2 3 2 2" xfId="19999" xr:uid="{00000000-0005-0000-0000-0000ED250000}"/>
    <cellStyle name="Comma 2 2 4 6 2 3 2 2 2" xfId="43277" xr:uid="{00000000-0005-0000-0000-0000EE250000}"/>
    <cellStyle name="Comma 2 2 4 6 2 3 2 3" xfId="48173" xr:uid="{00000000-0005-0000-0000-0000EF250000}"/>
    <cellStyle name="Comma 2 2 4 6 2 3 2 4" xfId="27343" xr:uid="{00000000-0005-0000-0000-0000F0250000}"/>
    <cellStyle name="Comma 2 2 4 6 2 3 3" xfId="6512" xr:uid="{00000000-0005-0000-0000-0000F1250000}"/>
    <cellStyle name="Comma 2 2 4 6 2 3 3 2" xfId="29791" xr:uid="{00000000-0005-0000-0000-0000F2250000}"/>
    <cellStyle name="Comma 2 2 4 6 2 3 4" xfId="8960" xr:uid="{00000000-0005-0000-0000-0000F3250000}"/>
    <cellStyle name="Comma 2 2 4 6 2 3 4 2" xfId="32239" xr:uid="{00000000-0005-0000-0000-0000F4250000}"/>
    <cellStyle name="Comma 2 2 4 6 2 3 5" xfId="11408" xr:uid="{00000000-0005-0000-0000-0000F5250000}"/>
    <cellStyle name="Comma 2 2 4 6 2 3 5 2" xfId="34687" xr:uid="{00000000-0005-0000-0000-0000F6250000}"/>
    <cellStyle name="Comma 2 2 4 6 2 3 6" xfId="13856" xr:uid="{00000000-0005-0000-0000-0000F7250000}"/>
    <cellStyle name="Comma 2 2 4 6 2 3 6 2" xfId="37135" xr:uid="{00000000-0005-0000-0000-0000F8250000}"/>
    <cellStyle name="Comma 2 2 4 6 2 3 7" xfId="17551" xr:uid="{00000000-0005-0000-0000-0000F9250000}"/>
    <cellStyle name="Comma 2 2 4 6 2 3 7 2" xfId="40829" xr:uid="{00000000-0005-0000-0000-0000FA250000}"/>
    <cellStyle name="Comma 2 2 4 6 2 3 8" xfId="24895" xr:uid="{00000000-0005-0000-0000-0000FB250000}"/>
    <cellStyle name="Comma 2 2 4 6 2 3 9" xfId="45725" xr:uid="{00000000-0005-0000-0000-0000FC250000}"/>
    <cellStyle name="Comma 2 2 4 6 2 4" xfId="2840" xr:uid="{00000000-0005-0000-0000-0000FD250000}"/>
    <cellStyle name="Comma 2 2 4 6 2 4 2" xfId="16327" xr:uid="{00000000-0005-0000-0000-0000FE250000}"/>
    <cellStyle name="Comma 2 2 4 6 2 4 2 2" xfId="39605" xr:uid="{00000000-0005-0000-0000-0000FF250000}"/>
    <cellStyle name="Comma 2 2 4 6 2 4 3" xfId="46949" xr:uid="{00000000-0005-0000-0000-000000260000}"/>
    <cellStyle name="Comma 2 2 4 6 2 4 4" xfId="26119" xr:uid="{00000000-0005-0000-0000-000001260000}"/>
    <cellStyle name="Comma 2 2 4 6 2 5" xfId="5288" xr:uid="{00000000-0005-0000-0000-000002260000}"/>
    <cellStyle name="Comma 2 2 4 6 2 5 2" xfId="18775" xr:uid="{00000000-0005-0000-0000-000003260000}"/>
    <cellStyle name="Comma 2 2 4 6 2 5 2 2" xfId="42053" xr:uid="{00000000-0005-0000-0000-000004260000}"/>
    <cellStyle name="Comma 2 2 4 6 2 5 3" xfId="28567" xr:uid="{00000000-0005-0000-0000-000005260000}"/>
    <cellStyle name="Comma 2 2 4 6 2 6" xfId="7736" xr:uid="{00000000-0005-0000-0000-000006260000}"/>
    <cellStyle name="Comma 2 2 4 6 2 6 2" xfId="31015" xr:uid="{00000000-0005-0000-0000-000007260000}"/>
    <cellStyle name="Comma 2 2 4 6 2 7" xfId="10184" xr:uid="{00000000-0005-0000-0000-000008260000}"/>
    <cellStyle name="Comma 2 2 4 6 2 7 2" xfId="33463" xr:uid="{00000000-0005-0000-0000-000009260000}"/>
    <cellStyle name="Comma 2 2 4 6 2 8" xfId="12632" xr:uid="{00000000-0005-0000-0000-00000A260000}"/>
    <cellStyle name="Comma 2 2 4 6 2 8 2" xfId="35911" xr:uid="{00000000-0005-0000-0000-00000B260000}"/>
    <cellStyle name="Comma 2 2 4 6 2 9" xfId="15103" xr:uid="{00000000-0005-0000-0000-00000C260000}"/>
    <cellStyle name="Comma 2 2 4 6 2 9 2" xfId="38381" xr:uid="{00000000-0005-0000-0000-00000D260000}"/>
    <cellStyle name="Comma 2 2 4 6 3" xfId="596" xr:uid="{00000000-0005-0000-0000-00000E260000}"/>
    <cellStyle name="Comma 2 2 4 6 3 10" xfId="23875" xr:uid="{00000000-0005-0000-0000-00000F260000}"/>
    <cellStyle name="Comma 2 2 4 6 3 11" xfId="44705" xr:uid="{00000000-0005-0000-0000-000010260000}"/>
    <cellStyle name="Comma 2 2 4 6 3 12" xfId="21427" xr:uid="{00000000-0005-0000-0000-000011260000}"/>
    <cellStyle name="Comma 2 2 4 6 3 2" xfId="1208" xr:uid="{00000000-0005-0000-0000-000012260000}"/>
    <cellStyle name="Comma 2 2 4 6 3 2 10" xfId="45317" xr:uid="{00000000-0005-0000-0000-000013260000}"/>
    <cellStyle name="Comma 2 2 4 6 3 2 11" xfId="22039" xr:uid="{00000000-0005-0000-0000-000014260000}"/>
    <cellStyle name="Comma 2 2 4 6 3 2 2" xfId="2432" xr:uid="{00000000-0005-0000-0000-000015260000}"/>
    <cellStyle name="Comma 2 2 4 6 3 2 2 10" xfId="23263" xr:uid="{00000000-0005-0000-0000-000016260000}"/>
    <cellStyle name="Comma 2 2 4 6 3 2 2 2" xfId="4880" xr:uid="{00000000-0005-0000-0000-000017260000}"/>
    <cellStyle name="Comma 2 2 4 6 3 2 2 2 2" xfId="20815" xr:uid="{00000000-0005-0000-0000-000018260000}"/>
    <cellStyle name="Comma 2 2 4 6 3 2 2 2 2 2" xfId="44093" xr:uid="{00000000-0005-0000-0000-000019260000}"/>
    <cellStyle name="Comma 2 2 4 6 3 2 2 2 3" xfId="48989" xr:uid="{00000000-0005-0000-0000-00001A260000}"/>
    <cellStyle name="Comma 2 2 4 6 3 2 2 2 4" xfId="28159" xr:uid="{00000000-0005-0000-0000-00001B260000}"/>
    <cellStyle name="Comma 2 2 4 6 3 2 2 3" xfId="7328" xr:uid="{00000000-0005-0000-0000-00001C260000}"/>
    <cellStyle name="Comma 2 2 4 6 3 2 2 3 2" xfId="30607" xr:uid="{00000000-0005-0000-0000-00001D260000}"/>
    <cellStyle name="Comma 2 2 4 6 3 2 2 4" xfId="9776" xr:uid="{00000000-0005-0000-0000-00001E260000}"/>
    <cellStyle name="Comma 2 2 4 6 3 2 2 4 2" xfId="33055" xr:uid="{00000000-0005-0000-0000-00001F260000}"/>
    <cellStyle name="Comma 2 2 4 6 3 2 2 5" xfId="12224" xr:uid="{00000000-0005-0000-0000-000020260000}"/>
    <cellStyle name="Comma 2 2 4 6 3 2 2 5 2" xfId="35503" xr:uid="{00000000-0005-0000-0000-000021260000}"/>
    <cellStyle name="Comma 2 2 4 6 3 2 2 6" xfId="14672" xr:uid="{00000000-0005-0000-0000-000022260000}"/>
    <cellStyle name="Comma 2 2 4 6 3 2 2 6 2" xfId="37951" xr:uid="{00000000-0005-0000-0000-000023260000}"/>
    <cellStyle name="Comma 2 2 4 6 3 2 2 7" xfId="18367" xr:uid="{00000000-0005-0000-0000-000024260000}"/>
    <cellStyle name="Comma 2 2 4 6 3 2 2 7 2" xfId="41645" xr:uid="{00000000-0005-0000-0000-000025260000}"/>
    <cellStyle name="Comma 2 2 4 6 3 2 2 8" xfId="25711" xr:uid="{00000000-0005-0000-0000-000026260000}"/>
    <cellStyle name="Comma 2 2 4 6 3 2 2 9" xfId="46541" xr:uid="{00000000-0005-0000-0000-000027260000}"/>
    <cellStyle name="Comma 2 2 4 6 3 2 3" xfId="3656" xr:uid="{00000000-0005-0000-0000-000028260000}"/>
    <cellStyle name="Comma 2 2 4 6 3 2 3 2" xfId="17143" xr:uid="{00000000-0005-0000-0000-000029260000}"/>
    <cellStyle name="Comma 2 2 4 6 3 2 3 2 2" xfId="40421" xr:uid="{00000000-0005-0000-0000-00002A260000}"/>
    <cellStyle name="Comma 2 2 4 6 3 2 3 3" xfId="47765" xr:uid="{00000000-0005-0000-0000-00002B260000}"/>
    <cellStyle name="Comma 2 2 4 6 3 2 3 4" xfId="26935" xr:uid="{00000000-0005-0000-0000-00002C260000}"/>
    <cellStyle name="Comma 2 2 4 6 3 2 4" xfId="6104" xr:uid="{00000000-0005-0000-0000-00002D260000}"/>
    <cellStyle name="Comma 2 2 4 6 3 2 4 2" xfId="19591" xr:uid="{00000000-0005-0000-0000-00002E260000}"/>
    <cellStyle name="Comma 2 2 4 6 3 2 4 2 2" xfId="42869" xr:uid="{00000000-0005-0000-0000-00002F260000}"/>
    <cellStyle name="Comma 2 2 4 6 3 2 4 3" xfId="29383" xr:uid="{00000000-0005-0000-0000-000030260000}"/>
    <cellStyle name="Comma 2 2 4 6 3 2 5" xfId="8552" xr:uid="{00000000-0005-0000-0000-000031260000}"/>
    <cellStyle name="Comma 2 2 4 6 3 2 5 2" xfId="31831" xr:uid="{00000000-0005-0000-0000-000032260000}"/>
    <cellStyle name="Comma 2 2 4 6 3 2 6" xfId="11000" xr:uid="{00000000-0005-0000-0000-000033260000}"/>
    <cellStyle name="Comma 2 2 4 6 3 2 6 2" xfId="34279" xr:uid="{00000000-0005-0000-0000-000034260000}"/>
    <cellStyle name="Comma 2 2 4 6 3 2 7" xfId="13448" xr:uid="{00000000-0005-0000-0000-000035260000}"/>
    <cellStyle name="Comma 2 2 4 6 3 2 7 2" xfId="36727" xr:uid="{00000000-0005-0000-0000-000036260000}"/>
    <cellStyle name="Comma 2 2 4 6 3 2 8" xfId="15919" xr:uid="{00000000-0005-0000-0000-000037260000}"/>
    <cellStyle name="Comma 2 2 4 6 3 2 8 2" xfId="39197" xr:uid="{00000000-0005-0000-0000-000038260000}"/>
    <cellStyle name="Comma 2 2 4 6 3 2 9" xfId="24487" xr:uid="{00000000-0005-0000-0000-000039260000}"/>
    <cellStyle name="Comma 2 2 4 6 3 3" xfId="1820" xr:uid="{00000000-0005-0000-0000-00003A260000}"/>
    <cellStyle name="Comma 2 2 4 6 3 3 10" xfId="22651" xr:uid="{00000000-0005-0000-0000-00003B260000}"/>
    <cellStyle name="Comma 2 2 4 6 3 3 2" xfId="4268" xr:uid="{00000000-0005-0000-0000-00003C260000}"/>
    <cellStyle name="Comma 2 2 4 6 3 3 2 2" xfId="20203" xr:uid="{00000000-0005-0000-0000-00003D260000}"/>
    <cellStyle name="Comma 2 2 4 6 3 3 2 2 2" xfId="43481" xr:uid="{00000000-0005-0000-0000-00003E260000}"/>
    <cellStyle name="Comma 2 2 4 6 3 3 2 3" xfId="48377" xr:uid="{00000000-0005-0000-0000-00003F260000}"/>
    <cellStyle name="Comma 2 2 4 6 3 3 2 4" xfId="27547" xr:uid="{00000000-0005-0000-0000-000040260000}"/>
    <cellStyle name="Comma 2 2 4 6 3 3 3" xfId="6716" xr:uid="{00000000-0005-0000-0000-000041260000}"/>
    <cellStyle name="Comma 2 2 4 6 3 3 3 2" xfId="29995" xr:uid="{00000000-0005-0000-0000-000042260000}"/>
    <cellStyle name="Comma 2 2 4 6 3 3 4" xfId="9164" xr:uid="{00000000-0005-0000-0000-000043260000}"/>
    <cellStyle name="Comma 2 2 4 6 3 3 4 2" xfId="32443" xr:uid="{00000000-0005-0000-0000-000044260000}"/>
    <cellStyle name="Comma 2 2 4 6 3 3 5" xfId="11612" xr:uid="{00000000-0005-0000-0000-000045260000}"/>
    <cellStyle name="Comma 2 2 4 6 3 3 5 2" xfId="34891" xr:uid="{00000000-0005-0000-0000-000046260000}"/>
    <cellStyle name="Comma 2 2 4 6 3 3 6" xfId="14060" xr:uid="{00000000-0005-0000-0000-000047260000}"/>
    <cellStyle name="Comma 2 2 4 6 3 3 6 2" xfId="37339" xr:uid="{00000000-0005-0000-0000-000048260000}"/>
    <cellStyle name="Comma 2 2 4 6 3 3 7" xfId="17755" xr:uid="{00000000-0005-0000-0000-000049260000}"/>
    <cellStyle name="Comma 2 2 4 6 3 3 7 2" xfId="41033" xr:uid="{00000000-0005-0000-0000-00004A260000}"/>
    <cellStyle name="Comma 2 2 4 6 3 3 8" xfId="25099" xr:uid="{00000000-0005-0000-0000-00004B260000}"/>
    <cellStyle name="Comma 2 2 4 6 3 3 9" xfId="45929" xr:uid="{00000000-0005-0000-0000-00004C260000}"/>
    <cellStyle name="Comma 2 2 4 6 3 4" xfId="3044" xr:uid="{00000000-0005-0000-0000-00004D260000}"/>
    <cellStyle name="Comma 2 2 4 6 3 4 2" xfId="16531" xr:uid="{00000000-0005-0000-0000-00004E260000}"/>
    <cellStyle name="Comma 2 2 4 6 3 4 2 2" xfId="39809" xr:uid="{00000000-0005-0000-0000-00004F260000}"/>
    <cellStyle name="Comma 2 2 4 6 3 4 3" xfId="47153" xr:uid="{00000000-0005-0000-0000-000050260000}"/>
    <cellStyle name="Comma 2 2 4 6 3 4 4" xfId="26323" xr:uid="{00000000-0005-0000-0000-000051260000}"/>
    <cellStyle name="Comma 2 2 4 6 3 5" xfId="5492" xr:uid="{00000000-0005-0000-0000-000052260000}"/>
    <cellStyle name="Comma 2 2 4 6 3 5 2" xfId="18979" xr:uid="{00000000-0005-0000-0000-000053260000}"/>
    <cellStyle name="Comma 2 2 4 6 3 5 2 2" xfId="42257" xr:uid="{00000000-0005-0000-0000-000054260000}"/>
    <cellStyle name="Comma 2 2 4 6 3 5 3" xfId="28771" xr:uid="{00000000-0005-0000-0000-000055260000}"/>
    <cellStyle name="Comma 2 2 4 6 3 6" xfId="7940" xr:uid="{00000000-0005-0000-0000-000056260000}"/>
    <cellStyle name="Comma 2 2 4 6 3 6 2" xfId="31219" xr:uid="{00000000-0005-0000-0000-000057260000}"/>
    <cellStyle name="Comma 2 2 4 6 3 7" xfId="10388" xr:uid="{00000000-0005-0000-0000-000058260000}"/>
    <cellStyle name="Comma 2 2 4 6 3 7 2" xfId="33667" xr:uid="{00000000-0005-0000-0000-000059260000}"/>
    <cellStyle name="Comma 2 2 4 6 3 8" xfId="12836" xr:uid="{00000000-0005-0000-0000-00005A260000}"/>
    <cellStyle name="Comma 2 2 4 6 3 8 2" xfId="36115" xr:uid="{00000000-0005-0000-0000-00005B260000}"/>
    <cellStyle name="Comma 2 2 4 6 3 9" xfId="15307" xr:uid="{00000000-0005-0000-0000-00005C260000}"/>
    <cellStyle name="Comma 2 2 4 6 3 9 2" xfId="38585" xr:uid="{00000000-0005-0000-0000-00005D260000}"/>
    <cellStyle name="Comma 2 2 4 6 4" xfId="800" xr:uid="{00000000-0005-0000-0000-00005E260000}"/>
    <cellStyle name="Comma 2 2 4 6 4 10" xfId="44909" xr:uid="{00000000-0005-0000-0000-00005F260000}"/>
    <cellStyle name="Comma 2 2 4 6 4 11" xfId="21631" xr:uid="{00000000-0005-0000-0000-000060260000}"/>
    <cellStyle name="Comma 2 2 4 6 4 2" xfId="2024" xr:uid="{00000000-0005-0000-0000-000061260000}"/>
    <cellStyle name="Comma 2 2 4 6 4 2 10" xfId="22855" xr:uid="{00000000-0005-0000-0000-000062260000}"/>
    <cellStyle name="Comma 2 2 4 6 4 2 2" xfId="4472" xr:uid="{00000000-0005-0000-0000-000063260000}"/>
    <cellStyle name="Comma 2 2 4 6 4 2 2 2" xfId="20407" xr:uid="{00000000-0005-0000-0000-000064260000}"/>
    <cellStyle name="Comma 2 2 4 6 4 2 2 2 2" xfId="43685" xr:uid="{00000000-0005-0000-0000-000065260000}"/>
    <cellStyle name="Comma 2 2 4 6 4 2 2 3" xfId="48581" xr:uid="{00000000-0005-0000-0000-000066260000}"/>
    <cellStyle name="Comma 2 2 4 6 4 2 2 4" xfId="27751" xr:uid="{00000000-0005-0000-0000-000067260000}"/>
    <cellStyle name="Comma 2 2 4 6 4 2 3" xfId="6920" xr:uid="{00000000-0005-0000-0000-000068260000}"/>
    <cellStyle name="Comma 2 2 4 6 4 2 3 2" xfId="30199" xr:uid="{00000000-0005-0000-0000-000069260000}"/>
    <cellStyle name="Comma 2 2 4 6 4 2 4" xfId="9368" xr:uid="{00000000-0005-0000-0000-00006A260000}"/>
    <cellStyle name="Comma 2 2 4 6 4 2 4 2" xfId="32647" xr:uid="{00000000-0005-0000-0000-00006B260000}"/>
    <cellStyle name="Comma 2 2 4 6 4 2 5" xfId="11816" xr:uid="{00000000-0005-0000-0000-00006C260000}"/>
    <cellStyle name="Comma 2 2 4 6 4 2 5 2" xfId="35095" xr:uid="{00000000-0005-0000-0000-00006D260000}"/>
    <cellStyle name="Comma 2 2 4 6 4 2 6" xfId="14264" xr:uid="{00000000-0005-0000-0000-00006E260000}"/>
    <cellStyle name="Comma 2 2 4 6 4 2 6 2" xfId="37543" xr:uid="{00000000-0005-0000-0000-00006F260000}"/>
    <cellStyle name="Comma 2 2 4 6 4 2 7" xfId="17959" xr:uid="{00000000-0005-0000-0000-000070260000}"/>
    <cellStyle name="Comma 2 2 4 6 4 2 7 2" xfId="41237" xr:uid="{00000000-0005-0000-0000-000071260000}"/>
    <cellStyle name="Comma 2 2 4 6 4 2 8" xfId="25303" xr:uid="{00000000-0005-0000-0000-000072260000}"/>
    <cellStyle name="Comma 2 2 4 6 4 2 9" xfId="46133" xr:uid="{00000000-0005-0000-0000-000073260000}"/>
    <cellStyle name="Comma 2 2 4 6 4 3" xfId="3248" xr:uid="{00000000-0005-0000-0000-000074260000}"/>
    <cellStyle name="Comma 2 2 4 6 4 3 2" xfId="16735" xr:uid="{00000000-0005-0000-0000-000075260000}"/>
    <cellStyle name="Comma 2 2 4 6 4 3 2 2" xfId="40013" xr:uid="{00000000-0005-0000-0000-000076260000}"/>
    <cellStyle name="Comma 2 2 4 6 4 3 3" xfId="47357" xr:uid="{00000000-0005-0000-0000-000077260000}"/>
    <cellStyle name="Comma 2 2 4 6 4 3 4" xfId="26527" xr:uid="{00000000-0005-0000-0000-000078260000}"/>
    <cellStyle name="Comma 2 2 4 6 4 4" xfId="5696" xr:uid="{00000000-0005-0000-0000-000079260000}"/>
    <cellStyle name="Comma 2 2 4 6 4 4 2" xfId="19183" xr:uid="{00000000-0005-0000-0000-00007A260000}"/>
    <cellStyle name="Comma 2 2 4 6 4 4 2 2" xfId="42461" xr:uid="{00000000-0005-0000-0000-00007B260000}"/>
    <cellStyle name="Comma 2 2 4 6 4 4 3" xfId="28975" xr:uid="{00000000-0005-0000-0000-00007C260000}"/>
    <cellStyle name="Comma 2 2 4 6 4 5" xfId="8144" xr:uid="{00000000-0005-0000-0000-00007D260000}"/>
    <cellStyle name="Comma 2 2 4 6 4 5 2" xfId="31423" xr:uid="{00000000-0005-0000-0000-00007E260000}"/>
    <cellStyle name="Comma 2 2 4 6 4 6" xfId="10592" xr:uid="{00000000-0005-0000-0000-00007F260000}"/>
    <cellStyle name="Comma 2 2 4 6 4 6 2" xfId="33871" xr:uid="{00000000-0005-0000-0000-000080260000}"/>
    <cellStyle name="Comma 2 2 4 6 4 7" xfId="13040" xr:uid="{00000000-0005-0000-0000-000081260000}"/>
    <cellStyle name="Comma 2 2 4 6 4 7 2" xfId="36319" xr:uid="{00000000-0005-0000-0000-000082260000}"/>
    <cellStyle name="Comma 2 2 4 6 4 8" xfId="15511" xr:uid="{00000000-0005-0000-0000-000083260000}"/>
    <cellStyle name="Comma 2 2 4 6 4 8 2" xfId="38789" xr:uid="{00000000-0005-0000-0000-000084260000}"/>
    <cellStyle name="Comma 2 2 4 6 4 9" xfId="24079" xr:uid="{00000000-0005-0000-0000-000085260000}"/>
    <cellStyle name="Comma 2 2 4 6 5" xfId="1412" xr:uid="{00000000-0005-0000-0000-000086260000}"/>
    <cellStyle name="Comma 2 2 4 6 5 10" xfId="22243" xr:uid="{00000000-0005-0000-0000-000087260000}"/>
    <cellStyle name="Comma 2 2 4 6 5 2" xfId="3860" xr:uid="{00000000-0005-0000-0000-000088260000}"/>
    <cellStyle name="Comma 2 2 4 6 5 2 2" xfId="19795" xr:uid="{00000000-0005-0000-0000-000089260000}"/>
    <cellStyle name="Comma 2 2 4 6 5 2 2 2" xfId="43073" xr:uid="{00000000-0005-0000-0000-00008A260000}"/>
    <cellStyle name="Comma 2 2 4 6 5 2 3" xfId="47969" xr:uid="{00000000-0005-0000-0000-00008B260000}"/>
    <cellStyle name="Comma 2 2 4 6 5 2 4" xfId="27139" xr:uid="{00000000-0005-0000-0000-00008C260000}"/>
    <cellStyle name="Comma 2 2 4 6 5 3" xfId="6308" xr:uid="{00000000-0005-0000-0000-00008D260000}"/>
    <cellStyle name="Comma 2 2 4 6 5 3 2" xfId="29587" xr:uid="{00000000-0005-0000-0000-00008E260000}"/>
    <cellStyle name="Comma 2 2 4 6 5 4" xfId="8756" xr:uid="{00000000-0005-0000-0000-00008F260000}"/>
    <cellStyle name="Comma 2 2 4 6 5 4 2" xfId="32035" xr:uid="{00000000-0005-0000-0000-000090260000}"/>
    <cellStyle name="Comma 2 2 4 6 5 5" xfId="11204" xr:uid="{00000000-0005-0000-0000-000091260000}"/>
    <cellStyle name="Comma 2 2 4 6 5 5 2" xfId="34483" xr:uid="{00000000-0005-0000-0000-000092260000}"/>
    <cellStyle name="Comma 2 2 4 6 5 6" xfId="13652" xr:uid="{00000000-0005-0000-0000-000093260000}"/>
    <cellStyle name="Comma 2 2 4 6 5 6 2" xfId="36931" xr:uid="{00000000-0005-0000-0000-000094260000}"/>
    <cellStyle name="Comma 2 2 4 6 5 7" xfId="17347" xr:uid="{00000000-0005-0000-0000-000095260000}"/>
    <cellStyle name="Comma 2 2 4 6 5 7 2" xfId="40625" xr:uid="{00000000-0005-0000-0000-000096260000}"/>
    <cellStyle name="Comma 2 2 4 6 5 8" xfId="24691" xr:uid="{00000000-0005-0000-0000-000097260000}"/>
    <cellStyle name="Comma 2 2 4 6 5 9" xfId="45521" xr:uid="{00000000-0005-0000-0000-000098260000}"/>
    <cellStyle name="Comma 2 2 4 6 6" xfId="2636" xr:uid="{00000000-0005-0000-0000-000099260000}"/>
    <cellStyle name="Comma 2 2 4 6 6 2" xfId="16123" xr:uid="{00000000-0005-0000-0000-00009A260000}"/>
    <cellStyle name="Comma 2 2 4 6 6 2 2" xfId="39401" xr:uid="{00000000-0005-0000-0000-00009B260000}"/>
    <cellStyle name="Comma 2 2 4 6 6 3" xfId="46745" xr:uid="{00000000-0005-0000-0000-00009C260000}"/>
    <cellStyle name="Comma 2 2 4 6 6 4" xfId="25915" xr:uid="{00000000-0005-0000-0000-00009D260000}"/>
    <cellStyle name="Comma 2 2 4 6 7" xfId="5084" xr:uid="{00000000-0005-0000-0000-00009E260000}"/>
    <cellStyle name="Comma 2 2 4 6 7 2" xfId="18571" xr:uid="{00000000-0005-0000-0000-00009F260000}"/>
    <cellStyle name="Comma 2 2 4 6 7 2 2" xfId="41849" xr:uid="{00000000-0005-0000-0000-0000A0260000}"/>
    <cellStyle name="Comma 2 2 4 6 7 3" xfId="28363" xr:uid="{00000000-0005-0000-0000-0000A1260000}"/>
    <cellStyle name="Comma 2 2 4 6 8" xfId="7532" xr:uid="{00000000-0005-0000-0000-0000A2260000}"/>
    <cellStyle name="Comma 2 2 4 6 8 2" xfId="30811" xr:uid="{00000000-0005-0000-0000-0000A3260000}"/>
    <cellStyle name="Comma 2 2 4 6 9" xfId="9980" xr:uid="{00000000-0005-0000-0000-0000A4260000}"/>
    <cellStyle name="Comma 2 2 4 6 9 2" xfId="33259" xr:uid="{00000000-0005-0000-0000-0000A5260000}"/>
    <cellStyle name="Comma 2 2 4 7" xfId="256" xr:uid="{00000000-0005-0000-0000-0000A6260000}"/>
    <cellStyle name="Comma 2 2 4 7 10" xfId="23535" xr:uid="{00000000-0005-0000-0000-0000A7260000}"/>
    <cellStyle name="Comma 2 2 4 7 11" xfId="44365" xr:uid="{00000000-0005-0000-0000-0000A8260000}"/>
    <cellStyle name="Comma 2 2 4 7 12" xfId="21087" xr:uid="{00000000-0005-0000-0000-0000A9260000}"/>
    <cellStyle name="Comma 2 2 4 7 2" xfId="868" xr:uid="{00000000-0005-0000-0000-0000AA260000}"/>
    <cellStyle name="Comma 2 2 4 7 2 10" xfId="44977" xr:uid="{00000000-0005-0000-0000-0000AB260000}"/>
    <cellStyle name="Comma 2 2 4 7 2 11" xfId="21699" xr:uid="{00000000-0005-0000-0000-0000AC260000}"/>
    <cellStyle name="Comma 2 2 4 7 2 2" xfId="2092" xr:uid="{00000000-0005-0000-0000-0000AD260000}"/>
    <cellStyle name="Comma 2 2 4 7 2 2 10" xfId="22923" xr:uid="{00000000-0005-0000-0000-0000AE260000}"/>
    <cellStyle name="Comma 2 2 4 7 2 2 2" xfId="4540" xr:uid="{00000000-0005-0000-0000-0000AF260000}"/>
    <cellStyle name="Comma 2 2 4 7 2 2 2 2" xfId="20475" xr:uid="{00000000-0005-0000-0000-0000B0260000}"/>
    <cellStyle name="Comma 2 2 4 7 2 2 2 2 2" xfId="43753" xr:uid="{00000000-0005-0000-0000-0000B1260000}"/>
    <cellStyle name="Comma 2 2 4 7 2 2 2 3" xfId="48649" xr:uid="{00000000-0005-0000-0000-0000B2260000}"/>
    <cellStyle name="Comma 2 2 4 7 2 2 2 4" xfId="27819" xr:uid="{00000000-0005-0000-0000-0000B3260000}"/>
    <cellStyle name="Comma 2 2 4 7 2 2 3" xfId="6988" xr:uid="{00000000-0005-0000-0000-0000B4260000}"/>
    <cellStyle name="Comma 2 2 4 7 2 2 3 2" xfId="30267" xr:uid="{00000000-0005-0000-0000-0000B5260000}"/>
    <cellStyle name="Comma 2 2 4 7 2 2 4" xfId="9436" xr:uid="{00000000-0005-0000-0000-0000B6260000}"/>
    <cellStyle name="Comma 2 2 4 7 2 2 4 2" xfId="32715" xr:uid="{00000000-0005-0000-0000-0000B7260000}"/>
    <cellStyle name="Comma 2 2 4 7 2 2 5" xfId="11884" xr:uid="{00000000-0005-0000-0000-0000B8260000}"/>
    <cellStyle name="Comma 2 2 4 7 2 2 5 2" xfId="35163" xr:uid="{00000000-0005-0000-0000-0000B9260000}"/>
    <cellStyle name="Comma 2 2 4 7 2 2 6" xfId="14332" xr:uid="{00000000-0005-0000-0000-0000BA260000}"/>
    <cellStyle name="Comma 2 2 4 7 2 2 6 2" xfId="37611" xr:uid="{00000000-0005-0000-0000-0000BB260000}"/>
    <cellStyle name="Comma 2 2 4 7 2 2 7" xfId="18027" xr:uid="{00000000-0005-0000-0000-0000BC260000}"/>
    <cellStyle name="Comma 2 2 4 7 2 2 7 2" xfId="41305" xr:uid="{00000000-0005-0000-0000-0000BD260000}"/>
    <cellStyle name="Comma 2 2 4 7 2 2 8" xfId="25371" xr:uid="{00000000-0005-0000-0000-0000BE260000}"/>
    <cellStyle name="Comma 2 2 4 7 2 2 9" xfId="46201" xr:uid="{00000000-0005-0000-0000-0000BF260000}"/>
    <cellStyle name="Comma 2 2 4 7 2 3" xfId="3316" xr:uid="{00000000-0005-0000-0000-0000C0260000}"/>
    <cellStyle name="Comma 2 2 4 7 2 3 2" xfId="16803" xr:uid="{00000000-0005-0000-0000-0000C1260000}"/>
    <cellStyle name="Comma 2 2 4 7 2 3 2 2" xfId="40081" xr:uid="{00000000-0005-0000-0000-0000C2260000}"/>
    <cellStyle name="Comma 2 2 4 7 2 3 3" xfId="47425" xr:uid="{00000000-0005-0000-0000-0000C3260000}"/>
    <cellStyle name="Comma 2 2 4 7 2 3 4" xfId="26595" xr:uid="{00000000-0005-0000-0000-0000C4260000}"/>
    <cellStyle name="Comma 2 2 4 7 2 4" xfId="5764" xr:uid="{00000000-0005-0000-0000-0000C5260000}"/>
    <cellStyle name="Comma 2 2 4 7 2 4 2" xfId="19251" xr:uid="{00000000-0005-0000-0000-0000C6260000}"/>
    <cellStyle name="Comma 2 2 4 7 2 4 2 2" xfId="42529" xr:uid="{00000000-0005-0000-0000-0000C7260000}"/>
    <cellStyle name="Comma 2 2 4 7 2 4 3" xfId="29043" xr:uid="{00000000-0005-0000-0000-0000C8260000}"/>
    <cellStyle name="Comma 2 2 4 7 2 5" xfId="8212" xr:uid="{00000000-0005-0000-0000-0000C9260000}"/>
    <cellStyle name="Comma 2 2 4 7 2 5 2" xfId="31491" xr:uid="{00000000-0005-0000-0000-0000CA260000}"/>
    <cellStyle name="Comma 2 2 4 7 2 6" xfId="10660" xr:uid="{00000000-0005-0000-0000-0000CB260000}"/>
    <cellStyle name="Comma 2 2 4 7 2 6 2" xfId="33939" xr:uid="{00000000-0005-0000-0000-0000CC260000}"/>
    <cellStyle name="Comma 2 2 4 7 2 7" xfId="13108" xr:uid="{00000000-0005-0000-0000-0000CD260000}"/>
    <cellStyle name="Comma 2 2 4 7 2 7 2" xfId="36387" xr:uid="{00000000-0005-0000-0000-0000CE260000}"/>
    <cellStyle name="Comma 2 2 4 7 2 8" xfId="15579" xr:uid="{00000000-0005-0000-0000-0000CF260000}"/>
    <cellStyle name="Comma 2 2 4 7 2 8 2" xfId="38857" xr:uid="{00000000-0005-0000-0000-0000D0260000}"/>
    <cellStyle name="Comma 2 2 4 7 2 9" xfId="24147" xr:uid="{00000000-0005-0000-0000-0000D1260000}"/>
    <cellStyle name="Comma 2 2 4 7 3" xfId="1480" xr:uid="{00000000-0005-0000-0000-0000D2260000}"/>
    <cellStyle name="Comma 2 2 4 7 3 10" xfId="22311" xr:uid="{00000000-0005-0000-0000-0000D3260000}"/>
    <cellStyle name="Comma 2 2 4 7 3 2" xfId="3928" xr:uid="{00000000-0005-0000-0000-0000D4260000}"/>
    <cellStyle name="Comma 2 2 4 7 3 2 2" xfId="19863" xr:uid="{00000000-0005-0000-0000-0000D5260000}"/>
    <cellStyle name="Comma 2 2 4 7 3 2 2 2" xfId="43141" xr:uid="{00000000-0005-0000-0000-0000D6260000}"/>
    <cellStyle name="Comma 2 2 4 7 3 2 3" xfId="48037" xr:uid="{00000000-0005-0000-0000-0000D7260000}"/>
    <cellStyle name="Comma 2 2 4 7 3 2 4" xfId="27207" xr:uid="{00000000-0005-0000-0000-0000D8260000}"/>
    <cellStyle name="Comma 2 2 4 7 3 3" xfId="6376" xr:uid="{00000000-0005-0000-0000-0000D9260000}"/>
    <cellStyle name="Comma 2 2 4 7 3 3 2" xfId="29655" xr:uid="{00000000-0005-0000-0000-0000DA260000}"/>
    <cellStyle name="Comma 2 2 4 7 3 4" xfId="8824" xr:uid="{00000000-0005-0000-0000-0000DB260000}"/>
    <cellStyle name="Comma 2 2 4 7 3 4 2" xfId="32103" xr:uid="{00000000-0005-0000-0000-0000DC260000}"/>
    <cellStyle name="Comma 2 2 4 7 3 5" xfId="11272" xr:uid="{00000000-0005-0000-0000-0000DD260000}"/>
    <cellStyle name="Comma 2 2 4 7 3 5 2" xfId="34551" xr:uid="{00000000-0005-0000-0000-0000DE260000}"/>
    <cellStyle name="Comma 2 2 4 7 3 6" xfId="13720" xr:uid="{00000000-0005-0000-0000-0000DF260000}"/>
    <cellStyle name="Comma 2 2 4 7 3 6 2" xfId="36999" xr:uid="{00000000-0005-0000-0000-0000E0260000}"/>
    <cellStyle name="Comma 2 2 4 7 3 7" xfId="17415" xr:uid="{00000000-0005-0000-0000-0000E1260000}"/>
    <cellStyle name="Comma 2 2 4 7 3 7 2" xfId="40693" xr:uid="{00000000-0005-0000-0000-0000E2260000}"/>
    <cellStyle name="Comma 2 2 4 7 3 8" xfId="24759" xr:uid="{00000000-0005-0000-0000-0000E3260000}"/>
    <cellStyle name="Comma 2 2 4 7 3 9" xfId="45589" xr:uid="{00000000-0005-0000-0000-0000E4260000}"/>
    <cellStyle name="Comma 2 2 4 7 4" xfId="2704" xr:uid="{00000000-0005-0000-0000-0000E5260000}"/>
    <cellStyle name="Comma 2 2 4 7 4 2" xfId="16191" xr:uid="{00000000-0005-0000-0000-0000E6260000}"/>
    <cellStyle name="Comma 2 2 4 7 4 2 2" xfId="39469" xr:uid="{00000000-0005-0000-0000-0000E7260000}"/>
    <cellStyle name="Comma 2 2 4 7 4 3" xfId="46813" xr:uid="{00000000-0005-0000-0000-0000E8260000}"/>
    <cellStyle name="Comma 2 2 4 7 4 4" xfId="25983" xr:uid="{00000000-0005-0000-0000-0000E9260000}"/>
    <cellStyle name="Comma 2 2 4 7 5" xfId="5152" xr:uid="{00000000-0005-0000-0000-0000EA260000}"/>
    <cellStyle name="Comma 2 2 4 7 5 2" xfId="18639" xr:uid="{00000000-0005-0000-0000-0000EB260000}"/>
    <cellStyle name="Comma 2 2 4 7 5 2 2" xfId="41917" xr:uid="{00000000-0005-0000-0000-0000EC260000}"/>
    <cellStyle name="Comma 2 2 4 7 5 3" xfId="28431" xr:uid="{00000000-0005-0000-0000-0000ED260000}"/>
    <cellStyle name="Comma 2 2 4 7 6" xfId="7600" xr:uid="{00000000-0005-0000-0000-0000EE260000}"/>
    <cellStyle name="Comma 2 2 4 7 6 2" xfId="30879" xr:uid="{00000000-0005-0000-0000-0000EF260000}"/>
    <cellStyle name="Comma 2 2 4 7 7" xfId="10048" xr:uid="{00000000-0005-0000-0000-0000F0260000}"/>
    <cellStyle name="Comma 2 2 4 7 7 2" xfId="33327" xr:uid="{00000000-0005-0000-0000-0000F1260000}"/>
    <cellStyle name="Comma 2 2 4 7 8" xfId="12496" xr:uid="{00000000-0005-0000-0000-0000F2260000}"/>
    <cellStyle name="Comma 2 2 4 7 8 2" xfId="35775" xr:uid="{00000000-0005-0000-0000-0000F3260000}"/>
    <cellStyle name="Comma 2 2 4 7 9" xfId="14967" xr:uid="{00000000-0005-0000-0000-0000F4260000}"/>
    <cellStyle name="Comma 2 2 4 7 9 2" xfId="38245" xr:uid="{00000000-0005-0000-0000-0000F5260000}"/>
    <cellStyle name="Comma 2 2 4 8" xfId="460" xr:uid="{00000000-0005-0000-0000-0000F6260000}"/>
    <cellStyle name="Comma 2 2 4 8 10" xfId="23739" xr:uid="{00000000-0005-0000-0000-0000F7260000}"/>
    <cellStyle name="Comma 2 2 4 8 11" xfId="44569" xr:uid="{00000000-0005-0000-0000-0000F8260000}"/>
    <cellStyle name="Comma 2 2 4 8 12" xfId="21291" xr:uid="{00000000-0005-0000-0000-0000F9260000}"/>
    <cellStyle name="Comma 2 2 4 8 2" xfId="1072" xr:uid="{00000000-0005-0000-0000-0000FA260000}"/>
    <cellStyle name="Comma 2 2 4 8 2 10" xfId="45181" xr:uid="{00000000-0005-0000-0000-0000FB260000}"/>
    <cellStyle name="Comma 2 2 4 8 2 11" xfId="21903" xr:uid="{00000000-0005-0000-0000-0000FC260000}"/>
    <cellStyle name="Comma 2 2 4 8 2 2" xfId="2296" xr:uid="{00000000-0005-0000-0000-0000FD260000}"/>
    <cellStyle name="Comma 2 2 4 8 2 2 10" xfId="23127" xr:uid="{00000000-0005-0000-0000-0000FE260000}"/>
    <cellStyle name="Comma 2 2 4 8 2 2 2" xfId="4744" xr:uid="{00000000-0005-0000-0000-0000FF260000}"/>
    <cellStyle name="Comma 2 2 4 8 2 2 2 2" xfId="20679" xr:uid="{00000000-0005-0000-0000-000000270000}"/>
    <cellStyle name="Comma 2 2 4 8 2 2 2 2 2" xfId="43957" xr:uid="{00000000-0005-0000-0000-000001270000}"/>
    <cellStyle name="Comma 2 2 4 8 2 2 2 3" xfId="48853" xr:uid="{00000000-0005-0000-0000-000002270000}"/>
    <cellStyle name="Comma 2 2 4 8 2 2 2 4" xfId="28023" xr:uid="{00000000-0005-0000-0000-000003270000}"/>
    <cellStyle name="Comma 2 2 4 8 2 2 3" xfId="7192" xr:uid="{00000000-0005-0000-0000-000004270000}"/>
    <cellStyle name="Comma 2 2 4 8 2 2 3 2" xfId="30471" xr:uid="{00000000-0005-0000-0000-000005270000}"/>
    <cellStyle name="Comma 2 2 4 8 2 2 4" xfId="9640" xr:uid="{00000000-0005-0000-0000-000006270000}"/>
    <cellStyle name="Comma 2 2 4 8 2 2 4 2" xfId="32919" xr:uid="{00000000-0005-0000-0000-000007270000}"/>
    <cellStyle name="Comma 2 2 4 8 2 2 5" xfId="12088" xr:uid="{00000000-0005-0000-0000-000008270000}"/>
    <cellStyle name="Comma 2 2 4 8 2 2 5 2" xfId="35367" xr:uid="{00000000-0005-0000-0000-000009270000}"/>
    <cellStyle name="Comma 2 2 4 8 2 2 6" xfId="14536" xr:uid="{00000000-0005-0000-0000-00000A270000}"/>
    <cellStyle name="Comma 2 2 4 8 2 2 6 2" xfId="37815" xr:uid="{00000000-0005-0000-0000-00000B270000}"/>
    <cellStyle name="Comma 2 2 4 8 2 2 7" xfId="18231" xr:uid="{00000000-0005-0000-0000-00000C270000}"/>
    <cellStyle name="Comma 2 2 4 8 2 2 7 2" xfId="41509" xr:uid="{00000000-0005-0000-0000-00000D270000}"/>
    <cellStyle name="Comma 2 2 4 8 2 2 8" xfId="25575" xr:uid="{00000000-0005-0000-0000-00000E270000}"/>
    <cellStyle name="Comma 2 2 4 8 2 2 9" xfId="46405" xr:uid="{00000000-0005-0000-0000-00000F270000}"/>
    <cellStyle name="Comma 2 2 4 8 2 3" xfId="3520" xr:uid="{00000000-0005-0000-0000-000010270000}"/>
    <cellStyle name="Comma 2 2 4 8 2 3 2" xfId="17007" xr:uid="{00000000-0005-0000-0000-000011270000}"/>
    <cellStyle name="Comma 2 2 4 8 2 3 2 2" xfId="40285" xr:uid="{00000000-0005-0000-0000-000012270000}"/>
    <cellStyle name="Comma 2 2 4 8 2 3 3" xfId="47629" xr:uid="{00000000-0005-0000-0000-000013270000}"/>
    <cellStyle name="Comma 2 2 4 8 2 3 4" xfId="26799" xr:uid="{00000000-0005-0000-0000-000014270000}"/>
    <cellStyle name="Comma 2 2 4 8 2 4" xfId="5968" xr:uid="{00000000-0005-0000-0000-000015270000}"/>
    <cellStyle name="Comma 2 2 4 8 2 4 2" xfId="19455" xr:uid="{00000000-0005-0000-0000-000016270000}"/>
    <cellStyle name="Comma 2 2 4 8 2 4 2 2" xfId="42733" xr:uid="{00000000-0005-0000-0000-000017270000}"/>
    <cellStyle name="Comma 2 2 4 8 2 4 3" xfId="29247" xr:uid="{00000000-0005-0000-0000-000018270000}"/>
    <cellStyle name="Comma 2 2 4 8 2 5" xfId="8416" xr:uid="{00000000-0005-0000-0000-000019270000}"/>
    <cellStyle name="Comma 2 2 4 8 2 5 2" xfId="31695" xr:uid="{00000000-0005-0000-0000-00001A270000}"/>
    <cellStyle name="Comma 2 2 4 8 2 6" xfId="10864" xr:uid="{00000000-0005-0000-0000-00001B270000}"/>
    <cellStyle name="Comma 2 2 4 8 2 6 2" xfId="34143" xr:uid="{00000000-0005-0000-0000-00001C270000}"/>
    <cellStyle name="Comma 2 2 4 8 2 7" xfId="13312" xr:uid="{00000000-0005-0000-0000-00001D270000}"/>
    <cellStyle name="Comma 2 2 4 8 2 7 2" xfId="36591" xr:uid="{00000000-0005-0000-0000-00001E270000}"/>
    <cellStyle name="Comma 2 2 4 8 2 8" xfId="15783" xr:uid="{00000000-0005-0000-0000-00001F270000}"/>
    <cellStyle name="Comma 2 2 4 8 2 8 2" xfId="39061" xr:uid="{00000000-0005-0000-0000-000020270000}"/>
    <cellStyle name="Comma 2 2 4 8 2 9" xfId="24351" xr:uid="{00000000-0005-0000-0000-000021270000}"/>
    <cellStyle name="Comma 2 2 4 8 3" xfId="1684" xr:uid="{00000000-0005-0000-0000-000022270000}"/>
    <cellStyle name="Comma 2 2 4 8 3 10" xfId="22515" xr:uid="{00000000-0005-0000-0000-000023270000}"/>
    <cellStyle name="Comma 2 2 4 8 3 2" xfId="4132" xr:uid="{00000000-0005-0000-0000-000024270000}"/>
    <cellStyle name="Comma 2 2 4 8 3 2 2" xfId="20067" xr:uid="{00000000-0005-0000-0000-000025270000}"/>
    <cellStyle name="Comma 2 2 4 8 3 2 2 2" xfId="43345" xr:uid="{00000000-0005-0000-0000-000026270000}"/>
    <cellStyle name="Comma 2 2 4 8 3 2 3" xfId="48241" xr:uid="{00000000-0005-0000-0000-000027270000}"/>
    <cellStyle name="Comma 2 2 4 8 3 2 4" xfId="27411" xr:uid="{00000000-0005-0000-0000-000028270000}"/>
    <cellStyle name="Comma 2 2 4 8 3 3" xfId="6580" xr:uid="{00000000-0005-0000-0000-000029270000}"/>
    <cellStyle name="Comma 2 2 4 8 3 3 2" xfId="29859" xr:uid="{00000000-0005-0000-0000-00002A270000}"/>
    <cellStyle name="Comma 2 2 4 8 3 4" xfId="9028" xr:uid="{00000000-0005-0000-0000-00002B270000}"/>
    <cellStyle name="Comma 2 2 4 8 3 4 2" xfId="32307" xr:uid="{00000000-0005-0000-0000-00002C270000}"/>
    <cellStyle name="Comma 2 2 4 8 3 5" xfId="11476" xr:uid="{00000000-0005-0000-0000-00002D270000}"/>
    <cellStyle name="Comma 2 2 4 8 3 5 2" xfId="34755" xr:uid="{00000000-0005-0000-0000-00002E270000}"/>
    <cellStyle name="Comma 2 2 4 8 3 6" xfId="13924" xr:uid="{00000000-0005-0000-0000-00002F270000}"/>
    <cellStyle name="Comma 2 2 4 8 3 6 2" xfId="37203" xr:uid="{00000000-0005-0000-0000-000030270000}"/>
    <cellStyle name="Comma 2 2 4 8 3 7" xfId="17619" xr:uid="{00000000-0005-0000-0000-000031270000}"/>
    <cellStyle name="Comma 2 2 4 8 3 7 2" xfId="40897" xr:uid="{00000000-0005-0000-0000-000032270000}"/>
    <cellStyle name="Comma 2 2 4 8 3 8" xfId="24963" xr:uid="{00000000-0005-0000-0000-000033270000}"/>
    <cellStyle name="Comma 2 2 4 8 3 9" xfId="45793" xr:uid="{00000000-0005-0000-0000-000034270000}"/>
    <cellStyle name="Comma 2 2 4 8 4" xfId="2908" xr:uid="{00000000-0005-0000-0000-000035270000}"/>
    <cellStyle name="Comma 2 2 4 8 4 2" xfId="16395" xr:uid="{00000000-0005-0000-0000-000036270000}"/>
    <cellStyle name="Comma 2 2 4 8 4 2 2" xfId="39673" xr:uid="{00000000-0005-0000-0000-000037270000}"/>
    <cellStyle name="Comma 2 2 4 8 4 3" xfId="47017" xr:uid="{00000000-0005-0000-0000-000038270000}"/>
    <cellStyle name="Comma 2 2 4 8 4 4" xfId="26187" xr:uid="{00000000-0005-0000-0000-000039270000}"/>
    <cellStyle name="Comma 2 2 4 8 5" xfId="5356" xr:uid="{00000000-0005-0000-0000-00003A270000}"/>
    <cellStyle name="Comma 2 2 4 8 5 2" xfId="18843" xr:uid="{00000000-0005-0000-0000-00003B270000}"/>
    <cellStyle name="Comma 2 2 4 8 5 2 2" xfId="42121" xr:uid="{00000000-0005-0000-0000-00003C270000}"/>
    <cellStyle name="Comma 2 2 4 8 5 3" xfId="28635" xr:uid="{00000000-0005-0000-0000-00003D270000}"/>
    <cellStyle name="Comma 2 2 4 8 6" xfId="7804" xr:uid="{00000000-0005-0000-0000-00003E270000}"/>
    <cellStyle name="Comma 2 2 4 8 6 2" xfId="31083" xr:uid="{00000000-0005-0000-0000-00003F270000}"/>
    <cellStyle name="Comma 2 2 4 8 7" xfId="10252" xr:uid="{00000000-0005-0000-0000-000040270000}"/>
    <cellStyle name="Comma 2 2 4 8 7 2" xfId="33531" xr:uid="{00000000-0005-0000-0000-000041270000}"/>
    <cellStyle name="Comma 2 2 4 8 8" xfId="12700" xr:uid="{00000000-0005-0000-0000-000042270000}"/>
    <cellStyle name="Comma 2 2 4 8 8 2" xfId="35979" xr:uid="{00000000-0005-0000-0000-000043270000}"/>
    <cellStyle name="Comma 2 2 4 8 9" xfId="15171" xr:uid="{00000000-0005-0000-0000-000044270000}"/>
    <cellStyle name="Comma 2 2 4 8 9 2" xfId="38449" xr:uid="{00000000-0005-0000-0000-000045270000}"/>
    <cellStyle name="Comma 2 2 4 9" xfId="664" xr:uid="{00000000-0005-0000-0000-000046270000}"/>
    <cellStyle name="Comma 2 2 4 9 10" xfId="44773" xr:uid="{00000000-0005-0000-0000-000047270000}"/>
    <cellStyle name="Comma 2 2 4 9 11" xfId="21495" xr:uid="{00000000-0005-0000-0000-000048270000}"/>
    <cellStyle name="Comma 2 2 4 9 2" xfId="1888" xr:uid="{00000000-0005-0000-0000-000049270000}"/>
    <cellStyle name="Comma 2 2 4 9 2 10" xfId="22719" xr:uid="{00000000-0005-0000-0000-00004A270000}"/>
    <cellStyle name="Comma 2 2 4 9 2 2" xfId="4336" xr:uid="{00000000-0005-0000-0000-00004B270000}"/>
    <cellStyle name="Comma 2 2 4 9 2 2 2" xfId="20271" xr:uid="{00000000-0005-0000-0000-00004C270000}"/>
    <cellStyle name="Comma 2 2 4 9 2 2 2 2" xfId="43549" xr:uid="{00000000-0005-0000-0000-00004D270000}"/>
    <cellStyle name="Comma 2 2 4 9 2 2 3" xfId="48445" xr:uid="{00000000-0005-0000-0000-00004E270000}"/>
    <cellStyle name="Comma 2 2 4 9 2 2 4" xfId="27615" xr:uid="{00000000-0005-0000-0000-00004F270000}"/>
    <cellStyle name="Comma 2 2 4 9 2 3" xfId="6784" xr:uid="{00000000-0005-0000-0000-000050270000}"/>
    <cellStyle name="Comma 2 2 4 9 2 3 2" xfId="30063" xr:uid="{00000000-0005-0000-0000-000051270000}"/>
    <cellStyle name="Comma 2 2 4 9 2 4" xfId="9232" xr:uid="{00000000-0005-0000-0000-000052270000}"/>
    <cellStyle name="Comma 2 2 4 9 2 4 2" xfId="32511" xr:uid="{00000000-0005-0000-0000-000053270000}"/>
    <cellStyle name="Comma 2 2 4 9 2 5" xfId="11680" xr:uid="{00000000-0005-0000-0000-000054270000}"/>
    <cellStyle name="Comma 2 2 4 9 2 5 2" xfId="34959" xr:uid="{00000000-0005-0000-0000-000055270000}"/>
    <cellStyle name="Comma 2 2 4 9 2 6" xfId="14128" xr:uid="{00000000-0005-0000-0000-000056270000}"/>
    <cellStyle name="Comma 2 2 4 9 2 6 2" xfId="37407" xr:uid="{00000000-0005-0000-0000-000057270000}"/>
    <cellStyle name="Comma 2 2 4 9 2 7" xfId="17823" xr:uid="{00000000-0005-0000-0000-000058270000}"/>
    <cellStyle name="Comma 2 2 4 9 2 7 2" xfId="41101" xr:uid="{00000000-0005-0000-0000-000059270000}"/>
    <cellStyle name="Comma 2 2 4 9 2 8" xfId="25167" xr:uid="{00000000-0005-0000-0000-00005A270000}"/>
    <cellStyle name="Comma 2 2 4 9 2 9" xfId="45997" xr:uid="{00000000-0005-0000-0000-00005B270000}"/>
    <cellStyle name="Comma 2 2 4 9 3" xfId="3112" xr:uid="{00000000-0005-0000-0000-00005C270000}"/>
    <cellStyle name="Comma 2 2 4 9 3 2" xfId="16599" xr:uid="{00000000-0005-0000-0000-00005D270000}"/>
    <cellStyle name="Comma 2 2 4 9 3 2 2" xfId="39877" xr:uid="{00000000-0005-0000-0000-00005E270000}"/>
    <cellStyle name="Comma 2 2 4 9 3 3" xfId="47221" xr:uid="{00000000-0005-0000-0000-00005F270000}"/>
    <cellStyle name="Comma 2 2 4 9 3 4" xfId="26391" xr:uid="{00000000-0005-0000-0000-000060270000}"/>
    <cellStyle name="Comma 2 2 4 9 4" xfId="5560" xr:uid="{00000000-0005-0000-0000-000061270000}"/>
    <cellStyle name="Comma 2 2 4 9 4 2" xfId="19047" xr:uid="{00000000-0005-0000-0000-000062270000}"/>
    <cellStyle name="Comma 2 2 4 9 4 2 2" xfId="42325" xr:uid="{00000000-0005-0000-0000-000063270000}"/>
    <cellStyle name="Comma 2 2 4 9 4 3" xfId="28839" xr:uid="{00000000-0005-0000-0000-000064270000}"/>
    <cellStyle name="Comma 2 2 4 9 5" xfId="8008" xr:uid="{00000000-0005-0000-0000-000065270000}"/>
    <cellStyle name="Comma 2 2 4 9 5 2" xfId="31287" xr:uid="{00000000-0005-0000-0000-000066270000}"/>
    <cellStyle name="Comma 2 2 4 9 6" xfId="10456" xr:uid="{00000000-0005-0000-0000-000067270000}"/>
    <cellStyle name="Comma 2 2 4 9 6 2" xfId="33735" xr:uid="{00000000-0005-0000-0000-000068270000}"/>
    <cellStyle name="Comma 2 2 4 9 7" xfId="12904" xr:uid="{00000000-0005-0000-0000-000069270000}"/>
    <cellStyle name="Comma 2 2 4 9 7 2" xfId="36183" xr:uid="{00000000-0005-0000-0000-00006A270000}"/>
    <cellStyle name="Comma 2 2 4 9 8" xfId="15375" xr:uid="{00000000-0005-0000-0000-00006B270000}"/>
    <cellStyle name="Comma 2 2 4 9 8 2" xfId="38653" xr:uid="{00000000-0005-0000-0000-00006C270000}"/>
    <cellStyle name="Comma 2 2 4 9 9" xfId="23943" xr:uid="{00000000-0005-0000-0000-00006D270000}"/>
    <cellStyle name="Comma 2 2 5" xfId="54" xr:uid="{00000000-0005-0000-0000-00006E270000}"/>
    <cellStyle name="Comma 2 2 5 10" xfId="1278" xr:uid="{00000000-0005-0000-0000-00006F270000}"/>
    <cellStyle name="Comma 2 2 5 10 10" xfId="22109" xr:uid="{00000000-0005-0000-0000-000070270000}"/>
    <cellStyle name="Comma 2 2 5 10 2" xfId="3726" xr:uid="{00000000-0005-0000-0000-000071270000}"/>
    <cellStyle name="Comma 2 2 5 10 2 2" xfId="17213" xr:uid="{00000000-0005-0000-0000-000072270000}"/>
    <cellStyle name="Comma 2 2 5 10 2 2 2" xfId="40491" xr:uid="{00000000-0005-0000-0000-000073270000}"/>
    <cellStyle name="Comma 2 2 5 10 2 3" xfId="47835" xr:uid="{00000000-0005-0000-0000-000074270000}"/>
    <cellStyle name="Comma 2 2 5 10 2 4" xfId="27005" xr:uid="{00000000-0005-0000-0000-000075270000}"/>
    <cellStyle name="Comma 2 2 5 10 3" xfId="6174" xr:uid="{00000000-0005-0000-0000-000076270000}"/>
    <cellStyle name="Comma 2 2 5 10 3 2" xfId="19661" xr:uid="{00000000-0005-0000-0000-000077270000}"/>
    <cellStyle name="Comma 2 2 5 10 3 2 2" xfId="42939" xr:uid="{00000000-0005-0000-0000-000078270000}"/>
    <cellStyle name="Comma 2 2 5 10 3 3" xfId="29453" xr:uid="{00000000-0005-0000-0000-000079270000}"/>
    <cellStyle name="Comma 2 2 5 10 4" xfId="8622" xr:uid="{00000000-0005-0000-0000-00007A270000}"/>
    <cellStyle name="Comma 2 2 5 10 4 2" xfId="31901" xr:uid="{00000000-0005-0000-0000-00007B270000}"/>
    <cellStyle name="Comma 2 2 5 10 5" xfId="11070" xr:uid="{00000000-0005-0000-0000-00007C270000}"/>
    <cellStyle name="Comma 2 2 5 10 5 2" xfId="34349" xr:uid="{00000000-0005-0000-0000-00007D270000}"/>
    <cellStyle name="Comma 2 2 5 10 6" xfId="13518" xr:uid="{00000000-0005-0000-0000-00007E270000}"/>
    <cellStyle name="Comma 2 2 5 10 6 2" xfId="36797" xr:uid="{00000000-0005-0000-0000-00007F270000}"/>
    <cellStyle name="Comma 2 2 5 10 7" xfId="14765" xr:uid="{00000000-0005-0000-0000-000080270000}"/>
    <cellStyle name="Comma 2 2 5 10 7 2" xfId="38043" xr:uid="{00000000-0005-0000-0000-000081270000}"/>
    <cellStyle name="Comma 2 2 5 10 8" xfId="24557" xr:uid="{00000000-0005-0000-0000-000082270000}"/>
    <cellStyle name="Comma 2 2 5 10 9" xfId="45387" xr:uid="{00000000-0005-0000-0000-000083270000}"/>
    <cellStyle name="Comma 2 2 5 11" xfId="2502" xr:uid="{00000000-0005-0000-0000-000084270000}"/>
    <cellStyle name="Comma 2 2 5 11 2" xfId="15989" xr:uid="{00000000-0005-0000-0000-000085270000}"/>
    <cellStyle name="Comma 2 2 5 11 2 2" xfId="39267" xr:uid="{00000000-0005-0000-0000-000086270000}"/>
    <cellStyle name="Comma 2 2 5 11 3" xfId="46611" xr:uid="{00000000-0005-0000-0000-000087270000}"/>
    <cellStyle name="Comma 2 2 5 11 4" xfId="25781" xr:uid="{00000000-0005-0000-0000-000088270000}"/>
    <cellStyle name="Comma 2 2 5 12" xfId="4950" xr:uid="{00000000-0005-0000-0000-000089270000}"/>
    <cellStyle name="Comma 2 2 5 12 2" xfId="18437" xr:uid="{00000000-0005-0000-0000-00008A270000}"/>
    <cellStyle name="Comma 2 2 5 12 2 2" xfId="41715" xr:uid="{00000000-0005-0000-0000-00008B270000}"/>
    <cellStyle name="Comma 2 2 5 12 3" xfId="28229" xr:uid="{00000000-0005-0000-0000-00008C270000}"/>
    <cellStyle name="Comma 2 2 5 13" xfId="7398" xr:uid="{00000000-0005-0000-0000-00008D270000}"/>
    <cellStyle name="Comma 2 2 5 13 2" xfId="30677" xr:uid="{00000000-0005-0000-0000-00008E270000}"/>
    <cellStyle name="Comma 2 2 5 14" xfId="9846" xr:uid="{00000000-0005-0000-0000-00008F270000}"/>
    <cellStyle name="Comma 2 2 5 14 2" xfId="33125" xr:uid="{00000000-0005-0000-0000-000090270000}"/>
    <cellStyle name="Comma 2 2 5 15" xfId="12294" xr:uid="{00000000-0005-0000-0000-000091270000}"/>
    <cellStyle name="Comma 2 2 5 15 2" xfId="35573" xr:uid="{00000000-0005-0000-0000-000092270000}"/>
    <cellStyle name="Comma 2 2 5 16" xfId="14748" xr:uid="{00000000-0005-0000-0000-000093270000}"/>
    <cellStyle name="Comma 2 2 5 16 2" xfId="38026" xr:uid="{00000000-0005-0000-0000-000094270000}"/>
    <cellStyle name="Comma 2 2 5 17" xfId="23333" xr:uid="{00000000-0005-0000-0000-000095270000}"/>
    <cellStyle name="Comma 2 2 5 18" xfId="44163" xr:uid="{00000000-0005-0000-0000-000096270000}"/>
    <cellStyle name="Comma 2 2 5 19" xfId="20885" xr:uid="{00000000-0005-0000-0000-000097270000}"/>
    <cellStyle name="Comma 2 2 5 2" xfId="71" xr:uid="{00000000-0005-0000-0000-000098270000}"/>
    <cellStyle name="Comma 2 2 5 2 10" xfId="7415" xr:uid="{00000000-0005-0000-0000-000099270000}"/>
    <cellStyle name="Comma 2 2 5 2 10 2" xfId="30694" xr:uid="{00000000-0005-0000-0000-00009A270000}"/>
    <cellStyle name="Comma 2 2 5 2 11" xfId="9863" xr:uid="{00000000-0005-0000-0000-00009B270000}"/>
    <cellStyle name="Comma 2 2 5 2 11 2" xfId="33142" xr:uid="{00000000-0005-0000-0000-00009C270000}"/>
    <cellStyle name="Comma 2 2 5 2 12" xfId="12311" xr:uid="{00000000-0005-0000-0000-00009D270000}"/>
    <cellStyle name="Comma 2 2 5 2 12 2" xfId="35590" xr:uid="{00000000-0005-0000-0000-00009E270000}"/>
    <cellStyle name="Comma 2 2 5 2 13" xfId="14782" xr:uid="{00000000-0005-0000-0000-00009F270000}"/>
    <cellStyle name="Comma 2 2 5 2 13 2" xfId="38060" xr:uid="{00000000-0005-0000-0000-0000A0270000}"/>
    <cellStyle name="Comma 2 2 5 2 14" xfId="23350" xr:uid="{00000000-0005-0000-0000-0000A1270000}"/>
    <cellStyle name="Comma 2 2 5 2 15" xfId="44180" xr:uid="{00000000-0005-0000-0000-0000A2270000}"/>
    <cellStyle name="Comma 2 2 5 2 16" xfId="20902" xr:uid="{00000000-0005-0000-0000-0000A3270000}"/>
    <cellStyle name="Comma 2 2 5 2 2" xfId="139" xr:uid="{00000000-0005-0000-0000-0000A4270000}"/>
    <cellStyle name="Comma 2 2 5 2 2 10" xfId="12379" xr:uid="{00000000-0005-0000-0000-0000A5270000}"/>
    <cellStyle name="Comma 2 2 5 2 2 10 2" xfId="35658" xr:uid="{00000000-0005-0000-0000-0000A6270000}"/>
    <cellStyle name="Comma 2 2 5 2 2 11" xfId="14850" xr:uid="{00000000-0005-0000-0000-0000A7270000}"/>
    <cellStyle name="Comma 2 2 5 2 2 11 2" xfId="38128" xr:uid="{00000000-0005-0000-0000-0000A8270000}"/>
    <cellStyle name="Comma 2 2 5 2 2 12" xfId="23418" xr:uid="{00000000-0005-0000-0000-0000A9270000}"/>
    <cellStyle name="Comma 2 2 5 2 2 13" xfId="44248" xr:uid="{00000000-0005-0000-0000-0000AA270000}"/>
    <cellStyle name="Comma 2 2 5 2 2 14" xfId="20970" xr:uid="{00000000-0005-0000-0000-0000AB270000}"/>
    <cellStyle name="Comma 2 2 5 2 2 2" xfId="343" xr:uid="{00000000-0005-0000-0000-0000AC270000}"/>
    <cellStyle name="Comma 2 2 5 2 2 2 10" xfId="23622" xr:uid="{00000000-0005-0000-0000-0000AD270000}"/>
    <cellStyle name="Comma 2 2 5 2 2 2 11" xfId="44452" xr:uid="{00000000-0005-0000-0000-0000AE270000}"/>
    <cellStyle name="Comma 2 2 5 2 2 2 12" xfId="21174" xr:uid="{00000000-0005-0000-0000-0000AF270000}"/>
    <cellStyle name="Comma 2 2 5 2 2 2 2" xfId="955" xr:uid="{00000000-0005-0000-0000-0000B0270000}"/>
    <cellStyle name="Comma 2 2 5 2 2 2 2 10" xfId="45064" xr:uid="{00000000-0005-0000-0000-0000B1270000}"/>
    <cellStyle name="Comma 2 2 5 2 2 2 2 11" xfId="21786" xr:uid="{00000000-0005-0000-0000-0000B2270000}"/>
    <cellStyle name="Comma 2 2 5 2 2 2 2 2" xfId="2179" xr:uid="{00000000-0005-0000-0000-0000B3270000}"/>
    <cellStyle name="Comma 2 2 5 2 2 2 2 2 10" xfId="23010" xr:uid="{00000000-0005-0000-0000-0000B4270000}"/>
    <cellStyle name="Comma 2 2 5 2 2 2 2 2 2" xfId="4627" xr:uid="{00000000-0005-0000-0000-0000B5270000}"/>
    <cellStyle name="Comma 2 2 5 2 2 2 2 2 2 2" xfId="20562" xr:uid="{00000000-0005-0000-0000-0000B6270000}"/>
    <cellStyle name="Comma 2 2 5 2 2 2 2 2 2 2 2" xfId="43840" xr:uid="{00000000-0005-0000-0000-0000B7270000}"/>
    <cellStyle name="Comma 2 2 5 2 2 2 2 2 2 3" xfId="48736" xr:uid="{00000000-0005-0000-0000-0000B8270000}"/>
    <cellStyle name="Comma 2 2 5 2 2 2 2 2 2 4" xfId="27906" xr:uid="{00000000-0005-0000-0000-0000B9270000}"/>
    <cellStyle name="Comma 2 2 5 2 2 2 2 2 3" xfId="7075" xr:uid="{00000000-0005-0000-0000-0000BA270000}"/>
    <cellStyle name="Comma 2 2 5 2 2 2 2 2 3 2" xfId="30354" xr:uid="{00000000-0005-0000-0000-0000BB270000}"/>
    <cellStyle name="Comma 2 2 5 2 2 2 2 2 4" xfId="9523" xr:uid="{00000000-0005-0000-0000-0000BC270000}"/>
    <cellStyle name="Comma 2 2 5 2 2 2 2 2 4 2" xfId="32802" xr:uid="{00000000-0005-0000-0000-0000BD270000}"/>
    <cellStyle name="Comma 2 2 5 2 2 2 2 2 5" xfId="11971" xr:uid="{00000000-0005-0000-0000-0000BE270000}"/>
    <cellStyle name="Comma 2 2 5 2 2 2 2 2 5 2" xfId="35250" xr:uid="{00000000-0005-0000-0000-0000BF270000}"/>
    <cellStyle name="Comma 2 2 5 2 2 2 2 2 6" xfId="14419" xr:uid="{00000000-0005-0000-0000-0000C0270000}"/>
    <cellStyle name="Comma 2 2 5 2 2 2 2 2 6 2" xfId="37698" xr:uid="{00000000-0005-0000-0000-0000C1270000}"/>
    <cellStyle name="Comma 2 2 5 2 2 2 2 2 7" xfId="18114" xr:uid="{00000000-0005-0000-0000-0000C2270000}"/>
    <cellStyle name="Comma 2 2 5 2 2 2 2 2 7 2" xfId="41392" xr:uid="{00000000-0005-0000-0000-0000C3270000}"/>
    <cellStyle name="Comma 2 2 5 2 2 2 2 2 8" xfId="25458" xr:uid="{00000000-0005-0000-0000-0000C4270000}"/>
    <cellStyle name="Comma 2 2 5 2 2 2 2 2 9" xfId="46288" xr:uid="{00000000-0005-0000-0000-0000C5270000}"/>
    <cellStyle name="Comma 2 2 5 2 2 2 2 3" xfId="3403" xr:uid="{00000000-0005-0000-0000-0000C6270000}"/>
    <cellStyle name="Comma 2 2 5 2 2 2 2 3 2" xfId="16890" xr:uid="{00000000-0005-0000-0000-0000C7270000}"/>
    <cellStyle name="Comma 2 2 5 2 2 2 2 3 2 2" xfId="40168" xr:uid="{00000000-0005-0000-0000-0000C8270000}"/>
    <cellStyle name="Comma 2 2 5 2 2 2 2 3 3" xfId="47512" xr:uid="{00000000-0005-0000-0000-0000C9270000}"/>
    <cellStyle name="Comma 2 2 5 2 2 2 2 3 4" xfId="26682" xr:uid="{00000000-0005-0000-0000-0000CA270000}"/>
    <cellStyle name="Comma 2 2 5 2 2 2 2 4" xfId="5851" xr:uid="{00000000-0005-0000-0000-0000CB270000}"/>
    <cellStyle name="Comma 2 2 5 2 2 2 2 4 2" xfId="19338" xr:uid="{00000000-0005-0000-0000-0000CC270000}"/>
    <cellStyle name="Comma 2 2 5 2 2 2 2 4 2 2" xfId="42616" xr:uid="{00000000-0005-0000-0000-0000CD270000}"/>
    <cellStyle name="Comma 2 2 5 2 2 2 2 4 3" xfId="29130" xr:uid="{00000000-0005-0000-0000-0000CE270000}"/>
    <cellStyle name="Comma 2 2 5 2 2 2 2 5" xfId="8299" xr:uid="{00000000-0005-0000-0000-0000CF270000}"/>
    <cellStyle name="Comma 2 2 5 2 2 2 2 5 2" xfId="31578" xr:uid="{00000000-0005-0000-0000-0000D0270000}"/>
    <cellStyle name="Comma 2 2 5 2 2 2 2 6" xfId="10747" xr:uid="{00000000-0005-0000-0000-0000D1270000}"/>
    <cellStyle name="Comma 2 2 5 2 2 2 2 6 2" xfId="34026" xr:uid="{00000000-0005-0000-0000-0000D2270000}"/>
    <cellStyle name="Comma 2 2 5 2 2 2 2 7" xfId="13195" xr:uid="{00000000-0005-0000-0000-0000D3270000}"/>
    <cellStyle name="Comma 2 2 5 2 2 2 2 7 2" xfId="36474" xr:uid="{00000000-0005-0000-0000-0000D4270000}"/>
    <cellStyle name="Comma 2 2 5 2 2 2 2 8" xfId="15666" xr:uid="{00000000-0005-0000-0000-0000D5270000}"/>
    <cellStyle name="Comma 2 2 5 2 2 2 2 8 2" xfId="38944" xr:uid="{00000000-0005-0000-0000-0000D6270000}"/>
    <cellStyle name="Comma 2 2 5 2 2 2 2 9" xfId="24234" xr:uid="{00000000-0005-0000-0000-0000D7270000}"/>
    <cellStyle name="Comma 2 2 5 2 2 2 3" xfId="1567" xr:uid="{00000000-0005-0000-0000-0000D8270000}"/>
    <cellStyle name="Comma 2 2 5 2 2 2 3 10" xfId="22398" xr:uid="{00000000-0005-0000-0000-0000D9270000}"/>
    <cellStyle name="Comma 2 2 5 2 2 2 3 2" xfId="4015" xr:uid="{00000000-0005-0000-0000-0000DA270000}"/>
    <cellStyle name="Comma 2 2 5 2 2 2 3 2 2" xfId="19950" xr:uid="{00000000-0005-0000-0000-0000DB270000}"/>
    <cellStyle name="Comma 2 2 5 2 2 2 3 2 2 2" xfId="43228" xr:uid="{00000000-0005-0000-0000-0000DC270000}"/>
    <cellStyle name="Comma 2 2 5 2 2 2 3 2 3" xfId="48124" xr:uid="{00000000-0005-0000-0000-0000DD270000}"/>
    <cellStyle name="Comma 2 2 5 2 2 2 3 2 4" xfId="27294" xr:uid="{00000000-0005-0000-0000-0000DE270000}"/>
    <cellStyle name="Comma 2 2 5 2 2 2 3 3" xfId="6463" xr:uid="{00000000-0005-0000-0000-0000DF270000}"/>
    <cellStyle name="Comma 2 2 5 2 2 2 3 3 2" xfId="29742" xr:uid="{00000000-0005-0000-0000-0000E0270000}"/>
    <cellStyle name="Comma 2 2 5 2 2 2 3 4" xfId="8911" xr:uid="{00000000-0005-0000-0000-0000E1270000}"/>
    <cellStyle name="Comma 2 2 5 2 2 2 3 4 2" xfId="32190" xr:uid="{00000000-0005-0000-0000-0000E2270000}"/>
    <cellStyle name="Comma 2 2 5 2 2 2 3 5" xfId="11359" xr:uid="{00000000-0005-0000-0000-0000E3270000}"/>
    <cellStyle name="Comma 2 2 5 2 2 2 3 5 2" xfId="34638" xr:uid="{00000000-0005-0000-0000-0000E4270000}"/>
    <cellStyle name="Comma 2 2 5 2 2 2 3 6" xfId="13807" xr:uid="{00000000-0005-0000-0000-0000E5270000}"/>
    <cellStyle name="Comma 2 2 5 2 2 2 3 6 2" xfId="37086" xr:uid="{00000000-0005-0000-0000-0000E6270000}"/>
    <cellStyle name="Comma 2 2 5 2 2 2 3 7" xfId="17502" xr:uid="{00000000-0005-0000-0000-0000E7270000}"/>
    <cellStyle name="Comma 2 2 5 2 2 2 3 7 2" xfId="40780" xr:uid="{00000000-0005-0000-0000-0000E8270000}"/>
    <cellStyle name="Comma 2 2 5 2 2 2 3 8" xfId="24846" xr:uid="{00000000-0005-0000-0000-0000E9270000}"/>
    <cellStyle name="Comma 2 2 5 2 2 2 3 9" xfId="45676" xr:uid="{00000000-0005-0000-0000-0000EA270000}"/>
    <cellStyle name="Comma 2 2 5 2 2 2 4" xfId="2791" xr:uid="{00000000-0005-0000-0000-0000EB270000}"/>
    <cellStyle name="Comma 2 2 5 2 2 2 4 2" xfId="16278" xr:uid="{00000000-0005-0000-0000-0000EC270000}"/>
    <cellStyle name="Comma 2 2 5 2 2 2 4 2 2" xfId="39556" xr:uid="{00000000-0005-0000-0000-0000ED270000}"/>
    <cellStyle name="Comma 2 2 5 2 2 2 4 3" xfId="46900" xr:uid="{00000000-0005-0000-0000-0000EE270000}"/>
    <cellStyle name="Comma 2 2 5 2 2 2 4 4" xfId="26070" xr:uid="{00000000-0005-0000-0000-0000EF270000}"/>
    <cellStyle name="Comma 2 2 5 2 2 2 5" xfId="5239" xr:uid="{00000000-0005-0000-0000-0000F0270000}"/>
    <cellStyle name="Comma 2 2 5 2 2 2 5 2" xfId="18726" xr:uid="{00000000-0005-0000-0000-0000F1270000}"/>
    <cellStyle name="Comma 2 2 5 2 2 2 5 2 2" xfId="42004" xr:uid="{00000000-0005-0000-0000-0000F2270000}"/>
    <cellStyle name="Comma 2 2 5 2 2 2 5 3" xfId="28518" xr:uid="{00000000-0005-0000-0000-0000F3270000}"/>
    <cellStyle name="Comma 2 2 5 2 2 2 6" xfId="7687" xr:uid="{00000000-0005-0000-0000-0000F4270000}"/>
    <cellStyle name="Comma 2 2 5 2 2 2 6 2" xfId="30966" xr:uid="{00000000-0005-0000-0000-0000F5270000}"/>
    <cellStyle name="Comma 2 2 5 2 2 2 7" xfId="10135" xr:uid="{00000000-0005-0000-0000-0000F6270000}"/>
    <cellStyle name="Comma 2 2 5 2 2 2 7 2" xfId="33414" xr:uid="{00000000-0005-0000-0000-0000F7270000}"/>
    <cellStyle name="Comma 2 2 5 2 2 2 8" xfId="12583" xr:uid="{00000000-0005-0000-0000-0000F8270000}"/>
    <cellStyle name="Comma 2 2 5 2 2 2 8 2" xfId="35862" xr:uid="{00000000-0005-0000-0000-0000F9270000}"/>
    <cellStyle name="Comma 2 2 5 2 2 2 9" xfId="15054" xr:uid="{00000000-0005-0000-0000-0000FA270000}"/>
    <cellStyle name="Comma 2 2 5 2 2 2 9 2" xfId="38332" xr:uid="{00000000-0005-0000-0000-0000FB270000}"/>
    <cellStyle name="Comma 2 2 5 2 2 3" xfId="547" xr:uid="{00000000-0005-0000-0000-0000FC270000}"/>
    <cellStyle name="Comma 2 2 5 2 2 3 10" xfId="23826" xr:uid="{00000000-0005-0000-0000-0000FD270000}"/>
    <cellStyle name="Comma 2 2 5 2 2 3 11" xfId="44656" xr:uid="{00000000-0005-0000-0000-0000FE270000}"/>
    <cellStyle name="Comma 2 2 5 2 2 3 12" xfId="21378" xr:uid="{00000000-0005-0000-0000-0000FF270000}"/>
    <cellStyle name="Comma 2 2 5 2 2 3 2" xfId="1159" xr:uid="{00000000-0005-0000-0000-000000280000}"/>
    <cellStyle name="Comma 2 2 5 2 2 3 2 10" xfId="45268" xr:uid="{00000000-0005-0000-0000-000001280000}"/>
    <cellStyle name="Comma 2 2 5 2 2 3 2 11" xfId="21990" xr:uid="{00000000-0005-0000-0000-000002280000}"/>
    <cellStyle name="Comma 2 2 5 2 2 3 2 2" xfId="2383" xr:uid="{00000000-0005-0000-0000-000003280000}"/>
    <cellStyle name="Comma 2 2 5 2 2 3 2 2 10" xfId="23214" xr:uid="{00000000-0005-0000-0000-000004280000}"/>
    <cellStyle name="Comma 2 2 5 2 2 3 2 2 2" xfId="4831" xr:uid="{00000000-0005-0000-0000-000005280000}"/>
    <cellStyle name="Comma 2 2 5 2 2 3 2 2 2 2" xfId="20766" xr:uid="{00000000-0005-0000-0000-000006280000}"/>
    <cellStyle name="Comma 2 2 5 2 2 3 2 2 2 2 2" xfId="44044" xr:uid="{00000000-0005-0000-0000-000007280000}"/>
    <cellStyle name="Comma 2 2 5 2 2 3 2 2 2 3" xfId="48940" xr:uid="{00000000-0005-0000-0000-000008280000}"/>
    <cellStyle name="Comma 2 2 5 2 2 3 2 2 2 4" xfId="28110" xr:uid="{00000000-0005-0000-0000-000009280000}"/>
    <cellStyle name="Comma 2 2 5 2 2 3 2 2 3" xfId="7279" xr:uid="{00000000-0005-0000-0000-00000A280000}"/>
    <cellStyle name="Comma 2 2 5 2 2 3 2 2 3 2" xfId="30558" xr:uid="{00000000-0005-0000-0000-00000B280000}"/>
    <cellStyle name="Comma 2 2 5 2 2 3 2 2 4" xfId="9727" xr:uid="{00000000-0005-0000-0000-00000C280000}"/>
    <cellStyle name="Comma 2 2 5 2 2 3 2 2 4 2" xfId="33006" xr:uid="{00000000-0005-0000-0000-00000D280000}"/>
    <cellStyle name="Comma 2 2 5 2 2 3 2 2 5" xfId="12175" xr:uid="{00000000-0005-0000-0000-00000E280000}"/>
    <cellStyle name="Comma 2 2 5 2 2 3 2 2 5 2" xfId="35454" xr:uid="{00000000-0005-0000-0000-00000F280000}"/>
    <cellStyle name="Comma 2 2 5 2 2 3 2 2 6" xfId="14623" xr:uid="{00000000-0005-0000-0000-000010280000}"/>
    <cellStyle name="Comma 2 2 5 2 2 3 2 2 6 2" xfId="37902" xr:uid="{00000000-0005-0000-0000-000011280000}"/>
    <cellStyle name="Comma 2 2 5 2 2 3 2 2 7" xfId="18318" xr:uid="{00000000-0005-0000-0000-000012280000}"/>
    <cellStyle name="Comma 2 2 5 2 2 3 2 2 7 2" xfId="41596" xr:uid="{00000000-0005-0000-0000-000013280000}"/>
    <cellStyle name="Comma 2 2 5 2 2 3 2 2 8" xfId="25662" xr:uid="{00000000-0005-0000-0000-000014280000}"/>
    <cellStyle name="Comma 2 2 5 2 2 3 2 2 9" xfId="46492" xr:uid="{00000000-0005-0000-0000-000015280000}"/>
    <cellStyle name="Comma 2 2 5 2 2 3 2 3" xfId="3607" xr:uid="{00000000-0005-0000-0000-000016280000}"/>
    <cellStyle name="Comma 2 2 5 2 2 3 2 3 2" xfId="17094" xr:uid="{00000000-0005-0000-0000-000017280000}"/>
    <cellStyle name="Comma 2 2 5 2 2 3 2 3 2 2" xfId="40372" xr:uid="{00000000-0005-0000-0000-000018280000}"/>
    <cellStyle name="Comma 2 2 5 2 2 3 2 3 3" xfId="47716" xr:uid="{00000000-0005-0000-0000-000019280000}"/>
    <cellStyle name="Comma 2 2 5 2 2 3 2 3 4" xfId="26886" xr:uid="{00000000-0005-0000-0000-00001A280000}"/>
    <cellStyle name="Comma 2 2 5 2 2 3 2 4" xfId="6055" xr:uid="{00000000-0005-0000-0000-00001B280000}"/>
    <cellStyle name="Comma 2 2 5 2 2 3 2 4 2" xfId="19542" xr:uid="{00000000-0005-0000-0000-00001C280000}"/>
    <cellStyle name="Comma 2 2 5 2 2 3 2 4 2 2" xfId="42820" xr:uid="{00000000-0005-0000-0000-00001D280000}"/>
    <cellStyle name="Comma 2 2 5 2 2 3 2 4 3" xfId="29334" xr:uid="{00000000-0005-0000-0000-00001E280000}"/>
    <cellStyle name="Comma 2 2 5 2 2 3 2 5" xfId="8503" xr:uid="{00000000-0005-0000-0000-00001F280000}"/>
    <cellStyle name="Comma 2 2 5 2 2 3 2 5 2" xfId="31782" xr:uid="{00000000-0005-0000-0000-000020280000}"/>
    <cellStyle name="Comma 2 2 5 2 2 3 2 6" xfId="10951" xr:uid="{00000000-0005-0000-0000-000021280000}"/>
    <cellStyle name="Comma 2 2 5 2 2 3 2 6 2" xfId="34230" xr:uid="{00000000-0005-0000-0000-000022280000}"/>
    <cellStyle name="Comma 2 2 5 2 2 3 2 7" xfId="13399" xr:uid="{00000000-0005-0000-0000-000023280000}"/>
    <cellStyle name="Comma 2 2 5 2 2 3 2 7 2" xfId="36678" xr:uid="{00000000-0005-0000-0000-000024280000}"/>
    <cellStyle name="Comma 2 2 5 2 2 3 2 8" xfId="15870" xr:uid="{00000000-0005-0000-0000-000025280000}"/>
    <cellStyle name="Comma 2 2 5 2 2 3 2 8 2" xfId="39148" xr:uid="{00000000-0005-0000-0000-000026280000}"/>
    <cellStyle name="Comma 2 2 5 2 2 3 2 9" xfId="24438" xr:uid="{00000000-0005-0000-0000-000027280000}"/>
    <cellStyle name="Comma 2 2 5 2 2 3 3" xfId="1771" xr:uid="{00000000-0005-0000-0000-000028280000}"/>
    <cellStyle name="Comma 2 2 5 2 2 3 3 10" xfId="22602" xr:uid="{00000000-0005-0000-0000-000029280000}"/>
    <cellStyle name="Comma 2 2 5 2 2 3 3 2" xfId="4219" xr:uid="{00000000-0005-0000-0000-00002A280000}"/>
    <cellStyle name="Comma 2 2 5 2 2 3 3 2 2" xfId="20154" xr:uid="{00000000-0005-0000-0000-00002B280000}"/>
    <cellStyle name="Comma 2 2 5 2 2 3 3 2 2 2" xfId="43432" xr:uid="{00000000-0005-0000-0000-00002C280000}"/>
    <cellStyle name="Comma 2 2 5 2 2 3 3 2 3" xfId="48328" xr:uid="{00000000-0005-0000-0000-00002D280000}"/>
    <cellStyle name="Comma 2 2 5 2 2 3 3 2 4" xfId="27498" xr:uid="{00000000-0005-0000-0000-00002E280000}"/>
    <cellStyle name="Comma 2 2 5 2 2 3 3 3" xfId="6667" xr:uid="{00000000-0005-0000-0000-00002F280000}"/>
    <cellStyle name="Comma 2 2 5 2 2 3 3 3 2" xfId="29946" xr:uid="{00000000-0005-0000-0000-000030280000}"/>
    <cellStyle name="Comma 2 2 5 2 2 3 3 4" xfId="9115" xr:uid="{00000000-0005-0000-0000-000031280000}"/>
    <cellStyle name="Comma 2 2 5 2 2 3 3 4 2" xfId="32394" xr:uid="{00000000-0005-0000-0000-000032280000}"/>
    <cellStyle name="Comma 2 2 5 2 2 3 3 5" xfId="11563" xr:uid="{00000000-0005-0000-0000-000033280000}"/>
    <cellStyle name="Comma 2 2 5 2 2 3 3 5 2" xfId="34842" xr:uid="{00000000-0005-0000-0000-000034280000}"/>
    <cellStyle name="Comma 2 2 5 2 2 3 3 6" xfId="14011" xr:uid="{00000000-0005-0000-0000-000035280000}"/>
    <cellStyle name="Comma 2 2 5 2 2 3 3 6 2" xfId="37290" xr:uid="{00000000-0005-0000-0000-000036280000}"/>
    <cellStyle name="Comma 2 2 5 2 2 3 3 7" xfId="17706" xr:uid="{00000000-0005-0000-0000-000037280000}"/>
    <cellStyle name="Comma 2 2 5 2 2 3 3 7 2" xfId="40984" xr:uid="{00000000-0005-0000-0000-000038280000}"/>
    <cellStyle name="Comma 2 2 5 2 2 3 3 8" xfId="25050" xr:uid="{00000000-0005-0000-0000-000039280000}"/>
    <cellStyle name="Comma 2 2 5 2 2 3 3 9" xfId="45880" xr:uid="{00000000-0005-0000-0000-00003A280000}"/>
    <cellStyle name="Comma 2 2 5 2 2 3 4" xfId="2995" xr:uid="{00000000-0005-0000-0000-00003B280000}"/>
    <cellStyle name="Comma 2 2 5 2 2 3 4 2" xfId="16482" xr:uid="{00000000-0005-0000-0000-00003C280000}"/>
    <cellStyle name="Comma 2 2 5 2 2 3 4 2 2" xfId="39760" xr:uid="{00000000-0005-0000-0000-00003D280000}"/>
    <cellStyle name="Comma 2 2 5 2 2 3 4 3" xfId="47104" xr:uid="{00000000-0005-0000-0000-00003E280000}"/>
    <cellStyle name="Comma 2 2 5 2 2 3 4 4" xfId="26274" xr:uid="{00000000-0005-0000-0000-00003F280000}"/>
    <cellStyle name="Comma 2 2 5 2 2 3 5" xfId="5443" xr:uid="{00000000-0005-0000-0000-000040280000}"/>
    <cellStyle name="Comma 2 2 5 2 2 3 5 2" xfId="18930" xr:uid="{00000000-0005-0000-0000-000041280000}"/>
    <cellStyle name="Comma 2 2 5 2 2 3 5 2 2" xfId="42208" xr:uid="{00000000-0005-0000-0000-000042280000}"/>
    <cellStyle name="Comma 2 2 5 2 2 3 5 3" xfId="28722" xr:uid="{00000000-0005-0000-0000-000043280000}"/>
    <cellStyle name="Comma 2 2 5 2 2 3 6" xfId="7891" xr:uid="{00000000-0005-0000-0000-000044280000}"/>
    <cellStyle name="Comma 2 2 5 2 2 3 6 2" xfId="31170" xr:uid="{00000000-0005-0000-0000-000045280000}"/>
    <cellStyle name="Comma 2 2 5 2 2 3 7" xfId="10339" xr:uid="{00000000-0005-0000-0000-000046280000}"/>
    <cellStyle name="Comma 2 2 5 2 2 3 7 2" xfId="33618" xr:uid="{00000000-0005-0000-0000-000047280000}"/>
    <cellStyle name="Comma 2 2 5 2 2 3 8" xfId="12787" xr:uid="{00000000-0005-0000-0000-000048280000}"/>
    <cellStyle name="Comma 2 2 5 2 2 3 8 2" xfId="36066" xr:uid="{00000000-0005-0000-0000-000049280000}"/>
    <cellStyle name="Comma 2 2 5 2 2 3 9" xfId="15258" xr:uid="{00000000-0005-0000-0000-00004A280000}"/>
    <cellStyle name="Comma 2 2 5 2 2 3 9 2" xfId="38536" xr:uid="{00000000-0005-0000-0000-00004B280000}"/>
    <cellStyle name="Comma 2 2 5 2 2 4" xfId="751" xr:uid="{00000000-0005-0000-0000-00004C280000}"/>
    <cellStyle name="Comma 2 2 5 2 2 4 10" xfId="44860" xr:uid="{00000000-0005-0000-0000-00004D280000}"/>
    <cellStyle name="Comma 2 2 5 2 2 4 11" xfId="21582" xr:uid="{00000000-0005-0000-0000-00004E280000}"/>
    <cellStyle name="Comma 2 2 5 2 2 4 2" xfId="1975" xr:uid="{00000000-0005-0000-0000-00004F280000}"/>
    <cellStyle name="Comma 2 2 5 2 2 4 2 10" xfId="22806" xr:uid="{00000000-0005-0000-0000-000050280000}"/>
    <cellStyle name="Comma 2 2 5 2 2 4 2 2" xfId="4423" xr:uid="{00000000-0005-0000-0000-000051280000}"/>
    <cellStyle name="Comma 2 2 5 2 2 4 2 2 2" xfId="20358" xr:uid="{00000000-0005-0000-0000-000052280000}"/>
    <cellStyle name="Comma 2 2 5 2 2 4 2 2 2 2" xfId="43636" xr:uid="{00000000-0005-0000-0000-000053280000}"/>
    <cellStyle name="Comma 2 2 5 2 2 4 2 2 3" xfId="48532" xr:uid="{00000000-0005-0000-0000-000054280000}"/>
    <cellStyle name="Comma 2 2 5 2 2 4 2 2 4" xfId="27702" xr:uid="{00000000-0005-0000-0000-000055280000}"/>
    <cellStyle name="Comma 2 2 5 2 2 4 2 3" xfId="6871" xr:uid="{00000000-0005-0000-0000-000056280000}"/>
    <cellStyle name="Comma 2 2 5 2 2 4 2 3 2" xfId="30150" xr:uid="{00000000-0005-0000-0000-000057280000}"/>
    <cellStyle name="Comma 2 2 5 2 2 4 2 4" xfId="9319" xr:uid="{00000000-0005-0000-0000-000058280000}"/>
    <cellStyle name="Comma 2 2 5 2 2 4 2 4 2" xfId="32598" xr:uid="{00000000-0005-0000-0000-000059280000}"/>
    <cellStyle name="Comma 2 2 5 2 2 4 2 5" xfId="11767" xr:uid="{00000000-0005-0000-0000-00005A280000}"/>
    <cellStyle name="Comma 2 2 5 2 2 4 2 5 2" xfId="35046" xr:uid="{00000000-0005-0000-0000-00005B280000}"/>
    <cellStyle name="Comma 2 2 5 2 2 4 2 6" xfId="14215" xr:uid="{00000000-0005-0000-0000-00005C280000}"/>
    <cellStyle name="Comma 2 2 5 2 2 4 2 6 2" xfId="37494" xr:uid="{00000000-0005-0000-0000-00005D280000}"/>
    <cellStyle name="Comma 2 2 5 2 2 4 2 7" xfId="17910" xr:uid="{00000000-0005-0000-0000-00005E280000}"/>
    <cellStyle name="Comma 2 2 5 2 2 4 2 7 2" xfId="41188" xr:uid="{00000000-0005-0000-0000-00005F280000}"/>
    <cellStyle name="Comma 2 2 5 2 2 4 2 8" xfId="25254" xr:uid="{00000000-0005-0000-0000-000060280000}"/>
    <cellStyle name="Comma 2 2 5 2 2 4 2 9" xfId="46084" xr:uid="{00000000-0005-0000-0000-000061280000}"/>
    <cellStyle name="Comma 2 2 5 2 2 4 3" xfId="3199" xr:uid="{00000000-0005-0000-0000-000062280000}"/>
    <cellStyle name="Comma 2 2 5 2 2 4 3 2" xfId="16686" xr:uid="{00000000-0005-0000-0000-000063280000}"/>
    <cellStyle name="Comma 2 2 5 2 2 4 3 2 2" xfId="39964" xr:uid="{00000000-0005-0000-0000-000064280000}"/>
    <cellStyle name="Comma 2 2 5 2 2 4 3 3" xfId="47308" xr:uid="{00000000-0005-0000-0000-000065280000}"/>
    <cellStyle name="Comma 2 2 5 2 2 4 3 4" xfId="26478" xr:uid="{00000000-0005-0000-0000-000066280000}"/>
    <cellStyle name="Comma 2 2 5 2 2 4 4" xfId="5647" xr:uid="{00000000-0005-0000-0000-000067280000}"/>
    <cellStyle name="Comma 2 2 5 2 2 4 4 2" xfId="19134" xr:uid="{00000000-0005-0000-0000-000068280000}"/>
    <cellStyle name="Comma 2 2 5 2 2 4 4 2 2" xfId="42412" xr:uid="{00000000-0005-0000-0000-000069280000}"/>
    <cellStyle name="Comma 2 2 5 2 2 4 4 3" xfId="28926" xr:uid="{00000000-0005-0000-0000-00006A280000}"/>
    <cellStyle name="Comma 2 2 5 2 2 4 5" xfId="8095" xr:uid="{00000000-0005-0000-0000-00006B280000}"/>
    <cellStyle name="Comma 2 2 5 2 2 4 5 2" xfId="31374" xr:uid="{00000000-0005-0000-0000-00006C280000}"/>
    <cellStyle name="Comma 2 2 5 2 2 4 6" xfId="10543" xr:uid="{00000000-0005-0000-0000-00006D280000}"/>
    <cellStyle name="Comma 2 2 5 2 2 4 6 2" xfId="33822" xr:uid="{00000000-0005-0000-0000-00006E280000}"/>
    <cellStyle name="Comma 2 2 5 2 2 4 7" xfId="12991" xr:uid="{00000000-0005-0000-0000-00006F280000}"/>
    <cellStyle name="Comma 2 2 5 2 2 4 7 2" xfId="36270" xr:uid="{00000000-0005-0000-0000-000070280000}"/>
    <cellStyle name="Comma 2 2 5 2 2 4 8" xfId="15462" xr:uid="{00000000-0005-0000-0000-000071280000}"/>
    <cellStyle name="Comma 2 2 5 2 2 4 8 2" xfId="38740" xr:uid="{00000000-0005-0000-0000-000072280000}"/>
    <cellStyle name="Comma 2 2 5 2 2 4 9" xfId="24030" xr:uid="{00000000-0005-0000-0000-000073280000}"/>
    <cellStyle name="Comma 2 2 5 2 2 5" xfId="1363" xr:uid="{00000000-0005-0000-0000-000074280000}"/>
    <cellStyle name="Comma 2 2 5 2 2 5 10" xfId="22194" xr:uid="{00000000-0005-0000-0000-000075280000}"/>
    <cellStyle name="Comma 2 2 5 2 2 5 2" xfId="3811" xr:uid="{00000000-0005-0000-0000-000076280000}"/>
    <cellStyle name="Comma 2 2 5 2 2 5 2 2" xfId="19746" xr:uid="{00000000-0005-0000-0000-000077280000}"/>
    <cellStyle name="Comma 2 2 5 2 2 5 2 2 2" xfId="43024" xr:uid="{00000000-0005-0000-0000-000078280000}"/>
    <cellStyle name="Comma 2 2 5 2 2 5 2 3" xfId="47920" xr:uid="{00000000-0005-0000-0000-000079280000}"/>
    <cellStyle name="Comma 2 2 5 2 2 5 2 4" xfId="27090" xr:uid="{00000000-0005-0000-0000-00007A280000}"/>
    <cellStyle name="Comma 2 2 5 2 2 5 3" xfId="6259" xr:uid="{00000000-0005-0000-0000-00007B280000}"/>
    <cellStyle name="Comma 2 2 5 2 2 5 3 2" xfId="29538" xr:uid="{00000000-0005-0000-0000-00007C280000}"/>
    <cellStyle name="Comma 2 2 5 2 2 5 4" xfId="8707" xr:uid="{00000000-0005-0000-0000-00007D280000}"/>
    <cellStyle name="Comma 2 2 5 2 2 5 4 2" xfId="31986" xr:uid="{00000000-0005-0000-0000-00007E280000}"/>
    <cellStyle name="Comma 2 2 5 2 2 5 5" xfId="11155" xr:uid="{00000000-0005-0000-0000-00007F280000}"/>
    <cellStyle name="Comma 2 2 5 2 2 5 5 2" xfId="34434" xr:uid="{00000000-0005-0000-0000-000080280000}"/>
    <cellStyle name="Comma 2 2 5 2 2 5 6" xfId="13603" xr:uid="{00000000-0005-0000-0000-000081280000}"/>
    <cellStyle name="Comma 2 2 5 2 2 5 6 2" xfId="36882" xr:uid="{00000000-0005-0000-0000-000082280000}"/>
    <cellStyle name="Comma 2 2 5 2 2 5 7" xfId="17298" xr:uid="{00000000-0005-0000-0000-000083280000}"/>
    <cellStyle name="Comma 2 2 5 2 2 5 7 2" xfId="40576" xr:uid="{00000000-0005-0000-0000-000084280000}"/>
    <cellStyle name="Comma 2 2 5 2 2 5 8" xfId="24642" xr:uid="{00000000-0005-0000-0000-000085280000}"/>
    <cellStyle name="Comma 2 2 5 2 2 5 9" xfId="45472" xr:uid="{00000000-0005-0000-0000-000086280000}"/>
    <cellStyle name="Comma 2 2 5 2 2 6" xfId="2587" xr:uid="{00000000-0005-0000-0000-000087280000}"/>
    <cellStyle name="Comma 2 2 5 2 2 6 2" xfId="16074" xr:uid="{00000000-0005-0000-0000-000088280000}"/>
    <cellStyle name="Comma 2 2 5 2 2 6 2 2" xfId="39352" xr:uid="{00000000-0005-0000-0000-000089280000}"/>
    <cellStyle name="Comma 2 2 5 2 2 6 3" xfId="46696" xr:uid="{00000000-0005-0000-0000-00008A280000}"/>
    <cellStyle name="Comma 2 2 5 2 2 6 4" xfId="25866" xr:uid="{00000000-0005-0000-0000-00008B280000}"/>
    <cellStyle name="Comma 2 2 5 2 2 7" xfId="5035" xr:uid="{00000000-0005-0000-0000-00008C280000}"/>
    <cellStyle name="Comma 2 2 5 2 2 7 2" xfId="18522" xr:uid="{00000000-0005-0000-0000-00008D280000}"/>
    <cellStyle name="Comma 2 2 5 2 2 7 2 2" xfId="41800" xr:uid="{00000000-0005-0000-0000-00008E280000}"/>
    <cellStyle name="Comma 2 2 5 2 2 7 3" xfId="28314" xr:uid="{00000000-0005-0000-0000-00008F280000}"/>
    <cellStyle name="Comma 2 2 5 2 2 8" xfId="7483" xr:uid="{00000000-0005-0000-0000-000090280000}"/>
    <cellStyle name="Comma 2 2 5 2 2 8 2" xfId="30762" xr:uid="{00000000-0005-0000-0000-000091280000}"/>
    <cellStyle name="Comma 2 2 5 2 2 9" xfId="9931" xr:uid="{00000000-0005-0000-0000-000092280000}"/>
    <cellStyle name="Comma 2 2 5 2 2 9 2" xfId="33210" xr:uid="{00000000-0005-0000-0000-000093280000}"/>
    <cellStyle name="Comma 2 2 5 2 3" xfId="207" xr:uid="{00000000-0005-0000-0000-000094280000}"/>
    <cellStyle name="Comma 2 2 5 2 3 10" xfId="12447" xr:uid="{00000000-0005-0000-0000-000095280000}"/>
    <cellStyle name="Comma 2 2 5 2 3 10 2" xfId="35726" xr:uid="{00000000-0005-0000-0000-000096280000}"/>
    <cellStyle name="Comma 2 2 5 2 3 11" xfId="14918" xr:uid="{00000000-0005-0000-0000-000097280000}"/>
    <cellStyle name="Comma 2 2 5 2 3 11 2" xfId="38196" xr:uid="{00000000-0005-0000-0000-000098280000}"/>
    <cellStyle name="Comma 2 2 5 2 3 12" xfId="23486" xr:uid="{00000000-0005-0000-0000-000099280000}"/>
    <cellStyle name="Comma 2 2 5 2 3 13" xfId="44316" xr:uid="{00000000-0005-0000-0000-00009A280000}"/>
    <cellStyle name="Comma 2 2 5 2 3 14" xfId="21038" xr:uid="{00000000-0005-0000-0000-00009B280000}"/>
    <cellStyle name="Comma 2 2 5 2 3 2" xfId="411" xr:uid="{00000000-0005-0000-0000-00009C280000}"/>
    <cellStyle name="Comma 2 2 5 2 3 2 10" xfId="23690" xr:uid="{00000000-0005-0000-0000-00009D280000}"/>
    <cellStyle name="Comma 2 2 5 2 3 2 11" xfId="44520" xr:uid="{00000000-0005-0000-0000-00009E280000}"/>
    <cellStyle name="Comma 2 2 5 2 3 2 12" xfId="21242" xr:uid="{00000000-0005-0000-0000-00009F280000}"/>
    <cellStyle name="Comma 2 2 5 2 3 2 2" xfId="1023" xr:uid="{00000000-0005-0000-0000-0000A0280000}"/>
    <cellStyle name="Comma 2 2 5 2 3 2 2 10" xfId="45132" xr:uid="{00000000-0005-0000-0000-0000A1280000}"/>
    <cellStyle name="Comma 2 2 5 2 3 2 2 11" xfId="21854" xr:uid="{00000000-0005-0000-0000-0000A2280000}"/>
    <cellStyle name="Comma 2 2 5 2 3 2 2 2" xfId="2247" xr:uid="{00000000-0005-0000-0000-0000A3280000}"/>
    <cellStyle name="Comma 2 2 5 2 3 2 2 2 10" xfId="23078" xr:uid="{00000000-0005-0000-0000-0000A4280000}"/>
    <cellStyle name="Comma 2 2 5 2 3 2 2 2 2" xfId="4695" xr:uid="{00000000-0005-0000-0000-0000A5280000}"/>
    <cellStyle name="Comma 2 2 5 2 3 2 2 2 2 2" xfId="20630" xr:uid="{00000000-0005-0000-0000-0000A6280000}"/>
    <cellStyle name="Comma 2 2 5 2 3 2 2 2 2 2 2" xfId="43908" xr:uid="{00000000-0005-0000-0000-0000A7280000}"/>
    <cellStyle name="Comma 2 2 5 2 3 2 2 2 2 3" xfId="48804" xr:uid="{00000000-0005-0000-0000-0000A8280000}"/>
    <cellStyle name="Comma 2 2 5 2 3 2 2 2 2 4" xfId="27974" xr:uid="{00000000-0005-0000-0000-0000A9280000}"/>
    <cellStyle name="Comma 2 2 5 2 3 2 2 2 3" xfId="7143" xr:uid="{00000000-0005-0000-0000-0000AA280000}"/>
    <cellStyle name="Comma 2 2 5 2 3 2 2 2 3 2" xfId="30422" xr:uid="{00000000-0005-0000-0000-0000AB280000}"/>
    <cellStyle name="Comma 2 2 5 2 3 2 2 2 4" xfId="9591" xr:uid="{00000000-0005-0000-0000-0000AC280000}"/>
    <cellStyle name="Comma 2 2 5 2 3 2 2 2 4 2" xfId="32870" xr:uid="{00000000-0005-0000-0000-0000AD280000}"/>
    <cellStyle name="Comma 2 2 5 2 3 2 2 2 5" xfId="12039" xr:uid="{00000000-0005-0000-0000-0000AE280000}"/>
    <cellStyle name="Comma 2 2 5 2 3 2 2 2 5 2" xfId="35318" xr:uid="{00000000-0005-0000-0000-0000AF280000}"/>
    <cellStyle name="Comma 2 2 5 2 3 2 2 2 6" xfId="14487" xr:uid="{00000000-0005-0000-0000-0000B0280000}"/>
    <cellStyle name="Comma 2 2 5 2 3 2 2 2 6 2" xfId="37766" xr:uid="{00000000-0005-0000-0000-0000B1280000}"/>
    <cellStyle name="Comma 2 2 5 2 3 2 2 2 7" xfId="18182" xr:uid="{00000000-0005-0000-0000-0000B2280000}"/>
    <cellStyle name="Comma 2 2 5 2 3 2 2 2 7 2" xfId="41460" xr:uid="{00000000-0005-0000-0000-0000B3280000}"/>
    <cellStyle name="Comma 2 2 5 2 3 2 2 2 8" xfId="25526" xr:uid="{00000000-0005-0000-0000-0000B4280000}"/>
    <cellStyle name="Comma 2 2 5 2 3 2 2 2 9" xfId="46356" xr:uid="{00000000-0005-0000-0000-0000B5280000}"/>
    <cellStyle name="Comma 2 2 5 2 3 2 2 3" xfId="3471" xr:uid="{00000000-0005-0000-0000-0000B6280000}"/>
    <cellStyle name="Comma 2 2 5 2 3 2 2 3 2" xfId="16958" xr:uid="{00000000-0005-0000-0000-0000B7280000}"/>
    <cellStyle name="Comma 2 2 5 2 3 2 2 3 2 2" xfId="40236" xr:uid="{00000000-0005-0000-0000-0000B8280000}"/>
    <cellStyle name="Comma 2 2 5 2 3 2 2 3 3" xfId="47580" xr:uid="{00000000-0005-0000-0000-0000B9280000}"/>
    <cellStyle name="Comma 2 2 5 2 3 2 2 3 4" xfId="26750" xr:uid="{00000000-0005-0000-0000-0000BA280000}"/>
    <cellStyle name="Comma 2 2 5 2 3 2 2 4" xfId="5919" xr:uid="{00000000-0005-0000-0000-0000BB280000}"/>
    <cellStyle name="Comma 2 2 5 2 3 2 2 4 2" xfId="19406" xr:uid="{00000000-0005-0000-0000-0000BC280000}"/>
    <cellStyle name="Comma 2 2 5 2 3 2 2 4 2 2" xfId="42684" xr:uid="{00000000-0005-0000-0000-0000BD280000}"/>
    <cellStyle name="Comma 2 2 5 2 3 2 2 4 3" xfId="29198" xr:uid="{00000000-0005-0000-0000-0000BE280000}"/>
    <cellStyle name="Comma 2 2 5 2 3 2 2 5" xfId="8367" xr:uid="{00000000-0005-0000-0000-0000BF280000}"/>
    <cellStyle name="Comma 2 2 5 2 3 2 2 5 2" xfId="31646" xr:uid="{00000000-0005-0000-0000-0000C0280000}"/>
    <cellStyle name="Comma 2 2 5 2 3 2 2 6" xfId="10815" xr:uid="{00000000-0005-0000-0000-0000C1280000}"/>
    <cellStyle name="Comma 2 2 5 2 3 2 2 6 2" xfId="34094" xr:uid="{00000000-0005-0000-0000-0000C2280000}"/>
    <cellStyle name="Comma 2 2 5 2 3 2 2 7" xfId="13263" xr:uid="{00000000-0005-0000-0000-0000C3280000}"/>
    <cellStyle name="Comma 2 2 5 2 3 2 2 7 2" xfId="36542" xr:uid="{00000000-0005-0000-0000-0000C4280000}"/>
    <cellStyle name="Comma 2 2 5 2 3 2 2 8" xfId="15734" xr:uid="{00000000-0005-0000-0000-0000C5280000}"/>
    <cellStyle name="Comma 2 2 5 2 3 2 2 8 2" xfId="39012" xr:uid="{00000000-0005-0000-0000-0000C6280000}"/>
    <cellStyle name="Comma 2 2 5 2 3 2 2 9" xfId="24302" xr:uid="{00000000-0005-0000-0000-0000C7280000}"/>
    <cellStyle name="Comma 2 2 5 2 3 2 3" xfId="1635" xr:uid="{00000000-0005-0000-0000-0000C8280000}"/>
    <cellStyle name="Comma 2 2 5 2 3 2 3 10" xfId="22466" xr:uid="{00000000-0005-0000-0000-0000C9280000}"/>
    <cellStyle name="Comma 2 2 5 2 3 2 3 2" xfId="4083" xr:uid="{00000000-0005-0000-0000-0000CA280000}"/>
    <cellStyle name="Comma 2 2 5 2 3 2 3 2 2" xfId="20018" xr:uid="{00000000-0005-0000-0000-0000CB280000}"/>
    <cellStyle name="Comma 2 2 5 2 3 2 3 2 2 2" xfId="43296" xr:uid="{00000000-0005-0000-0000-0000CC280000}"/>
    <cellStyle name="Comma 2 2 5 2 3 2 3 2 3" xfId="48192" xr:uid="{00000000-0005-0000-0000-0000CD280000}"/>
    <cellStyle name="Comma 2 2 5 2 3 2 3 2 4" xfId="27362" xr:uid="{00000000-0005-0000-0000-0000CE280000}"/>
    <cellStyle name="Comma 2 2 5 2 3 2 3 3" xfId="6531" xr:uid="{00000000-0005-0000-0000-0000CF280000}"/>
    <cellStyle name="Comma 2 2 5 2 3 2 3 3 2" xfId="29810" xr:uid="{00000000-0005-0000-0000-0000D0280000}"/>
    <cellStyle name="Comma 2 2 5 2 3 2 3 4" xfId="8979" xr:uid="{00000000-0005-0000-0000-0000D1280000}"/>
    <cellStyle name="Comma 2 2 5 2 3 2 3 4 2" xfId="32258" xr:uid="{00000000-0005-0000-0000-0000D2280000}"/>
    <cellStyle name="Comma 2 2 5 2 3 2 3 5" xfId="11427" xr:uid="{00000000-0005-0000-0000-0000D3280000}"/>
    <cellStyle name="Comma 2 2 5 2 3 2 3 5 2" xfId="34706" xr:uid="{00000000-0005-0000-0000-0000D4280000}"/>
    <cellStyle name="Comma 2 2 5 2 3 2 3 6" xfId="13875" xr:uid="{00000000-0005-0000-0000-0000D5280000}"/>
    <cellStyle name="Comma 2 2 5 2 3 2 3 6 2" xfId="37154" xr:uid="{00000000-0005-0000-0000-0000D6280000}"/>
    <cellStyle name="Comma 2 2 5 2 3 2 3 7" xfId="17570" xr:uid="{00000000-0005-0000-0000-0000D7280000}"/>
    <cellStyle name="Comma 2 2 5 2 3 2 3 7 2" xfId="40848" xr:uid="{00000000-0005-0000-0000-0000D8280000}"/>
    <cellStyle name="Comma 2 2 5 2 3 2 3 8" xfId="24914" xr:uid="{00000000-0005-0000-0000-0000D9280000}"/>
    <cellStyle name="Comma 2 2 5 2 3 2 3 9" xfId="45744" xr:uid="{00000000-0005-0000-0000-0000DA280000}"/>
    <cellStyle name="Comma 2 2 5 2 3 2 4" xfId="2859" xr:uid="{00000000-0005-0000-0000-0000DB280000}"/>
    <cellStyle name="Comma 2 2 5 2 3 2 4 2" xfId="16346" xr:uid="{00000000-0005-0000-0000-0000DC280000}"/>
    <cellStyle name="Comma 2 2 5 2 3 2 4 2 2" xfId="39624" xr:uid="{00000000-0005-0000-0000-0000DD280000}"/>
    <cellStyle name="Comma 2 2 5 2 3 2 4 3" xfId="46968" xr:uid="{00000000-0005-0000-0000-0000DE280000}"/>
    <cellStyle name="Comma 2 2 5 2 3 2 4 4" xfId="26138" xr:uid="{00000000-0005-0000-0000-0000DF280000}"/>
    <cellStyle name="Comma 2 2 5 2 3 2 5" xfId="5307" xr:uid="{00000000-0005-0000-0000-0000E0280000}"/>
    <cellStyle name="Comma 2 2 5 2 3 2 5 2" xfId="18794" xr:uid="{00000000-0005-0000-0000-0000E1280000}"/>
    <cellStyle name="Comma 2 2 5 2 3 2 5 2 2" xfId="42072" xr:uid="{00000000-0005-0000-0000-0000E2280000}"/>
    <cellStyle name="Comma 2 2 5 2 3 2 5 3" xfId="28586" xr:uid="{00000000-0005-0000-0000-0000E3280000}"/>
    <cellStyle name="Comma 2 2 5 2 3 2 6" xfId="7755" xr:uid="{00000000-0005-0000-0000-0000E4280000}"/>
    <cellStyle name="Comma 2 2 5 2 3 2 6 2" xfId="31034" xr:uid="{00000000-0005-0000-0000-0000E5280000}"/>
    <cellStyle name="Comma 2 2 5 2 3 2 7" xfId="10203" xr:uid="{00000000-0005-0000-0000-0000E6280000}"/>
    <cellStyle name="Comma 2 2 5 2 3 2 7 2" xfId="33482" xr:uid="{00000000-0005-0000-0000-0000E7280000}"/>
    <cellStyle name="Comma 2 2 5 2 3 2 8" xfId="12651" xr:uid="{00000000-0005-0000-0000-0000E8280000}"/>
    <cellStyle name="Comma 2 2 5 2 3 2 8 2" xfId="35930" xr:uid="{00000000-0005-0000-0000-0000E9280000}"/>
    <cellStyle name="Comma 2 2 5 2 3 2 9" xfId="15122" xr:uid="{00000000-0005-0000-0000-0000EA280000}"/>
    <cellStyle name="Comma 2 2 5 2 3 2 9 2" xfId="38400" xr:uid="{00000000-0005-0000-0000-0000EB280000}"/>
    <cellStyle name="Comma 2 2 5 2 3 3" xfId="615" xr:uid="{00000000-0005-0000-0000-0000EC280000}"/>
    <cellStyle name="Comma 2 2 5 2 3 3 10" xfId="23894" xr:uid="{00000000-0005-0000-0000-0000ED280000}"/>
    <cellStyle name="Comma 2 2 5 2 3 3 11" xfId="44724" xr:uid="{00000000-0005-0000-0000-0000EE280000}"/>
    <cellStyle name="Comma 2 2 5 2 3 3 12" xfId="21446" xr:uid="{00000000-0005-0000-0000-0000EF280000}"/>
    <cellStyle name="Comma 2 2 5 2 3 3 2" xfId="1227" xr:uid="{00000000-0005-0000-0000-0000F0280000}"/>
    <cellStyle name="Comma 2 2 5 2 3 3 2 10" xfId="45336" xr:uid="{00000000-0005-0000-0000-0000F1280000}"/>
    <cellStyle name="Comma 2 2 5 2 3 3 2 11" xfId="22058" xr:uid="{00000000-0005-0000-0000-0000F2280000}"/>
    <cellStyle name="Comma 2 2 5 2 3 3 2 2" xfId="2451" xr:uid="{00000000-0005-0000-0000-0000F3280000}"/>
    <cellStyle name="Comma 2 2 5 2 3 3 2 2 10" xfId="23282" xr:uid="{00000000-0005-0000-0000-0000F4280000}"/>
    <cellStyle name="Comma 2 2 5 2 3 3 2 2 2" xfId="4899" xr:uid="{00000000-0005-0000-0000-0000F5280000}"/>
    <cellStyle name="Comma 2 2 5 2 3 3 2 2 2 2" xfId="20834" xr:uid="{00000000-0005-0000-0000-0000F6280000}"/>
    <cellStyle name="Comma 2 2 5 2 3 3 2 2 2 2 2" xfId="44112" xr:uid="{00000000-0005-0000-0000-0000F7280000}"/>
    <cellStyle name="Comma 2 2 5 2 3 3 2 2 2 3" xfId="49008" xr:uid="{00000000-0005-0000-0000-0000F8280000}"/>
    <cellStyle name="Comma 2 2 5 2 3 3 2 2 2 4" xfId="28178" xr:uid="{00000000-0005-0000-0000-0000F9280000}"/>
    <cellStyle name="Comma 2 2 5 2 3 3 2 2 3" xfId="7347" xr:uid="{00000000-0005-0000-0000-0000FA280000}"/>
    <cellStyle name="Comma 2 2 5 2 3 3 2 2 3 2" xfId="30626" xr:uid="{00000000-0005-0000-0000-0000FB280000}"/>
    <cellStyle name="Comma 2 2 5 2 3 3 2 2 4" xfId="9795" xr:uid="{00000000-0005-0000-0000-0000FC280000}"/>
    <cellStyle name="Comma 2 2 5 2 3 3 2 2 4 2" xfId="33074" xr:uid="{00000000-0005-0000-0000-0000FD280000}"/>
    <cellStyle name="Comma 2 2 5 2 3 3 2 2 5" xfId="12243" xr:uid="{00000000-0005-0000-0000-0000FE280000}"/>
    <cellStyle name="Comma 2 2 5 2 3 3 2 2 5 2" xfId="35522" xr:uid="{00000000-0005-0000-0000-0000FF280000}"/>
    <cellStyle name="Comma 2 2 5 2 3 3 2 2 6" xfId="14691" xr:uid="{00000000-0005-0000-0000-000000290000}"/>
    <cellStyle name="Comma 2 2 5 2 3 3 2 2 6 2" xfId="37970" xr:uid="{00000000-0005-0000-0000-000001290000}"/>
    <cellStyle name="Comma 2 2 5 2 3 3 2 2 7" xfId="18386" xr:uid="{00000000-0005-0000-0000-000002290000}"/>
    <cellStyle name="Comma 2 2 5 2 3 3 2 2 7 2" xfId="41664" xr:uid="{00000000-0005-0000-0000-000003290000}"/>
    <cellStyle name="Comma 2 2 5 2 3 3 2 2 8" xfId="25730" xr:uid="{00000000-0005-0000-0000-000004290000}"/>
    <cellStyle name="Comma 2 2 5 2 3 3 2 2 9" xfId="46560" xr:uid="{00000000-0005-0000-0000-000005290000}"/>
    <cellStyle name="Comma 2 2 5 2 3 3 2 3" xfId="3675" xr:uid="{00000000-0005-0000-0000-000006290000}"/>
    <cellStyle name="Comma 2 2 5 2 3 3 2 3 2" xfId="17162" xr:uid="{00000000-0005-0000-0000-000007290000}"/>
    <cellStyle name="Comma 2 2 5 2 3 3 2 3 2 2" xfId="40440" xr:uid="{00000000-0005-0000-0000-000008290000}"/>
    <cellStyle name="Comma 2 2 5 2 3 3 2 3 3" xfId="47784" xr:uid="{00000000-0005-0000-0000-000009290000}"/>
    <cellStyle name="Comma 2 2 5 2 3 3 2 3 4" xfId="26954" xr:uid="{00000000-0005-0000-0000-00000A290000}"/>
    <cellStyle name="Comma 2 2 5 2 3 3 2 4" xfId="6123" xr:uid="{00000000-0005-0000-0000-00000B290000}"/>
    <cellStyle name="Comma 2 2 5 2 3 3 2 4 2" xfId="19610" xr:uid="{00000000-0005-0000-0000-00000C290000}"/>
    <cellStyle name="Comma 2 2 5 2 3 3 2 4 2 2" xfId="42888" xr:uid="{00000000-0005-0000-0000-00000D290000}"/>
    <cellStyle name="Comma 2 2 5 2 3 3 2 4 3" xfId="29402" xr:uid="{00000000-0005-0000-0000-00000E290000}"/>
    <cellStyle name="Comma 2 2 5 2 3 3 2 5" xfId="8571" xr:uid="{00000000-0005-0000-0000-00000F290000}"/>
    <cellStyle name="Comma 2 2 5 2 3 3 2 5 2" xfId="31850" xr:uid="{00000000-0005-0000-0000-000010290000}"/>
    <cellStyle name="Comma 2 2 5 2 3 3 2 6" xfId="11019" xr:uid="{00000000-0005-0000-0000-000011290000}"/>
    <cellStyle name="Comma 2 2 5 2 3 3 2 6 2" xfId="34298" xr:uid="{00000000-0005-0000-0000-000012290000}"/>
    <cellStyle name="Comma 2 2 5 2 3 3 2 7" xfId="13467" xr:uid="{00000000-0005-0000-0000-000013290000}"/>
    <cellStyle name="Comma 2 2 5 2 3 3 2 7 2" xfId="36746" xr:uid="{00000000-0005-0000-0000-000014290000}"/>
    <cellStyle name="Comma 2 2 5 2 3 3 2 8" xfId="15938" xr:uid="{00000000-0005-0000-0000-000015290000}"/>
    <cellStyle name="Comma 2 2 5 2 3 3 2 8 2" xfId="39216" xr:uid="{00000000-0005-0000-0000-000016290000}"/>
    <cellStyle name="Comma 2 2 5 2 3 3 2 9" xfId="24506" xr:uid="{00000000-0005-0000-0000-000017290000}"/>
    <cellStyle name="Comma 2 2 5 2 3 3 3" xfId="1839" xr:uid="{00000000-0005-0000-0000-000018290000}"/>
    <cellStyle name="Comma 2 2 5 2 3 3 3 10" xfId="22670" xr:uid="{00000000-0005-0000-0000-000019290000}"/>
    <cellStyle name="Comma 2 2 5 2 3 3 3 2" xfId="4287" xr:uid="{00000000-0005-0000-0000-00001A290000}"/>
    <cellStyle name="Comma 2 2 5 2 3 3 3 2 2" xfId="20222" xr:uid="{00000000-0005-0000-0000-00001B290000}"/>
    <cellStyle name="Comma 2 2 5 2 3 3 3 2 2 2" xfId="43500" xr:uid="{00000000-0005-0000-0000-00001C290000}"/>
    <cellStyle name="Comma 2 2 5 2 3 3 3 2 3" xfId="48396" xr:uid="{00000000-0005-0000-0000-00001D290000}"/>
    <cellStyle name="Comma 2 2 5 2 3 3 3 2 4" xfId="27566" xr:uid="{00000000-0005-0000-0000-00001E290000}"/>
    <cellStyle name="Comma 2 2 5 2 3 3 3 3" xfId="6735" xr:uid="{00000000-0005-0000-0000-00001F290000}"/>
    <cellStyle name="Comma 2 2 5 2 3 3 3 3 2" xfId="30014" xr:uid="{00000000-0005-0000-0000-000020290000}"/>
    <cellStyle name="Comma 2 2 5 2 3 3 3 4" xfId="9183" xr:uid="{00000000-0005-0000-0000-000021290000}"/>
    <cellStyle name="Comma 2 2 5 2 3 3 3 4 2" xfId="32462" xr:uid="{00000000-0005-0000-0000-000022290000}"/>
    <cellStyle name="Comma 2 2 5 2 3 3 3 5" xfId="11631" xr:uid="{00000000-0005-0000-0000-000023290000}"/>
    <cellStyle name="Comma 2 2 5 2 3 3 3 5 2" xfId="34910" xr:uid="{00000000-0005-0000-0000-000024290000}"/>
    <cellStyle name="Comma 2 2 5 2 3 3 3 6" xfId="14079" xr:uid="{00000000-0005-0000-0000-000025290000}"/>
    <cellStyle name="Comma 2 2 5 2 3 3 3 6 2" xfId="37358" xr:uid="{00000000-0005-0000-0000-000026290000}"/>
    <cellStyle name="Comma 2 2 5 2 3 3 3 7" xfId="17774" xr:uid="{00000000-0005-0000-0000-000027290000}"/>
    <cellStyle name="Comma 2 2 5 2 3 3 3 7 2" xfId="41052" xr:uid="{00000000-0005-0000-0000-000028290000}"/>
    <cellStyle name="Comma 2 2 5 2 3 3 3 8" xfId="25118" xr:uid="{00000000-0005-0000-0000-000029290000}"/>
    <cellStyle name="Comma 2 2 5 2 3 3 3 9" xfId="45948" xr:uid="{00000000-0005-0000-0000-00002A290000}"/>
    <cellStyle name="Comma 2 2 5 2 3 3 4" xfId="3063" xr:uid="{00000000-0005-0000-0000-00002B290000}"/>
    <cellStyle name="Comma 2 2 5 2 3 3 4 2" xfId="16550" xr:uid="{00000000-0005-0000-0000-00002C290000}"/>
    <cellStyle name="Comma 2 2 5 2 3 3 4 2 2" xfId="39828" xr:uid="{00000000-0005-0000-0000-00002D290000}"/>
    <cellStyle name="Comma 2 2 5 2 3 3 4 3" xfId="47172" xr:uid="{00000000-0005-0000-0000-00002E290000}"/>
    <cellStyle name="Comma 2 2 5 2 3 3 4 4" xfId="26342" xr:uid="{00000000-0005-0000-0000-00002F290000}"/>
    <cellStyle name="Comma 2 2 5 2 3 3 5" xfId="5511" xr:uid="{00000000-0005-0000-0000-000030290000}"/>
    <cellStyle name="Comma 2 2 5 2 3 3 5 2" xfId="18998" xr:uid="{00000000-0005-0000-0000-000031290000}"/>
    <cellStyle name="Comma 2 2 5 2 3 3 5 2 2" xfId="42276" xr:uid="{00000000-0005-0000-0000-000032290000}"/>
    <cellStyle name="Comma 2 2 5 2 3 3 5 3" xfId="28790" xr:uid="{00000000-0005-0000-0000-000033290000}"/>
    <cellStyle name="Comma 2 2 5 2 3 3 6" xfId="7959" xr:uid="{00000000-0005-0000-0000-000034290000}"/>
    <cellStyle name="Comma 2 2 5 2 3 3 6 2" xfId="31238" xr:uid="{00000000-0005-0000-0000-000035290000}"/>
    <cellStyle name="Comma 2 2 5 2 3 3 7" xfId="10407" xr:uid="{00000000-0005-0000-0000-000036290000}"/>
    <cellStyle name="Comma 2 2 5 2 3 3 7 2" xfId="33686" xr:uid="{00000000-0005-0000-0000-000037290000}"/>
    <cellStyle name="Comma 2 2 5 2 3 3 8" xfId="12855" xr:uid="{00000000-0005-0000-0000-000038290000}"/>
    <cellStyle name="Comma 2 2 5 2 3 3 8 2" xfId="36134" xr:uid="{00000000-0005-0000-0000-000039290000}"/>
    <cellStyle name="Comma 2 2 5 2 3 3 9" xfId="15326" xr:uid="{00000000-0005-0000-0000-00003A290000}"/>
    <cellStyle name="Comma 2 2 5 2 3 3 9 2" xfId="38604" xr:uid="{00000000-0005-0000-0000-00003B290000}"/>
    <cellStyle name="Comma 2 2 5 2 3 4" xfId="819" xr:uid="{00000000-0005-0000-0000-00003C290000}"/>
    <cellStyle name="Comma 2 2 5 2 3 4 10" xfId="44928" xr:uid="{00000000-0005-0000-0000-00003D290000}"/>
    <cellStyle name="Comma 2 2 5 2 3 4 11" xfId="21650" xr:uid="{00000000-0005-0000-0000-00003E290000}"/>
    <cellStyle name="Comma 2 2 5 2 3 4 2" xfId="2043" xr:uid="{00000000-0005-0000-0000-00003F290000}"/>
    <cellStyle name="Comma 2 2 5 2 3 4 2 10" xfId="22874" xr:uid="{00000000-0005-0000-0000-000040290000}"/>
    <cellStyle name="Comma 2 2 5 2 3 4 2 2" xfId="4491" xr:uid="{00000000-0005-0000-0000-000041290000}"/>
    <cellStyle name="Comma 2 2 5 2 3 4 2 2 2" xfId="20426" xr:uid="{00000000-0005-0000-0000-000042290000}"/>
    <cellStyle name="Comma 2 2 5 2 3 4 2 2 2 2" xfId="43704" xr:uid="{00000000-0005-0000-0000-000043290000}"/>
    <cellStyle name="Comma 2 2 5 2 3 4 2 2 3" xfId="48600" xr:uid="{00000000-0005-0000-0000-000044290000}"/>
    <cellStyle name="Comma 2 2 5 2 3 4 2 2 4" xfId="27770" xr:uid="{00000000-0005-0000-0000-000045290000}"/>
    <cellStyle name="Comma 2 2 5 2 3 4 2 3" xfId="6939" xr:uid="{00000000-0005-0000-0000-000046290000}"/>
    <cellStyle name="Comma 2 2 5 2 3 4 2 3 2" xfId="30218" xr:uid="{00000000-0005-0000-0000-000047290000}"/>
    <cellStyle name="Comma 2 2 5 2 3 4 2 4" xfId="9387" xr:uid="{00000000-0005-0000-0000-000048290000}"/>
    <cellStyle name="Comma 2 2 5 2 3 4 2 4 2" xfId="32666" xr:uid="{00000000-0005-0000-0000-000049290000}"/>
    <cellStyle name="Comma 2 2 5 2 3 4 2 5" xfId="11835" xr:uid="{00000000-0005-0000-0000-00004A290000}"/>
    <cellStyle name="Comma 2 2 5 2 3 4 2 5 2" xfId="35114" xr:uid="{00000000-0005-0000-0000-00004B290000}"/>
    <cellStyle name="Comma 2 2 5 2 3 4 2 6" xfId="14283" xr:uid="{00000000-0005-0000-0000-00004C290000}"/>
    <cellStyle name="Comma 2 2 5 2 3 4 2 6 2" xfId="37562" xr:uid="{00000000-0005-0000-0000-00004D290000}"/>
    <cellStyle name="Comma 2 2 5 2 3 4 2 7" xfId="17978" xr:uid="{00000000-0005-0000-0000-00004E290000}"/>
    <cellStyle name="Comma 2 2 5 2 3 4 2 7 2" xfId="41256" xr:uid="{00000000-0005-0000-0000-00004F290000}"/>
    <cellStyle name="Comma 2 2 5 2 3 4 2 8" xfId="25322" xr:uid="{00000000-0005-0000-0000-000050290000}"/>
    <cellStyle name="Comma 2 2 5 2 3 4 2 9" xfId="46152" xr:uid="{00000000-0005-0000-0000-000051290000}"/>
    <cellStyle name="Comma 2 2 5 2 3 4 3" xfId="3267" xr:uid="{00000000-0005-0000-0000-000052290000}"/>
    <cellStyle name="Comma 2 2 5 2 3 4 3 2" xfId="16754" xr:uid="{00000000-0005-0000-0000-000053290000}"/>
    <cellStyle name="Comma 2 2 5 2 3 4 3 2 2" xfId="40032" xr:uid="{00000000-0005-0000-0000-000054290000}"/>
    <cellStyle name="Comma 2 2 5 2 3 4 3 3" xfId="47376" xr:uid="{00000000-0005-0000-0000-000055290000}"/>
    <cellStyle name="Comma 2 2 5 2 3 4 3 4" xfId="26546" xr:uid="{00000000-0005-0000-0000-000056290000}"/>
    <cellStyle name="Comma 2 2 5 2 3 4 4" xfId="5715" xr:uid="{00000000-0005-0000-0000-000057290000}"/>
    <cellStyle name="Comma 2 2 5 2 3 4 4 2" xfId="19202" xr:uid="{00000000-0005-0000-0000-000058290000}"/>
    <cellStyle name="Comma 2 2 5 2 3 4 4 2 2" xfId="42480" xr:uid="{00000000-0005-0000-0000-000059290000}"/>
    <cellStyle name="Comma 2 2 5 2 3 4 4 3" xfId="28994" xr:uid="{00000000-0005-0000-0000-00005A290000}"/>
    <cellStyle name="Comma 2 2 5 2 3 4 5" xfId="8163" xr:uid="{00000000-0005-0000-0000-00005B290000}"/>
    <cellStyle name="Comma 2 2 5 2 3 4 5 2" xfId="31442" xr:uid="{00000000-0005-0000-0000-00005C290000}"/>
    <cellStyle name="Comma 2 2 5 2 3 4 6" xfId="10611" xr:uid="{00000000-0005-0000-0000-00005D290000}"/>
    <cellStyle name="Comma 2 2 5 2 3 4 6 2" xfId="33890" xr:uid="{00000000-0005-0000-0000-00005E290000}"/>
    <cellStyle name="Comma 2 2 5 2 3 4 7" xfId="13059" xr:uid="{00000000-0005-0000-0000-00005F290000}"/>
    <cellStyle name="Comma 2 2 5 2 3 4 7 2" xfId="36338" xr:uid="{00000000-0005-0000-0000-000060290000}"/>
    <cellStyle name="Comma 2 2 5 2 3 4 8" xfId="15530" xr:uid="{00000000-0005-0000-0000-000061290000}"/>
    <cellStyle name="Comma 2 2 5 2 3 4 8 2" xfId="38808" xr:uid="{00000000-0005-0000-0000-000062290000}"/>
    <cellStyle name="Comma 2 2 5 2 3 4 9" xfId="24098" xr:uid="{00000000-0005-0000-0000-000063290000}"/>
    <cellStyle name="Comma 2 2 5 2 3 5" xfId="1431" xr:uid="{00000000-0005-0000-0000-000064290000}"/>
    <cellStyle name="Comma 2 2 5 2 3 5 10" xfId="22262" xr:uid="{00000000-0005-0000-0000-000065290000}"/>
    <cellStyle name="Comma 2 2 5 2 3 5 2" xfId="3879" xr:uid="{00000000-0005-0000-0000-000066290000}"/>
    <cellStyle name="Comma 2 2 5 2 3 5 2 2" xfId="19814" xr:uid="{00000000-0005-0000-0000-000067290000}"/>
    <cellStyle name="Comma 2 2 5 2 3 5 2 2 2" xfId="43092" xr:uid="{00000000-0005-0000-0000-000068290000}"/>
    <cellStyle name="Comma 2 2 5 2 3 5 2 3" xfId="47988" xr:uid="{00000000-0005-0000-0000-000069290000}"/>
    <cellStyle name="Comma 2 2 5 2 3 5 2 4" xfId="27158" xr:uid="{00000000-0005-0000-0000-00006A290000}"/>
    <cellStyle name="Comma 2 2 5 2 3 5 3" xfId="6327" xr:uid="{00000000-0005-0000-0000-00006B290000}"/>
    <cellStyle name="Comma 2 2 5 2 3 5 3 2" xfId="29606" xr:uid="{00000000-0005-0000-0000-00006C290000}"/>
    <cellStyle name="Comma 2 2 5 2 3 5 4" xfId="8775" xr:uid="{00000000-0005-0000-0000-00006D290000}"/>
    <cellStyle name="Comma 2 2 5 2 3 5 4 2" xfId="32054" xr:uid="{00000000-0005-0000-0000-00006E290000}"/>
    <cellStyle name="Comma 2 2 5 2 3 5 5" xfId="11223" xr:uid="{00000000-0005-0000-0000-00006F290000}"/>
    <cellStyle name="Comma 2 2 5 2 3 5 5 2" xfId="34502" xr:uid="{00000000-0005-0000-0000-000070290000}"/>
    <cellStyle name="Comma 2 2 5 2 3 5 6" xfId="13671" xr:uid="{00000000-0005-0000-0000-000071290000}"/>
    <cellStyle name="Comma 2 2 5 2 3 5 6 2" xfId="36950" xr:uid="{00000000-0005-0000-0000-000072290000}"/>
    <cellStyle name="Comma 2 2 5 2 3 5 7" xfId="17366" xr:uid="{00000000-0005-0000-0000-000073290000}"/>
    <cellStyle name="Comma 2 2 5 2 3 5 7 2" xfId="40644" xr:uid="{00000000-0005-0000-0000-000074290000}"/>
    <cellStyle name="Comma 2 2 5 2 3 5 8" xfId="24710" xr:uid="{00000000-0005-0000-0000-000075290000}"/>
    <cellStyle name="Comma 2 2 5 2 3 5 9" xfId="45540" xr:uid="{00000000-0005-0000-0000-000076290000}"/>
    <cellStyle name="Comma 2 2 5 2 3 6" xfId="2655" xr:uid="{00000000-0005-0000-0000-000077290000}"/>
    <cellStyle name="Comma 2 2 5 2 3 6 2" xfId="16142" xr:uid="{00000000-0005-0000-0000-000078290000}"/>
    <cellStyle name="Comma 2 2 5 2 3 6 2 2" xfId="39420" xr:uid="{00000000-0005-0000-0000-000079290000}"/>
    <cellStyle name="Comma 2 2 5 2 3 6 3" xfId="46764" xr:uid="{00000000-0005-0000-0000-00007A290000}"/>
    <cellStyle name="Comma 2 2 5 2 3 6 4" xfId="25934" xr:uid="{00000000-0005-0000-0000-00007B290000}"/>
    <cellStyle name="Comma 2 2 5 2 3 7" xfId="5103" xr:uid="{00000000-0005-0000-0000-00007C290000}"/>
    <cellStyle name="Comma 2 2 5 2 3 7 2" xfId="18590" xr:uid="{00000000-0005-0000-0000-00007D290000}"/>
    <cellStyle name="Comma 2 2 5 2 3 7 2 2" xfId="41868" xr:uid="{00000000-0005-0000-0000-00007E290000}"/>
    <cellStyle name="Comma 2 2 5 2 3 7 3" xfId="28382" xr:uid="{00000000-0005-0000-0000-00007F290000}"/>
    <cellStyle name="Comma 2 2 5 2 3 8" xfId="7551" xr:uid="{00000000-0005-0000-0000-000080290000}"/>
    <cellStyle name="Comma 2 2 5 2 3 8 2" xfId="30830" xr:uid="{00000000-0005-0000-0000-000081290000}"/>
    <cellStyle name="Comma 2 2 5 2 3 9" xfId="9999" xr:uid="{00000000-0005-0000-0000-000082290000}"/>
    <cellStyle name="Comma 2 2 5 2 3 9 2" xfId="33278" xr:uid="{00000000-0005-0000-0000-000083290000}"/>
    <cellStyle name="Comma 2 2 5 2 4" xfId="275" xr:uid="{00000000-0005-0000-0000-000084290000}"/>
    <cellStyle name="Comma 2 2 5 2 4 10" xfId="23554" xr:uid="{00000000-0005-0000-0000-000085290000}"/>
    <cellStyle name="Comma 2 2 5 2 4 11" xfId="44384" xr:uid="{00000000-0005-0000-0000-000086290000}"/>
    <cellStyle name="Comma 2 2 5 2 4 12" xfId="21106" xr:uid="{00000000-0005-0000-0000-000087290000}"/>
    <cellStyle name="Comma 2 2 5 2 4 2" xfId="887" xr:uid="{00000000-0005-0000-0000-000088290000}"/>
    <cellStyle name="Comma 2 2 5 2 4 2 10" xfId="44996" xr:uid="{00000000-0005-0000-0000-000089290000}"/>
    <cellStyle name="Comma 2 2 5 2 4 2 11" xfId="21718" xr:uid="{00000000-0005-0000-0000-00008A290000}"/>
    <cellStyle name="Comma 2 2 5 2 4 2 2" xfId="2111" xr:uid="{00000000-0005-0000-0000-00008B290000}"/>
    <cellStyle name="Comma 2 2 5 2 4 2 2 10" xfId="22942" xr:uid="{00000000-0005-0000-0000-00008C290000}"/>
    <cellStyle name="Comma 2 2 5 2 4 2 2 2" xfId="4559" xr:uid="{00000000-0005-0000-0000-00008D290000}"/>
    <cellStyle name="Comma 2 2 5 2 4 2 2 2 2" xfId="20494" xr:uid="{00000000-0005-0000-0000-00008E290000}"/>
    <cellStyle name="Comma 2 2 5 2 4 2 2 2 2 2" xfId="43772" xr:uid="{00000000-0005-0000-0000-00008F290000}"/>
    <cellStyle name="Comma 2 2 5 2 4 2 2 2 3" xfId="48668" xr:uid="{00000000-0005-0000-0000-000090290000}"/>
    <cellStyle name="Comma 2 2 5 2 4 2 2 2 4" xfId="27838" xr:uid="{00000000-0005-0000-0000-000091290000}"/>
    <cellStyle name="Comma 2 2 5 2 4 2 2 3" xfId="7007" xr:uid="{00000000-0005-0000-0000-000092290000}"/>
    <cellStyle name="Comma 2 2 5 2 4 2 2 3 2" xfId="30286" xr:uid="{00000000-0005-0000-0000-000093290000}"/>
    <cellStyle name="Comma 2 2 5 2 4 2 2 4" xfId="9455" xr:uid="{00000000-0005-0000-0000-000094290000}"/>
    <cellStyle name="Comma 2 2 5 2 4 2 2 4 2" xfId="32734" xr:uid="{00000000-0005-0000-0000-000095290000}"/>
    <cellStyle name="Comma 2 2 5 2 4 2 2 5" xfId="11903" xr:uid="{00000000-0005-0000-0000-000096290000}"/>
    <cellStyle name="Comma 2 2 5 2 4 2 2 5 2" xfId="35182" xr:uid="{00000000-0005-0000-0000-000097290000}"/>
    <cellStyle name="Comma 2 2 5 2 4 2 2 6" xfId="14351" xr:uid="{00000000-0005-0000-0000-000098290000}"/>
    <cellStyle name="Comma 2 2 5 2 4 2 2 6 2" xfId="37630" xr:uid="{00000000-0005-0000-0000-000099290000}"/>
    <cellStyle name="Comma 2 2 5 2 4 2 2 7" xfId="18046" xr:uid="{00000000-0005-0000-0000-00009A290000}"/>
    <cellStyle name="Comma 2 2 5 2 4 2 2 7 2" xfId="41324" xr:uid="{00000000-0005-0000-0000-00009B290000}"/>
    <cellStyle name="Comma 2 2 5 2 4 2 2 8" xfId="25390" xr:uid="{00000000-0005-0000-0000-00009C290000}"/>
    <cellStyle name="Comma 2 2 5 2 4 2 2 9" xfId="46220" xr:uid="{00000000-0005-0000-0000-00009D290000}"/>
    <cellStyle name="Comma 2 2 5 2 4 2 3" xfId="3335" xr:uid="{00000000-0005-0000-0000-00009E290000}"/>
    <cellStyle name="Comma 2 2 5 2 4 2 3 2" xfId="16822" xr:uid="{00000000-0005-0000-0000-00009F290000}"/>
    <cellStyle name="Comma 2 2 5 2 4 2 3 2 2" xfId="40100" xr:uid="{00000000-0005-0000-0000-0000A0290000}"/>
    <cellStyle name="Comma 2 2 5 2 4 2 3 3" xfId="47444" xr:uid="{00000000-0005-0000-0000-0000A1290000}"/>
    <cellStyle name="Comma 2 2 5 2 4 2 3 4" xfId="26614" xr:uid="{00000000-0005-0000-0000-0000A2290000}"/>
    <cellStyle name="Comma 2 2 5 2 4 2 4" xfId="5783" xr:uid="{00000000-0005-0000-0000-0000A3290000}"/>
    <cellStyle name="Comma 2 2 5 2 4 2 4 2" xfId="19270" xr:uid="{00000000-0005-0000-0000-0000A4290000}"/>
    <cellStyle name="Comma 2 2 5 2 4 2 4 2 2" xfId="42548" xr:uid="{00000000-0005-0000-0000-0000A5290000}"/>
    <cellStyle name="Comma 2 2 5 2 4 2 4 3" xfId="29062" xr:uid="{00000000-0005-0000-0000-0000A6290000}"/>
    <cellStyle name="Comma 2 2 5 2 4 2 5" xfId="8231" xr:uid="{00000000-0005-0000-0000-0000A7290000}"/>
    <cellStyle name="Comma 2 2 5 2 4 2 5 2" xfId="31510" xr:uid="{00000000-0005-0000-0000-0000A8290000}"/>
    <cellStyle name="Comma 2 2 5 2 4 2 6" xfId="10679" xr:uid="{00000000-0005-0000-0000-0000A9290000}"/>
    <cellStyle name="Comma 2 2 5 2 4 2 6 2" xfId="33958" xr:uid="{00000000-0005-0000-0000-0000AA290000}"/>
    <cellStyle name="Comma 2 2 5 2 4 2 7" xfId="13127" xr:uid="{00000000-0005-0000-0000-0000AB290000}"/>
    <cellStyle name="Comma 2 2 5 2 4 2 7 2" xfId="36406" xr:uid="{00000000-0005-0000-0000-0000AC290000}"/>
    <cellStyle name="Comma 2 2 5 2 4 2 8" xfId="15598" xr:uid="{00000000-0005-0000-0000-0000AD290000}"/>
    <cellStyle name="Comma 2 2 5 2 4 2 8 2" xfId="38876" xr:uid="{00000000-0005-0000-0000-0000AE290000}"/>
    <cellStyle name="Comma 2 2 5 2 4 2 9" xfId="24166" xr:uid="{00000000-0005-0000-0000-0000AF290000}"/>
    <cellStyle name="Comma 2 2 5 2 4 3" xfId="1499" xr:uid="{00000000-0005-0000-0000-0000B0290000}"/>
    <cellStyle name="Comma 2 2 5 2 4 3 10" xfId="22330" xr:uid="{00000000-0005-0000-0000-0000B1290000}"/>
    <cellStyle name="Comma 2 2 5 2 4 3 2" xfId="3947" xr:uid="{00000000-0005-0000-0000-0000B2290000}"/>
    <cellStyle name="Comma 2 2 5 2 4 3 2 2" xfId="19882" xr:uid="{00000000-0005-0000-0000-0000B3290000}"/>
    <cellStyle name="Comma 2 2 5 2 4 3 2 2 2" xfId="43160" xr:uid="{00000000-0005-0000-0000-0000B4290000}"/>
    <cellStyle name="Comma 2 2 5 2 4 3 2 3" xfId="48056" xr:uid="{00000000-0005-0000-0000-0000B5290000}"/>
    <cellStyle name="Comma 2 2 5 2 4 3 2 4" xfId="27226" xr:uid="{00000000-0005-0000-0000-0000B6290000}"/>
    <cellStyle name="Comma 2 2 5 2 4 3 3" xfId="6395" xr:uid="{00000000-0005-0000-0000-0000B7290000}"/>
    <cellStyle name="Comma 2 2 5 2 4 3 3 2" xfId="29674" xr:uid="{00000000-0005-0000-0000-0000B8290000}"/>
    <cellStyle name="Comma 2 2 5 2 4 3 4" xfId="8843" xr:uid="{00000000-0005-0000-0000-0000B9290000}"/>
    <cellStyle name="Comma 2 2 5 2 4 3 4 2" xfId="32122" xr:uid="{00000000-0005-0000-0000-0000BA290000}"/>
    <cellStyle name="Comma 2 2 5 2 4 3 5" xfId="11291" xr:uid="{00000000-0005-0000-0000-0000BB290000}"/>
    <cellStyle name="Comma 2 2 5 2 4 3 5 2" xfId="34570" xr:uid="{00000000-0005-0000-0000-0000BC290000}"/>
    <cellStyle name="Comma 2 2 5 2 4 3 6" xfId="13739" xr:uid="{00000000-0005-0000-0000-0000BD290000}"/>
    <cellStyle name="Comma 2 2 5 2 4 3 6 2" xfId="37018" xr:uid="{00000000-0005-0000-0000-0000BE290000}"/>
    <cellStyle name="Comma 2 2 5 2 4 3 7" xfId="17434" xr:uid="{00000000-0005-0000-0000-0000BF290000}"/>
    <cellStyle name="Comma 2 2 5 2 4 3 7 2" xfId="40712" xr:uid="{00000000-0005-0000-0000-0000C0290000}"/>
    <cellStyle name="Comma 2 2 5 2 4 3 8" xfId="24778" xr:uid="{00000000-0005-0000-0000-0000C1290000}"/>
    <cellStyle name="Comma 2 2 5 2 4 3 9" xfId="45608" xr:uid="{00000000-0005-0000-0000-0000C2290000}"/>
    <cellStyle name="Comma 2 2 5 2 4 4" xfId="2723" xr:uid="{00000000-0005-0000-0000-0000C3290000}"/>
    <cellStyle name="Comma 2 2 5 2 4 4 2" xfId="16210" xr:uid="{00000000-0005-0000-0000-0000C4290000}"/>
    <cellStyle name="Comma 2 2 5 2 4 4 2 2" xfId="39488" xr:uid="{00000000-0005-0000-0000-0000C5290000}"/>
    <cellStyle name="Comma 2 2 5 2 4 4 3" xfId="46832" xr:uid="{00000000-0005-0000-0000-0000C6290000}"/>
    <cellStyle name="Comma 2 2 5 2 4 4 4" xfId="26002" xr:uid="{00000000-0005-0000-0000-0000C7290000}"/>
    <cellStyle name="Comma 2 2 5 2 4 5" xfId="5171" xr:uid="{00000000-0005-0000-0000-0000C8290000}"/>
    <cellStyle name="Comma 2 2 5 2 4 5 2" xfId="18658" xr:uid="{00000000-0005-0000-0000-0000C9290000}"/>
    <cellStyle name="Comma 2 2 5 2 4 5 2 2" xfId="41936" xr:uid="{00000000-0005-0000-0000-0000CA290000}"/>
    <cellStyle name="Comma 2 2 5 2 4 5 3" xfId="28450" xr:uid="{00000000-0005-0000-0000-0000CB290000}"/>
    <cellStyle name="Comma 2 2 5 2 4 6" xfId="7619" xr:uid="{00000000-0005-0000-0000-0000CC290000}"/>
    <cellStyle name="Comma 2 2 5 2 4 6 2" xfId="30898" xr:uid="{00000000-0005-0000-0000-0000CD290000}"/>
    <cellStyle name="Comma 2 2 5 2 4 7" xfId="10067" xr:uid="{00000000-0005-0000-0000-0000CE290000}"/>
    <cellStyle name="Comma 2 2 5 2 4 7 2" xfId="33346" xr:uid="{00000000-0005-0000-0000-0000CF290000}"/>
    <cellStyle name="Comma 2 2 5 2 4 8" xfId="12515" xr:uid="{00000000-0005-0000-0000-0000D0290000}"/>
    <cellStyle name="Comma 2 2 5 2 4 8 2" xfId="35794" xr:uid="{00000000-0005-0000-0000-0000D1290000}"/>
    <cellStyle name="Comma 2 2 5 2 4 9" xfId="14986" xr:uid="{00000000-0005-0000-0000-0000D2290000}"/>
    <cellStyle name="Comma 2 2 5 2 4 9 2" xfId="38264" xr:uid="{00000000-0005-0000-0000-0000D3290000}"/>
    <cellStyle name="Comma 2 2 5 2 5" xfId="479" xr:uid="{00000000-0005-0000-0000-0000D4290000}"/>
    <cellStyle name="Comma 2 2 5 2 5 10" xfId="23758" xr:uid="{00000000-0005-0000-0000-0000D5290000}"/>
    <cellStyle name="Comma 2 2 5 2 5 11" xfId="44588" xr:uid="{00000000-0005-0000-0000-0000D6290000}"/>
    <cellStyle name="Comma 2 2 5 2 5 12" xfId="21310" xr:uid="{00000000-0005-0000-0000-0000D7290000}"/>
    <cellStyle name="Comma 2 2 5 2 5 2" xfId="1091" xr:uid="{00000000-0005-0000-0000-0000D8290000}"/>
    <cellStyle name="Comma 2 2 5 2 5 2 10" xfId="45200" xr:uid="{00000000-0005-0000-0000-0000D9290000}"/>
    <cellStyle name="Comma 2 2 5 2 5 2 11" xfId="21922" xr:uid="{00000000-0005-0000-0000-0000DA290000}"/>
    <cellStyle name="Comma 2 2 5 2 5 2 2" xfId="2315" xr:uid="{00000000-0005-0000-0000-0000DB290000}"/>
    <cellStyle name="Comma 2 2 5 2 5 2 2 10" xfId="23146" xr:uid="{00000000-0005-0000-0000-0000DC290000}"/>
    <cellStyle name="Comma 2 2 5 2 5 2 2 2" xfId="4763" xr:uid="{00000000-0005-0000-0000-0000DD290000}"/>
    <cellStyle name="Comma 2 2 5 2 5 2 2 2 2" xfId="20698" xr:uid="{00000000-0005-0000-0000-0000DE290000}"/>
    <cellStyle name="Comma 2 2 5 2 5 2 2 2 2 2" xfId="43976" xr:uid="{00000000-0005-0000-0000-0000DF290000}"/>
    <cellStyle name="Comma 2 2 5 2 5 2 2 2 3" xfId="48872" xr:uid="{00000000-0005-0000-0000-0000E0290000}"/>
    <cellStyle name="Comma 2 2 5 2 5 2 2 2 4" xfId="28042" xr:uid="{00000000-0005-0000-0000-0000E1290000}"/>
    <cellStyle name="Comma 2 2 5 2 5 2 2 3" xfId="7211" xr:uid="{00000000-0005-0000-0000-0000E2290000}"/>
    <cellStyle name="Comma 2 2 5 2 5 2 2 3 2" xfId="30490" xr:uid="{00000000-0005-0000-0000-0000E3290000}"/>
    <cellStyle name="Comma 2 2 5 2 5 2 2 4" xfId="9659" xr:uid="{00000000-0005-0000-0000-0000E4290000}"/>
    <cellStyle name="Comma 2 2 5 2 5 2 2 4 2" xfId="32938" xr:uid="{00000000-0005-0000-0000-0000E5290000}"/>
    <cellStyle name="Comma 2 2 5 2 5 2 2 5" xfId="12107" xr:uid="{00000000-0005-0000-0000-0000E6290000}"/>
    <cellStyle name="Comma 2 2 5 2 5 2 2 5 2" xfId="35386" xr:uid="{00000000-0005-0000-0000-0000E7290000}"/>
    <cellStyle name="Comma 2 2 5 2 5 2 2 6" xfId="14555" xr:uid="{00000000-0005-0000-0000-0000E8290000}"/>
    <cellStyle name="Comma 2 2 5 2 5 2 2 6 2" xfId="37834" xr:uid="{00000000-0005-0000-0000-0000E9290000}"/>
    <cellStyle name="Comma 2 2 5 2 5 2 2 7" xfId="18250" xr:uid="{00000000-0005-0000-0000-0000EA290000}"/>
    <cellStyle name="Comma 2 2 5 2 5 2 2 7 2" xfId="41528" xr:uid="{00000000-0005-0000-0000-0000EB290000}"/>
    <cellStyle name="Comma 2 2 5 2 5 2 2 8" xfId="25594" xr:uid="{00000000-0005-0000-0000-0000EC290000}"/>
    <cellStyle name="Comma 2 2 5 2 5 2 2 9" xfId="46424" xr:uid="{00000000-0005-0000-0000-0000ED290000}"/>
    <cellStyle name="Comma 2 2 5 2 5 2 3" xfId="3539" xr:uid="{00000000-0005-0000-0000-0000EE290000}"/>
    <cellStyle name="Comma 2 2 5 2 5 2 3 2" xfId="17026" xr:uid="{00000000-0005-0000-0000-0000EF290000}"/>
    <cellStyle name="Comma 2 2 5 2 5 2 3 2 2" xfId="40304" xr:uid="{00000000-0005-0000-0000-0000F0290000}"/>
    <cellStyle name="Comma 2 2 5 2 5 2 3 3" xfId="47648" xr:uid="{00000000-0005-0000-0000-0000F1290000}"/>
    <cellStyle name="Comma 2 2 5 2 5 2 3 4" xfId="26818" xr:uid="{00000000-0005-0000-0000-0000F2290000}"/>
    <cellStyle name="Comma 2 2 5 2 5 2 4" xfId="5987" xr:uid="{00000000-0005-0000-0000-0000F3290000}"/>
    <cellStyle name="Comma 2 2 5 2 5 2 4 2" xfId="19474" xr:uid="{00000000-0005-0000-0000-0000F4290000}"/>
    <cellStyle name="Comma 2 2 5 2 5 2 4 2 2" xfId="42752" xr:uid="{00000000-0005-0000-0000-0000F5290000}"/>
    <cellStyle name="Comma 2 2 5 2 5 2 4 3" xfId="29266" xr:uid="{00000000-0005-0000-0000-0000F6290000}"/>
    <cellStyle name="Comma 2 2 5 2 5 2 5" xfId="8435" xr:uid="{00000000-0005-0000-0000-0000F7290000}"/>
    <cellStyle name="Comma 2 2 5 2 5 2 5 2" xfId="31714" xr:uid="{00000000-0005-0000-0000-0000F8290000}"/>
    <cellStyle name="Comma 2 2 5 2 5 2 6" xfId="10883" xr:uid="{00000000-0005-0000-0000-0000F9290000}"/>
    <cellStyle name="Comma 2 2 5 2 5 2 6 2" xfId="34162" xr:uid="{00000000-0005-0000-0000-0000FA290000}"/>
    <cellStyle name="Comma 2 2 5 2 5 2 7" xfId="13331" xr:uid="{00000000-0005-0000-0000-0000FB290000}"/>
    <cellStyle name="Comma 2 2 5 2 5 2 7 2" xfId="36610" xr:uid="{00000000-0005-0000-0000-0000FC290000}"/>
    <cellStyle name="Comma 2 2 5 2 5 2 8" xfId="15802" xr:uid="{00000000-0005-0000-0000-0000FD290000}"/>
    <cellStyle name="Comma 2 2 5 2 5 2 8 2" xfId="39080" xr:uid="{00000000-0005-0000-0000-0000FE290000}"/>
    <cellStyle name="Comma 2 2 5 2 5 2 9" xfId="24370" xr:uid="{00000000-0005-0000-0000-0000FF290000}"/>
    <cellStyle name="Comma 2 2 5 2 5 3" xfId="1703" xr:uid="{00000000-0005-0000-0000-0000002A0000}"/>
    <cellStyle name="Comma 2 2 5 2 5 3 10" xfId="22534" xr:uid="{00000000-0005-0000-0000-0000012A0000}"/>
    <cellStyle name="Comma 2 2 5 2 5 3 2" xfId="4151" xr:uid="{00000000-0005-0000-0000-0000022A0000}"/>
    <cellStyle name="Comma 2 2 5 2 5 3 2 2" xfId="20086" xr:uid="{00000000-0005-0000-0000-0000032A0000}"/>
    <cellStyle name="Comma 2 2 5 2 5 3 2 2 2" xfId="43364" xr:uid="{00000000-0005-0000-0000-0000042A0000}"/>
    <cellStyle name="Comma 2 2 5 2 5 3 2 3" xfId="48260" xr:uid="{00000000-0005-0000-0000-0000052A0000}"/>
    <cellStyle name="Comma 2 2 5 2 5 3 2 4" xfId="27430" xr:uid="{00000000-0005-0000-0000-0000062A0000}"/>
    <cellStyle name="Comma 2 2 5 2 5 3 3" xfId="6599" xr:uid="{00000000-0005-0000-0000-0000072A0000}"/>
    <cellStyle name="Comma 2 2 5 2 5 3 3 2" xfId="29878" xr:uid="{00000000-0005-0000-0000-0000082A0000}"/>
    <cellStyle name="Comma 2 2 5 2 5 3 4" xfId="9047" xr:uid="{00000000-0005-0000-0000-0000092A0000}"/>
    <cellStyle name="Comma 2 2 5 2 5 3 4 2" xfId="32326" xr:uid="{00000000-0005-0000-0000-00000A2A0000}"/>
    <cellStyle name="Comma 2 2 5 2 5 3 5" xfId="11495" xr:uid="{00000000-0005-0000-0000-00000B2A0000}"/>
    <cellStyle name="Comma 2 2 5 2 5 3 5 2" xfId="34774" xr:uid="{00000000-0005-0000-0000-00000C2A0000}"/>
    <cellStyle name="Comma 2 2 5 2 5 3 6" xfId="13943" xr:uid="{00000000-0005-0000-0000-00000D2A0000}"/>
    <cellStyle name="Comma 2 2 5 2 5 3 6 2" xfId="37222" xr:uid="{00000000-0005-0000-0000-00000E2A0000}"/>
    <cellStyle name="Comma 2 2 5 2 5 3 7" xfId="17638" xr:uid="{00000000-0005-0000-0000-00000F2A0000}"/>
    <cellStyle name="Comma 2 2 5 2 5 3 7 2" xfId="40916" xr:uid="{00000000-0005-0000-0000-0000102A0000}"/>
    <cellStyle name="Comma 2 2 5 2 5 3 8" xfId="24982" xr:uid="{00000000-0005-0000-0000-0000112A0000}"/>
    <cellStyle name="Comma 2 2 5 2 5 3 9" xfId="45812" xr:uid="{00000000-0005-0000-0000-0000122A0000}"/>
    <cellStyle name="Comma 2 2 5 2 5 4" xfId="2927" xr:uid="{00000000-0005-0000-0000-0000132A0000}"/>
    <cellStyle name="Comma 2 2 5 2 5 4 2" xfId="16414" xr:uid="{00000000-0005-0000-0000-0000142A0000}"/>
    <cellStyle name="Comma 2 2 5 2 5 4 2 2" xfId="39692" xr:uid="{00000000-0005-0000-0000-0000152A0000}"/>
    <cellStyle name="Comma 2 2 5 2 5 4 3" xfId="47036" xr:uid="{00000000-0005-0000-0000-0000162A0000}"/>
    <cellStyle name="Comma 2 2 5 2 5 4 4" xfId="26206" xr:uid="{00000000-0005-0000-0000-0000172A0000}"/>
    <cellStyle name="Comma 2 2 5 2 5 5" xfId="5375" xr:uid="{00000000-0005-0000-0000-0000182A0000}"/>
    <cellStyle name="Comma 2 2 5 2 5 5 2" xfId="18862" xr:uid="{00000000-0005-0000-0000-0000192A0000}"/>
    <cellStyle name="Comma 2 2 5 2 5 5 2 2" xfId="42140" xr:uid="{00000000-0005-0000-0000-00001A2A0000}"/>
    <cellStyle name="Comma 2 2 5 2 5 5 3" xfId="28654" xr:uid="{00000000-0005-0000-0000-00001B2A0000}"/>
    <cellStyle name="Comma 2 2 5 2 5 6" xfId="7823" xr:uid="{00000000-0005-0000-0000-00001C2A0000}"/>
    <cellStyle name="Comma 2 2 5 2 5 6 2" xfId="31102" xr:uid="{00000000-0005-0000-0000-00001D2A0000}"/>
    <cellStyle name="Comma 2 2 5 2 5 7" xfId="10271" xr:uid="{00000000-0005-0000-0000-00001E2A0000}"/>
    <cellStyle name="Comma 2 2 5 2 5 7 2" xfId="33550" xr:uid="{00000000-0005-0000-0000-00001F2A0000}"/>
    <cellStyle name="Comma 2 2 5 2 5 8" xfId="12719" xr:uid="{00000000-0005-0000-0000-0000202A0000}"/>
    <cellStyle name="Comma 2 2 5 2 5 8 2" xfId="35998" xr:uid="{00000000-0005-0000-0000-0000212A0000}"/>
    <cellStyle name="Comma 2 2 5 2 5 9" xfId="15190" xr:uid="{00000000-0005-0000-0000-0000222A0000}"/>
    <cellStyle name="Comma 2 2 5 2 5 9 2" xfId="38468" xr:uid="{00000000-0005-0000-0000-0000232A0000}"/>
    <cellStyle name="Comma 2 2 5 2 6" xfId="683" xr:uid="{00000000-0005-0000-0000-0000242A0000}"/>
    <cellStyle name="Comma 2 2 5 2 6 10" xfId="44792" xr:uid="{00000000-0005-0000-0000-0000252A0000}"/>
    <cellStyle name="Comma 2 2 5 2 6 11" xfId="21514" xr:uid="{00000000-0005-0000-0000-0000262A0000}"/>
    <cellStyle name="Comma 2 2 5 2 6 2" xfId="1907" xr:uid="{00000000-0005-0000-0000-0000272A0000}"/>
    <cellStyle name="Comma 2 2 5 2 6 2 10" xfId="22738" xr:uid="{00000000-0005-0000-0000-0000282A0000}"/>
    <cellStyle name="Comma 2 2 5 2 6 2 2" xfId="4355" xr:uid="{00000000-0005-0000-0000-0000292A0000}"/>
    <cellStyle name="Comma 2 2 5 2 6 2 2 2" xfId="20290" xr:uid="{00000000-0005-0000-0000-00002A2A0000}"/>
    <cellStyle name="Comma 2 2 5 2 6 2 2 2 2" xfId="43568" xr:uid="{00000000-0005-0000-0000-00002B2A0000}"/>
    <cellStyle name="Comma 2 2 5 2 6 2 2 3" xfId="48464" xr:uid="{00000000-0005-0000-0000-00002C2A0000}"/>
    <cellStyle name="Comma 2 2 5 2 6 2 2 4" xfId="27634" xr:uid="{00000000-0005-0000-0000-00002D2A0000}"/>
    <cellStyle name="Comma 2 2 5 2 6 2 3" xfId="6803" xr:uid="{00000000-0005-0000-0000-00002E2A0000}"/>
    <cellStyle name="Comma 2 2 5 2 6 2 3 2" xfId="30082" xr:uid="{00000000-0005-0000-0000-00002F2A0000}"/>
    <cellStyle name="Comma 2 2 5 2 6 2 4" xfId="9251" xr:uid="{00000000-0005-0000-0000-0000302A0000}"/>
    <cellStyle name="Comma 2 2 5 2 6 2 4 2" xfId="32530" xr:uid="{00000000-0005-0000-0000-0000312A0000}"/>
    <cellStyle name="Comma 2 2 5 2 6 2 5" xfId="11699" xr:uid="{00000000-0005-0000-0000-0000322A0000}"/>
    <cellStyle name="Comma 2 2 5 2 6 2 5 2" xfId="34978" xr:uid="{00000000-0005-0000-0000-0000332A0000}"/>
    <cellStyle name="Comma 2 2 5 2 6 2 6" xfId="14147" xr:uid="{00000000-0005-0000-0000-0000342A0000}"/>
    <cellStyle name="Comma 2 2 5 2 6 2 6 2" xfId="37426" xr:uid="{00000000-0005-0000-0000-0000352A0000}"/>
    <cellStyle name="Comma 2 2 5 2 6 2 7" xfId="17842" xr:uid="{00000000-0005-0000-0000-0000362A0000}"/>
    <cellStyle name="Comma 2 2 5 2 6 2 7 2" xfId="41120" xr:uid="{00000000-0005-0000-0000-0000372A0000}"/>
    <cellStyle name="Comma 2 2 5 2 6 2 8" xfId="25186" xr:uid="{00000000-0005-0000-0000-0000382A0000}"/>
    <cellStyle name="Comma 2 2 5 2 6 2 9" xfId="46016" xr:uid="{00000000-0005-0000-0000-0000392A0000}"/>
    <cellStyle name="Comma 2 2 5 2 6 3" xfId="3131" xr:uid="{00000000-0005-0000-0000-00003A2A0000}"/>
    <cellStyle name="Comma 2 2 5 2 6 3 2" xfId="16618" xr:uid="{00000000-0005-0000-0000-00003B2A0000}"/>
    <cellStyle name="Comma 2 2 5 2 6 3 2 2" xfId="39896" xr:uid="{00000000-0005-0000-0000-00003C2A0000}"/>
    <cellStyle name="Comma 2 2 5 2 6 3 3" xfId="47240" xr:uid="{00000000-0005-0000-0000-00003D2A0000}"/>
    <cellStyle name="Comma 2 2 5 2 6 3 4" xfId="26410" xr:uid="{00000000-0005-0000-0000-00003E2A0000}"/>
    <cellStyle name="Comma 2 2 5 2 6 4" xfId="5579" xr:uid="{00000000-0005-0000-0000-00003F2A0000}"/>
    <cellStyle name="Comma 2 2 5 2 6 4 2" xfId="19066" xr:uid="{00000000-0005-0000-0000-0000402A0000}"/>
    <cellStyle name="Comma 2 2 5 2 6 4 2 2" xfId="42344" xr:uid="{00000000-0005-0000-0000-0000412A0000}"/>
    <cellStyle name="Comma 2 2 5 2 6 4 3" xfId="28858" xr:uid="{00000000-0005-0000-0000-0000422A0000}"/>
    <cellStyle name="Comma 2 2 5 2 6 5" xfId="8027" xr:uid="{00000000-0005-0000-0000-0000432A0000}"/>
    <cellStyle name="Comma 2 2 5 2 6 5 2" xfId="31306" xr:uid="{00000000-0005-0000-0000-0000442A0000}"/>
    <cellStyle name="Comma 2 2 5 2 6 6" xfId="10475" xr:uid="{00000000-0005-0000-0000-0000452A0000}"/>
    <cellStyle name="Comma 2 2 5 2 6 6 2" xfId="33754" xr:uid="{00000000-0005-0000-0000-0000462A0000}"/>
    <cellStyle name="Comma 2 2 5 2 6 7" xfId="12923" xr:uid="{00000000-0005-0000-0000-0000472A0000}"/>
    <cellStyle name="Comma 2 2 5 2 6 7 2" xfId="36202" xr:uid="{00000000-0005-0000-0000-0000482A0000}"/>
    <cellStyle name="Comma 2 2 5 2 6 8" xfId="15394" xr:uid="{00000000-0005-0000-0000-0000492A0000}"/>
    <cellStyle name="Comma 2 2 5 2 6 8 2" xfId="38672" xr:uid="{00000000-0005-0000-0000-00004A2A0000}"/>
    <cellStyle name="Comma 2 2 5 2 6 9" xfId="23962" xr:uid="{00000000-0005-0000-0000-00004B2A0000}"/>
    <cellStyle name="Comma 2 2 5 2 7" xfId="1295" xr:uid="{00000000-0005-0000-0000-00004C2A0000}"/>
    <cellStyle name="Comma 2 2 5 2 7 10" xfId="22126" xr:uid="{00000000-0005-0000-0000-00004D2A0000}"/>
    <cellStyle name="Comma 2 2 5 2 7 2" xfId="3743" xr:uid="{00000000-0005-0000-0000-00004E2A0000}"/>
    <cellStyle name="Comma 2 2 5 2 7 2 2" xfId="19678" xr:uid="{00000000-0005-0000-0000-00004F2A0000}"/>
    <cellStyle name="Comma 2 2 5 2 7 2 2 2" xfId="42956" xr:uid="{00000000-0005-0000-0000-0000502A0000}"/>
    <cellStyle name="Comma 2 2 5 2 7 2 3" xfId="47852" xr:uid="{00000000-0005-0000-0000-0000512A0000}"/>
    <cellStyle name="Comma 2 2 5 2 7 2 4" xfId="27022" xr:uid="{00000000-0005-0000-0000-0000522A0000}"/>
    <cellStyle name="Comma 2 2 5 2 7 3" xfId="6191" xr:uid="{00000000-0005-0000-0000-0000532A0000}"/>
    <cellStyle name="Comma 2 2 5 2 7 3 2" xfId="29470" xr:uid="{00000000-0005-0000-0000-0000542A0000}"/>
    <cellStyle name="Comma 2 2 5 2 7 4" xfId="8639" xr:uid="{00000000-0005-0000-0000-0000552A0000}"/>
    <cellStyle name="Comma 2 2 5 2 7 4 2" xfId="31918" xr:uid="{00000000-0005-0000-0000-0000562A0000}"/>
    <cellStyle name="Comma 2 2 5 2 7 5" xfId="11087" xr:uid="{00000000-0005-0000-0000-0000572A0000}"/>
    <cellStyle name="Comma 2 2 5 2 7 5 2" xfId="34366" xr:uid="{00000000-0005-0000-0000-0000582A0000}"/>
    <cellStyle name="Comma 2 2 5 2 7 6" xfId="13535" xr:uid="{00000000-0005-0000-0000-0000592A0000}"/>
    <cellStyle name="Comma 2 2 5 2 7 6 2" xfId="36814" xr:uid="{00000000-0005-0000-0000-00005A2A0000}"/>
    <cellStyle name="Comma 2 2 5 2 7 7" xfId="17230" xr:uid="{00000000-0005-0000-0000-00005B2A0000}"/>
    <cellStyle name="Comma 2 2 5 2 7 7 2" xfId="40508" xr:uid="{00000000-0005-0000-0000-00005C2A0000}"/>
    <cellStyle name="Comma 2 2 5 2 7 8" xfId="24574" xr:uid="{00000000-0005-0000-0000-00005D2A0000}"/>
    <cellStyle name="Comma 2 2 5 2 7 9" xfId="45404" xr:uid="{00000000-0005-0000-0000-00005E2A0000}"/>
    <cellStyle name="Comma 2 2 5 2 8" xfId="2519" xr:uid="{00000000-0005-0000-0000-00005F2A0000}"/>
    <cellStyle name="Comma 2 2 5 2 8 2" xfId="16006" xr:uid="{00000000-0005-0000-0000-0000602A0000}"/>
    <cellStyle name="Comma 2 2 5 2 8 2 2" xfId="39284" xr:uid="{00000000-0005-0000-0000-0000612A0000}"/>
    <cellStyle name="Comma 2 2 5 2 8 3" xfId="46628" xr:uid="{00000000-0005-0000-0000-0000622A0000}"/>
    <cellStyle name="Comma 2 2 5 2 8 4" xfId="25798" xr:uid="{00000000-0005-0000-0000-0000632A0000}"/>
    <cellStyle name="Comma 2 2 5 2 9" xfId="4967" xr:uid="{00000000-0005-0000-0000-0000642A0000}"/>
    <cellStyle name="Comma 2 2 5 2 9 2" xfId="18454" xr:uid="{00000000-0005-0000-0000-0000652A0000}"/>
    <cellStyle name="Comma 2 2 5 2 9 2 2" xfId="41732" xr:uid="{00000000-0005-0000-0000-0000662A0000}"/>
    <cellStyle name="Comma 2 2 5 2 9 3" xfId="28246" xr:uid="{00000000-0005-0000-0000-0000672A0000}"/>
    <cellStyle name="Comma 2 2 5 3" xfId="88" xr:uid="{00000000-0005-0000-0000-0000682A0000}"/>
    <cellStyle name="Comma 2 2 5 3 10" xfId="7432" xr:uid="{00000000-0005-0000-0000-0000692A0000}"/>
    <cellStyle name="Comma 2 2 5 3 10 2" xfId="30711" xr:uid="{00000000-0005-0000-0000-00006A2A0000}"/>
    <cellStyle name="Comma 2 2 5 3 11" xfId="9880" xr:uid="{00000000-0005-0000-0000-00006B2A0000}"/>
    <cellStyle name="Comma 2 2 5 3 11 2" xfId="33159" xr:uid="{00000000-0005-0000-0000-00006C2A0000}"/>
    <cellStyle name="Comma 2 2 5 3 12" xfId="12328" xr:uid="{00000000-0005-0000-0000-00006D2A0000}"/>
    <cellStyle name="Comma 2 2 5 3 12 2" xfId="35607" xr:uid="{00000000-0005-0000-0000-00006E2A0000}"/>
    <cellStyle name="Comma 2 2 5 3 13" xfId="14799" xr:uid="{00000000-0005-0000-0000-00006F2A0000}"/>
    <cellStyle name="Comma 2 2 5 3 13 2" xfId="38077" xr:uid="{00000000-0005-0000-0000-0000702A0000}"/>
    <cellStyle name="Comma 2 2 5 3 14" xfId="23367" xr:uid="{00000000-0005-0000-0000-0000712A0000}"/>
    <cellStyle name="Comma 2 2 5 3 15" xfId="44197" xr:uid="{00000000-0005-0000-0000-0000722A0000}"/>
    <cellStyle name="Comma 2 2 5 3 16" xfId="20919" xr:uid="{00000000-0005-0000-0000-0000732A0000}"/>
    <cellStyle name="Comma 2 2 5 3 2" xfId="156" xr:uid="{00000000-0005-0000-0000-0000742A0000}"/>
    <cellStyle name="Comma 2 2 5 3 2 10" xfId="12396" xr:uid="{00000000-0005-0000-0000-0000752A0000}"/>
    <cellStyle name="Comma 2 2 5 3 2 10 2" xfId="35675" xr:uid="{00000000-0005-0000-0000-0000762A0000}"/>
    <cellStyle name="Comma 2 2 5 3 2 11" xfId="14867" xr:uid="{00000000-0005-0000-0000-0000772A0000}"/>
    <cellStyle name="Comma 2 2 5 3 2 11 2" xfId="38145" xr:uid="{00000000-0005-0000-0000-0000782A0000}"/>
    <cellStyle name="Comma 2 2 5 3 2 12" xfId="23435" xr:uid="{00000000-0005-0000-0000-0000792A0000}"/>
    <cellStyle name="Comma 2 2 5 3 2 13" xfId="44265" xr:uid="{00000000-0005-0000-0000-00007A2A0000}"/>
    <cellStyle name="Comma 2 2 5 3 2 14" xfId="20987" xr:uid="{00000000-0005-0000-0000-00007B2A0000}"/>
    <cellStyle name="Comma 2 2 5 3 2 2" xfId="360" xr:uid="{00000000-0005-0000-0000-00007C2A0000}"/>
    <cellStyle name="Comma 2 2 5 3 2 2 10" xfId="23639" xr:uid="{00000000-0005-0000-0000-00007D2A0000}"/>
    <cellStyle name="Comma 2 2 5 3 2 2 11" xfId="44469" xr:uid="{00000000-0005-0000-0000-00007E2A0000}"/>
    <cellStyle name="Comma 2 2 5 3 2 2 12" xfId="21191" xr:uid="{00000000-0005-0000-0000-00007F2A0000}"/>
    <cellStyle name="Comma 2 2 5 3 2 2 2" xfId="972" xr:uid="{00000000-0005-0000-0000-0000802A0000}"/>
    <cellStyle name="Comma 2 2 5 3 2 2 2 10" xfId="45081" xr:uid="{00000000-0005-0000-0000-0000812A0000}"/>
    <cellStyle name="Comma 2 2 5 3 2 2 2 11" xfId="21803" xr:uid="{00000000-0005-0000-0000-0000822A0000}"/>
    <cellStyle name="Comma 2 2 5 3 2 2 2 2" xfId="2196" xr:uid="{00000000-0005-0000-0000-0000832A0000}"/>
    <cellStyle name="Comma 2 2 5 3 2 2 2 2 10" xfId="23027" xr:uid="{00000000-0005-0000-0000-0000842A0000}"/>
    <cellStyle name="Comma 2 2 5 3 2 2 2 2 2" xfId="4644" xr:uid="{00000000-0005-0000-0000-0000852A0000}"/>
    <cellStyle name="Comma 2 2 5 3 2 2 2 2 2 2" xfId="20579" xr:uid="{00000000-0005-0000-0000-0000862A0000}"/>
    <cellStyle name="Comma 2 2 5 3 2 2 2 2 2 2 2" xfId="43857" xr:uid="{00000000-0005-0000-0000-0000872A0000}"/>
    <cellStyle name="Comma 2 2 5 3 2 2 2 2 2 3" xfId="48753" xr:uid="{00000000-0005-0000-0000-0000882A0000}"/>
    <cellStyle name="Comma 2 2 5 3 2 2 2 2 2 4" xfId="27923" xr:uid="{00000000-0005-0000-0000-0000892A0000}"/>
    <cellStyle name="Comma 2 2 5 3 2 2 2 2 3" xfId="7092" xr:uid="{00000000-0005-0000-0000-00008A2A0000}"/>
    <cellStyle name="Comma 2 2 5 3 2 2 2 2 3 2" xfId="30371" xr:uid="{00000000-0005-0000-0000-00008B2A0000}"/>
    <cellStyle name="Comma 2 2 5 3 2 2 2 2 4" xfId="9540" xr:uid="{00000000-0005-0000-0000-00008C2A0000}"/>
    <cellStyle name="Comma 2 2 5 3 2 2 2 2 4 2" xfId="32819" xr:uid="{00000000-0005-0000-0000-00008D2A0000}"/>
    <cellStyle name="Comma 2 2 5 3 2 2 2 2 5" xfId="11988" xr:uid="{00000000-0005-0000-0000-00008E2A0000}"/>
    <cellStyle name="Comma 2 2 5 3 2 2 2 2 5 2" xfId="35267" xr:uid="{00000000-0005-0000-0000-00008F2A0000}"/>
    <cellStyle name="Comma 2 2 5 3 2 2 2 2 6" xfId="14436" xr:uid="{00000000-0005-0000-0000-0000902A0000}"/>
    <cellStyle name="Comma 2 2 5 3 2 2 2 2 6 2" xfId="37715" xr:uid="{00000000-0005-0000-0000-0000912A0000}"/>
    <cellStyle name="Comma 2 2 5 3 2 2 2 2 7" xfId="18131" xr:uid="{00000000-0005-0000-0000-0000922A0000}"/>
    <cellStyle name="Comma 2 2 5 3 2 2 2 2 7 2" xfId="41409" xr:uid="{00000000-0005-0000-0000-0000932A0000}"/>
    <cellStyle name="Comma 2 2 5 3 2 2 2 2 8" xfId="25475" xr:uid="{00000000-0005-0000-0000-0000942A0000}"/>
    <cellStyle name="Comma 2 2 5 3 2 2 2 2 9" xfId="46305" xr:uid="{00000000-0005-0000-0000-0000952A0000}"/>
    <cellStyle name="Comma 2 2 5 3 2 2 2 3" xfId="3420" xr:uid="{00000000-0005-0000-0000-0000962A0000}"/>
    <cellStyle name="Comma 2 2 5 3 2 2 2 3 2" xfId="16907" xr:uid="{00000000-0005-0000-0000-0000972A0000}"/>
    <cellStyle name="Comma 2 2 5 3 2 2 2 3 2 2" xfId="40185" xr:uid="{00000000-0005-0000-0000-0000982A0000}"/>
    <cellStyle name="Comma 2 2 5 3 2 2 2 3 3" xfId="47529" xr:uid="{00000000-0005-0000-0000-0000992A0000}"/>
    <cellStyle name="Comma 2 2 5 3 2 2 2 3 4" xfId="26699" xr:uid="{00000000-0005-0000-0000-00009A2A0000}"/>
    <cellStyle name="Comma 2 2 5 3 2 2 2 4" xfId="5868" xr:uid="{00000000-0005-0000-0000-00009B2A0000}"/>
    <cellStyle name="Comma 2 2 5 3 2 2 2 4 2" xfId="19355" xr:uid="{00000000-0005-0000-0000-00009C2A0000}"/>
    <cellStyle name="Comma 2 2 5 3 2 2 2 4 2 2" xfId="42633" xr:uid="{00000000-0005-0000-0000-00009D2A0000}"/>
    <cellStyle name="Comma 2 2 5 3 2 2 2 4 3" xfId="29147" xr:uid="{00000000-0005-0000-0000-00009E2A0000}"/>
    <cellStyle name="Comma 2 2 5 3 2 2 2 5" xfId="8316" xr:uid="{00000000-0005-0000-0000-00009F2A0000}"/>
    <cellStyle name="Comma 2 2 5 3 2 2 2 5 2" xfId="31595" xr:uid="{00000000-0005-0000-0000-0000A02A0000}"/>
    <cellStyle name="Comma 2 2 5 3 2 2 2 6" xfId="10764" xr:uid="{00000000-0005-0000-0000-0000A12A0000}"/>
    <cellStyle name="Comma 2 2 5 3 2 2 2 6 2" xfId="34043" xr:uid="{00000000-0005-0000-0000-0000A22A0000}"/>
    <cellStyle name="Comma 2 2 5 3 2 2 2 7" xfId="13212" xr:uid="{00000000-0005-0000-0000-0000A32A0000}"/>
    <cellStyle name="Comma 2 2 5 3 2 2 2 7 2" xfId="36491" xr:uid="{00000000-0005-0000-0000-0000A42A0000}"/>
    <cellStyle name="Comma 2 2 5 3 2 2 2 8" xfId="15683" xr:uid="{00000000-0005-0000-0000-0000A52A0000}"/>
    <cellStyle name="Comma 2 2 5 3 2 2 2 8 2" xfId="38961" xr:uid="{00000000-0005-0000-0000-0000A62A0000}"/>
    <cellStyle name="Comma 2 2 5 3 2 2 2 9" xfId="24251" xr:uid="{00000000-0005-0000-0000-0000A72A0000}"/>
    <cellStyle name="Comma 2 2 5 3 2 2 3" xfId="1584" xr:uid="{00000000-0005-0000-0000-0000A82A0000}"/>
    <cellStyle name="Comma 2 2 5 3 2 2 3 10" xfId="22415" xr:uid="{00000000-0005-0000-0000-0000A92A0000}"/>
    <cellStyle name="Comma 2 2 5 3 2 2 3 2" xfId="4032" xr:uid="{00000000-0005-0000-0000-0000AA2A0000}"/>
    <cellStyle name="Comma 2 2 5 3 2 2 3 2 2" xfId="19967" xr:uid="{00000000-0005-0000-0000-0000AB2A0000}"/>
    <cellStyle name="Comma 2 2 5 3 2 2 3 2 2 2" xfId="43245" xr:uid="{00000000-0005-0000-0000-0000AC2A0000}"/>
    <cellStyle name="Comma 2 2 5 3 2 2 3 2 3" xfId="48141" xr:uid="{00000000-0005-0000-0000-0000AD2A0000}"/>
    <cellStyle name="Comma 2 2 5 3 2 2 3 2 4" xfId="27311" xr:uid="{00000000-0005-0000-0000-0000AE2A0000}"/>
    <cellStyle name="Comma 2 2 5 3 2 2 3 3" xfId="6480" xr:uid="{00000000-0005-0000-0000-0000AF2A0000}"/>
    <cellStyle name="Comma 2 2 5 3 2 2 3 3 2" xfId="29759" xr:uid="{00000000-0005-0000-0000-0000B02A0000}"/>
    <cellStyle name="Comma 2 2 5 3 2 2 3 4" xfId="8928" xr:uid="{00000000-0005-0000-0000-0000B12A0000}"/>
    <cellStyle name="Comma 2 2 5 3 2 2 3 4 2" xfId="32207" xr:uid="{00000000-0005-0000-0000-0000B22A0000}"/>
    <cellStyle name="Comma 2 2 5 3 2 2 3 5" xfId="11376" xr:uid="{00000000-0005-0000-0000-0000B32A0000}"/>
    <cellStyle name="Comma 2 2 5 3 2 2 3 5 2" xfId="34655" xr:uid="{00000000-0005-0000-0000-0000B42A0000}"/>
    <cellStyle name="Comma 2 2 5 3 2 2 3 6" xfId="13824" xr:uid="{00000000-0005-0000-0000-0000B52A0000}"/>
    <cellStyle name="Comma 2 2 5 3 2 2 3 6 2" xfId="37103" xr:uid="{00000000-0005-0000-0000-0000B62A0000}"/>
    <cellStyle name="Comma 2 2 5 3 2 2 3 7" xfId="17519" xr:uid="{00000000-0005-0000-0000-0000B72A0000}"/>
    <cellStyle name="Comma 2 2 5 3 2 2 3 7 2" xfId="40797" xr:uid="{00000000-0005-0000-0000-0000B82A0000}"/>
    <cellStyle name="Comma 2 2 5 3 2 2 3 8" xfId="24863" xr:uid="{00000000-0005-0000-0000-0000B92A0000}"/>
    <cellStyle name="Comma 2 2 5 3 2 2 3 9" xfId="45693" xr:uid="{00000000-0005-0000-0000-0000BA2A0000}"/>
    <cellStyle name="Comma 2 2 5 3 2 2 4" xfId="2808" xr:uid="{00000000-0005-0000-0000-0000BB2A0000}"/>
    <cellStyle name="Comma 2 2 5 3 2 2 4 2" xfId="16295" xr:uid="{00000000-0005-0000-0000-0000BC2A0000}"/>
    <cellStyle name="Comma 2 2 5 3 2 2 4 2 2" xfId="39573" xr:uid="{00000000-0005-0000-0000-0000BD2A0000}"/>
    <cellStyle name="Comma 2 2 5 3 2 2 4 3" xfId="46917" xr:uid="{00000000-0005-0000-0000-0000BE2A0000}"/>
    <cellStyle name="Comma 2 2 5 3 2 2 4 4" xfId="26087" xr:uid="{00000000-0005-0000-0000-0000BF2A0000}"/>
    <cellStyle name="Comma 2 2 5 3 2 2 5" xfId="5256" xr:uid="{00000000-0005-0000-0000-0000C02A0000}"/>
    <cellStyle name="Comma 2 2 5 3 2 2 5 2" xfId="18743" xr:uid="{00000000-0005-0000-0000-0000C12A0000}"/>
    <cellStyle name="Comma 2 2 5 3 2 2 5 2 2" xfId="42021" xr:uid="{00000000-0005-0000-0000-0000C22A0000}"/>
    <cellStyle name="Comma 2 2 5 3 2 2 5 3" xfId="28535" xr:uid="{00000000-0005-0000-0000-0000C32A0000}"/>
    <cellStyle name="Comma 2 2 5 3 2 2 6" xfId="7704" xr:uid="{00000000-0005-0000-0000-0000C42A0000}"/>
    <cellStyle name="Comma 2 2 5 3 2 2 6 2" xfId="30983" xr:uid="{00000000-0005-0000-0000-0000C52A0000}"/>
    <cellStyle name="Comma 2 2 5 3 2 2 7" xfId="10152" xr:uid="{00000000-0005-0000-0000-0000C62A0000}"/>
    <cellStyle name="Comma 2 2 5 3 2 2 7 2" xfId="33431" xr:uid="{00000000-0005-0000-0000-0000C72A0000}"/>
    <cellStyle name="Comma 2 2 5 3 2 2 8" xfId="12600" xr:uid="{00000000-0005-0000-0000-0000C82A0000}"/>
    <cellStyle name="Comma 2 2 5 3 2 2 8 2" xfId="35879" xr:uid="{00000000-0005-0000-0000-0000C92A0000}"/>
    <cellStyle name="Comma 2 2 5 3 2 2 9" xfId="15071" xr:uid="{00000000-0005-0000-0000-0000CA2A0000}"/>
    <cellStyle name="Comma 2 2 5 3 2 2 9 2" xfId="38349" xr:uid="{00000000-0005-0000-0000-0000CB2A0000}"/>
    <cellStyle name="Comma 2 2 5 3 2 3" xfId="564" xr:uid="{00000000-0005-0000-0000-0000CC2A0000}"/>
    <cellStyle name="Comma 2 2 5 3 2 3 10" xfId="23843" xr:uid="{00000000-0005-0000-0000-0000CD2A0000}"/>
    <cellStyle name="Comma 2 2 5 3 2 3 11" xfId="44673" xr:uid="{00000000-0005-0000-0000-0000CE2A0000}"/>
    <cellStyle name="Comma 2 2 5 3 2 3 12" xfId="21395" xr:uid="{00000000-0005-0000-0000-0000CF2A0000}"/>
    <cellStyle name="Comma 2 2 5 3 2 3 2" xfId="1176" xr:uid="{00000000-0005-0000-0000-0000D02A0000}"/>
    <cellStyle name="Comma 2 2 5 3 2 3 2 10" xfId="45285" xr:uid="{00000000-0005-0000-0000-0000D12A0000}"/>
    <cellStyle name="Comma 2 2 5 3 2 3 2 11" xfId="22007" xr:uid="{00000000-0005-0000-0000-0000D22A0000}"/>
    <cellStyle name="Comma 2 2 5 3 2 3 2 2" xfId="2400" xr:uid="{00000000-0005-0000-0000-0000D32A0000}"/>
    <cellStyle name="Comma 2 2 5 3 2 3 2 2 10" xfId="23231" xr:uid="{00000000-0005-0000-0000-0000D42A0000}"/>
    <cellStyle name="Comma 2 2 5 3 2 3 2 2 2" xfId="4848" xr:uid="{00000000-0005-0000-0000-0000D52A0000}"/>
    <cellStyle name="Comma 2 2 5 3 2 3 2 2 2 2" xfId="20783" xr:uid="{00000000-0005-0000-0000-0000D62A0000}"/>
    <cellStyle name="Comma 2 2 5 3 2 3 2 2 2 2 2" xfId="44061" xr:uid="{00000000-0005-0000-0000-0000D72A0000}"/>
    <cellStyle name="Comma 2 2 5 3 2 3 2 2 2 3" xfId="48957" xr:uid="{00000000-0005-0000-0000-0000D82A0000}"/>
    <cellStyle name="Comma 2 2 5 3 2 3 2 2 2 4" xfId="28127" xr:uid="{00000000-0005-0000-0000-0000D92A0000}"/>
    <cellStyle name="Comma 2 2 5 3 2 3 2 2 3" xfId="7296" xr:uid="{00000000-0005-0000-0000-0000DA2A0000}"/>
    <cellStyle name="Comma 2 2 5 3 2 3 2 2 3 2" xfId="30575" xr:uid="{00000000-0005-0000-0000-0000DB2A0000}"/>
    <cellStyle name="Comma 2 2 5 3 2 3 2 2 4" xfId="9744" xr:uid="{00000000-0005-0000-0000-0000DC2A0000}"/>
    <cellStyle name="Comma 2 2 5 3 2 3 2 2 4 2" xfId="33023" xr:uid="{00000000-0005-0000-0000-0000DD2A0000}"/>
    <cellStyle name="Comma 2 2 5 3 2 3 2 2 5" xfId="12192" xr:uid="{00000000-0005-0000-0000-0000DE2A0000}"/>
    <cellStyle name="Comma 2 2 5 3 2 3 2 2 5 2" xfId="35471" xr:uid="{00000000-0005-0000-0000-0000DF2A0000}"/>
    <cellStyle name="Comma 2 2 5 3 2 3 2 2 6" xfId="14640" xr:uid="{00000000-0005-0000-0000-0000E02A0000}"/>
    <cellStyle name="Comma 2 2 5 3 2 3 2 2 6 2" xfId="37919" xr:uid="{00000000-0005-0000-0000-0000E12A0000}"/>
    <cellStyle name="Comma 2 2 5 3 2 3 2 2 7" xfId="18335" xr:uid="{00000000-0005-0000-0000-0000E22A0000}"/>
    <cellStyle name="Comma 2 2 5 3 2 3 2 2 7 2" xfId="41613" xr:uid="{00000000-0005-0000-0000-0000E32A0000}"/>
    <cellStyle name="Comma 2 2 5 3 2 3 2 2 8" xfId="25679" xr:uid="{00000000-0005-0000-0000-0000E42A0000}"/>
    <cellStyle name="Comma 2 2 5 3 2 3 2 2 9" xfId="46509" xr:uid="{00000000-0005-0000-0000-0000E52A0000}"/>
    <cellStyle name="Comma 2 2 5 3 2 3 2 3" xfId="3624" xr:uid="{00000000-0005-0000-0000-0000E62A0000}"/>
    <cellStyle name="Comma 2 2 5 3 2 3 2 3 2" xfId="17111" xr:uid="{00000000-0005-0000-0000-0000E72A0000}"/>
    <cellStyle name="Comma 2 2 5 3 2 3 2 3 2 2" xfId="40389" xr:uid="{00000000-0005-0000-0000-0000E82A0000}"/>
    <cellStyle name="Comma 2 2 5 3 2 3 2 3 3" xfId="47733" xr:uid="{00000000-0005-0000-0000-0000E92A0000}"/>
    <cellStyle name="Comma 2 2 5 3 2 3 2 3 4" xfId="26903" xr:uid="{00000000-0005-0000-0000-0000EA2A0000}"/>
    <cellStyle name="Comma 2 2 5 3 2 3 2 4" xfId="6072" xr:uid="{00000000-0005-0000-0000-0000EB2A0000}"/>
    <cellStyle name="Comma 2 2 5 3 2 3 2 4 2" xfId="19559" xr:uid="{00000000-0005-0000-0000-0000EC2A0000}"/>
    <cellStyle name="Comma 2 2 5 3 2 3 2 4 2 2" xfId="42837" xr:uid="{00000000-0005-0000-0000-0000ED2A0000}"/>
    <cellStyle name="Comma 2 2 5 3 2 3 2 4 3" xfId="29351" xr:uid="{00000000-0005-0000-0000-0000EE2A0000}"/>
    <cellStyle name="Comma 2 2 5 3 2 3 2 5" xfId="8520" xr:uid="{00000000-0005-0000-0000-0000EF2A0000}"/>
    <cellStyle name="Comma 2 2 5 3 2 3 2 5 2" xfId="31799" xr:uid="{00000000-0005-0000-0000-0000F02A0000}"/>
    <cellStyle name="Comma 2 2 5 3 2 3 2 6" xfId="10968" xr:uid="{00000000-0005-0000-0000-0000F12A0000}"/>
    <cellStyle name="Comma 2 2 5 3 2 3 2 6 2" xfId="34247" xr:uid="{00000000-0005-0000-0000-0000F22A0000}"/>
    <cellStyle name="Comma 2 2 5 3 2 3 2 7" xfId="13416" xr:uid="{00000000-0005-0000-0000-0000F32A0000}"/>
    <cellStyle name="Comma 2 2 5 3 2 3 2 7 2" xfId="36695" xr:uid="{00000000-0005-0000-0000-0000F42A0000}"/>
    <cellStyle name="Comma 2 2 5 3 2 3 2 8" xfId="15887" xr:uid="{00000000-0005-0000-0000-0000F52A0000}"/>
    <cellStyle name="Comma 2 2 5 3 2 3 2 8 2" xfId="39165" xr:uid="{00000000-0005-0000-0000-0000F62A0000}"/>
    <cellStyle name="Comma 2 2 5 3 2 3 2 9" xfId="24455" xr:uid="{00000000-0005-0000-0000-0000F72A0000}"/>
    <cellStyle name="Comma 2 2 5 3 2 3 3" xfId="1788" xr:uid="{00000000-0005-0000-0000-0000F82A0000}"/>
    <cellStyle name="Comma 2 2 5 3 2 3 3 10" xfId="22619" xr:uid="{00000000-0005-0000-0000-0000F92A0000}"/>
    <cellStyle name="Comma 2 2 5 3 2 3 3 2" xfId="4236" xr:uid="{00000000-0005-0000-0000-0000FA2A0000}"/>
    <cellStyle name="Comma 2 2 5 3 2 3 3 2 2" xfId="20171" xr:uid="{00000000-0005-0000-0000-0000FB2A0000}"/>
    <cellStyle name="Comma 2 2 5 3 2 3 3 2 2 2" xfId="43449" xr:uid="{00000000-0005-0000-0000-0000FC2A0000}"/>
    <cellStyle name="Comma 2 2 5 3 2 3 3 2 3" xfId="48345" xr:uid="{00000000-0005-0000-0000-0000FD2A0000}"/>
    <cellStyle name="Comma 2 2 5 3 2 3 3 2 4" xfId="27515" xr:uid="{00000000-0005-0000-0000-0000FE2A0000}"/>
    <cellStyle name="Comma 2 2 5 3 2 3 3 3" xfId="6684" xr:uid="{00000000-0005-0000-0000-0000FF2A0000}"/>
    <cellStyle name="Comma 2 2 5 3 2 3 3 3 2" xfId="29963" xr:uid="{00000000-0005-0000-0000-0000002B0000}"/>
    <cellStyle name="Comma 2 2 5 3 2 3 3 4" xfId="9132" xr:uid="{00000000-0005-0000-0000-0000012B0000}"/>
    <cellStyle name="Comma 2 2 5 3 2 3 3 4 2" xfId="32411" xr:uid="{00000000-0005-0000-0000-0000022B0000}"/>
    <cellStyle name="Comma 2 2 5 3 2 3 3 5" xfId="11580" xr:uid="{00000000-0005-0000-0000-0000032B0000}"/>
    <cellStyle name="Comma 2 2 5 3 2 3 3 5 2" xfId="34859" xr:uid="{00000000-0005-0000-0000-0000042B0000}"/>
    <cellStyle name="Comma 2 2 5 3 2 3 3 6" xfId="14028" xr:uid="{00000000-0005-0000-0000-0000052B0000}"/>
    <cellStyle name="Comma 2 2 5 3 2 3 3 6 2" xfId="37307" xr:uid="{00000000-0005-0000-0000-0000062B0000}"/>
    <cellStyle name="Comma 2 2 5 3 2 3 3 7" xfId="17723" xr:uid="{00000000-0005-0000-0000-0000072B0000}"/>
    <cellStyle name="Comma 2 2 5 3 2 3 3 7 2" xfId="41001" xr:uid="{00000000-0005-0000-0000-0000082B0000}"/>
    <cellStyle name="Comma 2 2 5 3 2 3 3 8" xfId="25067" xr:uid="{00000000-0005-0000-0000-0000092B0000}"/>
    <cellStyle name="Comma 2 2 5 3 2 3 3 9" xfId="45897" xr:uid="{00000000-0005-0000-0000-00000A2B0000}"/>
    <cellStyle name="Comma 2 2 5 3 2 3 4" xfId="3012" xr:uid="{00000000-0005-0000-0000-00000B2B0000}"/>
    <cellStyle name="Comma 2 2 5 3 2 3 4 2" xfId="16499" xr:uid="{00000000-0005-0000-0000-00000C2B0000}"/>
    <cellStyle name="Comma 2 2 5 3 2 3 4 2 2" xfId="39777" xr:uid="{00000000-0005-0000-0000-00000D2B0000}"/>
    <cellStyle name="Comma 2 2 5 3 2 3 4 3" xfId="47121" xr:uid="{00000000-0005-0000-0000-00000E2B0000}"/>
    <cellStyle name="Comma 2 2 5 3 2 3 4 4" xfId="26291" xr:uid="{00000000-0005-0000-0000-00000F2B0000}"/>
    <cellStyle name="Comma 2 2 5 3 2 3 5" xfId="5460" xr:uid="{00000000-0005-0000-0000-0000102B0000}"/>
    <cellStyle name="Comma 2 2 5 3 2 3 5 2" xfId="18947" xr:uid="{00000000-0005-0000-0000-0000112B0000}"/>
    <cellStyle name="Comma 2 2 5 3 2 3 5 2 2" xfId="42225" xr:uid="{00000000-0005-0000-0000-0000122B0000}"/>
    <cellStyle name="Comma 2 2 5 3 2 3 5 3" xfId="28739" xr:uid="{00000000-0005-0000-0000-0000132B0000}"/>
    <cellStyle name="Comma 2 2 5 3 2 3 6" xfId="7908" xr:uid="{00000000-0005-0000-0000-0000142B0000}"/>
    <cellStyle name="Comma 2 2 5 3 2 3 6 2" xfId="31187" xr:uid="{00000000-0005-0000-0000-0000152B0000}"/>
    <cellStyle name="Comma 2 2 5 3 2 3 7" xfId="10356" xr:uid="{00000000-0005-0000-0000-0000162B0000}"/>
    <cellStyle name="Comma 2 2 5 3 2 3 7 2" xfId="33635" xr:uid="{00000000-0005-0000-0000-0000172B0000}"/>
    <cellStyle name="Comma 2 2 5 3 2 3 8" xfId="12804" xr:uid="{00000000-0005-0000-0000-0000182B0000}"/>
    <cellStyle name="Comma 2 2 5 3 2 3 8 2" xfId="36083" xr:uid="{00000000-0005-0000-0000-0000192B0000}"/>
    <cellStyle name="Comma 2 2 5 3 2 3 9" xfId="15275" xr:uid="{00000000-0005-0000-0000-00001A2B0000}"/>
    <cellStyle name="Comma 2 2 5 3 2 3 9 2" xfId="38553" xr:uid="{00000000-0005-0000-0000-00001B2B0000}"/>
    <cellStyle name="Comma 2 2 5 3 2 4" xfId="768" xr:uid="{00000000-0005-0000-0000-00001C2B0000}"/>
    <cellStyle name="Comma 2 2 5 3 2 4 10" xfId="44877" xr:uid="{00000000-0005-0000-0000-00001D2B0000}"/>
    <cellStyle name="Comma 2 2 5 3 2 4 11" xfId="21599" xr:uid="{00000000-0005-0000-0000-00001E2B0000}"/>
    <cellStyle name="Comma 2 2 5 3 2 4 2" xfId="1992" xr:uid="{00000000-0005-0000-0000-00001F2B0000}"/>
    <cellStyle name="Comma 2 2 5 3 2 4 2 10" xfId="22823" xr:uid="{00000000-0005-0000-0000-0000202B0000}"/>
    <cellStyle name="Comma 2 2 5 3 2 4 2 2" xfId="4440" xr:uid="{00000000-0005-0000-0000-0000212B0000}"/>
    <cellStyle name="Comma 2 2 5 3 2 4 2 2 2" xfId="20375" xr:uid="{00000000-0005-0000-0000-0000222B0000}"/>
    <cellStyle name="Comma 2 2 5 3 2 4 2 2 2 2" xfId="43653" xr:uid="{00000000-0005-0000-0000-0000232B0000}"/>
    <cellStyle name="Comma 2 2 5 3 2 4 2 2 3" xfId="48549" xr:uid="{00000000-0005-0000-0000-0000242B0000}"/>
    <cellStyle name="Comma 2 2 5 3 2 4 2 2 4" xfId="27719" xr:uid="{00000000-0005-0000-0000-0000252B0000}"/>
    <cellStyle name="Comma 2 2 5 3 2 4 2 3" xfId="6888" xr:uid="{00000000-0005-0000-0000-0000262B0000}"/>
    <cellStyle name="Comma 2 2 5 3 2 4 2 3 2" xfId="30167" xr:uid="{00000000-0005-0000-0000-0000272B0000}"/>
    <cellStyle name="Comma 2 2 5 3 2 4 2 4" xfId="9336" xr:uid="{00000000-0005-0000-0000-0000282B0000}"/>
    <cellStyle name="Comma 2 2 5 3 2 4 2 4 2" xfId="32615" xr:uid="{00000000-0005-0000-0000-0000292B0000}"/>
    <cellStyle name="Comma 2 2 5 3 2 4 2 5" xfId="11784" xr:uid="{00000000-0005-0000-0000-00002A2B0000}"/>
    <cellStyle name="Comma 2 2 5 3 2 4 2 5 2" xfId="35063" xr:uid="{00000000-0005-0000-0000-00002B2B0000}"/>
    <cellStyle name="Comma 2 2 5 3 2 4 2 6" xfId="14232" xr:uid="{00000000-0005-0000-0000-00002C2B0000}"/>
    <cellStyle name="Comma 2 2 5 3 2 4 2 6 2" xfId="37511" xr:uid="{00000000-0005-0000-0000-00002D2B0000}"/>
    <cellStyle name="Comma 2 2 5 3 2 4 2 7" xfId="17927" xr:uid="{00000000-0005-0000-0000-00002E2B0000}"/>
    <cellStyle name="Comma 2 2 5 3 2 4 2 7 2" xfId="41205" xr:uid="{00000000-0005-0000-0000-00002F2B0000}"/>
    <cellStyle name="Comma 2 2 5 3 2 4 2 8" xfId="25271" xr:uid="{00000000-0005-0000-0000-0000302B0000}"/>
    <cellStyle name="Comma 2 2 5 3 2 4 2 9" xfId="46101" xr:uid="{00000000-0005-0000-0000-0000312B0000}"/>
    <cellStyle name="Comma 2 2 5 3 2 4 3" xfId="3216" xr:uid="{00000000-0005-0000-0000-0000322B0000}"/>
    <cellStyle name="Comma 2 2 5 3 2 4 3 2" xfId="16703" xr:uid="{00000000-0005-0000-0000-0000332B0000}"/>
    <cellStyle name="Comma 2 2 5 3 2 4 3 2 2" xfId="39981" xr:uid="{00000000-0005-0000-0000-0000342B0000}"/>
    <cellStyle name="Comma 2 2 5 3 2 4 3 3" xfId="47325" xr:uid="{00000000-0005-0000-0000-0000352B0000}"/>
    <cellStyle name="Comma 2 2 5 3 2 4 3 4" xfId="26495" xr:uid="{00000000-0005-0000-0000-0000362B0000}"/>
    <cellStyle name="Comma 2 2 5 3 2 4 4" xfId="5664" xr:uid="{00000000-0005-0000-0000-0000372B0000}"/>
    <cellStyle name="Comma 2 2 5 3 2 4 4 2" xfId="19151" xr:uid="{00000000-0005-0000-0000-0000382B0000}"/>
    <cellStyle name="Comma 2 2 5 3 2 4 4 2 2" xfId="42429" xr:uid="{00000000-0005-0000-0000-0000392B0000}"/>
    <cellStyle name="Comma 2 2 5 3 2 4 4 3" xfId="28943" xr:uid="{00000000-0005-0000-0000-00003A2B0000}"/>
    <cellStyle name="Comma 2 2 5 3 2 4 5" xfId="8112" xr:uid="{00000000-0005-0000-0000-00003B2B0000}"/>
    <cellStyle name="Comma 2 2 5 3 2 4 5 2" xfId="31391" xr:uid="{00000000-0005-0000-0000-00003C2B0000}"/>
    <cellStyle name="Comma 2 2 5 3 2 4 6" xfId="10560" xr:uid="{00000000-0005-0000-0000-00003D2B0000}"/>
    <cellStyle name="Comma 2 2 5 3 2 4 6 2" xfId="33839" xr:uid="{00000000-0005-0000-0000-00003E2B0000}"/>
    <cellStyle name="Comma 2 2 5 3 2 4 7" xfId="13008" xr:uid="{00000000-0005-0000-0000-00003F2B0000}"/>
    <cellStyle name="Comma 2 2 5 3 2 4 7 2" xfId="36287" xr:uid="{00000000-0005-0000-0000-0000402B0000}"/>
    <cellStyle name="Comma 2 2 5 3 2 4 8" xfId="15479" xr:uid="{00000000-0005-0000-0000-0000412B0000}"/>
    <cellStyle name="Comma 2 2 5 3 2 4 8 2" xfId="38757" xr:uid="{00000000-0005-0000-0000-0000422B0000}"/>
    <cellStyle name="Comma 2 2 5 3 2 4 9" xfId="24047" xr:uid="{00000000-0005-0000-0000-0000432B0000}"/>
    <cellStyle name="Comma 2 2 5 3 2 5" xfId="1380" xr:uid="{00000000-0005-0000-0000-0000442B0000}"/>
    <cellStyle name="Comma 2 2 5 3 2 5 10" xfId="22211" xr:uid="{00000000-0005-0000-0000-0000452B0000}"/>
    <cellStyle name="Comma 2 2 5 3 2 5 2" xfId="3828" xr:uid="{00000000-0005-0000-0000-0000462B0000}"/>
    <cellStyle name="Comma 2 2 5 3 2 5 2 2" xfId="19763" xr:uid="{00000000-0005-0000-0000-0000472B0000}"/>
    <cellStyle name="Comma 2 2 5 3 2 5 2 2 2" xfId="43041" xr:uid="{00000000-0005-0000-0000-0000482B0000}"/>
    <cellStyle name="Comma 2 2 5 3 2 5 2 3" xfId="47937" xr:uid="{00000000-0005-0000-0000-0000492B0000}"/>
    <cellStyle name="Comma 2 2 5 3 2 5 2 4" xfId="27107" xr:uid="{00000000-0005-0000-0000-00004A2B0000}"/>
    <cellStyle name="Comma 2 2 5 3 2 5 3" xfId="6276" xr:uid="{00000000-0005-0000-0000-00004B2B0000}"/>
    <cellStyle name="Comma 2 2 5 3 2 5 3 2" xfId="29555" xr:uid="{00000000-0005-0000-0000-00004C2B0000}"/>
    <cellStyle name="Comma 2 2 5 3 2 5 4" xfId="8724" xr:uid="{00000000-0005-0000-0000-00004D2B0000}"/>
    <cellStyle name="Comma 2 2 5 3 2 5 4 2" xfId="32003" xr:uid="{00000000-0005-0000-0000-00004E2B0000}"/>
    <cellStyle name="Comma 2 2 5 3 2 5 5" xfId="11172" xr:uid="{00000000-0005-0000-0000-00004F2B0000}"/>
    <cellStyle name="Comma 2 2 5 3 2 5 5 2" xfId="34451" xr:uid="{00000000-0005-0000-0000-0000502B0000}"/>
    <cellStyle name="Comma 2 2 5 3 2 5 6" xfId="13620" xr:uid="{00000000-0005-0000-0000-0000512B0000}"/>
    <cellStyle name="Comma 2 2 5 3 2 5 6 2" xfId="36899" xr:uid="{00000000-0005-0000-0000-0000522B0000}"/>
    <cellStyle name="Comma 2 2 5 3 2 5 7" xfId="17315" xr:uid="{00000000-0005-0000-0000-0000532B0000}"/>
    <cellStyle name="Comma 2 2 5 3 2 5 7 2" xfId="40593" xr:uid="{00000000-0005-0000-0000-0000542B0000}"/>
    <cellStyle name="Comma 2 2 5 3 2 5 8" xfId="24659" xr:uid="{00000000-0005-0000-0000-0000552B0000}"/>
    <cellStyle name="Comma 2 2 5 3 2 5 9" xfId="45489" xr:uid="{00000000-0005-0000-0000-0000562B0000}"/>
    <cellStyle name="Comma 2 2 5 3 2 6" xfId="2604" xr:uid="{00000000-0005-0000-0000-0000572B0000}"/>
    <cellStyle name="Comma 2 2 5 3 2 6 2" xfId="16091" xr:uid="{00000000-0005-0000-0000-0000582B0000}"/>
    <cellStyle name="Comma 2 2 5 3 2 6 2 2" xfId="39369" xr:uid="{00000000-0005-0000-0000-0000592B0000}"/>
    <cellStyle name="Comma 2 2 5 3 2 6 3" xfId="46713" xr:uid="{00000000-0005-0000-0000-00005A2B0000}"/>
    <cellStyle name="Comma 2 2 5 3 2 6 4" xfId="25883" xr:uid="{00000000-0005-0000-0000-00005B2B0000}"/>
    <cellStyle name="Comma 2 2 5 3 2 7" xfId="5052" xr:uid="{00000000-0005-0000-0000-00005C2B0000}"/>
    <cellStyle name="Comma 2 2 5 3 2 7 2" xfId="18539" xr:uid="{00000000-0005-0000-0000-00005D2B0000}"/>
    <cellStyle name="Comma 2 2 5 3 2 7 2 2" xfId="41817" xr:uid="{00000000-0005-0000-0000-00005E2B0000}"/>
    <cellStyle name="Comma 2 2 5 3 2 7 3" xfId="28331" xr:uid="{00000000-0005-0000-0000-00005F2B0000}"/>
    <cellStyle name="Comma 2 2 5 3 2 8" xfId="7500" xr:uid="{00000000-0005-0000-0000-0000602B0000}"/>
    <cellStyle name="Comma 2 2 5 3 2 8 2" xfId="30779" xr:uid="{00000000-0005-0000-0000-0000612B0000}"/>
    <cellStyle name="Comma 2 2 5 3 2 9" xfId="9948" xr:uid="{00000000-0005-0000-0000-0000622B0000}"/>
    <cellStyle name="Comma 2 2 5 3 2 9 2" xfId="33227" xr:uid="{00000000-0005-0000-0000-0000632B0000}"/>
    <cellStyle name="Comma 2 2 5 3 3" xfId="224" xr:uid="{00000000-0005-0000-0000-0000642B0000}"/>
    <cellStyle name="Comma 2 2 5 3 3 10" xfId="12464" xr:uid="{00000000-0005-0000-0000-0000652B0000}"/>
    <cellStyle name="Comma 2 2 5 3 3 10 2" xfId="35743" xr:uid="{00000000-0005-0000-0000-0000662B0000}"/>
    <cellStyle name="Comma 2 2 5 3 3 11" xfId="14935" xr:uid="{00000000-0005-0000-0000-0000672B0000}"/>
    <cellStyle name="Comma 2 2 5 3 3 11 2" xfId="38213" xr:uid="{00000000-0005-0000-0000-0000682B0000}"/>
    <cellStyle name="Comma 2 2 5 3 3 12" xfId="23503" xr:uid="{00000000-0005-0000-0000-0000692B0000}"/>
    <cellStyle name="Comma 2 2 5 3 3 13" xfId="44333" xr:uid="{00000000-0005-0000-0000-00006A2B0000}"/>
    <cellStyle name="Comma 2 2 5 3 3 14" xfId="21055" xr:uid="{00000000-0005-0000-0000-00006B2B0000}"/>
    <cellStyle name="Comma 2 2 5 3 3 2" xfId="428" xr:uid="{00000000-0005-0000-0000-00006C2B0000}"/>
    <cellStyle name="Comma 2 2 5 3 3 2 10" xfId="23707" xr:uid="{00000000-0005-0000-0000-00006D2B0000}"/>
    <cellStyle name="Comma 2 2 5 3 3 2 11" xfId="44537" xr:uid="{00000000-0005-0000-0000-00006E2B0000}"/>
    <cellStyle name="Comma 2 2 5 3 3 2 12" xfId="21259" xr:uid="{00000000-0005-0000-0000-00006F2B0000}"/>
    <cellStyle name="Comma 2 2 5 3 3 2 2" xfId="1040" xr:uid="{00000000-0005-0000-0000-0000702B0000}"/>
    <cellStyle name="Comma 2 2 5 3 3 2 2 10" xfId="45149" xr:uid="{00000000-0005-0000-0000-0000712B0000}"/>
    <cellStyle name="Comma 2 2 5 3 3 2 2 11" xfId="21871" xr:uid="{00000000-0005-0000-0000-0000722B0000}"/>
    <cellStyle name="Comma 2 2 5 3 3 2 2 2" xfId="2264" xr:uid="{00000000-0005-0000-0000-0000732B0000}"/>
    <cellStyle name="Comma 2 2 5 3 3 2 2 2 10" xfId="23095" xr:uid="{00000000-0005-0000-0000-0000742B0000}"/>
    <cellStyle name="Comma 2 2 5 3 3 2 2 2 2" xfId="4712" xr:uid="{00000000-0005-0000-0000-0000752B0000}"/>
    <cellStyle name="Comma 2 2 5 3 3 2 2 2 2 2" xfId="20647" xr:uid="{00000000-0005-0000-0000-0000762B0000}"/>
    <cellStyle name="Comma 2 2 5 3 3 2 2 2 2 2 2" xfId="43925" xr:uid="{00000000-0005-0000-0000-0000772B0000}"/>
    <cellStyle name="Comma 2 2 5 3 3 2 2 2 2 3" xfId="48821" xr:uid="{00000000-0005-0000-0000-0000782B0000}"/>
    <cellStyle name="Comma 2 2 5 3 3 2 2 2 2 4" xfId="27991" xr:uid="{00000000-0005-0000-0000-0000792B0000}"/>
    <cellStyle name="Comma 2 2 5 3 3 2 2 2 3" xfId="7160" xr:uid="{00000000-0005-0000-0000-00007A2B0000}"/>
    <cellStyle name="Comma 2 2 5 3 3 2 2 2 3 2" xfId="30439" xr:uid="{00000000-0005-0000-0000-00007B2B0000}"/>
    <cellStyle name="Comma 2 2 5 3 3 2 2 2 4" xfId="9608" xr:uid="{00000000-0005-0000-0000-00007C2B0000}"/>
    <cellStyle name="Comma 2 2 5 3 3 2 2 2 4 2" xfId="32887" xr:uid="{00000000-0005-0000-0000-00007D2B0000}"/>
    <cellStyle name="Comma 2 2 5 3 3 2 2 2 5" xfId="12056" xr:uid="{00000000-0005-0000-0000-00007E2B0000}"/>
    <cellStyle name="Comma 2 2 5 3 3 2 2 2 5 2" xfId="35335" xr:uid="{00000000-0005-0000-0000-00007F2B0000}"/>
    <cellStyle name="Comma 2 2 5 3 3 2 2 2 6" xfId="14504" xr:uid="{00000000-0005-0000-0000-0000802B0000}"/>
    <cellStyle name="Comma 2 2 5 3 3 2 2 2 6 2" xfId="37783" xr:uid="{00000000-0005-0000-0000-0000812B0000}"/>
    <cellStyle name="Comma 2 2 5 3 3 2 2 2 7" xfId="18199" xr:uid="{00000000-0005-0000-0000-0000822B0000}"/>
    <cellStyle name="Comma 2 2 5 3 3 2 2 2 7 2" xfId="41477" xr:uid="{00000000-0005-0000-0000-0000832B0000}"/>
    <cellStyle name="Comma 2 2 5 3 3 2 2 2 8" xfId="25543" xr:uid="{00000000-0005-0000-0000-0000842B0000}"/>
    <cellStyle name="Comma 2 2 5 3 3 2 2 2 9" xfId="46373" xr:uid="{00000000-0005-0000-0000-0000852B0000}"/>
    <cellStyle name="Comma 2 2 5 3 3 2 2 3" xfId="3488" xr:uid="{00000000-0005-0000-0000-0000862B0000}"/>
    <cellStyle name="Comma 2 2 5 3 3 2 2 3 2" xfId="16975" xr:uid="{00000000-0005-0000-0000-0000872B0000}"/>
    <cellStyle name="Comma 2 2 5 3 3 2 2 3 2 2" xfId="40253" xr:uid="{00000000-0005-0000-0000-0000882B0000}"/>
    <cellStyle name="Comma 2 2 5 3 3 2 2 3 3" xfId="47597" xr:uid="{00000000-0005-0000-0000-0000892B0000}"/>
    <cellStyle name="Comma 2 2 5 3 3 2 2 3 4" xfId="26767" xr:uid="{00000000-0005-0000-0000-00008A2B0000}"/>
    <cellStyle name="Comma 2 2 5 3 3 2 2 4" xfId="5936" xr:uid="{00000000-0005-0000-0000-00008B2B0000}"/>
    <cellStyle name="Comma 2 2 5 3 3 2 2 4 2" xfId="19423" xr:uid="{00000000-0005-0000-0000-00008C2B0000}"/>
    <cellStyle name="Comma 2 2 5 3 3 2 2 4 2 2" xfId="42701" xr:uid="{00000000-0005-0000-0000-00008D2B0000}"/>
    <cellStyle name="Comma 2 2 5 3 3 2 2 4 3" xfId="29215" xr:uid="{00000000-0005-0000-0000-00008E2B0000}"/>
    <cellStyle name="Comma 2 2 5 3 3 2 2 5" xfId="8384" xr:uid="{00000000-0005-0000-0000-00008F2B0000}"/>
    <cellStyle name="Comma 2 2 5 3 3 2 2 5 2" xfId="31663" xr:uid="{00000000-0005-0000-0000-0000902B0000}"/>
    <cellStyle name="Comma 2 2 5 3 3 2 2 6" xfId="10832" xr:uid="{00000000-0005-0000-0000-0000912B0000}"/>
    <cellStyle name="Comma 2 2 5 3 3 2 2 6 2" xfId="34111" xr:uid="{00000000-0005-0000-0000-0000922B0000}"/>
    <cellStyle name="Comma 2 2 5 3 3 2 2 7" xfId="13280" xr:uid="{00000000-0005-0000-0000-0000932B0000}"/>
    <cellStyle name="Comma 2 2 5 3 3 2 2 7 2" xfId="36559" xr:uid="{00000000-0005-0000-0000-0000942B0000}"/>
    <cellStyle name="Comma 2 2 5 3 3 2 2 8" xfId="15751" xr:uid="{00000000-0005-0000-0000-0000952B0000}"/>
    <cellStyle name="Comma 2 2 5 3 3 2 2 8 2" xfId="39029" xr:uid="{00000000-0005-0000-0000-0000962B0000}"/>
    <cellStyle name="Comma 2 2 5 3 3 2 2 9" xfId="24319" xr:uid="{00000000-0005-0000-0000-0000972B0000}"/>
    <cellStyle name="Comma 2 2 5 3 3 2 3" xfId="1652" xr:uid="{00000000-0005-0000-0000-0000982B0000}"/>
    <cellStyle name="Comma 2 2 5 3 3 2 3 10" xfId="22483" xr:uid="{00000000-0005-0000-0000-0000992B0000}"/>
    <cellStyle name="Comma 2 2 5 3 3 2 3 2" xfId="4100" xr:uid="{00000000-0005-0000-0000-00009A2B0000}"/>
    <cellStyle name="Comma 2 2 5 3 3 2 3 2 2" xfId="20035" xr:uid="{00000000-0005-0000-0000-00009B2B0000}"/>
    <cellStyle name="Comma 2 2 5 3 3 2 3 2 2 2" xfId="43313" xr:uid="{00000000-0005-0000-0000-00009C2B0000}"/>
    <cellStyle name="Comma 2 2 5 3 3 2 3 2 3" xfId="48209" xr:uid="{00000000-0005-0000-0000-00009D2B0000}"/>
    <cellStyle name="Comma 2 2 5 3 3 2 3 2 4" xfId="27379" xr:uid="{00000000-0005-0000-0000-00009E2B0000}"/>
    <cellStyle name="Comma 2 2 5 3 3 2 3 3" xfId="6548" xr:uid="{00000000-0005-0000-0000-00009F2B0000}"/>
    <cellStyle name="Comma 2 2 5 3 3 2 3 3 2" xfId="29827" xr:uid="{00000000-0005-0000-0000-0000A02B0000}"/>
    <cellStyle name="Comma 2 2 5 3 3 2 3 4" xfId="8996" xr:uid="{00000000-0005-0000-0000-0000A12B0000}"/>
    <cellStyle name="Comma 2 2 5 3 3 2 3 4 2" xfId="32275" xr:uid="{00000000-0005-0000-0000-0000A22B0000}"/>
    <cellStyle name="Comma 2 2 5 3 3 2 3 5" xfId="11444" xr:uid="{00000000-0005-0000-0000-0000A32B0000}"/>
    <cellStyle name="Comma 2 2 5 3 3 2 3 5 2" xfId="34723" xr:uid="{00000000-0005-0000-0000-0000A42B0000}"/>
    <cellStyle name="Comma 2 2 5 3 3 2 3 6" xfId="13892" xr:uid="{00000000-0005-0000-0000-0000A52B0000}"/>
    <cellStyle name="Comma 2 2 5 3 3 2 3 6 2" xfId="37171" xr:uid="{00000000-0005-0000-0000-0000A62B0000}"/>
    <cellStyle name="Comma 2 2 5 3 3 2 3 7" xfId="17587" xr:uid="{00000000-0005-0000-0000-0000A72B0000}"/>
    <cellStyle name="Comma 2 2 5 3 3 2 3 7 2" xfId="40865" xr:uid="{00000000-0005-0000-0000-0000A82B0000}"/>
    <cellStyle name="Comma 2 2 5 3 3 2 3 8" xfId="24931" xr:uid="{00000000-0005-0000-0000-0000A92B0000}"/>
    <cellStyle name="Comma 2 2 5 3 3 2 3 9" xfId="45761" xr:uid="{00000000-0005-0000-0000-0000AA2B0000}"/>
    <cellStyle name="Comma 2 2 5 3 3 2 4" xfId="2876" xr:uid="{00000000-0005-0000-0000-0000AB2B0000}"/>
    <cellStyle name="Comma 2 2 5 3 3 2 4 2" xfId="16363" xr:uid="{00000000-0005-0000-0000-0000AC2B0000}"/>
    <cellStyle name="Comma 2 2 5 3 3 2 4 2 2" xfId="39641" xr:uid="{00000000-0005-0000-0000-0000AD2B0000}"/>
    <cellStyle name="Comma 2 2 5 3 3 2 4 3" xfId="46985" xr:uid="{00000000-0005-0000-0000-0000AE2B0000}"/>
    <cellStyle name="Comma 2 2 5 3 3 2 4 4" xfId="26155" xr:uid="{00000000-0005-0000-0000-0000AF2B0000}"/>
    <cellStyle name="Comma 2 2 5 3 3 2 5" xfId="5324" xr:uid="{00000000-0005-0000-0000-0000B02B0000}"/>
    <cellStyle name="Comma 2 2 5 3 3 2 5 2" xfId="18811" xr:uid="{00000000-0005-0000-0000-0000B12B0000}"/>
    <cellStyle name="Comma 2 2 5 3 3 2 5 2 2" xfId="42089" xr:uid="{00000000-0005-0000-0000-0000B22B0000}"/>
    <cellStyle name="Comma 2 2 5 3 3 2 5 3" xfId="28603" xr:uid="{00000000-0005-0000-0000-0000B32B0000}"/>
    <cellStyle name="Comma 2 2 5 3 3 2 6" xfId="7772" xr:uid="{00000000-0005-0000-0000-0000B42B0000}"/>
    <cellStyle name="Comma 2 2 5 3 3 2 6 2" xfId="31051" xr:uid="{00000000-0005-0000-0000-0000B52B0000}"/>
    <cellStyle name="Comma 2 2 5 3 3 2 7" xfId="10220" xr:uid="{00000000-0005-0000-0000-0000B62B0000}"/>
    <cellStyle name="Comma 2 2 5 3 3 2 7 2" xfId="33499" xr:uid="{00000000-0005-0000-0000-0000B72B0000}"/>
    <cellStyle name="Comma 2 2 5 3 3 2 8" xfId="12668" xr:uid="{00000000-0005-0000-0000-0000B82B0000}"/>
    <cellStyle name="Comma 2 2 5 3 3 2 8 2" xfId="35947" xr:uid="{00000000-0005-0000-0000-0000B92B0000}"/>
    <cellStyle name="Comma 2 2 5 3 3 2 9" xfId="15139" xr:uid="{00000000-0005-0000-0000-0000BA2B0000}"/>
    <cellStyle name="Comma 2 2 5 3 3 2 9 2" xfId="38417" xr:uid="{00000000-0005-0000-0000-0000BB2B0000}"/>
    <cellStyle name="Comma 2 2 5 3 3 3" xfId="632" xr:uid="{00000000-0005-0000-0000-0000BC2B0000}"/>
    <cellStyle name="Comma 2 2 5 3 3 3 10" xfId="23911" xr:uid="{00000000-0005-0000-0000-0000BD2B0000}"/>
    <cellStyle name="Comma 2 2 5 3 3 3 11" xfId="44741" xr:uid="{00000000-0005-0000-0000-0000BE2B0000}"/>
    <cellStyle name="Comma 2 2 5 3 3 3 12" xfId="21463" xr:uid="{00000000-0005-0000-0000-0000BF2B0000}"/>
    <cellStyle name="Comma 2 2 5 3 3 3 2" xfId="1244" xr:uid="{00000000-0005-0000-0000-0000C02B0000}"/>
    <cellStyle name="Comma 2 2 5 3 3 3 2 10" xfId="45353" xr:uid="{00000000-0005-0000-0000-0000C12B0000}"/>
    <cellStyle name="Comma 2 2 5 3 3 3 2 11" xfId="22075" xr:uid="{00000000-0005-0000-0000-0000C22B0000}"/>
    <cellStyle name="Comma 2 2 5 3 3 3 2 2" xfId="2468" xr:uid="{00000000-0005-0000-0000-0000C32B0000}"/>
    <cellStyle name="Comma 2 2 5 3 3 3 2 2 10" xfId="23299" xr:uid="{00000000-0005-0000-0000-0000C42B0000}"/>
    <cellStyle name="Comma 2 2 5 3 3 3 2 2 2" xfId="4916" xr:uid="{00000000-0005-0000-0000-0000C52B0000}"/>
    <cellStyle name="Comma 2 2 5 3 3 3 2 2 2 2" xfId="20851" xr:uid="{00000000-0005-0000-0000-0000C62B0000}"/>
    <cellStyle name="Comma 2 2 5 3 3 3 2 2 2 2 2" xfId="44129" xr:uid="{00000000-0005-0000-0000-0000C72B0000}"/>
    <cellStyle name="Comma 2 2 5 3 3 3 2 2 2 3" xfId="49025" xr:uid="{00000000-0005-0000-0000-0000C82B0000}"/>
    <cellStyle name="Comma 2 2 5 3 3 3 2 2 2 4" xfId="28195" xr:uid="{00000000-0005-0000-0000-0000C92B0000}"/>
    <cellStyle name="Comma 2 2 5 3 3 3 2 2 3" xfId="7364" xr:uid="{00000000-0005-0000-0000-0000CA2B0000}"/>
    <cellStyle name="Comma 2 2 5 3 3 3 2 2 3 2" xfId="30643" xr:uid="{00000000-0005-0000-0000-0000CB2B0000}"/>
    <cellStyle name="Comma 2 2 5 3 3 3 2 2 4" xfId="9812" xr:uid="{00000000-0005-0000-0000-0000CC2B0000}"/>
    <cellStyle name="Comma 2 2 5 3 3 3 2 2 4 2" xfId="33091" xr:uid="{00000000-0005-0000-0000-0000CD2B0000}"/>
    <cellStyle name="Comma 2 2 5 3 3 3 2 2 5" xfId="12260" xr:uid="{00000000-0005-0000-0000-0000CE2B0000}"/>
    <cellStyle name="Comma 2 2 5 3 3 3 2 2 5 2" xfId="35539" xr:uid="{00000000-0005-0000-0000-0000CF2B0000}"/>
    <cellStyle name="Comma 2 2 5 3 3 3 2 2 6" xfId="14708" xr:uid="{00000000-0005-0000-0000-0000D02B0000}"/>
    <cellStyle name="Comma 2 2 5 3 3 3 2 2 6 2" xfId="37987" xr:uid="{00000000-0005-0000-0000-0000D12B0000}"/>
    <cellStyle name="Comma 2 2 5 3 3 3 2 2 7" xfId="18403" xr:uid="{00000000-0005-0000-0000-0000D22B0000}"/>
    <cellStyle name="Comma 2 2 5 3 3 3 2 2 7 2" xfId="41681" xr:uid="{00000000-0005-0000-0000-0000D32B0000}"/>
    <cellStyle name="Comma 2 2 5 3 3 3 2 2 8" xfId="25747" xr:uid="{00000000-0005-0000-0000-0000D42B0000}"/>
    <cellStyle name="Comma 2 2 5 3 3 3 2 2 9" xfId="46577" xr:uid="{00000000-0005-0000-0000-0000D52B0000}"/>
    <cellStyle name="Comma 2 2 5 3 3 3 2 3" xfId="3692" xr:uid="{00000000-0005-0000-0000-0000D62B0000}"/>
    <cellStyle name="Comma 2 2 5 3 3 3 2 3 2" xfId="17179" xr:uid="{00000000-0005-0000-0000-0000D72B0000}"/>
    <cellStyle name="Comma 2 2 5 3 3 3 2 3 2 2" xfId="40457" xr:uid="{00000000-0005-0000-0000-0000D82B0000}"/>
    <cellStyle name="Comma 2 2 5 3 3 3 2 3 3" xfId="47801" xr:uid="{00000000-0005-0000-0000-0000D92B0000}"/>
    <cellStyle name="Comma 2 2 5 3 3 3 2 3 4" xfId="26971" xr:uid="{00000000-0005-0000-0000-0000DA2B0000}"/>
    <cellStyle name="Comma 2 2 5 3 3 3 2 4" xfId="6140" xr:uid="{00000000-0005-0000-0000-0000DB2B0000}"/>
    <cellStyle name="Comma 2 2 5 3 3 3 2 4 2" xfId="19627" xr:uid="{00000000-0005-0000-0000-0000DC2B0000}"/>
    <cellStyle name="Comma 2 2 5 3 3 3 2 4 2 2" xfId="42905" xr:uid="{00000000-0005-0000-0000-0000DD2B0000}"/>
    <cellStyle name="Comma 2 2 5 3 3 3 2 4 3" xfId="29419" xr:uid="{00000000-0005-0000-0000-0000DE2B0000}"/>
    <cellStyle name="Comma 2 2 5 3 3 3 2 5" xfId="8588" xr:uid="{00000000-0005-0000-0000-0000DF2B0000}"/>
    <cellStyle name="Comma 2 2 5 3 3 3 2 5 2" xfId="31867" xr:uid="{00000000-0005-0000-0000-0000E02B0000}"/>
    <cellStyle name="Comma 2 2 5 3 3 3 2 6" xfId="11036" xr:uid="{00000000-0005-0000-0000-0000E12B0000}"/>
    <cellStyle name="Comma 2 2 5 3 3 3 2 6 2" xfId="34315" xr:uid="{00000000-0005-0000-0000-0000E22B0000}"/>
    <cellStyle name="Comma 2 2 5 3 3 3 2 7" xfId="13484" xr:uid="{00000000-0005-0000-0000-0000E32B0000}"/>
    <cellStyle name="Comma 2 2 5 3 3 3 2 7 2" xfId="36763" xr:uid="{00000000-0005-0000-0000-0000E42B0000}"/>
    <cellStyle name="Comma 2 2 5 3 3 3 2 8" xfId="15955" xr:uid="{00000000-0005-0000-0000-0000E52B0000}"/>
    <cellStyle name="Comma 2 2 5 3 3 3 2 8 2" xfId="39233" xr:uid="{00000000-0005-0000-0000-0000E62B0000}"/>
    <cellStyle name="Comma 2 2 5 3 3 3 2 9" xfId="24523" xr:uid="{00000000-0005-0000-0000-0000E72B0000}"/>
    <cellStyle name="Comma 2 2 5 3 3 3 3" xfId="1856" xr:uid="{00000000-0005-0000-0000-0000E82B0000}"/>
    <cellStyle name="Comma 2 2 5 3 3 3 3 10" xfId="22687" xr:uid="{00000000-0005-0000-0000-0000E92B0000}"/>
    <cellStyle name="Comma 2 2 5 3 3 3 3 2" xfId="4304" xr:uid="{00000000-0005-0000-0000-0000EA2B0000}"/>
    <cellStyle name="Comma 2 2 5 3 3 3 3 2 2" xfId="20239" xr:uid="{00000000-0005-0000-0000-0000EB2B0000}"/>
    <cellStyle name="Comma 2 2 5 3 3 3 3 2 2 2" xfId="43517" xr:uid="{00000000-0005-0000-0000-0000EC2B0000}"/>
    <cellStyle name="Comma 2 2 5 3 3 3 3 2 3" xfId="48413" xr:uid="{00000000-0005-0000-0000-0000ED2B0000}"/>
    <cellStyle name="Comma 2 2 5 3 3 3 3 2 4" xfId="27583" xr:uid="{00000000-0005-0000-0000-0000EE2B0000}"/>
    <cellStyle name="Comma 2 2 5 3 3 3 3 3" xfId="6752" xr:uid="{00000000-0005-0000-0000-0000EF2B0000}"/>
    <cellStyle name="Comma 2 2 5 3 3 3 3 3 2" xfId="30031" xr:uid="{00000000-0005-0000-0000-0000F02B0000}"/>
    <cellStyle name="Comma 2 2 5 3 3 3 3 4" xfId="9200" xr:uid="{00000000-0005-0000-0000-0000F12B0000}"/>
    <cellStyle name="Comma 2 2 5 3 3 3 3 4 2" xfId="32479" xr:uid="{00000000-0005-0000-0000-0000F22B0000}"/>
    <cellStyle name="Comma 2 2 5 3 3 3 3 5" xfId="11648" xr:uid="{00000000-0005-0000-0000-0000F32B0000}"/>
    <cellStyle name="Comma 2 2 5 3 3 3 3 5 2" xfId="34927" xr:uid="{00000000-0005-0000-0000-0000F42B0000}"/>
    <cellStyle name="Comma 2 2 5 3 3 3 3 6" xfId="14096" xr:uid="{00000000-0005-0000-0000-0000F52B0000}"/>
    <cellStyle name="Comma 2 2 5 3 3 3 3 6 2" xfId="37375" xr:uid="{00000000-0005-0000-0000-0000F62B0000}"/>
    <cellStyle name="Comma 2 2 5 3 3 3 3 7" xfId="17791" xr:uid="{00000000-0005-0000-0000-0000F72B0000}"/>
    <cellStyle name="Comma 2 2 5 3 3 3 3 7 2" xfId="41069" xr:uid="{00000000-0005-0000-0000-0000F82B0000}"/>
    <cellStyle name="Comma 2 2 5 3 3 3 3 8" xfId="25135" xr:uid="{00000000-0005-0000-0000-0000F92B0000}"/>
    <cellStyle name="Comma 2 2 5 3 3 3 3 9" xfId="45965" xr:uid="{00000000-0005-0000-0000-0000FA2B0000}"/>
    <cellStyle name="Comma 2 2 5 3 3 3 4" xfId="3080" xr:uid="{00000000-0005-0000-0000-0000FB2B0000}"/>
    <cellStyle name="Comma 2 2 5 3 3 3 4 2" xfId="16567" xr:uid="{00000000-0005-0000-0000-0000FC2B0000}"/>
    <cellStyle name="Comma 2 2 5 3 3 3 4 2 2" xfId="39845" xr:uid="{00000000-0005-0000-0000-0000FD2B0000}"/>
    <cellStyle name="Comma 2 2 5 3 3 3 4 3" xfId="47189" xr:uid="{00000000-0005-0000-0000-0000FE2B0000}"/>
    <cellStyle name="Comma 2 2 5 3 3 3 4 4" xfId="26359" xr:uid="{00000000-0005-0000-0000-0000FF2B0000}"/>
    <cellStyle name="Comma 2 2 5 3 3 3 5" xfId="5528" xr:uid="{00000000-0005-0000-0000-0000002C0000}"/>
    <cellStyle name="Comma 2 2 5 3 3 3 5 2" xfId="19015" xr:uid="{00000000-0005-0000-0000-0000012C0000}"/>
    <cellStyle name="Comma 2 2 5 3 3 3 5 2 2" xfId="42293" xr:uid="{00000000-0005-0000-0000-0000022C0000}"/>
    <cellStyle name="Comma 2 2 5 3 3 3 5 3" xfId="28807" xr:uid="{00000000-0005-0000-0000-0000032C0000}"/>
    <cellStyle name="Comma 2 2 5 3 3 3 6" xfId="7976" xr:uid="{00000000-0005-0000-0000-0000042C0000}"/>
    <cellStyle name="Comma 2 2 5 3 3 3 6 2" xfId="31255" xr:uid="{00000000-0005-0000-0000-0000052C0000}"/>
    <cellStyle name="Comma 2 2 5 3 3 3 7" xfId="10424" xr:uid="{00000000-0005-0000-0000-0000062C0000}"/>
    <cellStyle name="Comma 2 2 5 3 3 3 7 2" xfId="33703" xr:uid="{00000000-0005-0000-0000-0000072C0000}"/>
    <cellStyle name="Comma 2 2 5 3 3 3 8" xfId="12872" xr:uid="{00000000-0005-0000-0000-0000082C0000}"/>
    <cellStyle name="Comma 2 2 5 3 3 3 8 2" xfId="36151" xr:uid="{00000000-0005-0000-0000-0000092C0000}"/>
    <cellStyle name="Comma 2 2 5 3 3 3 9" xfId="15343" xr:uid="{00000000-0005-0000-0000-00000A2C0000}"/>
    <cellStyle name="Comma 2 2 5 3 3 3 9 2" xfId="38621" xr:uid="{00000000-0005-0000-0000-00000B2C0000}"/>
    <cellStyle name="Comma 2 2 5 3 3 4" xfId="836" xr:uid="{00000000-0005-0000-0000-00000C2C0000}"/>
    <cellStyle name="Comma 2 2 5 3 3 4 10" xfId="44945" xr:uid="{00000000-0005-0000-0000-00000D2C0000}"/>
    <cellStyle name="Comma 2 2 5 3 3 4 11" xfId="21667" xr:uid="{00000000-0005-0000-0000-00000E2C0000}"/>
    <cellStyle name="Comma 2 2 5 3 3 4 2" xfId="2060" xr:uid="{00000000-0005-0000-0000-00000F2C0000}"/>
    <cellStyle name="Comma 2 2 5 3 3 4 2 10" xfId="22891" xr:uid="{00000000-0005-0000-0000-0000102C0000}"/>
    <cellStyle name="Comma 2 2 5 3 3 4 2 2" xfId="4508" xr:uid="{00000000-0005-0000-0000-0000112C0000}"/>
    <cellStyle name="Comma 2 2 5 3 3 4 2 2 2" xfId="20443" xr:uid="{00000000-0005-0000-0000-0000122C0000}"/>
    <cellStyle name="Comma 2 2 5 3 3 4 2 2 2 2" xfId="43721" xr:uid="{00000000-0005-0000-0000-0000132C0000}"/>
    <cellStyle name="Comma 2 2 5 3 3 4 2 2 3" xfId="48617" xr:uid="{00000000-0005-0000-0000-0000142C0000}"/>
    <cellStyle name="Comma 2 2 5 3 3 4 2 2 4" xfId="27787" xr:uid="{00000000-0005-0000-0000-0000152C0000}"/>
    <cellStyle name="Comma 2 2 5 3 3 4 2 3" xfId="6956" xr:uid="{00000000-0005-0000-0000-0000162C0000}"/>
    <cellStyle name="Comma 2 2 5 3 3 4 2 3 2" xfId="30235" xr:uid="{00000000-0005-0000-0000-0000172C0000}"/>
    <cellStyle name="Comma 2 2 5 3 3 4 2 4" xfId="9404" xr:uid="{00000000-0005-0000-0000-0000182C0000}"/>
    <cellStyle name="Comma 2 2 5 3 3 4 2 4 2" xfId="32683" xr:uid="{00000000-0005-0000-0000-0000192C0000}"/>
    <cellStyle name="Comma 2 2 5 3 3 4 2 5" xfId="11852" xr:uid="{00000000-0005-0000-0000-00001A2C0000}"/>
    <cellStyle name="Comma 2 2 5 3 3 4 2 5 2" xfId="35131" xr:uid="{00000000-0005-0000-0000-00001B2C0000}"/>
    <cellStyle name="Comma 2 2 5 3 3 4 2 6" xfId="14300" xr:uid="{00000000-0005-0000-0000-00001C2C0000}"/>
    <cellStyle name="Comma 2 2 5 3 3 4 2 6 2" xfId="37579" xr:uid="{00000000-0005-0000-0000-00001D2C0000}"/>
    <cellStyle name="Comma 2 2 5 3 3 4 2 7" xfId="17995" xr:uid="{00000000-0005-0000-0000-00001E2C0000}"/>
    <cellStyle name="Comma 2 2 5 3 3 4 2 7 2" xfId="41273" xr:uid="{00000000-0005-0000-0000-00001F2C0000}"/>
    <cellStyle name="Comma 2 2 5 3 3 4 2 8" xfId="25339" xr:uid="{00000000-0005-0000-0000-0000202C0000}"/>
    <cellStyle name="Comma 2 2 5 3 3 4 2 9" xfId="46169" xr:uid="{00000000-0005-0000-0000-0000212C0000}"/>
    <cellStyle name="Comma 2 2 5 3 3 4 3" xfId="3284" xr:uid="{00000000-0005-0000-0000-0000222C0000}"/>
    <cellStyle name="Comma 2 2 5 3 3 4 3 2" xfId="16771" xr:uid="{00000000-0005-0000-0000-0000232C0000}"/>
    <cellStyle name="Comma 2 2 5 3 3 4 3 2 2" xfId="40049" xr:uid="{00000000-0005-0000-0000-0000242C0000}"/>
    <cellStyle name="Comma 2 2 5 3 3 4 3 3" xfId="47393" xr:uid="{00000000-0005-0000-0000-0000252C0000}"/>
    <cellStyle name="Comma 2 2 5 3 3 4 3 4" xfId="26563" xr:uid="{00000000-0005-0000-0000-0000262C0000}"/>
    <cellStyle name="Comma 2 2 5 3 3 4 4" xfId="5732" xr:uid="{00000000-0005-0000-0000-0000272C0000}"/>
    <cellStyle name="Comma 2 2 5 3 3 4 4 2" xfId="19219" xr:uid="{00000000-0005-0000-0000-0000282C0000}"/>
    <cellStyle name="Comma 2 2 5 3 3 4 4 2 2" xfId="42497" xr:uid="{00000000-0005-0000-0000-0000292C0000}"/>
    <cellStyle name="Comma 2 2 5 3 3 4 4 3" xfId="29011" xr:uid="{00000000-0005-0000-0000-00002A2C0000}"/>
    <cellStyle name="Comma 2 2 5 3 3 4 5" xfId="8180" xr:uid="{00000000-0005-0000-0000-00002B2C0000}"/>
    <cellStyle name="Comma 2 2 5 3 3 4 5 2" xfId="31459" xr:uid="{00000000-0005-0000-0000-00002C2C0000}"/>
    <cellStyle name="Comma 2 2 5 3 3 4 6" xfId="10628" xr:uid="{00000000-0005-0000-0000-00002D2C0000}"/>
    <cellStyle name="Comma 2 2 5 3 3 4 6 2" xfId="33907" xr:uid="{00000000-0005-0000-0000-00002E2C0000}"/>
    <cellStyle name="Comma 2 2 5 3 3 4 7" xfId="13076" xr:uid="{00000000-0005-0000-0000-00002F2C0000}"/>
    <cellStyle name="Comma 2 2 5 3 3 4 7 2" xfId="36355" xr:uid="{00000000-0005-0000-0000-0000302C0000}"/>
    <cellStyle name="Comma 2 2 5 3 3 4 8" xfId="15547" xr:uid="{00000000-0005-0000-0000-0000312C0000}"/>
    <cellStyle name="Comma 2 2 5 3 3 4 8 2" xfId="38825" xr:uid="{00000000-0005-0000-0000-0000322C0000}"/>
    <cellStyle name="Comma 2 2 5 3 3 4 9" xfId="24115" xr:uid="{00000000-0005-0000-0000-0000332C0000}"/>
    <cellStyle name="Comma 2 2 5 3 3 5" xfId="1448" xr:uid="{00000000-0005-0000-0000-0000342C0000}"/>
    <cellStyle name="Comma 2 2 5 3 3 5 10" xfId="22279" xr:uid="{00000000-0005-0000-0000-0000352C0000}"/>
    <cellStyle name="Comma 2 2 5 3 3 5 2" xfId="3896" xr:uid="{00000000-0005-0000-0000-0000362C0000}"/>
    <cellStyle name="Comma 2 2 5 3 3 5 2 2" xfId="19831" xr:uid="{00000000-0005-0000-0000-0000372C0000}"/>
    <cellStyle name="Comma 2 2 5 3 3 5 2 2 2" xfId="43109" xr:uid="{00000000-0005-0000-0000-0000382C0000}"/>
    <cellStyle name="Comma 2 2 5 3 3 5 2 3" xfId="48005" xr:uid="{00000000-0005-0000-0000-0000392C0000}"/>
    <cellStyle name="Comma 2 2 5 3 3 5 2 4" xfId="27175" xr:uid="{00000000-0005-0000-0000-00003A2C0000}"/>
    <cellStyle name="Comma 2 2 5 3 3 5 3" xfId="6344" xr:uid="{00000000-0005-0000-0000-00003B2C0000}"/>
    <cellStyle name="Comma 2 2 5 3 3 5 3 2" xfId="29623" xr:uid="{00000000-0005-0000-0000-00003C2C0000}"/>
    <cellStyle name="Comma 2 2 5 3 3 5 4" xfId="8792" xr:uid="{00000000-0005-0000-0000-00003D2C0000}"/>
    <cellStyle name="Comma 2 2 5 3 3 5 4 2" xfId="32071" xr:uid="{00000000-0005-0000-0000-00003E2C0000}"/>
    <cellStyle name="Comma 2 2 5 3 3 5 5" xfId="11240" xr:uid="{00000000-0005-0000-0000-00003F2C0000}"/>
    <cellStyle name="Comma 2 2 5 3 3 5 5 2" xfId="34519" xr:uid="{00000000-0005-0000-0000-0000402C0000}"/>
    <cellStyle name="Comma 2 2 5 3 3 5 6" xfId="13688" xr:uid="{00000000-0005-0000-0000-0000412C0000}"/>
    <cellStyle name="Comma 2 2 5 3 3 5 6 2" xfId="36967" xr:uid="{00000000-0005-0000-0000-0000422C0000}"/>
    <cellStyle name="Comma 2 2 5 3 3 5 7" xfId="17383" xr:uid="{00000000-0005-0000-0000-0000432C0000}"/>
    <cellStyle name="Comma 2 2 5 3 3 5 7 2" xfId="40661" xr:uid="{00000000-0005-0000-0000-0000442C0000}"/>
    <cellStyle name="Comma 2 2 5 3 3 5 8" xfId="24727" xr:uid="{00000000-0005-0000-0000-0000452C0000}"/>
    <cellStyle name="Comma 2 2 5 3 3 5 9" xfId="45557" xr:uid="{00000000-0005-0000-0000-0000462C0000}"/>
    <cellStyle name="Comma 2 2 5 3 3 6" xfId="2672" xr:uid="{00000000-0005-0000-0000-0000472C0000}"/>
    <cellStyle name="Comma 2 2 5 3 3 6 2" xfId="16159" xr:uid="{00000000-0005-0000-0000-0000482C0000}"/>
    <cellStyle name="Comma 2 2 5 3 3 6 2 2" xfId="39437" xr:uid="{00000000-0005-0000-0000-0000492C0000}"/>
    <cellStyle name="Comma 2 2 5 3 3 6 3" xfId="46781" xr:uid="{00000000-0005-0000-0000-00004A2C0000}"/>
    <cellStyle name="Comma 2 2 5 3 3 6 4" xfId="25951" xr:uid="{00000000-0005-0000-0000-00004B2C0000}"/>
    <cellStyle name="Comma 2 2 5 3 3 7" xfId="5120" xr:uid="{00000000-0005-0000-0000-00004C2C0000}"/>
    <cellStyle name="Comma 2 2 5 3 3 7 2" xfId="18607" xr:uid="{00000000-0005-0000-0000-00004D2C0000}"/>
    <cellStyle name="Comma 2 2 5 3 3 7 2 2" xfId="41885" xr:uid="{00000000-0005-0000-0000-00004E2C0000}"/>
    <cellStyle name="Comma 2 2 5 3 3 7 3" xfId="28399" xr:uid="{00000000-0005-0000-0000-00004F2C0000}"/>
    <cellStyle name="Comma 2 2 5 3 3 8" xfId="7568" xr:uid="{00000000-0005-0000-0000-0000502C0000}"/>
    <cellStyle name="Comma 2 2 5 3 3 8 2" xfId="30847" xr:uid="{00000000-0005-0000-0000-0000512C0000}"/>
    <cellStyle name="Comma 2 2 5 3 3 9" xfId="10016" xr:uid="{00000000-0005-0000-0000-0000522C0000}"/>
    <cellStyle name="Comma 2 2 5 3 3 9 2" xfId="33295" xr:uid="{00000000-0005-0000-0000-0000532C0000}"/>
    <cellStyle name="Comma 2 2 5 3 4" xfId="292" xr:uid="{00000000-0005-0000-0000-0000542C0000}"/>
    <cellStyle name="Comma 2 2 5 3 4 10" xfId="23571" xr:uid="{00000000-0005-0000-0000-0000552C0000}"/>
    <cellStyle name="Comma 2 2 5 3 4 11" xfId="44401" xr:uid="{00000000-0005-0000-0000-0000562C0000}"/>
    <cellStyle name="Comma 2 2 5 3 4 12" xfId="21123" xr:uid="{00000000-0005-0000-0000-0000572C0000}"/>
    <cellStyle name="Comma 2 2 5 3 4 2" xfId="904" xr:uid="{00000000-0005-0000-0000-0000582C0000}"/>
    <cellStyle name="Comma 2 2 5 3 4 2 10" xfId="45013" xr:uid="{00000000-0005-0000-0000-0000592C0000}"/>
    <cellStyle name="Comma 2 2 5 3 4 2 11" xfId="21735" xr:uid="{00000000-0005-0000-0000-00005A2C0000}"/>
    <cellStyle name="Comma 2 2 5 3 4 2 2" xfId="2128" xr:uid="{00000000-0005-0000-0000-00005B2C0000}"/>
    <cellStyle name="Comma 2 2 5 3 4 2 2 10" xfId="22959" xr:uid="{00000000-0005-0000-0000-00005C2C0000}"/>
    <cellStyle name="Comma 2 2 5 3 4 2 2 2" xfId="4576" xr:uid="{00000000-0005-0000-0000-00005D2C0000}"/>
    <cellStyle name="Comma 2 2 5 3 4 2 2 2 2" xfId="20511" xr:uid="{00000000-0005-0000-0000-00005E2C0000}"/>
    <cellStyle name="Comma 2 2 5 3 4 2 2 2 2 2" xfId="43789" xr:uid="{00000000-0005-0000-0000-00005F2C0000}"/>
    <cellStyle name="Comma 2 2 5 3 4 2 2 2 3" xfId="48685" xr:uid="{00000000-0005-0000-0000-0000602C0000}"/>
    <cellStyle name="Comma 2 2 5 3 4 2 2 2 4" xfId="27855" xr:uid="{00000000-0005-0000-0000-0000612C0000}"/>
    <cellStyle name="Comma 2 2 5 3 4 2 2 3" xfId="7024" xr:uid="{00000000-0005-0000-0000-0000622C0000}"/>
    <cellStyle name="Comma 2 2 5 3 4 2 2 3 2" xfId="30303" xr:uid="{00000000-0005-0000-0000-0000632C0000}"/>
    <cellStyle name="Comma 2 2 5 3 4 2 2 4" xfId="9472" xr:uid="{00000000-0005-0000-0000-0000642C0000}"/>
    <cellStyle name="Comma 2 2 5 3 4 2 2 4 2" xfId="32751" xr:uid="{00000000-0005-0000-0000-0000652C0000}"/>
    <cellStyle name="Comma 2 2 5 3 4 2 2 5" xfId="11920" xr:uid="{00000000-0005-0000-0000-0000662C0000}"/>
    <cellStyle name="Comma 2 2 5 3 4 2 2 5 2" xfId="35199" xr:uid="{00000000-0005-0000-0000-0000672C0000}"/>
    <cellStyle name="Comma 2 2 5 3 4 2 2 6" xfId="14368" xr:uid="{00000000-0005-0000-0000-0000682C0000}"/>
    <cellStyle name="Comma 2 2 5 3 4 2 2 6 2" xfId="37647" xr:uid="{00000000-0005-0000-0000-0000692C0000}"/>
    <cellStyle name="Comma 2 2 5 3 4 2 2 7" xfId="18063" xr:uid="{00000000-0005-0000-0000-00006A2C0000}"/>
    <cellStyle name="Comma 2 2 5 3 4 2 2 7 2" xfId="41341" xr:uid="{00000000-0005-0000-0000-00006B2C0000}"/>
    <cellStyle name="Comma 2 2 5 3 4 2 2 8" xfId="25407" xr:uid="{00000000-0005-0000-0000-00006C2C0000}"/>
    <cellStyle name="Comma 2 2 5 3 4 2 2 9" xfId="46237" xr:uid="{00000000-0005-0000-0000-00006D2C0000}"/>
    <cellStyle name="Comma 2 2 5 3 4 2 3" xfId="3352" xr:uid="{00000000-0005-0000-0000-00006E2C0000}"/>
    <cellStyle name="Comma 2 2 5 3 4 2 3 2" xfId="16839" xr:uid="{00000000-0005-0000-0000-00006F2C0000}"/>
    <cellStyle name="Comma 2 2 5 3 4 2 3 2 2" xfId="40117" xr:uid="{00000000-0005-0000-0000-0000702C0000}"/>
    <cellStyle name="Comma 2 2 5 3 4 2 3 3" xfId="47461" xr:uid="{00000000-0005-0000-0000-0000712C0000}"/>
    <cellStyle name="Comma 2 2 5 3 4 2 3 4" xfId="26631" xr:uid="{00000000-0005-0000-0000-0000722C0000}"/>
    <cellStyle name="Comma 2 2 5 3 4 2 4" xfId="5800" xr:uid="{00000000-0005-0000-0000-0000732C0000}"/>
    <cellStyle name="Comma 2 2 5 3 4 2 4 2" xfId="19287" xr:uid="{00000000-0005-0000-0000-0000742C0000}"/>
    <cellStyle name="Comma 2 2 5 3 4 2 4 2 2" xfId="42565" xr:uid="{00000000-0005-0000-0000-0000752C0000}"/>
    <cellStyle name="Comma 2 2 5 3 4 2 4 3" xfId="29079" xr:uid="{00000000-0005-0000-0000-0000762C0000}"/>
    <cellStyle name="Comma 2 2 5 3 4 2 5" xfId="8248" xr:uid="{00000000-0005-0000-0000-0000772C0000}"/>
    <cellStyle name="Comma 2 2 5 3 4 2 5 2" xfId="31527" xr:uid="{00000000-0005-0000-0000-0000782C0000}"/>
    <cellStyle name="Comma 2 2 5 3 4 2 6" xfId="10696" xr:uid="{00000000-0005-0000-0000-0000792C0000}"/>
    <cellStyle name="Comma 2 2 5 3 4 2 6 2" xfId="33975" xr:uid="{00000000-0005-0000-0000-00007A2C0000}"/>
    <cellStyle name="Comma 2 2 5 3 4 2 7" xfId="13144" xr:uid="{00000000-0005-0000-0000-00007B2C0000}"/>
    <cellStyle name="Comma 2 2 5 3 4 2 7 2" xfId="36423" xr:uid="{00000000-0005-0000-0000-00007C2C0000}"/>
    <cellStyle name="Comma 2 2 5 3 4 2 8" xfId="15615" xr:uid="{00000000-0005-0000-0000-00007D2C0000}"/>
    <cellStyle name="Comma 2 2 5 3 4 2 8 2" xfId="38893" xr:uid="{00000000-0005-0000-0000-00007E2C0000}"/>
    <cellStyle name="Comma 2 2 5 3 4 2 9" xfId="24183" xr:uid="{00000000-0005-0000-0000-00007F2C0000}"/>
    <cellStyle name="Comma 2 2 5 3 4 3" xfId="1516" xr:uid="{00000000-0005-0000-0000-0000802C0000}"/>
    <cellStyle name="Comma 2 2 5 3 4 3 10" xfId="22347" xr:uid="{00000000-0005-0000-0000-0000812C0000}"/>
    <cellStyle name="Comma 2 2 5 3 4 3 2" xfId="3964" xr:uid="{00000000-0005-0000-0000-0000822C0000}"/>
    <cellStyle name="Comma 2 2 5 3 4 3 2 2" xfId="19899" xr:uid="{00000000-0005-0000-0000-0000832C0000}"/>
    <cellStyle name="Comma 2 2 5 3 4 3 2 2 2" xfId="43177" xr:uid="{00000000-0005-0000-0000-0000842C0000}"/>
    <cellStyle name="Comma 2 2 5 3 4 3 2 3" xfId="48073" xr:uid="{00000000-0005-0000-0000-0000852C0000}"/>
    <cellStyle name="Comma 2 2 5 3 4 3 2 4" xfId="27243" xr:uid="{00000000-0005-0000-0000-0000862C0000}"/>
    <cellStyle name="Comma 2 2 5 3 4 3 3" xfId="6412" xr:uid="{00000000-0005-0000-0000-0000872C0000}"/>
    <cellStyle name="Comma 2 2 5 3 4 3 3 2" xfId="29691" xr:uid="{00000000-0005-0000-0000-0000882C0000}"/>
    <cellStyle name="Comma 2 2 5 3 4 3 4" xfId="8860" xr:uid="{00000000-0005-0000-0000-0000892C0000}"/>
    <cellStyle name="Comma 2 2 5 3 4 3 4 2" xfId="32139" xr:uid="{00000000-0005-0000-0000-00008A2C0000}"/>
    <cellStyle name="Comma 2 2 5 3 4 3 5" xfId="11308" xr:uid="{00000000-0005-0000-0000-00008B2C0000}"/>
    <cellStyle name="Comma 2 2 5 3 4 3 5 2" xfId="34587" xr:uid="{00000000-0005-0000-0000-00008C2C0000}"/>
    <cellStyle name="Comma 2 2 5 3 4 3 6" xfId="13756" xr:uid="{00000000-0005-0000-0000-00008D2C0000}"/>
    <cellStyle name="Comma 2 2 5 3 4 3 6 2" xfId="37035" xr:uid="{00000000-0005-0000-0000-00008E2C0000}"/>
    <cellStyle name="Comma 2 2 5 3 4 3 7" xfId="17451" xr:uid="{00000000-0005-0000-0000-00008F2C0000}"/>
    <cellStyle name="Comma 2 2 5 3 4 3 7 2" xfId="40729" xr:uid="{00000000-0005-0000-0000-0000902C0000}"/>
    <cellStyle name="Comma 2 2 5 3 4 3 8" xfId="24795" xr:uid="{00000000-0005-0000-0000-0000912C0000}"/>
    <cellStyle name="Comma 2 2 5 3 4 3 9" xfId="45625" xr:uid="{00000000-0005-0000-0000-0000922C0000}"/>
    <cellStyle name="Comma 2 2 5 3 4 4" xfId="2740" xr:uid="{00000000-0005-0000-0000-0000932C0000}"/>
    <cellStyle name="Comma 2 2 5 3 4 4 2" xfId="16227" xr:uid="{00000000-0005-0000-0000-0000942C0000}"/>
    <cellStyle name="Comma 2 2 5 3 4 4 2 2" xfId="39505" xr:uid="{00000000-0005-0000-0000-0000952C0000}"/>
    <cellStyle name="Comma 2 2 5 3 4 4 3" xfId="46849" xr:uid="{00000000-0005-0000-0000-0000962C0000}"/>
    <cellStyle name="Comma 2 2 5 3 4 4 4" xfId="26019" xr:uid="{00000000-0005-0000-0000-0000972C0000}"/>
    <cellStyle name="Comma 2 2 5 3 4 5" xfId="5188" xr:uid="{00000000-0005-0000-0000-0000982C0000}"/>
    <cellStyle name="Comma 2 2 5 3 4 5 2" xfId="18675" xr:uid="{00000000-0005-0000-0000-0000992C0000}"/>
    <cellStyle name="Comma 2 2 5 3 4 5 2 2" xfId="41953" xr:uid="{00000000-0005-0000-0000-00009A2C0000}"/>
    <cellStyle name="Comma 2 2 5 3 4 5 3" xfId="28467" xr:uid="{00000000-0005-0000-0000-00009B2C0000}"/>
    <cellStyle name="Comma 2 2 5 3 4 6" xfId="7636" xr:uid="{00000000-0005-0000-0000-00009C2C0000}"/>
    <cellStyle name="Comma 2 2 5 3 4 6 2" xfId="30915" xr:uid="{00000000-0005-0000-0000-00009D2C0000}"/>
    <cellStyle name="Comma 2 2 5 3 4 7" xfId="10084" xr:uid="{00000000-0005-0000-0000-00009E2C0000}"/>
    <cellStyle name="Comma 2 2 5 3 4 7 2" xfId="33363" xr:uid="{00000000-0005-0000-0000-00009F2C0000}"/>
    <cellStyle name="Comma 2 2 5 3 4 8" xfId="12532" xr:uid="{00000000-0005-0000-0000-0000A02C0000}"/>
    <cellStyle name="Comma 2 2 5 3 4 8 2" xfId="35811" xr:uid="{00000000-0005-0000-0000-0000A12C0000}"/>
    <cellStyle name="Comma 2 2 5 3 4 9" xfId="15003" xr:uid="{00000000-0005-0000-0000-0000A22C0000}"/>
    <cellStyle name="Comma 2 2 5 3 4 9 2" xfId="38281" xr:uid="{00000000-0005-0000-0000-0000A32C0000}"/>
    <cellStyle name="Comma 2 2 5 3 5" xfId="496" xr:uid="{00000000-0005-0000-0000-0000A42C0000}"/>
    <cellStyle name="Comma 2 2 5 3 5 10" xfId="23775" xr:uid="{00000000-0005-0000-0000-0000A52C0000}"/>
    <cellStyle name="Comma 2 2 5 3 5 11" xfId="44605" xr:uid="{00000000-0005-0000-0000-0000A62C0000}"/>
    <cellStyle name="Comma 2 2 5 3 5 12" xfId="21327" xr:uid="{00000000-0005-0000-0000-0000A72C0000}"/>
    <cellStyle name="Comma 2 2 5 3 5 2" xfId="1108" xr:uid="{00000000-0005-0000-0000-0000A82C0000}"/>
    <cellStyle name="Comma 2 2 5 3 5 2 10" xfId="45217" xr:uid="{00000000-0005-0000-0000-0000A92C0000}"/>
    <cellStyle name="Comma 2 2 5 3 5 2 11" xfId="21939" xr:uid="{00000000-0005-0000-0000-0000AA2C0000}"/>
    <cellStyle name="Comma 2 2 5 3 5 2 2" xfId="2332" xr:uid="{00000000-0005-0000-0000-0000AB2C0000}"/>
    <cellStyle name="Comma 2 2 5 3 5 2 2 10" xfId="23163" xr:uid="{00000000-0005-0000-0000-0000AC2C0000}"/>
    <cellStyle name="Comma 2 2 5 3 5 2 2 2" xfId="4780" xr:uid="{00000000-0005-0000-0000-0000AD2C0000}"/>
    <cellStyle name="Comma 2 2 5 3 5 2 2 2 2" xfId="20715" xr:uid="{00000000-0005-0000-0000-0000AE2C0000}"/>
    <cellStyle name="Comma 2 2 5 3 5 2 2 2 2 2" xfId="43993" xr:uid="{00000000-0005-0000-0000-0000AF2C0000}"/>
    <cellStyle name="Comma 2 2 5 3 5 2 2 2 3" xfId="48889" xr:uid="{00000000-0005-0000-0000-0000B02C0000}"/>
    <cellStyle name="Comma 2 2 5 3 5 2 2 2 4" xfId="28059" xr:uid="{00000000-0005-0000-0000-0000B12C0000}"/>
    <cellStyle name="Comma 2 2 5 3 5 2 2 3" xfId="7228" xr:uid="{00000000-0005-0000-0000-0000B22C0000}"/>
    <cellStyle name="Comma 2 2 5 3 5 2 2 3 2" xfId="30507" xr:uid="{00000000-0005-0000-0000-0000B32C0000}"/>
    <cellStyle name="Comma 2 2 5 3 5 2 2 4" xfId="9676" xr:uid="{00000000-0005-0000-0000-0000B42C0000}"/>
    <cellStyle name="Comma 2 2 5 3 5 2 2 4 2" xfId="32955" xr:uid="{00000000-0005-0000-0000-0000B52C0000}"/>
    <cellStyle name="Comma 2 2 5 3 5 2 2 5" xfId="12124" xr:uid="{00000000-0005-0000-0000-0000B62C0000}"/>
    <cellStyle name="Comma 2 2 5 3 5 2 2 5 2" xfId="35403" xr:uid="{00000000-0005-0000-0000-0000B72C0000}"/>
    <cellStyle name="Comma 2 2 5 3 5 2 2 6" xfId="14572" xr:uid="{00000000-0005-0000-0000-0000B82C0000}"/>
    <cellStyle name="Comma 2 2 5 3 5 2 2 6 2" xfId="37851" xr:uid="{00000000-0005-0000-0000-0000B92C0000}"/>
    <cellStyle name="Comma 2 2 5 3 5 2 2 7" xfId="18267" xr:uid="{00000000-0005-0000-0000-0000BA2C0000}"/>
    <cellStyle name="Comma 2 2 5 3 5 2 2 7 2" xfId="41545" xr:uid="{00000000-0005-0000-0000-0000BB2C0000}"/>
    <cellStyle name="Comma 2 2 5 3 5 2 2 8" xfId="25611" xr:uid="{00000000-0005-0000-0000-0000BC2C0000}"/>
    <cellStyle name="Comma 2 2 5 3 5 2 2 9" xfId="46441" xr:uid="{00000000-0005-0000-0000-0000BD2C0000}"/>
    <cellStyle name="Comma 2 2 5 3 5 2 3" xfId="3556" xr:uid="{00000000-0005-0000-0000-0000BE2C0000}"/>
    <cellStyle name="Comma 2 2 5 3 5 2 3 2" xfId="17043" xr:uid="{00000000-0005-0000-0000-0000BF2C0000}"/>
    <cellStyle name="Comma 2 2 5 3 5 2 3 2 2" xfId="40321" xr:uid="{00000000-0005-0000-0000-0000C02C0000}"/>
    <cellStyle name="Comma 2 2 5 3 5 2 3 3" xfId="47665" xr:uid="{00000000-0005-0000-0000-0000C12C0000}"/>
    <cellStyle name="Comma 2 2 5 3 5 2 3 4" xfId="26835" xr:uid="{00000000-0005-0000-0000-0000C22C0000}"/>
    <cellStyle name="Comma 2 2 5 3 5 2 4" xfId="6004" xr:uid="{00000000-0005-0000-0000-0000C32C0000}"/>
    <cellStyle name="Comma 2 2 5 3 5 2 4 2" xfId="19491" xr:uid="{00000000-0005-0000-0000-0000C42C0000}"/>
    <cellStyle name="Comma 2 2 5 3 5 2 4 2 2" xfId="42769" xr:uid="{00000000-0005-0000-0000-0000C52C0000}"/>
    <cellStyle name="Comma 2 2 5 3 5 2 4 3" xfId="29283" xr:uid="{00000000-0005-0000-0000-0000C62C0000}"/>
    <cellStyle name="Comma 2 2 5 3 5 2 5" xfId="8452" xr:uid="{00000000-0005-0000-0000-0000C72C0000}"/>
    <cellStyle name="Comma 2 2 5 3 5 2 5 2" xfId="31731" xr:uid="{00000000-0005-0000-0000-0000C82C0000}"/>
    <cellStyle name="Comma 2 2 5 3 5 2 6" xfId="10900" xr:uid="{00000000-0005-0000-0000-0000C92C0000}"/>
    <cellStyle name="Comma 2 2 5 3 5 2 6 2" xfId="34179" xr:uid="{00000000-0005-0000-0000-0000CA2C0000}"/>
    <cellStyle name="Comma 2 2 5 3 5 2 7" xfId="13348" xr:uid="{00000000-0005-0000-0000-0000CB2C0000}"/>
    <cellStyle name="Comma 2 2 5 3 5 2 7 2" xfId="36627" xr:uid="{00000000-0005-0000-0000-0000CC2C0000}"/>
    <cellStyle name="Comma 2 2 5 3 5 2 8" xfId="15819" xr:uid="{00000000-0005-0000-0000-0000CD2C0000}"/>
    <cellStyle name="Comma 2 2 5 3 5 2 8 2" xfId="39097" xr:uid="{00000000-0005-0000-0000-0000CE2C0000}"/>
    <cellStyle name="Comma 2 2 5 3 5 2 9" xfId="24387" xr:uid="{00000000-0005-0000-0000-0000CF2C0000}"/>
    <cellStyle name="Comma 2 2 5 3 5 3" xfId="1720" xr:uid="{00000000-0005-0000-0000-0000D02C0000}"/>
    <cellStyle name="Comma 2 2 5 3 5 3 10" xfId="22551" xr:uid="{00000000-0005-0000-0000-0000D12C0000}"/>
    <cellStyle name="Comma 2 2 5 3 5 3 2" xfId="4168" xr:uid="{00000000-0005-0000-0000-0000D22C0000}"/>
    <cellStyle name="Comma 2 2 5 3 5 3 2 2" xfId="20103" xr:uid="{00000000-0005-0000-0000-0000D32C0000}"/>
    <cellStyle name="Comma 2 2 5 3 5 3 2 2 2" xfId="43381" xr:uid="{00000000-0005-0000-0000-0000D42C0000}"/>
    <cellStyle name="Comma 2 2 5 3 5 3 2 3" xfId="48277" xr:uid="{00000000-0005-0000-0000-0000D52C0000}"/>
    <cellStyle name="Comma 2 2 5 3 5 3 2 4" xfId="27447" xr:uid="{00000000-0005-0000-0000-0000D62C0000}"/>
    <cellStyle name="Comma 2 2 5 3 5 3 3" xfId="6616" xr:uid="{00000000-0005-0000-0000-0000D72C0000}"/>
    <cellStyle name="Comma 2 2 5 3 5 3 3 2" xfId="29895" xr:uid="{00000000-0005-0000-0000-0000D82C0000}"/>
    <cellStyle name="Comma 2 2 5 3 5 3 4" xfId="9064" xr:uid="{00000000-0005-0000-0000-0000D92C0000}"/>
    <cellStyle name="Comma 2 2 5 3 5 3 4 2" xfId="32343" xr:uid="{00000000-0005-0000-0000-0000DA2C0000}"/>
    <cellStyle name="Comma 2 2 5 3 5 3 5" xfId="11512" xr:uid="{00000000-0005-0000-0000-0000DB2C0000}"/>
    <cellStyle name="Comma 2 2 5 3 5 3 5 2" xfId="34791" xr:uid="{00000000-0005-0000-0000-0000DC2C0000}"/>
    <cellStyle name="Comma 2 2 5 3 5 3 6" xfId="13960" xr:uid="{00000000-0005-0000-0000-0000DD2C0000}"/>
    <cellStyle name="Comma 2 2 5 3 5 3 6 2" xfId="37239" xr:uid="{00000000-0005-0000-0000-0000DE2C0000}"/>
    <cellStyle name="Comma 2 2 5 3 5 3 7" xfId="17655" xr:uid="{00000000-0005-0000-0000-0000DF2C0000}"/>
    <cellStyle name="Comma 2 2 5 3 5 3 7 2" xfId="40933" xr:uid="{00000000-0005-0000-0000-0000E02C0000}"/>
    <cellStyle name="Comma 2 2 5 3 5 3 8" xfId="24999" xr:uid="{00000000-0005-0000-0000-0000E12C0000}"/>
    <cellStyle name="Comma 2 2 5 3 5 3 9" xfId="45829" xr:uid="{00000000-0005-0000-0000-0000E22C0000}"/>
    <cellStyle name="Comma 2 2 5 3 5 4" xfId="2944" xr:uid="{00000000-0005-0000-0000-0000E32C0000}"/>
    <cellStyle name="Comma 2 2 5 3 5 4 2" xfId="16431" xr:uid="{00000000-0005-0000-0000-0000E42C0000}"/>
    <cellStyle name="Comma 2 2 5 3 5 4 2 2" xfId="39709" xr:uid="{00000000-0005-0000-0000-0000E52C0000}"/>
    <cellStyle name="Comma 2 2 5 3 5 4 3" xfId="47053" xr:uid="{00000000-0005-0000-0000-0000E62C0000}"/>
    <cellStyle name="Comma 2 2 5 3 5 4 4" xfId="26223" xr:uid="{00000000-0005-0000-0000-0000E72C0000}"/>
    <cellStyle name="Comma 2 2 5 3 5 5" xfId="5392" xr:uid="{00000000-0005-0000-0000-0000E82C0000}"/>
    <cellStyle name="Comma 2 2 5 3 5 5 2" xfId="18879" xr:uid="{00000000-0005-0000-0000-0000E92C0000}"/>
    <cellStyle name="Comma 2 2 5 3 5 5 2 2" xfId="42157" xr:uid="{00000000-0005-0000-0000-0000EA2C0000}"/>
    <cellStyle name="Comma 2 2 5 3 5 5 3" xfId="28671" xr:uid="{00000000-0005-0000-0000-0000EB2C0000}"/>
    <cellStyle name="Comma 2 2 5 3 5 6" xfId="7840" xr:uid="{00000000-0005-0000-0000-0000EC2C0000}"/>
    <cellStyle name="Comma 2 2 5 3 5 6 2" xfId="31119" xr:uid="{00000000-0005-0000-0000-0000ED2C0000}"/>
    <cellStyle name="Comma 2 2 5 3 5 7" xfId="10288" xr:uid="{00000000-0005-0000-0000-0000EE2C0000}"/>
    <cellStyle name="Comma 2 2 5 3 5 7 2" xfId="33567" xr:uid="{00000000-0005-0000-0000-0000EF2C0000}"/>
    <cellStyle name="Comma 2 2 5 3 5 8" xfId="12736" xr:uid="{00000000-0005-0000-0000-0000F02C0000}"/>
    <cellStyle name="Comma 2 2 5 3 5 8 2" xfId="36015" xr:uid="{00000000-0005-0000-0000-0000F12C0000}"/>
    <cellStyle name="Comma 2 2 5 3 5 9" xfId="15207" xr:uid="{00000000-0005-0000-0000-0000F22C0000}"/>
    <cellStyle name="Comma 2 2 5 3 5 9 2" xfId="38485" xr:uid="{00000000-0005-0000-0000-0000F32C0000}"/>
    <cellStyle name="Comma 2 2 5 3 6" xfId="700" xr:uid="{00000000-0005-0000-0000-0000F42C0000}"/>
    <cellStyle name="Comma 2 2 5 3 6 10" xfId="44809" xr:uid="{00000000-0005-0000-0000-0000F52C0000}"/>
    <cellStyle name="Comma 2 2 5 3 6 11" xfId="21531" xr:uid="{00000000-0005-0000-0000-0000F62C0000}"/>
    <cellStyle name="Comma 2 2 5 3 6 2" xfId="1924" xr:uid="{00000000-0005-0000-0000-0000F72C0000}"/>
    <cellStyle name="Comma 2 2 5 3 6 2 10" xfId="22755" xr:uid="{00000000-0005-0000-0000-0000F82C0000}"/>
    <cellStyle name="Comma 2 2 5 3 6 2 2" xfId="4372" xr:uid="{00000000-0005-0000-0000-0000F92C0000}"/>
    <cellStyle name="Comma 2 2 5 3 6 2 2 2" xfId="20307" xr:uid="{00000000-0005-0000-0000-0000FA2C0000}"/>
    <cellStyle name="Comma 2 2 5 3 6 2 2 2 2" xfId="43585" xr:uid="{00000000-0005-0000-0000-0000FB2C0000}"/>
    <cellStyle name="Comma 2 2 5 3 6 2 2 3" xfId="48481" xr:uid="{00000000-0005-0000-0000-0000FC2C0000}"/>
    <cellStyle name="Comma 2 2 5 3 6 2 2 4" xfId="27651" xr:uid="{00000000-0005-0000-0000-0000FD2C0000}"/>
    <cellStyle name="Comma 2 2 5 3 6 2 3" xfId="6820" xr:uid="{00000000-0005-0000-0000-0000FE2C0000}"/>
    <cellStyle name="Comma 2 2 5 3 6 2 3 2" xfId="30099" xr:uid="{00000000-0005-0000-0000-0000FF2C0000}"/>
    <cellStyle name="Comma 2 2 5 3 6 2 4" xfId="9268" xr:uid="{00000000-0005-0000-0000-0000002D0000}"/>
    <cellStyle name="Comma 2 2 5 3 6 2 4 2" xfId="32547" xr:uid="{00000000-0005-0000-0000-0000012D0000}"/>
    <cellStyle name="Comma 2 2 5 3 6 2 5" xfId="11716" xr:uid="{00000000-0005-0000-0000-0000022D0000}"/>
    <cellStyle name="Comma 2 2 5 3 6 2 5 2" xfId="34995" xr:uid="{00000000-0005-0000-0000-0000032D0000}"/>
    <cellStyle name="Comma 2 2 5 3 6 2 6" xfId="14164" xr:uid="{00000000-0005-0000-0000-0000042D0000}"/>
    <cellStyle name="Comma 2 2 5 3 6 2 6 2" xfId="37443" xr:uid="{00000000-0005-0000-0000-0000052D0000}"/>
    <cellStyle name="Comma 2 2 5 3 6 2 7" xfId="17859" xr:uid="{00000000-0005-0000-0000-0000062D0000}"/>
    <cellStyle name="Comma 2 2 5 3 6 2 7 2" xfId="41137" xr:uid="{00000000-0005-0000-0000-0000072D0000}"/>
    <cellStyle name="Comma 2 2 5 3 6 2 8" xfId="25203" xr:uid="{00000000-0005-0000-0000-0000082D0000}"/>
    <cellStyle name="Comma 2 2 5 3 6 2 9" xfId="46033" xr:uid="{00000000-0005-0000-0000-0000092D0000}"/>
    <cellStyle name="Comma 2 2 5 3 6 3" xfId="3148" xr:uid="{00000000-0005-0000-0000-00000A2D0000}"/>
    <cellStyle name="Comma 2 2 5 3 6 3 2" xfId="16635" xr:uid="{00000000-0005-0000-0000-00000B2D0000}"/>
    <cellStyle name="Comma 2 2 5 3 6 3 2 2" xfId="39913" xr:uid="{00000000-0005-0000-0000-00000C2D0000}"/>
    <cellStyle name="Comma 2 2 5 3 6 3 3" xfId="47257" xr:uid="{00000000-0005-0000-0000-00000D2D0000}"/>
    <cellStyle name="Comma 2 2 5 3 6 3 4" xfId="26427" xr:uid="{00000000-0005-0000-0000-00000E2D0000}"/>
    <cellStyle name="Comma 2 2 5 3 6 4" xfId="5596" xr:uid="{00000000-0005-0000-0000-00000F2D0000}"/>
    <cellStyle name="Comma 2 2 5 3 6 4 2" xfId="19083" xr:uid="{00000000-0005-0000-0000-0000102D0000}"/>
    <cellStyle name="Comma 2 2 5 3 6 4 2 2" xfId="42361" xr:uid="{00000000-0005-0000-0000-0000112D0000}"/>
    <cellStyle name="Comma 2 2 5 3 6 4 3" xfId="28875" xr:uid="{00000000-0005-0000-0000-0000122D0000}"/>
    <cellStyle name="Comma 2 2 5 3 6 5" xfId="8044" xr:uid="{00000000-0005-0000-0000-0000132D0000}"/>
    <cellStyle name="Comma 2 2 5 3 6 5 2" xfId="31323" xr:uid="{00000000-0005-0000-0000-0000142D0000}"/>
    <cellStyle name="Comma 2 2 5 3 6 6" xfId="10492" xr:uid="{00000000-0005-0000-0000-0000152D0000}"/>
    <cellStyle name="Comma 2 2 5 3 6 6 2" xfId="33771" xr:uid="{00000000-0005-0000-0000-0000162D0000}"/>
    <cellStyle name="Comma 2 2 5 3 6 7" xfId="12940" xr:uid="{00000000-0005-0000-0000-0000172D0000}"/>
    <cellStyle name="Comma 2 2 5 3 6 7 2" xfId="36219" xr:uid="{00000000-0005-0000-0000-0000182D0000}"/>
    <cellStyle name="Comma 2 2 5 3 6 8" xfId="15411" xr:uid="{00000000-0005-0000-0000-0000192D0000}"/>
    <cellStyle name="Comma 2 2 5 3 6 8 2" xfId="38689" xr:uid="{00000000-0005-0000-0000-00001A2D0000}"/>
    <cellStyle name="Comma 2 2 5 3 6 9" xfId="23979" xr:uid="{00000000-0005-0000-0000-00001B2D0000}"/>
    <cellStyle name="Comma 2 2 5 3 7" xfId="1312" xr:uid="{00000000-0005-0000-0000-00001C2D0000}"/>
    <cellStyle name="Comma 2 2 5 3 7 10" xfId="22143" xr:uid="{00000000-0005-0000-0000-00001D2D0000}"/>
    <cellStyle name="Comma 2 2 5 3 7 2" xfId="3760" xr:uid="{00000000-0005-0000-0000-00001E2D0000}"/>
    <cellStyle name="Comma 2 2 5 3 7 2 2" xfId="19695" xr:uid="{00000000-0005-0000-0000-00001F2D0000}"/>
    <cellStyle name="Comma 2 2 5 3 7 2 2 2" xfId="42973" xr:uid="{00000000-0005-0000-0000-0000202D0000}"/>
    <cellStyle name="Comma 2 2 5 3 7 2 3" xfId="47869" xr:uid="{00000000-0005-0000-0000-0000212D0000}"/>
    <cellStyle name="Comma 2 2 5 3 7 2 4" xfId="27039" xr:uid="{00000000-0005-0000-0000-0000222D0000}"/>
    <cellStyle name="Comma 2 2 5 3 7 3" xfId="6208" xr:uid="{00000000-0005-0000-0000-0000232D0000}"/>
    <cellStyle name="Comma 2 2 5 3 7 3 2" xfId="29487" xr:uid="{00000000-0005-0000-0000-0000242D0000}"/>
    <cellStyle name="Comma 2 2 5 3 7 4" xfId="8656" xr:uid="{00000000-0005-0000-0000-0000252D0000}"/>
    <cellStyle name="Comma 2 2 5 3 7 4 2" xfId="31935" xr:uid="{00000000-0005-0000-0000-0000262D0000}"/>
    <cellStyle name="Comma 2 2 5 3 7 5" xfId="11104" xr:uid="{00000000-0005-0000-0000-0000272D0000}"/>
    <cellStyle name="Comma 2 2 5 3 7 5 2" xfId="34383" xr:uid="{00000000-0005-0000-0000-0000282D0000}"/>
    <cellStyle name="Comma 2 2 5 3 7 6" xfId="13552" xr:uid="{00000000-0005-0000-0000-0000292D0000}"/>
    <cellStyle name="Comma 2 2 5 3 7 6 2" xfId="36831" xr:uid="{00000000-0005-0000-0000-00002A2D0000}"/>
    <cellStyle name="Comma 2 2 5 3 7 7" xfId="17247" xr:uid="{00000000-0005-0000-0000-00002B2D0000}"/>
    <cellStyle name="Comma 2 2 5 3 7 7 2" xfId="40525" xr:uid="{00000000-0005-0000-0000-00002C2D0000}"/>
    <cellStyle name="Comma 2 2 5 3 7 8" xfId="24591" xr:uid="{00000000-0005-0000-0000-00002D2D0000}"/>
    <cellStyle name="Comma 2 2 5 3 7 9" xfId="45421" xr:uid="{00000000-0005-0000-0000-00002E2D0000}"/>
    <cellStyle name="Comma 2 2 5 3 8" xfId="2536" xr:uid="{00000000-0005-0000-0000-00002F2D0000}"/>
    <cellStyle name="Comma 2 2 5 3 8 2" xfId="16023" xr:uid="{00000000-0005-0000-0000-0000302D0000}"/>
    <cellStyle name="Comma 2 2 5 3 8 2 2" xfId="39301" xr:uid="{00000000-0005-0000-0000-0000312D0000}"/>
    <cellStyle name="Comma 2 2 5 3 8 3" xfId="46645" xr:uid="{00000000-0005-0000-0000-0000322D0000}"/>
    <cellStyle name="Comma 2 2 5 3 8 4" xfId="25815" xr:uid="{00000000-0005-0000-0000-0000332D0000}"/>
    <cellStyle name="Comma 2 2 5 3 9" xfId="4984" xr:uid="{00000000-0005-0000-0000-0000342D0000}"/>
    <cellStyle name="Comma 2 2 5 3 9 2" xfId="18471" xr:uid="{00000000-0005-0000-0000-0000352D0000}"/>
    <cellStyle name="Comma 2 2 5 3 9 2 2" xfId="41749" xr:uid="{00000000-0005-0000-0000-0000362D0000}"/>
    <cellStyle name="Comma 2 2 5 3 9 3" xfId="28263" xr:uid="{00000000-0005-0000-0000-0000372D0000}"/>
    <cellStyle name="Comma 2 2 5 4" xfId="105" xr:uid="{00000000-0005-0000-0000-0000382D0000}"/>
    <cellStyle name="Comma 2 2 5 4 10" xfId="7449" xr:uid="{00000000-0005-0000-0000-0000392D0000}"/>
    <cellStyle name="Comma 2 2 5 4 10 2" xfId="30728" xr:uid="{00000000-0005-0000-0000-00003A2D0000}"/>
    <cellStyle name="Comma 2 2 5 4 11" xfId="9897" xr:uid="{00000000-0005-0000-0000-00003B2D0000}"/>
    <cellStyle name="Comma 2 2 5 4 11 2" xfId="33176" xr:uid="{00000000-0005-0000-0000-00003C2D0000}"/>
    <cellStyle name="Comma 2 2 5 4 12" xfId="12345" xr:uid="{00000000-0005-0000-0000-00003D2D0000}"/>
    <cellStyle name="Comma 2 2 5 4 12 2" xfId="35624" xr:uid="{00000000-0005-0000-0000-00003E2D0000}"/>
    <cellStyle name="Comma 2 2 5 4 13" xfId="14816" xr:uid="{00000000-0005-0000-0000-00003F2D0000}"/>
    <cellStyle name="Comma 2 2 5 4 13 2" xfId="38094" xr:uid="{00000000-0005-0000-0000-0000402D0000}"/>
    <cellStyle name="Comma 2 2 5 4 14" xfId="23384" xr:uid="{00000000-0005-0000-0000-0000412D0000}"/>
    <cellStyle name="Comma 2 2 5 4 15" xfId="44214" xr:uid="{00000000-0005-0000-0000-0000422D0000}"/>
    <cellStyle name="Comma 2 2 5 4 16" xfId="20936" xr:uid="{00000000-0005-0000-0000-0000432D0000}"/>
    <cellStyle name="Comma 2 2 5 4 2" xfId="173" xr:uid="{00000000-0005-0000-0000-0000442D0000}"/>
    <cellStyle name="Comma 2 2 5 4 2 10" xfId="12413" xr:uid="{00000000-0005-0000-0000-0000452D0000}"/>
    <cellStyle name="Comma 2 2 5 4 2 10 2" xfId="35692" xr:uid="{00000000-0005-0000-0000-0000462D0000}"/>
    <cellStyle name="Comma 2 2 5 4 2 11" xfId="14884" xr:uid="{00000000-0005-0000-0000-0000472D0000}"/>
    <cellStyle name="Comma 2 2 5 4 2 11 2" xfId="38162" xr:uid="{00000000-0005-0000-0000-0000482D0000}"/>
    <cellStyle name="Comma 2 2 5 4 2 12" xfId="23452" xr:uid="{00000000-0005-0000-0000-0000492D0000}"/>
    <cellStyle name="Comma 2 2 5 4 2 13" xfId="44282" xr:uid="{00000000-0005-0000-0000-00004A2D0000}"/>
    <cellStyle name="Comma 2 2 5 4 2 14" xfId="21004" xr:uid="{00000000-0005-0000-0000-00004B2D0000}"/>
    <cellStyle name="Comma 2 2 5 4 2 2" xfId="377" xr:uid="{00000000-0005-0000-0000-00004C2D0000}"/>
    <cellStyle name="Comma 2 2 5 4 2 2 10" xfId="23656" xr:uid="{00000000-0005-0000-0000-00004D2D0000}"/>
    <cellStyle name="Comma 2 2 5 4 2 2 11" xfId="44486" xr:uid="{00000000-0005-0000-0000-00004E2D0000}"/>
    <cellStyle name="Comma 2 2 5 4 2 2 12" xfId="21208" xr:uid="{00000000-0005-0000-0000-00004F2D0000}"/>
    <cellStyle name="Comma 2 2 5 4 2 2 2" xfId="989" xr:uid="{00000000-0005-0000-0000-0000502D0000}"/>
    <cellStyle name="Comma 2 2 5 4 2 2 2 10" xfId="45098" xr:uid="{00000000-0005-0000-0000-0000512D0000}"/>
    <cellStyle name="Comma 2 2 5 4 2 2 2 11" xfId="21820" xr:uid="{00000000-0005-0000-0000-0000522D0000}"/>
    <cellStyle name="Comma 2 2 5 4 2 2 2 2" xfId="2213" xr:uid="{00000000-0005-0000-0000-0000532D0000}"/>
    <cellStyle name="Comma 2 2 5 4 2 2 2 2 10" xfId="23044" xr:uid="{00000000-0005-0000-0000-0000542D0000}"/>
    <cellStyle name="Comma 2 2 5 4 2 2 2 2 2" xfId="4661" xr:uid="{00000000-0005-0000-0000-0000552D0000}"/>
    <cellStyle name="Comma 2 2 5 4 2 2 2 2 2 2" xfId="20596" xr:uid="{00000000-0005-0000-0000-0000562D0000}"/>
    <cellStyle name="Comma 2 2 5 4 2 2 2 2 2 2 2" xfId="43874" xr:uid="{00000000-0005-0000-0000-0000572D0000}"/>
    <cellStyle name="Comma 2 2 5 4 2 2 2 2 2 3" xfId="48770" xr:uid="{00000000-0005-0000-0000-0000582D0000}"/>
    <cellStyle name="Comma 2 2 5 4 2 2 2 2 2 4" xfId="27940" xr:uid="{00000000-0005-0000-0000-0000592D0000}"/>
    <cellStyle name="Comma 2 2 5 4 2 2 2 2 3" xfId="7109" xr:uid="{00000000-0005-0000-0000-00005A2D0000}"/>
    <cellStyle name="Comma 2 2 5 4 2 2 2 2 3 2" xfId="30388" xr:uid="{00000000-0005-0000-0000-00005B2D0000}"/>
    <cellStyle name="Comma 2 2 5 4 2 2 2 2 4" xfId="9557" xr:uid="{00000000-0005-0000-0000-00005C2D0000}"/>
    <cellStyle name="Comma 2 2 5 4 2 2 2 2 4 2" xfId="32836" xr:uid="{00000000-0005-0000-0000-00005D2D0000}"/>
    <cellStyle name="Comma 2 2 5 4 2 2 2 2 5" xfId="12005" xr:uid="{00000000-0005-0000-0000-00005E2D0000}"/>
    <cellStyle name="Comma 2 2 5 4 2 2 2 2 5 2" xfId="35284" xr:uid="{00000000-0005-0000-0000-00005F2D0000}"/>
    <cellStyle name="Comma 2 2 5 4 2 2 2 2 6" xfId="14453" xr:uid="{00000000-0005-0000-0000-0000602D0000}"/>
    <cellStyle name="Comma 2 2 5 4 2 2 2 2 6 2" xfId="37732" xr:uid="{00000000-0005-0000-0000-0000612D0000}"/>
    <cellStyle name="Comma 2 2 5 4 2 2 2 2 7" xfId="18148" xr:uid="{00000000-0005-0000-0000-0000622D0000}"/>
    <cellStyle name="Comma 2 2 5 4 2 2 2 2 7 2" xfId="41426" xr:uid="{00000000-0005-0000-0000-0000632D0000}"/>
    <cellStyle name="Comma 2 2 5 4 2 2 2 2 8" xfId="25492" xr:uid="{00000000-0005-0000-0000-0000642D0000}"/>
    <cellStyle name="Comma 2 2 5 4 2 2 2 2 9" xfId="46322" xr:uid="{00000000-0005-0000-0000-0000652D0000}"/>
    <cellStyle name="Comma 2 2 5 4 2 2 2 3" xfId="3437" xr:uid="{00000000-0005-0000-0000-0000662D0000}"/>
    <cellStyle name="Comma 2 2 5 4 2 2 2 3 2" xfId="16924" xr:uid="{00000000-0005-0000-0000-0000672D0000}"/>
    <cellStyle name="Comma 2 2 5 4 2 2 2 3 2 2" xfId="40202" xr:uid="{00000000-0005-0000-0000-0000682D0000}"/>
    <cellStyle name="Comma 2 2 5 4 2 2 2 3 3" xfId="47546" xr:uid="{00000000-0005-0000-0000-0000692D0000}"/>
    <cellStyle name="Comma 2 2 5 4 2 2 2 3 4" xfId="26716" xr:uid="{00000000-0005-0000-0000-00006A2D0000}"/>
    <cellStyle name="Comma 2 2 5 4 2 2 2 4" xfId="5885" xr:uid="{00000000-0005-0000-0000-00006B2D0000}"/>
    <cellStyle name="Comma 2 2 5 4 2 2 2 4 2" xfId="19372" xr:uid="{00000000-0005-0000-0000-00006C2D0000}"/>
    <cellStyle name="Comma 2 2 5 4 2 2 2 4 2 2" xfId="42650" xr:uid="{00000000-0005-0000-0000-00006D2D0000}"/>
    <cellStyle name="Comma 2 2 5 4 2 2 2 4 3" xfId="29164" xr:uid="{00000000-0005-0000-0000-00006E2D0000}"/>
    <cellStyle name="Comma 2 2 5 4 2 2 2 5" xfId="8333" xr:uid="{00000000-0005-0000-0000-00006F2D0000}"/>
    <cellStyle name="Comma 2 2 5 4 2 2 2 5 2" xfId="31612" xr:uid="{00000000-0005-0000-0000-0000702D0000}"/>
    <cellStyle name="Comma 2 2 5 4 2 2 2 6" xfId="10781" xr:uid="{00000000-0005-0000-0000-0000712D0000}"/>
    <cellStyle name="Comma 2 2 5 4 2 2 2 6 2" xfId="34060" xr:uid="{00000000-0005-0000-0000-0000722D0000}"/>
    <cellStyle name="Comma 2 2 5 4 2 2 2 7" xfId="13229" xr:uid="{00000000-0005-0000-0000-0000732D0000}"/>
    <cellStyle name="Comma 2 2 5 4 2 2 2 7 2" xfId="36508" xr:uid="{00000000-0005-0000-0000-0000742D0000}"/>
    <cellStyle name="Comma 2 2 5 4 2 2 2 8" xfId="15700" xr:uid="{00000000-0005-0000-0000-0000752D0000}"/>
    <cellStyle name="Comma 2 2 5 4 2 2 2 8 2" xfId="38978" xr:uid="{00000000-0005-0000-0000-0000762D0000}"/>
    <cellStyle name="Comma 2 2 5 4 2 2 2 9" xfId="24268" xr:uid="{00000000-0005-0000-0000-0000772D0000}"/>
    <cellStyle name="Comma 2 2 5 4 2 2 3" xfId="1601" xr:uid="{00000000-0005-0000-0000-0000782D0000}"/>
    <cellStyle name="Comma 2 2 5 4 2 2 3 10" xfId="22432" xr:uid="{00000000-0005-0000-0000-0000792D0000}"/>
    <cellStyle name="Comma 2 2 5 4 2 2 3 2" xfId="4049" xr:uid="{00000000-0005-0000-0000-00007A2D0000}"/>
    <cellStyle name="Comma 2 2 5 4 2 2 3 2 2" xfId="19984" xr:uid="{00000000-0005-0000-0000-00007B2D0000}"/>
    <cellStyle name="Comma 2 2 5 4 2 2 3 2 2 2" xfId="43262" xr:uid="{00000000-0005-0000-0000-00007C2D0000}"/>
    <cellStyle name="Comma 2 2 5 4 2 2 3 2 3" xfId="48158" xr:uid="{00000000-0005-0000-0000-00007D2D0000}"/>
    <cellStyle name="Comma 2 2 5 4 2 2 3 2 4" xfId="27328" xr:uid="{00000000-0005-0000-0000-00007E2D0000}"/>
    <cellStyle name="Comma 2 2 5 4 2 2 3 3" xfId="6497" xr:uid="{00000000-0005-0000-0000-00007F2D0000}"/>
    <cellStyle name="Comma 2 2 5 4 2 2 3 3 2" xfId="29776" xr:uid="{00000000-0005-0000-0000-0000802D0000}"/>
    <cellStyle name="Comma 2 2 5 4 2 2 3 4" xfId="8945" xr:uid="{00000000-0005-0000-0000-0000812D0000}"/>
    <cellStyle name="Comma 2 2 5 4 2 2 3 4 2" xfId="32224" xr:uid="{00000000-0005-0000-0000-0000822D0000}"/>
    <cellStyle name="Comma 2 2 5 4 2 2 3 5" xfId="11393" xr:uid="{00000000-0005-0000-0000-0000832D0000}"/>
    <cellStyle name="Comma 2 2 5 4 2 2 3 5 2" xfId="34672" xr:uid="{00000000-0005-0000-0000-0000842D0000}"/>
    <cellStyle name="Comma 2 2 5 4 2 2 3 6" xfId="13841" xr:uid="{00000000-0005-0000-0000-0000852D0000}"/>
    <cellStyle name="Comma 2 2 5 4 2 2 3 6 2" xfId="37120" xr:uid="{00000000-0005-0000-0000-0000862D0000}"/>
    <cellStyle name="Comma 2 2 5 4 2 2 3 7" xfId="17536" xr:uid="{00000000-0005-0000-0000-0000872D0000}"/>
    <cellStyle name="Comma 2 2 5 4 2 2 3 7 2" xfId="40814" xr:uid="{00000000-0005-0000-0000-0000882D0000}"/>
    <cellStyle name="Comma 2 2 5 4 2 2 3 8" xfId="24880" xr:uid="{00000000-0005-0000-0000-0000892D0000}"/>
    <cellStyle name="Comma 2 2 5 4 2 2 3 9" xfId="45710" xr:uid="{00000000-0005-0000-0000-00008A2D0000}"/>
    <cellStyle name="Comma 2 2 5 4 2 2 4" xfId="2825" xr:uid="{00000000-0005-0000-0000-00008B2D0000}"/>
    <cellStyle name="Comma 2 2 5 4 2 2 4 2" xfId="16312" xr:uid="{00000000-0005-0000-0000-00008C2D0000}"/>
    <cellStyle name="Comma 2 2 5 4 2 2 4 2 2" xfId="39590" xr:uid="{00000000-0005-0000-0000-00008D2D0000}"/>
    <cellStyle name="Comma 2 2 5 4 2 2 4 3" xfId="46934" xr:uid="{00000000-0005-0000-0000-00008E2D0000}"/>
    <cellStyle name="Comma 2 2 5 4 2 2 4 4" xfId="26104" xr:uid="{00000000-0005-0000-0000-00008F2D0000}"/>
    <cellStyle name="Comma 2 2 5 4 2 2 5" xfId="5273" xr:uid="{00000000-0005-0000-0000-0000902D0000}"/>
    <cellStyle name="Comma 2 2 5 4 2 2 5 2" xfId="18760" xr:uid="{00000000-0005-0000-0000-0000912D0000}"/>
    <cellStyle name="Comma 2 2 5 4 2 2 5 2 2" xfId="42038" xr:uid="{00000000-0005-0000-0000-0000922D0000}"/>
    <cellStyle name="Comma 2 2 5 4 2 2 5 3" xfId="28552" xr:uid="{00000000-0005-0000-0000-0000932D0000}"/>
    <cellStyle name="Comma 2 2 5 4 2 2 6" xfId="7721" xr:uid="{00000000-0005-0000-0000-0000942D0000}"/>
    <cellStyle name="Comma 2 2 5 4 2 2 6 2" xfId="31000" xr:uid="{00000000-0005-0000-0000-0000952D0000}"/>
    <cellStyle name="Comma 2 2 5 4 2 2 7" xfId="10169" xr:uid="{00000000-0005-0000-0000-0000962D0000}"/>
    <cellStyle name="Comma 2 2 5 4 2 2 7 2" xfId="33448" xr:uid="{00000000-0005-0000-0000-0000972D0000}"/>
    <cellStyle name="Comma 2 2 5 4 2 2 8" xfId="12617" xr:uid="{00000000-0005-0000-0000-0000982D0000}"/>
    <cellStyle name="Comma 2 2 5 4 2 2 8 2" xfId="35896" xr:uid="{00000000-0005-0000-0000-0000992D0000}"/>
    <cellStyle name="Comma 2 2 5 4 2 2 9" xfId="15088" xr:uid="{00000000-0005-0000-0000-00009A2D0000}"/>
    <cellStyle name="Comma 2 2 5 4 2 2 9 2" xfId="38366" xr:uid="{00000000-0005-0000-0000-00009B2D0000}"/>
    <cellStyle name="Comma 2 2 5 4 2 3" xfId="581" xr:uid="{00000000-0005-0000-0000-00009C2D0000}"/>
    <cellStyle name="Comma 2 2 5 4 2 3 10" xfId="23860" xr:uid="{00000000-0005-0000-0000-00009D2D0000}"/>
    <cellStyle name="Comma 2 2 5 4 2 3 11" xfId="44690" xr:uid="{00000000-0005-0000-0000-00009E2D0000}"/>
    <cellStyle name="Comma 2 2 5 4 2 3 12" xfId="21412" xr:uid="{00000000-0005-0000-0000-00009F2D0000}"/>
    <cellStyle name="Comma 2 2 5 4 2 3 2" xfId="1193" xr:uid="{00000000-0005-0000-0000-0000A02D0000}"/>
    <cellStyle name="Comma 2 2 5 4 2 3 2 10" xfId="45302" xr:uid="{00000000-0005-0000-0000-0000A12D0000}"/>
    <cellStyle name="Comma 2 2 5 4 2 3 2 11" xfId="22024" xr:uid="{00000000-0005-0000-0000-0000A22D0000}"/>
    <cellStyle name="Comma 2 2 5 4 2 3 2 2" xfId="2417" xr:uid="{00000000-0005-0000-0000-0000A32D0000}"/>
    <cellStyle name="Comma 2 2 5 4 2 3 2 2 10" xfId="23248" xr:uid="{00000000-0005-0000-0000-0000A42D0000}"/>
    <cellStyle name="Comma 2 2 5 4 2 3 2 2 2" xfId="4865" xr:uid="{00000000-0005-0000-0000-0000A52D0000}"/>
    <cellStyle name="Comma 2 2 5 4 2 3 2 2 2 2" xfId="20800" xr:uid="{00000000-0005-0000-0000-0000A62D0000}"/>
    <cellStyle name="Comma 2 2 5 4 2 3 2 2 2 2 2" xfId="44078" xr:uid="{00000000-0005-0000-0000-0000A72D0000}"/>
    <cellStyle name="Comma 2 2 5 4 2 3 2 2 2 3" xfId="48974" xr:uid="{00000000-0005-0000-0000-0000A82D0000}"/>
    <cellStyle name="Comma 2 2 5 4 2 3 2 2 2 4" xfId="28144" xr:uid="{00000000-0005-0000-0000-0000A92D0000}"/>
    <cellStyle name="Comma 2 2 5 4 2 3 2 2 3" xfId="7313" xr:uid="{00000000-0005-0000-0000-0000AA2D0000}"/>
    <cellStyle name="Comma 2 2 5 4 2 3 2 2 3 2" xfId="30592" xr:uid="{00000000-0005-0000-0000-0000AB2D0000}"/>
    <cellStyle name="Comma 2 2 5 4 2 3 2 2 4" xfId="9761" xr:uid="{00000000-0005-0000-0000-0000AC2D0000}"/>
    <cellStyle name="Comma 2 2 5 4 2 3 2 2 4 2" xfId="33040" xr:uid="{00000000-0005-0000-0000-0000AD2D0000}"/>
    <cellStyle name="Comma 2 2 5 4 2 3 2 2 5" xfId="12209" xr:uid="{00000000-0005-0000-0000-0000AE2D0000}"/>
    <cellStyle name="Comma 2 2 5 4 2 3 2 2 5 2" xfId="35488" xr:uid="{00000000-0005-0000-0000-0000AF2D0000}"/>
    <cellStyle name="Comma 2 2 5 4 2 3 2 2 6" xfId="14657" xr:uid="{00000000-0005-0000-0000-0000B02D0000}"/>
    <cellStyle name="Comma 2 2 5 4 2 3 2 2 6 2" xfId="37936" xr:uid="{00000000-0005-0000-0000-0000B12D0000}"/>
    <cellStyle name="Comma 2 2 5 4 2 3 2 2 7" xfId="18352" xr:uid="{00000000-0005-0000-0000-0000B22D0000}"/>
    <cellStyle name="Comma 2 2 5 4 2 3 2 2 7 2" xfId="41630" xr:uid="{00000000-0005-0000-0000-0000B32D0000}"/>
    <cellStyle name="Comma 2 2 5 4 2 3 2 2 8" xfId="25696" xr:uid="{00000000-0005-0000-0000-0000B42D0000}"/>
    <cellStyle name="Comma 2 2 5 4 2 3 2 2 9" xfId="46526" xr:uid="{00000000-0005-0000-0000-0000B52D0000}"/>
    <cellStyle name="Comma 2 2 5 4 2 3 2 3" xfId="3641" xr:uid="{00000000-0005-0000-0000-0000B62D0000}"/>
    <cellStyle name="Comma 2 2 5 4 2 3 2 3 2" xfId="17128" xr:uid="{00000000-0005-0000-0000-0000B72D0000}"/>
    <cellStyle name="Comma 2 2 5 4 2 3 2 3 2 2" xfId="40406" xr:uid="{00000000-0005-0000-0000-0000B82D0000}"/>
    <cellStyle name="Comma 2 2 5 4 2 3 2 3 3" xfId="47750" xr:uid="{00000000-0005-0000-0000-0000B92D0000}"/>
    <cellStyle name="Comma 2 2 5 4 2 3 2 3 4" xfId="26920" xr:uid="{00000000-0005-0000-0000-0000BA2D0000}"/>
    <cellStyle name="Comma 2 2 5 4 2 3 2 4" xfId="6089" xr:uid="{00000000-0005-0000-0000-0000BB2D0000}"/>
    <cellStyle name="Comma 2 2 5 4 2 3 2 4 2" xfId="19576" xr:uid="{00000000-0005-0000-0000-0000BC2D0000}"/>
    <cellStyle name="Comma 2 2 5 4 2 3 2 4 2 2" xfId="42854" xr:uid="{00000000-0005-0000-0000-0000BD2D0000}"/>
    <cellStyle name="Comma 2 2 5 4 2 3 2 4 3" xfId="29368" xr:uid="{00000000-0005-0000-0000-0000BE2D0000}"/>
    <cellStyle name="Comma 2 2 5 4 2 3 2 5" xfId="8537" xr:uid="{00000000-0005-0000-0000-0000BF2D0000}"/>
    <cellStyle name="Comma 2 2 5 4 2 3 2 5 2" xfId="31816" xr:uid="{00000000-0005-0000-0000-0000C02D0000}"/>
    <cellStyle name="Comma 2 2 5 4 2 3 2 6" xfId="10985" xr:uid="{00000000-0005-0000-0000-0000C12D0000}"/>
    <cellStyle name="Comma 2 2 5 4 2 3 2 6 2" xfId="34264" xr:uid="{00000000-0005-0000-0000-0000C22D0000}"/>
    <cellStyle name="Comma 2 2 5 4 2 3 2 7" xfId="13433" xr:uid="{00000000-0005-0000-0000-0000C32D0000}"/>
    <cellStyle name="Comma 2 2 5 4 2 3 2 7 2" xfId="36712" xr:uid="{00000000-0005-0000-0000-0000C42D0000}"/>
    <cellStyle name="Comma 2 2 5 4 2 3 2 8" xfId="15904" xr:uid="{00000000-0005-0000-0000-0000C52D0000}"/>
    <cellStyle name="Comma 2 2 5 4 2 3 2 8 2" xfId="39182" xr:uid="{00000000-0005-0000-0000-0000C62D0000}"/>
    <cellStyle name="Comma 2 2 5 4 2 3 2 9" xfId="24472" xr:uid="{00000000-0005-0000-0000-0000C72D0000}"/>
    <cellStyle name="Comma 2 2 5 4 2 3 3" xfId="1805" xr:uid="{00000000-0005-0000-0000-0000C82D0000}"/>
    <cellStyle name="Comma 2 2 5 4 2 3 3 10" xfId="22636" xr:uid="{00000000-0005-0000-0000-0000C92D0000}"/>
    <cellStyle name="Comma 2 2 5 4 2 3 3 2" xfId="4253" xr:uid="{00000000-0005-0000-0000-0000CA2D0000}"/>
    <cellStyle name="Comma 2 2 5 4 2 3 3 2 2" xfId="20188" xr:uid="{00000000-0005-0000-0000-0000CB2D0000}"/>
    <cellStyle name="Comma 2 2 5 4 2 3 3 2 2 2" xfId="43466" xr:uid="{00000000-0005-0000-0000-0000CC2D0000}"/>
    <cellStyle name="Comma 2 2 5 4 2 3 3 2 3" xfId="48362" xr:uid="{00000000-0005-0000-0000-0000CD2D0000}"/>
    <cellStyle name="Comma 2 2 5 4 2 3 3 2 4" xfId="27532" xr:uid="{00000000-0005-0000-0000-0000CE2D0000}"/>
    <cellStyle name="Comma 2 2 5 4 2 3 3 3" xfId="6701" xr:uid="{00000000-0005-0000-0000-0000CF2D0000}"/>
    <cellStyle name="Comma 2 2 5 4 2 3 3 3 2" xfId="29980" xr:uid="{00000000-0005-0000-0000-0000D02D0000}"/>
    <cellStyle name="Comma 2 2 5 4 2 3 3 4" xfId="9149" xr:uid="{00000000-0005-0000-0000-0000D12D0000}"/>
    <cellStyle name="Comma 2 2 5 4 2 3 3 4 2" xfId="32428" xr:uid="{00000000-0005-0000-0000-0000D22D0000}"/>
    <cellStyle name="Comma 2 2 5 4 2 3 3 5" xfId="11597" xr:uid="{00000000-0005-0000-0000-0000D32D0000}"/>
    <cellStyle name="Comma 2 2 5 4 2 3 3 5 2" xfId="34876" xr:uid="{00000000-0005-0000-0000-0000D42D0000}"/>
    <cellStyle name="Comma 2 2 5 4 2 3 3 6" xfId="14045" xr:uid="{00000000-0005-0000-0000-0000D52D0000}"/>
    <cellStyle name="Comma 2 2 5 4 2 3 3 6 2" xfId="37324" xr:uid="{00000000-0005-0000-0000-0000D62D0000}"/>
    <cellStyle name="Comma 2 2 5 4 2 3 3 7" xfId="17740" xr:uid="{00000000-0005-0000-0000-0000D72D0000}"/>
    <cellStyle name="Comma 2 2 5 4 2 3 3 7 2" xfId="41018" xr:uid="{00000000-0005-0000-0000-0000D82D0000}"/>
    <cellStyle name="Comma 2 2 5 4 2 3 3 8" xfId="25084" xr:uid="{00000000-0005-0000-0000-0000D92D0000}"/>
    <cellStyle name="Comma 2 2 5 4 2 3 3 9" xfId="45914" xr:uid="{00000000-0005-0000-0000-0000DA2D0000}"/>
    <cellStyle name="Comma 2 2 5 4 2 3 4" xfId="3029" xr:uid="{00000000-0005-0000-0000-0000DB2D0000}"/>
    <cellStyle name="Comma 2 2 5 4 2 3 4 2" xfId="16516" xr:uid="{00000000-0005-0000-0000-0000DC2D0000}"/>
    <cellStyle name="Comma 2 2 5 4 2 3 4 2 2" xfId="39794" xr:uid="{00000000-0005-0000-0000-0000DD2D0000}"/>
    <cellStyle name="Comma 2 2 5 4 2 3 4 3" xfId="47138" xr:uid="{00000000-0005-0000-0000-0000DE2D0000}"/>
    <cellStyle name="Comma 2 2 5 4 2 3 4 4" xfId="26308" xr:uid="{00000000-0005-0000-0000-0000DF2D0000}"/>
    <cellStyle name="Comma 2 2 5 4 2 3 5" xfId="5477" xr:uid="{00000000-0005-0000-0000-0000E02D0000}"/>
    <cellStyle name="Comma 2 2 5 4 2 3 5 2" xfId="18964" xr:uid="{00000000-0005-0000-0000-0000E12D0000}"/>
    <cellStyle name="Comma 2 2 5 4 2 3 5 2 2" xfId="42242" xr:uid="{00000000-0005-0000-0000-0000E22D0000}"/>
    <cellStyle name="Comma 2 2 5 4 2 3 5 3" xfId="28756" xr:uid="{00000000-0005-0000-0000-0000E32D0000}"/>
    <cellStyle name="Comma 2 2 5 4 2 3 6" xfId="7925" xr:uid="{00000000-0005-0000-0000-0000E42D0000}"/>
    <cellStyle name="Comma 2 2 5 4 2 3 6 2" xfId="31204" xr:uid="{00000000-0005-0000-0000-0000E52D0000}"/>
    <cellStyle name="Comma 2 2 5 4 2 3 7" xfId="10373" xr:uid="{00000000-0005-0000-0000-0000E62D0000}"/>
    <cellStyle name="Comma 2 2 5 4 2 3 7 2" xfId="33652" xr:uid="{00000000-0005-0000-0000-0000E72D0000}"/>
    <cellStyle name="Comma 2 2 5 4 2 3 8" xfId="12821" xr:uid="{00000000-0005-0000-0000-0000E82D0000}"/>
    <cellStyle name="Comma 2 2 5 4 2 3 8 2" xfId="36100" xr:uid="{00000000-0005-0000-0000-0000E92D0000}"/>
    <cellStyle name="Comma 2 2 5 4 2 3 9" xfId="15292" xr:uid="{00000000-0005-0000-0000-0000EA2D0000}"/>
    <cellStyle name="Comma 2 2 5 4 2 3 9 2" xfId="38570" xr:uid="{00000000-0005-0000-0000-0000EB2D0000}"/>
    <cellStyle name="Comma 2 2 5 4 2 4" xfId="785" xr:uid="{00000000-0005-0000-0000-0000EC2D0000}"/>
    <cellStyle name="Comma 2 2 5 4 2 4 10" xfId="44894" xr:uid="{00000000-0005-0000-0000-0000ED2D0000}"/>
    <cellStyle name="Comma 2 2 5 4 2 4 11" xfId="21616" xr:uid="{00000000-0005-0000-0000-0000EE2D0000}"/>
    <cellStyle name="Comma 2 2 5 4 2 4 2" xfId="2009" xr:uid="{00000000-0005-0000-0000-0000EF2D0000}"/>
    <cellStyle name="Comma 2 2 5 4 2 4 2 10" xfId="22840" xr:uid="{00000000-0005-0000-0000-0000F02D0000}"/>
    <cellStyle name="Comma 2 2 5 4 2 4 2 2" xfId="4457" xr:uid="{00000000-0005-0000-0000-0000F12D0000}"/>
    <cellStyle name="Comma 2 2 5 4 2 4 2 2 2" xfId="20392" xr:uid="{00000000-0005-0000-0000-0000F22D0000}"/>
    <cellStyle name="Comma 2 2 5 4 2 4 2 2 2 2" xfId="43670" xr:uid="{00000000-0005-0000-0000-0000F32D0000}"/>
    <cellStyle name="Comma 2 2 5 4 2 4 2 2 3" xfId="48566" xr:uid="{00000000-0005-0000-0000-0000F42D0000}"/>
    <cellStyle name="Comma 2 2 5 4 2 4 2 2 4" xfId="27736" xr:uid="{00000000-0005-0000-0000-0000F52D0000}"/>
    <cellStyle name="Comma 2 2 5 4 2 4 2 3" xfId="6905" xr:uid="{00000000-0005-0000-0000-0000F62D0000}"/>
    <cellStyle name="Comma 2 2 5 4 2 4 2 3 2" xfId="30184" xr:uid="{00000000-0005-0000-0000-0000F72D0000}"/>
    <cellStyle name="Comma 2 2 5 4 2 4 2 4" xfId="9353" xr:uid="{00000000-0005-0000-0000-0000F82D0000}"/>
    <cellStyle name="Comma 2 2 5 4 2 4 2 4 2" xfId="32632" xr:uid="{00000000-0005-0000-0000-0000F92D0000}"/>
    <cellStyle name="Comma 2 2 5 4 2 4 2 5" xfId="11801" xr:uid="{00000000-0005-0000-0000-0000FA2D0000}"/>
    <cellStyle name="Comma 2 2 5 4 2 4 2 5 2" xfId="35080" xr:uid="{00000000-0005-0000-0000-0000FB2D0000}"/>
    <cellStyle name="Comma 2 2 5 4 2 4 2 6" xfId="14249" xr:uid="{00000000-0005-0000-0000-0000FC2D0000}"/>
    <cellStyle name="Comma 2 2 5 4 2 4 2 6 2" xfId="37528" xr:uid="{00000000-0005-0000-0000-0000FD2D0000}"/>
    <cellStyle name="Comma 2 2 5 4 2 4 2 7" xfId="17944" xr:uid="{00000000-0005-0000-0000-0000FE2D0000}"/>
    <cellStyle name="Comma 2 2 5 4 2 4 2 7 2" xfId="41222" xr:uid="{00000000-0005-0000-0000-0000FF2D0000}"/>
    <cellStyle name="Comma 2 2 5 4 2 4 2 8" xfId="25288" xr:uid="{00000000-0005-0000-0000-0000002E0000}"/>
    <cellStyle name="Comma 2 2 5 4 2 4 2 9" xfId="46118" xr:uid="{00000000-0005-0000-0000-0000012E0000}"/>
    <cellStyle name="Comma 2 2 5 4 2 4 3" xfId="3233" xr:uid="{00000000-0005-0000-0000-0000022E0000}"/>
    <cellStyle name="Comma 2 2 5 4 2 4 3 2" xfId="16720" xr:uid="{00000000-0005-0000-0000-0000032E0000}"/>
    <cellStyle name="Comma 2 2 5 4 2 4 3 2 2" xfId="39998" xr:uid="{00000000-0005-0000-0000-0000042E0000}"/>
    <cellStyle name="Comma 2 2 5 4 2 4 3 3" xfId="47342" xr:uid="{00000000-0005-0000-0000-0000052E0000}"/>
    <cellStyle name="Comma 2 2 5 4 2 4 3 4" xfId="26512" xr:uid="{00000000-0005-0000-0000-0000062E0000}"/>
    <cellStyle name="Comma 2 2 5 4 2 4 4" xfId="5681" xr:uid="{00000000-0005-0000-0000-0000072E0000}"/>
    <cellStyle name="Comma 2 2 5 4 2 4 4 2" xfId="19168" xr:uid="{00000000-0005-0000-0000-0000082E0000}"/>
    <cellStyle name="Comma 2 2 5 4 2 4 4 2 2" xfId="42446" xr:uid="{00000000-0005-0000-0000-0000092E0000}"/>
    <cellStyle name="Comma 2 2 5 4 2 4 4 3" xfId="28960" xr:uid="{00000000-0005-0000-0000-00000A2E0000}"/>
    <cellStyle name="Comma 2 2 5 4 2 4 5" xfId="8129" xr:uid="{00000000-0005-0000-0000-00000B2E0000}"/>
    <cellStyle name="Comma 2 2 5 4 2 4 5 2" xfId="31408" xr:uid="{00000000-0005-0000-0000-00000C2E0000}"/>
    <cellStyle name="Comma 2 2 5 4 2 4 6" xfId="10577" xr:uid="{00000000-0005-0000-0000-00000D2E0000}"/>
    <cellStyle name="Comma 2 2 5 4 2 4 6 2" xfId="33856" xr:uid="{00000000-0005-0000-0000-00000E2E0000}"/>
    <cellStyle name="Comma 2 2 5 4 2 4 7" xfId="13025" xr:uid="{00000000-0005-0000-0000-00000F2E0000}"/>
    <cellStyle name="Comma 2 2 5 4 2 4 7 2" xfId="36304" xr:uid="{00000000-0005-0000-0000-0000102E0000}"/>
    <cellStyle name="Comma 2 2 5 4 2 4 8" xfId="15496" xr:uid="{00000000-0005-0000-0000-0000112E0000}"/>
    <cellStyle name="Comma 2 2 5 4 2 4 8 2" xfId="38774" xr:uid="{00000000-0005-0000-0000-0000122E0000}"/>
    <cellStyle name="Comma 2 2 5 4 2 4 9" xfId="24064" xr:uid="{00000000-0005-0000-0000-0000132E0000}"/>
    <cellStyle name="Comma 2 2 5 4 2 5" xfId="1397" xr:uid="{00000000-0005-0000-0000-0000142E0000}"/>
    <cellStyle name="Comma 2 2 5 4 2 5 10" xfId="22228" xr:uid="{00000000-0005-0000-0000-0000152E0000}"/>
    <cellStyle name="Comma 2 2 5 4 2 5 2" xfId="3845" xr:uid="{00000000-0005-0000-0000-0000162E0000}"/>
    <cellStyle name="Comma 2 2 5 4 2 5 2 2" xfId="19780" xr:uid="{00000000-0005-0000-0000-0000172E0000}"/>
    <cellStyle name="Comma 2 2 5 4 2 5 2 2 2" xfId="43058" xr:uid="{00000000-0005-0000-0000-0000182E0000}"/>
    <cellStyle name="Comma 2 2 5 4 2 5 2 3" xfId="47954" xr:uid="{00000000-0005-0000-0000-0000192E0000}"/>
    <cellStyle name="Comma 2 2 5 4 2 5 2 4" xfId="27124" xr:uid="{00000000-0005-0000-0000-00001A2E0000}"/>
    <cellStyle name="Comma 2 2 5 4 2 5 3" xfId="6293" xr:uid="{00000000-0005-0000-0000-00001B2E0000}"/>
    <cellStyle name="Comma 2 2 5 4 2 5 3 2" xfId="29572" xr:uid="{00000000-0005-0000-0000-00001C2E0000}"/>
    <cellStyle name="Comma 2 2 5 4 2 5 4" xfId="8741" xr:uid="{00000000-0005-0000-0000-00001D2E0000}"/>
    <cellStyle name="Comma 2 2 5 4 2 5 4 2" xfId="32020" xr:uid="{00000000-0005-0000-0000-00001E2E0000}"/>
    <cellStyle name="Comma 2 2 5 4 2 5 5" xfId="11189" xr:uid="{00000000-0005-0000-0000-00001F2E0000}"/>
    <cellStyle name="Comma 2 2 5 4 2 5 5 2" xfId="34468" xr:uid="{00000000-0005-0000-0000-0000202E0000}"/>
    <cellStyle name="Comma 2 2 5 4 2 5 6" xfId="13637" xr:uid="{00000000-0005-0000-0000-0000212E0000}"/>
    <cellStyle name="Comma 2 2 5 4 2 5 6 2" xfId="36916" xr:uid="{00000000-0005-0000-0000-0000222E0000}"/>
    <cellStyle name="Comma 2 2 5 4 2 5 7" xfId="17332" xr:uid="{00000000-0005-0000-0000-0000232E0000}"/>
    <cellStyle name="Comma 2 2 5 4 2 5 7 2" xfId="40610" xr:uid="{00000000-0005-0000-0000-0000242E0000}"/>
    <cellStyle name="Comma 2 2 5 4 2 5 8" xfId="24676" xr:uid="{00000000-0005-0000-0000-0000252E0000}"/>
    <cellStyle name="Comma 2 2 5 4 2 5 9" xfId="45506" xr:uid="{00000000-0005-0000-0000-0000262E0000}"/>
    <cellStyle name="Comma 2 2 5 4 2 6" xfId="2621" xr:uid="{00000000-0005-0000-0000-0000272E0000}"/>
    <cellStyle name="Comma 2 2 5 4 2 6 2" xfId="16108" xr:uid="{00000000-0005-0000-0000-0000282E0000}"/>
    <cellStyle name="Comma 2 2 5 4 2 6 2 2" xfId="39386" xr:uid="{00000000-0005-0000-0000-0000292E0000}"/>
    <cellStyle name="Comma 2 2 5 4 2 6 3" xfId="46730" xr:uid="{00000000-0005-0000-0000-00002A2E0000}"/>
    <cellStyle name="Comma 2 2 5 4 2 6 4" xfId="25900" xr:uid="{00000000-0005-0000-0000-00002B2E0000}"/>
    <cellStyle name="Comma 2 2 5 4 2 7" xfId="5069" xr:uid="{00000000-0005-0000-0000-00002C2E0000}"/>
    <cellStyle name="Comma 2 2 5 4 2 7 2" xfId="18556" xr:uid="{00000000-0005-0000-0000-00002D2E0000}"/>
    <cellStyle name="Comma 2 2 5 4 2 7 2 2" xfId="41834" xr:uid="{00000000-0005-0000-0000-00002E2E0000}"/>
    <cellStyle name="Comma 2 2 5 4 2 7 3" xfId="28348" xr:uid="{00000000-0005-0000-0000-00002F2E0000}"/>
    <cellStyle name="Comma 2 2 5 4 2 8" xfId="7517" xr:uid="{00000000-0005-0000-0000-0000302E0000}"/>
    <cellStyle name="Comma 2 2 5 4 2 8 2" xfId="30796" xr:uid="{00000000-0005-0000-0000-0000312E0000}"/>
    <cellStyle name="Comma 2 2 5 4 2 9" xfId="9965" xr:uid="{00000000-0005-0000-0000-0000322E0000}"/>
    <cellStyle name="Comma 2 2 5 4 2 9 2" xfId="33244" xr:uid="{00000000-0005-0000-0000-0000332E0000}"/>
    <cellStyle name="Comma 2 2 5 4 3" xfId="241" xr:uid="{00000000-0005-0000-0000-0000342E0000}"/>
    <cellStyle name="Comma 2 2 5 4 3 10" xfId="12481" xr:uid="{00000000-0005-0000-0000-0000352E0000}"/>
    <cellStyle name="Comma 2 2 5 4 3 10 2" xfId="35760" xr:uid="{00000000-0005-0000-0000-0000362E0000}"/>
    <cellStyle name="Comma 2 2 5 4 3 11" xfId="14952" xr:uid="{00000000-0005-0000-0000-0000372E0000}"/>
    <cellStyle name="Comma 2 2 5 4 3 11 2" xfId="38230" xr:uid="{00000000-0005-0000-0000-0000382E0000}"/>
    <cellStyle name="Comma 2 2 5 4 3 12" xfId="23520" xr:uid="{00000000-0005-0000-0000-0000392E0000}"/>
    <cellStyle name="Comma 2 2 5 4 3 13" xfId="44350" xr:uid="{00000000-0005-0000-0000-00003A2E0000}"/>
    <cellStyle name="Comma 2 2 5 4 3 14" xfId="21072" xr:uid="{00000000-0005-0000-0000-00003B2E0000}"/>
    <cellStyle name="Comma 2 2 5 4 3 2" xfId="445" xr:uid="{00000000-0005-0000-0000-00003C2E0000}"/>
    <cellStyle name="Comma 2 2 5 4 3 2 10" xfId="23724" xr:uid="{00000000-0005-0000-0000-00003D2E0000}"/>
    <cellStyle name="Comma 2 2 5 4 3 2 11" xfId="44554" xr:uid="{00000000-0005-0000-0000-00003E2E0000}"/>
    <cellStyle name="Comma 2 2 5 4 3 2 12" xfId="21276" xr:uid="{00000000-0005-0000-0000-00003F2E0000}"/>
    <cellStyle name="Comma 2 2 5 4 3 2 2" xfId="1057" xr:uid="{00000000-0005-0000-0000-0000402E0000}"/>
    <cellStyle name="Comma 2 2 5 4 3 2 2 10" xfId="45166" xr:uid="{00000000-0005-0000-0000-0000412E0000}"/>
    <cellStyle name="Comma 2 2 5 4 3 2 2 11" xfId="21888" xr:uid="{00000000-0005-0000-0000-0000422E0000}"/>
    <cellStyle name="Comma 2 2 5 4 3 2 2 2" xfId="2281" xr:uid="{00000000-0005-0000-0000-0000432E0000}"/>
    <cellStyle name="Comma 2 2 5 4 3 2 2 2 10" xfId="23112" xr:uid="{00000000-0005-0000-0000-0000442E0000}"/>
    <cellStyle name="Comma 2 2 5 4 3 2 2 2 2" xfId="4729" xr:uid="{00000000-0005-0000-0000-0000452E0000}"/>
    <cellStyle name="Comma 2 2 5 4 3 2 2 2 2 2" xfId="20664" xr:uid="{00000000-0005-0000-0000-0000462E0000}"/>
    <cellStyle name="Comma 2 2 5 4 3 2 2 2 2 2 2" xfId="43942" xr:uid="{00000000-0005-0000-0000-0000472E0000}"/>
    <cellStyle name="Comma 2 2 5 4 3 2 2 2 2 3" xfId="48838" xr:uid="{00000000-0005-0000-0000-0000482E0000}"/>
    <cellStyle name="Comma 2 2 5 4 3 2 2 2 2 4" xfId="28008" xr:uid="{00000000-0005-0000-0000-0000492E0000}"/>
    <cellStyle name="Comma 2 2 5 4 3 2 2 2 3" xfId="7177" xr:uid="{00000000-0005-0000-0000-00004A2E0000}"/>
    <cellStyle name="Comma 2 2 5 4 3 2 2 2 3 2" xfId="30456" xr:uid="{00000000-0005-0000-0000-00004B2E0000}"/>
    <cellStyle name="Comma 2 2 5 4 3 2 2 2 4" xfId="9625" xr:uid="{00000000-0005-0000-0000-00004C2E0000}"/>
    <cellStyle name="Comma 2 2 5 4 3 2 2 2 4 2" xfId="32904" xr:uid="{00000000-0005-0000-0000-00004D2E0000}"/>
    <cellStyle name="Comma 2 2 5 4 3 2 2 2 5" xfId="12073" xr:uid="{00000000-0005-0000-0000-00004E2E0000}"/>
    <cellStyle name="Comma 2 2 5 4 3 2 2 2 5 2" xfId="35352" xr:uid="{00000000-0005-0000-0000-00004F2E0000}"/>
    <cellStyle name="Comma 2 2 5 4 3 2 2 2 6" xfId="14521" xr:uid="{00000000-0005-0000-0000-0000502E0000}"/>
    <cellStyle name="Comma 2 2 5 4 3 2 2 2 6 2" xfId="37800" xr:uid="{00000000-0005-0000-0000-0000512E0000}"/>
    <cellStyle name="Comma 2 2 5 4 3 2 2 2 7" xfId="18216" xr:uid="{00000000-0005-0000-0000-0000522E0000}"/>
    <cellStyle name="Comma 2 2 5 4 3 2 2 2 7 2" xfId="41494" xr:uid="{00000000-0005-0000-0000-0000532E0000}"/>
    <cellStyle name="Comma 2 2 5 4 3 2 2 2 8" xfId="25560" xr:uid="{00000000-0005-0000-0000-0000542E0000}"/>
    <cellStyle name="Comma 2 2 5 4 3 2 2 2 9" xfId="46390" xr:uid="{00000000-0005-0000-0000-0000552E0000}"/>
    <cellStyle name="Comma 2 2 5 4 3 2 2 3" xfId="3505" xr:uid="{00000000-0005-0000-0000-0000562E0000}"/>
    <cellStyle name="Comma 2 2 5 4 3 2 2 3 2" xfId="16992" xr:uid="{00000000-0005-0000-0000-0000572E0000}"/>
    <cellStyle name="Comma 2 2 5 4 3 2 2 3 2 2" xfId="40270" xr:uid="{00000000-0005-0000-0000-0000582E0000}"/>
    <cellStyle name="Comma 2 2 5 4 3 2 2 3 3" xfId="47614" xr:uid="{00000000-0005-0000-0000-0000592E0000}"/>
    <cellStyle name="Comma 2 2 5 4 3 2 2 3 4" xfId="26784" xr:uid="{00000000-0005-0000-0000-00005A2E0000}"/>
    <cellStyle name="Comma 2 2 5 4 3 2 2 4" xfId="5953" xr:uid="{00000000-0005-0000-0000-00005B2E0000}"/>
    <cellStyle name="Comma 2 2 5 4 3 2 2 4 2" xfId="19440" xr:uid="{00000000-0005-0000-0000-00005C2E0000}"/>
    <cellStyle name="Comma 2 2 5 4 3 2 2 4 2 2" xfId="42718" xr:uid="{00000000-0005-0000-0000-00005D2E0000}"/>
    <cellStyle name="Comma 2 2 5 4 3 2 2 4 3" xfId="29232" xr:uid="{00000000-0005-0000-0000-00005E2E0000}"/>
    <cellStyle name="Comma 2 2 5 4 3 2 2 5" xfId="8401" xr:uid="{00000000-0005-0000-0000-00005F2E0000}"/>
    <cellStyle name="Comma 2 2 5 4 3 2 2 5 2" xfId="31680" xr:uid="{00000000-0005-0000-0000-0000602E0000}"/>
    <cellStyle name="Comma 2 2 5 4 3 2 2 6" xfId="10849" xr:uid="{00000000-0005-0000-0000-0000612E0000}"/>
    <cellStyle name="Comma 2 2 5 4 3 2 2 6 2" xfId="34128" xr:uid="{00000000-0005-0000-0000-0000622E0000}"/>
    <cellStyle name="Comma 2 2 5 4 3 2 2 7" xfId="13297" xr:uid="{00000000-0005-0000-0000-0000632E0000}"/>
    <cellStyle name="Comma 2 2 5 4 3 2 2 7 2" xfId="36576" xr:uid="{00000000-0005-0000-0000-0000642E0000}"/>
    <cellStyle name="Comma 2 2 5 4 3 2 2 8" xfId="15768" xr:uid="{00000000-0005-0000-0000-0000652E0000}"/>
    <cellStyle name="Comma 2 2 5 4 3 2 2 8 2" xfId="39046" xr:uid="{00000000-0005-0000-0000-0000662E0000}"/>
    <cellStyle name="Comma 2 2 5 4 3 2 2 9" xfId="24336" xr:uid="{00000000-0005-0000-0000-0000672E0000}"/>
    <cellStyle name="Comma 2 2 5 4 3 2 3" xfId="1669" xr:uid="{00000000-0005-0000-0000-0000682E0000}"/>
    <cellStyle name="Comma 2 2 5 4 3 2 3 10" xfId="22500" xr:uid="{00000000-0005-0000-0000-0000692E0000}"/>
    <cellStyle name="Comma 2 2 5 4 3 2 3 2" xfId="4117" xr:uid="{00000000-0005-0000-0000-00006A2E0000}"/>
    <cellStyle name="Comma 2 2 5 4 3 2 3 2 2" xfId="20052" xr:uid="{00000000-0005-0000-0000-00006B2E0000}"/>
    <cellStyle name="Comma 2 2 5 4 3 2 3 2 2 2" xfId="43330" xr:uid="{00000000-0005-0000-0000-00006C2E0000}"/>
    <cellStyle name="Comma 2 2 5 4 3 2 3 2 3" xfId="48226" xr:uid="{00000000-0005-0000-0000-00006D2E0000}"/>
    <cellStyle name="Comma 2 2 5 4 3 2 3 2 4" xfId="27396" xr:uid="{00000000-0005-0000-0000-00006E2E0000}"/>
    <cellStyle name="Comma 2 2 5 4 3 2 3 3" xfId="6565" xr:uid="{00000000-0005-0000-0000-00006F2E0000}"/>
    <cellStyle name="Comma 2 2 5 4 3 2 3 3 2" xfId="29844" xr:uid="{00000000-0005-0000-0000-0000702E0000}"/>
    <cellStyle name="Comma 2 2 5 4 3 2 3 4" xfId="9013" xr:uid="{00000000-0005-0000-0000-0000712E0000}"/>
    <cellStyle name="Comma 2 2 5 4 3 2 3 4 2" xfId="32292" xr:uid="{00000000-0005-0000-0000-0000722E0000}"/>
    <cellStyle name="Comma 2 2 5 4 3 2 3 5" xfId="11461" xr:uid="{00000000-0005-0000-0000-0000732E0000}"/>
    <cellStyle name="Comma 2 2 5 4 3 2 3 5 2" xfId="34740" xr:uid="{00000000-0005-0000-0000-0000742E0000}"/>
    <cellStyle name="Comma 2 2 5 4 3 2 3 6" xfId="13909" xr:uid="{00000000-0005-0000-0000-0000752E0000}"/>
    <cellStyle name="Comma 2 2 5 4 3 2 3 6 2" xfId="37188" xr:uid="{00000000-0005-0000-0000-0000762E0000}"/>
    <cellStyle name="Comma 2 2 5 4 3 2 3 7" xfId="17604" xr:uid="{00000000-0005-0000-0000-0000772E0000}"/>
    <cellStyle name="Comma 2 2 5 4 3 2 3 7 2" xfId="40882" xr:uid="{00000000-0005-0000-0000-0000782E0000}"/>
    <cellStyle name="Comma 2 2 5 4 3 2 3 8" xfId="24948" xr:uid="{00000000-0005-0000-0000-0000792E0000}"/>
    <cellStyle name="Comma 2 2 5 4 3 2 3 9" xfId="45778" xr:uid="{00000000-0005-0000-0000-00007A2E0000}"/>
    <cellStyle name="Comma 2 2 5 4 3 2 4" xfId="2893" xr:uid="{00000000-0005-0000-0000-00007B2E0000}"/>
    <cellStyle name="Comma 2 2 5 4 3 2 4 2" xfId="16380" xr:uid="{00000000-0005-0000-0000-00007C2E0000}"/>
    <cellStyle name="Comma 2 2 5 4 3 2 4 2 2" xfId="39658" xr:uid="{00000000-0005-0000-0000-00007D2E0000}"/>
    <cellStyle name="Comma 2 2 5 4 3 2 4 3" xfId="47002" xr:uid="{00000000-0005-0000-0000-00007E2E0000}"/>
    <cellStyle name="Comma 2 2 5 4 3 2 4 4" xfId="26172" xr:uid="{00000000-0005-0000-0000-00007F2E0000}"/>
    <cellStyle name="Comma 2 2 5 4 3 2 5" xfId="5341" xr:uid="{00000000-0005-0000-0000-0000802E0000}"/>
    <cellStyle name="Comma 2 2 5 4 3 2 5 2" xfId="18828" xr:uid="{00000000-0005-0000-0000-0000812E0000}"/>
    <cellStyle name="Comma 2 2 5 4 3 2 5 2 2" xfId="42106" xr:uid="{00000000-0005-0000-0000-0000822E0000}"/>
    <cellStyle name="Comma 2 2 5 4 3 2 5 3" xfId="28620" xr:uid="{00000000-0005-0000-0000-0000832E0000}"/>
    <cellStyle name="Comma 2 2 5 4 3 2 6" xfId="7789" xr:uid="{00000000-0005-0000-0000-0000842E0000}"/>
    <cellStyle name="Comma 2 2 5 4 3 2 6 2" xfId="31068" xr:uid="{00000000-0005-0000-0000-0000852E0000}"/>
    <cellStyle name="Comma 2 2 5 4 3 2 7" xfId="10237" xr:uid="{00000000-0005-0000-0000-0000862E0000}"/>
    <cellStyle name="Comma 2 2 5 4 3 2 7 2" xfId="33516" xr:uid="{00000000-0005-0000-0000-0000872E0000}"/>
    <cellStyle name="Comma 2 2 5 4 3 2 8" xfId="12685" xr:uid="{00000000-0005-0000-0000-0000882E0000}"/>
    <cellStyle name="Comma 2 2 5 4 3 2 8 2" xfId="35964" xr:uid="{00000000-0005-0000-0000-0000892E0000}"/>
    <cellStyle name="Comma 2 2 5 4 3 2 9" xfId="15156" xr:uid="{00000000-0005-0000-0000-00008A2E0000}"/>
    <cellStyle name="Comma 2 2 5 4 3 2 9 2" xfId="38434" xr:uid="{00000000-0005-0000-0000-00008B2E0000}"/>
    <cellStyle name="Comma 2 2 5 4 3 3" xfId="649" xr:uid="{00000000-0005-0000-0000-00008C2E0000}"/>
    <cellStyle name="Comma 2 2 5 4 3 3 10" xfId="23928" xr:uid="{00000000-0005-0000-0000-00008D2E0000}"/>
    <cellStyle name="Comma 2 2 5 4 3 3 11" xfId="44758" xr:uid="{00000000-0005-0000-0000-00008E2E0000}"/>
    <cellStyle name="Comma 2 2 5 4 3 3 12" xfId="21480" xr:uid="{00000000-0005-0000-0000-00008F2E0000}"/>
    <cellStyle name="Comma 2 2 5 4 3 3 2" xfId="1261" xr:uid="{00000000-0005-0000-0000-0000902E0000}"/>
    <cellStyle name="Comma 2 2 5 4 3 3 2 10" xfId="45370" xr:uid="{00000000-0005-0000-0000-0000912E0000}"/>
    <cellStyle name="Comma 2 2 5 4 3 3 2 11" xfId="22092" xr:uid="{00000000-0005-0000-0000-0000922E0000}"/>
    <cellStyle name="Comma 2 2 5 4 3 3 2 2" xfId="2485" xr:uid="{00000000-0005-0000-0000-0000932E0000}"/>
    <cellStyle name="Comma 2 2 5 4 3 3 2 2 10" xfId="23316" xr:uid="{00000000-0005-0000-0000-0000942E0000}"/>
    <cellStyle name="Comma 2 2 5 4 3 3 2 2 2" xfId="4933" xr:uid="{00000000-0005-0000-0000-0000952E0000}"/>
    <cellStyle name="Comma 2 2 5 4 3 3 2 2 2 2" xfId="20868" xr:uid="{00000000-0005-0000-0000-0000962E0000}"/>
    <cellStyle name="Comma 2 2 5 4 3 3 2 2 2 2 2" xfId="44146" xr:uid="{00000000-0005-0000-0000-0000972E0000}"/>
    <cellStyle name="Comma 2 2 5 4 3 3 2 2 2 3" xfId="49042" xr:uid="{00000000-0005-0000-0000-0000982E0000}"/>
    <cellStyle name="Comma 2 2 5 4 3 3 2 2 2 4" xfId="28212" xr:uid="{00000000-0005-0000-0000-0000992E0000}"/>
    <cellStyle name="Comma 2 2 5 4 3 3 2 2 3" xfId="7381" xr:uid="{00000000-0005-0000-0000-00009A2E0000}"/>
    <cellStyle name="Comma 2 2 5 4 3 3 2 2 3 2" xfId="30660" xr:uid="{00000000-0005-0000-0000-00009B2E0000}"/>
    <cellStyle name="Comma 2 2 5 4 3 3 2 2 4" xfId="9829" xr:uid="{00000000-0005-0000-0000-00009C2E0000}"/>
    <cellStyle name="Comma 2 2 5 4 3 3 2 2 4 2" xfId="33108" xr:uid="{00000000-0005-0000-0000-00009D2E0000}"/>
    <cellStyle name="Comma 2 2 5 4 3 3 2 2 5" xfId="12277" xr:uid="{00000000-0005-0000-0000-00009E2E0000}"/>
    <cellStyle name="Comma 2 2 5 4 3 3 2 2 5 2" xfId="35556" xr:uid="{00000000-0005-0000-0000-00009F2E0000}"/>
    <cellStyle name="Comma 2 2 5 4 3 3 2 2 6" xfId="14725" xr:uid="{00000000-0005-0000-0000-0000A02E0000}"/>
    <cellStyle name="Comma 2 2 5 4 3 3 2 2 6 2" xfId="38004" xr:uid="{00000000-0005-0000-0000-0000A12E0000}"/>
    <cellStyle name="Comma 2 2 5 4 3 3 2 2 7" xfId="18420" xr:uid="{00000000-0005-0000-0000-0000A22E0000}"/>
    <cellStyle name="Comma 2 2 5 4 3 3 2 2 7 2" xfId="41698" xr:uid="{00000000-0005-0000-0000-0000A32E0000}"/>
    <cellStyle name="Comma 2 2 5 4 3 3 2 2 8" xfId="25764" xr:uid="{00000000-0005-0000-0000-0000A42E0000}"/>
    <cellStyle name="Comma 2 2 5 4 3 3 2 2 9" xfId="46594" xr:uid="{00000000-0005-0000-0000-0000A52E0000}"/>
    <cellStyle name="Comma 2 2 5 4 3 3 2 3" xfId="3709" xr:uid="{00000000-0005-0000-0000-0000A62E0000}"/>
    <cellStyle name="Comma 2 2 5 4 3 3 2 3 2" xfId="17196" xr:uid="{00000000-0005-0000-0000-0000A72E0000}"/>
    <cellStyle name="Comma 2 2 5 4 3 3 2 3 2 2" xfId="40474" xr:uid="{00000000-0005-0000-0000-0000A82E0000}"/>
    <cellStyle name="Comma 2 2 5 4 3 3 2 3 3" xfId="47818" xr:uid="{00000000-0005-0000-0000-0000A92E0000}"/>
    <cellStyle name="Comma 2 2 5 4 3 3 2 3 4" xfId="26988" xr:uid="{00000000-0005-0000-0000-0000AA2E0000}"/>
    <cellStyle name="Comma 2 2 5 4 3 3 2 4" xfId="6157" xr:uid="{00000000-0005-0000-0000-0000AB2E0000}"/>
    <cellStyle name="Comma 2 2 5 4 3 3 2 4 2" xfId="19644" xr:uid="{00000000-0005-0000-0000-0000AC2E0000}"/>
    <cellStyle name="Comma 2 2 5 4 3 3 2 4 2 2" xfId="42922" xr:uid="{00000000-0005-0000-0000-0000AD2E0000}"/>
    <cellStyle name="Comma 2 2 5 4 3 3 2 4 3" xfId="29436" xr:uid="{00000000-0005-0000-0000-0000AE2E0000}"/>
    <cellStyle name="Comma 2 2 5 4 3 3 2 5" xfId="8605" xr:uid="{00000000-0005-0000-0000-0000AF2E0000}"/>
    <cellStyle name="Comma 2 2 5 4 3 3 2 5 2" xfId="31884" xr:uid="{00000000-0005-0000-0000-0000B02E0000}"/>
    <cellStyle name="Comma 2 2 5 4 3 3 2 6" xfId="11053" xr:uid="{00000000-0005-0000-0000-0000B12E0000}"/>
    <cellStyle name="Comma 2 2 5 4 3 3 2 6 2" xfId="34332" xr:uid="{00000000-0005-0000-0000-0000B22E0000}"/>
    <cellStyle name="Comma 2 2 5 4 3 3 2 7" xfId="13501" xr:uid="{00000000-0005-0000-0000-0000B32E0000}"/>
    <cellStyle name="Comma 2 2 5 4 3 3 2 7 2" xfId="36780" xr:uid="{00000000-0005-0000-0000-0000B42E0000}"/>
    <cellStyle name="Comma 2 2 5 4 3 3 2 8" xfId="15972" xr:uid="{00000000-0005-0000-0000-0000B52E0000}"/>
    <cellStyle name="Comma 2 2 5 4 3 3 2 8 2" xfId="39250" xr:uid="{00000000-0005-0000-0000-0000B62E0000}"/>
    <cellStyle name="Comma 2 2 5 4 3 3 2 9" xfId="24540" xr:uid="{00000000-0005-0000-0000-0000B72E0000}"/>
    <cellStyle name="Comma 2 2 5 4 3 3 3" xfId="1873" xr:uid="{00000000-0005-0000-0000-0000B82E0000}"/>
    <cellStyle name="Comma 2 2 5 4 3 3 3 10" xfId="22704" xr:uid="{00000000-0005-0000-0000-0000B92E0000}"/>
    <cellStyle name="Comma 2 2 5 4 3 3 3 2" xfId="4321" xr:uid="{00000000-0005-0000-0000-0000BA2E0000}"/>
    <cellStyle name="Comma 2 2 5 4 3 3 3 2 2" xfId="20256" xr:uid="{00000000-0005-0000-0000-0000BB2E0000}"/>
    <cellStyle name="Comma 2 2 5 4 3 3 3 2 2 2" xfId="43534" xr:uid="{00000000-0005-0000-0000-0000BC2E0000}"/>
    <cellStyle name="Comma 2 2 5 4 3 3 3 2 3" xfId="48430" xr:uid="{00000000-0005-0000-0000-0000BD2E0000}"/>
    <cellStyle name="Comma 2 2 5 4 3 3 3 2 4" xfId="27600" xr:uid="{00000000-0005-0000-0000-0000BE2E0000}"/>
    <cellStyle name="Comma 2 2 5 4 3 3 3 3" xfId="6769" xr:uid="{00000000-0005-0000-0000-0000BF2E0000}"/>
    <cellStyle name="Comma 2 2 5 4 3 3 3 3 2" xfId="30048" xr:uid="{00000000-0005-0000-0000-0000C02E0000}"/>
    <cellStyle name="Comma 2 2 5 4 3 3 3 4" xfId="9217" xr:uid="{00000000-0005-0000-0000-0000C12E0000}"/>
    <cellStyle name="Comma 2 2 5 4 3 3 3 4 2" xfId="32496" xr:uid="{00000000-0005-0000-0000-0000C22E0000}"/>
    <cellStyle name="Comma 2 2 5 4 3 3 3 5" xfId="11665" xr:uid="{00000000-0005-0000-0000-0000C32E0000}"/>
    <cellStyle name="Comma 2 2 5 4 3 3 3 5 2" xfId="34944" xr:uid="{00000000-0005-0000-0000-0000C42E0000}"/>
    <cellStyle name="Comma 2 2 5 4 3 3 3 6" xfId="14113" xr:uid="{00000000-0005-0000-0000-0000C52E0000}"/>
    <cellStyle name="Comma 2 2 5 4 3 3 3 6 2" xfId="37392" xr:uid="{00000000-0005-0000-0000-0000C62E0000}"/>
    <cellStyle name="Comma 2 2 5 4 3 3 3 7" xfId="17808" xr:uid="{00000000-0005-0000-0000-0000C72E0000}"/>
    <cellStyle name="Comma 2 2 5 4 3 3 3 7 2" xfId="41086" xr:uid="{00000000-0005-0000-0000-0000C82E0000}"/>
    <cellStyle name="Comma 2 2 5 4 3 3 3 8" xfId="25152" xr:uid="{00000000-0005-0000-0000-0000C92E0000}"/>
    <cellStyle name="Comma 2 2 5 4 3 3 3 9" xfId="45982" xr:uid="{00000000-0005-0000-0000-0000CA2E0000}"/>
    <cellStyle name="Comma 2 2 5 4 3 3 4" xfId="3097" xr:uid="{00000000-0005-0000-0000-0000CB2E0000}"/>
    <cellStyle name="Comma 2 2 5 4 3 3 4 2" xfId="16584" xr:uid="{00000000-0005-0000-0000-0000CC2E0000}"/>
    <cellStyle name="Comma 2 2 5 4 3 3 4 2 2" xfId="39862" xr:uid="{00000000-0005-0000-0000-0000CD2E0000}"/>
    <cellStyle name="Comma 2 2 5 4 3 3 4 3" xfId="47206" xr:uid="{00000000-0005-0000-0000-0000CE2E0000}"/>
    <cellStyle name="Comma 2 2 5 4 3 3 4 4" xfId="26376" xr:uid="{00000000-0005-0000-0000-0000CF2E0000}"/>
    <cellStyle name="Comma 2 2 5 4 3 3 5" xfId="5545" xr:uid="{00000000-0005-0000-0000-0000D02E0000}"/>
    <cellStyle name="Comma 2 2 5 4 3 3 5 2" xfId="19032" xr:uid="{00000000-0005-0000-0000-0000D12E0000}"/>
    <cellStyle name="Comma 2 2 5 4 3 3 5 2 2" xfId="42310" xr:uid="{00000000-0005-0000-0000-0000D22E0000}"/>
    <cellStyle name="Comma 2 2 5 4 3 3 5 3" xfId="28824" xr:uid="{00000000-0005-0000-0000-0000D32E0000}"/>
    <cellStyle name="Comma 2 2 5 4 3 3 6" xfId="7993" xr:uid="{00000000-0005-0000-0000-0000D42E0000}"/>
    <cellStyle name="Comma 2 2 5 4 3 3 6 2" xfId="31272" xr:uid="{00000000-0005-0000-0000-0000D52E0000}"/>
    <cellStyle name="Comma 2 2 5 4 3 3 7" xfId="10441" xr:uid="{00000000-0005-0000-0000-0000D62E0000}"/>
    <cellStyle name="Comma 2 2 5 4 3 3 7 2" xfId="33720" xr:uid="{00000000-0005-0000-0000-0000D72E0000}"/>
    <cellStyle name="Comma 2 2 5 4 3 3 8" xfId="12889" xr:uid="{00000000-0005-0000-0000-0000D82E0000}"/>
    <cellStyle name="Comma 2 2 5 4 3 3 8 2" xfId="36168" xr:uid="{00000000-0005-0000-0000-0000D92E0000}"/>
    <cellStyle name="Comma 2 2 5 4 3 3 9" xfId="15360" xr:uid="{00000000-0005-0000-0000-0000DA2E0000}"/>
    <cellStyle name="Comma 2 2 5 4 3 3 9 2" xfId="38638" xr:uid="{00000000-0005-0000-0000-0000DB2E0000}"/>
    <cellStyle name="Comma 2 2 5 4 3 4" xfId="853" xr:uid="{00000000-0005-0000-0000-0000DC2E0000}"/>
    <cellStyle name="Comma 2 2 5 4 3 4 10" xfId="44962" xr:uid="{00000000-0005-0000-0000-0000DD2E0000}"/>
    <cellStyle name="Comma 2 2 5 4 3 4 11" xfId="21684" xr:uid="{00000000-0005-0000-0000-0000DE2E0000}"/>
    <cellStyle name="Comma 2 2 5 4 3 4 2" xfId="2077" xr:uid="{00000000-0005-0000-0000-0000DF2E0000}"/>
    <cellStyle name="Comma 2 2 5 4 3 4 2 10" xfId="22908" xr:uid="{00000000-0005-0000-0000-0000E02E0000}"/>
    <cellStyle name="Comma 2 2 5 4 3 4 2 2" xfId="4525" xr:uid="{00000000-0005-0000-0000-0000E12E0000}"/>
    <cellStyle name="Comma 2 2 5 4 3 4 2 2 2" xfId="20460" xr:uid="{00000000-0005-0000-0000-0000E22E0000}"/>
    <cellStyle name="Comma 2 2 5 4 3 4 2 2 2 2" xfId="43738" xr:uid="{00000000-0005-0000-0000-0000E32E0000}"/>
    <cellStyle name="Comma 2 2 5 4 3 4 2 2 3" xfId="48634" xr:uid="{00000000-0005-0000-0000-0000E42E0000}"/>
    <cellStyle name="Comma 2 2 5 4 3 4 2 2 4" xfId="27804" xr:uid="{00000000-0005-0000-0000-0000E52E0000}"/>
    <cellStyle name="Comma 2 2 5 4 3 4 2 3" xfId="6973" xr:uid="{00000000-0005-0000-0000-0000E62E0000}"/>
    <cellStyle name="Comma 2 2 5 4 3 4 2 3 2" xfId="30252" xr:uid="{00000000-0005-0000-0000-0000E72E0000}"/>
    <cellStyle name="Comma 2 2 5 4 3 4 2 4" xfId="9421" xr:uid="{00000000-0005-0000-0000-0000E82E0000}"/>
    <cellStyle name="Comma 2 2 5 4 3 4 2 4 2" xfId="32700" xr:uid="{00000000-0005-0000-0000-0000E92E0000}"/>
    <cellStyle name="Comma 2 2 5 4 3 4 2 5" xfId="11869" xr:uid="{00000000-0005-0000-0000-0000EA2E0000}"/>
    <cellStyle name="Comma 2 2 5 4 3 4 2 5 2" xfId="35148" xr:uid="{00000000-0005-0000-0000-0000EB2E0000}"/>
    <cellStyle name="Comma 2 2 5 4 3 4 2 6" xfId="14317" xr:uid="{00000000-0005-0000-0000-0000EC2E0000}"/>
    <cellStyle name="Comma 2 2 5 4 3 4 2 6 2" xfId="37596" xr:uid="{00000000-0005-0000-0000-0000ED2E0000}"/>
    <cellStyle name="Comma 2 2 5 4 3 4 2 7" xfId="18012" xr:uid="{00000000-0005-0000-0000-0000EE2E0000}"/>
    <cellStyle name="Comma 2 2 5 4 3 4 2 7 2" xfId="41290" xr:uid="{00000000-0005-0000-0000-0000EF2E0000}"/>
    <cellStyle name="Comma 2 2 5 4 3 4 2 8" xfId="25356" xr:uid="{00000000-0005-0000-0000-0000F02E0000}"/>
    <cellStyle name="Comma 2 2 5 4 3 4 2 9" xfId="46186" xr:uid="{00000000-0005-0000-0000-0000F12E0000}"/>
    <cellStyle name="Comma 2 2 5 4 3 4 3" xfId="3301" xr:uid="{00000000-0005-0000-0000-0000F22E0000}"/>
    <cellStyle name="Comma 2 2 5 4 3 4 3 2" xfId="16788" xr:uid="{00000000-0005-0000-0000-0000F32E0000}"/>
    <cellStyle name="Comma 2 2 5 4 3 4 3 2 2" xfId="40066" xr:uid="{00000000-0005-0000-0000-0000F42E0000}"/>
    <cellStyle name="Comma 2 2 5 4 3 4 3 3" xfId="47410" xr:uid="{00000000-0005-0000-0000-0000F52E0000}"/>
    <cellStyle name="Comma 2 2 5 4 3 4 3 4" xfId="26580" xr:uid="{00000000-0005-0000-0000-0000F62E0000}"/>
    <cellStyle name="Comma 2 2 5 4 3 4 4" xfId="5749" xr:uid="{00000000-0005-0000-0000-0000F72E0000}"/>
    <cellStyle name="Comma 2 2 5 4 3 4 4 2" xfId="19236" xr:uid="{00000000-0005-0000-0000-0000F82E0000}"/>
    <cellStyle name="Comma 2 2 5 4 3 4 4 2 2" xfId="42514" xr:uid="{00000000-0005-0000-0000-0000F92E0000}"/>
    <cellStyle name="Comma 2 2 5 4 3 4 4 3" xfId="29028" xr:uid="{00000000-0005-0000-0000-0000FA2E0000}"/>
    <cellStyle name="Comma 2 2 5 4 3 4 5" xfId="8197" xr:uid="{00000000-0005-0000-0000-0000FB2E0000}"/>
    <cellStyle name="Comma 2 2 5 4 3 4 5 2" xfId="31476" xr:uid="{00000000-0005-0000-0000-0000FC2E0000}"/>
    <cellStyle name="Comma 2 2 5 4 3 4 6" xfId="10645" xr:uid="{00000000-0005-0000-0000-0000FD2E0000}"/>
    <cellStyle name="Comma 2 2 5 4 3 4 6 2" xfId="33924" xr:uid="{00000000-0005-0000-0000-0000FE2E0000}"/>
    <cellStyle name="Comma 2 2 5 4 3 4 7" xfId="13093" xr:uid="{00000000-0005-0000-0000-0000FF2E0000}"/>
    <cellStyle name="Comma 2 2 5 4 3 4 7 2" xfId="36372" xr:uid="{00000000-0005-0000-0000-0000002F0000}"/>
    <cellStyle name="Comma 2 2 5 4 3 4 8" xfId="15564" xr:uid="{00000000-0005-0000-0000-0000012F0000}"/>
    <cellStyle name="Comma 2 2 5 4 3 4 8 2" xfId="38842" xr:uid="{00000000-0005-0000-0000-0000022F0000}"/>
    <cellStyle name="Comma 2 2 5 4 3 4 9" xfId="24132" xr:uid="{00000000-0005-0000-0000-0000032F0000}"/>
    <cellStyle name="Comma 2 2 5 4 3 5" xfId="1465" xr:uid="{00000000-0005-0000-0000-0000042F0000}"/>
    <cellStyle name="Comma 2 2 5 4 3 5 10" xfId="22296" xr:uid="{00000000-0005-0000-0000-0000052F0000}"/>
    <cellStyle name="Comma 2 2 5 4 3 5 2" xfId="3913" xr:uid="{00000000-0005-0000-0000-0000062F0000}"/>
    <cellStyle name="Comma 2 2 5 4 3 5 2 2" xfId="19848" xr:uid="{00000000-0005-0000-0000-0000072F0000}"/>
    <cellStyle name="Comma 2 2 5 4 3 5 2 2 2" xfId="43126" xr:uid="{00000000-0005-0000-0000-0000082F0000}"/>
    <cellStyle name="Comma 2 2 5 4 3 5 2 3" xfId="48022" xr:uid="{00000000-0005-0000-0000-0000092F0000}"/>
    <cellStyle name="Comma 2 2 5 4 3 5 2 4" xfId="27192" xr:uid="{00000000-0005-0000-0000-00000A2F0000}"/>
    <cellStyle name="Comma 2 2 5 4 3 5 3" xfId="6361" xr:uid="{00000000-0005-0000-0000-00000B2F0000}"/>
    <cellStyle name="Comma 2 2 5 4 3 5 3 2" xfId="29640" xr:uid="{00000000-0005-0000-0000-00000C2F0000}"/>
    <cellStyle name="Comma 2 2 5 4 3 5 4" xfId="8809" xr:uid="{00000000-0005-0000-0000-00000D2F0000}"/>
    <cellStyle name="Comma 2 2 5 4 3 5 4 2" xfId="32088" xr:uid="{00000000-0005-0000-0000-00000E2F0000}"/>
    <cellStyle name="Comma 2 2 5 4 3 5 5" xfId="11257" xr:uid="{00000000-0005-0000-0000-00000F2F0000}"/>
    <cellStyle name="Comma 2 2 5 4 3 5 5 2" xfId="34536" xr:uid="{00000000-0005-0000-0000-0000102F0000}"/>
    <cellStyle name="Comma 2 2 5 4 3 5 6" xfId="13705" xr:uid="{00000000-0005-0000-0000-0000112F0000}"/>
    <cellStyle name="Comma 2 2 5 4 3 5 6 2" xfId="36984" xr:uid="{00000000-0005-0000-0000-0000122F0000}"/>
    <cellStyle name="Comma 2 2 5 4 3 5 7" xfId="17400" xr:uid="{00000000-0005-0000-0000-0000132F0000}"/>
    <cellStyle name="Comma 2 2 5 4 3 5 7 2" xfId="40678" xr:uid="{00000000-0005-0000-0000-0000142F0000}"/>
    <cellStyle name="Comma 2 2 5 4 3 5 8" xfId="24744" xr:uid="{00000000-0005-0000-0000-0000152F0000}"/>
    <cellStyle name="Comma 2 2 5 4 3 5 9" xfId="45574" xr:uid="{00000000-0005-0000-0000-0000162F0000}"/>
    <cellStyle name="Comma 2 2 5 4 3 6" xfId="2689" xr:uid="{00000000-0005-0000-0000-0000172F0000}"/>
    <cellStyle name="Comma 2 2 5 4 3 6 2" xfId="16176" xr:uid="{00000000-0005-0000-0000-0000182F0000}"/>
    <cellStyle name="Comma 2 2 5 4 3 6 2 2" xfId="39454" xr:uid="{00000000-0005-0000-0000-0000192F0000}"/>
    <cellStyle name="Comma 2 2 5 4 3 6 3" xfId="46798" xr:uid="{00000000-0005-0000-0000-00001A2F0000}"/>
    <cellStyle name="Comma 2 2 5 4 3 6 4" xfId="25968" xr:uid="{00000000-0005-0000-0000-00001B2F0000}"/>
    <cellStyle name="Comma 2 2 5 4 3 7" xfId="5137" xr:uid="{00000000-0005-0000-0000-00001C2F0000}"/>
    <cellStyle name="Comma 2 2 5 4 3 7 2" xfId="18624" xr:uid="{00000000-0005-0000-0000-00001D2F0000}"/>
    <cellStyle name="Comma 2 2 5 4 3 7 2 2" xfId="41902" xr:uid="{00000000-0005-0000-0000-00001E2F0000}"/>
    <cellStyle name="Comma 2 2 5 4 3 7 3" xfId="28416" xr:uid="{00000000-0005-0000-0000-00001F2F0000}"/>
    <cellStyle name="Comma 2 2 5 4 3 8" xfId="7585" xr:uid="{00000000-0005-0000-0000-0000202F0000}"/>
    <cellStyle name="Comma 2 2 5 4 3 8 2" xfId="30864" xr:uid="{00000000-0005-0000-0000-0000212F0000}"/>
    <cellStyle name="Comma 2 2 5 4 3 9" xfId="10033" xr:uid="{00000000-0005-0000-0000-0000222F0000}"/>
    <cellStyle name="Comma 2 2 5 4 3 9 2" xfId="33312" xr:uid="{00000000-0005-0000-0000-0000232F0000}"/>
    <cellStyle name="Comma 2 2 5 4 4" xfId="309" xr:uid="{00000000-0005-0000-0000-0000242F0000}"/>
    <cellStyle name="Comma 2 2 5 4 4 10" xfId="23588" xr:uid="{00000000-0005-0000-0000-0000252F0000}"/>
    <cellStyle name="Comma 2 2 5 4 4 11" xfId="44418" xr:uid="{00000000-0005-0000-0000-0000262F0000}"/>
    <cellStyle name="Comma 2 2 5 4 4 12" xfId="21140" xr:uid="{00000000-0005-0000-0000-0000272F0000}"/>
    <cellStyle name="Comma 2 2 5 4 4 2" xfId="921" xr:uid="{00000000-0005-0000-0000-0000282F0000}"/>
    <cellStyle name="Comma 2 2 5 4 4 2 10" xfId="45030" xr:uid="{00000000-0005-0000-0000-0000292F0000}"/>
    <cellStyle name="Comma 2 2 5 4 4 2 11" xfId="21752" xr:uid="{00000000-0005-0000-0000-00002A2F0000}"/>
    <cellStyle name="Comma 2 2 5 4 4 2 2" xfId="2145" xr:uid="{00000000-0005-0000-0000-00002B2F0000}"/>
    <cellStyle name="Comma 2 2 5 4 4 2 2 10" xfId="22976" xr:uid="{00000000-0005-0000-0000-00002C2F0000}"/>
    <cellStyle name="Comma 2 2 5 4 4 2 2 2" xfId="4593" xr:uid="{00000000-0005-0000-0000-00002D2F0000}"/>
    <cellStyle name="Comma 2 2 5 4 4 2 2 2 2" xfId="20528" xr:uid="{00000000-0005-0000-0000-00002E2F0000}"/>
    <cellStyle name="Comma 2 2 5 4 4 2 2 2 2 2" xfId="43806" xr:uid="{00000000-0005-0000-0000-00002F2F0000}"/>
    <cellStyle name="Comma 2 2 5 4 4 2 2 2 3" xfId="48702" xr:uid="{00000000-0005-0000-0000-0000302F0000}"/>
    <cellStyle name="Comma 2 2 5 4 4 2 2 2 4" xfId="27872" xr:uid="{00000000-0005-0000-0000-0000312F0000}"/>
    <cellStyle name="Comma 2 2 5 4 4 2 2 3" xfId="7041" xr:uid="{00000000-0005-0000-0000-0000322F0000}"/>
    <cellStyle name="Comma 2 2 5 4 4 2 2 3 2" xfId="30320" xr:uid="{00000000-0005-0000-0000-0000332F0000}"/>
    <cellStyle name="Comma 2 2 5 4 4 2 2 4" xfId="9489" xr:uid="{00000000-0005-0000-0000-0000342F0000}"/>
    <cellStyle name="Comma 2 2 5 4 4 2 2 4 2" xfId="32768" xr:uid="{00000000-0005-0000-0000-0000352F0000}"/>
    <cellStyle name="Comma 2 2 5 4 4 2 2 5" xfId="11937" xr:uid="{00000000-0005-0000-0000-0000362F0000}"/>
    <cellStyle name="Comma 2 2 5 4 4 2 2 5 2" xfId="35216" xr:uid="{00000000-0005-0000-0000-0000372F0000}"/>
    <cellStyle name="Comma 2 2 5 4 4 2 2 6" xfId="14385" xr:uid="{00000000-0005-0000-0000-0000382F0000}"/>
    <cellStyle name="Comma 2 2 5 4 4 2 2 6 2" xfId="37664" xr:uid="{00000000-0005-0000-0000-0000392F0000}"/>
    <cellStyle name="Comma 2 2 5 4 4 2 2 7" xfId="18080" xr:uid="{00000000-0005-0000-0000-00003A2F0000}"/>
    <cellStyle name="Comma 2 2 5 4 4 2 2 7 2" xfId="41358" xr:uid="{00000000-0005-0000-0000-00003B2F0000}"/>
    <cellStyle name="Comma 2 2 5 4 4 2 2 8" xfId="25424" xr:uid="{00000000-0005-0000-0000-00003C2F0000}"/>
    <cellStyle name="Comma 2 2 5 4 4 2 2 9" xfId="46254" xr:uid="{00000000-0005-0000-0000-00003D2F0000}"/>
    <cellStyle name="Comma 2 2 5 4 4 2 3" xfId="3369" xr:uid="{00000000-0005-0000-0000-00003E2F0000}"/>
    <cellStyle name="Comma 2 2 5 4 4 2 3 2" xfId="16856" xr:uid="{00000000-0005-0000-0000-00003F2F0000}"/>
    <cellStyle name="Comma 2 2 5 4 4 2 3 2 2" xfId="40134" xr:uid="{00000000-0005-0000-0000-0000402F0000}"/>
    <cellStyle name="Comma 2 2 5 4 4 2 3 3" xfId="47478" xr:uid="{00000000-0005-0000-0000-0000412F0000}"/>
    <cellStyle name="Comma 2 2 5 4 4 2 3 4" xfId="26648" xr:uid="{00000000-0005-0000-0000-0000422F0000}"/>
    <cellStyle name="Comma 2 2 5 4 4 2 4" xfId="5817" xr:uid="{00000000-0005-0000-0000-0000432F0000}"/>
    <cellStyle name="Comma 2 2 5 4 4 2 4 2" xfId="19304" xr:uid="{00000000-0005-0000-0000-0000442F0000}"/>
    <cellStyle name="Comma 2 2 5 4 4 2 4 2 2" xfId="42582" xr:uid="{00000000-0005-0000-0000-0000452F0000}"/>
    <cellStyle name="Comma 2 2 5 4 4 2 4 3" xfId="29096" xr:uid="{00000000-0005-0000-0000-0000462F0000}"/>
    <cellStyle name="Comma 2 2 5 4 4 2 5" xfId="8265" xr:uid="{00000000-0005-0000-0000-0000472F0000}"/>
    <cellStyle name="Comma 2 2 5 4 4 2 5 2" xfId="31544" xr:uid="{00000000-0005-0000-0000-0000482F0000}"/>
    <cellStyle name="Comma 2 2 5 4 4 2 6" xfId="10713" xr:uid="{00000000-0005-0000-0000-0000492F0000}"/>
    <cellStyle name="Comma 2 2 5 4 4 2 6 2" xfId="33992" xr:uid="{00000000-0005-0000-0000-00004A2F0000}"/>
    <cellStyle name="Comma 2 2 5 4 4 2 7" xfId="13161" xr:uid="{00000000-0005-0000-0000-00004B2F0000}"/>
    <cellStyle name="Comma 2 2 5 4 4 2 7 2" xfId="36440" xr:uid="{00000000-0005-0000-0000-00004C2F0000}"/>
    <cellStyle name="Comma 2 2 5 4 4 2 8" xfId="15632" xr:uid="{00000000-0005-0000-0000-00004D2F0000}"/>
    <cellStyle name="Comma 2 2 5 4 4 2 8 2" xfId="38910" xr:uid="{00000000-0005-0000-0000-00004E2F0000}"/>
    <cellStyle name="Comma 2 2 5 4 4 2 9" xfId="24200" xr:uid="{00000000-0005-0000-0000-00004F2F0000}"/>
    <cellStyle name="Comma 2 2 5 4 4 3" xfId="1533" xr:uid="{00000000-0005-0000-0000-0000502F0000}"/>
    <cellStyle name="Comma 2 2 5 4 4 3 10" xfId="22364" xr:uid="{00000000-0005-0000-0000-0000512F0000}"/>
    <cellStyle name="Comma 2 2 5 4 4 3 2" xfId="3981" xr:uid="{00000000-0005-0000-0000-0000522F0000}"/>
    <cellStyle name="Comma 2 2 5 4 4 3 2 2" xfId="19916" xr:uid="{00000000-0005-0000-0000-0000532F0000}"/>
    <cellStyle name="Comma 2 2 5 4 4 3 2 2 2" xfId="43194" xr:uid="{00000000-0005-0000-0000-0000542F0000}"/>
    <cellStyle name="Comma 2 2 5 4 4 3 2 3" xfId="48090" xr:uid="{00000000-0005-0000-0000-0000552F0000}"/>
    <cellStyle name="Comma 2 2 5 4 4 3 2 4" xfId="27260" xr:uid="{00000000-0005-0000-0000-0000562F0000}"/>
    <cellStyle name="Comma 2 2 5 4 4 3 3" xfId="6429" xr:uid="{00000000-0005-0000-0000-0000572F0000}"/>
    <cellStyle name="Comma 2 2 5 4 4 3 3 2" xfId="29708" xr:uid="{00000000-0005-0000-0000-0000582F0000}"/>
    <cellStyle name="Comma 2 2 5 4 4 3 4" xfId="8877" xr:uid="{00000000-0005-0000-0000-0000592F0000}"/>
    <cellStyle name="Comma 2 2 5 4 4 3 4 2" xfId="32156" xr:uid="{00000000-0005-0000-0000-00005A2F0000}"/>
    <cellStyle name="Comma 2 2 5 4 4 3 5" xfId="11325" xr:uid="{00000000-0005-0000-0000-00005B2F0000}"/>
    <cellStyle name="Comma 2 2 5 4 4 3 5 2" xfId="34604" xr:uid="{00000000-0005-0000-0000-00005C2F0000}"/>
    <cellStyle name="Comma 2 2 5 4 4 3 6" xfId="13773" xr:uid="{00000000-0005-0000-0000-00005D2F0000}"/>
    <cellStyle name="Comma 2 2 5 4 4 3 6 2" xfId="37052" xr:uid="{00000000-0005-0000-0000-00005E2F0000}"/>
    <cellStyle name="Comma 2 2 5 4 4 3 7" xfId="17468" xr:uid="{00000000-0005-0000-0000-00005F2F0000}"/>
    <cellStyle name="Comma 2 2 5 4 4 3 7 2" xfId="40746" xr:uid="{00000000-0005-0000-0000-0000602F0000}"/>
    <cellStyle name="Comma 2 2 5 4 4 3 8" xfId="24812" xr:uid="{00000000-0005-0000-0000-0000612F0000}"/>
    <cellStyle name="Comma 2 2 5 4 4 3 9" xfId="45642" xr:uid="{00000000-0005-0000-0000-0000622F0000}"/>
    <cellStyle name="Comma 2 2 5 4 4 4" xfId="2757" xr:uid="{00000000-0005-0000-0000-0000632F0000}"/>
    <cellStyle name="Comma 2 2 5 4 4 4 2" xfId="16244" xr:uid="{00000000-0005-0000-0000-0000642F0000}"/>
    <cellStyle name="Comma 2 2 5 4 4 4 2 2" xfId="39522" xr:uid="{00000000-0005-0000-0000-0000652F0000}"/>
    <cellStyle name="Comma 2 2 5 4 4 4 3" xfId="46866" xr:uid="{00000000-0005-0000-0000-0000662F0000}"/>
    <cellStyle name="Comma 2 2 5 4 4 4 4" xfId="26036" xr:uid="{00000000-0005-0000-0000-0000672F0000}"/>
    <cellStyle name="Comma 2 2 5 4 4 5" xfId="5205" xr:uid="{00000000-0005-0000-0000-0000682F0000}"/>
    <cellStyle name="Comma 2 2 5 4 4 5 2" xfId="18692" xr:uid="{00000000-0005-0000-0000-0000692F0000}"/>
    <cellStyle name="Comma 2 2 5 4 4 5 2 2" xfId="41970" xr:uid="{00000000-0005-0000-0000-00006A2F0000}"/>
    <cellStyle name="Comma 2 2 5 4 4 5 3" xfId="28484" xr:uid="{00000000-0005-0000-0000-00006B2F0000}"/>
    <cellStyle name="Comma 2 2 5 4 4 6" xfId="7653" xr:uid="{00000000-0005-0000-0000-00006C2F0000}"/>
    <cellStyle name="Comma 2 2 5 4 4 6 2" xfId="30932" xr:uid="{00000000-0005-0000-0000-00006D2F0000}"/>
    <cellStyle name="Comma 2 2 5 4 4 7" xfId="10101" xr:uid="{00000000-0005-0000-0000-00006E2F0000}"/>
    <cellStyle name="Comma 2 2 5 4 4 7 2" xfId="33380" xr:uid="{00000000-0005-0000-0000-00006F2F0000}"/>
    <cellStyle name="Comma 2 2 5 4 4 8" xfId="12549" xr:uid="{00000000-0005-0000-0000-0000702F0000}"/>
    <cellStyle name="Comma 2 2 5 4 4 8 2" xfId="35828" xr:uid="{00000000-0005-0000-0000-0000712F0000}"/>
    <cellStyle name="Comma 2 2 5 4 4 9" xfId="15020" xr:uid="{00000000-0005-0000-0000-0000722F0000}"/>
    <cellStyle name="Comma 2 2 5 4 4 9 2" xfId="38298" xr:uid="{00000000-0005-0000-0000-0000732F0000}"/>
    <cellStyle name="Comma 2 2 5 4 5" xfId="513" xr:uid="{00000000-0005-0000-0000-0000742F0000}"/>
    <cellStyle name="Comma 2 2 5 4 5 10" xfId="23792" xr:uid="{00000000-0005-0000-0000-0000752F0000}"/>
    <cellStyle name="Comma 2 2 5 4 5 11" xfId="44622" xr:uid="{00000000-0005-0000-0000-0000762F0000}"/>
    <cellStyle name="Comma 2 2 5 4 5 12" xfId="21344" xr:uid="{00000000-0005-0000-0000-0000772F0000}"/>
    <cellStyle name="Comma 2 2 5 4 5 2" xfId="1125" xr:uid="{00000000-0005-0000-0000-0000782F0000}"/>
    <cellStyle name="Comma 2 2 5 4 5 2 10" xfId="45234" xr:uid="{00000000-0005-0000-0000-0000792F0000}"/>
    <cellStyle name="Comma 2 2 5 4 5 2 11" xfId="21956" xr:uid="{00000000-0005-0000-0000-00007A2F0000}"/>
    <cellStyle name="Comma 2 2 5 4 5 2 2" xfId="2349" xr:uid="{00000000-0005-0000-0000-00007B2F0000}"/>
    <cellStyle name="Comma 2 2 5 4 5 2 2 10" xfId="23180" xr:uid="{00000000-0005-0000-0000-00007C2F0000}"/>
    <cellStyle name="Comma 2 2 5 4 5 2 2 2" xfId="4797" xr:uid="{00000000-0005-0000-0000-00007D2F0000}"/>
    <cellStyle name="Comma 2 2 5 4 5 2 2 2 2" xfId="20732" xr:uid="{00000000-0005-0000-0000-00007E2F0000}"/>
    <cellStyle name="Comma 2 2 5 4 5 2 2 2 2 2" xfId="44010" xr:uid="{00000000-0005-0000-0000-00007F2F0000}"/>
    <cellStyle name="Comma 2 2 5 4 5 2 2 2 3" xfId="48906" xr:uid="{00000000-0005-0000-0000-0000802F0000}"/>
    <cellStyle name="Comma 2 2 5 4 5 2 2 2 4" xfId="28076" xr:uid="{00000000-0005-0000-0000-0000812F0000}"/>
    <cellStyle name="Comma 2 2 5 4 5 2 2 3" xfId="7245" xr:uid="{00000000-0005-0000-0000-0000822F0000}"/>
    <cellStyle name="Comma 2 2 5 4 5 2 2 3 2" xfId="30524" xr:uid="{00000000-0005-0000-0000-0000832F0000}"/>
    <cellStyle name="Comma 2 2 5 4 5 2 2 4" xfId="9693" xr:uid="{00000000-0005-0000-0000-0000842F0000}"/>
    <cellStyle name="Comma 2 2 5 4 5 2 2 4 2" xfId="32972" xr:uid="{00000000-0005-0000-0000-0000852F0000}"/>
    <cellStyle name="Comma 2 2 5 4 5 2 2 5" xfId="12141" xr:uid="{00000000-0005-0000-0000-0000862F0000}"/>
    <cellStyle name="Comma 2 2 5 4 5 2 2 5 2" xfId="35420" xr:uid="{00000000-0005-0000-0000-0000872F0000}"/>
    <cellStyle name="Comma 2 2 5 4 5 2 2 6" xfId="14589" xr:uid="{00000000-0005-0000-0000-0000882F0000}"/>
    <cellStyle name="Comma 2 2 5 4 5 2 2 6 2" xfId="37868" xr:uid="{00000000-0005-0000-0000-0000892F0000}"/>
    <cellStyle name="Comma 2 2 5 4 5 2 2 7" xfId="18284" xr:uid="{00000000-0005-0000-0000-00008A2F0000}"/>
    <cellStyle name="Comma 2 2 5 4 5 2 2 7 2" xfId="41562" xr:uid="{00000000-0005-0000-0000-00008B2F0000}"/>
    <cellStyle name="Comma 2 2 5 4 5 2 2 8" xfId="25628" xr:uid="{00000000-0005-0000-0000-00008C2F0000}"/>
    <cellStyle name="Comma 2 2 5 4 5 2 2 9" xfId="46458" xr:uid="{00000000-0005-0000-0000-00008D2F0000}"/>
    <cellStyle name="Comma 2 2 5 4 5 2 3" xfId="3573" xr:uid="{00000000-0005-0000-0000-00008E2F0000}"/>
    <cellStyle name="Comma 2 2 5 4 5 2 3 2" xfId="17060" xr:uid="{00000000-0005-0000-0000-00008F2F0000}"/>
    <cellStyle name="Comma 2 2 5 4 5 2 3 2 2" xfId="40338" xr:uid="{00000000-0005-0000-0000-0000902F0000}"/>
    <cellStyle name="Comma 2 2 5 4 5 2 3 3" xfId="47682" xr:uid="{00000000-0005-0000-0000-0000912F0000}"/>
    <cellStyle name="Comma 2 2 5 4 5 2 3 4" xfId="26852" xr:uid="{00000000-0005-0000-0000-0000922F0000}"/>
    <cellStyle name="Comma 2 2 5 4 5 2 4" xfId="6021" xr:uid="{00000000-0005-0000-0000-0000932F0000}"/>
    <cellStyle name="Comma 2 2 5 4 5 2 4 2" xfId="19508" xr:uid="{00000000-0005-0000-0000-0000942F0000}"/>
    <cellStyle name="Comma 2 2 5 4 5 2 4 2 2" xfId="42786" xr:uid="{00000000-0005-0000-0000-0000952F0000}"/>
    <cellStyle name="Comma 2 2 5 4 5 2 4 3" xfId="29300" xr:uid="{00000000-0005-0000-0000-0000962F0000}"/>
    <cellStyle name="Comma 2 2 5 4 5 2 5" xfId="8469" xr:uid="{00000000-0005-0000-0000-0000972F0000}"/>
    <cellStyle name="Comma 2 2 5 4 5 2 5 2" xfId="31748" xr:uid="{00000000-0005-0000-0000-0000982F0000}"/>
    <cellStyle name="Comma 2 2 5 4 5 2 6" xfId="10917" xr:uid="{00000000-0005-0000-0000-0000992F0000}"/>
    <cellStyle name="Comma 2 2 5 4 5 2 6 2" xfId="34196" xr:uid="{00000000-0005-0000-0000-00009A2F0000}"/>
    <cellStyle name="Comma 2 2 5 4 5 2 7" xfId="13365" xr:uid="{00000000-0005-0000-0000-00009B2F0000}"/>
    <cellStyle name="Comma 2 2 5 4 5 2 7 2" xfId="36644" xr:uid="{00000000-0005-0000-0000-00009C2F0000}"/>
    <cellStyle name="Comma 2 2 5 4 5 2 8" xfId="15836" xr:uid="{00000000-0005-0000-0000-00009D2F0000}"/>
    <cellStyle name="Comma 2 2 5 4 5 2 8 2" xfId="39114" xr:uid="{00000000-0005-0000-0000-00009E2F0000}"/>
    <cellStyle name="Comma 2 2 5 4 5 2 9" xfId="24404" xr:uid="{00000000-0005-0000-0000-00009F2F0000}"/>
    <cellStyle name="Comma 2 2 5 4 5 3" xfId="1737" xr:uid="{00000000-0005-0000-0000-0000A02F0000}"/>
    <cellStyle name="Comma 2 2 5 4 5 3 10" xfId="22568" xr:uid="{00000000-0005-0000-0000-0000A12F0000}"/>
    <cellStyle name="Comma 2 2 5 4 5 3 2" xfId="4185" xr:uid="{00000000-0005-0000-0000-0000A22F0000}"/>
    <cellStyle name="Comma 2 2 5 4 5 3 2 2" xfId="20120" xr:uid="{00000000-0005-0000-0000-0000A32F0000}"/>
    <cellStyle name="Comma 2 2 5 4 5 3 2 2 2" xfId="43398" xr:uid="{00000000-0005-0000-0000-0000A42F0000}"/>
    <cellStyle name="Comma 2 2 5 4 5 3 2 3" xfId="48294" xr:uid="{00000000-0005-0000-0000-0000A52F0000}"/>
    <cellStyle name="Comma 2 2 5 4 5 3 2 4" xfId="27464" xr:uid="{00000000-0005-0000-0000-0000A62F0000}"/>
    <cellStyle name="Comma 2 2 5 4 5 3 3" xfId="6633" xr:uid="{00000000-0005-0000-0000-0000A72F0000}"/>
    <cellStyle name="Comma 2 2 5 4 5 3 3 2" xfId="29912" xr:uid="{00000000-0005-0000-0000-0000A82F0000}"/>
    <cellStyle name="Comma 2 2 5 4 5 3 4" xfId="9081" xr:uid="{00000000-0005-0000-0000-0000A92F0000}"/>
    <cellStyle name="Comma 2 2 5 4 5 3 4 2" xfId="32360" xr:uid="{00000000-0005-0000-0000-0000AA2F0000}"/>
    <cellStyle name="Comma 2 2 5 4 5 3 5" xfId="11529" xr:uid="{00000000-0005-0000-0000-0000AB2F0000}"/>
    <cellStyle name="Comma 2 2 5 4 5 3 5 2" xfId="34808" xr:uid="{00000000-0005-0000-0000-0000AC2F0000}"/>
    <cellStyle name="Comma 2 2 5 4 5 3 6" xfId="13977" xr:uid="{00000000-0005-0000-0000-0000AD2F0000}"/>
    <cellStyle name="Comma 2 2 5 4 5 3 6 2" xfId="37256" xr:uid="{00000000-0005-0000-0000-0000AE2F0000}"/>
    <cellStyle name="Comma 2 2 5 4 5 3 7" xfId="17672" xr:uid="{00000000-0005-0000-0000-0000AF2F0000}"/>
    <cellStyle name="Comma 2 2 5 4 5 3 7 2" xfId="40950" xr:uid="{00000000-0005-0000-0000-0000B02F0000}"/>
    <cellStyle name="Comma 2 2 5 4 5 3 8" xfId="25016" xr:uid="{00000000-0005-0000-0000-0000B12F0000}"/>
    <cellStyle name="Comma 2 2 5 4 5 3 9" xfId="45846" xr:uid="{00000000-0005-0000-0000-0000B22F0000}"/>
    <cellStyle name="Comma 2 2 5 4 5 4" xfId="2961" xr:uid="{00000000-0005-0000-0000-0000B32F0000}"/>
    <cellStyle name="Comma 2 2 5 4 5 4 2" xfId="16448" xr:uid="{00000000-0005-0000-0000-0000B42F0000}"/>
    <cellStyle name="Comma 2 2 5 4 5 4 2 2" xfId="39726" xr:uid="{00000000-0005-0000-0000-0000B52F0000}"/>
    <cellStyle name="Comma 2 2 5 4 5 4 3" xfId="47070" xr:uid="{00000000-0005-0000-0000-0000B62F0000}"/>
    <cellStyle name="Comma 2 2 5 4 5 4 4" xfId="26240" xr:uid="{00000000-0005-0000-0000-0000B72F0000}"/>
    <cellStyle name="Comma 2 2 5 4 5 5" xfId="5409" xr:uid="{00000000-0005-0000-0000-0000B82F0000}"/>
    <cellStyle name="Comma 2 2 5 4 5 5 2" xfId="18896" xr:uid="{00000000-0005-0000-0000-0000B92F0000}"/>
    <cellStyle name="Comma 2 2 5 4 5 5 2 2" xfId="42174" xr:uid="{00000000-0005-0000-0000-0000BA2F0000}"/>
    <cellStyle name="Comma 2 2 5 4 5 5 3" xfId="28688" xr:uid="{00000000-0005-0000-0000-0000BB2F0000}"/>
    <cellStyle name="Comma 2 2 5 4 5 6" xfId="7857" xr:uid="{00000000-0005-0000-0000-0000BC2F0000}"/>
    <cellStyle name="Comma 2 2 5 4 5 6 2" xfId="31136" xr:uid="{00000000-0005-0000-0000-0000BD2F0000}"/>
    <cellStyle name="Comma 2 2 5 4 5 7" xfId="10305" xr:uid="{00000000-0005-0000-0000-0000BE2F0000}"/>
    <cellStyle name="Comma 2 2 5 4 5 7 2" xfId="33584" xr:uid="{00000000-0005-0000-0000-0000BF2F0000}"/>
    <cellStyle name="Comma 2 2 5 4 5 8" xfId="12753" xr:uid="{00000000-0005-0000-0000-0000C02F0000}"/>
    <cellStyle name="Comma 2 2 5 4 5 8 2" xfId="36032" xr:uid="{00000000-0005-0000-0000-0000C12F0000}"/>
    <cellStyle name="Comma 2 2 5 4 5 9" xfId="15224" xr:uid="{00000000-0005-0000-0000-0000C22F0000}"/>
    <cellStyle name="Comma 2 2 5 4 5 9 2" xfId="38502" xr:uid="{00000000-0005-0000-0000-0000C32F0000}"/>
    <cellStyle name="Comma 2 2 5 4 6" xfId="717" xr:uid="{00000000-0005-0000-0000-0000C42F0000}"/>
    <cellStyle name="Comma 2 2 5 4 6 10" xfId="44826" xr:uid="{00000000-0005-0000-0000-0000C52F0000}"/>
    <cellStyle name="Comma 2 2 5 4 6 11" xfId="21548" xr:uid="{00000000-0005-0000-0000-0000C62F0000}"/>
    <cellStyle name="Comma 2 2 5 4 6 2" xfId="1941" xr:uid="{00000000-0005-0000-0000-0000C72F0000}"/>
    <cellStyle name="Comma 2 2 5 4 6 2 10" xfId="22772" xr:uid="{00000000-0005-0000-0000-0000C82F0000}"/>
    <cellStyle name="Comma 2 2 5 4 6 2 2" xfId="4389" xr:uid="{00000000-0005-0000-0000-0000C92F0000}"/>
    <cellStyle name="Comma 2 2 5 4 6 2 2 2" xfId="20324" xr:uid="{00000000-0005-0000-0000-0000CA2F0000}"/>
    <cellStyle name="Comma 2 2 5 4 6 2 2 2 2" xfId="43602" xr:uid="{00000000-0005-0000-0000-0000CB2F0000}"/>
    <cellStyle name="Comma 2 2 5 4 6 2 2 3" xfId="48498" xr:uid="{00000000-0005-0000-0000-0000CC2F0000}"/>
    <cellStyle name="Comma 2 2 5 4 6 2 2 4" xfId="27668" xr:uid="{00000000-0005-0000-0000-0000CD2F0000}"/>
    <cellStyle name="Comma 2 2 5 4 6 2 3" xfId="6837" xr:uid="{00000000-0005-0000-0000-0000CE2F0000}"/>
    <cellStyle name="Comma 2 2 5 4 6 2 3 2" xfId="30116" xr:uid="{00000000-0005-0000-0000-0000CF2F0000}"/>
    <cellStyle name="Comma 2 2 5 4 6 2 4" xfId="9285" xr:uid="{00000000-0005-0000-0000-0000D02F0000}"/>
    <cellStyle name="Comma 2 2 5 4 6 2 4 2" xfId="32564" xr:uid="{00000000-0005-0000-0000-0000D12F0000}"/>
    <cellStyle name="Comma 2 2 5 4 6 2 5" xfId="11733" xr:uid="{00000000-0005-0000-0000-0000D22F0000}"/>
    <cellStyle name="Comma 2 2 5 4 6 2 5 2" xfId="35012" xr:uid="{00000000-0005-0000-0000-0000D32F0000}"/>
    <cellStyle name="Comma 2 2 5 4 6 2 6" xfId="14181" xr:uid="{00000000-0005-0000-0000-0000D42F0000}"/>
    <cellStyle name="Comma 2 2 5 4 6 2 6 2" xfId="37460" xr:uid="{00000000-0005-0000-0000-0000D52F0000}"/>
    <cellStyle name="Comma 2 2 5 4 6 2 7" xfId="17876" xr:uid="{00000000-0005-0000-0000-0000D62F0000}"/>
    <cellStyle name="Comma 2 2 5 4 6 2 7 2" xfId="41154" xr:uid="{00000000-0005-0000-0000-0000D72F0000}"/>
    <cellStyle name="Comma 2 2 5 4 6 2 8" xfId="25220" xr:uid="{00000000-0005-0000-0000-0000D82F0000}"/>
    <cellStyle name="Comma 2 2 5 4 6 2 9" xfId="46050" xr:uid="{00000000-0005-0000-0000-0000D92F0000}"/>
    <cellStyle name="Comma 2 2 5 4 6 3" xfId="3165" xr:uid="{00000000-0005-0000-0000-0000DA2F0000}"/>
    <cellStyle name="Comma 2 2 5 4 6 3 2" xfId="16652" xr:uid="{00000000-0005-0000-0000-0000DB2F0000}"/>
    <cellStyle name="Comma 2 2 5 4 6 3 2 2" xfId="39930" xr:uid="{00000000-0005-0000-0000-0000DC2F0000}"/>
    <cellStyle name="Comma 2 2 5 4 6 3 3" xfId="47274" xr:uid="{00000000-0005-0000-0000-0000DD2F0000}"/>
    <cellStyle name="Comma 2 2 5 4 6 3 4" xfId="26444" xr:uid="{00000000-0005-0000-0000-0000DE2F0000}"/>
    <cellStyle name="Comma 2 2 5 4 6 4" xfId="5613" xr:uid="{00000000-0005-0000-0000-0000DF2F0000}"/>
    <cellStyle name="Comma 2 2 5 4 6 4 2" xfId="19100" xr:uid="{00000000-0005-0000-0000-0000E02F0000}"/>
    <cellStyle name="Comma 2 2 5 4 6 4 2 2" xfId="42378" xr:uid="{00000000-0005-0000-0000-0000E12F0000}"/>
    <cellStyle name="Comma 2 2 5 4 6 4 3" xfId="28892" xr:uid="{00000000-0005-0000-0000-0000E22F0000}"/>
    <cellStyle name="Comma 2 2 5 4 6 5" xfId="8061" xr:uid="{00000000-0005-0000-0000-0000E32F0000}"/>
    <cellStyle name="Comma 2 2 5 4 6 5 2" xfId="31340" xr:uid="{00000000-0005-0000-0000-0000E42F0000}"/>
    <cellStyle name="Comma 2 2 5 4 6 6" xfId="10509" xr:uid="{00000000-0005-0000-0000-0000E52F0000}"/>
    <cellStyle name="Comma 2 2 5 4 6 6 2" xfId="33788" xr:uid="{00000000-0005-0000-0000-0000E62F0000}"/>
    <cellStyle name="Comma 2 2 5 4 6 7" xfId="12957" xr:uid="{00000000-0005-0000-0000-0000E72F0000}"/>
    <cellStyle name="Comma 2 2 5 4 6 7 2" xfId="36236" xr:uid="{00000000-0005-0000-0000-0000E82F0000}"/>
    <cellStyle name="Comma 2 2 5 4 6 8" xfId="15428" xr:uid="{00000000-0005-0000-0000-0000E92F0000}"/>
    <cellStyle name="Comma 2 2 5 4 6 8 2" xfId="38706" xr:uid="{00000000-0005-0000-0000-0000EA2F0000}"/>
    <cellStyle name="Comma 2 2 5 4 6 9" xfId="23996" xr:uid="{00000000-0005-0000-0000-0000EB2F0000}"/>
    <cellStyle name="Comma 2 2 5 4 7" xfId="1329" xr:uid="{00000000-0005-0000-0000-0000EC2F0000}"/>
    <cellStyle name="Comma 2 2 5 4 7 10" xfId="22160" xr:uid="{00000000-0005-0000-0000-0000ED2F0000}"/>
    <cellStyle name="Comma 2 2 5 4 7 2" xfId="3777" xr:uid="{00000000-0005-0000-0000-0000EE2F0000}"/>
    <cellStyle name="Comma 2 2 5 4 7 2 2" xfId="19712" xr:uid="{00000000-0005-0000-0000-0000EF2F0000}"/>
    <cellStyle name="Comma 2 2 5 4 7 2 2 2" xfId="42990" xr:uid="{00000000-0005-0000-0000-0000F02F0000}"/>
    <cellStyle name="Comma 2 2 5 4 7 2 3" xfId="47886" xr:uid="{00000000-0005-0000-0000-0000F12F0000}"/>
    <cellStyle name="Comma 2 2 5 4 7 2 4" xfId="27056" xr:uid="{00000000-0005-0000-0000-0000F22F0000}"/>
    <cellStyle name="Comma 2 2 5 4 7 3" xfId="6225" xr:uid="{00000000-0005-0000-0000-0000F32F0000}"/>
    <cellStyle name="Comma 2 2 5 4 7 3 2" xfId="29504" xr:uid="{00000000-0005-0000-0000-0000F42F0000}"/>
    <cellStyle name="Comma 2 2 5 4 7 4" xfId="8673" xr:uid="{00000000-0005-0000-0000-0000F52F0000}"/>
    <cellStyle name="Comma 2 2 5 4 7 4 2" xfId="31952" xr:uid="{00000000-0005-0000-0000-0000F62F0000}"/>
    <cellStyle name="Comma 2 2 5 4 7 5" xfId="11121" xr:uid="{00000000-0005-0000-0000-0000F72F0000}"/>
    <cellStyle name="Comma 2 2 5 4 7 5 2" xfId="34400" xr:uid="{00000000-0005-0000-0000-0000F82F0000}"/>
    <cellStyle name="Comma 2 2 5 4 7 6" xfId="13569" xr:uid="{00000000-0005-0000-0000-0000F92F0000}"/>
    <cellStyle name="Comma 2 2 5 4 7 6 2" xfId="36848" xr:uid="{00000000-0005-0000-0000-0000FA2F0000}"/>
    <cellStyle name="Comma 2 2 5 4 7 7" xfId="17264" xr:uid="{00000000-0005-0000-0000-0000FB2F0000}"/>
    <cellStyle name="Comma 2 2 5 4 7 7 2" xfId="40542" xr:uid="{00000000-0005-0000-0000-0000FC2F0000}"/>
    <cellStyle name="Comma 2 2 5 4 7 8" xfId="24608" xr:uid="{00000000-0005-0000-0000-0000FD2F0000}"/>
    <cellStyle name="Comma 2 2 5 4 7 9" xfId="45438" xr:uid="{00000000-0005-0000-0000-0000FE2F0000}"/>
    <cellStyle name="Comma 2 2 5 4 8" xfId="2553" xr:uid="{00000000-0005-0000-0000-0000FF2F0000}"/>
    <cellStyle name="Comma 2 2 5 4 8 2" xfId="16040" xr:uid="{00000000-0005-0000-0000-000000300000}"/>
    <cellStyle name="Comma 2 2 5 4 8 2 2" xfId="39318" xr:uid="{00000000-0005-0000-0000-000001300000}"/>
    <cellStyle name="Comma 2 2 5 4 8 3" xfId="46662" xr:uid="{00000000-0005-0000-0000-000002300000}"/>
    <cellStyle name="Comma 2 2 5 4 8 4" xfId="25832" xr:uid="{00000000-0005-0000-0000-000003300000}"/>
    <cellStyle name="Comma 2 2 5 4 9" xfId="5001" xr:uid="{00000000-0005-0000-0000-000004300000}"/>
    <cellStyle name="Comma 2 2 5 4 9 2" xfId="18488" xr:uid="{00000000-0005-0000-0000-000005300000}"/>
    <cellStyle name="Comma 2 2 5 4 9 2 2" xfId="41766" xr:uid="{00000000-0005-0000-0000-000006300000}"/>
    <cellStyle name="Comma 2 2 5 4 9 3" xfId="28280" xr:uid="{00000000-0005-0000-0000-000007300000}"/>
    <cellStyle name="Comma 2 2 5 5" xfId="122" xr:uid="{00000000-0005-0000-0000-000008300000}"/>
    <cellStyle name="Comma 2 2 5 5 10" xfId="12362" xr:uid="{00000000-0005-0000-0000-000009300000}"/>
    <cellStyle name="Comma 2 2 5 5 10 2" xfId="35641" xr:uid="{00000000-0005-0000-0000-00000A300000}"/>
    <cellStyle name="Comma 2 2 5 5 11" xfId="14833" xr:uid="{00000000-0005-0000-0000-00000B300000}"/>
    <cellStyle name="Comma 2 2 5 5 11 2" xfId="38111" xr:uid="{00000000-0005-0000-0000-00000C300000}"/>
    <cellStyle name="Comma 2 2 5 5 12" xfId="23401" xr:uid="{00000000-0005-0000-0000-00000D300000}"/>
    <cellStyle name="Comma 2 2 5 5 13" xfId="44231" xr:uid="{00000000-0005-0000-0000-00000E300000}"/>
    <cellStyle name="Comma 2 2 5 5 14" xfId="20953" xr:uid="{00000000-0005-0000-0000-00000F300000}"/>
    <cellStyle name="Comma 2 2 5 5 2" xfId="326" xr:uid="{00000000-0005-0000-0000-000010300000}"/>
    <cellStyle name="Comma 2 2 5 5 2 10" xfId="23605" xr:uid="{00000000-0005-0000-0000-000011300000}"/>
    <cellStyle name="Comma 2 2 5 5 2 11" xfId="44435" xr:uid="{00000000-0005-0000-0000-000012300000}"/>
    <cellStyle name="Comma 2 2 5 5 2 12" xfId="21157" xr:uid="{00000000-0005-0000-0000-000013300000}"/>
    <cellStyle name="Comma 2 2 5 5 2 2" xfId="938" xr:uid="{00000000-0005-0000-0000-000014300000}"/>
    <cellStyle name="Comma 2 2 5 5 2 2 10" xfId="45047" xr:uid="{00000000-0005-0000-0000-000015300000}"/>
    <cellStyle name="Comma 2 2 5 5 2 2 11" xfId="21769" xr:uid="{00000000-0005-0000-0000-000016300000}"/>
    <cellStyle name="Comma 2 2 5 5 2 2 2" xfId="2162" xr:uid="{00000000-0005-0000-0000-000017300000}"/>
    <cellStyle name="Comma 2 2 5 5 2 2 2 10" xfId="22993" xr:uid="{00000000-0005-0000-0000-000018300000}"/>
    <cellStyle name="Comma 2 2 5 5 2 2 2 2" xfId="4610" xr:uid="{00000000-0005-0000-0000-000019300000}"/>
    <cellStyle name="Comma 2 2 5 5 2 2 2 2 2" xfId="20545" xr:uid="{00000000-0005-0000-0000-00001A300000}"/>
    <cellStyle name="Comma 2 2 5 5 2 2 2 2 2 2" xfId="43823" xr:uid="{00000000-0005-0000-0000-00001B300000}"/>
    <cellStyle name="Comma 2 2 5 5 2 2 2 2 3" xfId="48719" xr:uid="{00000000-0005-0000-0000-00001C300000}"/>
    <cellStyle name="Comma 2 2 5 5 2 2 2 2 4" xfId="27889" xr:uid="{00000000-0005-0000-0000-00001D300000}"/>
    <cellStyle name="Comma 2 2 5 5 2 2 2 3" xfId="7058" xr:uid="{00000000-0005-0000-0000-00001E300000}"/>
    <cellStyle name="Comma 2 2 5 5 2 2 2 3 2" xfId="30337" xr:uid="{00000000-0005-0000-0000-00001F300000}"/>
    <cellStyle name="Comma 2 2 5 5 2 2 2 4" xfId="9506" xr:uid="{00000000-0005-0000-0000-000020300000}"/>
    <cellStyle name="Comma 2 2 5 5 2 2 2 4 2" xfId="32785" xr:uid="{00000000-0005-0000-0000-000021300000}"/>
    <cellStyle name="Comma 2 2 5 5 2 2 2 5" xfId="11954" xr:uid="{00000000-0005-0000-0000-000022300000}"/>
    <cellStyle name="Comma 2 2 5 5 2 2 2 5 2" xfId="35233" xr:uid="{00000000-0005-0000-0000-000023300000}"/>
    <cellStyle name="Comma 2 2 5 5 2 2 2 6" xfId="14402" xr:uid="{00000000-0005-0000-0000-000024300000}"/>
    <cellStyle name="Comma 2 2 5 5 2 2 2 6 2" xfId="37681" xr:uid="{00000000-0005-0000-0000-000025300000}"/>
    <cellStyle name="Comma 2 2 5 5 2 2 2 7" xfId="18097" xr:uid="{00000000-0005-0000-0000-000026300000}"/>
    <cellStyle name="Comma 2 2 5 5 2 2 2 7 2" xfId="41375" xr:uid="{00000000-0005-0000-0000-000027300000}"/>
    <cellStyle name="Comma 2 2 5 5 2 2 2 8" xfId="25441" xr:uid="{00000000-0005-0000-0000-000028300000}"/>
    <cellStyle name="Comma 2 2 5 5 2 2 2 9" xfId="46271" xr:uid="{00000000-0005-0000-0000-000029300000}"/>
    <cellStyle name="Comma 2 2 5 5 2 2 3" xfId="3386" xr:uid="{00000000-0005-0000-0000-00002A300000}"/>
    <cellStyle name="Comma 2 2 5 5 2 2 3 2" xfId="16873" xr:uid="{00000000-0005-0000-0000-00002B300000}"/>
    <cellStyle name="Comma 2 2 5 5 2 2 3 2 2" xfId="40151" xr:uid="{00000000-0005-0000-0000-00002C300000}"/>
    <cellStyle name="Comma 2 2 5 5 2 2 3 3" xfId="47495" xr:uid="{00000000-0005-0000-0000-00002D300000}"/>
    <cellStyle name="Comma 2 2 5 5 2 2 3 4" xfId="26665" xr:uid="{00000000-0005-0000-0000-00002E300000}"/>
    <cellStyle name="Comma 2 2 5 5 2 2 4" xfId="5834" xr:uid="{00000000-0005-0000-0000-00002F300000}"/>
    <cellStyle name="Comma 2 2 5 5 2 2 4 2" xfId="19321" xr:uid="{00000000-0005-0000-0000-000030300000}"/>
    <cellStyle name="Comma 2 2 5 5 2 2 4 2 2" xfId="42599" xr:uid="{00000000-0005-0000-0000-000031300000}"/>
    <cellStyle name="Comma 2 2 5 5 2 2 4 3" xfId="29113" xr:uid="{00000000-0005-0000-0000-000032300000}"/>
    <cellStyle name="Comma 2 2 5 5 2 2 5" xfId="8282" xr:uid="{00000000-0005-0000-0000-000033300000}"/>
    <cellStyle name="Comma 2 2 5 5 2 2 5 2" xfId="31561" xr:uid="{00000000-0005-0000-0000-000034300000}"/>
    <cellStyle name="Comma 2 2 5 5 2 2 6" xfId="10730" xr:uid="{00000000-0005-0000-0000-000035300000}"/>
    <cellStyle name="Comma 2 2 5 5 2 2 6 2" xfId="34009" xr:uid="{00000000-0005-0000-0000-000036300000}"/>
    <cellStyle name="Comma 2 2 5 5 2 2 7" xfId="13178" xr:uid="{00000000-0005-0000-0000-000037300000}"/>
    <cellStyle name="Comma 2 2 5 5 2 2 7 2" xfId="36457" xr:uid="{00000000-0005-0000-0000-000038300000}"/>
    <cellStyle name="Comma 2 2 5 5 2 2 8" xfId="15649" xr:uid="{00000000-0005-0000-0000-000039300000}"/>
    <cellStyle name="Comma 2 2 5 5 2 2 8 2" xfId="38927" xr:uid="{00000000-0005-0000-0000-00003A300000}"/>
    <cellStyle name="Comma 2 2 5 5 2 2 9" xfId="24217" xr:uid="{00000000-0005-0000-0000-00003B300000}"/>
    <cellStyle name="Comma 2 2 5 5 2 3" xfId="1550" xr:uid="{00000000-0005-0000-0000-00003C300000}"/>
    <cellStyle name="Comma 2 2 5 5 2 3 10" xfId="22381" xr:uid="{00000000-0005-0000-0000-00003D300000}"/>
    <cellStyle name="Comma 2 2 5 5 2 3 2" xfId="3998" xr:uid="{00000000-0005-0000-0000-00003E300000}"/>
    <cellStyle name="Comma 2 2 5 5 2 3 2 2" xfId="19933" xr:uid="{00000000-0005-0000-0000-00003F300000}"/>
    <cellStyle name="Comma 2 2 5 5 2 3 2 2 2" xfId="43211" xr:uid="{00000000-0005-0000-0000-000040300000}"/>
    <cellStyle name="Comma 2 2 5 5 2 3 2 3" xfId="48107" xr:uid="{00000000-0005-0000-0000-000041300000}"/>
    <cellStyle name="Comma 2 2 5 5 2 3 2 4" xfId="27277" xr:uid="{00000000-0005-0000-0000-000042300000}"/>
    <cellStyle name="Comma 2 2 5 5 2 3 3" xfId="6446" xr:uid="{00000000-0005-0000-0000-000043300000}"/>
    <cellStyle name="Comma 2 2 5 5 2 3 3 2" xfId="29725" xr:uid="{00000000-0005-0000-0000-000044300000}"/>
    <cellStyle name="Comma 2 2 5 5 2 3 4" xfId="8894" xr:uid="{00000000-0005-0000-0000-000045300000}"/>
    <cellStyle name="Comma 2 2 5 5 2 3 4 2" xfId="32173" xr:uid="{00000000-0005-0000-0000-000046300000}"/>
    <cellStyle name="Comma 2 2 5 5 2 3 5" xfId="11342" xr:uid="{00000000-0005-0000-0000-000047300000}"/>
    <cellStyle name="Comma 2 2 5 5 2 3 5 2" xfId="34621" xr:uid="{00000000-0005-0000-0000-000048300000}"/>
    <cellStyle name="Comma 2 2 5 5 2 3 6" xfId="13790" xr:uid="{00000000-0005-0000-0000-000049300000}"/>
    <cellStyle name="Comma 2 2 5 5 2 3 6 2" xfId="37069" xr:uid="{00000000-0005-0000-0000-00004A300000}"/>
    <cellStyle name="Comma 2 2 5 5 2 3 7" xfId="17485" xr:uid="{00000000-0005-0000-0000-00004B300000}"/>
    <cellStyle name="Comma 2 2 5 5 2 3 7 2" xfId="40763" xr:uid="{00000000-0005-0000-0000-00004C300000}"/>
    <cellStyle name="Comma 2 2 5 5 2 3 8" xfId="24829" xr:uid="{00000000-0005-0000-0000-00004D300000}"/>
    <cellStyle name="Comma 2 2 5 5 2 3 9" xfId="45659" xr:uid="{00000000-0005-0000-0000-00004E300000}"/>
    <cellStyle name="Comma 2 2 5 5 2 4" xfId="2774" xr:uid="{00000000-0005-0000-0000-00004F300000}"/>
    <cellStyle name="Comma 2 2 5 5 2 4 2" xfId="16261" xr:uid="{00000000-0005-0000-0000-000050300000}"/>
    <cellStyle name="Comma 2 2 5 5 2 4 2 2" xfId="39539" xr:uid="{00000000-0005-0000-0000-000051300000}"/>
    <cellStyle name="Comma 2 2 5 5 2 4 3" xfId="46883" xr:uid="{00000000-0005-0000-0000-000052300000}"/>
    <cellStyle name="Comma 2 2 5 5 2 4 4" xfId="26053" xr:uid="{00000000-0005-0000-0000-000053300000}"/>
    <cellStyle name="Comma 2 2 5 5 2 5" xfId="5222" xr:uid="{00000000-0005-0000-0000-000054300000}"/>
    <cellStyle name="Comma 2 2 5 5 2 5 2" xfId="18709" xr:uid="{00000000-0005-0000-0000-000055300000}"/>
    <cellStyle name="Comma 2 2 5 5 2 5 2 2" xfId="41987" xr:uid="{00000000-0005-0000-0000-000056300000}"/>
    <cellStyle name="Comma 2 2 5 5 2 5 3" xfId="28501" xr:uid="{00000000-0005-0000-0000-000057300000}"/>
    <cellStyle name="Comma 2 2 5 5 2 6" xfId="7670" xr:uid="{00000000-0005-0000-0000-000058300000}"/>
    <cellStyle name="Comma 2 2 5 5 2 6 2" xfId="30949" xr:uid="{00000000-0005-0000-0000-000059300000}"/>
    <cellStyle name="Comma 2 2 5 5 2 7" xfId="10118" xr:uid="{00000000-0005-0000-0000-00005A300000}"/>
    <cellStyle name="Comma 2 2 5 5 2 7 2" xfId="33397" xr:uid="{00000000-0005-0000-0000-00005B300000}"/>
    <cellStyle name="Comma 2 2 5 5 2 8" xfId="12566" xr:uid="{00000000-0005-0000-0000-00005C300000}"/>
    <cellStyle name="Comma 2 2 5 5 2 8 2" xfId="35845" xr:uid="{00000000-0005-0000-0000-00005D300000}"/>
    <cellStyle name="Comma 2 2 5 5 2 9" xfId="15037" xr:uid="{00000000-0005-0000-0000-00005E300000}"/>
    <cellStyle name="Comma 2 2 5 5 2 9 2" xfId="38315" xr:uid="{00000000-0005-0000-0000-00005F300000}"/>
    <cellStyle name="Comma 2 2 5 5 3" xfId="530" xr:uid="{00000000-0005-0000-0000-000060300000}"/>
    <cellStyle name="Comma 2 2 5 5 3 10" xfId="23809" xr:uid="{00000000-0005-0000-0000-000061300000}"/>
    <cellStyle name="Comma 2 2 5 5 3 11" xfId="44639" xr:uid="{00000000-0005-0000-0000-000062300000}"/>
    <cellStyle name="Comma 2 2 5 5 3 12" xfId="21361" xr:uid="{00000000-0005-0000-0000-000063300000}"/>
    <cellStyle name="Comma 2 2 5 5 3 2" xfId="1142" xr:uid="{00000000-0005-0000-0000-000064300000}"/>
    <cellStyle name="Comma 2 2 5 5 3 2 10" xfId="45251" xr:uid="{00000000-0005-0000-0000-000065300000}"/>
    <cellStyle name="Comma 2 2 5 5 3 2 11" xfId="21973" xr:uid="{00000000-0005-0000-0000-000066300000}"/>
    <cellStyle name="Comma 2 2 5 5 3 2 2" xfId="2366" xr:uid="{00000000-0005-0000-0000-000067300000}"/>
    <cellStyle name="Comma 2 2 5 5 3 2 2 10" xfId="23197" xr:uid="{00000000-0005-0000-0000-000068300000}"/>
    <cellStyle name="Comma 2 2 5 5 3 2 2 2" xfId="4814" xr:uid="{00000000-0005-0000-0000-000069300000}"/>
    <cellStyle name="Comma 2 2 5 5 3 2 2 2 2" xfId="20749" xr:uid="{00000000-0005-0000-0000-00006A300000}"/>
    <cellStyle name="Comma 2 2 5 5 3 2 2 2 2 2" xfId="44027" xr:uid="{00000000-0005-0000-0000-00006B300000}"/>
    <cellStyle name="Comma 2 2 5 5 3 2 2 2 3" xfId="48923" xr:uid="{00000000-0005-0000-0000-00006C300000}"/>
    <cellStyle name="Comma 2 2 5 5 3 2 2 2 4" xfId="28093" xr:uid="{00000000-0005-0000-0000-00006D300000}"/>
    <cellStyle name="Comma 2 2 5 5 3 2 2 3" xfId="7262" xr:uid="{00000000-0005-0000-0000-00006E300000}"/>
    <cellStyle name="Comma 2 2 5 5 3 2 2 3 2" xfId="30541" xr:uid="{00000000-0005-0000-0000-00006F300000}"/>
    <cellStyle name="Comma 2 2 5 5 3 2 2 4" xfId="9710" xr:uid="{00000000-0005-0000-0000-000070300000}"/>
    <cellStyle name="Comma 2 2 5 5 3 2 2 4 2" xfId="32989" xr:uid="{00000000-0005-0000-0000-000071300000}"/>
    <cellStyle name="Comma 2 2 5 5 3 2 2 5" xfId="12158" xr:uid="{00000000-0005-0000-0000-000072300000}"/>
    <cellStyle name="Comma 2 2 5 5 3 2 2 5 2" xfId="35437" xr:uid="{00000000-0005-0000-0000-000073300000}"/>
    <cellStyle name="Comma 2 2 5 5 3 2 2 6" xfId="14606" xr:uid="{00000000-0005-0000-0000-000074300000}"/>
    <cellStyle name="Comma 2 2 5 5 3 2 2 6 2" xfId="37885" xr:uid="{00000000-0005-0000-0000-000075300000}"/>
    <cellStyle name="Comma 2 2 5 5 3 2 2 7" xfId="18301" xr:uid="{00000000-0005-0000-0000-000076300000}"/>
    <cellStyle name="Comma 2 2 5 5 3 2 2 7 2" xfId="41579" xr:uid="{00000000-0005-0000-0000-000077300000}"/>
    <cellStyle name="Comma 2 2 5 5 3 2 2 8" xfId="25645" xr:uid="{00000000-0005-0000-0000-000078300000}"/>
    <cellStyle name="Comma 2 2 5 5 3 2 2 9" xfId="46475" xr:uid="{00000000-0005-0000-0000-000079300000}"/>
    <cellStyle name="Comma 2 2 5 5 3 2 3" xfId="3590" xr:uid="{00000000-0005-0000-0000-00007A300000}"/>
    <cellStyle name="Comma 2 2 5 5 3 2 3 2" xfId="17077" xr:uid="{00000000-0005-0000-0000-00007B300000}"/>
    <cellStyle name="Comma 2 2 5 5 3 2 3 2 2" xfId="40355" xr:uid="{00000000-0005-0000-0000-00007C300000}"/>
    <cellStyle name="Comma 2 2 5 5 3 2 3 3" xfId="47699" xr:uid="{00000000-0005-0000-0000-00007D300000}"/>
    <cellStyle name="Comma 2 2 5 5 3 2 3 4" xfId="26869" xr:uid="{00000000-0005-0000-0000-00007E300000}"/>
    <cellStyle name="Comma 2 2 5 5 3 2 4" xfId="6038" xr:uid="{00000000-0005-0000-0000-00007F300000}"/>
    <cellStyle name="Comma 2 2 5 5 3 2 4 2" xfId="19525" xr:uid="{00000000-0005-0000-0000-000080300000}"/>
    <cellStyle name="Comma 2 2 5 5 3 2 4 2 2" xfId="42803" xr:uid="{00000000-0005-0000-0000-000081300000}"/>
    <cellStyle name="Comma 2 2 5 5 3 2 4 3" xfId="29317" xr:uid="{00000000-0005-0000-0000-000082300000}"/>
    <cellStyle name="Comma 2 2 5 5 3 2 5" xfId="8486" xr:uid="{00000000-0005-0000-0000-000083300000}"/>
    <cellStyle name="Comma 2 2 5 5 3 2 5 2" xfId="31765" xr:uid="{00000000-0005-0000-0000-000084300000}"/>
    <cellStyle name="Comma 2 2 5 5 3 2 6" xfId="10934" xr:uid="{00000000-0005-0000-0000-000085300000}"/>
    <cellStyle name="Comma 2 2 5 5 3 2 6 2" xfId="34213" xr:uid="{00000000-0005-0000-0000-000086300000}"/>
    <cellStyle name="Comma 2 2 5 5 3 2 7" xfId="13382" xr:uid="{00000000-0005-0000-0000-000087300000}"/>
    <cellStyle name="Comma 2 2 5 5 3 2 7 2" xfId="36661" xr:uid="{00000000-0005-0000-0000-000088300000}"/>
    <cellStyle name="Comma 2 2 5 5 3 2 8" xfId="15853" xr:uid="{00000000-0005-0000-0000-000089300000}"/>
    <cellStyle name="Comma 2 2 5 5 3 2 8 2" xfId="39131" xr:uid="{00000000-0005-0000-0000-00008A300000}"/>
    <cellStyle name="Comma 2 2 5 5 3 2 9" xfId="24421" xr:uid="{00000000-0005-0000-0000-00008B300000}"/>
    <cellStyle name="Comma 2 2 5 5 3 3" xfId="1754" xr:uid="{00000000-0005-0000-0000-00008C300000}"/>
    <cellStyle name="Comma 2 2 5 5 3 3 10" xfId="22585" xr:uid="{00000000-0005-0000-0000-00008D300000}"/>
    <cellStyle name="Comma 2 2 5 5 3 3 2" xfId="4202" xr:uid="{00000000-0005-0000-0000-00008E300000}"/>
    <cellStyle name="Comma 2 2 5 5 3 3 2 2" xfId="20137" xr:uid="{00000000-0005-0000-0000-00008F300000}"/>
    <cellStyle name="Comma 2 2 5 5 3 3 2 2 2" xfId="43415" xr:uid="{00000000-0005-0000-0000-000090300000}"/>
    <cellStyle name="Comma 2 2 5 5 3 3 2 3" xfId="48311" xr:uid="{00000000-0005-0000-0000-000091300000}"/>
    <cellStyle name="Comma 2 2 5 5 3 3 2 4" xfId="27481" xr:uid="{00000000-0005-0000-0000-000092300000}"/>
    <cellStyle name="Comma 2 2 5 5 3 3 3" xfId="6650" xr:uid="{00000000-0005-0000-0000-000093300000}"/>
    <cellStyle name="Comma 2 2 5 5 3 3 3 2" xfId="29929" xr:uid="{00000000-0005-0000-0000-000094300000}"/>
    <cellStyle name="Comma 2 2 5 5 3 3 4" xfId="9098" xr:uid="{00000000-0005-0000-0000-000095300000}"/>
    <cellStyle name="Comma 2 2 5 5 3 3 4 2" xfId="32377" xr:uid="{00000000-0005-0000-0000-000096300000}"/>
    <cellStyle name="Comma 2 2 5 5 3 3 5" xfId="11546" xr:uid="{00000000-0005-0000-0000-000097300000}"/>
    <cellStyle name="Comma 2 2 5 5 3 3 5 2" xfId="34825" xr:uid="{00000000-0005-0000-0000-000098300000}"/>
    <cellStyle name="Comma 2 2 5 5 3 3 6" xfId="13994" xr:uid="{00000000-0005-0000-0000-000099300000}"/>
    <cellStyle name="Comma 2 2 5 5 3 3 6 2" xfId="37273" xr:uid="{00000000-0005-0000-0000-00009A300000}"/>
    <cellStyle name="Comma 2 2 5 5 3 3 7" xfId="17689" xr:uid="{00000000-0005-0000-0000-00009B300000}"/>
    <cellStyle name="Comma 2 2 5 5 3 3 7 2" xfId="40967" xr:uid="{00000000-0005-0000-0000-00009C300000}"/>
    <cellStyle name="Comma 2 2 5 5 3 3 8" xfId="25033" xr:uid="{00000000-0005-0000-0000-00009D300000}"/>
    <cellStyle name="Comma 2 2 5 5 3 3 9" xfId="45863" xr:uid="{00000000-0005-0000-0000-00009E300000}"/>
    <cellStyle name="Comma 2 2 5 5 3 4" xfId="2978" xr:uid="{00000000-0005-0000-0000-00009F300000}"/>
    <cellStyle name="Comma 2 2 5 5 3 4 2" xfId="16465" xr:uid="{00000000-0005-0000-0000-0000A0300000}"/>
    <cellStyle name="Comma 2 2 5 5 3 4 2 2" xfId="39743" xr:uid="{00000000-0005-0000-0000-0000A1300000}"/>
    <cellStyle name="Comma 2 2 5 5 3 4 3" xfId="47087" xr:uid="{00000000-0005-0000-0000-0000A2300000}"/>
    <cellStyle name="Comma 2 2 5 5 3 4 4" xfId="26257" xr:uid="{00000000-0005-0000-0000-0000A3300000}"/>
    <cellStyle name="Comma 2 2 5 5 3 5" xfId="5426" xr:uid="{00000000-0005-0000-0000-0000A4300000}"/>
    <cellStyle name="Comma 2 2 5 5 3 5 2" xfId="18913" xr:uid="{00000000-0005-0000-0000-0000A5300000}"/>
    <cellStyle name="Comma 2 2 5 5 3 5 2 2" xfId="42191" xr:uid="{00000000-0005-0000-0000-0000A6300000}"/>
    <cellStyle name="Comma 2 2 5 5 3 5 3" xfId="28705" xr:uid="{00000000-0005-0000-0000-0000A7300000}"/>
    <cellStyle name="Comma 2 2 5 5 3 6" xfId="7874" xr:uid="{00000000-0005-0000-0000-0000A8300000}"/>
    <cellStyle name="Comma 2 2 5 5 3 6 2" xfId="31153" xr:uid="{00000000-0005-0000-0000-0000A9300000}"/>
    <cellStyle name="Comma 2 2 5 5 3 7" xfId="10322" xr:uid="{00000000-0005-0000-0000-0000AA300000}"/>
    <cellStyle name="Comma 2 2 5 5 3 7 2" xfId="33601" xr:uid="{00000000-0005-0000-0000-0000AB300000}"/>
    <cellStyle name="Comma 2 2 5 5 3 8" xfId="12770" xr:uid="{00000000-0005-0000-0000-0000AC300000}"/>
    <cellStyle name="Comma 2 2 5 5 3 8 2" xfId="36049" xr:uid="{00000000-0005-0000-0000-0000AD300000}"/>
    <cellStyle name="Comma 2 2 5 5 3 9" xfId="15241" xr:uid="{00000000-0005-0000-0000-0000AE300000}"/>
    <cellStyle name="Comma 2 2 5 5 3 9 2" xfId="38519" xr:uid="{00000000-0005-0000-0000-0000AF300000}"/>
    <cellStyle name="Comma 2 2 5 5 4" xfId="734" xr:uid="{00000000-0005-0000-0000-0000B0300000}"/>
    <cellStyle name="Comma 2 2 5 5 4 10" xfId="44843" xr:uid="{00000000-0005-0000-0000-0000B1300000}"/>
    <cellStyle name="Comma 2 2 5 5 4 11" xfId="21565" xr:uid="{00000000-0005-0000-0000-0000B2300000}"/>
    <cellStyle name="Comma 2 2 5 5 4 2" xfId="1958" xr:uid="{00000000-0005-0000-0000-0000B3300000}"/>
    <cellStyle name="Comma 2 2 5 5 4 2 10" xfId="22789" xr:uid="{00000000-0005-0000-0000-0000B4300000}"/>
    <cellStyle name="Comma 2 2 5 5 4 2 2" xfId="4406" xr:uid="{00000000-0005-0000-0000-0000B5300000}"/>
    <cellStyle name="Comma 2 2 5 5 4 2 2 2" xfId="20341" xr:uid="{00000000-0005-0000-0000-0000B6300000}"/>
    <cellStyle name="Comma 2 2 5 5 4 2 2 2 2" xfId="43619" xr:uid="{00000000-0005-0000-0000-0000B7300000}"/>
    <cellStyle name="Comma 2 2 5 5 4 2 2 3" xfId="48515" xr:uid="{00000000-0005-0000-0000-0000B8300000}"/>
    <cellStyle name="Comma 2 2 5 5 4 2 2 4" xfId="27685" xr:uid="{00000000-0005-0000-0000-0000B9300000}"/>
    <cellStyle name="Comma 2 2 5 5 4 2 3" xfId="6854" xr:uid="{00000000-0005-0000-0000-0000BA300000}"/>
    <cellStyle name="Comma 2 2 5 5 4 2 3 2" xfId="30133" xr:uid="{00000000-0005-0000-0000-0000BB300000}"/>
    <cellStyle name="Comma 2 2 5 5 4 2 4" xfId="9302" xr:uid="{00000000-0005-0000-0000-0000BC300000}"/>
    <cellStyle name="Comma 2 2 5 5 4 2 4 2" xfId="32581" xr:uid="{00000000-0005-0000-0000-0000BD300000}"/>
    <cellStyle name="Comma 2 2 5 5 4 2 5" xfId="11750" xr:uid="{00000000-0005-0000-0000-0000BE300000}"/>
    <cellStyle name="Comma 2 2 5 5 4 2 5 2" xfId="35029" xr:uid="{00000000-0005-0000-0000-0000BF300000}"/>
    <cellStyle name="Comma 2 2 5 5 4 2 6" xfId="14198" xr:uid="{00000000-0005-0000-0000-0000C0300000}"/>
    <cellStyle name="Comma 2 2 5 5 4 2 6 2" xfId="37477" xr:uid="{00000000-0005-0000-0000-0000C1300000}"/>
    <cellStyle name="Comma 2 2 5 5 4 2 7" xfId="17893" xr:uid="{00000000-0005-0000-0000-0000C2300000}"/>
    <cellStyle name="Comma 2 2 5 5 4 2 7 2" xfId="41171" xr:uid="{00000000-0005-0000-0000-0000C3300000}"/>
    <cellStyle name="Comma 2 2 5 5 4 2 8" xfId="25237" xr:uid="{00000000-0005-0000-0000-0000C4300000}"/>
    <cellStyle name="Comma 2 2 5 5 4 2 9" xfId="46067" xr:uid="{00000000-0005-0000-0000-0000C5300000}"/>
    <cellStyle name="Comma 2 2 5 5 4 3" xfId="3182" xr:uid="{00000000-0005-0000-0000-0000C6300000}"/>
    <cellStyle name="Comma 2 2 5 5 4 3 2" xfId="16669" xr:uid="{00000000-0005-0000-0000-0000C7300000}"/>
    <cellStyle name="Comma 2 2 5 5 4 3 2 2" xfId="39947" xr:uid="{00000000-0005-0000-0000-0000C8300000}"/>
    <cellStyle name="Comma 2 2 5 5 4 3 3" xfId="47291" xr:uid="{00000000-0005-0000-0000-0000C9300000}"/>
    <cellStyle name="Comma 2 2 5 5 4 3 4" xfId="26461" xr:uid="{00000000-0005-0000-0000-0000CA300000}"/>
    <cellStyle name="Comma 2 2 5 5 4 4" xfId="5630" xr:uid="{00000000-0005-0000-0000-0000CB300000}"/>
    <cellStyle name="Comma 2 2 5 5 4 4 2" xfId="19117" xr:uid="{00000000-0005-0000-0000-0000CC300000}"/>
    <cellStyle name="Comma 2 2 5 5 4 4 2 2" xfId="42395" xr:uid="{00000000-0005-0000-0000-0000CD300000}"/>
    <cellStyle name="Comma 2 2 5 5 4 4 3" xfId="28909" xr:uid="{00000000-0005-0000-0000-0000CE300000}"/>
    <cellStyle name="Comma 2 2 5 5 4 5" xfId="8078" xr:uid="{00000000-0005-0000-0000-0000CF300000}"/>
    <cellStyle name="Comma 2 2 5 5 4 5 2" xfId="31357" xr:uid="{00000000-0005-0000-0000-0000D0300000}"/>
    <cellStyle name="Comma 2 2 5 5 4 6" xfId="10526" xr:uid="{00000000-0005-0000-0000-0000D1300000}"/>
    <cellStyle name="Comma 2 2 5 5 4 6 2" xfId="33805" xr:uid="{00000000-0005-0000-0000-0000D2300000}"/>
    <cellStyle name="Comma 2 2 5 5 4 7" xfId="12974" xr:uid="{00000000-0005-0000-0000-0000D3300000}"/>
    <cellStyle name="Comma 2 2 5 5 4 7 2" xfId="36253" xr:uid="{00000000-0005-0000-0000-0000D4300000}"/>
    <cellStyle name="Comma 2 2 5 5 4 8" xfId="15445" xr:uid="{00000000-0005-0000-0000-0000D5300000}"/>
    <cellStyle name="Comma 2 2 5 5 4 8 2" xfId="38723" xr:uid="{00000000-0005-0000-0000-0000D6300000}"/>
    <cellStyle name="Comma 2 2 5 5 4 9" xfId="24013" xr:uid="{00000000-0005-0000-0000-0000D7300000}"/>
    <cellStyle name="Comma 2 2 5 5 5" xfId="1346" xr:uid="{00000000-0005-0000-0000-0000D8300000}"/>
    <cellStyle name="Comma 2 2 5 5 5 10" xfId="22177" xr:uid="{00000000-0005-0000-0000-0000D9300000}"/>
    <cellStyle name="Comma 2 2 5 5 5 2" xfId="3794" xr:uid="{00000000-0005-0000-0000-0000DA300000}"/>
    <cellStyle name="Comma 2 2 5 5 5 2 2" xfId="19729" xr:uid="{00000000-0005-0000-0000-0000DB300000}"/>
    <cellStyle name="Comma 2 2 5 5 5 2 2 2" xfId="43007" xr:uid="{00000000-0005-0000-0000-0000DC300000}"/>
    <cellStyle name="Comma 2 2 5 5 5 2 3" xfId="47903" xr:uid="{00000000-0005-0000-0000-0000DD300000}"/>
    <cellStyle name="Comma 2 2 5 5 5 2 4" xfId="27073" xr:uid="{00000000-0005-0000-0000-0000DE300000}"/>
    <cellStyle name="Comma 2 2 5 5 5 3" xfId="6242" xr:uid="{00000000-0005-0000-0000-0000DF300000}"/>
    <cellStyle name="Comma 2 2 5 5 5 3 2" xfId="29521" xr:uid="{00000000-0005-0000-0000-0000E0300000}"/>
    <cellStyle name="Comma 2 2 5 5 5 4" xfId="8690" xr:uid="{00000000-0005-0000-0000-0000E1300000}"/>
    <cellStyle name="Comma 2 2 5 5 5 4 2" xfId="31969" xr:uid="{00000000-0005-0000-0000-0000E2300000}"/>
    <cellStyle name="Comma 2 2 5 5 5 5" xfId="11138" xr:uid="{00000000-0005-0000-0000-0000E3300000}"/>
    <cellStyle name="Comma 2 2 5 5 5 5 2" xfId="34417" xr:uid="{00000000-0005-0000-0000-0000E4300000}"/>
    <cellStyle name="Comma 2 2 5 5 5 6" xfId="13586" xr:uid="{00000000-0005-0000-0000-0000E5300000}"/>
    <cellStyle name="Comma 2 2 5 5 5 6 2" xfId="36865" xr:uid="{00000000-0005-0000-0000-0000E6300000}"/>
    <cellStyle name="Comma 2 2 5 5 5 7" xfId="17281" xr:uid="{00000000-0005-0000-0000-0000E7300000}"/>
    <cellStyle name="Comma 2 2 5 5 5 7 2" xfId="40559" xr:uid="{00000000-0005-0000-0000-0000E8300000}"/>
    <cellStyle name="Comma 2 2 5 5 5 8" xfId="24625" xr:uid="{00000000-0005-0000-0000-0000E9300000}"/>
    <cellStyle name="Comma 2 2 5 5 5 9" xfId="45455" xr:uid="{00000000-0005-0000-0000-0000EA300000}"/>
    <cellStyle name="Comma 2 2 5 5 6" xfId="2570" xr:uid="{00000000-0005-0000-0000-0000EB300000}"/>
    <cellStyle name="Comma 2 2 5 5 6 2" xfId="16057" xr:uid="{00000000-0005-0000-0000-0000EC300000}"/>
    <cellStyle name="Comma 2 2 5 5 6 2 2" xfId="39335" xr:uid="{00000000-0005-0000-0000-0000ED300000}"/>
    <cellStyle name="Comma 2 2 5 5 6 3" xfId="46679" xr:uid="{00000000-0005-0000-0000-0000EE300000}"/>
    <cellStyle name="Comma 2 2 5 5 6 4" xfId="25849" xr:uid="{00000000-0005-0000-0000-0000EF300000}"/>
    <cellStyle name="Comma 2 2 5 5 7" xfId="5018" xr:uid="{00000000-0005-0000-0000-0000F0300000}"/>
    <cellStyle name="Comma 2 2 5 5 7 2" xfId="18505" xr:uid="{00000000-0005-0000-0000-0000F1300000}"/>
    <cellStyle name="Comma 2 2 5 5 7 2 2" xfId="41783" xr:uid="{00000000-0005-0000-0000-0000F2300000}"/>
    <cellStyle name="Comma 2 2 5 5 7 3" xfId="28297" xr:uid="{00000000-0005-0000-0000-0000F3300000}"/>
    <cellStyle name="Comma 2 2 5 5 8" xfId="7466" xr:uid="{00000000-0005-0000-0000-0000F4300000}"/>
    <cellStyle name="Comma 2 2 5 5 8 2" xfId="30745" xr:uid="{00000000-0005-0000-0000-0000F5300000}"/>
    <cellStyle name="Comma 2 2 5 5 9" xfId="9914" xr:uid="{00000000-0005-0000-0000-0000F6300000}"/>
    <cellStyle name="Comma 2 2 5 5 9 2" xfId="33193" xr:uid="{00000000-0005-0000-0000-0000F7300000}"/>
    <cellStyle name="Comma 2 2 5 6" xfId="190" xr:uid="{00000000-0005-0000-0000-0000F8300000}"/>
    <cellStyle name="Comma 2 2 5 6 10" xfId="12430" xr:uid="{00000000-0005-0000-0000-0000F9300000}"/>
    <cellStyle name="Comma 2 2 5 6 10 2" xfId="35709" xr:uid="{00000000-0005-0000-0000-0000FA300000}"/>
    <cellStyle name="Comma 2 2 5 6 11" xfId="14901" xr:uid="{00000000-0005-0000-0000-0000FB300000}"/>
    <cellStyle name="Comma 2 2 5 6 11 2" xfId="38179" xr:uid="{00000000-0005-0000-0000-0000FC300000}"/>
    <cellStyle name="Comma 2 2 5 6 12" xfId="23469" xr:uid="{00000000-0005-0000-0000-0000FD300000}"/>
    <cellStyle name="Comma 2 2 5 6 13" xfId="44299" xr:uid="{00000000-0005-0000-0000-0000FE300000}"/>
    <cellStyle name="Comma 2 2 5 6 14" xfId="21021" xr:uid="{00000000-0005-0000-0000-0000FF300000}"/>
    <cellStyle name="Comma 2 2 5 6 2" xfId="394" xr:uid="{00000000-0005-0000-0000-000000310000}"/>
    <cellStyle name="Comma 2 2 5 6 2 10" xfId="23673" xr:uid="{00000000-0005-0000-0000-000001310000}"/>
    <cellStyle name="Comma 2 2 5 6 2 11" xfId="44503" xr:uid="{00000000-0005-0000-0000-000002310000}"/>
    <cellStyle name="Comma 2 2 5 6 2 12" xfId="21225" xr:uid="{00000000-0005-0000-0000-000003310000}"/>
    <cellStyle name="Comma 2 2 5 6 2 2" xfId="1006" xr:uid="{00000000-0005-0000-0000-000004310000}"/>
    <cellStyle name="Comma 2 2 5 6 2 2 10" xfId="45115" xr:uid="{00000000-0005-0000-0000-000005310000}"/>
    <cellStyle name="Comma 2 2 5 6 2 2 11" xfId="21837" xr:uid="{00000000-0005-0000-0000-000006310000}"/>
    <cellStyle name="Comma 2 2 5 6 2 2 2" xfId="2230" xr:uid="{00000000-0005-0000-0000-000007310000}"/>
    <cellStyle name="Comma 2 2 5 6 2 2 2 10" xfId="23061" xr:uid="{00000000-0005-0000-0000-000008310000}"/>
    <cellStyle name="Comma 2 2 5 6 2 2 2 2" xfId="4678" xr:uid="{00000000-0005-0000-0000-000009310000}"/>
    <cellStyle name="Comma 2 2 5 6 2 2 2 2 2" xfId="20613" xr:uid="{00000000-0005-0000-0000-00000A310000}"/>
    <cellStyle name="Comma 2 2 5 6 2 2 2 2 2 2" xfId="43891" xr:uid="{00000000-0005-0000-0000-00000B310000}"/>
    <cellStyle name="Comma 2 2 5 6 2 2 2 2 3" xfId="48787" xr:uid="{00000000-0005-0000-0000-00000C310000}"/>
    <cellStyle name="Comma 2 2 5 6 2 2 2 2 4" xfId="27957" xr:uid="{00000000-0005-0000-0000-00000D310000}"/>
    <cellStyle name="Comma 2 2 5 6 2 2 2 3" xfId="7126" xr:uid="{00000000-0005-0000-0000-00000E310000}"/>
    <cellStyle name="Comma 2 2 5 6 2 2 2 3 2" xfId="30405" xr:uid="{00000000-0005-0000-0000-00000F310000}"/>
    <cellStyle name="Comma 2 2 5 6 2 2 2 4" xfId="9574" xr:uid="{00000000-0005-0000-0000-000010310000}"/>
    <cellStyle name="Comma 2 2 5 6 2 2 2 4 2" xfId="32853" xr:uid="{00000000-0005-0000-0000-000011310000}"/>
    <cellStyle name="Comma 2 2 5 6 2 2 2 5" xfId="12022" xr:uid="{00000000-0005-0000-0000-000012310000}"/>
    <cellStyle name="Comma 2 2 5 6 2 2 2 5 2" xfId="35301" xr:uid="{00000000-0005-0000-0000-000013310000}"/>
    <cellStyle name="Comma 2 2 5 6 2 2 2 6" xfId="14470" xr:uid="{00000000-0005-0000-0000-000014310000}"/>
    <cellStyle name="Comma 2 2 5 6 2 2 2 6 2" xfId="37749" xr:uid="{00000000-0005-0000-0000-000015310000}"/>
    <cellStyle name="Comma 2 2 5 6 2 2 2 7" xfId="18165" xr:uid="{00000000-0005-0000-0000-000016310000}"/>
    <cellStyle name="Comma 2 2 5 6 2 2 2 7 2" xfId="41443" xr:uid="{00000000-0005-0000-0000-000017310000}"/>
    <cellStyle name="Comma 2 2 5 6 2 2 2 8" xfId="25509" xr:uid="{00000000-0005-0000-0000-000018310000}"/>
    <cellStyle name="Comma 2 2 5 6 2 2 2 9" xfId="46339" xr:uid="{00000000-0005-0000-0000-000019310000}"/>
    <cellStyle name="Comma 2 2 5 6 2 2 3" xfId="3454" xr:uid="{00000000-0005-0000-0000-00001A310000}"/>
    <cellStyle name="Comma 2 2 5 6 2 2 3 2" xfId="16941" xr:uid="{00000000-0005-0000-0000-00001B310000}"/>
    <cellStyle name="Comma 2 2 5 6 2 2 3 2 2" xfId="40219" xr:uid="{00000000-0005-0000-0000-00001C310000}"/>
    <cellStyle name="Comma 2 2 5 6 2 2 3 3" xfId="47563" xr:uid="{00000000-0005-0000-0000-00001D310000}"/>
    <cellStyle name="Comma 2 2 5 6 2 2 3 4" xfId="26733" xr:uid="{00000000-0005-0000-0000-00001E310000}"/>
    <cellStyle name="Comma 2 2 5 6 2 2 4" xfId="5902" xr:uid="{00000000-0005-0000-0000-00001F310000}"/>
    <cellStyle name="Comma 2 2 5 6 2 2 4 2" xfId="19389" xr:uid="{00000000-0005-0000-0000-000020310000}"/>
    <cellStyle name="Comma 2 2 5 6 2 2 4 2 2" xfId="42667" xr:uid="{00000000-0005-0000-0000-000021310000}"/>
    <cellStyle name="Comma 2 2 5 6 2 2 4 3" xfId="29181" xr:uid="{00000000-0005-0000-0000-000022310000}"/>
    <cellStyle name="Comma 2 2 5 6 2 2 5" xfId="8350" xr:uid="{00000000-0005-0000-0000-000023310000}"/>
    <cellStyle name="Comma 2 2 5 6 2 2 5 2" xfId="31629" xr:uid="{00000000-0005-0000-0000-000024310000}"/>
    <cellStyle name="Comma 2 2 5 6 2 2 6" xfId="10798" xr:uid="{00000000-0005-0000-0000-000025310000}"/>
    <cellStyle name="Comma 2 2 5 6 2 2 6 2" xfId="34077" xr:uid="{00000000-0005-0000-0000-000026310000}"/>
    <cellStyle name="Comma 2 2 5 6 2 2 7" xfId="13246" xr:uid="{00000000-0005-0000-0000-000027310000}"/>
    <cellStyle name="Comma 2 2 5 6 2 2 7 2" xfId="36525" xr:uid="{00000000-0005-0000-0000-000028310000}"/>
    <cellStyle name="Comma 2 2 5 6 2 2 8" xfId="15717" xr:uid="{00000000-0005-0000-0000-000029310000}"/>
    <cellStyle name="Comma 2 2 5 6 2 2 8 2" xfId="38995" xr:uid="{00000000-0005-0000-0000-00002A310000}"/>
    <cellStyle name="Comma 2 2 5 6 2 2 9" xfId="24285" xr:uid="{00000000-0005-0000-0000-00002B310000}"/>
    <cellStyle name="Comma 2 2 5 6 2 3" xfId="1618" xr:uid="{00000000-0005-0000-0000-00002C310000}"/>
    <cellStyle name="Comma 2 2 5 6 2 3 10" xfId="22449" xr:uid="{00000000-0005-0000-0000-00002D310000}"/>
    <cellStyle name="Comma 2 2 5 6 2 3 2" xfId="4066" xr:uid="{00000000-0005-0000-0000-00002E310000}"/>
    <cellStyle name="Comma 2 2 5 6 2 3 2 2" xfId="20001" xr:uid="{00000000-0005-0000-0000-00002F310000}"/>
    <cellStyle name="Comma 2 2 5 6 2 3 2 2 2" xfId="43279" xr:uid="{00000000-0005-0000-0000-000030310000}"/>
    <cellStyle name="Comma 2 2 5 6 2 3 2 3" xfId="48175" xr:uid="{00000000-0005-0000-0000-000031310000}"/>
    <cellStyle name="Comma 2 2 5 6 2 3 2 4" xfId="27345" xr:uid="{00000000-0005-0000-0000-000032310000}"/>
    <cellStyle name="Comma 2 2 5 6 2 3 3" xfId="6514" xr:uid="{00000000-0005-0000-0000-000033310000}"/>
    <cellStyle name="Comma 2 2 5 6 2 3 3 2" xfId="29793" xr:uid="{00000000-0005-0000-0000-000034310000}"/>
    <cellStyle name="Comma 2 2 5 6 2 3 4" xfId="8962" xr:uid="{00000000-0005-0000-0000-000035310000}"/>
    <cellStyle name="Comma 2 2 5 6 2 3 4 2" xfId="32241" xr:uid="{00000000-0005-0000-0000-000036310000}"/>
    <cellStyle name="Comma 2 2 5 6 2 3 5" xfId="11410" xr:uid="{00000000-0005-0000-0000-000037310000}"/>
    <cellStyle name="Comma 2 2 5 6 2 3 5 2" xfId="34689" xr:uid="{00000000-0005-0000-0000-000038310000}"/>
    <cellStyle name="Comma 2 2 5 6 2 3 6" xfId="13858" xr:uid="{00000000-0005-0000-0000-000039310000}"/>
    <cellStyle name="Comma 2 2 5 6 2 3 6 2" xfId="37137" xr:uid="{00000000-0005-0000-0000-00003A310000}"/>
    <cellStyle name="Comma 2 2 5 6 2 3 7" xfId="17553" xr:uid="{00000000-0005-0000-0000-00003B310000}"/>
    <cellStyle name="Comma 2 2 5 6 2 3 7 2" xfId="40831" xr:uid="{00000000-0005-0000-0000-00003C310000}"/>
    <cellStyle name="Comma 2 2 5 6 2 3 8" xfId="24897" xr:uid="{00000000-0005-0000-0000-00003D310000}"/>
    <cellStyle name="Comma 2 2 5 6 2 3 9" xfId="45727" xr:uid="{00000000-0005-0000-0000-00003E310000}"/>
    <cellStyle name="Comma 2 2 5 6 2 4" xfId="2842" xr:uid="{00000000-0005-0000-0000-00003F310000}"/>
    <cellStyle name="Comma 2 2 5 6 2 4 2" xfId="16329" xr:uid="{00000000-0005-0000-0000-000040310000}"/>
    <cellStyle name="Comma 2 2 5 6 2 4 2 2" xfId="39607" xr:uid="{00000000-0005-0000-0000-000041310000}"/>
    <cellStyle name="Comma 2 2 5 6 2 4 3" xfId="46951" xr:uid="{00000000-0005-0000-0000-000042310000}"/>
    <cellStyle name="Comma 2 2 5 6 2 4 4" xfId="26121" xr:uid="{00000000-0005-0000-0000-000043310000}"/>
    <cellStyle name="Comma 2 2 5 6 2 5" xfId="5290" xr:uid="{00000000-0005-0000-0000-000044310000}"/>
    <cellStyle name="Comma 2 2 5 6 2 5 2" xfId="18777" xr:uid="{00000000-0005-0000-0000-000045310000}"/>
    <cellStyle name="Comma 2 2 5 6 2 5 2 2" xfId="42055" xr:uid="{00000000-0005-0000-0000-000046310000}"/>
    <cellStyle name="Comma 2 2 5 6 2 5 3" xfId="28569" xr:uid="{00000000-0005-0000-0000-000047310000}"/>
    <cellStyle name="Comma 2 2 5 6 2 6" xfId="7738" xr:uid="{00000000-0005-0000-0000-000048310000}"/>
    <cellStyle name="Comma 2 2 5 6 2 6 2" xfId="31017" xr:uid="{00000000-0005-0000-0000-000049310000}"/>
    <cellStyle name="Comma 2 2 5 6 2 7" xfId="10186" xr:uid="{00000000-0005-0000-0000-00004A310000}"/>
    <cellStyle name="Comma 2 2 5 6 2 7 2" xfId="33465" xr:uid="{00000000-0005-0000-0000-00004B310000}"/>
    <cellStyle name="Comma 2 2 5 6 2 8" xfId="12634" xr:uid="{00000000-0005-0000-0000-00004C310000}"/>
    <cellStyle name="Comma 2 2 5 6 2 8 2" xfId="35913" xr:uid="{00000000-0005-0000-0000-00004D310000}"/>
    <cellStyle name="Comma 2 2 5 6 2 9" xfId="15105" xr:uid="{00000000-0005-0000-0000-00004E310000}"/>
    <cellStyle name="Comma 2 2 5 6 2 9 2" xfId="38383" xr:uid="{00000000-0005-0000-0000-00004F310000}"/>
    <cellStyle name="Comma 2 2 5 6 3" xfId="598" xr:uid="{00000000-0005-0000-0000-000050310000}"/>
    <cellStyle name="Comma 2 2 5 6 3 10" xfId="23877" xr:uid="{00000000-0005-0000-0000-000051310000}"/>
    <cellStyle name="Comma 2 2 5 6 3 11" xfId="44707" xr:uid="{00000000-0005-0000-0000-000052310000}"/>
    <cellStyle name="Comma 2 2 5 6 3 12" xfId="21429" xr:uid="{00000000-0005-0000-0000-000053310000}"/>
    <cellStyle name="Comma 2 2 5 6 3 2" xfId="1210" xr:uid="{00000000-0005-0000-0000-000054310000}"/>
    <cellStyle name="Comma 2 2 5 6 3 2 10" xfId="45319" xr:uid="{00000000-0005-0000-0000-000055310000}"/>
    <cellStyle name="Comma 2 2 5 6 3 2 11" xfId="22041" xr:uid="{00000000-0005-0000-0000-000056310000}"/>
    <cellStyle name="Comma 2 2 5 6 3 2 2" xfId="2434" xr:uid="{00000000-0005-0000-0000-000057310000}"/>
    <cellStyle name="Comma 2 2 5 6 3 2 2 10" xfId="23265" xr:uid="{00000000-0005-0000-0000-000058310000}"/>
    <cellStyle name="Comma 2 2 5 6 3 2 2 2" xfId="4882" xr:uid="{00000000-0005-0000-0000-000059310000}"/>
    <cellStyle name="Comma 2 2 5 6 3 2 2 2 2" xfId="20817" xr:uid="{00000000-0005-0000-0000-00005A310000}"/>
    <cellStyle name="Comma 2 2 5 6 3 2 2 2 2 2" xfId="44095" xr:uid="{00000000-0005-0000-0000-00005B310000}"/>
    <cellStyle name="Comma 2 2 5 6 3 2 2 2 3" xfId="48991" xr:uid="{00000000-0005-0000-0000-00005C310000}"/>
    <cellStyle name="Comma 2 2 5 6 3 2 2 2 4" xfId="28161" xr:uid="{00000000-0005-0000-0000-00005D310000}"/>
    <cellStyle name="Comma 2 2 5 6 3 2 2 3" xfId="7330" xr:uid="{00000000-0005-0000-0000-00005E310000}"/>
    <cellStyle name="Comma 2 2 5 6 3 2 2 3 2" xfId="30609" xr:uid="{00000000-0005-0000-0000-00005F310000}"/>
    <cellStyle name="Comma 2 2 5 6 3 2 2 4" xfId="9778" xr:uid="{00000000-0005-0000-0000-000060310000}"/>
    <cellStyle name="Comma 2 2 5 6 3 2 2 4 2" xfId="33057" xr:uid="{00000000-0005-0000-0000-000061310000}"/>
    <cellStyle name="Comma 2 2 5 6 3 2 2 5" xfId="12226" xr:uid="{00000000-0005-0000-0000-000062310000}"/>
    <cellStyle name="Comma 2 2 5 6 3 2 2 5 2" xfId="35505" xr:uid="{00000000-0005-0000-0000-000063310000}"/>
    <cellStyle name="Comma 2 2 5 6 3 2 2 6" xfId="14674" xr:uid="{00000000-0005-0000-0000-000064310000}"/>
    <cellStyle name="Comma 2 2 5 6 3 2 2 6 2" xfId="37953" xr:uid="{00000000-0005-0000-0000-000065310000}"/>
    <cellStyle name="Comma 2 2 5 6 3 2 2 7" xfId="18369" xr:uid="{00000000-0005-0000-0000-000066310000}"/>
    <cellStyle name="Comma 2 2 5 6 3 2 2 7 2" xfId="41647" xr:uid="{00000000-0005-0000-0000-000067310000}"/>
    <cellStyle name="Comma 2 2 5 6 3 2 2 8" xfId="25713" xr:uid="{00000000-0005-0000-0000-000068310000}"/>
    <cellStyle name="Comma 2 2 5 6 3 2 2 9" xfId="46543" xr:uid="{00000000-0005-0000-0000-000069310000}"/>
    <cellStyle name="Comma 2 2 5 6 3 2 3" xfId="3658" xr:uid="{00000000-0005-0000-0000-00006A310000}"/>
    <cellStyle name="Comma 2 2 5 6 3 2 3 2" xfId="17145" xr:uid="{00000000-0005-0000-0000-00006B310000}"/>
    <cellStyle name="Comma 2 2 5 6 3 2 3 2 2" xfId="40423" xr:uid="{00000000-0005-0000-0000-00006C310000}"/>
    <cellStyle name="Comma 2 2 5 6 3 2 3 3" xfId="47767" xr:uid="{00000000-0005-0000-0000-00006D310000}"/>
    <cellStyle name="Comma 2 2 5 6 3 2 3 4" xfId="26937" xr:uid="{00000000-0005-0000-0000-00006E310000}"/>
    <cellStyle name="Comma 2 2 5 6 3 2 4" xfId="6106" xr:uid="{00000000-0005-0000-0000-00006F310000}"/>
    <cellStyle name="Comma 2 2 5 6 3 2 4 2" xfId="19593" xr:uid="{00000000-0005-0000-0000-000070310000}"/>
    <cellStyle name="Comma 2 2 5 6 3 2 4 2 2" xfId="42871" xr:uid="{00000000-0005-0000-0000-000071310000}"/>
    <cellStyle name="Comma 2 2 5 6 3 2 4 3" xfId="29385" xr:uid="{00000000-0005-0000-0000-000072310000}"/>
    <cellStyle name="Comma 2 2 5 6 3 2 5" xfId="8554" xr:uid="{00000000-0005-0000-0000-000073310000}"/>
    <cellStyle name="Comma 2 2 5 6 3 2 5 2" xfId="31833" xr:uid="{00000000-0005-0000-0000-000074310000}"/>
    <cellStyle name="Comma 2 2 5 6 3 2 6" xfId="11002" xr:uid="{00000000-0005-0000-0000-000075310000}"/>
    <cellStyle name="Comma 2 2 5 6 3 2 6 2" xfId="34281" xr:uid="{00000000-0005-0000-0000-000076310000}"/>
    <cellStyle name="Comma 2 2 5 6 3 2 7" xfId="13450" xr:uid="{00000000-0005-0000-0000-000077310000}"/>
    <cellStyle name="Comma 2 2 5 6 3 2 7 2" xfId="36729" xr:uid="{00000000-0005-0000-0000-000078310000}"/>
    <cellStyle name="Comma 2 2 5 6 3 2 8" xfId="15921" xr:uid="{00000000-0005-0000-0000-000079310000}"/>
    <cellStyle name="Comma 2 2 5 6 3 2 8 2" xfId="39199" xr:uid="{00000000-0005-0000-0000-00007A310000}"/>
    <cellStyle name="Comma 2 2 5 6 3 2 9" xfId="24489" xr:uid="{00000000-0005-0000-0000-00007B310000}"/>
    <cellStyle name="Comma 2 2 5 6 3 3" xfId="1822" xr:uid="{00000000-0005-0000-0000-00007C310000}"/>
    <cellStyle name="Comma 2 2 5 6 3 3 10" xfId="22653" xr:uid="{00000000-0005-0000-0000-00007D310000}"/>
    <cellStyle name="Comma 2 2 5 6 3 3 2" xfId="4270" xr:uid="{00000000-0005-0000-0000-00007E310000}"/>
    <cellStyle name="Comma 2 2 5 6 3 3 2 2" xfId="20205" xr:uid="{00000000-0005-0000-0000-00007F310000}"/>
    <cellStyle name="Comma 2 2 5 6 3 3 2 2 2" xfId="43483" xr:uid="{00000000-0005-0000-0000-000080310000}"/>
    <cellStyle name="Comma 2 2 5 6 3 3 2 3" xfId="48379" xr:uid="{00000000-0005-0000-0000-000081310000}"/>
    <cellStyle name="Comma 2 2 5 6 3 3 2 4" xfId="27549" xr:uid="{00000000-0005-0000-0000-000082310000}"/>
    <cellStyle name="Comma 2 2 5 6 3 3 3" xfId="6718" xr:uid="{00000000-0005-0000-0000-000083310000}"/>
    <cellStyle name="Comma 2 2 5 6 3 3 3 2" xfId="29997" xr:uid="{00000000-0005-0000-0000-000084310000}"/>
    <cellStyle name="Comma 2 2 5 6 3 3 4" xfId="9166" xr:uid="{00000000-0005-0000-0000-000085310000}"/>
    <cellStyle name="Comma 2 2 5 6 3 3 4 2" xfId="32445" xr:uid="{00000000-0005-0000-0000-000086310000}"/>
    <cellStyle name="Comma 2 2 5 6 3 3 5" xfId="11614" xr:uid="{00000000-0005-0000-0000-000087310000}"/>
    <cellStyle name="Comma 2 2 5 6 3 3 5 2" xfId="34893" xr:uid="{00000000-0005-0000-0000-000088310000}"/>
    <cellStyle name="Comma 2 2 5 6 3 3 6" xfId="14062" xr:uid="{00000000-0005-0000-0000-000089310000}"/>
    <cellStyle name="Comma 2 2 5 6 3 3 6 2" xfId="37341" xr:uid="{00000000-0005-0000-0000-00008A310000}"/>
    <cellStyle name="Comma 2 2 5 6 3 3 7" xfId="17757" xr:uid="{00000000-0005-0000-0000-00008B310000}"/>
    <cellStyle name="Comma 2 2 5 6 3 3 7 2" xfId="41035" xr:uid="{00000000-0005-0000-0000-00008C310000}"/>
    <cellStyle name="Comma 2 2 5 6 3 3 8" xfId="25101" xr:uid="{00000000-0005-0000-0000-00008D310000}"/>
    <cellStyle name="Comma 2 2 5 6 3 3 9" xfId="45931" xr:uid="{00000000-0005-0000-0000-00008E310000}"/>
    <cellStyle name="Comma 2 2 5 6 3 4" xfId="3046" xr:uid="{00000000-0005-0000-0000-00008F310000}"/>
    <cellStyle name="Comma 2 2 5 6 3 4 2" xfId="16533" xr:uid="{00000000-0005-0000-0000-000090310000}"/>
    <cellStyle name="Comma 2 2 5 6 3 4 2 2" xfId="39811" xr:uid="{00000000-0005-0000-0000-000091310000}"/>
    <cellStyle name="Comma 2 2 5 6 3 4 3" xfId="47155" xr:uid="{00000000-0005-0000-0000-000092310000}"/>
    <cellStyle name="Comma 2 2 5 6 3 4 4" xfId="26325" xr:uid="{00000000-0005-0000-0000-000093310000}"/>
    <cellStyle name="Comma 2 2 5 6 3 5" xfId="5494" xr:uid="{00000000-0005-0000-0000-000094310000}"/>
    <cellStyle name="Comma 2 2 5 6 3 5 2" xfId="18981" xr:uid="{00000000-0005-0000-0000-000095310000}"/>
    <cellStyle name="Comma 2 2 5 6 3 5 2 2" xfId="42259" xr:uid="{00000000-0005-0000-0000-000096310000}"/>
    <cellStyle name="Comma 2 2 5 6 3 5 3" xfId="28773" xr:uid="{00000000-0005-0000-0000-000097310000}"/>
    <cellStyle name="Comma 2 2 5 6 3 6" xfId="7942" xr:uid="{00000000-0005-0000-0000-000098310000}"/>
    <cellStyle name="Comma 2 2 5 6 3 6 2" xfId="31221" xr:uid="{00000000-0005-0000-0000-000099310000}"/>
    <cellStyle name="Comma 2 2 5 6 3 7" xfId="10390" xr:uid="{00000000-0005-0000-0000-00009A310000}"/>
    <cellStyle name="Comma 2 2 5 6 3 7 2" xfId="33669" xr:uid="{00000000-0005-0000-0000-00009B310000}"/>
    <cellStyle name="Comma 2 2 5 6 3 8" xfId="12838" xr:uid="{00000000-0005-0000-0000-00009C310000}"/>
    <cellStyle name="Comma 2 2 5 6 3 8 2" xfId="36117" xr:uid="{00000000-0005-0000-0000-00009D310000}"/>
    <cellStyle name="Comma 2 2 5 6 3 9" xfId="15309" xr:uid="{00000000-0005-0000-0000-00009E310000}"/>
    <cellStyle name="Comma 2 2 5 6 3 9 2" xfId="38587" xr:uid="{00000000-0005-0000-0000-00009F310000}"/>
    <cellStyle name="Comma 2 2 5 6 4" xfId="802" xr:uid="{00000000-0005-0000-0000-0000A0310000}"/>
    <cellStyle name="Comma 2 2 5 6 4 10" xfId="44911" xr:uid="{00000000-0005-0000-0000-0000A1310000}"/>
    <cellStyle name="Comma 2 2 5 6 4 11" xfId="21633" xr:uid="{00000000-0005-0000-0000-0000A2310000}"/>
    <cellStyle name="Comma 2 2 5 6 4 2" xfId="2026" xr:uid="{00000000-0005-0000-0000-0000A3310000}"/>
    <cellStyle name="Comma 2 2 5 6 4 2 10" xfId="22857" xr:uid="{00000000-0005-0000-0000-0000A4310000}"/>
    <cellStyle name="Comma 2 2 5 6 4 2 2" xfId="4474" xr:uid="{00000000-0005-0000-0000-0000A5310000}"/>
    <cellStyle name="Comma 2 2 5 6 4 2 2 2" xfId="20409" xr:uid="{00000000-0005-0000-0000-0000A6310000}"/>
    <cellStyle name="Comma 2 2 5 6 4 2 2 2 2" xfId="43687" xr:uid="{00000000-0005-0000-0000-0000A7310000}"/>
    <cellStyle name="Comma 2 2 5 6 4 2 2 3" xfId="48583" xr:uid="{00000000-0005-0000-0000-0000A8310000}"/>
    <cellStyle name="Comma 2 2 5 6 4 2 2 4" xfId="27753" xr:uid="{00000000-0005-0000-0000-0000A9310000}"/>
    <cellStyle name="Comma 2 2 5 6 4 2 3" xfId="6922" xr:uid="{00000000-0005-0000-0000-0000AA310000}"/>
    <cellStyle name="Comma 2 2 5 6 4 2 3 2" xfId="30201" xr:uid="{00000000-0005-0000-0000-0000AB310000}"/>
    <cellStyle name="Comma 2 2 5 6 4 2 4" xfId="9370" xr:uid="{00000000-0005-0000-0000-0000AC310000}"/>
    <cellStyle name="Comma 2 2 5 6 4 2 4 2" xfId="32649" xr:uid="{00000000-0005-0000-0000-0000AD310000}"/>
    <cellStyle name="Comma 2 2 5 6 4 2 5" xfId="11818" xr:uid="{00000000-0005-0000-0000-0000AE310000}"/>
    <cellStyle name="Comma 2 2 5 6 4 2 5 2" xfId="35097" xr:uid="{00000000-0005-0000-0000-0000AF310000}"/>
    <cellStyle name="Comma 2 2 5 6 4 2 6" xfId="14266" xr:uid="{00000000-0005-0000-0000-0000B0310000}"/>
    <cellStyle name="Comma 2 2 5 6 4 2 6 2" xfId="37545" xr:uid="{00000000-0005-0000-0000-0000B1310000}"/>
    <cellStyle name="Comma 2 2 5 6 4 2 7" xfId="17961" xr:uid="{00000000-0005-0000-0000-0000B2310000}"/>
    <cellStyle name="Comma 2 2 5 6 4 2 7 2" xfId="41239" xr:uid="{00000000-0005-0000-0000-0000B3310000}"/>
    <cellStyle name="Comma 2 2 5 6 4 2 8" xfId="25305" xr:uid="{00000000-0005-0000-0000-0000B4310000}"/>
    <cellStyle name="Comma 2 2 5 6 4 2 9" xfId="46135" xr:uid="{00000000-0005-0000-0000-0000B5310000}"/>
    <cellStyle name="Comma 2 2 5 6 4 3" xfId="3250" xr:uid="{00000000-0005-0000-0000-0000B6310000}"/>
    <cellStyle name="Comma 2 2 5 6 4 3 2" xfId="16737" xr:uid="{00000000-0005-0000-0000-0000B7310000}"/>
    <cellStyle name="Comma 2 2 5 6 4 3 2 2" xfId="40015" xr:uid="{00000000-0005-0000-0000-0000B8310000}"/>
    <cellStyle name="Comma 2 2 5 6 4 3 3" xfId="47359" xr:uid="{00000000-0005-0000-0000-0000B9310000}"/>
    <cellStyle name="Comma 2 2 5 6 4 3 4" xfId="26529" xr:uid="{00000000-0005-0000-0000-0000BA310000}"/>
    <cellStyle name="Comma 2 2 5 6 4 4" xfId="5698" xr:uid="{00000000-0005-0000-0000-0000BB310000}"/>
    <cellStyle name="Comma 2 2 5 6 4 4 2" xfId="19185" xr:uid="{00000000-0005-0000-0000-0000BC310000}"/>
    <cellStyle name="Comma 2 2 5 6 4 4 2 2" xfId="42463" xr:uid="{00000000-0005-0000-0000-0000BD310000}"/>
    <cellStyle name="Comma 2 2 5 6 4 4 3" xfId="28977" xr:uid="{00000000-0005-0000-0000-0000BE310000}"/>
    <cellStyle name="Comma 2 2 5 6 4 5" xfId="8146" xr:uid="{00000000-0005-0000-0000-0000BF310000}"/>
    <cellStyle name="Comma 2 2 5 6 4 5 2" xfId="31425" xr:uid="{00000000-0005-0000-0000-0000C0310000}"/>
    <cellStyle name="Comma 2 2 5 6 4 6" xfId="10594" xr:uid="{00000000-0005-0000-0000-0000C1310000}"/>
    <cellStyle name="Comma 2 2 5 6 4 6 2" xfId="33873" xr:uid="{00000000-0005-0000-0000-0000C2310000}"/>
    <cellStyle name="Comma 2 2 5 6 4 7" xfId="13042" xr:uid="{00000000-0005-0000-0000-0000C3310000}"/>
    <cellStyle name="Comma 2 2 5 6 4 7 2" xfId="36321" xr:uid="{00000000-0005-0000-0000-0000C4310000}"/>
    <cellStyle name="Comma 2 2 5 6 4 8" xfId="15513" xr:uid="{00000000-0005-0000-0000-0000C5310000}"/>
    <cellStyle name="Comma 2 2 5 6 4 8 2" xfId="38791" xr:uid="{00000000-0005-0000-0000-0000C6310000}"/>
    <cellStyle name="Comma 2 2 5 6 4 9" xfId="24081" xr:uid="{00000000-0005-0000-0000-0000C7310000}"/>
    <cellStyle name="Comma 2 2 5 6 5" xfId="1414" xr:uid="{00000000-0005-0000-0000-0000C8310000}"/>
    <cellStyle name="Comma 2 2 5 6 5 10" xfId="22245" xr:uid="{00000000-0005-0000-0000-0000C9310000}"/>
    <cellStyle name="Comma 2 2 5 6 5 2" xfId="3862" xr:uid="{00000000-0005-0000-0000-0000CA310000}"/>
    <cellStyle name="Comma 2 2 5 6 5 2 2" xfId="19797" xr:uid="{00000000-0005-0000-0000-0000CB310000}"/>
    <cellStyle name="Comma 2 2 5 6 5 2 2 2" xfId="43075" xr:uid="{00000000-0005-0000-0000-0000CC310000}"/>
    <cellStyle name="Comma 2 2 5 6 5 2 3" xfId="47971" xr:uid="{00000000-0005-0000-0000-0000CD310000}"/>
    <cellStyle name="Comma 2 2 5 6 5 2 4" xfId="27141" xr:uid="{00000000-0005-0000-0000-0000CE310000}"/>
    <cellStyle name="Comma 2 2 5 6 5 3" xfId="6310" xr:uid="{00000000-0005-0000-0000-0000CF310000}"/>
    <cellStyle name="Comma 2 2 5 6 5 3 2" xfId="29589" xr:uid="{00000000-0005-0000-0000-0000D0310000}"/>
    <cellStyle name="Comma 2 2 5 6 5 4" xfId="8758" xr:uid="{00000000-0005-0000-0000-0000D1310000}"/>
    <cellStyle name="Comma 2 2 5 6 5 4 2" xfId="32037" xr:uid="{00000000-0005-0000-0000-0000D2310000}"/>
    <cellStyle name="Comma 2 2 5 6 5 5" xfId="11206" xr:uid="{00000000-0005-0000-0000-0000D3310000}"/>
    <cellStyle name="Comma 2 2 5 6 5 5 2" xfId="34485" xr:uid="{00000000-0005-0000-0000-0000D4310000}"/>
    <cellStyle name="Comma 2 2 5 6 5 6" xfId="13654" xr:uid="{00000000-0005-0000-0000-0000D5310000}"/>
    <cellStyle name="Comma 2 2 5 6 5 6 2" xfId="36933" xr:uid="{00000000-0005-0000-0000-0000D6310000}"/>
    <cellStyle name="Comma 2 2 5 6 5 7" xfId="17349" xr:uid="{00000000-0005-0000-0000-0000D7310000}"/>
    <cellStyle name="Comma 2 2 5 6 5 7 2" xfId="40627" xr:uid="{00000000-0005-0000-0000-0000D8310000}"/>
    <cellStyle name="Comma 2 2 5 6 5 8" xfId="24693" xr:uid="{00000000-0005-0000-0000-0000D9310000}"/>
    <cellStyle name="Comma 2 2 5 6 5 9" xfId="45523" xr:uid="{00000000-0005-0000-0000-0000DA310000}"/>
    <cellStyle name="Comma 2 2 5 6 6" xfId="2638" xr:uid="{00000000-0005-0000-0000-0000DB310000}"/>
    <cellStyle name="Comma 2 2 5 6 6 2" xfId="16125" xr:uid="{00000000-0005-0000-0000-0000DC310000}"/>
    <cellStyle name="Comma 2 2 5 6 6 2 2" xfId="39403" xr:uid="{00000000-0005-0000-0000-0000DD310000}"/>
    <cellStyle name="Comma 2 2 5 6 6 3" xfId="46747" xr:uid="{00000000-0005-0000-0000-0000DE310000}"/>
    <cellStyle name="Comma 2 2 5 6 6 4" xfId="25917" xr:uid="{00000000-0005-0000-0000-0000DF310000}"/>
    <cellStyle name="Comma 2 2 5 6 7" xfId="5086" xr:uid="{00000000-0005-0000-0000-0000E0310000}"/>
    <cellStyle name="Comma 2 2 5 6 7 2" xfId="18573" xr:uid="{00000000-0005-0000-0000-0000E1310000}"/>
    <cellStyle name="Comma 2 2 5 6 7 2 2" xfId="41851" xr:uid="{00000000-0005-0000-0000-0000E2310000}"/>
    <cellStyle name="Comma 2 2 5 6 7 3" xfId="28365" xr:uid="{00000000-0005-0000-0000-0000E3310000}"/>
    <cellStyle name="Comma 2 2 5 6 8" xfId="7534" xr:uid="{00000000-0005-0000-0000-0000E4310000}"/>
    <cellStyle name="Comma 2 2 5 6 8 2" xfId="30813" xr:uid="{00000000-0005-0000-0000-0000E5310000}"/>
    <cellStyle name="Comma 2 2 5 6 9" xfId="9982" xr:uid="{00000000-0005-0000-0000-0000E6310000}"/>
    <cellStyle name="Comma 2 2 5 6 9 2" xfId="33261" xr:uid="{00000000-0005-0000-0000-0000E7310000}"/>
    <cellStyle name="Comma 2 2 5 7" xfId="258" xr:uid="{00000000-0005-0000-0000-0000E8310000}"/>
    <cellStyle name="Comma 2 2 5 7 10" xfId="23537" xr:uid="{00000000-0005-0000-0000-0000E9310000}"/>
    <cellStyle name="Comma 2 2 5 7 11" xfId="44367" xr:uid="{00000000-0005-0000-0000-0000EA310000}"/>
    <cellStyle name="Comma 2 2 5 7 12" xfId="21089" xr:uid="{00000000-0005-0000-0000-0000EB310000}"/>
    <cellStyle name="Comma 2 2 5 7 2" xfId="870" xr:uid="{00000000-0005-0000-0000-0000EC310000}"/>
    <cellStyle name="Comma 2 2 5 7 2 10" xfId="44979" xr:uid="{00000000-0005-0000-0000-0000ED310000}"/>
    <cellStyle name="Comma 2 2 5 7 2 11" xfId="21701" xr:uid="{00000000-0005-0000-0000-0000EE310000}"/>
    <cellStyle name="Comma 2 2 5 7 2 2" xfId="2094" xr:uid="{00000000-0005-0000-0000-0000EF310000}"/>
    <cellStyle name="Comma 2 2 5 7 2 2 10" xfId="22925" xr:uid="{00000000-0005-0000-0000-0000F0310000}"/>
    <cellStyle name="Comma 2 2 5 7 2 2 2" xfId="4542" xr:uid="{00000000-0005-0000-0000-0000F1310000}"/>
    <cellStyle name="Comma 2 2 5 7 2 2 2 2" xfId="20477" xr:uid="{00000000-0005-0000-0000-0000F2310000}"/>
    <cellStyle name="Comma 2 2 5 7 2 2 2 2 2" xfId="43755" xr:uid="{00000000-0005-0000-0000-0000F3310000}"/>
    <cellStyle name="Comma 2 2 5 7 2 2 2 3" xfId="48651" xr:uid="{00000000-0005-0000-0000-0000F4310000}"/>
    <cellStyle name="Comma 2 2 5 7 2 2 2 4" xfId="27821" xr:uid="{00000000-0005-0000-0000-0000F5310000}"/>
    <cellStyle name="Comma 2 2 5 7 2 2 3" xfId="6990" xr:uid="{00000000-0005-0000-0000-0000F6310000}"/>
    <cellStyle name="Comma 2 2 5 7 2 2 3 2" xfId="30269" xr:uid="{00000000-0005-0000-0000-0000F7310000}"/>
    <cellStyle name="Comma 2 2 5 7 2 2 4" xfId="9438" xr:uid="{00000000-0005-0000-0000-0000F8310000}"/>
    <cellStyle name="Comma 2 2 5 7 2 2 4 2" xfId="32717" xr:uid="{00000000-0005-0000-0000-0000F9310000}"/>
    <cellStyle name="Comma 2 2 5 7 2 2 5" xfId="11886" xr:uid="{00000000-0005-0000-0000-0000FA310000}"/>
    <cellStyle name="Comma 2 2 5 7 2 2 5 2" xfId="35165" xr:uid="{00000000-0005-0000-0000-0000FB310000}"/>
    <cellStyle name="Comma 2 2 5 7 2 2 6" xfId="14334" xr:uid="{00000000-0005-0000-0000-0000FC310000}"/>
    <cellStyle name="Comma 2 2 5 7 2 2 6 2" xfId="37613" xr:uid="{00000000-0005-0000-0000-0000FD310000}"/>
    <cellStyle name="Comma 2 2 5 7 2 2 7" xfId="18029" xr:uid="{00000000-0005-0000-0000-0000FE310000}"/>
    <cellStyle name="Comma 2 2 5 7 2 2 7 2" xfId="41307" xr:uid="{00000000-0005-0000-0000-0000FF310000}"/>
    <cellStyle name="Comma 2 2 5 7 2 2 8" xfId="25373" xr:uid="{00000000-0005-0000-0000-000000320000}"/>
    <cellStyle name="Comma 2 2 5 7 2 2 9" xfId="46203" xr:uid="{00000000-0005-0000-0000-000001320000}"/>
    <cellStyle name="Comma 2 2 5 7 2 3" xfId="3318" xr:uid="{00000000-0005-0000-0000-000002320000}"/>
    <cellStyle name="Comma 2 2 5 7 2 3 2" xfId="16805" xr:uid="{00000000-0005-0000-0000-000003320000}"/>
    <cellStyle name="Comma 2 2 5 7 2 3 2 2" xfId="40083" xr:uid="{00000000-0005-0000-0000-000004320000}"/>
    <cellStyle name="Comma 2 2 5 7 2 3 3" xfId="47427" xr:uid="{00000000-0005-0000-0000-000005320000}"/>
    <cellStyle name="Comma 2 2 5 7 2 3 4" xfId="26597" xr:uid="{00000000-0005-0000-0000-000006320000}"/>
    <cellStyle name="Comma 2 2 5 7 2 4" xfId="5766" xr:uid="{00000000-0005-0000-0000-000007320000}"/>
    <cellStyle name="Comma 2 2 5 7 2 4 2" xfId="19253" xr:uid="{00000000-0005-0000-0000-000008320000}"/>
    <cellStyle name="Comma 2 2 5 7 2 4 2 2" xfId="42531" xr:uid="{00000000-0005-0000-0000-000009320000}"/>
    <cellStyle name="Comma 2 2 5 7 2 4 3" xfId="29045" xr:uid="{00000000-0005-0000-0000-00000A320000}"/>
    <cellStyle name="Comma 2 2 5 7 2 5" xfId="8214" xr:uid="{00000000-0005-0000-0000-00000B320000}"/>
    <cellStyle name="Comma 2 2 5 7 2 5 2" xfId="31493" xr:uid="{00000000-0005-0000-0000-00000C320000}"/>
    <cellStyle name="Comma 2 2 5 7 2 6" xfId="10662" xr:uid="{00000000-0005-0000-0000-00000D320000}"/>
    <cellStyle name="Comma 2 2 5 7 2 6 2" xfId="33941" xr:uid="{00000000-0005-0000-0000-00000E320000}"/>
    <cellStyle name="Comma 2 2 5 7 2 7" xfId="13110" xr:uid="{00000000-0005-0000-0000-00000F320000}"/>
    <cellStyle name="Comma 2 2 5 7 2 7 2" xfId="36389" xr:uid="{00000000-0005-0000-0000-000010320000}"/>
    <cellStyle name="Comma 2 2 5 7 2 8" xfId="15581" xr:uid="{00000000-0005-0000-0000-000011320000}"/>
    <cellStyle name="Comma 2 2 5 7 2 8 2" xfId="38859" xr:uid="{00000000-0005-0000-0000-000012320000}"/>
    <cellStyle name="Comma 2 2 5 7 2 9" xfId="24149" xr:uid="{00000000-0005-0000-0000-000013320000}"/>
    <cellStyle name="Comma 2 2 5 7 3" xfId="1482" xr:uid="{00000000-0005-0000-0000-000014320000}"/>
    <cellStyle name="Comma 2 2 5 7 3 10" xfId="22313" xr:uid="{00000000-0005-0000-0000-000015320000}"/>
    <cellStyle name="Comma 2 2 5 7 3 2" xfId="3930" xr:uid="{00000000-0005-0000-0000-000016320000}"/>
    <cellStyle name="Comma 2 2 5 7 3 2 2" xfId="19865" xr:uid="{00000000-0005-0000-0000-000017320000}"/>
    <cellStyle name="Comma 2 2 5 7 3 2 2 2" xfId="43143" xr:uid="{00000000-0005-0000-0000-000018320000}"/>
    <cellStyle name="Comma 2 2 5 7 3 2 3" xfId="48039" xr:uid="{00000000-0005-0000-0000-000019320000}"/>
    <cellStyle name="Comma 2 2 5 7 3 2 4" xfId="27209" xr:uid="{00000000-0005-0000-0000-00001A320000}"/>
    <cellStyle name="Comma 2 2 5 7 3 3" xfId="6378" xr:uid="{00000000-0005-0000-0000-00001B320000}"/>
    <cellStyle name="Comma 2 2 5 7 3 3 2" xfId="29657" xr:uid="{00000000-0005-0000-0000-00001C320000}"/>
    <cellStyle name="Comma 2 2 5 7 3 4" xfId="8826" xr:uid="{00000000-0005-0000-0000-00001D320000}"/>
    <cellStyle name="Comma 2 2 5 7 3 4 2" xfId="32105" xr:uid="{00000000-0005-0000-0000-00001E320000}"/>
    <cellStyle name="Comma 2 2 5 7 3 5" xfId="11274" xr:uid="{00000000-0005-0000-0000-00001F320000}"/>
    <cellStyle name="Comma 2 2 5 7 3 5 2" xfId="34553" xr:uid="{00000000-0005-0000-0000-000020320000}"/>
    <cellStyle name="Comma 2 2 5 7 3 6" xfId="13722" xr:uid="{00000000-0005-0000-0000-000021320000}"/>
    <cellStyle name="Comma 2 2 5 7 3 6 2" xfId="37001" xr:uid="{00000000-0005-0000-0000-000022320000}"/>
    <cellStyle name="Comma 2 2 5 7 3 7" xfId="17417" xr:uid="{00000000-0005-0000-0000-000023320000}"/>
    <cellStyle name="Comma 2 2 5 7 3 7 2" xfId="40695" xr:uid="{00000000-0005-0000-0000-000024320000}"/>
    <cellStyle name="Comma 2 2 5 7 3 8" xfId="24761" xr:uid="{00000000-0005-0000-0000-000025320000}"/>
    <cellStyle name="Comma 2 2 5 7 3 9" xfId="45591" xr:uid="{00000000-0005-0000-0000-000026320000}"/>
    <cellStyle name="Comma 2 2 5 7 4" xfId="2706" xr:uid="{00000000-0005-0000-0000-000027320000}"/>
    <cellStyle name="Comma 2 2 5 7 4 2" xfId="16193" xr:uid="{00000000-0005-0000-0000-000028320000}"/>
    <cellStyle name="Comma 2 2 5 7 4 2 2" xfId="39471" xr:uid="{00000000-0005-0000-0000-000029320000}"/>
    <cellStyle name="Comma 2 2 5 7 4 3" xfId="46815" xr:uid="{00000000-0005-0000-0000-00002A320000}"/>
    <cellStyle name="Comma 2 2 5 7 4 4" xfId="25985" xr:uid="{00000000-0005-0000-0000-00002B320000}"/>
    <cellStyle name="Comma 2 2 5 7 5" xfId="5154" xr:uid="{00000000-0005-0000-0000-00002C320000}"/>
    <cellStyle name="Comma 2 2 5 7 5 2" xfId="18641" xr:uid="{00000000-0005-0000-0000-00002D320000}"/>
    <cellStyle name="Comma 2 2 5 7 5 2 2" xfId="41919" xr:uid="{00000000-0005-0000-0000-00002E320000}"/>
    <cellStyle name="Comma 2 2 5 7 5 3" xfId="28433" xr:uid="{00000000-0005-0000-0000-00002F320000}"/>
    <cellStyle name="Comma 2 2 5 7 6" xfId="7602" xr:uid="{00000000-0005-0000-0000-000030320000}"/>
    <cellStyle name="Comma 2 2 5 7 6 2" xfId="30881" xr:uid="{00000000-0005-0000-0000-000031320000}"/>
    <cellStyle name="Comma 2 2 5 7 7" xfId="10050" xr:uid="{00000000-0005-0000-0000-000032320000}"/>
    <cellStyle name="Comma 2 2 5 7 7 2" xfId="33329" xr:uid="{00000000-0005-0000-0000-000033320000}"/>
    <cellStyle name="Comma 2 2 5 7 8" xfId="12498" xr:uid="{00000000-0005-0000-0000-000034320000}"/>
    <cellStyle name="Comma 2 2 5 7 8 2" xfId="35777" xr:uid="{00000000-0005-0000-0000-000035320000}"/>
    <cellStyle name="Comma 2 2 5 7 9" xfId="14969" xr:uid="{00000000-0005-0000-0000-000036320000}"/>
    <cellStyle name="Comma 2 2 5 7 9 2" xfId="38247" xr:uid="{00000000-0005-0000-0000-000037320000}"/>
    <cellStyle name="Comma 2 2 5 8" xfId="462" xr:uid="{00000000-0005-0000-0000-000038320000}"/>
    <cellStyle name="Comma 2 2 5 8 10" xfId="23741" xr:uid="{00000000-0005-0000-0000-000039320000}"/>
    <cellStyle name="Comma 2 2 5 8 11" xfId="44571" xr:uid="{00000000-0005-0000-0000-00003A320000}"/>
    <cellStyle name="Comma 2 2 5 8 12" xfId="21293" xr:uid="{00000000-0005-0000-0000-00003B320000}"/>
    <cellStyle name="Comma 2 2 5 8 2" xfId="1074" xr:uid="{00000000-0005-0000-0000-00003C320000}"/>
    <cellStyle name="Comma 2 2 5 8 2 10" xfId="45183" xr:uid="{00000000-0005-0000-0000-00003D320000}"/>
    <cellStyle name="Comma 2 2 5 8 2 11" xfId="21905" xr:uid="{00000000-0005-0000-0000-00003E320000}"/>
    <cellStyle name="Comma 2 2 5 8 2 2" xfId="2298" xr:uid="{00000000-0005-0000-0000-00003F320000}"/>
    <cellStyle name="Comma 2 2 5 8 2 2 10" xfId="23129" xr:uid="{00000000-0005-0000-0000-000040320000}"/>
    <cellStyle name="Comma 2 2 5 8 2 2 2" xfId="4746" xr:uid="{00000000-0005-0000-0000-000041320000}"/>
    <cellStyle name="Comma 2 2 5 8 2 2 2 2" xfId="20681" xr:uid="{00000000-0005-0000-0000-000042320000}"/>
    <cellStyle name="Comma 2 2 5 8 2 2 2 2 2" xfId="43959" xr:uid="{00000000-0005-0000-0000-000043320000}"/>
    <cellStyle name="Comma 2 2 5 8 2 2 2 3" xfId="48855" xr:uid="{00000000-0005-0000-0000-000044320000}"/>
    <cellStyle name="Comma 2 2 5 8 2 2 2 4" xfId="28025" xr:uid="{00000000-0005-0000-0000-000045320000}"/>
    <cellStyle name="Comma 2 2 5 8 2 2 3" xfId="7194" xr:uid="{00000000-0005-0000-0000-000046320000}"/>
    <cellStyle name="Comma 2 2 5 8 2 2 3 2" xfId="30473" xr:uid="{00000000-0005-0000-0000-000047320000}"/>
    <cellStyle name="Comma 2 2 5 8 2 2 4" xfId="9642" xr:uid="{00000000-0005-0000-0000-000048320000}"/>
    <cellStyle name="Comma 2 2 5 8 2 2 4 2" xfId="32921" xr:uid="{00000000-0005-0000-0000-000049320000}"/>
    <cellStyle name="Comma 2 2 5 8 2 2 5" xfId="12090" xr:uid="{00000000-0005-0000-0000-00004A320000}"/>
    <cellStyle name="Comma 2 2 5 8 2 2 5 2" xfId="35369" xr:uid="{00000000-0005-0000-0000-00004B320000}"/>
    <cellStyle name="Comma 2 2 5 8 2 2 6" xfId="14538" xr:uid="{00000000-0005-0000-0000-00004C320000}"/>
    <cellStyle name="Comma 2 2 5 8 2 2 6 2" xfId="37817" xr:uid="{00000000-0005-0000-0000-00004D320000}"/>
    <cellStyle name="Comma 2 2 5 8 2 2 7" xfId="18233" xr:uid="{00000000-0005-0000-0000-00004E320000}"/>
    <cellStyle name="Comma 2 2 5 8 2 2 7 2" xfId="41511" xr:uid="{00000000-0005-0000-0000-00004F320000}"/>
    <cellStyle name="Comma 2 2 5 8 2 2 8" xfId="25577" xr:uid="{00000000-0005-0000-0000-000050320000}"/>
    <cellStyle name="Comma 2 2 5 8 2 2 9" xfId="46407" xr:uid="{00000000-0005-0000-0000-000051320000}"/>
    <cellStyle name="Comma 2 2 5 8 2 3" xfId="3522" xr:uid="{00000000-0005-0000-0000-000052320000}"/>
    <cellStyle name="Comma 2 2 5 8 2 3 2" xfId="17009" xr:uid="{00000000-0005-0000-0000-000053320000}"/>
    <cellStyle name="Comma 2 2 5 8 2 3 2 2" xfId="40287" xr:uid="{00000000-0005-0000-0000-000054320000}"/>
    <cellStyle name="Comma 2 2 5 8 2 3 3" xfId="47631" xr:uid="{00000000-0005-0000-0000-000055320000}"/>
    <cellStyle name="Comma 2 2 5 8 2 3 4" xfId="26801" xr:uid="{00000000-0005-0000-0000-000056320000}"/>
    <cellStyle name="Comma 2 2 5 8 2 4" xfId="5970" xr:uid="{00000000-0005-0000-0000-000057320000}"/>
    <cellStyle name="Comma 2 2 5 8 2 4 2" xfId="19457" xr:uid="{00000000-0005-0000-0000-000058320000}"/>
    <cellStyle name="Comma 2 2 5 8 2 4 2 2" xfId="42735" xr:uid="{00000000-0005-0000-0000-000059320000}"/>
    <cellStyle name="Comma 2 2 5 8 2 4 3" xfId="29249" xr:uid="{00000000-0005-0000-0000-00005A320000}"/>
    <cellStyle name="Comma 2 2 5 8 2 5" xfId="8418" xr:uid="{00000000-0005-0000-0000-00005B320000}"/>
    <cellStyle name="Comma 2 2 5 8 2 5 2" xfId="31697" xr:uid="{00000000-0005-0000-0000-00005C320000}"/>
    <cellStyle name="Comma 2 2 5 8 2 6" xfId="10866" xr:uid="{00000000-0005-0000-0000-00005D320000}"/>
    <cellStyle name="Comma 2 2 5 8 2 6 2" xfId="34145" xr:uid="{00000000-0005-0000-0000-00005E320000}"/>
    <cellStyle name="Comma 2 2 5 8 2 7" xfId="13314" xr:uid="{00000000-0005-0000-0000-00005F320000}"/>
    <cellStyle name="Comma 2 2 5 8 2 7 2" xfId="36593" xr:uid="{00000000-0005-0000-0000-000060320000}"/>
    <cellStyle name="Comma 2 2 5 8 2 8" xfId="15785" xr:uid="{00000000-0005-0000-0000-000061320000}"/>
    <cellStyle name="Comma 2 2 5 8 2 8 2" xfId="39063" xr:uid="{00000000-0005-0000-0000-000062320000}"/>
    <cellStyle name="Comma 2 2 5 8 2 9" xfId="24353" xr:uid="{00000000-0005-0000-0000-000063320000}"/>
    <cellStyle name="Comma 2 2 5 8 3" xfId="1686" xr:uid="{00000000-0005-0000-0000-000064320000}"/>
    <cellStyle name="Comma 2 2 5 8 3 10" xfId="22517" xr:uid="{00000000-0005-0000-0000-000065320000}"/>
    <cellStyle name="Comma 2 2 5 8 3 2" xfId="4134" xr:uid="{00000000-0005-0000-0000-000066320000}"/>
    <cellStyle name="Comma 2 2 5 8 3 2 2" xfId="20069" xr:uid="{00000000-0005-0000-0000-000067320000}"/>
    <cellStyle name="Comma 2 2 5 8 3 2 2 2" xfId="43347" xr:uid="{00000000-0005-0000-0000-000068320000}"/>
    <cellStyle name="Comma 2 2 5 8 3 2 3" xfId="48243" xr:uid="{00000000-0005-0000-0000-000069320000}"/>
    <cellStyle name="Comma 2 2 5 8 3 2 4" xfId="27413" xr:uid="{00000000-0005-0000-0000-00006A320000}"/>
    <cellStyle name="Comma 2 2 5 8 3 3" xfId="6582" xr:uid="{00000000-0005-0000-0000-00006B320000}"/>
    <cellStyle name="Comma 2 2 5 8 3 3 2" xfId="29861" xr:uid="{00000000-0005-0000-0000-00006C320000}"/>
    <cellStyle name="Comma 2 2 5 8 3 4" xfId="9030" xr:uid="{00000000-0005-0000-0000-00006D320000}"/>
    <cellStyle name="Comma 2 2 5 8 3 4 2" xfId="32309" xr:uid="{00000000-0005-0000-0000-00006E320000}"/>
    <cellStyle name="Comma 2 2 5 8 3 5" xfId="11478" xr:uid="{00000000-0005-0000-0000-00006F320000}"/>
    <cellStyle name="Comma 2 2 5 8 3 5 2" xfId="34757" xr:uid="{00000000-0005-0000-0000-000070320000}"/>
    <cellStyle name="Comma 2 2 5 8 3 6" xfId="13926" xr:uid="{00000000-0005-0000-0000-000071320000}"/>
    <cellStyle name="Comma 2 2 5 8 3 6 2" xfId="37205" xr:uid="{00000000-0005-0000-0000-000072320000}"/>
    <cellStyle name="Comma 2 2 5 8 3 7" xfId="17621" xr:uid="{00000000-0005-0000-0000-000073320000}"/>
    <cellStyle name="Comma 2 2 5 8 3 7 2" xfId="40899" xr:uid="{00000000-0005-0000-0000-000074320000}"/>
    <cellStyle name="Comma 2 2 5 8 3 8" xfId="24965" xr:uid="{00000000-0005-0000-0000-000075320000}"/>
    <cellStyle name="Comma 2 2 5 8 3 9" xfId="45795" xr:uid="{00000000-0005-0000-0000-000076320000}"/>
    <cellStyle name="Comma 2 2 5 8 4" xfId="2910" xr:uid="{00000000-0005-0000-0000-000077320000}"/>
    <cellStyle name="Comma 2 2 5 8 4 2" xfId="16397" xr:uid="{00000000-0005-0000-0000-000078320000}"/>
    <cellStyle name="Comma 2 2 5 8 4 2 2" xfId="39675" xr:uid="{00000000-0005-0000-0000-000079320000}"/>
    <cellStyle name="Comma 2 2 5 8 4 3" xfId="47019" xr:uid="{00000000-0005-0000-0000-00007A320000}"/>
    <cellStyle name="Comma 2 2 5 8 4 4" xfId="26189" xr:uid="{00000000-0005-0000-0000-00007B320000}"/>
    <cellStyle name="Comma 2 2 5 8 5" xfId="5358" xr:uid="{00000000-0005-0000-0000-00007C320000}"/>
    <cellStyle name="Comma 2 2 5 8 5 2" xfId="18845" xr:uid="{00000000-0005-0000-0000-00007D320000}"/>
    <cellStyle name="Comma 2 2 5 8 5 2 2" xfId="42123" xr:uid="{00000000-0005-0000-0000-00007E320000}"/>
    <cellStyle name="Comma 2 2 5 8 5 3" xfId="28637" xr:uid="{00000000-0005-0000-0000-00007F320000}"/>
    <cellStyle name="Comma 2 2 5 8 6" xfId="7806" xr:uid="{00000000-0005-0000-0000-000080320000}"/>
    <cellStyle name="Comma 2 2 5 8 6 2" xfId="31085" xr:uid="{00000000-0005-0000-0000-000081320000}"/>
    <cellStyle name="Comma 2 2 5 8 7" xfId="10254" xr:uid="{00000000-0005-0000-0000-000082320000}"/>
    <cellStyle name="Comma 2 2 5 8 7 2" xfId="33533" xr:uid="{00000000-0005-0000-0000-000083320000}"/>
    <cellStyle name="Comma 2 2 5 8 8" xfId="12702" xr:uid="{00000000-0005-0000-0000-000084320000}"/>
    <cellStyle name="Comma 2 2 5 8 8 2" xfId="35981" xr:uid="{00000000-0005-0000-0000-000085320000}"/>
    <cellStyle name="Comma 2 2 5 8 9" xfId="15173" xr:uid="{00000000-0005-0000-0000-000086320000}"/>
    <cellStyle name="Comma 2 2 5 8 9 2" xfId="38451" xr:uid="{00000000-0005-0000-0000-000087320000}"/>
    <cellStyle name="Comma 2 2 5 9" xfId="666" xr:uid="{00000000-0005-0000-0000-000088320000}"/>
    <cellStyle name="Comma 2 2 5 9 10" xfId="44775" xr:uid="{00000000-0005-0000-0000-000089320000}"/>
    <cellStyle name="Comma 2 2 5 9 11" xfId="21497" xr:uid="{00000000-0005-0000-0000-00008A320000}"/>
    <cellStyle name="Comma 2 2 5 9 2" xfId="1890" xr:uid="{00000000-0005-0000-0000-00008B320000}"/>
    <cellStyle name="Comma 2 2 5 9 2 10" xfId="22721" xr:uid="{00000000-0005-0000-0000-00008C320000}"/>
    <cellStyle name="Comma 2 2 5 9 2 2" xfId="4338" xr:uid="{00000000-0005-0000-0000-00008D320000}"/>
    <cellStyle name="Comma 2 2 5 9 2 2 2" xfId="20273" xr:uid="{00000000-0005-0000-0000-00008E320000}"/>
    <cellStyle name="Comma 2 2 5 9 2 2 2 2" xfId="43551" xr:uid="{00000000-0005-0000-0000-00008F320000}"/>
    <cellStyle name="Comma 2 2 5 9 2 2 3" xfId="48447" xr:uid="{00000000-0005-0000-0000-000090320000}"/>
    <cellStyle name="Comma 2 2 5 9 2 2 4" xfId="27617" xr:uid="{00000000-0005-0000-0000-000091320000}"/>
    <cellStyle name="Comma 2 2 5 9 2 3" xfId="6786" xr:uid="{00000000-0005-0000-0000-000092320000}"/>
    <cellStyle name="Comma 2 2 5 9 2 3 2" xfId="30065" xr:uid="{00000000-0005-0000-0000-000093320000}"/>
    <cellStyle name="Comma 2 2 5 9 2 4" xfId="9234" xr:uid="{00000000-0005-0000-0000-000094320000}"/>
    <cellStyle name="Comma 2 2 5 9 2 4 2" xfId="32513" xr:uid="{00000000-0005-0000-0000-000095320000}"/>
    <cellStyle name="Comma 2 2 5 9 2 5" xfId="11682" xr:uid="{00000000-0005-0000-0000-000096320000}"/>
    <cellStyle name="Comma 2 2 5 9 2 5 2" xfId="34961" xr:uid="{00000000-0005-0000-0000-000097320000}"/>
    <cellStyle name="Comma 2 2 5 9 2 6" xfId="14130" xr:uid="{00000000-0005-0000-0000-000098320000}"/>
    <cellStyle name="Comma 2 2 5 9 2 6 2" xfId="37409" xr:uid="{00000000-0005-0000-0000-000099320000}"/>
    <cellStyle name="Comma 2 2 5 9 2 7" xfId="17825" xr:uid="{00000000-0005-0000-0000-00009A320000}"/>
    <cellStyle name="Comma 2 2 5 9 2 7 2" xfId="41103" xr:uid="{00000000-0005-0000-0000-00009B320000}"/>
    <cellStyle name="Comma 2 2 5 9 2 8" xfId="25169" xr:uid="{00000000-0005-0000-0000-00009C320000}"/>
    <cellStyle name="Comma 2 2 5 9 2 9" xfId="45999" xr:uid="{00000000-0005-0000-0000-00009D320000}"/>
    <cellStyle name="Comma 2 2 5 9 3" xfId="3114" xr:uid="{00000000-0005-0000-0000-00009E320000}"/>
    <cellStyle name="Comma 2 2 5 9 3 2" xfId="16601" xr:uid="{00000000-0005-0000-0000-00009F320000}"/>
    <cellStyle name="Comma 2 2 5 9 3 2 2" xfId="39879" xr:uid="{00000000-0005-0000-0000-0000A0320000}"/>
    <cellStyle name="Comma 2 2 5 9 3 3" xfId="47223" xr:uid="{00000000-0005-0000-0000-0000A1320000}"/>
    <cellStyle name="Comma 2 2 5 9 3 4" xfId="26393" xr:uid="{00000000-0005-0000-0000-0000A2320000}"/>
    <cellStyle name="Comma 2 2 5 9 4" xfId="5562" xr:uid="{00000000-0005-0000-0000-0000A3320000}"/>
    <cellStyle name="Comma 2 2 5 9 4 2" xfId="19049" xr:uid="{00000000-0005-0000-0000-0000A4320000}"/>
    <cellStyle name="Comma 2 2 5 9 4 2 2" xfId="42327" xr:uid="{00000000-0005-0000-0000-0000A5320000}"/>
    <cellStyle name="Comma 2 2 5 9 4 3" xfId="28841" xr:uid="{00000000-0005-0000-0000-0000A6320000}"/>
    <cellStyle name="Comma 2 2 5 9 5" xfId="8010" xr:uid="{00000000-0005-0000-0000-0000A7320000}"/>
    <cellStyle name="Comma 2 2 5 9 5 2" xfId="31289" xr:uid="{00000000-0005-0000-0000-0000A8320000}"/>
    <cellStyle name="Comma 2 2 5 9 6" xfId="10458" xr:uid="{00000000-0005-0000-0000-0000A9320000}"/>
    <cellStyle name="Comma 2 2 5 9 6 2" xfId="33737" xr:uid="{00000000-0005-0000-0000-0000AA320000}"/>
    <cellStyle name="Comma 2 2 5 9 7" xfId="12906" xr:uid="{00000000-0005-0000-0000-0000AB320000}"/>
    <cellStyle name="Comma 2 2 5 9 7 2" xfId="36185" xr:uid="{00000000-0005-0000-0000-0000AC320000}"/>
    <cellStyle name="Comma 2 2 5 9 8" xfId="15377" xr:uid="{00000000-0005-0000-0000-0000AD320000}"/>
    <cellStyle name="Comma 2 2 5 9 8 2" xfId="38655" xr:uid="{00000000-0005-0000-0000-0000AE320000}"/>
    <cellStyle name="Comma 2 2 5 9 9" xfId="23945" xr:uid="{00000000-0005-0000-0000-0000AF320000}"/>
    <cellStyle name="Comma 2 2 6" xfId="56" xr:uid="{00000000-0005-0000-0000-0000B0320000}"/>
    <cellStyle name="Comma 2 2 6 10" xfId="1280" xr:uid="{00000000-0005-0000-0000-0000B1320000}"/>
    <cellStyle name="Comma 2 2 6 10 10" xfId="22111" xr:uid="{00000000-0005-0000-0000-0000B2320000}"/>
    <cellStyle name="Comma 2 2 6 10 2" xfId="3728" xr:uid="{00000000-0005-0000-0000-0000B3320000}"/>
    <cellStyle name="Comma 2 2 6 10 2 2" xfId="17215" xr:uid="{00000000-0005-0000-0000-0000B4320000}"/>
    <cellStyle name="Comma 2 2 6 10 2 2 2" xfId="40493" xr:uid="{00000000-0005-0000-0000-0000B5320000}"/>
    <cellStyle name="Comma 2 2 6 10 2 3" xfId="47837" xr:uid="{00000000-0005-0000-0000-0000B6320000}"/>
    <cellStyle name="Comma 2 2 6 10 2 4" xfId="27007" xr:uid="{00000000-0005-0000-0000-0000B7320000}"/>
    <cellStyle name="Comma 2 2 6 10 3" xfId="6176" xr:uid="{00000000-0005-0000-0000-0000B8320000}"/>
    <cellStyle name="Comma 2 2 6 10 3 2" xfId="19663" xr:uid="{00000000-0005-0000-0000-0000B9320000}"/>
    <cellStyle name="Comma 2 2 6 10 3 2 2" xfId="42941" xr:uid="{00000000-0005-0000-0000-0000BA320000}"/>
    <cellStyle name="Comma 2 2 6 10 3 3" xfId="29455" xr:uid="{00000000-0005-0000-0000-0000BB320000}"/>
    <cellStyle name="Comma 2 2 6 10 4" xfId="8624" xr:uid="{00000000-0005-0000-0000-0000BC320000}"/>
    <cellStyle name="Comma 2 2 6 10 4 2" xfId="31903" xr:uid="{00000000-0005-0000-0000-0000BD320000}"/>
    <cellStyle name="Comma 2 2 6 10 5" xfId="11072" xr:uid="{00000000-0005-0000-0000-0000BE320000}"/>
    <cellStyle name="Comma 2 2 6 10 5 2" xfId="34351" xr:uid="{00000000-0005-0000-0000-0000BF320000}"/>
    <cellStyle name="Comma 2 2 6 10 6" xfId="13520" xr:uid="{00000000-0005-0000-0000-0000C0320000}"/>
    <cellStyle name="Comma 2 2 6 10 6 2" xfId="36799" xr:uid="{00000000-0005-0000-0000-0000C1320000}"/>
    <cellStyle name="Comma 2 2 6 10 7" xfId="14767" xr:uid="{00000000-0005-0000-0000-0000C2320000}"/>
    <cellStyle name="Comma 2 2 6 10 7 2" xfId="38045" xr:uid="{00000000-0005-0000-0000-0000C3320000}"/>
    <cellStyle name="Comma 2 2 6 10 8" xfId="24559" xr:uid="{00000000-0005-0000-0000-0000C4320000}"/>
    <cellStyle name="Comma 2 2 6 10 9" xfId="45389" xr:uid="{00000000-0005-0000-0000-0000C5320000}"/>
    <cellStyle name="Comma 2 2 6 11" xfId="2504" xr:uid="{00000000-0005-0000-0000-0000C6320000}"/>
    <cellStyle name="Comma 2 2 6 11 2" xfId="15991" xr:uid="{00000000-0005-0000-0000-0000C7320000}"/>
    <cellStyle name="Comma 2 2 6 11 2 2" xfId="39269" xr:uid="{00000000-0005-0000-0000-0000C8320000}"/>
    <cellStyle name="Comma 2 2 6 11 3" xfId="46613" xr:uid="{00000000-0005-0000-0000-0000C9320000}"/>
    <cellStyle name="Comma 2 2 6 11 4" xfId="25783" xr:uid="{00000000-0005-0000-0000-0000CA320000}"/>
    <cellStyle name="Comma 2 2 6 12" xfId="4952" xr:uid="{00000000-0005-0000-0000-0000CB320000}"/>
    <cellStyle name="Comma 2 2 6 12 2" xfId="18439" xr:uid="{00000000-0005-0000-0000-0000CC320000}"/>
    <cellStyle name="Comma 2 2 6 12 2 2" xfId="41717" xr:uid="{00000000-0005-0000-0000-0000CD320000}"/>
    <cellStyle name="Comma 2 2 6 12 3" xfId="28231" xr:uid="{00000000-0005-0000-0000-0000CE320000}"/>
    <cellStyle name="Comma 2 2 6 13" xfId="7400" xr:uid="{00000000-0005-0000-0000-0000CF320000}"/>
    <cellStyle name="Comma 2 2 6 13 2" xfId="30679" xr:uid="{00000000-0005-0000-0000-0000D0320000}"/>
    <cellStyle name="Comma 2 2 6 14" xfId="9848" xr:uid="{00000000-0005-0000-0000-0000D1320000}"/>
    <cellStyle name="Comma 2 2 6 14 2" xfId="33127" xr:uid="{00000000-0005-0000-0000-0000D2320000}"/>
    <cellStyle name="Comma 2 2 6 15" xfId="12296" xr:uid="{00000000-0005-0000-0000-0000D3320000}"/>
    <cellStyle name="Comma 2 2 6 15 2" xfId="35575" xr:uid="{00000000-0005-0000-0000-0000D4320000}"/>
    <cellStyle name="Comma 2 2 6 16" xfId="14750" xr:uid="{00000000-0005-0000-0000-0000D5320000}"/>
    <cellStyle name="Comma 2 2 6 16 2" xfId="38028" xr:uid="{00000000-0005-0000-0000-0000D6320000}"/>
    <cellStyle name="Comma 2 2 6 17" xfId="23335" xr:uid="{00000000-0005-0000-0000-0000D7320000}"/>
    <cellStyle name="Comma 2 2 6 18" xfId="44165" xr:uid="{00000000-0005-0000-0000-0000D8320000}"/>
    <cellStyle name="Comma 2 2 6 19" xfId="20887" xr:uid="{00000000-0005-0000-0000-0000D9320000}"/>
    <cellStyle name="Comma 2 2 6 2" xfId="73" xr:uid="{00000000-0005-0000-0000-0000DA320000}"/>
    <cellStyle name="Comma 2 2 6 2 10" xfId="7417" xr:uid="{00000000-0005-0000-0000-0000DB320000}"/>
    <cellStyle name="Comma 2 2 6 2 10 2" xfId="30696" xr:uid="{00000000-0005-0000-0000-0000DC320000}"/>
    <cellStyle name="Comma 2 2 6 2 11" xfId="9865" xr:uid="{00000000-0005-0000-0000-0000DD320000}"/>
    <cellStyle name="Comma 2 2 6 2 11 2" xfId="33144" xr:uid="{00000000-0005-0000-0000-0000DE320000}"/>
    <cellStyle name="Comma 2 2 6 2 12" xfId="12313" xr:uid="{00000000-0005-0000-0000-0000DF320000}"/>
    <cellStyle name="Comma 2 2 6 2 12 2" xfId="35592" xr:uid="{00000000-0005-0000-0000-0000E0320000}"/>
    <cellStyle name="Comma 2 2 6 2 13" xfId="14784" xr:uid="{00000000-0005-0000-0000-0000E1320000}"/>
    <cellStyle name="Comma 2 2 6 2 13 2" xfId="38062" xr:uid="{00000000-0005-0000-0000-0000E2320000}"/>
    <cellStyle name="Comma 2 2 6 2 14" xfId="23352" xr:uid="{00000000-0005-0000-0000-0000E3320000}"/>
    <cellStyle name="Comma 2 2 6 2 15" xfId="44182" xr:uid="{00000000-0005-0000-0000-0000E4320000}"/>
    <cellStyle name="Comma 2 2 6 2 16" xfId="20904" xr:uid="{00000000-0005-0000-0000-0000E5320000}"/>
    <cellStyle name="Comma 2 2 6 2 2" xfId="141" xr:uid="{00000000-0005-0000-0000-0000E6320000}"/>
    <cellStyle name="Comma 2 2 6 2 2 10" xfId="12381" xr:uid="{00000000-0005-0000-0000-0000E7320000}"/>
    <cellStyle name="Comma 2 2 6 2 2 10 2" xfId="35660" xr:uid="{00000000-0005-0000-0000-0000E8320000}"/>
    <cellStyle name="Comma 2 2 6 2 2 11" xfId="14852" xr:uid="{00000000-0005-0000-0000-0000E9320000}"/>
    <cellStyle name="Comma 2 2 6 2 2 11 2" xfId="38130" xr:uid="{00000000-0005-0000-0000-0000EA320000}"/>
    <cellStyle name="Comma 2 2 6 2 2 12" xfId="23420" xr:uid="{00000000-0005-0000-0000-0000EB320000}"/>
    <cellStyle name="Comma 2 2 6 2 2 13" xfId="44250" xr:uid="{00000000-0005-0000-0000-0000EC320000}"/>
    <cellStyle name="Comma 2 2 6 2 2 14" xfId="20972" xr:uid="{00000000-0005-0000-0000-0000ED320000}"/>
    <cellStyle name="Comma 2 2 6 2 2 2" xfId="345" xr:uid="{00000000-0005-0000-0000-0000EE320000}"/>
    <cellStyle name="Comma 2 2 6 2 2 2 10" xfId="23624" xr:uid="{00000000-0005-0000-0000-0000EF320000}"/>
    <cellStyle name="Comma 2 2 6 2 2 2 11" xfId="44454" xr:uid="{00000000-0005-0000-0000-0000F0320000}"/>
    <cellStyle name="Comma 2 2 6 2 2 2 12" xfId="21176" xr:uid="{00000000-0005-0000-0000-0000F1320000}"/>
    <cellStyle name="Comma 2 2 6 2 2 2 2" xfId="957" xr:uid="{00000000-0005-0000-0000-0000F2320000}"/>
    <cellStyle name="Comma 2 2 6 2 2 2 2 10" xfId="45066" xr:uid="{00000000-0005-0000-0000-0000F3320000}"/>
    <cellStyle name="Comma 2 2 6 2 2 2 2 11" xfId="21788" xr:uid="{00000000-0005-0000-0000-0000F4320000}"/>
    <cellStyle name="Comma 2 2 6 2 2 2 2 2" xfId="2181" xr:uid="{00000000-0005-0000-0000-0000F5320000}"/>
    <cellStyle name="Comma 2 2 6 2 2 2 2 2 10" xfId="23012" xr:uid="{00000000-0005-0000-0000-0000F6320000}"/>
    <cellStyle name="Comma 2 2 6 2 2 2 2 2 2" xfId="4629" xr:uid="{00000000-0005-0000-0000-0000F7320000}"/>
    <cellStyle name="Comma 2 2 6 2 2 2 2 2 2 2" xfId="20564" xr:uid="{00000000-0005-0000-0000-0000F8320000}"/>
    <cellStyle name="Comma 2 2 6 2 2 2 2 2 2 2 2" xfId="43842" xr:uid="{00000000-0005-0000-0000-0000F9320000}"/>
    <cellStyle name="Comma 2 2 6 2 2 2 2 2 2 3" xfId="48738" xr:uid="{00000000-0005-0000-0000-0000FA320000}"/>
    <cellStyle name="Comma 2 2 6 2 2 2 2 2 2 4" xfId="27908" xr:uid="{00000000-0005-0000-0000-0000FB320000}"/>
    <cellStyle name="Comma 2 2 6 2 2 2 2 2 3" xfId="7077" xr:uid="{00000000-0005-0000-0000-0000FC320000}"/>
    <cellStyle name="Comma 2 2 6 2 2 2 2 2 3 2" xfId="30356" xr:uid="{00000000-0005-0000-0000-0000FD320000}"/>
    <cellStyle name="Comma 2 2 6 2 2 2 2 2 4" xfId="9525" xr:uid="{00000000-0005-0000-0000-0000FE320000}"/>
    <cellStyle name="Comma 2 2 6 2 2 2 2 2 4 2" xfId="32804" xr:uid="{00000000-0005-0000-0000-0000FF320000}"/>
    <cellStyle name="Comma 2 2 6 2 2 2 2 2 5" xfId="11973" xr:uid="{00000000-0005-0000-0000-000000330000}"/>
    <cellStyle name="Comma 2 2 6 2 2 2 2 2 5 2" xfId="35252" xr:uid="{00000000-0005-0000-0000-000001330000}"/>
    <cellStyle name="Comma 2 2 6 2 2 2 2 2 6" xfId="14421" xr:uid="{00000000-0005-0000-0000-000002330000}"/>
    <cellStyle name="Comma 2 2 6 2 2 2 2 2 6 2" xfId="37700" xr:uid="{00000000-0005-0000-0000-000003330000}"/>
    <cellStyle name="Comma 2 2 6 2 2 2 2 2 7" xfId="18116" xr:uid="{00000000-0005-0000-0000-000004330000}"/>
    <cellStyle name="Comma 2 2 6 2 2 2 2 2 7 2" xfId="41394" xr:uid="{00000000-0005-0000-0000-000005330000}"/>
    <cellStyle name="Comma 2 2 6 2 2 2 2 2 8" xfId="25460" xr:uid="{00000000-0005-0000-0000-000006330000}"/>
    <cellStyle name="Comma 2 2 6 2 2 2 2 2 9" xfId="46290" xr:uid="{00000000-0005-0000-0000-000007330000}"/>
    <cellStyle name="Comma 2 2 6 2 2 2 2 3" xfId="3405" xr:uid="{00000000-0005-0000-0000-000008330000}"/>
    <cellStyle name="Comma 2 2 6 2 2 2 2 3 2" xfId="16892" xr:uid="{00000000-0005-0000-0000-000009330000}"/>
    <cellStyle name="Comma 2 2 6 2 2 2 2 3 2 2" xfId="40170" xr:uid="{00000000-0005-0000-0000-00000A330000}"/>
    <cellStyle name="Comma 2 2 6 2 2 2 2 3 3" xfId="47514" xr:uid="{00000000-0005-0000-0000-00000B330000}"/>
    <cellStyle name="Comma 2 2 6 2 2 2 2 3 4" xfId="26684" xr:uid="{00000000-0005-0000-0000-00000C330000}"/>
    <cellStyle name="Comma 2 2 6 2 2 2 2 4" xfId="5853" xr:uid="{00000000-0005-0000-0000-00000D330000}"/>
    <cellStyle name="Comma 2 2 6 2 2 2 2 4 2" xfId="19340" xr:uid="{00000000-0005-0000-0000-00000E330000}"/>
    <cellStyle name="Comma 2 2 6 2 2 2 2 4 2 2" xfId="42618" xr:uid="{00000000-0005-0000-0000-00000F330000}"/>
    <cellStyle name="Comma 2 2 6 2 2 2 2 4 3" xfId="29132" xr:uid="{00000000-0005-0000-0000-000010330000}"/>
    <cellStyle name="Comma 2 2 6 2 2 2 2 5" xfId="8301" xr:uid="{00000000-0005-0000-0000-000011330000}"/>
    <cellStyle name="Comma 2 2 6 2 2 2 2 5 2" xfId="31580" xr:uid="{00000000-0005-0000-0000-000012330000}"/>
    <cellStyle name="Comma 2 2 6 2 2 2 2 6" xfId="10749" xr:uid="{00000000-0005-0000-0000-000013330000}"/>
    <cellStyle name="Comma 2 2 6 2 2 2 2 6 2" xfId="34028" xr:uid="{00000000-0005-0000-0000-000014330000}"/>
    <cellStyle name="Comma 2 2 6 2 2 2 2 7" xfId="13197" xr:uid="{00000000-0005-0000-0000-000015330000}"/>
    <cellStyle name="Comma 2 2 6 2 2 2 2 7 2" xfId="36476" xr:uid="{00000000-0005-0000-0000-000016330000}"/>
    <cellStyle name="Comma 2 2 6 2 2 2 2 8" xfId="15668" xr:uid="{00000000-0005-0000-0000-000017330000}"/>
    <cellStyle name="Comma 2 2 6 2 2 2 2 8 2" xfId="38946" xr:uid="{00000000-0005-0000-0000-000018330000}"/>
    <cellStyle name="Comma 2 2 6 2 2 2 2 9" xfId="24236" xr:uid="{00000000-0005-0000-0000-000019330000}"/>
    <cellStyle name="Comma 2 2 6 2 2 2 3" xfId="1569" xr:uid="{00000000-0005-0000-0000-00001A330000}"/>
    <cellStyle name="Comma 2 2 6 2 2 2 3 10" xfId="22400" xr:uid="{00000000-0005-0000-0000-00001B330000}"/>
    <cellStyle name="Comma 2 2 6 2 2 2 3 2" xfId="4017" xr:uid="{00000000-0005-0000-0000-00001C330000}"/>
    <cellStyle name="Comma 2 2 6 2 2 2 3 2 2" xfId="19952" xr:uid="{00000000-0005-0000-0000-00001D330000}"/>
    <cellStyle name="Comma 2 2 6 2 2 2 3 2 2 2" xfId="43230" xr:uid="{00000000-0005-0000-0000-00001E330000}"/>
    <cellStyle name="Comma 2 2 6 2 2 2 3 2 3" xfId="48126" xr:uid="{00000000-0005-0000-0000-00001F330000}"/>
    <cellStyle name="Comma 2 2 6 2 2 2 3 2 4" xfId="27296" xr:uid="{00000000-0005-0000-0000-000020330000}"/>
    <cellStyle name="Comma 2 2 6 2 2 2 3 3" xfId="6465" xr:uid="{00000000-0005-0000-0000-000021330000}"/>
    <cellStyle name="Comma 2 2 6 2 2 2 3 3 2" xfId="29744" xr:uid="{00000000-0005-0000-0000-000022330000}"/>
    <cellStyle name="Comma 2 2 6 2 2 2 3 4" xfId="8913" xr:uid="{00000000-0005-0000-0000-000023330000}"/>
    <cellStyle name="Comma 2 2 6 2 2 2 3 4 2" xfId="32192" xr:uid="{00000000-0005-0000-0000-000024330000}"/>
    <cellStyle name="Comma 2 2 6 2 2 2 3 5" xfId="11361" xr:uid="{00000000-0005-0000-0000-000025330000}"/>
    <cellStyle name="Comma 2 2 6 2 2 2 3 5 2" xfId="34640" xr:uid="{00000000-0005-0000-0000-000026330000}"/>
    <cellStyle name="Comma 2 2 6 2 2 2 3 6" xfId="13809" xr:uid="{00000000-0005-0000-0000-000027330000}"/>
    <cellStyle name="Comma 2 2 6 2 2 2 3 6 2" xfId="37088" xr:uid="{00000000-0005-0000-0000-000028330000}"/>
    <cellStyle name="Comma 2 2 6 2 2 2 3 7" xfId="17504" xr:uid="{00000000-0005-0000-0000-000029330000}"/>
    <cellStyle name="Comma 2 2 6 2 2 2 3 7 2" xfId="40782" xr:uid="{00000000-0005-0000-0000-00002A330000}"/>
    <cellStyle name="Comma 2 2 6 2 2 2 3 8" xfId="24848" xr:uid="{00000000-0005-0000-0000-00002B330000}"/>
    <cellStyle name="Comma 2 2 6 2 2 2 3 9" xfId="45678" xr:uid="{00000000-0005-0000-0000-00002C330000}"/>
    <cellStyle name="Comma 2 2 6 2 2 2 4" xfId="2793" xr:uid="{00000000-0005-0000-0000-00002D330000}"/>
    <cellStyle name="Comma 2 2 6 2 2 2 4 2" xfId="16280" xr:uid="{00000000-0005-0000-0000-00002E330000}"/>
    <cellStyle name="Comma 2 2 6 2 2 2 4 2 2" xfId="39558" xr:uid="{00000000-0005-0000-0000-00002F330000}"/>
    <cellStyle name="Comma 2 2 6 2 2 2 4 3" xfId="46902" xr:uid="{00000000-0005-0000-0000-000030330000}"/>
    <cellStyle name="Comma 2 2 6 2 2 2 4 4" xfId="26072" xr:uid="{00000000-0005-0000-0000-000031330000}"/>
    <cellStyle name="Comma 2 2 6 2 2 2 5" xfId="5241" xr:uid="{00000000-0005-0000-0000-000032330000}"/>
    <cellStyle name="Comma 2 2 6 2 2 2 5 2" xfId="18728" xr:uid="{00000000-0005-0000-0000-000033330000}"/>
    <cellStyle name="Comma 2 2 6 2 2 2 5 2 2" xfId="42006" xr:uid="{00000000-0005-0000-0000-000034330000}"/>
    <cellStyle name="Comma 2 2 6 2 2 2 5 3" xfId="28520" xr:uid="{00000000-0005-0000-0000-000035330000}"/>
    <cellStyle name="Comma 2 2 6 2 2 2 6" xfId="7689" xr:uid="{00000000-0005-0000-0000-000036330000}"/>
    <cellStyle name="Comma 2 2 6 2 2 2 6 2" xfId="30968" xr:uid="{00000000-0005-0000-0000-000037330000}"/>
    <cellStyle name="Comma 2 2 6 2 2 2 7" xfId="10137" xr:uid="{00000000-0005-0000-0000-000038330000}"/>
    <cellStyle name="Comma 2 2 6 2 2 2 7 2" xfId="33416" xr:uid="{00000000-0005-0000-0000-000039330000}"/>
    <cellStyle name="Comma 2 2 6 2 2 2 8" xfId="12585" xr:uid="{00000000-0005-0000-0000-00003A330000}"/>
    <cellStyle name="Comma 2 2 6 2 2 2 8 2" xfId="35864" xr:uid="{00000000-0005-0000-0000-00003B330000}"/>
    <cellStyle name="Comma 2 2 6 2 2 2 9" xfId="15056" xr:uid="{00000000-0005-0000-0000-00003C330000}"/>
    <cellStyle name="Comma 2 2 6 2 2 2 9 2" xfId="38334" xr:uid="{00000000-0005-0000-0000-00003D330000}"/>
    <cellStyle name="Comma 2 2 6 2 2 3" xfId="549" xr:uid="{00000000-0005-0000-0000-00003E330000}"/>
    <cellStyle name="Comma 2 2 6 2 2 3 10" xfId="23828" xr:uid="{00000000-0005-0000-0000-00003F330000}"/>
    <cellStyle name="Comma 2 2 6 2 2 3 11" xfId="44658" xr:uid="{00000000-0005-0000-0000-000040330000}"/>
    <cellStyle name="Comma 2 2 6 2 2 3 12" xfId="21380" xr:uid="{00000000-0005-0000-0000-000041330000}"/>
    <cellStyle name="Comma 2 2 6 2 2 3 2" xfId="1161" xr:uid="{00000000-0005-0000-0000-000042330000}"/>
    <cellStyle name="Comma 2 2 6 2 2 3 2 10" xfId="45270" xr:uid="{00000000-0005-0000-0000-000043330000}"/>
    <cellStyle name="Comma 2 2 6 2 2 3 2 11" xfId="21992" xr:uid="{00000000-0005-0000-0000-000044330000}"/>
    <cellStyle name="Comma 2 2 6 2 2 3 2 2" xfId="2385" xr:uid="{00000000-0005-0000-0000-000045330000}"/>
    <cellStyle name="Comma 2 2 6 2 2 3 2 2 10" xfId="23216" xr:uid="{00000000-0005-0000-0000-000046330000}"/>
    <cellStyle name="Comma 2 2 6 2 2 3 2 2 2" xfId="4833" xr:uid="{00000000-0005-0000-0000-000047330000}"/>
    <cellStyle name="Comma 2 2 6 2 2 3 2 2 2 2" xfId="20768" xr:uid="{00000000-0005-0000-0000-000048330000}"/>
    <cellStyle name="Comma 2 2 6 2 2 3 2 2 2 2 2" xfId="44046" xr:uid="{00000000-0005-0000-0000-000049330000}"/>
    <cellStyle name="Comma 2 2 6 2 2 3 2 2 2 3" xfId="48942" xr:uid="{00000000-0005-0000-0000-00004A330000}"/>
    <cellStyle name="Comma 2 2 6 2 2 3 2 2 2 4" xfId="28112" xr:uid="{00000000-0005-0000-0000-00004B330000}"/>
    <cellStyle name="Comma 2 2 6 2 2 3 2 2 3" xfId="7281" xr:uid="{00000000-0005-0000-0000-00004C330000}"/>
    <cellStyle name="Comma 2 2 6 2 2 3 2 2 3 2" xfId="30560" xr:uid="{00000000-0005-0000-0000-00004D330000}"/>
    <cellStyle name="Comma 2 2 6 2 2 3 2 2 4" xfId="9729" xr:uid="{00000000-0005-0000-0000-00004E330000}"/>
    <cellStyle name="Comma 2 2 6 2 2 3 2 2 4 2" xfId="33008" xr:uid="{00000000-0005-0000-0000-00004F330000}"/>
    <cellStyle name="Comma 2 2 6 2 2 3 2 2 5" xfId="12177" xr:uid="{00000000-0005-0000-0000-000050330000}"/>
    <cellStyle name="Comma 2 2 6 2 2 3 2 2 5 2" xfId="35456" xr:uid="{00000000-0005-0000-0000-000051330000}"/>
    <cellStyle name="Comma 2 2 6 2 2 3 2 2 6" xfId="14625" xr:uid="{00000000-0005-0000-0000-000052330000}"/>
    <cellStyle name="Comma 2 2 6 2 2 3 2 2 6 2" xfId="37904" xr:uid="{00000000-0005-0000-0000-000053330000}"/>
    <cellStyle name="Comma 2 2 6 2 2 3 2 2 7" xfId="18320" xr:uid="{00000000-0005-0000-0000-000054330000}"/>
    <cellStyle name="Comma 2 2 6 2 2 3 2 2 7 2" xfId="41598" xr:uid="{00000000-0005-0000-0000-000055330000}"/>
    <cellStyle name="Comma 2 2 6 2 2 3 2 2 8" xfId="25664" xr:uid="{00000000-0005-0000-0000-000056330000}"/>
    <cellStyle name="Comma 2 2 6 2 2 3 2 2 9" xfId="46494" xr:uid="{00000000-0005-0000-0000-000057330000}"/>
    <cellStyle name="Comma 2 2 6 2 2 3 2 3" xfId="3609" xr:uid="{00000000-0005-0000-0000-000058330000}"/>
    <cellStyle name="Comma 2 2 6 2 2 3 2 3 2" xfId="17096" xr:uid="{00000000-0005-0000-0000-000059330000}"/>
    <cellStyle name="Comma 2 2 6 2 2 3 2 3 2 2" xfId="40374" xr:uid="{00000000-0005-0000-0000-00005A330000}"/>
    <cellStyle name="Comma 2 2 6 2 2 3 2 3 3" xfId="47718" xr:uid="{00000000-0005-0000-0000-00005B330000}"/>
    <cellStyle name="Comma 2 2 6 2 2 3 2 3 4" xfId="26888" xr:uid="{00000000-0005-0000-0000-00005C330000}"/>
    <cellStyle name="Comma 2 2 6 2 2 3 2 4" xfId="6057" xr:uid="{00000000-0005-0000-0000-00005D330000}"/>
    <cellStyle name="Comma 2 2 6 2 2 3 2 4 2" xfId="19544" xr:uid="{00000000-0005-0000-0000-00005E330000}"/>
    <cellStyle name="Comma 2 2 6 2 2 3 2 4 2 2" xfId="42822" xr:uid="{00000000-0005-0000-0000-00005F330000}"/>
    <cellStyle name="Comma 2 2 6 2 2 3 2 4 3" xfId="29336" xr:uid="{00000000-0005-0000-0000-000060330000}"/>
    <cellStyle name="Comma 2 2 6 2 2 3 2 5" xfId="8505" xr:uid="{00000000-0005-0000-0000-000061330000}"/>
    <cellStyle name="Comma 2 2 6 2 2 3 2 5 2" xfId="31784" xr:uid="{00000000-0005-0000-0000-000062330000}"/>
    <cellStyle name="Comma 2 2 6 2 2 3 2 6" xfId="10953" xr:uid="{00000000-0005-0000-0000-000063330000}"/>
    <cellStyle name="Comma 2 2 6 2 2 3 2 6 2" xfId="34232" xr:uid="{00000000-0005-0000-0000-000064330000}"/>
    <cellStyle name="Comma 2 2 6 2 2 3 2 7" xfId="13401" xr:uid="{00000000-0005-0000-0000-000065330000}"/>
    <cellStyle name="Comma 2 2 6 2 2 3 2 7 2" xfId="36680" xr:uid="{00000000-0005-0000-0000-000066330000}"/>
    <cellStyle name="Comma 2 2 6 2 2 3 2 8" xfId="15872" xr:uid="{00000000-0005-0000-0000-000067330000}"/>
    <cellStyle name="Comma 2 2 6 2 2 3 2 8 2" xfId="39150" xr:uid="{00000000-0005-0000-0000-000068330000}"/>
    <cellStyle name="Comma 2 2 6 2 2 3 2 9" xfId="24440" xr:uid="{00000000-0005-0000-0000-000069330000}"/>
    <cellStyle name="Comma 2 2 6 2 2 3 3" xfId="1773" xr:uid="{00000000-0005-0000-0000-00006A330000}"/>
    <cellStyle name="Comma 2 2 6 2 2 3 3 10" xfId="22604" xr:uid="{00000000-0005-0000-0000-00006B330000}"/>
    <cellStyle name="Comma 2 2 6 2 2 3 3 2" xfId="4221" xr:uid="{00000000-0005-0000-0000-00006C330000}"/>
    <cellStyle name="Comma 2 2 6 2 2 3 3 2 2" xfId="20156" xr:uid="{00000000-0005-0000-0000-00006D330000}"/>
    <cellStyle name="Comma 2 2 6 2 2 3 3 2 2 2" xfId="43434" xr:uid="{00000000-0005-0000-0000-00006E330000}"/>
    <cellStyle name="Comma 2 2 6 2 2 3 3 2 3" xfId="48330" xr:uid="{00000000-0005-0000-0000-00006F330000}"/>
    <cellStyle name="Comma 2 2 6 2 2 3 3 2 4" xfId="27500" xr:uid="{00000000-0005-0000-0000-000070330000}"/>
    <cellStyle name="Comma 2 2 6 2 2 3 3 3" xfId="6669" xr:uid="{00000000-0005-0000-0000-000071330000}"/>
    <cellStyle name="Comma 2 2 6 2 2 3 3 3 2" xfId="29948" xr:uid="{00000000-0005-0000-0000-000072330000}"/>
    <cellStyle name="Comma 2 2 6 2 2 3 3 4" xfId="9117" xr:uid="{00000000-0005-0000-0000-000073330000}"/>
    <cellStyle name="Comma 2 2 6 2 2 3 3 4 2" xfId="32396" xr:uid="{00000000-0005-0000-0000-000074330000}"/>
    <cellStyle name="Comma 2 2 6 2 2 3 3 5" xfId="11565" xr:uid="{00000000-0005-0000-0000-000075330000}"/>
    <cellStyle name="Comma 2 2 6 2 2 3 3 5 2" xfId="34844" xr:uid="{00000000-0005-0000-0000-000076330000}"/>
    <cellStyle name="Comma 2 2 6 2 2 3 3 6" xfId="14013" xr:uid="{00000000-0005-0000-0000-000077330000}"/>
    <cellStyle name="Comma 2 2 6 2 2 3 3 6 2" xfId="37292" xr:uid="{00000000-0005-0000-0000-000078330000}"/>
    <cellStyle name="Comma 2 2 6 2 2 3 3 7" xfId="17708" xr:uid="{00000000-0005-0000-0000-000079330000}"/>
    <cellStyle name="Comma 2 2 6 2 2 3 3 7 2" xfId="40986" xr:uid="{00000000-0005-0000-0000-00007A330000}"/>
    <cellStyle name="Comma 2 2 6 2 2 3 3 8" xfId="25052" xr:uid="{00000000-0005-0000-0000-00007B330000}"/>
    <cellStyle name="Comma 2 2 6 2 2 3 3 9" xfId="45882" xr:uid="{00000000-0005-0000-0000-00007C330000}"/>
    <cellStyle name="Comma 2 2 6 2 2 3 4" xfId="2997" xr:uid="{00000000-0005-0000-0000-00007D330000}"/>
    <cellStyle name="Comma 2 2 6 2 2 3 4 2" xfId="16484" xr:uid="{00000000-0005-0000-0000-00007E330000}"/>
    <cellStyle name="Comma 2 2 6 2 2 3 4 2 2" xfId="39762" xr:uid="{00000000-0005-0000-0000-00007F330000}"/>
    <cellStyle name="Comma 2 2 6 2 2 3 4 3" xfId="47106" xr:uid="{00000000-0005-0000-0000-000080330000}"/>
    <cellStyle name="Comma 2 2 6 2 2 3 4 4" xfId="26276" xr:uid="{00000000-0005-0000-0000-000081330000}"/>
    <cellStyle name="Comma 2 2 6 2 2 3 5" xfId="5445" xr:uid="{00000000-0005-0000-0000-000082330000}"/>
    <cellStyle name="Comma 2 2 6 2 2 3 5 2" xfId="18932" xr:uid="{00000000-0005-0000-0000-000083330000}"/>
    <cellStyle name="Comma 2 2 6 2 2 3 5 2 2" xfId="42210" xr:uid="{00000000-0005-0000-0000-000084330000}"/>
    <cellStyle name="Comma 2 2 6 2 2 3 5 3" xfId="28724" xr:uid="{00000000-0005-0000-0000-000085330000}"/>
    <cellStyle name="Comma 2 2 6 2 2 3 6" xfId="7893" xr:uid="{00000000-0005-0000-0000-000086330000}"/>
    <cellStyle name="Comma 2 2 6 2 2 3 6 2" xfId="31172" xr:uid="{00000000-0005-0000-0000-000087330000}"/>
    <cellStyle name="Comma 2 2 6 2 2 3 7" xfId="10341" xr:uid="{00000000-0005-0000-0000-000088330000}"/>
    <cellStyle name="Comma 2 2 6 2 2 3 7 2" xfId="33620" xr:uid="{00000000-0005-0000-0000-000089330000}"/>
    <cellStyle name="Comma 2 2 6 2 2 3 8" xfId="12789" xr:uid="{00000000-0005-0000-0000-00008A330000}"/>
    <cellStyle name="Comma 2 2 6 2 2 3 8 2" xfId="36068" xr:uid="{00000000-0005-0000-0000-00008B330000}"/>
    <cellStyle name="Comma 2 2 6 2 2 3 9" xfId="15260" xr:uid="{00000000-0005-0000-0000-00008C330000}"/>
    <cellStyle name="Comma 2 2 6 2 2 3 9 2" xfId="38538" xr:uid="{00000000-0005-0000-0000-00008D330000}"/>
    <cellStyle name="Comma 2 2 6 2 2 4" xfId="753" xr:uid="{00000000-0005-0000-0000-00008E330000}"/>
    <cellStyle name="Comma 2 2 6 2 2 4 10" xfId="44862" xr:uid="{00000000-0005-0000-0000-00008F330000}"/>
    <cellStyle name="Comma 2 2 6 2 2 4 11" xfId="21584" xr:uid="{00000000-0005-0000-0000-000090330000}"/>
    <cellStyle name="Comma 2 2 6 2 2 4 2" xfId="1977" xr:uid="{00000000-0005-0000-0000-000091330000}"/>
    <cellStyle name="Comma 2 2 6 2 2 4 2 10" xfId="22808" xr:uid="{00000000-0005-0000-0000-000092330000}"/>
    <cellStyle name="Comma 2 2 6 2 2 4 2 2" xfId="4425" xr:uid="{00000000-0005-0000-0000-000093330000}"/>
    <cellStyle name="Comma 2 2 6 2 2 4 2 2 2" xfId="20360" xr:uid="{00000000-0005-0000-0000-000094330000}"/>
    <cellStyle name="Comma 2 2 6 2 2 4 2 2 2 2" xfId="43638" xr:uid="{00000000-0005-0000-0000-000095330000}"/>
    <cellStyle name="Comma 2 2 6 2 2 4 2 2 3" xfId="48534" xr:uid="{00000000-0005-0000-0000-000096330000}"/>
    <cellStyle name="Comma 2 2 6 2 2 4 2 2 4" xfId="27704" xr:uid="{00000000-0005-0000-0000-000097330000}"/>
    <cellStyle name="Comma 2 2 6 2 2 4 2 3" xfId="6873" xr:uid="{00000000-0005-0000-0000-000098330000}"/>
    <cellStyle name="Comma 2 2 6 2 2 4 2 3 2" xfId="30152" xr:uid="{00000000-0005-0000-0000-000099330000}"/>
    <cellStyle name="Comma 2 2 6 2 2 4 2 4" xfId="9321" xr:uid="{00000000-0005-0000-0000-00009A330000}"/>
    <cellStyle name="Comma 2 2 6 2 2 4 2 4 2" xfId="32600" xr:uid="{00000000-0005-0000-0000-00009B330000}"/>
    <cellStyle name="Comma 2 2 6 2 2 4 2 5" xfId="11769" xr:uid="{00000000-0005-0000-0000-00009C330000}"/>
    <cellStyle name="Comma 2 2 6 2 2 4 2 5 2" xfId="35048" xr:uid="{00000000-0005-0000-0000-00009D330000}"/>
    <cellStyle name="Comma 2 2 6 2 2 4 2 6" xfId="14217" xr:uid="{00000000-0005-0000-0000-00009E330000}"/>
    <cellStyle name="Comma 2 2 6 2 2 4 2 6 2" xfId="37496" xr:uid="{00000000-0005-0000-0000-00009F330000}"/>
    <cellStyle name="Comma 2 2 6 2 2 4 2 7" xfId="17912" xr:uid="{00000000-0005-0000-0000-0000A0330000}"/>
    <cellStyle name="Comma 2 2 6 2 2 4 2 7 2" xfId="41190" xr:uid="{00000000-0005-0000-0000-0000A1330000}"/>
    <cellStyle name="Comma 2 2 6 2 2 4 2 8" xfId="25256" xr:uid="{00000000-0005-0000-0000-0000A2330000}"/>
    <cellStyle name="Comma 2 2 6 2 2 4 2 9" xfId="46086" xr:uid="{00000000-0005-0000-0000-0000A3330000}"/>
    <cellStyle name="Comma 2 2 6 2 2 4 3" xfId="3201" xr:uid="{00000000-0005-0000-0000-0000A4330000}"/>
    <cellStyle name="Comma 2 2 6 2 2 4 3 2" xfId="16688" xr:uid="{00000000-0005-0000-0000-0000A5330000}"/>
    <cellStyle name="Comma 2 2 6 2 2 4 3 2 2" xfId="39966" xr:uid="{00000000-0005-0000-0000-0000A6330000}"/>
    <cellStyle name="Comma 2 2 6 2 2 4 3 3" xfId="47310" xr:uid="{00000000-0005-0000-0000-0000A7330000}"/>
    <cellStyle name="Comma 2 2 6 2 2 4 3 4" xfId="26480" xr:uid="{00000000-0005-0000-0000-0000A8330000}"/>
    <cellStyle name="Comma 2 2 6 2 2 4 4" xfId="5649" xr:uid="{00000000-0005-0000-0000-0000A9330000}"/>
    <cellStyle name="Comma 2 2 6 2 2 4 4 2" xfId="19136" xr:uid="{00000000-0005-0000-0000-0000AA330000}"/>
    <cellStyle name="Comma 2 2 6 2 2 4 4 2 2" xfId="42414" xr:uid="{00000000-0005-0000-0000-0000AB330000}"/>
    <cellStyle name="Comma 2 2 6 2 2 4 4 3" xfId="28928" xr:uid="{00000000-0005-0000-0000-0000AC330000}"/>
    <cellStyle name="Comma 2 2 6 2 2 4 5" xfId="8097" xr:uid="{00000000-0005-0000-0000-0000AD330000}"/>
    <cellStyle name="Comma 2 2 6 2 2 4 5 2" xfId="31376" xr:uid="{00000000-0005-0000-0000-0000AE330000}"/>
    <cellStyle name="Comma 2 2 6 2 2 4 6" xfId="10545" xr:uid="{00000000-0005-0000-0000-0000AF330000}"/>
    <cellStyle name="Comma 2 2 6 2 2 4 6 2" xfId="33824" xr:uid="{00000000-0005-0000-0000-0000B0330000}"/>
    <cellStyle name="Comma 2 2 6 2 2 4 7" xfId="12993" xr:uid="{00000000-0005-0000-0000-0000B1330000}"/>
    <cellStyle name="Comma 2 2 6 2 2 4 7 2" xfId="36272" xr:uid="{00000000-0005-0000-0000-0000B2330000}"/>
    <cellStyle name="Comma 2 2 6 2 2 4 8" xfId="15464" xr:uid="{00000000-0005-0000-0000-0000B3330000}"/>
    <cellStyle name="Comma 2 2 6 2 2 4 8 2" xfId="38742" xr:uid="{00000000-0005-0000-0000-0000B4330000}"/>
    <cellStyle name="Comma 2 2 6 2 2 4 9" xfId="24032" xr:uid="{00000000-0005-0000-0000-0000B5330000}"/>
    <cellStyle name="Comma 2 2 6 2 2 5" xfId="1365" xr:uid="{00000000-0005-0000-0000-0000B6330000}"/>
    <cellStyle name="Comma 2 2 6 2 2 5 10" xfId="22196" xr:uid="{00000000-0005-0000-0000-0000B7330000}"/>
    <cellStyle name="Comma 2 2 6 2 2 5 2" xfId="3813" xr:uid="{00000000-0005-0000-0000-0000B8330000}"/>
    <cellStyle name="Comma 2 2 6 2 2 5 2 2" xfId="19748" xr:uid="{00000000-0005-0000-0000-0000B9330000}"/>
    <cellStyle name="Comma 2 2 6 2 2 5 2 2 2" xfId="43026" xr:uid="{00000000-0005-0000-0000-0000BA330000}"/>
    <cellStyle name="Comma 2 2 6 2 2 5 2 3" xfId="47922" xr:uid="{00000000-0005-0000-0000-0000BB330000}"/>
    <cellStyle name="Comma 2 2 6 2 2 5 2 4" xfId="27092" xr:uid="{00000000-0005-0000-0000-0000BC330000}"/>
    <cellStyle name="Comma 2 2 6 2 2 5 3" xfId="6261" xr:uid="{00000000-0005-0000-0000-0000BD330000}"/>
    <cellStyle name="Comma 2 2 6 2 2 5 3 2" xfId="29540" xr:uid="{00000000-0005-0000-0000-0000BE330000}"/>
    <cellStyle name="Comma 2 2 6 2 2 5 4" xfId="8709" xr:uid="{00000000-0005-0000-0000-0000BF330000}"/>
    <cellStyle name="Comma 2 2 6 2 2 5 4 2" xfId="31988" xr:uid="{00000000-0005-0000-0000-0000C0330000}"/>
    <cellStyle name="Comma 2 2 6 2 2 5 5" xfId="11157" xr:uid="{00000000-0005-0000-0000-0000C1330000}"/>
    <cellStyle name="Comma 2 2 6 2 2 5 5 2" xfId="34436" xr:uid="{00000000-0005-0000-0000-0000C2330000}"/>
    <cellStyle name="Comma 2 2 6 2 2 5 6" xfId="13605" xr:uid="{00000000-0005-0000-0000-0000C3330000}"/>
    <cellStyle name="Comma 2 2 6 2 2 5 6 2" xfId="36884" xr:uid="{00000000-0005-0000-0000-0000C4330000}"/>
    <cellStyle name="Comma 2 2 6 2 2 5 7" xfId="17300" xr:uid="{00000000-0005-0000-0000-0000C5330000}"/>
    <cellStyle name="Comma 2 2 6 2 2 5 7 2" xfId="40578" xr:uid="{00000000-0005-0000-0000-0000C6330000}"/>
    <cellStyle name="Comma 2 2 6 2 2 5 8" xfId="24644" xr:uid="{00000000-0005-0000-0000-0000C7330000}"/>
    <cellStyle name="Comma 2 2 6 2 2 5 9" xfId="45474" xr:uid="{00000000-0005-0000-0000-0000C8330000}"/>
    <cellStyle name="Comma 2 2 6 2 2 6" xfId="2589" xr:uid="{00000000-0005-0000-0000-0000C9330000}"/>
    <cellStyle name="Comma 2 2 6 2 2 6 2" xfId="16076" xr:uid="{00000000-0005-0000-0000-0000CA330000}"/>
    <cellStyle name="Comma 2 2 6 2 2 6 2 2" xfId="39354" xr:uid="{00000000-0005-0000-0000-0000CB330000}"/>
    <cellStyle name="Comma 2 2 6 2 2 6 3" xfId="46698" xr:uid="{00000000-0005-0000-0000-0000CC330000}"/>
    <cellStyle name="Comma 2 2 6 2 2 6 4" xfId="25868" xr:uid="{00000000-0005-0000-0000-0000CD330000}"/>
    <cellStyle name="Comma 2 2 6 2 2 7" xfId="5037" xr:uid="{00000000-0005-0000-0000-0000CE330000}"/>
    <cellStyle name="Comma 2 2 6 2 2 7 2" xfId="18524" xr:uid="{00000000-0005-0000-0000-0000CF330000}"/>
    <cellStyle name="Comma 2 2 6 2 2 7 2 2" xfId="41802" xr:uid="{00000000-0005-0000-0000-0000D0330000}"/>
    <cellStyle name="Comma 2 2 6 2 2 7 3" xfId="28316" xr:uid="{00000000-0005-0000-0000-0000D1330000}"/>
    <cellStyle name="Comma 2 2 6 2 2 8" xfId="7485" xr:uid="{00000000-0005-0000-0000-0000D2330000}"/>
    <cellStyle name="Comma 2 2 6 2 2 8 2" xfId="30764" xr:uid="{00000000-0005-0000-0000-0000D3330000}"/>
    <cellStyle name="Comma 2 2 6 2 2 9" xfId="9933" xr:uid="{00000000-0005-0000-0000-0000D4330000}"/>
    <cellStyle name="Comma 2 2 6 2 2 9 2" xfId="33212" xr:uid="{00000000-0005-0000-0000-0000D5330000}"/>
    <cellStyle name="Comma 2 2 6 2 3" xfId="209" xr:uid="{00000000-0005-0000-0000-0000D6330000}"/>
    <cellStyle name="Comma 2 2 6 2 3 10" xfId="12449" xr:uid="{00000000-0005-0000-0000-0000D7330000}"/>
    <cellStyle name="Comma 2 2 6 2 3 10 2" xfId="35728" xr:uid="{00000000-0005-0000-0000-0000D8330000}"/>
    <cellStyle name="Comma 2 2 6 2 3 11" xfId="14920" xr:uid="{00000000-0005-0000-0000-0000D9330000}"/>
    <cellStyle name="Comma 2 2 6 2 3 11 2" xfId="38198" xr:uid="{00000000-0005-0000-0000-0000DA330000}"/>
    <cellStyle name="Comma 2 2 6 2 3 12" xfId="23488" xr:uid="{00000000-0005-0000-0000-0000DB330000}"/>
    <cellStyle name="Comma 2 2 6 2 3 13" xfId="44318" xr:uid="{00000000-0005-0000-0000-0000DC330000}"/>
    <cellStyle name="Comma 2 2 6 2 3 14" xfId="21040" xr:uid="{00000000-0005-0000-0000-0000DD330000}"/>
    <cellStyle name="Comma 2 2 6 2 3 2" xfId="413" xr:uid="{00000000-0005-0000-0000-0000DE330000}"/>
    <cellStyle name="Comma 2 2 6 2 3 2 10" xfId="23692" xr:uid="{00000000-0005-0000-0000-0000DF330000}"/>
    <cellStyle name="Comma 2 2 6 2 3 2 11" xfId="44522" xr:uid="{00000000-0005-0000-0000-0000E0330000}"/>
    <cellStyle name="Comma 2 2 6 2 3 2 12" xfId="21244" xr:uid="{00000000-0005-0000-0000-0000E1330000}"/>
    <cellStyle name="Comma 2 2 6 2 3 2 2" xfId="1025" xr:uid="{00000000-0005-0000-0000-0000E2330000}"/>
    <cellStyle name="Comma 2 2 6 2 3 2 2 10" xfId="45134" xr:uid="{00000000-0005-0000-0000-0000E3330000}"/>
    <cellStyle name="Comma 2 2 6 2 3 2 2 11" xfId="21856" xr:uid="{00000000-0005-0000-0000-0000E4330000}"/>
    <cellStyle name="Comma 2 2 6 2 3 2 2 2" xfId="2249" xr:uid="{00000000-0005-0000-0000-0000E5330000}"/>
    <cellStyle name="Comma 2 2 6 2 3 2 2 2 10" xfId="23080" xr:uid="{00000000-0005-0000-0000-0000E6330000}"/>
    <cellStyle name="Comma 2 2 6 2 3 2 2 2 2" xfId="4697" xr:uid="{00000000-0005-0000-0000-0000E7330000}"/>
    <cellStyle name="Comma 2 2 6 2 3 2 2 2 2 2" xfId="20632" xr:uid="{00000000-0005-0000-0000-0000E8330000}"/>
    <cellStyle name="Comma 2 2 6 2 3 2 2 2 2 2 2" xfId="43910" xr:uid="{00000000-0005-0000-0000-0000E9330000}"/>
    <cellStyle name="Comma 2 2 6 2 3 2 2 2 2 3" xfId="48806" xr:uid="{00000000-0005-0000-0000-0000EA330000}"/>
    <cellStyle name="Comma 2 2 6 2 3 2 2 2 2 4" xfId="27976" xr:uid="{00000000-0005-0000-0000-0000EB330000}"/>
    <cellStyle name="Comma 2 2 6 2 3 2 2 2 3" xfId="7145" xr:uid="{00000000-0005-0000-0000-0000EC330000}"/>
    <cellStyle name="Comma 2 2 6 2 3 2 2 2 3 2" xfId="30424" xr:uid="{00000000-0005-0000-0000-0000ED330000}"/>
    <cellStyle name="Comma 2 2 6 2 3 2 2 2 4" xfId="9593" xr:uid="{00000000-0005-0000-0000-0000EE330000}"/>
    <cellStyle name="Comma 2 2 6 2 3 2 2 2 4 2" xfId="32872" xr:uid="{00000000-0005-0000-0000-0000EF330000}"/>
    <cellStyle name="Comma 2 2 6 2 3 2 2 2 5" xfId="12041" xr:uid="{00000000-0005-0000-0000-0000F0330000}"/>
    <cellStyle name="Comma 2 2 6 2 3 2 2 2 5 2" xfId="35320" xr:uid="{00000000-0005-0000-0000-0000F1330000}"/>
    <cellStyle name="Comma 2 2 6 2 3 2 2 2 6" xfId="14489" xr:uid="{00000000-0005-0000-0000-0000F2330000}"/>
    <cellStyle name="Comma 2 2 6 2 3 2 2 2 6 2" xfId="37768" xr:uid="{00000000-0005-0000-0000-0000F3330000}"/>
    <cellStyle name="Comma 2 2 6 2 3 2 2 2 7" xfId="18184" xr:uid="{00000000-0005-0000-0000-0000F4330000}"/>
    <cellStyle name="Comma 2 2 6 2 3 2 2 2 7 2" xfId="41462" xr:uid="{00000000-0005-0000-0000-0000F5330000}"/>
    <cellStyle name="Comma 2 2 6 2 3 2 2 2 8" xfId="25528" xr:uid="{00000000-0005-0000-0000-0000F6330000}"/>
    <cellStyle name="Comma 2 2 6 2 3 2 2 2 9" xfId="46358" xr:uid="{00000000-0005-0000-0000-0000F7330000}"/>
    <cellStyle name="Comma 2 2 6 2 3 2 2 3" xfId="3473" xr:uid="{00000000-0005-0000-0000-0000F8330000}"/>
    <cellStyle name="Comma 2 2 6 2 3 2 2 3 2" xfId="16960" xr:uid="{00000000-0005-0000-0000-0000F9330000}"/>
    <cellStyle name="Comma 2 2 6 2 3 2 2 3 2 2" xfId="40238" xr:uid="{00000000-0005-0000-0000-0000FA330000}"/>
    <cellStyle name="Comma 2 2 6 2 3 2 2 3 3" xfId="47582" xr:uid="{00000000-0005-0000-0000-0000FB330000}"/>
    <cellStyle name="Comma 2 2 6 2 3 2 2 3 4" xfId="26752" xr:uid="{00000000-0005-0000-0000-0000FC330000}"/>
    <cellStyle name="Comma 2 2 6 2 3 2 2 4" xfId="5921" xr:uid="{00000000-0005-0000-0000-0000FD330000}"/>
    <cellStyle name="Comma 2 2 6 2 3 2 2 4 2" xfId="19408" xr:uid="{00000000-0005-0000-0000-0000FE330000}"/>
    <cellStyle name="Comma 2 2 6 2 3 2 2 4 2 2" xfId="42686" xr:uid="{00000000-0005-0000-0000-0000FF330000}"/>
    <cellStyle name="Comma 2 2 6 2 3 2 2 4 3" xfId="29200" xr:uid="{00000000-0005-0000-0000-000000340000}"/>
    <cellStyle name="Comma 2 2 6 2 3 2 2 5" xfId="8369" xr:uid="{00000000-0005-0000-0000-000001340000}"/>
    <cellStyle name="Comma 2 2 6 2 3 2 2 5 2" xfId="31648" xr:uid="{00000000-0005-0000-0000-000002340000}"/>
    <cellStyle name="Comma 2 2 6 2 3 2 2 6" xfId="10817" xr:uid="{00000000-0005-0000-0000-000003340000}"/>
    <cellStyle name="Comma 2 2 6 2 3 2 2 6 2" xfId="34096" xr:uid="{00000000-0005-0000-0000-000004340000}"/>
    <cellStyle name="Comma 2 2 6 2 3 2 2 7" xfId="13265" xr:uid="{00000000-0005-0000-0000-000005340000}"/>
    <cellStyle name="Comma 2 2 6 2 3 2 2 7 2" xfId="36544" xr:uid="{00000000-0005-0000-0000-000006340000}"/>
    <cellStyle name="Comma 2 2 6 2 3 2 2 8" xfId="15736" xr:uid="{00000000-0005-0000-0000-000007340000}"/>
    <cellStyle name="Comma 2 2 6 2 3 2 2 8 2" xfId="39014" xr:uid="{00000000-0005-0000-0000-000008340000}"/>
    <cellStyle name="Comma 2 2 6 2 3 2 2 9" xfId="24304" xr:uid="{00000000-0005-0000-0000-000009340000}"/>
    <cellStyle name="Comma 2 2 6 2 3 2 3" xfId="1637" xr:uid="{00000000-0005-0000-0000-00000A340000}"/>
    <cellStyle name="Comma 2 2 6 2 3 2 3 10" xfId="22468" xr:uid="{00000000-0005-0000-0000-00000B340000}"/>
    <cellStyle name="Comma 2 2 6 2 3 2 3 2" xfId="4085" xr:uid="{00000000-0005-0000-0000-00000C340000}"/>
    <cellStyle name="Comma 2 2 6 2 3 2 3 2 2" xfId="20020" xr:uid="{00000000-0005-0000-0000-00000D340000}"/>
    <cellStyle name="Comma 2 2 6 2 3 2 3 2 2 2" xfId="43298" xr:uid="{00000000-0005-0000-0000-00000E340000}"/>
    <cellStyle name="Comma 2 2 6 2 3 2 3 2 3" xfId="48194" xr:uid="{00000000-0005-0000-0000-00000F340000}"/>
    <cellStyle name="Comma 2 2 6 2 3 2 3 2 4" xfId="27364" xr:uid="{00000000-0005-0000-0000-000010340000}"/>
    <cellStyle name="Comma 2 2 6 2 3 2 3 3" xfId="6533" xr:uid="{00000000-0005-0000-0000-000011340000}"/>
    <cellStyle name="Comma 2 2 6 2 3 2 3 3 2" xfId="29812" xr:uid="{00000000-0005-0000-0000-000012340000}"/>
    <cellStyle name="Comma 2 2 6 2 3 2 3 4" xfId="8981" xr:uid="{00000000-0005-0000-0000-000013340000}"/>
    <cellStyle name="Comma 2 2 6 2 3 2 3 4 2" xfId="32260" xr:uid="{00000000-0005-0000-0000-000014340000}"/>
    <cellStyle name="Comma 2 2 6 2 3 2 3 5" xfId="11429" xr:uid="{00000000-0005-0000-0000-000015340000}"/>
    <cellStyle name="Comma 2 2 6 2 3 2 3 5 2" xfId="34708" xr:uid="{00000000-0005-0000-0000-000016340000}"/>
    <cellStyle name="Comma 2 2 6 2 3 2 3 6" xfId="13877" xr:uid="{00000000-0005-0000-0000-000017340000}"/>
    <cellStyle name="Comma 2 2 6 2 3 2 3 6 2" xfId="37156" xr:uid="{00000000-0005-0000-0000-000018340000}"/>
    <cellStyle name="Comma 2 2 6 2 3 2 3 7" xfId="17572" xr:uid="{00000000-0005-0000-0000-000019340000}"/>
    <cellStyle name="Comma 2 2 6 2 3 2 3 7 2" xfId="40850" xr:uid="{00000000-0005-0000-0000-00001A340000}"/>
    <cellStyle name="Comma 2 2 6 2 3 2 3 8" xfId="24916" xr:uid="{00000000-0005-0000-0000-00001B340000}"/>
    <cellStyle name="Comma 2 2 6 2 3 2 3 9" xfId="45746" xr:uid="{00000000-0005-0000-0000-00001C340000}"/>
    <cellStyle name="Comma 2 2 6 2 3 2 4" xfId="2861" xr:uid="{00000000-0005-0000-0000-00001D340000}"/>
    <cellStyle name="Comma 2 2 6 2 3 2 4 2" xfId="16348" xr:uid="{00000000-0005-0000-0000-00001E340000}"/>
    <cellStyle name="Comma 2 2 6 2 3 2 4 2 2" xfId="39626" xr:uid="{00000000-0005-0000-0000-00001F340000}"/>
    <cellStyle name="Comma 2 2 6 2 3 2 4 3" xfId="46970" xr:uid="{00000000-0005-0000-0000-000020340000}"/>
    <cellStyle name="Comma 2 2 6 2 3 2 4 4" xfId="26140" xr:uid="{00000000-0005-0000-0000-000021340000}"/>
    <cellStyle name="Comma 2 2 6 2 3 2 5" xfId="5309" xr:uid="{00000000-0005-0000-0000-000022340000}"/>
    <cellStyle name="Comma 2 2 6 2 3 2 5 2" xfId="18796" xr:uid="{00000000-0005-0000-0000-000023340000}"/>
    <cellStyle name="Comma 2 2 6 2 3 2 5 2 2" xfId="42074" xr:uid="{00000000-0005-0000-0000-000024340000}"/>
    <cellStyle name="Comma 2 2 6 2 3 2 5 3" xfId="28588" xr:uid="{00000000-0005-0000-0000-000025340000}"/>
    <cellStyle name="Comma 2 2 6 2 3 2 6" xfId="7757" xr:uid="{00000000-0005-0000-0000-000026340000}"/>
    <cellStyle name="Comma 2 2 6 2 3 2 6 2" xfId="31036" xr:uid="{00000000-0005-0000-0000-000027340000}"/>
    <cellStyle name="Comma 2 2 6 2 3 2 7" xfId="10205" xr:uid="{00000000-0005-0000-0000-000028340000}"/>
    <cellStyle name="Comma 2 2 6 2 3 2 7 2" xfId="33484" xr:uid="{00000000-0005-0000-0000-000029340000}"/>
    <cellStyle name="Comma 2 2 6 2 3 2 8" xfId="12653" xr:uid="{00000000-0005-0000-0000-00002A340000}"/>
    <cellStyle name="Comma 2 2 6 2 3 2 8 2" xfId="35932" xr:uid="{00000000-0005-0000-0000-00002B340000}"/>
    <cellStyle name="Comma 2 2 6 2 3 2 9" xfId="15124" xr:uid="{00000000-0005-0000-0000-00002C340000}"/>
    <cellStyle name="Comma 2 2 6 2 3 2 9 2" xfId="38402" xr:uid="{00000000-0005-0000-0000-00002D340000}"/>
    <cellStyle name="Comma 2 2 6 2 3 3" xfId="617" xr:uid="{00000000-0005-0000-0000-00002E340000}"/>
    <cellStyle name="Comma 2 2 6 2 3 3 10" xfId="23896" xr:uid="{00000000-0005-0000-0000-00002F340000}"/>
    <cellStyle name="Comma 2 2 6 2 3 3 11" xfId="44726" xr:uid="{00000000-0005-0000-0000-000030340000}"/>
    <cellStyle name="Comma 2 2 6 2 3 3 12" xfId="21448" xr:uid="{00000000-0005-0000-0000-000031340000}"/>
    <cellStyle name="Comma 2 2 6 2 3 3 2" xfId="1229" xr:uid="{00000000-0005-0000-0000-000032340000}"/>
    <cellStyle name="Comma 2 2 6 2 3 3 2 10" xfId="45338" xr:uid="{00000000-0005-0000-0000-000033340000}"/>
    <cellStyle name="Comma 2 2 6 2 3 3 2 11" xfId="22060" xr:uid="{00000000-0005-0000-0000-000034340000}"/>
    <cellStyle name="Comma 2 2 6 2 3 3 2 2" xfId="2453" xr:uid="{00000000-0005-0000-0000-000035340000}"/>
    <cellStyle name="Comma 2 2 6 2 3 3 2 2 10" xfId="23284" xr:uid="{00000000-0005-0000-0000-000036340000}"/>
    <cellStyle name="Comma 2 2 6 2 3 3 2 2 2" xfId="4901" xr:uid="{00000000-0005-0000-0000-000037340000}"/>
    <cellStyle name="Comma 2 2 6 2 3 3 2 2 2 2" xfId="20836" xr:uid="{00000000-0005-0000-0000-000038340000}"/>
    <cellStyle name="Comma 2 2 6 2 3 3 2 2 2 2 2" xfId="44114" xr:uid="{00000000-0005-0000-0000-000039340000}"/>
    <cellStyle name="Comma 2 2 6 2 3 3 2 2 2 3" xfId="49010" xr:uid="{00000000-0005-0000-0000-00003A340000}"/>
    <cellStyle name="Comma 2 2 6 2 3 3 2 2 2 4" xfId="28180" xr:uid="{00000000-0005-0000-0000-00003B340000}"/>
    <cellStyle name="Comma 2 2 6 2 3 3 2 2 3" xfId="7349" xr:uid="{00000000-0005-0000-0000-00003C340000}"/>
    <cellStyle name="Comma 2 2 6 2 3 3 2 2 3 2" xfId="30628" xr:uid="{00000000-0005-0000-0000-00003D340000}"/>
    <cellStyle name="Comma 2 2 6 2 3 3 2 2 4" xfId="9797" xr:uid="{00000000-0005-0000-0000-00003E340000}"/>
    <cellStyle name="Comma 2 2 6 2 3 3 2 2 4 2" xfId="33076" xr:uid="{00000000-0005-0000-0000-00003F340000}"/>
    <cellStyle name="Comma 2 2 6 2 3 3 2 2 5" xfId="12245" xr:uid="{00000000-0005-0000-0000-000040340000}"/>
    <cellStyle name="Comma 2 2 6 2 3 3 2 2 5 2" xfId="35524" xr:uid="{00000000-0005-0000-0000-000041340000}"/>
    <cellStyle name="Comma 2 2 6 2 3 3 2 2 6" xfId="14693" xr:uid="{00000000-0005-0000-0000-000042340000}"/>
    <cellStyle name="Comma 2 2 6 2 3 3 2 2 6 2" xfId="37972" xr:uid="{00000000-0005-0000-0000-000043340000}"/>
    <cellStyle name="Comma 2 2 6 2 3 3 2 2 7" xfId="18388" xr:uid="{00000000-0005-0000-0000-000044340000}"/>
    <cellStyle name="Comma 2 2 6 2 3 3 2 2 7 2" xfId="41666" xr:uid="{00000000-0005-0000-0000-000045340000}"/>
    <cellStyle name="Comma 2 2 6 2 3 3 2 2 8" xfId="25732" xr:uid="{00000000-0005-0000-0000-000046340000}"/>
    <cellStyle name="Comma 2 2 6 2 3 3 2 2 9" xfId="46562" xr:uid="{00000000-0005-0000-0000-000047340000}"/>
    <cellStyle name="Comma 2 2 6 2 3 3 2 3" xfId="3677" xr:uid="{00000000-0005-0000-0000-000048340000}"/>
    <cellStyle name="Comma 2 2 6 2 3 3 2 3 2" xfId="17164" xr:uid="{00000000-0005-0000-0000-000049340000}"/>
    <cellStyle name="Comma 2 2 6 2 3 3 2 3 2 2" xfId="40442" xr:uid="{00000000-0005-0000-0000-00004A340000}"/>
    <cellStyle name="Comma 2 2 6 2 3 3 2 3 3" xfId="47786" xr:uid="{00000000-0005-0000-0000-00004B340000}"/>
    <cellStyle name="Comma 2 2 6 2 3 3 2 3 4" xfId="26956" xr:uid="{00000000-0005-0000-0000-00004C340000}"/>
    <cellStyle name="Comma 2 2 6 2 3 3 2 4" xfId="6125" xr:uid="{00000000-0005-0000-0000-00004D340000}"/>
    <cellStyle name="Comma 2 2 6 2 3 3 2 4 2" xfId="19612" xr:uid="{00000000-0005-0000-0000-00004E340000}"/>
    <cellStyle name="Comma 2 2 6 2 3 3 2 4 2 2" xfId="42890" xr:uid="{00000000-0005-0000-0000-00004F340000}"/>
    <cellStyle name="Comma 2 2 6 2 3 3 2 4 3" xfId="29404" xr:uid="{00000000-0005-0000-0000-000050340000}"/>
    <cellStyle name="Comma 2 2 6 2 3 3 2 5" xfId="8573" xr:uid="{00000000-0005-0000-0000-000051340000}"/>
    <cellStyle name="Comma 2 2 6 2 3 3 2 5 2" xfId="31852" xr:uid="{00000000-0005-0000-0000-000052340000}"/>
    <cellStyle name="Comma 2 2 6 2 3 3 2 6" xfId="11021" xr:uid="{00000000-0005-0000-0000-000053340000}"/>
    <cellStyle name="Comma 2 2 6 2 3 3 2 6 2" xfId="34300" xr:uid="{00000000-0005-0000-0000-000054340000}"/>
    <cellStyle name="Comma 2 2 6 2 3 3 2 7" xfId="13469" xr:uid="{00000000-0005-0000-0000-000055340000}"/>
    <cellStyle name="Comma 2 2 6 2 3 3 2 7 2" xfId="36748" xr:uid="{00000000-0005-0000-0000-000056340000}"/>
    <cellStyle name="Comma 2 2 6 2 3 3 2 8" xfId="15940" xr:uid="{00000000-0005-0000-0000-000057340000}"/>
    <cellStyle name="Comma 2 2 6 2 3 3 2 8 2" xfId="39218" xr:uid="{00000000-0005-0000-0000-000058340000}"/>
    <cellStyle name="Comma 2 2 6 2 3 3 2 9" xfId="24508" xr:uid="{00000000-0005-0000-0000-000059340000}"/>
    <cellStyle name="Comma 2 2 6 2 3 3 3" xfId="1841" xr:uid="{00000000-0005-0000-0000-00005A340000}"/>
    <cellStyle name="Comma 2 2 6 2 3 3 3 10" xfId="22672" xr:uid="{00000000-0005-0000-0000-00005B340000}"/>
    <cellStyle name="Comma 2 2 6 2 3 3 3 2" xfId="4289" xr:uid="{00000000-0005-0000-0000-00005C340000}"/>
    <cellStyle name="Comma 2 2 6 2 3 3 3 2 2" xfId="20224" xr:uid="{00000000-0005-0000-0000-00005D340000}"/>
    <cellStyle name="Comma 2 2 6 2 3 3 3 2 2 2" xfId="43502" xr:uid="{00000000-0005-0000-0000-00005E340000}"/>
    <cellStyle name="Comma 2 2 6 2 3 3 3 2 3" xfId="48398" xr:uid="{00000000-0005-0000-0000-00005F340000}"/>
    <cellStyle name="Comma 2 2 6 2 3 3 3 2 4" xfId="27568" xr:uid="{00000000-0005-0000-0000-000060340000}"/>
    <cellStyle name="Comma 2 2 6 2 3 3 3 3" xfId="6737" xr:uid="{00000000-0005-0000-0000-000061340000}"/>
    <cellStyle name="Comma 2 2 6 2 3 3 3 3 2" xfId="30016" xr:uid="{00000000-0005-0000-0000-000062340000}"/>
    <cellStyle name="Comma 2 2 6 2 3 3 3 4" xfId="9185" xr:uid="{00000000-0005-0000-0000-000063340000}"/>
    <cellStyle name="Comma 2 2 6 2 3 3 3 4 2" xfId="32464" xr:uid="{00000000-0005-0000-0000-000064340000}"/>
    <cellStyle name="Comma 2 2 6 2 3 3 3 5" xfId="11633" xr:uid="{00000000-0005-0000-0000-000065340000}"/>
    <cellStyle name="Comma 2 2 6 2 3 3 3 5 2" xfId="34912" xr:uid="{00000000-0005-0000-0000-000066340000}"/>
    <cellStyle name="Comma 2 2 6 2 3 3 3 6" xfId="14081" xr:uid="{00000000-0005-0000-0000-000067340000}"/>
    <cellStyle name="Comma 2 2 6 2 3 3 3 6 2" xfId="37360" xr:uid="{00000000-0005-0000-0000-000068340000}"/>
    <cellStyle name="Comma 2 2 6 2 3 3 3 7" xfId="17776" xr:uid="{00000000-0005-0000-0000-000069340000}"/>
    <cellStyle name="Comma 2 2 6 2 3 3 3 7 2" xfId="41054" xr:uid="{00000000-0005-0000-0000-00006A340000}"/>
    <cellStyle name="Comma 2 2 6 2 3 3 3 8" xfId="25120" xr:uid="{00000000-0005-0000-0000-00006B340000}"/>
    <cellStyle name="Comma 2 2 6 2 3 3 3 9" xfId="45950" xr:uid="{00000000-0005-0000-0000-00006C340000}"/>
    <cellStyle name="Comma 2 2 6 2 3 3 4" xfId="3065" xr:uid="{00000000-0005-0000-0000-00006D340000}"/>
    <cellStyle name="Comma 2 2 6 2 3 3 4 2" xfId="16552" xr:uid="{00000000-0005-0000-0000-00006E340000}"/>
    <cellStyle name="Comma 2 2 6 2 3 3 4 2 2" xfId="39830" xr:uid="{00000000-0005-0000-0000-00006F340000}"/>
    <cellStyle name="Comma 2 2 6 2 3 3 4 3" xfId="47174" xr:uid="{00000000-0005-0000-0000-000070340000}"/>
    <cellStyle name="Comma 2 2 6 2 3 3 4 4" xfId="26344" xr:uid="{00000000-0005-0000-0000-000071340000}"/>
    <cellStyle name="Comma 2 2 6 2 3 3 5" xfId="5513" xr:uid="{00000000-0005-0000-0000-000072340000}"/>
    <cellStyle name="Comma 2 2 6 2 3 3 5 2" xfId="19000" xr:uid="{00000000-0005-0000-0000-000073340000}"/>
    <cellStyle name="Comma 2 2 6 2 3 3 5 2 2" xfId="42278" xr:uid="{00000000-0005-0000-0000-000074340000}"/>
    <cellStyle name="Comma 2 2 6 2 3 3 5 3" xfId="28792" xr:uid="{00000000-0005-0000-0000-000075340000}"/>
    <cellStyle name="Comma 2 2 6 2 3 3 6" xfId="7961" xr:uid="{00000000-0005-0000-0000-000076340000}"/>
    <cellStyle name="Comma 2 2 6 2 3 3 6 2" xfId="31240" xr:uid="{00000000-0005-0000-0000-000077340000}"/>
    <cellStyle name="Comma 2 2 6 2 3 3 7" xfId="10409" xr:uid="{00000000-0005-0000-0000-000078340000}"/>
    <cellStyle name="Comma 2 2 6 2 3 3 7 2" xfId="33688" xr:uid="{00000000-0005-0000-0000-000079340000}"/>
    <cellStyle name="Comma 2 2 6 2 3 3 8" xfId="12857" xr:uid="{00000000-0005-0000-0000-00007A340000}"/>
    <cellStyle name="Comma 2 2 6 2 3 3 8 2" xfId="36136" xr:uid="{00000000-0005-0000-0000-00007B340000}"/>
    <cellStyle name="Comma 2 2 6 2 3 3 9" xfId="15328" xr:uid="{00000000-0005-0000-0000-00007C340000}"/>
    <cellStyle name="Comma 2 2 6 2 3 3 9 2" xfId="38606" xr:uid="{00000000-0005-0000-0000-00007D340000}"/>
    <cellStyle name="Comma 2 2 6 2 3 4" xfId="821" xr:uid="{00000000-0005-0000-0000-00007E340000}"/>
    <cellStyle name="Comma 2 2 6 2 3 4 10" xfId="44930" xr:uid="{00000000-0005-0000-0000-00007F340000}"/>
    <cellStyle name="Comma 2 2 6 2 3 4 11" xfId="21652" xr:uid="{00000000-0005-0000-0000-000080340000}"/>
    <cellStyle name="Comma 2 2 6 2 3 4 2" xfId="2045" xr:uid="{00000000-0005-0000-0000-000081340000}"/>
    <cellStyle name="Comma 2 2 6 2 3 4 2 10" xfId="22876" xr:uid="{00000000-0005-0000-0000-000082340000}"/>
    <cellStyle name="Comma 2 2 6 2 3 4 2 2" xfId="4493" xr:uid="{00000000-0005-0000-0000-000083340000}"/>
    <cellStyle name="Comma 2 2 6 2 3 4 2 2 2" xfId="20428" xr:uid="{00000000-0005-0000-0000-000084340000}"/>
    <cellStyle name="Comma 2 2 6 2 3 4 2 2 2 2" xfId="43706" xr:uid="{00000000-0005-0000-0000-000085340000}"/>
    <cellStyle name="Comma 2 2 6 2 3 4 2 2 3" xfId="48602" xr:uid="{00000000-0005-0000-0000-000086340000}"/>
    <cellStyle name="Comma 2 2 6 2 3 4 2 2 4" xfId="27772" xr:uid="{00000000-0005-0000-0000-000087340000}"/>
    <cellStyle name="Comma 2 2 6 2 3 4 2 3" xfId="6941" xr:uid="{00000000-0005-0000-0000-000088340000}"/>
    <cellStyle name="Comma 2 2 6 2 3 4 2 3 2" xfId="30220" xr:uid="{00000000-0005-0000-0000-000089340000}"/>
    <cellStyle name="Comma 2 2 6 2 3 4 2 4" xfId="9389" xr:uid="{00000000-0005-0000-0000-00008A340000}"/>
    <cellStyle name="Comma 2 2 6 2 3 4 2 4 2" xfId="32668" xr:uid="{00000000-0005-0000-0000-00008B340000}"/>
    <cellStyle name="Comma 2 2 6 2 3 4 2 5" xfId="11837" xr:uid="{00000000-0005-0000-0000-00008C340000}"/>
    <cellStyle name="Comma 2 2 6 2 3 4 2 5 2" xfId="35116" xr:uid="{00000000-0005-0000-0000-00008D340000}"/>
    <cellStyle name="Comma 2 2 6 2 3 4 2 6" xfId="14285" xr:uid="{00000000-0005-0000-0000-00008E340000}"/>
    <cellStyle name="Comma 2 2 6 2 3 4 2 6 2" xfId="37564" xr:uid="{00000000-0005-0000-0000-00008F340000}"/>
    <cellStyle name="Comma 2 2 6 2 3 4 2 7" xfId="17980" xr:uid="{00000000-0005-0000-0000-000090340000}"/>
    <cellStyle name="Comma 2 2 6 2 3 4 2 7 2" xfId="41258" xr:uid="{00000000-0005-0000-0000-000091340000}"/>
    <cellStyle name="Comma 2 2 6 2 3 4 2 8" xfId="25324" xr:uid="{00000000-0005-0000-0000-000092340000}"/>
    <cellStyle name="Comma 2 2 6 2 3 4 2 9" xfId="46154" xr:uid="{00000000-0005-0000-0000-000093340000}"/>
    <cellStyle name="Comma 2 2 6 2 3 4 3" xfId="3269" xr:uid="{00000000-0005-0000-0000-000094340000}"/>
    <cellStyle name="Comma 2 2 6 2 3 4 3 2" xfId="16756" xr:uid="{00000000-0005-0000-0000-000095340000}"/>
    <cellStyle name="Comma 2 2 6 2 3 4 3 2 2" xfId="40034" xr:uid="{00000000-0005-0000-0000-000096340000}"/>
    <cellStyle name="Comma 2 2 6 2 3 4 3 3" xfId="47378" xr:uid="{00000000-0005-0000-0000-000097340000}"/>
    <cellStyle name="Comma 2 2 6 2 3 4 3 4" xfId="26548" xr:uid="{00000000-0005-0000-0000-000098340000}"/>
    <cellStyle name="Comma 2 2 6 2 3 4 4" xfId="5717" xr:uid="{00000000-0005-0000-0000-000099340000}"/>
    <cellStyle name="Comma 2 2 6 2 3 4 4 2" xfId="19204" xr:uid="{00000000-0005-0000-0000-00009A340000}"/>
    <cellStyle name="Comma 2 2 6 2 3 4 4 2 2" xfId="42482" xr:uid="{00000000-0005-0000-0000-00009B340000}"/>
    <cellStyle name="Comma 2 2 6 2 3 4 4 3" xfId="28996" xr:uid="{00000000-0005-0000-0000-00009C340000}"/>
    <cellStyle name="Comma 2 2 6 2 3 4 5" xfId="8165" xr:uid="{00000000-0005-0000-0000-00009D340000}"/>
    <cellStyle name="Comma 2 2 6 2 3 4 5 2" xfId="31444" xr:uid="{00000000-0005-0000-0000-00009E340000}"/>
    <cellStyle name="Comma 2 2 6 2 3 4 6" xfId="10613" xr:uid="{00000000-0005-0000-0000-00009F340000}"/>
    <cellStyle name="Comma 2 2 6 2 3 4 6 2" xfId="33892" xr:uid="{00000000-0005-0000-0000-0000A0340000}"/>
    <cellStyle name="Comma 2 2 6 2 3 4 7" xfId="13061" xr:uid="{00000000-0005-0000-0000-0000A1340000}"/>
    <cellStyle name="Comma 2 2 6 2 3 4 7 2" xfId="36340" xr:uid="{00000000-0005-0000-0000-0000A2340000}"/>
    <cellStyle name="Comma 2 2 6 2 3 4 8" xfId="15532" xr:uid="{00000000-0005-0000-0000-0000A3340000}"/>
    <cellStyle name="Comma 2 2 6 2 3 4 8 2" xfId="38810" xr:uid="{00000000-0005-0000-0000-0000A4340000}"/>
    <cellStyle name="Comma 2 2 6 2 3 4 9" xfId="24100" xr:uid="{00000000-0005-0000-0000-0000A5340000}"/>
    <cellStyle name="Comma 2 2 6 2 3 5" xfId="1433" xr:uid="{00000000-0005-0000-0000-0000A6340000}"/>
    <cellStyle name="Comma 2 2 6 2 3 5 10" xfId="22264" xr:uid="{00000000-0005-0000-0000-0000A7340000}"/>
    <cellStyle name="Comma 2 2 6 2 3 5 2" xfId="3881" xr:uid="{00000000-0005-0000-0000-0000A8340000}"/>
    <cellStyle name="Comma 2 2 6 2 3 5 2 2" xfId="19816" xr:uid="{00000000-0005-0000-0000-0000A9340000}"/>
    <cellStyle name="Comma 2 2 6 2 3 5 2 2 2" xfId="43094" xr:uid="{00000000-0005-0000-0000-0000AA340000}"/>
    <cellStyle name="Comma 2 2 6 2 3 5 2 3" xfId="47990" xr:uid="{00000000-0005-0000-0000-0000AB340000}"/>
    <cellStyle name="Comma 2 2 6 2 3 5 2 4" xfId="27160" xr:uid="{00000000-0005-0000-0000-0000AC340000}"/>
    <cellStyle name="Comma 2 2 6 2 3 5 3" xfId="6329" xr:uid="{00000000-0005-0000-0000-0000AD340000}"/>
    <cellStyle name="Comma 2 2 6 2 3 5 3 2" xfId="29608" xr:uid="{00000000-0005-0000-0000-0000AE340000}"/>
    <cellStyle name="Comma 2 2 6 2 3 5 4" xfId="8777" xr:uid="{00000000-0005-0000-0000-0000AF340000}"/>
    <cellStyle name="Comma 2 2 6 2 3 5 4 2" xfId="32056" xr:uid="{00000000-0005-0000-0000-0000B0340000}"/>
    <cellStyle name="Comma 2 2 6 2 3 5 5" xfId="11225" xr:uid="{00000000-0005-0000-0000-0000B1340000}"/>
    <cellStyle name="Comma 2 2 6 2 3 5 5 2" xfId="34504" xr:uid="{00000000-0005-0000-0000-0000B2340000}"/>
    <cellStyle name="Comma 2 2 6 2 3 5 6" xfId="13673" xr:uid="{00000000-0005-0000-0000-0000B3340000}"/>
    <cellStyle name="Comma 2 2 6 2 3 5 6 2" xfId="36952" xr:uid="{00000000-0005-0000-0000-0000B4340000}"/>
    <cellStyle name="Comma 2 2 6 2 3 5 7" xfId="17368" xr:uid="{00000000-0005-0000-0000-0000B5340000}"/>
    <cellStyle name="Comma 2 2 6 2 3 5 7 2" xfId="40646" xr:uid="{00000000-0005-0000-0000-0000B6340000}"/>
    <cellStyle name="Comma 2 2 6 2 3 5 8" xfId="24712" xr:uid="{00000000-0005-0000-0000-0000B7340000}"/>
    <cellStyle name="Comma 2 2 6 2 3 5 9" xfId="45542" xr:uid="{00000000-0005-0000-0000-0000B8340000}"/>
    <cellStyle name="Comma 2 2 6 2 3 6" xfId="2657" xr:uid="{00000000-0005-0000-0000-0000B9340000}"/>
    <cellStyle name="Comma 2 2 6 2 3 6 2" xfId="16144" xr:uid="{00000000-0005-0000-0000-0000BA340000}"/>
    <cellStyle name="Comma 2 2 6 2 3 6 2 2" xfId="39422" xr:uid="{00000000-0005-0000-0000-0000BB340000}"/>
    <cellStyle name="Comma 2 2 6 2 3 6 3" xfId="46766" xr:uid="{00000000-0005-0000-0000-0000BC340000}"/>
    <cellStyle name="Comma 2 2 6 2 3 6 4" xfId="25936" xr:uid="{00000000-0005-0000-0000-0000BD340000}"/>
    <cellStyle name="Comma 2 2 6 2 3 7" xfId="5105" xr:uid="{00000000-0005-0000-0000-0000BE340000}"/>
    <cellStyle name="Comma 2 2 6 2 3 7 2" xfId="18592" xr:uid="{00000000-0005-0000-0000-0000BF340000}"/>
    <cellStyle name="Comma 2 2 6 2 3 7 2 2" xfId="41870" xr:uid="{00000000-0005-0000-0000-0000C0340000}"/>
    <cellStyle name="Comma 2 2 6 2 3 7 3" xfId="28384" xr:uid="{00000000-0005-0000-0000-0000C1340000}"/>
    <cellStyle name="Comma 2 2 6 2 3 8" xfId="7553" xr:uid="{00000000-0005-0000-0000-0000C2340000}"/>
    <cellStyle name="Comma 2 2 6 2 3 8 2" xfId="30832" xr:uid="{00000000-0005-0000-0000-0000C3340000}"/>
    <cellStyle name="Comma 2 2 6 2 3 9" xfId="10001" xr:uid="{00000000-0005-0000-0000-0000C4340000}"/>
    <cellStyle name="Comma 2 2 6 2 3 9 2" xfId="33280" xr:uid="{00000000-0005-0000-0000-0000C5340000}"/>
    <cellStyle name="Comma 2 2 6 2 4" xfId="277" xr:uid="{00000000-0005-0000-0000-0000C6340000}"/>
    <cellStyle name="Comma 2 2 6 2 4 10" xfId="23556" xr:uid="{00000000-0005-0000-0000-0000C7340000}"/>
    <cellStyle name="Comma 2 2 6 2 4 11" xfId="44386" xr:uid="{00000000-0005-0000-0000-0000C8340000}"/>
    <cellStyle name="Comma 2 2 6 2 4 12" xfId="21108" xr:uid="{00000000-0005-0000-0000-0000C9340000}"/>
    <cellStyle name="Comma 2 2 6 2 4 2" xfId="889" xr:uid="{00000000-0005-0000-0000-0000CA340000}"/>
    <cellStyle name="Comma 2 2 6 2 4 2 10" xfId="44998" xr:uid="{00000000-0005-0000-0000-0000CB340000}"/>
    <cellStyle name="Comma 2 2 6 2 4 2 11" xfId="21720" xr:uid="{00000000-0005-0000-0000-0000CC340000}"/>
    <cellStyle name="Comma 2 2 6 2 4 2 2" xfId="2113" xr:uid="{00000000-0005-0000-0000-0000CD340000}"/>
    <cellStyle name="Comma 2 2 6 2 4 2 2 10" xfId="22944" xr:uid="{00000000-0005-0000-0000-0000CE340000}"/>
    <cellStyle name="Comma 2 2 6 2 4 2 2 2" xfId="4561" xr:uid="{00000000-0005-0000-0000-0000CF340000}"/>
    <cellStyle name="Comma 2 2 6 2 4 2 2 2 2" xfId="20496" xr:uid="{00000000-0005-0000-0000-0000D0340000}"/>
    <cellStyle name="Comma 2 2 6 2 4 2 2 2 2 2" xfId="43774" xr:uid="{00000000-0005-0000-0000-0000D1340000}"/>
    <cellStyle name="Comma 2 2 6 2 4 2 2 2 3" xfId="48670" xr:uid="{00000000-0005-0000-0000-0000D2340000}"/>
    <cellStyle name="Comma 2 2 6 2 4 2 2 2 4" xfId="27840" xr:uid="{00000000-0005-0000-0000-0000D3340000}"/>
    <cellStyle name="Comma 2 2 6 2 4 2 2 3" xfId="7009" xr:uid="{00000000-0005-0000-0000-0000D4340000}"/>
    <cellStyle name="Comma 2 2 6 2 4 2 2 3 2" xfId="30288" xr:uid="{00000000-0005-0000-0000-0000D5340000}"/>
    <cellStyle name="Comma 2 2 6 2 4 2 2 4" xfId="9457" xr:uid="{00000000-0005-0000-0000-0000D6340000}"/>
    <cellStyle name="Comma 2 2 6 2 4 2 2 4 2" xfId="32736" xr:uid="{00000000-0005-0000-0000-0000D7340000}"/>
    <cellStyle name="Comma 2 2 6 2 4 2 2 5" xfId="11905" xr:uid="{00000000-0005-0000-0000-0000D8340000}"/>
    <cellStyle name="Comma 2 2 6 2 4 2 2 5 2" xfId="35184" xr:uid="{00000000-0005-0000-0000-0000D9340000}"/>
    <cellStyle name="Comma 2 2 6 2 4 2 2 6" xfId="14353" xr:uid="{00000000-0005-0000-0000-0000DA340000}"/>
    <cellStyle name="Comma 2 2 6 2 4 2 2 6 2" xfId="37632" xr:uid="{00000000-0005-0000-0000-0000DB340000}"/>
    <cellStyle name="Comma 2 2 6 2 4 2 2 7" xfId="18048" xr:uid="{00000000-0005-0000-0000-0000DC340000}"/>
    <cellStyle name="Comma 2 2 6 2 4 2 2 7 2" xfId="41326" xr:uid="{00000000-0005-0000-0000-0000DD340000}"/>
    <cellStyle name="Comma 2 2 6 2 4 2 2 8" xfId="25392" xr:uid="{00000000-0005-0000-0000-0000DE340000}"/>
    <cellStyle name="Comma 2 2 6 2 4 2 2 9" xfId="46222" xr:uid="{00000000-0005-0000-0000-0000DF340000}"/>
    <cellStyle name="Comma 2 2 6 2 4 2 3" xfId="3337" xr:uid="{00000000-0005-0000-0000-0000E0340000}"/>
    <cellStyle name="Comma 2 2 6 2 4 2 3 2" xfId="16824" xr:uid="{00000000-0005-0000-0000-0000E1340000}"/>
    <cellStyle name="Comma 2 2 6 2 4 2 3 2 2" xfId="40102" xr:uid="{00000000-0005-0000-0000-0000E2340000}"/>
    <cellStyle name="Comma 2 2 6 2 4 2 3 3" xfId="47446" xr:uid="{00000000-0005-0000-0000-0000E3340000}"/>
    <cellStyle name="Comma 2 2 6 2 4 2 3 4" xfId="26616" xr:uid="{00000000-0005-0000-0000-0000E4340000}"/>
    <cellStyle name="Comma 2 2 6 2 4 2 4" xfId="5785" xr:uid="{00000000-0005-0000-0000-0000E5340000}"/>
    <cellStyle name="Comma 2 2 6 2 4 2 4 2" xfId="19272" xr:uid="{00000000-0005-0000-0000-0000E6340000}"/>
    <cellStyle name="Comma 2 2 6 2 4 2 4 2 2" xfId="42550" xr:uid="{00000000-0005-0000-0000-0000E7340000}"/>
    <cellStyle name="Comma 2 2 6 2 4 2 4 3" xfId="29064" xr:uid="{00000000-0005-0000-0000-0000E8340000}"/>
    <cellStyle name="Comma 2 2 6 2 4 2 5" xfId="8233" xr:uid="{00000000-0005-0000-0000-0000E9340000}"/>
    <cellStyle name="Comma 2 2 6 2 4 2 5 2" xfId="31512" xr:uid="{00000000-0005-0000-0000-0000EA340000}"/>
    <cellStyle name="Comma 2 2 6 2 4 2 6" xfId="10681" xr:uid="{00000000-0005-0000-0000-0000EB340000}"/>
    <cellStyle name="Comma 2 2 6 2 4 2 6 2" xfId="33960" xr:uid="{00000000-0005-0000-0000-0000EC340000}"/>
    <cellStyle name="Comma 2 2 6 2 4 2 7" xfId="13129" xr:uid="{00000000-0005-0000-0000-0000ED340000}"/>
    <cellStyle name="Comma 2 2 6 2 4 2 7 2" xfId="36408" xr:uid="{00000000-0005-0000-0000-0000EE340000}"/>
    <cellStyle name="Comma 2 2 6 2 4 2 8" xfId="15600" xr:uid="{00000000-0005-0000-0000-0000EF340000}"/>
    <cellStyle name="Comma 2 2 6 2 4 2 8 2" xfId="38878" xr:uid="{00000000-0005-0000-0000-0000F0340000}"/>
    <cellStyle name="Comma 2 2 6 2 4 2 9" xfId="24168" xr:uid="{00000000-0005-0000-0000-0000F1340000}"/>
    <cellStyle name="Comma 2 2 6 2 4 3" xfId="1501" xr:uid="{00000000-0005-0000-0000-0000F2340000}"/>
    <cellStyle name="Comma 2 2 6 2 4 3 10" xfId="22332" xr:uid="{00000000-0005-0000-0000-0000F3340000}"/>
    <cellStyle name="Comma 2 2 6 2 4 3 2" xfId="3949" xr:uid="{00000000-0005-0000-0000-0000F4340000}"/>
    <cellStyle name="Comma 2 2 6 2 4 3 2 2" xfId="19884" xr:uid="{00000000-0005-0000-0000-0000F5340000}"/>
    <cellStyle name="Comma 2 2 6 2 4 3 2 2 2" xfId="43162" xr:uid="{00000000-0005-0000-0000-0000F6340000}"/>
    <cellStyle name="Comma 2 2 6 2 4 3 2 3" xfId="48058" xr:uid="{00000000-0005-0000-0000-0000F7340000}"/>
    <cellStyle name="Comma 2 2 6 2 4 3 2 4" xfId="27228" xr:uid="{00000000-0005-0000-0000-0000F8340000}"/>
    <cellStyle name="Comma 2 2 6 2 4 3 3" xfId="6397" xr:uid="{00000000-0005-0000-0000-0000F9340000}"/>
    <cellStyle name="Comma 2 2 6 2 4 3 3 2" xfId="29676" xr:uid="{00000000-0005-0000-0000-0000FA340000}"/>
    <cellStyle name="Comma 2 2 6 2 4 3 4" xfId="8845" xr:uid="{00000000-0005-0000-0000-0000FB340000}"/>
    <cellStyle name="Comma 2 2 6 2 4 3 4 2" xfId="32124" xr:uid="{00000000-0005-0000-0000-0000FC340000}"/>
    <cellStyle name="Comma 2 2 6 2 4 3 5" xfId="11293" xr:uid="{00000000-0005-0000-0000-0000FD340000}"/>
    <cellStyle name="Comma 2 2 6 2 4 3 5 2" xfId="34572" xr:uid="{00000000-0005-0000-0000-0000FE340000}"/>
    <cellStyle name="Comma 2 2 6 2 4 3 6" xfId="13741" xr:uid="{00000000-0005-0000-0000-0000FF340000}"/>
    <cellStyle name="Comma 2 2 6 2 4 3 6 2" xfId="37020" xr:uid="{00000000-0005-0000-0000-000000350000}"/>
    <cellStyle name="Comma 2 2 6 2 4 3 7" xfId="17436" xr:uid="{00000000-0005-0000-0000-000001350000}"/>
    <cellStyle name="Comma 2 2 6 2 4 3 7 2" xfId="40714" xr:uid="{00000000-0005-0000-0000-000002350000}"/>
    <cellStyle name="Comma 2 2 6 2 4 3 8" xfId="24780" xr:uid="{00000000-0005-0000-0000-000003350000}"/>
    <cellStyle name="Comma 2 2 6 2 4 3 9" xfId="45610" xr:uid="{00000000-0005-0000-0000-000004350000}"/>
    <cellStyle name="Comma 2 2 6 2 4 4" xfId="2725" xr:uid="{00000000-0005-0000-0000-000005350000}"/>
    <cellStyle name="Comma 2 2 6 2 4 4 2" xfId="16212" xr:uid="{00000000-0005-0000-0000-000006350000}"/>
    <cellStyle name="Comma 2 2 6 2 4 4 2 2" xfId="39490" xr:uid="{00000000-0005-0000-0000-000007350000}"/>
    <cellStyle name="Comma 2 2 6 2 4 4 3" xfId="46834" xr:uid="{00000000-0005-0000-0000-000008350000}"/>
    <cellStyle name="Comma 2 2 6 2 4 4 4" xfId="26004" xr:uid="{00000000-0005-0000-0000-000009350000}"/>
    <cellStyle name="Comma 2 2 6 2 4 5" xfId="5173" xr:uid="{00000000-0005-0000-0000-00000A350000}"/>
    <cellStyle name="Comma 2 2 6 2 4 5 2" xfId="18660" xr:uid="{00000000-0005-0000-0000-00000B350000}"/>
    <cellStyle name="Comma 2 2 6 2 4 5 2 2" xfId="41938" xr:uid="{00000000-0005-0000-0000-00000C350000}"/>
    <cellStyle name="Comma 2 2 6 2 4 5 3" xfId="28452" xr:uid="{00000000-0005-0000-0000-00000D350000}"/>
    <cellStyle name="Comma 2 2 6 2 4 6" xfId="7621" xr:uid="{00000000-0005-0000-0000-00000E350000}"/>
    <cellStyle name="Comma 2 2 6 2 4 6 2" xfId="30900" xr:uid="{00000000-0005-0000-0000-00000F350000}"/>
    <cellStyle name="Comma 2 2 6 2 4 7" xfId="10069" xr:uid="{00000000-0005-0000-0000-000010350000}"/>
    <cellStyle name="Comma 2 2 6 2 4 7 2" xfId="33348" xr:uid="{00000000-0005-0000-0000-000011350000}"/>
    <cellStyle name="Comma 2 2 6 2 4 8" xfId="12517" xr:uid="{00000000-0005-0000-0000-000012350000}"/>
    <cellStyle name="Comma 2 2 6 2 4 8 2" xfId="35796" xr:uid="{00000000-0005-0000-0000-000013350000}"/>
    <cellStyle name="Comma 2 2 6 2 4 9" xfId="14988" xr:uid="{00000000-0005-0000-0000-000014350000}"/>
    <cellStyle name="Comma 2 2 6 2 4 9 2" xfId="38266" xr:uid="{00000000-0005-0000-0000-000015350000}"/>
    <cellStyle name="Comma 2 2 6 2 5" xfId="481" xr:uid="{00000000-0005-0000-0000-000016350000}"/>
    <cellStyle name="Comma 2 2 6 2 5 10" xfId="23760" xr:uid="{00000000-0005-0000-0000-000017350000}"/>
    <cellStyle name="Comma 2 2 6 2 5 11" xfId="44590" xr:uid="{00000000-0005-0000-0000-000018350000}"/>
    <cellStyle name="Comma 2 2 6 2 5 12" xfId="21312" xr:uid="{00000000-0005-0000-0000-000019350000}"/>
    <cellStyle name="Comma 2 2 6 2 5 2" xfId="1093" xr:uid="{00000000-0005-0000-0000-00001A350000}"/>
    <cellStyle name="Comma 2 2 6 2 5 2 10" xfId="45202" xr:uid="{00000000-0005-0000-0000-00001B350000}"/>
    <cellStyle name="Comma 2 2 6 2 5 2 11" xfId="21924" xr:uid="{00000000-0005-0000-0000-00001C350000}"/>
    <cellStyle name="Comma 2 2 6 2 5 2 2" xfId="2317" xr:uid="{00000000-0005-0000-0000-00001D350000}"/>
    <cellStyle name="Comma 2 2 6 2 5 2 2 10" xfId="23148" xr:uid="{00000000-0005-0000-0000-00001E350000}"/>
    <cellStyle name="Comma 2 2 6 2 5 2 2 2" xfId="4765" xr:uid="{00000000-0005-0000-0000-00001F350000}"/>
    <cellStyle name="Comma 2 2 6 2 5 2 2 2 2" xfId="20700" xr:uid="{00000000-0005-0000-0000-000020350000}"/>
    <cellStyle name="Comma 2 2 6 2 5 2 2 2 2 2" xfId="43978" xr:uid="{00000000-0005-0000-0000-000021350000}"/>
    <cellStyle name="Comma 2 2 6 2 5 2 2 2 3" xfId="48874" xr:uid="{00000000-0005-0000-0000-000022350000}"/>
    <cellStyle name="Comma 2 2 6 2 5 2 2 2 4" xfId="28044" xr:uid="{00000000-0005-0000-0000-000023350000}"/>
    <cellStyle name="Comma 2 2 6 2 5 2 2 3" xfId="7213" xr:uid="{00000000-0005-0000-0000-000024350000}"/>
    <cellStyle name="Comma 2 2 6 2 5 2 2 3 2" xfId="30492" xr:uid="{00000000-0005-0000-0000-000025350000}"/>
    <cellStyle name="Comma 2 2 6 2 5 2 2 4" xfId="9661" xr:uid="{00000000-0005-0000-0000-000026350000}"/>
    <cellStyle name="Comma 2 2 6 2 5 2 2 4 2" xfId="32940" xr:uid="{00000000-0005-0000-0000-000027350000}"/>
    <cellStyle name="Comma 2 2 6 2 5 2 2 5" xfId="12109" xr:uid="{00000000-0005-0000-0000-000028350000}"/>
    <cellStyle name="Comma 2 2 6 2 5 2 2 5 2" xfId="35388" xr:uid="{00000000-0005-0000-0000-000029350000}"/>
    <cellStyle name="Comma 2 2 6 2 5 2 2 6" xfId="14557" xr:uid="{00000000-0005-0000-0000-00002A350000}"/>
    <cellStyle name="Comma 2 2 6 2 5 2 2 6 2" xfId="37836" xr:uid="{00000000-0005-0000-0000-00002B350000}"/>
    <cellStyle name="Comma 2 2 6 2 5 2 2 7" xfId="18252" xr:uid="{00000000-0005-0000-0000-00002C350000}"/>
    <cellStyle name="Comma 2 2 6 2 5 2 2 7 2" xfId="41530" xr:uid="{00000000-0005-0000-0000-00002D350000}"/>
    <cellStyle name="Comma 2 2 6 2 5 2 2 8" xfId="25596" xr:uid="{00000000-0005-0000-0000-00002E350000}"/>
    <cellStyle name="Comma 2 2 6 2 5 2 2 9" xfId="46426" xr:uid="{00000000-0005-0000-0000-00002F350000}"/>
    <cellStyle name="Comma 2 2 6 2 5 2 3" xfId="3541" xr:uid="{00000000-0005-0000-0000-000030350000}"/>
    <cellStyle name="Comma 2 2 6 2 5 2 3 2" xfId="17028" xr:uid="{00000000-0005-0000-0000-000031350000}"/>
    <cellStyle name="Comma 2 2 6 2 5 2 3 2 2" xfId="40306" xr:uid="{00000000-0005-0000-0000-000032350000}"/>
    <cellStyle name="Comma 2 2 6 2 5 2 3 3" xfId="47650" xr:uid="{00000000-0005-0000-0000-000033350000}"/>
    <cellStyle name="Comma 2 2 6 2 5 2 3 4" xfId="26820" xr:uid="{00000000-0005-0000-0000-000034350000}"/>
    <cellStyle name="Comma 2 2 6 2 5 2 4" xfId="5989" xr:uid="{00000000-0005-0000-0000-000035350000}"/>
    <cellStyle name="Comma 2 2 6 2 5 2 4 2" xfId="19476" xr:uid="{00000000-0005-0000-0000-000036350000}"/>
    <cellStyle name="Comma 2 2 6 2 5 2 4 2 2" xfId="42754" xr:uid="{00000000-0005-0000-0000-000037350000}"/>
    <cellStyle name="Comma 2 2 6 2 5 2 4 3" xfId="29268" xr:uid="{00000000-0005-0000-0000-000038350000}"/>
    <cellStyle name="Comma 2 2 6 2 5 2 5" xfId="8437" xr:uid="{00000000-0005-0000-0000-000039350000}"/>
    <cellStyle name="Comma 2 2 6 2 5 2 5 2" xfId="31716" xr:uid="{00000000-0005-0000-0000-00003A350000}"/>
    <cellStyle name="Comma 2 2 6 2 5 2 6" xfId="10885" xr:uid="{00000000-0005-0000-0000-00003B350000}"/>
    <cellStyle name="Comma 2 2 6 2 5 2 6 2" xfId="34164" xr:uid="{00000000-0005-0000-0000-00003C350000}"/>
    <cellStyle name="Comma 2 2 6 2 5 2 7" xfId="13333" xr:uid="{00000000-0005-0000-0000-00003D350000}"/>
    <cellStyle name="Comma 2 2 6 2 5 2 7 2" xfId="36612" xr:uid="{00000000-0005-0000-0000-00003E350000}"/>
    <cellStyle name="Comma 2 2 6 2 5 2 8" xfId="15804" xr:uid="{00000000-0005-0000-0000-00003F350000}"/>
    <cellStyle name="Comma 2 2 6 2 5 2 8 2" xfId="39082" xr:uid="{00000000-0005-0000-0000-000040350000}"/>
    <cellStyle name="Comma 2 2 6 2 5 2 9" xfId="24372" xr:uid="{00000000-0005-0000-0000-000041350000}"/>
    <cellStyle name="Comma 2 2 6 2 5 3" xfId="1705" xr:uid="{00000000-0005-0000-0000-000042350000}"/>
    <cellStyle name="Comma 2 2 6 2 5 3 10" xfId="22536" xr:uid="{00000000-0005-0000-0000-000043350000}"/>
    <cellStyle name="Comma 2 2 6 2 5 3 2" xfId="4153" xr:uid="{00000000-0005-0000-0000-000044350000}"/>
    <cellStyle name="Comma 2 2 6 2 5 3 2 2" xfId="20088" xr:uid="{00000000-0005-0000-0000-000045350000}"/>
    <cellStyle name="Comma 2 2 6 2 5 3 2 2 2" xfId="43366" xr:uid="{00000000-0005-0000-0000-000046350000}"/>
    <cellStyle name="Comma 2 2 6 2 5 3 2 3" xfId="48262" xr:uid="{00000000-0005-0000-0000-000047350000}"/>
    <cellStyle name="Comma 2 2 6 2 5 3 2 4" xfId="27432" xr:uid="{00000000-0005-0000-0000-000048350000}"/>
    <cellStyle name="Comma 2 2 6 2 5 3 3" xfId="6601" xr:uid="{00000000-0005-0000-0000-000049350000}"/>
    <cellStyle name="Comma 2 2 6 2 5 3 3 2" xfId="29880" xr:uid="{00000000-0005-0000-0000-00004A350000}"/>
    <cellStyle name="Comma 2 2 6 2 5 3 4" xfId="9049" xr:uid="{00000000-0005-0000-0000-00004B350000}"/>
    <cellStyle name="Comma 2 2 6 2 5 3 4 2" xfId="32328" xr:uid="{00000000-0005-0000-0000-00004C350000}"/>
    <cellStyle name="Comma 2 2 6 2 5 3 5" xfId="11497" xr:uid="{00000000-0005-0000-0000-00004D350000}"/>
    <cellStyle name="Comma 2 2 6 2 5 3 5 2" xfId="34776" xr:uid="{00000000-0005-0000-0000-00004E350000}"/>
    <cellStyle name="Comma 2 2 6 2 5 3 6" xfId="13945" xr:uid="{00000000-0005-0000-0000-00004F350000}"/>
    <cellStyle name="Comma 2 2 6 2 5 3 6 2" xfId="37224" xr:uid="{00000000-0005-0000-0000-000050350000}"/>
    <cellStyle name="Comma 2 2 6 2 5 3 7" xfId="17640" xr:uid="{00000000-0005-0000-0000-000051350000}"/>
    <cellStyle name="Comma 2 2 6 2 5 3 7 2" xfId="40918" xr:uid="{00000000-0005-0000-0000-000052350000}"/>
    <cellStyle name="Comma 2 2 6 2 5 3 8" xfId="24984" xr:uid="{00000000-0005-0000-0000-000053350000}"/>
    <cellStyle name="Comma 2 2 6 2 5 3 9" xfId="45814" xr:uid="{00000000-0005-0000-0000-000054350000}"/>
    <cellStyle name="Comma 2 2 6 2 5 4" xfId="2929" xr:uid="{00000000-0005-0000-0000-000055350000}"/>
    <cellStyle name="Comma 2 2 6 2 5 4 2" xfId="16416" xr:uid="{00000000-0005-0000-0000-000056350000}"/>
    <cellStyle name="Comma 2 2 6 2 5 4 2 2" xfId="39694" xr:uid="{00000000-0005-0000-0000-000057350000}"/>
    <cellStyle name="Comma 2 2 6 2 5 4 3" xfId="47038" xr:uid="{00000000-0005-0000-0000-000058350000}"/>
    <cellStyle name="Comma 2 2 6 2 5 4 4" xfId="26208" xr:uid="{00000000-0005-0000-0000-000059350000}"/>
    <cellStyle name="Comma 2 2 6 2 5 5" xfId="5377" xr:uid="{00000000-0005-0000-0000-00005A350000}"/>
    <cellStyle name="Comma 2 2 6 2 5 5 2" xfId="18864" xr:uid="{00000000-0005-0000-0000-00005B350000}"/>
    <cellStyle name="Comma 2 2 6 2 5 5 2 2" xfId="42142" xr:uid="{00000000-0005-0000-0000-00005C350000}"/>
    <cellStyle name="Comma 2 2 6 2 5 5 3" xfId="28656" xr:uid="{00000000-0005-0000-0000-00005D350000}"/>
    <cellStyle name="Comma 2 2 6 2 5 6" xfId="7825" xr:uid="{00000000-0005-0000-0000-00005E350000}"/>
    <cellStyle name="Comma 2 2 6 2 5 6 2" xfId="31104" xr:uid="{00000000-0005-0000-0000-00005F350000}"/>
    <cellStyle name="Comma 2 2 6 2 5 7" xfId="10273" xr:uid="{00000000-0005-0000-0000-000060350000}"/>
    <cellStyle name="Comma 2 2 6 2 5 7 2" xfId="33552" xr:uid="{00000000-0005-0000-0000-000061350000}"/>
    <cellStyle name="Comma 2 2 6 2 5 8" xfId="12721" xr:uid="{00000000-0005-0000-0000-000062350000}"/>
    <cellStyle name="Comma 2 2 6 2 5 8 2" xfId="36000" xr:uid="{00000000-0005-0000-0000-000063350000}"/>
    <cellStyle name="Comma 2 2 6 2 5 9" xfId="15192" xr:uid="{00000000-0005-0000-0000-000064350000}"/>
    <cellStyle name="Comma 2 2 6 2 5 9 2" xfId="38470" xr:uid="{00000000-0005-0000-0000-000065350000}"/>
    <cellStyle name="Comma 2 2 6 2 6" xfId="685" xr:uid="{00000000-0005-0000-0000-000066350000}"/>
    <cellStyle name="Comma 2 2 6 2 6 10" xfId="44794" xr:uid="{00000000-0005-0000-0000-000067350000}"/>
    <cellStyle name="Comma 2 2 6 2 6 11" xfId="21516" xr:uid="{00000000-0005-0000-0000-000068350000}"/>
    <cellStyle name="Comma 2 2 6 2 6 2" xfId="1909" xr:uid="{00000000-0005-0000-0000-000069350000}"/>
    <cellStyle name="Comma 2 2 6 2 6 2 10" xfId="22740" xr:uid="{00000000-0005-0000-0000-00006A350000}"/>
    <cellStyle name="Comma 2 2 6 2 6 2 2" xfId="4357" xr:uid="{00000000-0005-0000-0000-00006B350000}"/>
    <cellStyle name="Comma 2 2 6 2 6 2 2 2" xfId="20292" xr:uid="{00000000-0005-0000-0000-00006C350000}"/>
    <cellStyle name="Comma 2 2 6 2 6 2 2 2 2" xfId="43570" xr:uid="{00000000-0005-0000-0000-00006D350000}"/>
    <cellStyle name="Comma 2 2 6 2 6 2 2 3" xfId="48466" xr:uid="{00000000-0005-0000-0000-00006E350000}"/>
    <cellStyle name="Comma 2 2 6 2 6 2 2 4" xfId="27636" xr:uid="{00000000-0005-0000-0000-00006F350000}"/>
    <cellStyle name="Comma 2 2 6 2 6 2 3" xfId="6805" xr:uid="{00000000-0005-0000-0000-000070350000}"/>
    <cellStyle name="Comma 2 2 6 2 6 2 3 2" xfId="30084" xr:uid="{00000000-0005-0000-0000-000071350000}"/>
    <cellStyle name="Comma 2 2 6 2 6 2 4" xfId="9253" xr:uid="{00000000-0005-0000-0000-000072350000}"/>
    <cellStyle name="Comma 2 2 6 2 6 2 4 2" xfId="32532" xr:uid="{00000000-0005-0000-0000-000073350000}"/>
    <cellStyle name="Comma 2 2 6 2 6 2 5" xfId="11701" xr:uid="{00000000-0005-0000-0000-000074350000}"/>
    <cellStyle name="Comma 2 2 6 2 6 2 5 2" xfId="34980" xr:uid="{00000000-0005-0000-0000-000075350000}"/>
    <cellStyle name="Comma 2 2 6 2 6 2 6" xfId="14149" xr:uid="{00000000-0005-0000-0000-000076350000}"/>
    <cellStyle name="Comma 2 2 6 2 6 2 6 2" xfId="37428" xr:uid="{00000000-0005-0000-0000-000077350000}"/>
    <cellStyle name="Comma 2 2 6 2 6 2 7" xfId="17844" xr:uid="{00000000-0005-0000-0000-000078350000}"/>
    <cellStyle name="Comma 2 2 6 2 6 2 7 2" xfId="41122" xr:uid="{00000000-0005-0000-0000-000079350000}"/>
    <cellStyle name="Comma 2 2 6 2 6 2 8" xfId="25188" xr:uid="{00000000-0005-0000-0000-00007A350000}"/>
    <cellStyle name="Comma 2 2 6 2 6 2 9" xfId="46018" xr:uid="{00000000-0005-0000-0000-00007B350000}"/>
    <cellStyle name="Comma 2 2 6 2 6 3" xfId="3133" xr:uid="{00000000-0005-0000-0000-00007C350000}"/>
    <cellStyle name="Comma 2 2 6 2 6 3 2" xfId="16620" xr:uid="{00000000-0005-0000-0000-00007D350000}"/>
    <cellStyle name="Comma 2 2 6 2 6 3 2 2" xfId="39898" xr:uid="{00000000-0005-0000-0000-00007E350000}"/>
    <cellStyle name="Comma 2 2 6 2 6 3 3" xfId="47242" xr:uid="{00000000-0005-0000-0000-00007F350000}"/>
    <cellStyle name="Comma 2 2 6 2 6 3 4" xfId="26412" xr:uid="{00000000-0005-0000-0000-000080350000}"/>
    <cellStyle name="Comma 2 2 6 2 6 4" xfId="5581" xr:uid="{00000000-0005-0000-0000-000081350000}"/>
    <cellStyle name="Comma 2 2 6 2 6 4 2" xfId="19068" xr:uid="{00000000-0005-0000-0000-000082350000}"/>
    <cellStyle name="Comma 2 2 6 2 6 4 2 2" xfId="42346" xr:uid="{00000000-0005-0000-0000-000083350000}"/>
    <cellStyle name="Comma 2 2 6 2 6 4 3" xfId="28860" xr:uid="{00000000-0005-0000-0000-000084350000}"/>
    <cellStyle name="Comma 2 2 6 2 6 5" xfId="8029" xr:uid="{00000000-0005-0000-0000-000085350000}"/>
    <cellStyle name="Comma 2 2 6 2 6 5 2" xfId="31308" xr:uid="{00000000-0005-0000-0000-000086350000}"/>
    <cellStyle name="Comma 2 2 6 2 6 6" xfId="10477" xr:uid="{00000000-0005-0000-0000-000087350000}"/>
    <cellStyle name="Comma 2 2 6 2 6 6 2" xfId="33756" xr:uid="{00000000-0005-0000-0000-000088350000}"/>
    <cellStyle name="Comma 2 2 6 2 6 7" xfId="12925" xr:uid="{00000000-0005-0000-0000-000089350000}"/>
    <cellStyle name="Comma 2 2 6 2 6 7 2" xfId="36204" xr:uid="{00000000-0005-0000-0000-00008A350000}"/>
    <cellStyle name="Comma 2 2 6 2 6 8" xfId="15396" xr:uid="{00000000-0005-0000-0000-00008B350000}"/>
    <cellStyle name="Comma 2 2 6 2 6 8 2" xfId="38674" xr:uid="{00000000-0005-0000-0000-00008C350000}"/>
    <cellStyle name="Comma 2 2 6 2 6 9" xfId="23964" xr:uid="{00000000-0005-0000-0000-00008D350000}"/>
    <cellStyle name="Comma 2 2 6 2 7" xfId="1297" xr:uid="{00000000-0005-0000-0000-00008E350000}"/>
    <cellStyle name="Comma 2 2 6 2 7 10" xfId="22128" xr:uid="{00000000-0005-0000-0000-00008F350000}"/>
    <cellStyle name="Comma 2 2 6 2 7 2" xfId="3745" xr:uid="{00000000-0005-0000-0000-000090350000}"/>
    <cellStyle name="Comma 2 2 6 2 7 2 2" xfId="19680" xr:uid="{00000000-0005-0000-0000-000091350000}"/>
    <cellStyle name="Comma 2 2 6 2 7 2 2 2" xfId="42958" xr:uid="{00000000-0005-0000-0000-000092350000}"/>
    <cellStyle name="Comma 2 2 6 2 7 2 3" xfId="47854" xr:uid="{00000000-0005-0000-0000-000093350000}"/>
    <cellStyle name="Comma 2 2 6 2 7 2 4" xfId="27024" xr:uid="{00000000-0005-0000-0000-000094350000}"/>
    <cellStyle name="Comma 2 2 6 2 7 3" xfId="6193" xr:uid="{00000000-0005-0000-0000-000095350000}"/>
    <cellStyle name="Comma 2 2 6 2 7 3 2" xfId="29472" xr:uid="{00000000-0005-0000-0000-000096350000}"/>
    <cellStyle name="Comma 2 2 6 2 7 4" xfId="8641" xr:uid="{00000000-0005-0000-0000-000097350000}"/>
    <cellStyle name="Comma 2 2 6 2 7 4 2" xfId="31920" xr:uid="{00000000-0005-0000-0000-000098350000}"/>
    <cellStyle name="Comma 2 2 6 2 7 5" xfId="11089" xr:uid="{00000000-0005-0000-0000-000099350000}"/>
    <cellStyle name="Comma 2 2 6 2 7 5 2" xfId="34368" xr:uid="{00000000-0005-0000-0000-00009A350000}"/>
    <cellStyle name="Comma 2 2 6 2 7 6" xfId="13537" xr:uid="{00000000-0005-0000-0000-00009B350000}"/>
    <cellStyle name="Comma 2 2 6 2 7 6 2" xfId="36816" xr:uid="{00000000-0005-0000-0000-00009C350000}"/>
    <cellStyle name="Comma 2 2 6 2 7 7" xfId="17232" xr:uid="{00000000-0005-0000-0000-00009D350000}"/>
    <cellStyle name="Comma 2 2 6 2 7 7 2" xfId="40510" xr:uid="{00000000-0005-0000-0000-00009E350000}"/>
    <cellStyle name="Comma 2 2 6 2 7 8" xfId="24576" xr:uid="{00000000-0005-0000-0000-00009F350000}"/>
    <cellStyle name="Comma 2 2 6 2 7 9" xfId="45406" xr:uid="{00000000-0005-0000-0000-0000A0350000}"/>
    <cellStyle name="Comma 2 2 6 2 8" xfId="2521" xr:uid="{00000000-0005-0000-0000-0000A1350000}"/>
    <cellStyle name="Comma 2 2 6 2 8 2" xfId="16008" xr:uid="{00000000-0005-0000-0000-0000A2350000}"/>
    <cellStyle name="Comma 2 2 6 2 8 2 2" xfId="39286" xr:uid="{00000000-0005-0000-0000-0000A3350000}"/>
    <cellStyle name="Comma 2 2 6 2 8 3" xfId="46630" xr:uid="{00000000-0005-0000-0000-0000A4350000}"/>
    <cellStyle name="Comma 2 2 6 2 8 4" xfId="25800" xr:uid="{00000000-0005-0000-0000-0000A5350000}"/>
    <cellStyle name="Comma 2 2 6 2 9" xfId="4969" xr:uid="{00000000-0005-0000-0000-0000A6350000}"/>
    <cellStyle name="Comma 2 2 6 2 9 2" xfId="18456" xr:uid="{00000000-0005-0000-0000-0000A7350000}"/>
    <cellStyle name="Comma 2 2 6 2 9 2 2" xfId="41734" xr:uid="{00000000-0005-0000-0000-0000A8350000}"/>
    <cellStyle name="Comma 2 2 6 2 9 3" xfId="28248" xr:uid="{00000000-0005-0000-0000-0000A9350000}"/>
    <cellStyle name="Comma 2 2 6 3" xfId="90" xr:uid="{00000000-0005-0000-0000-0000AA350000}"/>
    <cellStyle name="Comma 2 2 6 3 10" xfId="7434" xr:uid="{00000000-0005-0000-0000-0000AB350000}"/>
    <cellStyle name="Comma 2 2 6 3 10 2" xfId="30713" xr:uid="{00000000-0005-0000-0000-0000AC350000}"/>
    <cellStyle name="Comma 2 2 6 3 11" xfId="9882" xr:uid="{00000000-0005-0000-0000-0000AD350000}"/>
    <cellStyle name="Comma 2 2 6 3 11 2" xfId="33161" xr:uid="{00000000-0005-0000-0000-0000AE350000}"/>
    <cellStyle name="Comma 2 2 6 3 12" xfId="12330" xr:uid="{00000000-0005-0000-0000-0000AF350000}"/>
    <cellStyle name="Comma 2 2 6 3 12 2" xfId="35609" xr:uid="{00000000-0005-0000-0000-0000B0350000}"/>
    <cellStyle name="Comma 2 2 6 3 13" xfId="14801" xr:uid="{00000000-0005-0000-0000-0000B1350000}"/>
    <cellStyle name="Comma 2 2 6 3 13 2" xfId="38079" xr:uid="{00000000-0005-0000-0000-0000B2350000}"/>
    <cellStyle name="Comma 2 2 6 3 14" xfId="23369" xr:uid="{00000000-0005-0000-0000-0000B3350000}"/>
    <cellStyle name="Comma 2 2 6 3 15" xfId="44199" xr:uid="{00000000-0005-0000-0000-0000B4350000}"/>
    <cellStyle name="Comma 2 2 6 3 16" xfId="20921" xr:uid="{00000000-0005-0000-0000-0000B5350000}"/>
    <cellStyle name="Comma 2 2 6 3 2" xfId="158" xr:uid="{00000000-0005-0000-0000-0000B6350000}"/>
    <cellStyle name="Comma 2 2 6 3 2 10" xfId="12398" xr:uid="{00000000-0005-0000-0000-0000B7350000}"/>
    <cellStyle name="Comma 2 2 6 3 2 10 2" xfId="35677" xr:uid="{00000000-0005-0000-0000-0000B8350000}"/>
    <cellStyle name="Comma 2 2 6 3 2 11" xfId="14869" xr:uid="{00000000-0005-0000-0000-0000B9350000}"/>
    <cellStyle name="Comma 2 2 6 3 2 11 2" xfId="38147" xr:uid="{00000000-0005-0000-0000-0000BA350000}"/>
    <cellStyle name="Comma 2 2 6 3 2 12" xfId="23437" xr:uid="{00000000-0005-0000-0000-0000BB350000}"/>
    <cellStyle name="Comma 2 2 6 3 2 13" xfId="44267" xr:uid="{00000000-0005-0000-0000-0000BC350000}"/>
    <cellStyle name="Comma 2 2 6 3 2 14" xfId="20989" xr:uid="{00000000-0005-0000-0000-0000BD350000}"/>
    <cellStyle name="Comma 2 2 6 3 2 2" xfId="362" xr:uid="{00000000-0005-0000-0000-0000BE350000}"/>
    <cellStyle name="Comma 2 2 6 3 2 2 10" xfId="23641" xr:uid="{00000000-0005-0000-0000-0000BF350000}"/>
    <cellStyle name="Comma 2 2 6 3 2 2 11" xfId="44471" xr:uid="{00000000-0005-0000-0000-0000C0350000}"/>
    <cellStyle name="Comma 2 2 6 3 2 2 12" xfId="21193" xr:uid="{00000000-0005-0000-0000-0000C1350000}"/>
    <cellStyle name="Comma 2 2 6 3 2 2 2" xfId="974" xr:uid="{00000000-0005-0000-0000-0000C2350000}"/>
    <cellStyle name="Comma 2 2 6 3 2 2 2 10" xfId="45083" xr:uid="{00000000-0005-0000-0000-0000C3350000}"/>
    <cellStyle name="Comma 2 2 6 3 2 2 2 11" xfId="21805" xr:uid="{00000000-0005-0000-0000-0000C4350000}"/>
    <cellStyle name="Comma 2 2 6 3 2 2 2 2" xfId="2198" xr:uid="{00000000-0005-0000-0000-0000C5350000}"/>
    <cellStyle name="Comma 2 2 6 3 2 2 2 2 10" xfId="23029" xr:uid="{00000000-0005-0000-0000-0000C6350000}"/>
    <cellStyle name="Comma 2 2 6 3 2 2 2 2 2" xfId="4646" xr:uid="{00000000-0005-0000-0000-0000C7350000}"/>
    <cellStyle name="Comma 2 2 6 3 2 2 2 2 2 2" xfId="20581" xr:uid="{00000000-0005-0000-0000-0000C8350000}"/>
    <cellStyle name="Comma 2 2 6 3 2 2 2 2 2 2 2" xfId="43859" xr:uid="{00000000-0005-0000-0000-0000C9350000}"/>
    <cellStyle name="Comma 2 2 6 3 2 2 2 2 2 3" xfId="48755" xr:uid="{00000000-0005-0000-0000-0000CA350000}"/>
    <cellStyle name="Comma 2 2 6 3 2 2 2 2 2 4" xfId="27925" xr:uid="{00000000-0005-0000-0000-0000CB350000}"/>
    <cellStyle name="Comma 2 2 6 3 2 2 2 2 3" xfId="7094" xr:uid="{00000000-0005-0000-0000-0000CC350000}"/>
    <cellStyle name="Comma 2 2 6 3 2 2 2 2 3 2" xfId="30373" xr:uid="{00000000-0005-0000-0000-0000CD350000}"/>
    <cellStyle name="Comma 2 2 6 3 2 2 2 2 4" xfId="9542" xr:uid="{00000000-0005-0000-0000-0000CE350000}"/>
    <cellStyle name="Comma 2 2 6 3 2 2 2 2 4 2" xfId="32821" xr:uid="{00000000-0005-0000-0000-0000CF350000}"/>
    <cellStyle name="Comma 2 2 6 3 2 2 2 2 5" xfId="11990" xr:uid="{00000000-0005-0000-0000-0000D0350000}"/>
    <cellStyle name="Comma 2 2 6 3 2 2 2 2 5 2" xfId="35269" xr:uid="{00000000-0005-0000-0000-0000D1350000}"/>
    <cellStyle name="Comma 2 2 6 3 2 2 2 2 6" xfId="14438" xr:uid="{00000000-0005-0000-0000-0000D2350000}"/>
    <cellStyle name="Comma 2 2 6 3 2 2 2 2 6 2" xfId="37717" xr:uid="{00000000-0005-0000-0000-0000D3350000}"/>
    <cellStyle name="Comma 2 2 6 3 2 2 2 2 7" xfId="18133" xr:uid="{00000000-0005-0000-0000-0000D4350000}"/>
    <cellStyle name="Comma 2 2 6 3 2 2 2 2 7 2" xfId="41411" xr:uid="{00000000-0005-0000-0000-0000D5350000}"/>
    <cellStyle name="Comma 2 2 6 3 2 2 2 2 8" xfId="25477" xr:uid="{00000000-0005-0000-0000-0000D6350000}"/>
    <cellStyle name="Comma 2 2 6 3 2 2 2 2 9" xfId="46307" xr:uid="{00000000-0005-0000-0000-0000D7350000}"/>
    <cellStyle name="Comma 2 2 6 3 2 2 2 3" xfId="3422" xr:uid="{00000000-0005-0000-0000-0000D8350000}"/>
    <cellStyle name="Comma 2 2 6 3 2 2 2 3 2" xfId="16909" xr:uid="{00000000-0005-0000-0000-0000D9350000}"/>
    <cellStyle name="Comma 2 2 6 3 2 2 2 3 2 2" xfId="40187" xr:uid="{00000000-0005-0000-0000-0000DA350000}"/>
    <cellStyle name="Comma 2 2 6 3 2 2 2 3 3" xfId="47531" xr:uid="{00000000-0005-0000-0000-0000DB350000}"/>
    <cellStyle name="Comma 2 2 6 3 2 2 2 3 4" xfId="26701" xr:uid="{00000000-0005-0000-0000-0000DC350000}"/>
    <cellStyle name="Comma 2 2 6 3 2 2 2 4" xfId="5870" xr:uid="{00000000-0005-0000-0000-0000DD350000}"/>
    <cellStyle name="Comma 2 2 6 3 2 2 2 4 2" xfId="19357" xr:uid="{00000000-0005-0000-0000-0000DE350000}"/>
    <cellStyle name="Comma 2 2 6 3 2 2 2 4 2 2" xfId="42635" xr:uid="{00000000-0005-0000-0000-0000DF350000}"/>
    <cellStyle name="Comma 2 2 6 3 2 2 2 4 3" xfId="29149" xr:uid="{00000000-0005-0000-0000-0000E0350000}"/>
    <cellStyle name="Comma 2 2 6 3 2 2 2 5" xfId="8318" xr:uid="{00000000-0005-0000-0000-0000E1350000}"/>
    <cellStyle name="Comma 2 2 6 3 2 2 2 5 2" xfId="31597" xr:uid="{00000000-0005-0000-0000-0000E2350000}"/>
    <cellStyle name="Comma 2 2 6 3 2 2 2 6" xfId="10766" xr:uid="{00000000-0005-0000-0000-0000E3350000}"/>
    <cellStyle name="Comma 2 2 6 3 2 2 2 6 2" xfId="34045" xr:uid="{00000000-0005-0000-0000-0000E4350000}"/>
    <cellStyle name="Comma 2 2 6 3 2 2 2 7" xfId="13214" xr:uid="{00000000-0005-0000-0000-0000E5350000}"/>
    <cellStyle name="Comma 2 2 6 3 2 2 2 7 2" xfId="36493" xr:uid="{00000000-0005-0000-0000-0000E6350000}"/>
    <cellStyle name="Comma 2 2 6 3 2 2 2 8" xfId="15685" xr:uid="{00000000-0005-0000-0000-0000E7350000}"/>
    <cellStyle name="Comma 2 2 6 3 2 2 2 8 2" xfId="38963" xr:uid="{00000000-0005-0000-0000-0000E8350000}"/>
    <cellStyle name="Comma 2 2 6 3 2 2 2 9" xfId="24253" xr:uid="{00000000-0005-0000-0000-0000E9350000}"/>
    <cellStyle name="Comma 2 2 6 3 2 2 3" xfId="1586" xr:uid="{00000000-0005-0000-0000-0000EA350000}"/>
    <cellStyle name="Comma 2 2 6 3 2 2 3 10" xfId="22417" xr:uid="{00000000-0005-0000-0000-0000EB350000}"/>
    <cellStyle name="Comma 2 2 6 3 2 2 3 2" xfId="4034" xr:uid="{00000000-0005-0000-0000-0000EC350000}"/>
    <cellStyle name="Comma 2 2 6 3 2 2 3 2 2" xfId="19969" xr:uid="{00000000-0005-0000-0000-0000ED350000}"/>
    <cellStyle name="Comma 2 2 6 3 2 2 3 2 2 2" xfId="43247" xr:uid="{00000000-0005-0000-0000-0000EE350000}"/>
    <cellStyle name="Comma 2 2 6 3 2 2 3 2 3" xfId="48143" xr:uid="{00000000-0005-0000-0000-0000EF350000}"/>
    <cellStyle name="Comma 2 2 6 3 2 2 3 2 4" xfId="27313" xr:uid="{00000000-0005-0000-0000-0000F0350000}"/>
    <cellStyle name="Comma 2 2 6 3 2 2 3 3" xfId="6482" xr:uid="{00000000-0005-0000-0000-0000F1350000}"/>
    <cellStyle name="Comma 2 2 6 3 2 2 3 3 2" xfId="29761" xr:uid="{00000000-0005-0000-0000-0000F2350000}"/>
    <cellStyle name="Comma 2 2 6 3 2 2 3 4" xfId="8930" xr:uid="{00000000-0005-0000-0000-0000F3350000}"/>
    <cellStyle name="Comma 2 2 6 3 2 2 3 4 2" xfId="32209" xr:uid="{00000000-0005-0000-0000-0000F4350000}"/>
    <cellStyle name="Comma 2 2 6 3 2 2 3 5" xfId="11378" xr:uid="{00000000-0005-0000-0000-0000F5350000}"/>
    <cellStyle name="Comma 2 2 6 3 2 2 3 5 2" xfId="34657" xr:uid="{00000000-0005-0000-0000-0000F6350000}"/>
    <cellStyle name="Comma 2 2 6 3 2 2 3 6" xfId="13826" xr:uid="{00000000-0005-0000-0000-0000F7350000}"/>
    <cellStyle name="Comma 2 2 6 3 2 2 3 6 2" xfId="37105" xr:uid="{00000000-0005-0000-0000-0000F8350000}"/>
    <cellStyle name="Comma 2 2 6 3 2 2 3 7" xfId="17521" xr:uid="{00000000-0005-0000-0000-0000F9350000}"/>
    <cellStyle name="Comma 2 2 6 3 2 2 3 7 2" xfId="40799" xr:uid="{00000000-0005-0000-0000-0000FA350000}"/>
    <cellStyle name="Comma 2 2 6 3 2 2 3 8" xfId="24865" xr:uid="{00000000-0005-0000-0000-0000FB350000}"/>
    <cellStyle name="Comma 2 2 6 3 2 2 3 9" xfId="45695" xr:uid="{00000000-0005-0000-0000-0000FC350000}"/>
    <cellStyle name="Comma 2 2 6 3 2 2 4" xfId="2810" xr:uid="{00000000-0005-0000-0000-0000FD350000}"/>
    <cellStyle name="Comma 2 2 6 3 2 2 4 2" xfId="16297" xr:uid="{00000000-0005-0000-0000-0000FE350000}"/>
    <cellStyle name="Comma 2 2 6 3 2 2 4 2 2" xfId="39575" xr:uid="{00000000-0005-0000-0000-0000FF350000}"/>
    <cellStyle name="Comma 2 2 6 3 2 2 4 3" xfId="46919" xr:uid="{00000000-0005-0000-0000-000000360000}"/>
    <cellStyle name="Comma 2 2 6 3 2 2 4 4" xfId="26089" xr:uid="{00000000-0005-0000-0000-000001360000}"/>
    <cellStyle name="Comma 2 2 6 3 2 2 5" xfId="5258" xr:uid="{00000000-0005-0000-0000-000002360000}"/>
    <cellStyle name="Comma 2 2 6 3 2 2 5 2" xfId="18745" xr:uid="{00000000-0005-0000-0000-000003360000}"/>
    <cellStyle name="Comma 2 2 6 3 2 2 5 2 2" xfId="42023" xr:uid="{00000000-0005-0000-0000-000004360000}"/>
    <cellStyle name="Comma 2 2 6 3 2 2 5 3" xfId="28537" xr:uid="{00000000-0005-0000-0000-000005360000}"/>
    <cellStyle name="Comma 2 2 6 3 2 2 6" xfId="7706" xr:uid="{00000000-0005-0000-0000-000006360000}"/>
    <cellStyle name="Comma 2 2 6 3 2 2 6 2" xfId="30985" xr:uid="{00000000-0005-0000-0000-000007360000}"/>
    <cellStyle name="Comma 2 2 6 3 2 2 7" xfId="10154" xr:uid="{00000000-0005-0000-0000-000008360000}"/>
    <cellStyle name="Comma 2 2 6 3 2 2 7 2" xfId="33433" xr:uid="{00000000-0005-0000-0000-000009360000}"/>
    <cellStyle name="Comma 2 2 6 3 2 2 8" xfId="12602" xr:uid="{00000000-0005-0000-0000-00000A360000}"/>
    <cellStyle name="Comma 2 2 6 3 2 2 8 2" xfId="35881" xr:uid="{00000000-0005-0000-0000-00000B360000}"/>
    <cellStyle name="Comma 2 2 6 3 2 2 9" xfId="15073" xr:uid="{00000000-0005-0000-0000-00000C360000}"/>
    <cellStyle name="Comma 2 2 6 3 2 2 9 2" xfId="38351" xr:uid="{00000000-0005-0000-0000-00000D360000}"/>
    <cellStyle name="Comma 2 2 6 3 2 3" xfId="566" xr:uid="{00000000-0005-0000-0000-00000E360000}"/>
    <cellStyle name="Comma 2 2 6 3 2 3 10" xfId="23845" xr:uid="{00000000-0005-0000-0000-00000F360000}"/>
    <cellStyle name="Comma 2 2 6 3 2 3 11" xfId="44675" xr:uid="{00000000-0005-0000-0000-000010360000}"/>
    <cellStyle name="Comma 2 2 6 3 2 3 12" xfId="21397" xr:uid="{00000000-0005-0000-0000-000011360000}"/>
    <cellStyle name="Comma 2 2 6 3 2 3 2" xfId="1178" xr:uid="{00000000-0005-0000-0000-000012360000}"/>
    <cellStyle name="Comma 2 2 6 3 2 3 2 10" xfId="45287" xr:uid="{00000000-0005-0000-0000-000013360000}"/>
    <cellStyle name="Comma 2 2 6 3 2 3 2 11" xfId="22009" xr:uid="{00000000-0005-0000-0000-000014360000}"/>
    <cellStyle name="Comma 2 2 6 3 2 3 2 2" xfId="2402" xr:uid="{00000000-0005-0000-0000-000015360000}"/>
    <cellStyle name="Comma 2 2 6 3 2 3 2 2 10" xfId="23233" xr:uid="{00000000-0005-0000-0000-000016360000}"/>
    <cellStyle name="Comma 2 2 6 3 2 3 2 2 2" xfId="4850" xr:uid="{00000000-0005-0000-0000-000017360000}"/>
    <cellStyle name="Comma 2 2 6 3 2 3 2 2 2 2" xfId="20785" xr:uid="{00000000-0005-0000-0000-000018360000}"/>
    <cellStyle name="Comma 2 2 6 3 2 3 2 2 2 2 2" xfId="44063" xr:uid="{00000000-0005-0000-0000-000019360000}"/>
    <cellStyle name="Comma 2 2 6 3 2 3 2 2 2 3" xfId="48959" xr:uid="{00000000-0005-0000-0000-00001A360000}"/>
    <cellStyle name="Comma 2 2 6 3 2 3 2 2 2 4" xfId="28129" xr:uid="{00000000-0005-0000-0000-00001B360000}"/>
    <cellStyle name="Comma 2 2 6 3 2 3 2 2 3" xfId="7298" xr:uid="{00000000-0005-0000-0000-00001C360000}"/>
    <cellStyle name="Comma 2 2 6 3 2 3 2 2 3 2" xfId="30577" xr:uid="{00000000-0005-0000-0000-00001D360000}"/>
    <cellStyle name="Comma 2 2 6 3 2 3 2 2 4" xfId="9746" xr:uid="{00000000-0005-0000-0000-00001E360000}"/>
    <cellStyle name="Comma 2 2 6 3 2 3 2 2 4 2" xfId="33025" xr:uid="{00000000-0005-0000-0000-00001F360000}"/>
    <cellStyle name="Comma 2 2 6 3 2 3 2 2 5" xfId="12194" xr:uid="{00000000-0005-0000-0000-000020360000}"/>
    <cellStyle name="Comma 2 2 6 3 2 3 2 2 5 2" xfId="35473" xr:uid="{00000000-0005-0000-0000-000021360000}"/>
    <cellStyle name="Comma 2 2 6 3 2 3 2 2 6" xfId="14642" xr:uid="{00000000-0005-0000-0000-000022360000}"/>
    <cellStyle name="Comma 2 2 6 3 2 3 2 2 6 2" xfId="37921" xr:uid="{00000000-0005-0000-0000-000023360000}"/>
    <cellStyle name="Comma 2 2 6 3 2 3 2 2 7" xfId="18337" xr:uid="{00000000-0005-0000-0000-000024360000}"/>
    <cellStyle name="Comma 2 2 6 3 2 3 2 2 7 2" xfId="41615" xr:uid="{00000000-0005-0000-0000-000025360000}"/>
    <cellStyle name="Comma 2 2 6 3 2 3 2 2 8" xfId="25681" xr:uid="{00000000-0005-0000-0000-000026360000}"/>
    <cellStyle name="Comma 2 2 6 3 2 3 2 2 9" xfId="46511" xr:uid="{00000000-0005-0000-0000-000027360000}"/>
    <cellStyle name="Comma 2 2 6 3 2 3 2 3" xfId="3626" xr:uid="{00000000-0005-0000-0000-000028360000}"/>
    <cellStyle name="Comma 2 2 6 3 2 3 2 3 2" xfId="17113" xr:uid="{00000000-0005-0000-0000-000029360000}"/>
    <cellStyle name="Comma 2 2 6 3 2 3 2 3 2 2" xfId="40391" xr:uid="{00000000-0005-0000-0000-00002A360000}"/>
    <cellStyle name="Comma 2 2 6 3 2 3 2 3 3" xfId="47735" xr:uid="{00000000-0005-0000-0000-00002B360000}"/>
    <cellStyle name="Comma 2 2 6 3 2 3 2 3 4" xfId="26905" xr:uid="{00000000-0005-0000-0000-00002C360000}"/>
    <cellStyle name="Comma 2 2 6 3 2 3 2 4" xfId="6074" xr:uid="{00000000-0005-0000-0000-00002D360000}"/>
    <cellStyle name="Comma 2 2 6 3 2 3 2 4 2" xfId="19561" xr:uid="{00000000-0005-0000-0000-00002E360000}"/>
    <cellStyle name="Comma 2 2 6 3 2 3 2 4 2 2" xfId="42839" xr:uid="{00000000-0005-0000-0000-00002F360000}"/>
    <cellStyle name="Comma 2 2 6 3 2 3 2 4 3" xfId="29353" xr:uid="{00000000-0005-0000-0000-000030360000}"/>
    <cellStyle name="Comma 2 2 6 3 2 3 2 5" xfId="8522" xr:uid="{00000000-0005-0000-0000-000031360000}"/>
    <cellStyle name="Comma 2 2 6 3 2 3 2 5 2" xfId="31801" xr:uid="{00000000-0005-0000-0000-000032360000}"/>
    <cellStyle name="Comma 2 2 6 3 2 3 2 6" xfId="10970" xr:uid="{00000000-0005-0000-0000-000033360000}"/>
    <cellStyle name="Comma 2 2 6 3 2 3 2 6 2" xfId="34249" xr:uid="{00000000-0005-0000-0000-000034360000}"/>
    <cellStyle name="Comma 2 2 6 3 2 3 2 7" xfId="13418" xr:uid="{00000000-0005-0000-0000-000035360000}"/>
    <cellStyle name="Comma 2 2 6 3 2 3 2 7 2" xfId="36697" xr:uid="{00000000-0005-0000-0000-000036360000}"/>
    <cellStyle name="Comma 2 2 6 3 2 3 2 8" xfId="15889" xr:uid="{00000000-0005-0000-0000-000037360000}"/>
    <cellStyle name="Comma 2 2 6 3 2 3 2 8 2" xfId="39167" xr:uid="{00000000-0005-0000-0000-000038360000}"/>
    <cellStyle name="Comma 2 2 6 3 2 3 2 9" xfId="24457" xr:uid="{00000000-0005-0000-0000-000039360000}"/>
    <cellStyle name="Comma 2 2 6 3 2 3 3" xfId="1790" xr:uid="{00000000-0005-0000-0000-00003A360000}"/>
    <cellStyle name="Comma 2 2 6 3 2 3 3 10" xfId="22621" xr:uid="{00000000-0005-0000-0000-00003B360000}"/>
    <cellStyle name="Comma 2 2 6 3 2 3 3 2" xfId="4238" xr:uid="{00000000-0005-0000-0000-00003C360000}"/>
    <cellStyle name="Comma 2 2 6 3 2 3 3 2 2" xfId="20173" xr:uid="{00000000-0005-0000-0000-00003D360000}"/>
    <cellStyle name="Comma 2 2 6 3 2 3 3 2 2 2" xfId="43451" xr:uid="{00000000-0005-0000-0000-00003E360000}"/>
    <cellStyle name="Comma 2 2 6 3 2 3 3 2 3" xfId="48347" xr:uid="{00000000-0005-0000-0000-00003F360000}"/>
    <cellStyle name="Comma 2 2 6 3 2 3 3 2 4" xfId="27517" xr:uid="{00000000-0005-0000-0000-000040360000}"/>
    <cellStyle name="Comma 2 2 6 3 2 3 3 3" xfId="6686" xr:uid="{00000000-0005-0000-0000-000041360000}"/>
    <cellStyle name="Comma 2 2 6 3 2 3 3 3 2" xfId="29965" xr:uid="{00000000-0005-0000-0000-000042360000}"/>
    <cellStyle name="Comma 2 2 6 3 2 3 3 4" xfId="9134" xr:uid="{00000000-0005-0000-0000-000043360000}"/>
    <cellStyle name="Comma 2 2 6 3 2 3 3 4 2" xfId="32413" xr:uid="{00000000-0005-0000-0000-000044360000}"/>
    <cellStyle name="Comma 2 2 6 3 2 3 3 5" xfId="11582" xr:uid="{00000000-0005-0000-0000-000045360000}"/>
    <cellStyle name="Comma 2 2 6 3 2 3 3 5 2" xfId="34861" xr:uid="{00000000-0005-0000-0000-000046360000}"/>
    <cellStyle name="Comma 2 2 6 3 2 3 3 6" xfId="14030" xr:uid="{00000000-0005-0000-0000-000047360000}"/>
    <cellStyle name="Comma 2 2 6 3 2 3 3 6 2" xfId="37309" xr:uid="{00000000-0005-0000-0000-000048360000}"/>
    <cellStyle name="Comma 2 2 6 3 2 3 3 7" xfId="17725" xr:uid="{00000000-0005-0000-0000-000049360000}"/>
    <cellStyle name="Comma 2 2 6 3 2 3 3 7 2" xfId="41003" xr:uid="{00000000-0005-0000-0000-00004A360000}"/>
    <cellStyle name="Comma 2 2 6 3 2 3 3 8" xfId="25069" xr:uid="{00000000-0005-0000-0000-00004B360000}"/>
    <cellStyle name="Comma 2 2 6 3 2 3 3 9" xfId="45899" xr:uid="{00000000-0005-0000-0000-00004C360000}"/>
    <cellStyle name="Comma 2 2 6 3 2 3 4" xfId="3014" xr:uid="{00000000-0005-0000-0000-00004D360000}"/>
    <cellStyle name="Comma 2 2 6 3 2 3 4 2" xfId="16501" xr:uid="{00000000-0005-0000-0000-00004E360000}"/>
    <cellStyle name="Comma 2 2 6 3 2 3 4 2 2" xfId="39779" xr:uid="{00000000-0005-0000-0000-00004F360000}"/>
    <cellStyle name="Comma 2 2 6 3 2 3 4 3" xfId="47123" xr:uid="{00000000-0005-0000-0000-000050360000}"/>
    <cellStyle name="Comma 2 2 6 3 2 3 4 4" xfId="26293" xr:uid="{00000000-0005-0000-0000-000051360000}"/>
    <cellStyle name="Comma 2 2 6 3 2 3 5" xfId="5462" xr:uid="{00000000-0005-0000-0000-000052360000}"/>
    <cellStyle name="Comma 2 2 6 3 2 3 5 2" xfId="18949" xr:uid="{00000000-0005-0000-0000-000053360000}"/>
    <cellStyle name="Comma 2 2 6 3 2 3 5 2 2" xfId="42227" xr:uid="{00000000-0005-0000-0000-000054360000}"/>
    <cellStyle name="Comma 2 2 6 3 2 3 5 3" xfId="28741" xr:uid="{00000000-0005-0000-0000-000055360000}"/>
    <cellStyle name="Comma 2 2 6 3 2 3 6" xfId="7910" xr:uid="{00000000-0005-0000-0000-000056360000}"/>
    <cellStyle name="Comma 2 2 6 3 2 3 6 2" xfId="31189" xr:uid="{00000000-0005-0000-0000-000057360000}"/>
    <cellStyle name="Comma 2 2 6 3 2 3 7" xfId="10358" xr:uid="{00000000-0005-0000-0000-000058360000}"/>
    <cellStyle name="Comma 2 2 6 3 2 3 7 2" xfId="33637" xr:uid="{00000000-0005-0000-0000-000059360000}"/>
    <cellStyle name="Comma 2 2 6 3 2 3 8" xfId="12806" xr:uid="{00000000-0005-0000-0000-00005A360000}"/>
    <cellStyle name="Comma 2 2 6 3 2 3 8 2" xfId="36085" xr:uid="{00000000-0005-0000-0000-00005B360000}"/>
    <cellStyle name="Comma 2 2 6 3 2 3 9" xfId="15277" xr:uid="{00000000-0005-0000-0000-00005C360000}"/>
    <cellStyle name="Comma 2 2 6 3 2 3 9 2" xfId="38555" xr:uid="{00000000-0005-0000-0000-00005D360000}"/>
    <cellStyle name="Comma 2 2 6 3 2 4" xfId="770" xr:uid="{00000000-0005-0000-0000-00005E360000}"/>
    <cellStyle name="Comma 2 2 6 3 2 4 10" xfId="44879" xr:uid="{00000000-0005-0000-0000-00005F360000}"/>
    <cellStyle name="Comma 2 2 6 3 2 4 11" xfId="21601" xr:uid="{00000000-0005-0000-0000-000060360000}"/>
    <cellStyle name="Comma 2 2 6 3 2 4 2" xfId="1994" xr:uid="{00000000-0005-0000-0000-000061360000}"/>
    <cellStyle name="Comma 2 2 6 3 2 4 2 10" xfId="22825" xr:uid="{00000000-0005-0000-0000-000062360000}"/>
    <cellStyle name="Comma 2 2 6 3 2 4 2 2" xfId="4442" xr:uid="{00000000-0005-0000-0000-000063360000}"/>
    <cellStyle name="Comma 2 2 6 3 2 4 2 2 2" xfId="20377" xr:uid="{00000000-0005-0000-0000-000064360000}"/>
    <cellStyle name="Comma 2 2 6 3 2 4 2 2 2 2" xfId="43655" xr:uid="{00000000-0005-0000-0000-000065360000}"/>
    <cellStyle name="Comma 2 2 6 3 2 4 2 2 3" xfId="48551" xr:uid="{00000000-0005-0000-0000-000066360000}"/>
    <cellStyle name="Comma 2 2 6 3 2 4 2 2 4" xfId="27721" xr:uid="{00000000-0005-0000-0000-000067360000}"/>
    <cellStyle name="Comma 2 2 6 3 2 4 2 3" xfId="6890" xr:uid="{00000000-0005-0000-0000-000068360000}"/>
    <cellStyle name="Comma 2 2 6 3 2 4 2 3 2" xfId="30169" xr:uid="{00000000-0005-0000-0000-000069360000}"/>
    <cellStyle name="Comma 2 2 6 3 2 4 2 4" xfId="9338" xr:uid="{00000000-0005-0000-0000-00006A360000}"/>
    <cellStyle name="Comma 2 2 6 3 2 4 2 4 2" xfId="32617" xr:uid="{00000000-0005-0000-0000-00006B360000}"/>
    <cellStyle name="Comma 2 2 6 3 2 4 2 5" xfId="11786" xr:uid="{00000000-0005-0000-0000-00006C360000}"/>
    <cellStyle name="Comma 2 2 6 3 2 4 2 5 2" xfId="35065" xr:uid="{00000000-0005-0000-0000-00006D360000}"/>
    <cellStyle name="Comma 2 2 6 3 2 4 2 6" xfId="14234" xr:uid="{00000000-0005-0000-0000-00006E360000}"/>
    <cellStyle name="Comma 2 2 6 3 2 4 2 6 2" xfId="37513" xr:uid="{00000000-0005-0000-0000-00006F360000}"/>
    <cellStyle name="Comma 2 2 6 3 2 4 2 7" xfId="17929" xr:uid="{00000000-0005-0000-0000-000070360000}"/>
    <cellStyle name="Comma 2 2 6 3 2 4 2 7 2" xfId="41207" xr:uid="{00000000-0005-0000-0000-000071360000}"/>
    <cellStyle name="Comma 2 2 6 3 2 4 2 8" xfId="25273" xr:uid="{00000000-0005-0000-0000-000072360000}"/>
    <cellStyle name="Comma 2 2 6 3 2 4 2 9" xfId="46103" xr:uid="{00000000-0005-0000-0000-000073360000}"/>
    <cellStyle name="Comma 2 2 6 3 2 4 3" xfId="3218" xr:uid="{00000000-0005-0000-0000-000074360000}"/>
    <cellStyle name="Comma 2 2 6 3 2 4 3 2" xfId="16705" xr:uid="{00000000-0005-0000-0000-000075360000}"/>
    <cellStyle name="Comma 2 2 6 3 2 4 3 2 2" xfId="39983" xr:uid="{00000000-0005-0000-0000-000076360000}"/>
    <cellStyle name="Comma 2 2 6 3 2 4 3 3" xfId="47327" xr:uid="{00000000-0005-0000-0000-000077360000}"/>
    <cellStyle name="Comma 2 2 6 3 2 4 3 4" xfId="26497" xr:uid="{00000000-0005-0000-0000-000078360000}"/>
    <cellStyle name="Comma 2 2 6 3 2 4 4" xfId="5666" xr:uid="{00000000-0005-0000-0000-000079360000}"/>
    <cellStyle name="Comma 2 2 6 3 2 4 4 2" xfId="19153" xr:uid="{00000000-0005-0000-0000-00007A360000}"/>
    <cellStyle name="Comma 2 2 6 3 2 4 4 2 2" xfId="42431" xr:uid="{00000000-0005-0000-0000-00007B360000}"/>
    <cellStyle name="Comma 2 2 6 3 2 4 4 3" xfId="28945" xr:uid="{00000000-0005-0000-0000-00007C360000}"/>
    <cellStyle name="Comma 2 2 6 3 2 4 5" xfId="8114" xr:uid="{00000000-0005-0000-0000-00007D360000}"/>
    <cellStyle name="Comma 2 2 6 3 2 4 5 2" xfId="31393" xr:uid="{00000000-0005-0000-0000-00007E360000}"/>
    <cellStyle name="Comma 2 2 6 3 2 4 6" xfId="10562" xr:uid="{00000000-0005-0000-0000-00007F360000}"/>
    <cellStyle name="Comma 2 2 6 3 2 4 6 2" xfId="33841" xr:uid="{00000000-0005-0000-0000-000080360000}"/>
    <cellStyle name="Comma 2 2 6 3 2 4 7" xfId="13010" xr:uid="{00000000-0005-0000-0000-000081360000}"/>
    <cellStyle name="Comma 2 2 6 3 2 4 7 2" xfId="36289" xr:uid="{00000000-0005-0000-0000-000082360000}"/>
    <cellStyle name="Comma 2 2 6 3 2 4 8" xfId="15481" xr:uid="{00000000-0005-0000-0000-000083360000}"/>
    <cellStyle name="Comma 2 2 6 3 2 4 8 2" xfId="38759" xr:uid="{00000000-0005-0000-0000-000084360000}"/>
    <cellStyle name="Comma 2 2 6 3 2 4 9" xfId="24049" xr:uid="{00000000-0005-0000-0000-000085360000}"/>
    <cellStyle name="Comma 2 2 6 3 2 5" xfId="1382" xr:uid="{00000000-0005-0000-0000-000086360000}"/>
    <cellStyle name="Comma 2 2 6 3 2 5 10" xfId="22213" xr:uid="{00000000-0005-0000-0000-000087360000}"/>
    <cellStyle name="Comma 2 2 6 3 2 5 2" xfId="3830" xr:uid="{00000000-0005-0000-0000-000088360000}"/>
    <cellStyle name="Comma 2 2 6 3 2 5 2 2" xfId="19765" xr:uid="{00000000-0005-0000-0000-000089360000}"/>
    <cellStyle name="Comma 2 2 6 3 2 5 2 2 2" xfId="43043" xr:uid="{00000000-0005-0000-0000-00008A360000}"/>
    <cellStyle name="Comma 2 2 6 3 2 5 2 3" xfId="47939" xr:uid="{00000000-0005-0000-0000-00008B360000}"/>
    <cellStyle name="Comma 2 2 6 3 2 5 2 4" xfId="27109" xr:uid="{00000000-0005-0000-0000-00008C360000}"/>
    <cellStyle name="Comma 2 2 6 3 2 5 3" xfId="6278" xr:uid="{00000000-0005-0000-0000-00008D360000}"/>
    <cellStyle name="Comma 2 2 6 3 2 5 3 2" xfId="29557" xr:uid="{00000000-0005-0000-0000-00008E360000}"/>
    <cellStyle name="Comma 2 2 6 3 2 5 4" xfId="8726" xr:uid="{00000000-0005-0000-0000-00008F360000}"/>
    <cellStyle name="Comma 2 2 6 3 2 5 4 2" xfId="32005" xr:uid="{00000000-0005-0000-0000-000090360000}"/>
    <cellStyle name="Comma 2 2 6 3 2 5 5" xfId="11174" xr:uid="{00000000-0005-0000-0000-000091360000}"/>
    <cellStyle name="Comma 2 2 6 3 2 5 5 2" xfId="34453" xr:uid="{00000000-0005-0000-0000-000092360000}"/>
    <cellStyle name="Comma 2 2 6 3 2 5 6" xfId="13622" xr:uid="{00000000-0005-0000-0000-000093360000}"/>
    <cellStyle name="Comma 2 2 6 3 2 5 6 2" xfId="36901" xr:uid="{00000000-0005-0000-0000-000094360000}"/>
    <cellStyle name="Comma 2 2 6 3 2 5 7" xfId="17317" xr:uid="{00000000-0005-0000-0000-000095360000}"/>
    <cellStyle name="Comma 2 2 6 3 2 5 7 2" xfId="40595" xr:uid="{00000000-0005-0000-0000-000096360000}"/>
    <cellStyle name="Comma 2 2 6 3 2 5 8" xfId="24661" xr:uid="{00000000-0005-0000-0000-000097360000}"/>
    <cellStyle name="Comma 2 2 6 3 2 5 9" xfId="45491" xr:uid="{00000000-0005-0000-0000-000098360000}"/>
    <cellStyle name="Comma 2 2 6 3 2 6" xfId="2606" xr:uid="{00000000-0005-0000-0000-000099360000}"/>
    <cellStyle name="Comma 2 2 6 3 2 6 2" xfId="16093" xr:uid="{00000000-0005-0000-0000-00009A360000}"/>
    <cellStyle name="Comma 2 2 6 3 2 6 2 2" xfId="39371" xr:uid="{00000000-0005-0000-0000-00009B360000}"/>
    <cellStyle name="Comma 2 2 6 3 2 6 3" xfId="46715" xr:uid="{00000000-0005-0000-0000-00009C360000}"/>
    <cellStyle name="Comma 2 2 6 3 2 6 4" xfId="25885" xr:uid="{00000000-0005-0000-0000-00009D360000}"/>
    <cellStyle name="Comma 2 2 6 3 2 7" xfId="5054" xr:uid="{00000000-0005-0000-0000-00009E360000}"/>
    <cellStyle name="Comma 2 2 6 3 2 7 2" xfId="18541" xr:uid="{00000000-0005-0000-0000-00009F360000}"/>
    <cellStyle name="Comma 2 2 6 3 2 7 2 2" xfId="41819" xr:uid="{00000000-0005-0000-0000-0000A0360000}"/>
    <cellStyle name="Comma 2 2 6 3 2 7 3" xfId="28333" xr:uid="{00000000-0005-0000-0000-0000A1360000}"/>
    <cellStyle name="Comma 2 2 6 3 2 8" xfId="7502" xr:uid="{00000000-0005-0000-0000-0000A2360000}"/>
    <cellStyle name="Comma 2 2 6 3 2 8 2" xfId="30781" xr:uid="{00000000-0005-0000-0000-0000A3360000}"/>
    <cellStyle name="Comma 2 2 6 3 2 9" xfId="9950" xr:uid="{00000000-0005-0000-0000-0000A4360000}"/>
    <cellStyle name="Comma 2 2 6 3 2 9 2" xfId="33229" xr:uid="{00000000-0005-0000-0000-0000A5360000}"/>
    <cellStyle name="Comma 2 2 6 3 3" xfId="226" xr:uid="{00000000-0005-0000-0000-0000A6360000}"/>
    <cellStyle name="Comma 2 2 6 3 3 10" xfId="12466" xr:uid="{00000000-0005-0000-0000-0000A7360000}"/>
    <cellStyle name="Comma 2 2 6 3 3 10 2" xfId="35745" xr:uid="{00000000-0005-0000-0000-0000A8360000}"/>
    <cellStyle name="Comma 2 2 6 3 3 11" xfId="14937" xr:uid="{00000000-0005-0000-0000-0000A9360000}"/>
    <cellStyle name="Comma 2 2 6 3 3 11 2" xfId="38215" xr:uid="{00000000-0005-0000-0000-0000AA360000}"/>
    <cellStyle name="Comma 2 2 6 3 3 12" xfId="23505" xr:uid="{00000000-0005-0000-0000-0000AB360000}"/>
    <cellStyle name="Comma 2 2 6 3 3 13" xfId="44335" xr:uid="{00000000-0005-0000-0000-0000AC360000}"/>
    <cellStyle name="Comma 2 2 6 3 3 14" xfId="21057" xr:uid="{00000000-0005-0000-0000-0000AD360000}"/>
    <cellStyle name="Comma 2 2 6 3 3 2" xfId="430" xr:uid="{00000000-0005-0000-0000-0000AE360000}"/>
    <cellStyle name="Comma 2 2 6 3 3 2 10" xfId="23709" xr:uid="{00000000-0005-0000-0000-0000AF360000}"/>
    <cellStyle name="Comma 2 2 6 3 3 2 11" xfId="44539" xr:uid="{00000000-0005-0000-0000-0000B0360000}"/>
    <cellStyle name="Comma 2 2 6 3 3 2 12" xfId="21261" xr:uid="{00000000-0005-0000-0000-0000B1360000}"/>
    <cellStyle name="Comma 2 2 6 3 3 2 2" xfId="1042" xr:uid="{00000000-0005-0000-0000-0000B2360000}"/>
    <cellStyle name="Comma 2 2 6 3 3 2 2 10" xfId="45151" xr:uid="{00000000-0005-0000-0000-0000B3360000}"/>
    <cellStyle name="Comma 2 2 6 3 3 2 2 11" xfId="21873" xr:uid="{00000000-0005-0000-0000-0000B4360000}"/>
    <cellStyle name="Comma 2 2 6 3 3 2 2 2" xfId="2266" xr:uid="{00000000-0005-0000-0000-0000B5360000}"/>
    <cellStyle name="Comma 2 2 6 3 3 2 2 2 10" xfId="23097" xr:uid="{00000000-0005-0000-0000-0000B6360000}"/>
    <cellStyle name="Comma 2 2 6 3 3 2 2 2 2" xfId="4714" xr:uid="{00000000-0005-0000-0000-0000B7360000}"/>
    <cellStyle name="Comma 2 2 6 3 3 2 2 2 2 2" xfId="20649" xr:uid="{00000000-0005-0000-0000-0000B8360000}"/>
    <cellStyle name="Comma 2 2 6 3 3 2 2 2 2 2 2" xfId="43927" xr:uid="{00000000-0005-0000-0000-0000B9360000}"/>
    <cellStyle name="Comma 2 2 6 3 3 2 2 2 2 3" xfId="48823" xr:uid="{00000000-0005-0000-0000-0000BA360000}"/>
    <cellStyle name="Comma 2 2 6 3 3 2 2 2 2 4" xfId="27993" xr:uid="{00000000-0005-0000-0000-0000BB360000}"/>
    <cellStyle name="Comma 2 2 6 3 3 2 2 2 3" xfId="7162" xr:uid="{00000000-0005-0000-0000-0000BC360000}"/>
    <cellStyle name="Comma 2 2 6 3 3 2 2 2 3 2" xfId="30441" xr:uid="{00000000-0005-0000-0000-0000BD360000}"/>
    <cellStyle name="Comma 2 2 6 3 3 2 2 2 4" xfId="9610" xr:uid="{00000000-0005-0000-0000-0000BE360000}"/>
    <cellStyle name="Comma 2 2 6 3 3 2 2 2 4 2" xfId="32889" xr:uid="{00000000-0005-0000-0000-0000BF360000}"/>
    <cellStyle name="Comma 2 2 6 3 3 2 2 2 5" xfId="12058" xr:uid="{00000000-0005-0000-0000-0000C0360000}"/>
    <cellStyle name="Comma 2 2 6 3 3 2 2 2 5 2" xfId="35337" xr:uid="{00000000-0005-0000-0000-0000C1360000}"/>
    <cellStyle name="Comma 2 2 6 3 3 2 2 2 6" xfId="14506" xr:uid="{00000000-0005-0000-0000-0000C2360000}"/>
    <cellStyle name="Comma 2 2 6 3 3 2 2 2 6 2" xfId="37785" xr:uid="{00000000-0005-0000-0000-0000C3360000}"/>
    <cellStyle name="Comma 2 2 6 3 3 2 2 2 7" xfId="18201" xr:uid="{00000000-0005-0000-0000-0000C4360000}"/>
    <cellStyle name="Comma 2 2 6 3 3 2 2 2 7 2" xfId="41479" xr:uid="{00000000-0005-0000-0000-0000C5360000}"/>
    <cellStyle name="Comma 2 2 6 3 3 2 2 2 8" xfId="25545" xr:uid="{00000000-0005-0000-0000-0000C6360000}"/>
    <cellStyle name="Comma 2 2 6 3 3 2 2 2 9" xfId="46375" xr:uid="{00000000-0005-0000-0000-0000C7360000}"/>
    <cellStyle name="Comma 2 2 6 3 3 2 2 3" xfId="3490" xr:uid="{00000000-0005-0000-0000-0000C8360000}"/>
    <cellStyle name="Comma 2 2 6 3 3 2 2 3 2" xfId="16977" xr:uid="{00000000-0005-0000-0000-0000C9360000}"/>
    <cellStyle name="Comma 2 2 6 3 3 2 2 3 2 2" xfId="40255" xr:uid="{00000000-0005-0000-0000-0000CA360000}"/>
    <cellStyle name="Comma 2 2 6 3 3 2 2 3 3" xfId="47599" xr:uid="{00000000-0005-0000-0000-0000CB360000}"/>
    <cellStyle name="Comma 2 2 6 3 3 2 2 3 4" xfId="26769" xr:uid="{00000000-0005-0000-0000-0000CC360000}"/>
    <cellStyle name="Comma 2 2 6 3 3 2 2 4" xfId="5938" xr:uid="{00000000-0005-0000-0000-0000CD360000}"/>
    <cellStyle name="Comma 2 2 6 3 3 2 2 4 2" xfId="19425" xr:uid="{00000000-0005-0000-0000-0000CE360000}"/>
    <cellStyle name="Comma 2 2 6 3 3 2 2 4 2 2" xfId="42703" xr:uid="{00000000-0005-0000-0000-0000CF360000}"/>
    <cellStyle name="Comma 2 2 6 3 3 2 2 4 3" xfId="29217" xr:uid="{00000000-0005-0000-0000-0000D0360000}"/>
    <cellStyle name="Comma 2 2 6 3 3 2 2 5" xfId="8386" xr:uid="{00000000-0005-0000-0000-0000D1360000}"/>
    <cellStyle name="Comma 2 2 6 3 3 2 2 5 2" xfId="31665" xr:uid="{00000000-0005-0000-0000-0000D2360000}"/>
    <cellStyle name="Comma 2 2 6 3 3 2 2 6" xfId="10834" xr:uid="{00000000-0005-0000-0000-0000D3360000}"/>
    <cellStyle name="Comma 2 2 6 3 3 2 2 6 2" xfId="34113" xr:uid="{00000000-0005-0000-0000-0000D4360000}"/>
    <cellStyle name="Comma 2 2 6 3 3 2 2 7" xfId="13282" xr:uid="{00000000-0005-0000-0000-0000D5360000}"/>
    <cellStyle name="Comma 2 2 6 3 3 2 2 7 2" xfId="36561" xr:uid="{00000000-0005-0000-0000-0000D6360000}"/>
    <cellStyle name="Comma 2 2 6 3 3 2 2 8" xfId="15753" xr:uid="{00000000-0005-0000-0000-0000D7360000}"/>
    <cellStyle name="Comma 2 2 6 3 3 2 2 8 2" xfId="39031" xr:uid="{00000000-0005-0000-0000-0000D8360000}"/>
    <cellStyle name="Comma 2 2 6 3 3 2 2 9" xfId="24321" xr:uid="{00000000-0005-0000-0000-0000D9360000}"/>
    <cellStyle name="Comma 2 2 6 3 3 2 3" xfId="1654" xr:uid="{00000000-0005-0000-0000-0000DA360000}"/>
    <cellStyle name="Comma 2 2 6 3 3 2 3 10" xfId="22485" xr:uid="{00000000-0005-0000-0000-0000DB360000}"/>
    <cellStyle name="Comma 2 2 6 3 3 2 3 2" xfId="4102" xr:uid="{00000000-0005-0000-0000-0000DC360000}"/>
    <cellStyle name="Comma 2 2 6 3 3 2 3 2 2" xfId="20037" xr:uid="{00000000-0005-0000-0000-0000DD360000}"/>
    <cellStyle name="Comma 2 2 6 3 3 2 3 2 2 2" xfId="43315" xr:uid="{00000000-0005-0000-0000-0000DE360000}"/>
    <cellStyle name="Comma 2 2 6 3 3 2 3 2 3" xfId="48211" xr:uid="{00000000-0005-0000-0000-0000DF360000}"/>
    <cellStyle name="Comma 2 2 6 3 3 2 3 2 4" xfId="27381" xr:uid="{00000000-0005-0000-0000-0000E0360000}"/>
    <cellStyle name="Comma 2 2 6 3 3 2 3 3" xfId="6550" xr:uid="{00000000-0005-0000-0000-0000E1360000}"/>
    <cellStyle name="Comma 2 2 6 3 3 2 3 3 2" xfId="29829" xr:uid="{00000000-0005-0000-0000-0000E2360000}"/>
    <cellStyle name="Comma 2 2 6 3 3 2 3 4" xfId="8998" xr:uid="{00000000-0005-0000-0000-0000E3360000}"/>
    <cellStyle name="Comma 2 2 6 3 3 2 3 4 2" xfId="32277" xr:uid="{00000000-0005-0000-0000-0000E4360000}"/>
    <cellStyle name="Comma 2 2 6 3 3 2 3 5" xfId="11446" xr:uid="{00000000-0005-0000-0000-0000E5360000}"/>
    <cellStyle name="Comma 2 2 6 3 3 2 3 5 2" xfId="34725" xr:uid="{00000000-0005-0000-0000-0000E6360000}"/>
    <cellStyle name="Comma 2 2 6 3 3 2 3 6" xfId="13894" xr:uid="{00000000-0005-0000-0000-0000E7360000}"/>
    <cellStyle name="Comma 2 2 6 3 3 2 3 6 2" xfId="37173" xr:uid="{00000000-0005-0000-0000-0000E8360000}"/>
    <cellStyle name="Comma 2 2 6 3 3 2 3 7" xfId="17589" xr:uid="{00000000-0005-0000-0000-0000E9360000}"/>
    <cellStyle name="Comma 2 2 6 3 3 2 3 7 2" xfId="40867" xr:uid="{00000000-0005-0000-0000-0000EA360000}"/>
    <cellStyle name="Comma 2 2 6 3 3 2 3 8" xfId="24933" xr:uid="{00000000-0005-0000-0000-0000EB360000}"/>
    <cellStyle name="Comma 2 2 6 3 3 2 3 9" xfId="45763" xr:uid="{00000000-0005-0000-0000-0000EC360000}"/>
    <cellStyle name="Comma 2 2 6 3 3 2 4" xfId="2878" xr:uid="{00000000-0005-0000-0000-0000ED360000}"/>
    <cellStyle name="Comma 2 2 6 3 3 2 4 2" xfId="16365" xr:uid="{00000000-0005-0000-0000-0000EE360000}"/>
    <cellStyle name="Comma 2 2 6 3 3 2 4 2 2" xfId="39643" xr:uid="{00000000-0005-0000-0000-0000EF360000}"/>
    <cellStyle name="Comma 2 2 6 3 3 2 4 3" xfId="46987" xr:uid="{00000000-0005-0000-0000-0000F0360000}"/>
    <cellStyle name="Comma 2 2 6 3 3 2 4 4" xfId="26157" xr:uid="{00000000-0005-0000-0000-0000F1360000}"/>
    <cellStyle name="Comma 2 2 6 3 3 2 5" xfId="5326" xr:uid="{00000000-0005-0000-0000-0000F2360000}"/>
    <cellStyle name="Comma 2 2 6 3 3 2 5 2" xfId="18813" xr:uid="{00000000-0005-0000-0000-0000F3360000}"/>
    <cellStyle name="Comma 2 2 6 3 3 2 5 2 2" xfId="42091" xr:uid="{00000000-0005-0000-0000-0000F4360000}"/>
    <cellStyle name="Comma 2 2 6 3 3 2 5 3" xfId="28605" xr:uid="{00000000-0005-0000-0000-0000F5360000}"/>
    <cellStyle name="Comma 2 2 6 3 3 2 6" xfId="7774" xr:uid="{00000000-0005-0000-0000-0000F6360000}"/>
    <cellStyle name="Comma 2 2 6 3 3 2 6 2" xfId="31053" xr:uid="{00000000-0005-0000-0000-0000F7360000}"/>
    <cellStyle name="Comma 2 2 6 3 3 2 7" xfId="10222" xr:uid="{00000000-0005-0000-0000-0000F8360000}"/>
    <cellStyle name="Comma 2 2 6 3 3 2 7 2" xfId="33501" xr:uid="{00000000-0005-0000-0000-0000F9360000}"/>
    <cellStyle name="Comma 2 2 6 3 3 2 8" xfId="12670" xr:uid="{00000000-0005-0000-0000-0000FA360000}"/>
    <cellStyle name="Comma 2 2 6 3 3 2 8 2" xfId="35949" xr:uid="{00000000-0005-0000-0000-0000FB360000}"/>
    <cellStyle name="Comma 2 2 6 3 3 2 9" xfId="15141" xr:uid="{00000000-0005-0000-0000-0000FC360000}"/>
    <cellStyle name="Comma 2 2 6 3 3 2 9 2" xfId="38419" xr:uid="{00000000-0005-0000-0000-0000FD360000}"/>
    <cellStyle name="Comma 2 2 6 3 3 3" xfId="634" xr:uid="{00000000-0005-0000-0000-0000FE360000}"/>
    <cellStyle name="Comma 2 2 6 3 3 3 10" xfId="23913" xr:uid="{00000000-0005-0000-0000-0000FF360000}"/>
    <cellStyle name="Comma 2 2 6 3 3 3 11" xfId="44743" xr:uid="{00000000-0005-0000-0000-000000370000}"/>
    <cellStyle name="Comma 2 2 6 3 3 3 12" xfId="21465" xr:uid="{00000000-0005-0000-0000-000001370000}"/>
    <cellStyle name="Comma 2 2 6 3 3 3 2" xfId="1246" xr:uid="{00000000-0005-0000-0000-000002370000}"/>
    <cellStyle name="Comma 2 2 6 3 3 3 2 10" xfId="45355" xr:uid="{00000000-0005-0000-0000-000003370000}"/>
    <cellStyle name="Comma 2 2 6 3 3 3 2 11" xfId="22077" xr:uid="{00000000-0005-0000-0000-000004370000}"/>
    <cellStyle name="Comma 2 2 6 3 3 3 2 2" xfId="2470" xr:uid="{00000000-0005-0000-0000-000005370000}"/>
    <cellStyle name="Comma 2 2 6 3 3 3 2 2 10" xfId="23301" xr:uid="{00000000-0005-0000-0000-000006370000}"/>
    <cellStyle name="Comma 2 2 6 3 3 3 2 2 2" xfId="4918" xr:uid="{00000000-0005-0000-0000-000007370000}"/>
    <cellStyle name="Comma 2 2 6 3 3 3 2 2 2 2" xfId="20853" xr:uid="{00000000-0005-0000-0000-000008370000}"/>
    <cellStyle name="Comma 2 2 6 3 3 3 2 2 2 2 2" xfId="44131" xr:uid="{00000000-0005-0000-0000-000009370000}"/>
    <cellStyle name="Comma 2 2 6 3 3 3 2 2 2 3" xfId="49027" xr:uid="{00000000-0005-0000-0000-00000A370000}"/>
    <cellStyle name="Comma 2 2 6 3 3 3 2 2 2 4" xfId="28197" xr:uid="{00000000-0005-0000-0000-00000B370000}"/>
    <cellStyle name="Comma 2 2 6 3 3 3 2 2 3" xfId="7366" xr:uid="{00000000-0005-0000-0000-00000C370000}"/>
    <cellStyle name="Comma 2 2 6 3 3 3 2 2 3 2" xfId="30645" xr:uid="{00000000-0005-0000-0000-00000D370000}"/>
    <cellStyle name="Comma 2 2 6 3 3 3 2 2 4" xfId="9814" xr:uid="{00000000-0005-0000-0000-00000E370000}"/>
    <cellStyle name="Comma 2 2 6 3 3 3 2 2 4 2" xfId="33093" xr:uid="{00000000-0005-0000-0000-00000F370000}"/>
    <cellStyle name="Comma 2 2 6 3 3 3 2 2 5" xfId="12262" xr:uid="{00000000-0005-0000-0000-000010370000}"/>
    <cellStyle name="Comma 2 2 6 3 3 3 2 2 5 2" xfId="35541" xr:uid="{00000000-0005-0000-0000-000011370000}"/>
    <cellStyle name="Comma 2 2 6 3 3 3 2 2 6" xfId="14710" xr:uid="{00000000-0005-0000-0000-000012370000}"/>
    <cellStyle name="Comma 2 2 6 3 3 3 2 2 6 2" xfId="37989" xr:uid="{00000000-0005-0000-0000-000013370000}"/>
    <cellStyle name="Comma 2 2 6 3 3 3 2 2 7" xfId="18405" xr:uid="{00000000-0005-0000-0000-000014370000}"/>
    <cellStyle name="Comma 2 2 6 3 3 3 2 2 7 2" xfId="41683" xr:uid="{00000000-0005-0000-0000-000015370000}"/>
    <cellStyle name="Comma 2 2 6 3 3 3 2 2 8" xfId="25749" xr:uid="{00000000-0005-0000-0000-000016370000}"/>
    <cellStyle name="Comma 2 2 6 3 3 3 2 2 9" xfId="46579" xr:uid="{00000000-0005-0000-0000-000017370000}"/>
    <cellStyle name="Comma 2 2 6 3 3 3 2 3" xfId="3694" xr:uid="{00000000-0005-0000-0000-000018370000}"/>
    <cellStyle name="Comma 2 2 6 3 3 3 2 3 2" xfId="17181" xr:uid="{00000000-0005-0000-0000-000019370000}"/>
    <cellStyle name="Comma 2 2 6 3 3 3 2 3 2 2" xfId="40459" xr:uid="{00000000-0005-0000-0000-00001A370000}"/>
    <cellStyle name="Comma 2 2 6 3 3 3 2 3 3" xfId="47803" xr:uid="{00000000-0005-0000-0000-00001B370000}"/>
    <cellStyle name="Comma 2 2 6 3 3 3 2 3 4" xfId="26973" xr:uid="{00000000-0005-0000-0000-00001C370000}"/>
    <cellStyle name="Comma 2 2 6 3 3 3 2 4" xfId="6142" xr:uid="{00000000-0005-0000-0000-00001D370000}"/>
    <cellStyle name="Comma 2 2 6 3 3 3 2 4 2" xfId="19629" xr:uid="{00000000-0005-0000-0000-00001E370000}"/>
    <cellStyle name="Comma 2 2 6 3 3 3 2 4 2 2" xfId="42907" xr:uid="{00000000-0005-0000-0000-00001F370000}"/>
    <cellStyle name="Comma 2 2 6 3 3 3 2 4 3" xfId="29421" xr:uid="{00000000-0005-0000-0000-000020370000}"/>
    <cellStyle name="Comma 2 2 6 3 3 3 2 5" xfId="8590" xr:uid="{00000000-0005-0000-0000-000021370000}"/>
    <cellStyle name="Comma 2 2 6 3 3 3 2 5 2" xfId="31869" xr:uid="{00000000-0005-0000-0000-000022370000}"/>
    <cellStyle name="Comma 2 2 6 3 3 3 2 6" xfId="11038" xr:uid="{00000000-0005-0000-0000-000023370000}"/>
    <cellStyle name="Comma 2 2 6 3 3 3 2 6 2" xfId="34317" xr:uid="{00000000-0005-0000-0000-000024370000}"/>
    <cellStyle name="Comma 2 2 6 3 3 3 2 7" xfId="13486" xr:uid="{00000000-0005-0000-0000-000025370000}"/>
    <cellStyle name="Comma 2 2 6 3 3 3 2 7 2" xfId="36765" xr:uid="{00000000-0005-0000-0000-000026370000}"/>
    <cellStyle name="Comma 2 2 6 3 3 3 2 8" xfId="15957" xr:uid="{00000000-0005-0000-0000-000027370000}"/>
    <cellStyle name="Comma 2 2 6 3 3 3 2 8 2" xfId="39235" xr:uid="{00000000-0005-0000-0000-000028370000}"/>
    <cellStyle name="Comma 2 2 6 3 3 3 2 9" xfId="24525" xr:uid="{00000000-0005-0000-0000-000029370000}"/>
    <cellStyle name="Comma 2 2 6 3 3 3 3" xfId="1858" xr:uid="{00000000-0005-0000-0000-00002A370000}"/>
    <cellStyle name="Comma 2 2 6 3 3 3 3 10" xfId="22689" xr:uid="{00000000-0005-0000-0000-00002B370000}"/>
    <cellStyle name="Comma 2 2 6 3 3 3 3 2" xfId="4306" xr:uid="{00000000-0005-0000-0000-00002C370000}"/>
    <cellStyle name="Comma 2 2 6 3 3 3 3 2 2" xfId="20241" xr:uid="{00000000-0005-0000-0000-00002D370000}"/>
    <cellStyle name="Comma 2 2 6 3 3 3 3 2 2 2" xfId="43519" xr:uid="{00000000-0005-0000-0000-00002E370000}"/>
    <cellStyle name="Comma 2 2 6 3 3 3 3 2 3" xfId="48415" xr:uid="{00000000-0005-0000-0000-00002F370000}"/>
    <cellStyle name="Comma 2 2 6 3 3 3 3 2 4" xfId="27585" xr:uid="{00000000-0005-0000-0000-000030370000}"/>
    <cellStyle name="Comma 2 2 6 3 3 3 3 3" xfId="6754" xr:uid="{00000000-0005-0000-0000-000031370000}"/>
    <cellStyle name="Comma 2 2 6 3 3 3 3 3 2" xfId="30033" xr:uid="{00000000-0005-0000-0000-000032370000}"/>
    <cellStyle name="Comma 2 2 6 3 3 3 3 4" xfId="9202" xr:uid="{00000000-0005-0000-0000-000033370000}"/>
    <cellStyle name="Comma 2 2 6 3 3 3 3 4 2" xfId="32481" xr:uid="{00000000-0005-0000-0000-000034370000}"/>
    <cellStyle name="Comma 2 2 6 3 3 3 3 5" xfId="11650" xr:uid="{00000000-0005-0000-0000-000035370000}"/>
    <cellStyle name="Comma 2 2 6 3 3 3 3 5 2" xfId="34929" xr:uid="{00000000-0005-0000-0000-000036370000}"/>
    <cellStyle name="Comma 2 2 6 3 3 3 3 6" xfId="14098" xr:uid="{00000000-0005-0000-0000-000037370000}"/>
    <cellStyle name="Comma 2 2 6 3 3 3 3 6 2" xfId="37377" xr:uid="{00000000-0005-0000-0000-000038370000}"/>
    <cellStyle name="Comma 2 2 6 3 3 3 3 7" xfId="17793" xr:uid="{00000000-0005-0000-0000-000039370000}"/>
    <cellStyle name="Comma 2 2 6 3 3 3 3 7 2" xfId="41071" xr:uid="{00000000-0005-0000-0000-00003A370000}"/>
    <cellStyle name="Comma 2 2 6 3 3 3 3 8" xfId="25137" xr:uid="{00000000-0005-0000-0000-00003B370000}"/>
    <cellStyle name="Comma 2 2 6 3 3 3 3 9" xfId="45967" xr:uid="{00000000-0005-0000-0000-00003C370000}"/>
    <cellStyle name="Comma 2 2 6 3 3 3 4" xfId="3082" xr:uid="{00000000-0005-0000-0000-00003D370000}"/>
    <cellStyle name="Comma 2 2 6 3 3 3 4 2" xfId="16569" xr:uid="{00000000-0005-0000-0000-00003E370000}"/>
    <cellStyle name="Comma 2 2 6 3 3 3 4 2 2" xfId="39847" xr:uid="{00000000-0005-0000-0000-00003F370000}"/>
    <cellStyle name="Comma 2 2 6 3 3 3 4 3" xfId="47191" xr:uid="{00000000-0005-0000-0000-000040370000}"/>
    <cellStyle name="Comma 2 2 6 3 3 3 4 4" xfId="26361" xr:uid="{00000000-0005-0000-0000-000041370000}"/>
    <cellStyle name="Comma 2 2 6 3 3 3 5" xfId="5530" xr:uid="{00000000-0005-0000-0000-000042370000}"/>
    <cellStyle name="Comma 2 2 6 3 3 3 5 2" xfId="19017" xr:uid="{00000000-0005-0000-0000-000043370000}"/>
    <cellStyle name="Comma 2 2 6 3 3 3 5 2 2" xfId="42295" xr:uid="{00000000-0005-0000-0000-000044370000}"/>
    <cellStyle name="Comma 2 2 6 3 3 3 5 3" xfId="28809" xr:uid="{00000000-0005-0000-0000-000045370000}"/>
    <cellStyle name="Comma 2 2 6 3 3 3 6" xfId="7978" xr:uid="{00000000-0005-0000-0000-000046370000}"/>
    <cellStyle name="Comma 2 2 6 3 3 3 6 2" xfId="31257" xr:uid="{00000000-0005-0000-0000-000047370000}"/>
    <cellStyle name="Comma 2 2 6 3 3 3 7" xfId="10426" xr:uid="{00000000-0005-0000-0000-000048370000}"/>
    <cellStyle name="Comma 2 2 6 3 3 3 7 2" xfId="33705" xr:uid="{00000000-0005-0000-0000-000049370000}"/>
    <cellStyle name="Comma 2 2 6 3 3 3 8" xfId="12874" xr:uid="{00000000-0005-0000-0000-00004A370000}"/>
    <cellStyle name="Comma 2 2 6 3 3 3 8 2" xfId="36153" xr:uid="{00000000-0005-0000-0000-00004B370000}"/>
    <cellStyle name="Comma 2 2 6 3 3 3 9" xfId="15345" xr:uid="{00000000-0005-0000-0000-00004C370000}"/>
    <cellStyle name="Comma 2 2 6 3 3 3 9 2" xfId="38623" xr:uid="{00000000-0005-0000-0000-00004D370000}"/>
    <cellStyle name="Comma 2 2 6 3 3 4" xfId="838" xr:uid="{00000000-0005-0000-0000-00004E370000}"/>
    <cellStyle name="Comma 2 2 6 3 3 4 10" xfId="44947" xr:uid="{00000000-0005-0000-0000-00004F370000}"/>
    <cellStyle name="Comma 2 2 6 3 3 4 11" xfId="21669" xr:uid="{00000000-0005-0000-0000-000050370000}"/>
    <cellStyle name="Comma 2 2 6 3 3 4 2" xfId="2062" xr:uid="{00000000-0005-0000-0000-000051370000}"/>
    <cellStyle name="Comma 2 2 6 3 3 4 2 10" xfId="22893" xr:uid="{00000000-0005-0000-0000-000052370000}"/>
    <cellStyle name="Comma 2 2 6 3 3 4 2 2" xfId="4510" xr:uid="{00000000-0005-0000-0000-000053370000}"/>
    <cellStyle name="Comma 2 2 6 3 3 4 2 2 2" xfId="20445" xr:uid="{00000000-0005-0000-0000-000054370000}"/>
    <cellStyle name="Comma 2 2 6 3 3 4 2 2 2 2" xfId="43723" xr:uid="{00000000-0005-0000-0000-000055370000}"/>
    <cellStyle name="Comma 2 2 6 3 3 4 2 2 3" xfId="48619" xr:uid="{00000000-0005-0000-0000-000056370000}"/>
    <cellStyle name="Comma 2 2 6 3 3 4 2 2 4" xfId="27789" xr:uid="{00000000-0005-0000-0000-000057370000}"/>
    <cellStyle name="Comma 2 2 6 3 3 4 2 3" xfId="6958" xr:uid="{00000000-0005-0000-0000-000058370000}"/>
    <cellStyle name="Comma 2 2 6 3 3 4 2 3 2" xfId="30237" xr:uid="{00000000-0005-0000-0000-000059370000}"/>
    <cellStyle name="Comma 2 2 6 3 3 4 2 4" xfId="9406" xr:uid="{00000000-0005-0000-0000-00005A370000}"/>
    <cellStyle name="Comma 2 2 6 3 3 4 2 4 2" xfId="32685" xr:uid="{00000000-0005-0000-0000-00005B370000}"/>
    <cellStyle name="Comma 2 2 6 3 3 4 2 5" xfId="11854" xr:uid="{00000000-0005-0000-0000-00005C370000}"/>
    <cellStyle name="Comma 2 2 6 3 3 4 2 5 2" xfId="35133" xr:uid="{00000000-0005-0000-0000-00005D370000}"/>
    <cellStyle name="Comma 2 2 6 3 3 4 2 6" xfId="14302" xr:uid="{00000000-0005-0000-0000-00005E370000}"/>
    <cellStyle name="Comma 2 2 6 3 3 4 2 6 2" xfId="37581" xr:uid="{00000000-0005-0000-0000-00005F370000}"/>
    <cellStyle name="Comma 2 2 6 3 3 4 2 7" xfId="17997" xr:uid="{00000000-0005-0000-0000-000060370000}"/>
    <cellStyle name="Comma 2 2 6 3 3 4 2 7 2" xfId="41275" xr:uid="{00000000-0005-0000-0000-000061370000}"/>
    <cellStyle name="Comma 2 2 6 3 3 4 2 8" xfId="25341" xr:uid="{00000000-0005-0000-0000-000062370000}"/>
    <cellStyle name="Comma 2 2 6 3 3 4 2 9" xfId="46171" xr:uid="{00000000-0005-0000-0000-000063370000}"/>
    <cellStyle name="Comma 2 2 6 3 3 4 3" xfId="3286" xr:uid="{00000000-0005-0000-0000-000064370000}"/>
    <cellStyle name="Comma 2 2 6 3 3 4 3 2" xfId="16773" xr:uid="{00000000-0005-0000-0000-000065370000}"/>
    <cellStyle name="Comma 2 2 6 3 3 4 3 2 2" xfId="40051" xr:uid="{00000000-0005-0000-0000-000066370000}"/>
    <cellStyle name="Comma 2 2 6 3 3 4 3 3" xfId="47395" xr:uid="{00000000-0005-0000-0000-000067370000}"/>
    <cellStyle name="Comma 2 2 6 3 3 4 3 4" xfId="26565" xr:uid="{00000000-0005-0000-0000-000068370000}"/>
    <cellStyle name="Comma 2 2 6 3 3 4 4" xfId="5734" xr:uid="{00000000-0005-0000-0000-000069370000}"/>
    <cellStyle name="Comma 2 2 6 3 3 4 4 2" xfId="19221" xr:uid="{00000000-0005-0000-0000-00006A370000}"/>
    <cellStyle name="Comma 2 2 6 3 3 4 4 2 2" xfId="42499" xr:uid="{00000000-0005-0000-0000-00006B370000}"/>
    <cellStyle name="Comma 2 2 6 3 3 4 4 3" xfId="29013" xr:uid="{00000000-0005-0000-0000-00006C370000}"/>
    <cellStyle name="Comma 2 2 6 3 3 4 5" xfId="8182" xr:uid="{00000000-0005-0000-0000-00006D370000}"/>
    <cellStyle name="Comma 2 2 6 3 3 4 5 2" xfId="31461" xr:uid="{00000000-0005-0000-0000-00006E370000}"/>
    <cellStyle name="Comma 2 2 6 3 3 4 6" xfId="10630" xr:uid="{00000000-0005-0000-0000-00006F370000}"/>
    <cellStyle name="Comma 2 2 6 3 3 4 6 2" xfId="33909" xr:uid="{00000000-0005-0000-0000-000070370000}"/>
    <cellStyle name="Comma 2 2 6 3 3 4 7" xfId="13078" xr:uid="{00000000-0005-0000-0000-000071370000}"/>
    <cellStyle name="Comma 2 2 6 3 3 4 7 2" xfId="36357" xr:uid="{00000000-0005-0000-0000-000072370000}"/>
    <cellStyle name="Comma 2 2 6 3 3 4 8" xfId="15549" xr:uid="{00000000-0005-0000-0000-000073370000}"/>
    <cellStyle name="Comma 2 2 6 3 3 4 8 2" xfId="38827" xr:uid="{00000000-0005-0000-0000-000074370000}"/>
    <cellStyle name="Comma 2 2 6 3 3 4 9" xfId="24117" xr:uid="{00000000-0005-0000-0000-000075370000}"/>
    <cellStyle name="Comma 2 2 6 3 3 5" xfId="1450" xr:uid="{00000000-0005-0000-0000-000076370000}"/>
    <cellStyle name="Comma 2 2 6 3 3 5 10" xfId="22281" xr:uid="{00000000-0005-0000-0000-000077370000}"/>
    <cellStyle name="Comma 2 2 6 3 3 5 2" xfId="3898" xr:uid="{00000000-0005-0000-0000-000078370000}"/>
    <cellStyle name="Comma 2 2 6 3 3 5 2 2" xfId="19833" xr:uid="{00000000-0005-0000-0000-000079370000}"/>
    <cellStyle name="Comma 2 2 6 3 3 5 2 2 2" xfId="43111" xr:uid="{00000000-0005-0000-0000-00007A370000}"/>
    <cellStyle name="Comma 2 2 6 3 3 5 2 3" xfId="48007" xr:uid="{00000000-0005-0000-0000-00007B370000}"/>
    <cellStyle name="Comma 2 2 6 3 3 5 2 4" xfId="27177" xr:uid="{00000000-0005-0000-0000-00007C370000}"/>
    <cellStyle name="Comma 2 2 6 3 3 5 3" xfId="6346" xr:uid="{00000000-0005-0000-0000-00007D370000}"/>
    <cellStyle name="Comma 2 2 6 3 3 5 3 2" xfId="29625" xr:uid="{00000000-0005-0000-0000-00007E370000}"/>
    <cellStyle name="Comma 2 2 6 3 3 5 4" xfId="8794" xr:uid="{00000000-0005-0000-0000-00007F370000}"/>
    <cellStyle name="Comma 2 2 6 3 3 5 4 2" xfId="32073" xr:uid="{00000000-0005-0000-0000-000080370000}"/>
    <cellStyle name="Comma 2 2 6 3 3 5 5" xfId="11242" xr:uid="{00000000-0005-0000-0000-000081370000}"/>
    <cellStyle name="Comma 2 2 6 3 3 5 5 2" xfId="34521" xr:uid="{00000000-0005-0000-0000-000082370000}"/>
    <cellStyle name="Comma 2 2 6 3 3 5 6" xfId="13690" xr:uid="{00000000-0005-0000-0000-000083370000}"/>
    <cellStyle name="Comma 2 2 6 3 3 5 6 2" xfId="36969" xr:uid="{00000000-0005-0000-0000-000084370000}"/>
    <cellStyle name="Comma 2 2 6 3 3 5 7" xfId="17385" xr:uid="{00000000-0005-0000-0000-000085370000}"/>
    <cellStyle name="Comma 2 2 6 3 3 5 7 2" xfId="40663" xr:uid="{00000000-0005-0000-0000-000086370000}"/>
    <cellStyle name="Comma 2 2 6 3 3 5 8" xfId="24729" xr:uid="{00000000-0005-0000-0000-000087370000}"/>
    <cellStyle name="Comma 2 2 6 3 3 5 9" xfId="45559" xr:uid="{00000000-0005-0000-0000-000088370000}"/>
    <cellStyle name="Comma 2 2 6 3 3 6" xfId="2674" xr:uid="{00000000-0005-0000-0000-000089370000}"/>
    <cellStyle name="Comma 2 2 6 3 3 6 2" xfId="16161" xr:uid="{00000000-0005-0000-0000-00008A370000}"/>
    <cellStyle name="Comma 2 2 6 3 3 6 2 2" xfId="39439" xr:uid="{00000000-0005-0000-0000-00008B370000}"/>
    <cellStyle name="Comma 2 2 6 3 3 6 3" xfId="46783" xr:uid="{00000000-0005-0000-0000-00008C370000}"/>
    <cellStyle name="Comma 2 2 6 3 3 6 4" xfId="25953" xr:uid="{00000000-0005-0000-0000-00008D370000}"/>
    <cellStyle name="Comma 2 2 6 3 3 7" xfId="5122" xr:uid="{00000000-0005-0000-0000-00008E370000}"/>
    <cellStyle name="Comma 2 2 6 3 3 7 2" xfId="18609" xr:uid="{00000000-0005-0000-0000-00008F370000}"/>
    <cellStyle name="Comma 2 2 6 3 3 7 2 2" xfId="41887" xr:uid="{00000000-0005-0000-0000-000090370000}"/>
    <cellStyle name="Comma 2 2 6 3 3 7 3" xfId="28401" xr:uid="{00000000-0005-0000-0000-000091370000}"/>
    <cellStyle name="Comma 2 2 6 3 3 8" xfId="7570" xr:uid="{00000000-0005-0000-0000-000092370000}"/>
    <cellStyle name="Comma 2 2 6 3 3 8 2" xfId="30849" xr:uid="{00000000-0005-0000-0000-000093370000}"/>
    <cellStyle name="Comma 2 2 6 3 3 9" xfId="10018" xr:uid="{00000000-0005-0000-0000-000094370000}"/>
    <cellStyle name="Comma 2 2 6 3 3 9 2" xfId="33297" xr:uid="{00000000-0005-0000-0000-000095370000}"/>
    <cellStyle name="Comma 2 2 6 3 4" xfId="294" xr:uid="{00000000-0005-0000-0000-000096370000}"/>
    <cellStyle name="Comma 2 2 6 3 4 10" xfId="23573" xr:uid="{00000000-0005-0000-0000-000097370000}"/>
    <cellStyle name="Comma 2 2 6 3 4 11" xfId="44403" xr:uid="{00000000-0005-0000-0000-000098370000}"/>
    <cellStyle name="Comma 2 2 6 3 4 12" xfId="21125" xr:uid="{00000000-0005-0000-0000-000099370000}"/>
    <cellStyle name="Comma 2 2 6 3 4 2" xfId="906" xr:uid="{00000000-0005-0000-0000-00009A370000}"/>
    <cellStyle name="Comma 2 2 6 3 4 2 10" xfId="45015" xr:uid="{00000000-0005-0000-0000-00009B370000}"/>
    <cellStyle name="Comma 2 2 6 3 4 2 11" xfId="21737" xr:uid="{00000000-0005-0000-0000-00009C370000}"/>
    <cellStyle name="Comma 2 2 6 3 4 2 2" xfId="2130" xr:uid="{00000000-0005-0000-0000-00009D370000}"/>
    <cellStyle name="Comma 2 2 6 3 4 2 2 10" xfId="22961" xr:uid="{00000000-0005-0000-0000-00009E370000}"/>
    <cellStyle name="Comma 2 2 6 3 4 2 2 2" xfId="4578" xr:uid="{00000000-0005-0000-0000-00009F370000}"/>
    <cellStyle name="Comma 2 2 6 3 4 2 2 2 2" xfId="20513" xr:uid="{00000000-0005-0000-0000-0000A0370000}"/>
    <cellStyle name="Comma 2 2 6 3 4 2 2 2 2 2" xfId="43791" xr:uid="{00000000-0005-0000-0000-0000A1370000}"/>
    <cellStyle name="Comma 2 2 6 3 4 2 2 2 3" xfId="48687" xr:uid="{00000000-0005-0000-0000-0000A2370000}"/>
    <cellStyle name="Comma 2 2 6 3 4 2 2 2 4" xfId="27857" xr:uid="{00000000-0005-0000-0000-0000A3370000}"/>
    <cellStyle name="Comma 2 2 6 3 4 2 2 3" xfId="7026" xr:uid="{00000000-0005-0000-0000-0000A4370000}"/>
    <cellStyle name="Comma 2 2 6 3 4 2 2 3 2" xfId="30305" xr:uid="{00000000-0005-0000-0000-0000A5370000}"/>
    <cellStyle name="Comma 2 2 6 3 4 2 2 4" xfId="9474" xr:uid="{00000000-0005-0000-0000-0000A6370000}"/>
    <cellStyle name="Comma 2 2 6 3 4 2 2 4 2" xfId="32753" xr:uid="{00000000-0005-0000-0000-0000A7370000}"/>
    <cellStyle name="Comma 2 2 6 3 4 2 2 5" xfId="11922" xr:uid="{00000000-0005-0000-0000-0000A8370000}"/>
    <cellStyle name="Comma 2 2 6 3 4 2 2 5 2" xfId="35201" xr:uid="{00000000-0005-0000-0000-0000A9370000}"/>
    <cellStyle name="Comma 2 2 6 3 4 2 2 6" xfId="14370" xr:uid="{00000000-0005-0000-0000-0000AA370000}"/>
    <cellStyle name="Comma 2 2 6 3 4 2 2 6 2" xfId="37649" xr:uid="{00000000-0005-0000-0000-0000AB370000}"/>
    <cellStyle name="Comma 2 2 6 3 4 2 2 7" xfId="18065" xr:uid="{00000000-0005-0000-0000-0000AC370000}"/>
    <cellStyle name="Comma 2 2 6 3 4 2 2 7 2" xfId="41343" xr:uid="{00000000-0005-0000-0000-0000AD370000}"/>
    <cellStyle name="Comma 2 2 6 3 4 2 2 8" xfId="25409" xr:uid="{00000000-0005-0000-0000-0000AE370000}"/>
    <cellStyle name="Comma 2 2 6 3 4 2 2 9" xfId="46239" xr:uid="{00000000-0005-0000-0000-0000AF370000}"/>
    <cellStyle name="Comma 2 2 6 3 4 2 3" xfId="3354" xr:uid="{00000000-0005-0000-0000-0000B0370000}"/>
    <cellStyle name="Comma 2 2 6 3 4 2 3 2" xfId="16841" xr:uid="{00000000-0005-0000-0000-0000B1370000}"/>
    <cellStyle name="Comma 2 2 6 3 4 2 3 2 2" xfId="40119" xr:uid="{00000000-0005-0000-0000-0000B2370000}"/>
    <cellStyle name="Comma 2 2 6 3 4 2 3 3" xfId="47463" xr:uid="{00000000-0005-0000-0000-0000B3370000}"/>
    <cellStyle name="Comma 2 2 6 3 4 2 3 4" xfId="26633" xr:uid="{00000000-0005-0000-0000-0000B4370000}"/>
    <cellStyle name="Comma 2 2 6 3 4 2 4" xfId="5802" xr:uid="{00000000-0005-0000-0000-0000B5370000}"/>
    <cellStyle name="Comma 2 2 6 3 4 2 4 2" xfId="19289" xr:uid="{00000000-0005-0000-0000-0000B6370000}"/>
    <cellStyle name="Comma 2 2 6 3 4 2 4 2 2" xfId="42567" xr:uid="{00000000-0005-0000-0000-0000B7370000}"/>
    <cellStyle name="Comma 2 2 6 3 4 2 4 3" xfId="29081" xr:uid="{00000000-0005-0000-0000-0000B8370000}"/>
    <cellStyle name="Comma 2 2 6 3 4 2 5" xfId="8250" xr:uid="{00000000-0005-0000-0000-0000B9370000}"/>
    <cellStyle name="Comma 2 2 6 3 4 2 5 2" xfId="31529" xr:uid="{00000000-0005-0000-0000-0000BA370000}"/>
    <cellStyle name="Comma 2 2 6 3 4 2 6" xfId="10698" xr:uid="{00000000-0005-0000-0000-0000BB370000}"/>
    <cellStyle name="Comma 2 2 6 3 4 2 6 2" xfId="33977" xr:uid="{00000000-0005-0000-0000-0000BC370000}"/>
    <cellStyle name="Comma 2 2 6 3 4 2 7" xfId="13146" xr:uid="{00000000-0005-0000-0000-0000BD370000}"/>
    <cellStyle name="Comma 2 2 6 3 4 2 7 2" xfId="36425" xr:uid="{00000000-0005-0000-0000-0000BE370000}"/>
    <cellStyle name="Comma 2 2 6 3 4 2 8" xfId="15617" xr:uid="{00000000-0005-0000-0000-0000BF370000}"/>
    <cellStyle name="Comma 2 2 6 3 4 2 8 2" xfId="38895" xr:uid="{00000000-0005-0000-0000-0000C0370000}"/>
    <cellStyle name="Comma 2 2 6 3 4 2 9" xfId="24185" xr:uid="{00000000-0005-0000-0000-0000C1370000}"/>
    <cellStyle name="Comma 2 2 6 3 4 3" xfId="1518" xr:uid="{00000000-0005-0000-0000-0000C2370000}"/>
    <cellStyle name="Comma 2 2 6 3 4 3 10" xfId="22349" xr:uid="{00000000-0005-0000-0000-0000C3370000}"/>
    <cellStyle name="Comma 2 2 6 3 4 3 2" xfId="3966" xr:uid="{00000000-0005-0000-0000-0000C4370000}"/>
    <cellStyle name="Comma 2 2 6 3 4 3 2 2" xfId="19901" xr:uid="{00000000-0005-0000-0000-0000C5370000}"/>
    <cellStyle name="Comma 2 2 6 3 4 3 2 2 2" xfId="43179" xr:uid="{00000000-0005-0000-0000-0000C6370000}"/>
    <cellStyle name="Comma 2 2 6 3 4 3 2 3" xfId="48075" xr:uid="{00000000-0005-0000-0000-0000C7370000}"/>
    <cellStyle name="Comma 2 2 6 3 4 3 2 4" xfId="27245" xr:uid="{00000000-0005-0000-0000-0000C8370000}"/>
    <cellStyle name="Comma 2 2 6 3 4 3 3" xfId="6414" xr:uid="{00000000-0005-0000-0000-0000C9370000}"/>
    <cellStyle name="Comma 2 2 6 3 4 3 3 2" xfId="29693" xr:uid="{00000000-0005-0000-0000-0000CA370000}"/>
    <cellStyle name="Comma 2 2 6 3 4 3 4" xfId="8862" xr:uid="{00000000-0005-0000-0000-0000CB370000}"/>
    <cellStyle name="Comma 2 2 6 3 4 3 4 2" xfId="32141" xr:uid="{00000000-0005-0000-0000-0000CC370000}"/>
    <cellStyle name="Comma 2 2 6 3 4 3 5" xfId="11310" xr:uid="{00000000-0005-0000-0000-0000CD370000}"/>
    <cellStyle name="Comma 2 2 6 3 4 3 5 2" xfId="34589" xr:uid="{00000000-0005-0000-0000-0000CE370000}"/>
    <cellStyle name="Comma 2 2 6 3 4 3 6" xfId="13758" xr:uid="{00000000-0005-0000-0000-0000CF370000}"/>
    <cellStyle name="Comma 2 2 6 3 4 3 6 2" xfId="37037" xr:uid="{00000000-0005-0000-0000-0000D0370000}"/>
    <cellStyle name="Comma 2 2 6 3 4 3 7" xfId="17453" xr:uid="{00000000-0005-0000-0000-0000D1370000}"/>
    <cellStyle name="Comma 2 2 6 3 4 3 7 2" xfId="40731" xr:uid="{00000000-0005-0000-0000-0000D2370000}"/>
    <cellStyle name="Comma 2 2 6 3 4 3 8" xfId="24797" xr:uid="{00000000-0005-0000-0000-0000D3370000}"/>
    <cellStyle name="Comma 2 2 6 3 4 3 9" xfId="45627" xr:uid="{00000000-0005-0000-0000-0000D4370000}"/>
    <cellStyle name="Comma 2 2 6 3 4 4" xfId="2742" xr:uid="{00000000-0005-0000-0000-0000D5370000}"/>
    <cellStyle name="Comma 2 2 6 3 4 4 2" xfId="16229" xr:uid="{00000000-0005-0000-0000-0000D6370000}"/>
    <cellStyle name="Comma 2 2 6 3 4 4 2 2" xfId="39507" xr:uid="{00000000-0005-0000-0000-0000D7370000}"/>
    <cellStyle name="Comma 2 2 6 3 4 4 3" xfId="46851" xr:uid="{00000000-0005-0000-0000-0000D8370000}"/>
    <cellStyle name="Comma 2 2 6 3 4 4 4" xfId="26021" xr:uid="{00000000-0005-0000-0000-0000D9370000}"/>
    <cellStyle name="Comma 2 2 6 3 4 5" xfId="5190" xr:uid="{00000000-0005-0000-0000-0000DA370000}"/>
    <cellStyle name="Comma 2 2 6 3 4 5 2" xfId="18677" xr:uid="{00000000-0005-0000-0000-0000DB370000}"/>
    <cellStyle name="Comma 2 2 6 3 4 5 2 2" xfId="41955" xr:uid="{00000000-0005-0000-0000-0000DC370000}"/>
    <cellStyle name="Comma 2 2 6 3 4 5 3" xfId="28469" xr:uid="{00000000-0005-0000-0000-0000DD370000}"/>
    <cellStyle name="Comma 2 2 6 3 4 6" xfId="7638" xr:uid="{00000000-0005-0000-0000-0000DE370000}"/>
    <cellStyle name="Comma 2 2 6 3 4 6 2" xfId="30917" xr:uid="{00000000-0005-0000-0000-0000DF370000}"/>
    <cellStyle name="Comma 2 2 6 3 4 7" xfId="10086" xr:uid="{00000000-0005-0000-0000-0000E0370000}"/>
    <cellStyle name="Comma 2 2 6 3 4 7 2" xfId="33365" xr:uid="{00000000-0005-0000-0000-0000E1370000}"/>
    <cellStyle name="Comma 2 2 6 3 4 8" xfId="12534" xr:uid="{00000000-0005-0000-0000-0000E2370000}"/>
    <cellStyle name="Comma 2 2 6 3 4 8 2" xfId="35813" xr:uid="{00000000-0005-0000-0000-0000E3370000}"/>
    <cellStyle name="Comma 2 2 6 3 4 9" xfId="15005" xr:uid="{00000000-0005-0000-0000-0000E4370000}"/>
    <cellStyle name="Comma 2 2 6 3 4 9 2" xfId="38283" xr:uid="{00000000-0005-0000-0000-0000E5370000}"/>
    <cellStyle name="Comma 2 2 6 3 5" xfId="498" xr:uid="{00000000-0005-0000-0000-0000E6370000}"/>
    <cellStyle name="Comma 2 2 6 3 5 10" xfId="23777" xr:uid="{00000000-0005-0000-0000-0000E7370000}"/>
    <cellStyle name="Comma 2 2 6 3 5 11" xfId="44607" xr:uid="{00000000-0005-0000-0000-0000E8370000}"/>
    <cellStyle name="Comma 2 2 6 3 5 12" xfId="21329" xr:uid="{00000000-0005-0000-0000-0000E9370000}"/>
    <cellStyle name="Comma 2 2 6 3 5 2" xfId="1110" xr:uid="{00000000-0005-0000-0000-0000EA370000}"/>
    <cellStyle name="Comma 2 2 6 3 5 2 10" xfId="45219" xr:uid="{00000000-0005-0000-0000-0000EB370000}"/>
    <cellStyle name="Comma 2 2 6 3 5 2 11" xfId="21941" xr:uid="{00000000-0005-0000-0000-0000EC370000}"/>
    <cellStyle name="Comma 2 2 6 3 5 2 2" xfId="2334" xr:uid="{00000000-0005-0000-0000-0000ED370000}"/>
    <cellStyle name="Comma 2 2 6 3 5 2 2 10" xfId="23165" xr:uid="{00000000-0005-0000-0000-0000EE370000}"/>
    <cellStyle name="Comma 2 2 6 3 5 2 2 2" xfId="4782" xr:uid="{00000000-0005-0000-0000-0000EF370000}"/>
    <cellStyle name="Comma 2 2 6 3 5 2 2 2 2" xfId="20717" xr:uid="{00000000-0005-0000-0000-0000F0370000}"/>
    <cellStyle name="Comma 2 2 6 3 5 2 2 2 2 2" xfId="43995" xr:uid="{00000000-0005-0000-0000-0000F1370000}"/>
    <cellStyle name="Comma 2 2 6 3 5 2 2 2 3" xfId="48891" xr:uid="{00000000-0005-0000-0000-0000F2370000}"/>
    <cellStyle name="Comma 2 2 6 3 5 2 2 2 4" xfId="28061" xr:uid="{00000000-0005-0000-0000-0000F3370000}"/>
    <cellStyle name="Comma 2 2 6 3 5 2 2 3" xfId="7230" xr:uid="{00000000-0005-0000-0000-0000F4370000}"/>
    <cellStyle name="Comma 2 2 6 3 5 2 2 3 2" xfId="30509" xr:uid="{00000000-0005-0000-0000-0000F5370000}"/>
    <cellStyle name="Comma 2 2 6 3 5 2 2 4" xfId="9678" xr:uid="{00000000-0005-0000-0000-0000F6370000}"/>
    <cellStyle name="Comma 2 2 6 3 5 2 2 4 2" xfId="32957" xr:uid="{00000000-0005-0000-0000-0000F7370000}"/>
    <cellStyle name="Comma 2 2 6 3 5 2 2 5" xfId="12126" xr:uid="{00000000-0005-0000-0000-0000F8370000}"/>
    <cellStyle name="Comma 2 2 6 3 5 2 2 5 2" xfId="35405" xr:uid="{00000000-0005-0000-0000-0000F9370000}"/>
    <cellStyle name="Comma 2 2 6 3 5 2 2 6" xfId="14574" xr:uid="{00000000-0005-0000-0000-0000FA370000}"/>
    <cellStyle name="Comma 2 2 6 3 5 2 2 6 2" xfId="37853" xr:uid="{00000000-0005-0000-0000-0000FB370000}"/>
    <cellStyle name="Comma 2 2 6 3 5 2 2 7" xfId="18269" xr:uid="{00000000-0005-0000-0000-0000FC370000}"/>
    <cellStyle name="Comma 2 2 6 3 5 2 2 7 2" xfId="41547" xr:uid="{00000000-0005-0000-0000-0000FD370000}"/>
    <cellStyle name="Comma 2 2 6 3 5 2 2 8" xfId="25613" xr:uid="{00000000-0005-0000-0000-0000FE370000}"/>
    <cellStyle name="Comma 2 2 6 3 5 2 2 9" xfId="46443" xr:uid="{00000000-0005-0000-0000-0000FF370000}"/>
    <cellStyle name="Comma 2 2 6 3 5 2 3" xfId="3558" xr:uid="{00000000-0005-0000-0000-000000380000}"/>
    <cellStyle name="Comma 2 2 6 3 5 2 3 2" xfId="17045" xr:uid="{00000000-0005-0000-0000-000001380000}"/>
    <cellStyle name="Comma 2 2 6 3 5 2 3 2 2" xfId="40323" xr:uid="{00000000-0005-0000-0000-000002380000}"/>
    <cellStyle name="Comma 2 2 6 3 5 2 3 3" xfId="47667" xr:uid="{00000000-0005-0000-0000-000003380000}"/>
    <cellStyle name="Comma 2 2 6 3 5 2 3 4" xfId="26837" xr:uid="{00000000-0005-0000-0000-000004380000}"/>
    <cellStyle name="Comma 2 2 6 3 5 2 4" xfId="6006" xr:uid="{00000000-0005-0000-0000-000005380000}"/>
    <cellStyle name="Comma 2 2 6 3 5 2 4 2" xfId="19493" xr:uid="{00000000-0005-0000-0000-000006380000}"/>
    <cellStyle name="Comma 2 2 6 3 5 2 4 2 2" xfId="42771" xr:uid="{00000000-0005-0000-0000-000007380000}"/>
    <cellStyle name="Comma 2 2 6 3 5 2 4 3" xfId="29285" xr:uid="{00000000-0005-0000-0000-000008380000}"/>
    <cellStyle name="Comma 2 2 6 3 5 2 5" xfId="8454" xr:uid="{00000000-0005-0000-0000-000009380000}"/>
    <cellStyle name="Comma 2 2 6 3 5 2 5 2" xfId="31733" xr:uid="{00000000-0005-0000-0000-00000A380000}"/>
    <cellStyle name="Comma 2 2 6 3 5 2 6" xfId="10902" xr:uid="{00000000-0005-0000-0000-00000B380000}"/>
    <cellStyle name="Comma 2 2 6 3 5 2 6 2" xfId="34181" xr:uid="{00000000-0005-0000-0000-00000C380000}"/>
    <cellStyle name="Comma 2 2 6 3 5 2 7" xfId="13350" xr:uid="{00000000-0005-0000-0000-00000D380000}"/>
    <cellStyle name="Comma 2 2 6 3 5 2 7 2" xfId="36629" xr:uid="{00000000-0005-0000-0000-00000E380000}"/>
    <cellStyle name="Comma 2 2 6 3 5 2 8" xfId="15821" xr:uid="{00000000-0005-0000-0000-00000F380000}"/>
    <cellStyle name="Comma 2 2 6 3 5 2 8 2" xfId="39099" xr:uid="{00000000-0005-0000-0000-000010380000}"/>
    <cellStyle name="Comma 2 2 6 3 5 2 9" xfId="24389" xr:uid="{00000000-0005-0000-0000-000011380000}"/>
    <cellStyle name="Comma 2 2 6 3 5 3" xfId="1722" xr:uid="{00000000-0005-0000-0000-000012380000}"/>
    <cellStyle name="Comma 2 2 6 3 5 3 10" xfId="22553" xr:uid="{00000000-0005-0000-0000-000013380000}"/>
    <cellStyle name="Comma 2 2 6 3 5 3 2" xfId="4170" xr:uid="{00000000-0005-0000-0000-000014380000}"/>
    <cellStyle name="Comma 2 2 6 3 5 3 2 2" xfId="20105" xr:uid="{00000000-0005-0000-0000-000015380000}"/>
    <cellStyle name="Comma 2 2 6 3 5 3 2 2 2" xfId="43383" xr:uid="{00000000-0005-0000-0000-000016380000}"/>
    <cellStyle name="Comma 2 2 6 3 5 3 2 3" xfId="48279" xr:uid="{00000000-0005-0000-0000-000017380000}"/>
    <cellStyle name="Comma 2 2 6 3 5 3 2 4" xfId="27449" xr:uid="{00000000-0005-0000-0000-000018380000}"/>
    <cellStyle name="Comma 2 2 6 3 5 3 3" xfId="6618" xr:uid="{00000000-0005-0000-0000-000019380000}"/>
    <cellStyle name="Comma 2 2 6 3 5 3 3 2" xfId="29897" xr:uid="{00000000-0005-0000-0000-00001A380000}"/>
    <cellStyle name="Comma 2 2 6 3 5 3 4" xfId="9066" xr:uid="{00000000-0005-0000-0000-00001B380000}"/>
    <cellStyle name="Comma 2 2 6 3 5 3 4 2" xfId="32345" xr:uid="{00000000-0005-0000-0000-00001C380000}"/>
    <cellStyle name="Comma 2 2 6 3 5 3 5" xfId="11514" xr:uid="{00000000-0005-0000-0000-00001D380000}"/>
    <cellStyle name="Comma 2 2 6 3 5 3 5 2" xfId="34793" xr:uid="{00000000-0005-0000-0000-00001E380000}"/>
    <cellStyle name="Comma 2 2 6 3 5 3 6" xfId="13962" xr:uid="{00000000-0005-0000-0000-00001F380000}"/>
    <cellStyle name="Comma 2 2 6 3 5 3 6 2" xfId="37241" xr:uid="{00000000-0005-0000-0000-000020380000}"/>
    <cellStyle name="Comma 2 2 6 3 5 3 7" xfId="17657" xr:uid="{00000000-0005-0000-0000-000021380000}"/>
    <cellStyle name="Comma 2 2 6 3 5 3 7 2" xfId="40935" xr:uid="{00000000-0005-0000-0000-000022380000}"/>
    <cellStyle name="Comma 2 2 6 3 5 3 8" xfId="25001" xr:uid="{00000000-0005-0000-0000-000023380000}"/>
    <cellStyle name="Comma 2 2 6 3 5 3 9" xfId="45831" xr:uid="{00000000-0005-0000-0000-000024380000}"/>
    <cellStyle name="Comma 2 2 6 3 5 4" xfId="2946" xr:uid="{00000000-0005-0000-0000-000025380000}"/>
    <cellStyle name="Comma 2 2 6 3 5 4 2" xfId="16433" xr:uid="{00000000-0005-0000-0000-000026380000}"/>
    <cellStyle name="Comma 2 2 6 3 5 4 2 2" xfId="39711" xr:uid="{00000000-0005-0000-0000-000027380000}"/>
    <cellStyle name="Comma 2 2 6 3 5 4 3" xfId="47055" xr:uid="{00000000-0005-0000-0000-000028380000}"/>
    <cellStyle name="Comma 2 2 6 3 5 4 4" xfId="26225" xr:uid="{00000000-0005-0000-0000-000029380000}"/>
    <cellStyle name="Comma 2 2 6 3 5 5" xfId="5394" xr:uid="{00000000-0005-0000-0000-00002A380000}"/>
    <cellStyle name="Comma 2 2 6 3 5 5 2" xfId="18881" xr:uid="{00000000-0005-0000-0000-00002B380000}"/>
    <cellStyle name="Comma 2 2 6 3 5 5 2 2" xfId="42159" xr:uid="{00000000-0005-0000-0000-00002C380000}"/>
    <cellStyle name="Comma 2 2 6 3 5 5 3" xfId="28673" xr:uid="{00000000-0005-0000-0000-00002D380000}"/>
    <cellStyle name="Comma 2 2 6 3 5 6" xfId="7842" xr:uid="{00000000-0005-0000-0000-00002E380000}"/>
    <cellStyle name="Comma 2 2 6 3 5 6 2" xfId="31121" xr:uid="{00000000-0005-0000-0000-00002F380000}"/>
    <cellStyle name="Comma 2 2 6 3 5 7" xfId="10290" xr:uid="{00000000-0005-0000-0000-000030380000}"/>
    <cellStyle name="Comma 2 2 6 3 5 7 2" xfId="33569" xr:uid="{00000000-0005-0000-0000-000031380000}"/>
    <cellStyle name="Comma 2 2 6 3 5 8" xfId="12738" xr:uid="{00000000-0005-0000-0000-000032380000}"/>
    <cellStyle name="Comma 2 2 6 3 5 8 2" xfId="36017" xr:uid="{00000000-0005-0000-0000-000033380000}"/>
    <cellStyle name="Comma 2 2 6 3 5 9" xfId="15209" xr:uid="{00000000-0005-0000-0000-000034380000}"/>
    <cellStyle name="Comma 2 2 6 3 5 9 2" xfId="38487" xr:uid="{00000000-0005-0000-0000-000035380000}"/>
    <cellStyle name="Comma 2 2 6 3 6" xfId="702" xr:uid="{00000000-0005-0000-0000-000036380000}"/>
    <cellStyle name="Comma 2 2 6 3 6 10" xfId="44811" xr:uid="{00000000-0005-0000-0000-000037380000}"/>
    <cellStyle name="Comma 2 2 6 3 6 11" xfId="21533" xr:uid="{00000000-0005-0000-0000-000038380000}"/>
    <cellStyle name="Comma 2 2 6 3 6 2" xfId="1926" xr:uid="{00000000-0005-0000-0000-000039380000}"/>
    <cellStyle name="Comma 2 2 6 3 6 2 10" xfId="22757" xr:uid="{00000000-0005-0000-0000-00003A380000}"/>
    <cellStyle name="Comma 2 2 6 3 6 2 2" xfId="4374" xr:uid="{00000000-0005-0000-0000-00003B380000}"/>
    <cellStyle name="Comma 2 2 6 3 6 2 2 2" xfId="20309" xr:uid="{00000000-0005-0000-0000-00003C380000}"/>
    <cellStyle name="Comma 2 2 6 3 6 2 2 2 2" xfId="43587" xr:uid="{00000000-0005-0000-0000-00003D380000}"/>
    <cellStyle name="Comma 2 2 6 3 6 2 2 3" xfId="48483" xr:uid="{00000000-0005-0000-0000-00003E380000}"/>
    <cellStyle name="Comma 2 2 6 3 6 2 2 4" xfId="27653" xr:uid="{00000000-0005-0000-0000-00003F380000}"/>
    <cellStyle name="Comma 2 2 6 3 6 2 3" xfId="6822" xr:uid="{00000000-0005-0000-0000-000040380000}"/>
    <cellStyle name="Comma 2 2 6 3 6 2 3 2" xfId="30101" xr:uid="{00000000-0005-0000-0000-000041380000}"/>
    <cellStyle name="Comma 2 2 6 3 6 2 4" xfId="9270" xr:uid="{00000000-0005-0000-0000-000042380000}"/>
    <cellStyle name="Comma 2 2 6 3 6 2 4 2" xfId="32549" xr:uid="{00000000-0005-0000-0000-000043380000}"/>
    <cellStyle name="Comma 2 2 6 3 6 2 5" xfId="11718" xr:uid="{00000000-0005-0000-0000-000044380000}"/>
    <cellStyle name="Comma 2 2 6 3 6 2 5 2" xfId="34997" xr:uid="{00000000-0005-0000-0000-000045380000}"/>
    <cellStyle name="Comma 2 2 6 3 6 2 6" xfId="14166" xr:uid="{00000000-0005-0000-0000-000046380000}"/>
    <cellStyle name="Comma 2 2 6 3 6 2 6 2" xfId="37445" xr:uid="{00000000-0005-0000-0000-000047380000}"/>
    <cellStyle name="Comma 2 2 6 3 6 2 7" xfId="17861" xr:uid="{00000000-0005-0000-0000-000048380000}"/>
    <cellStyle name="Comma 2 2 6 3 6 2 7 2" xfId="41139" xr:uid="{00000000-0005-0000-0000-000049380000}"/>
    <cellStyle name="Comma 2 2 6 3 6 2 8" xfId="25205" xr:uid="{00000000-0005-0000-0000-00004A380000}"/>
    <cellStyle name="Comma 2 2 6 3 6 2 9" xfId="46035" xr:uid="{00000000-0005-0000-0000-00004B380000}"/>
    <cellStyle name="Comma 2 2 6 3 6 3" xfId="3150" xr:uid="{00000000-0005-0000-0000-00004C380000}"/>
    <cellStyle name="Comma 2 2 6 3 6 3 2" xfId="16637" xr:uid="{00000000-0005-0000-0000-00004D380000}"/>
    <cellStyle name="Comma 2 2 6 3 6 3 2 2" xfId="39915" xr:uid="{00000000-0005-0000-0000-00004E380000}"/>
    <cellStyle name="Comma 2 2 6 3 6 3 3" xfId="47259" xr:uid="{00000000-0005-0000-0000-00004F380000}"/>
    <cellStyle name="Comma 2 2 6 3 6 3 4" xfId="26429" xr:uid="{00000000-0005-0000-0000-000050380000}"/>
    <cellStyle name="Comma 2 2 6 3 6 4" xfId="5598" xr:uid="{00000000-0005-0000-0000-000051380000}"/>
    <cellStyle name="Comma 2 2 6 3 6 4 2" xfId="19085" xr:uid="{00000000-0005-0000-0000-000052380000}"/>
    <cellStyle name="Comma 2 2 6 3 6 4 2 2" xfId="42363" xr:uid="{00000000-0005-0000-0000-000053380000}"/>
    <cellStyle name="Comma 2 2 6 3 6 4 3" xfId="28877" xr:uid="{00000000-0005-0000-0000-000054380000}"/>
    <cellStyle name="Comma 2 2 6 3 6 5" xfId="8046" xr:uid="{00000000-0005-0000-0000-000055380000}"/>
    <cellStyle name="Comma 2 2 6 3 6 5 2" xfId="31325" xr:uid="{00000000-0005-0000-0000-000056380000}"/>
    <cellStyle name="Comma 2 2 6 3 6 6" xfId="10494" xr:uid="{00000000-0005-0000-0000-000057380000}"/>
    <cellStyle name="Comma 2 2 6 3 6 6 2" xfId="33773" xr:uid="{00000000-0005-0000-0000-000058380000}"/>
    <cellStyle name="Comma 2 2 6 3 6 7" xfId="12942" xr:uid="{00000000-0005-0000-0000-000059380000}"/>
    <cellStyle name="Comma 2 2 6 3 6 7 2" xfId="36221" xr:uid="{00000000-0005-0000-0000-00005A380000}"/>
    <cellStyle name="Comma 2 2 6 3 6 8" xfId="15413" xr:uid="{00000000-0005-0000-0000-00005B380000}"/>
    <cellStyle name="Comma 2 2 6 3 6 8 2" xfId="38691" xr:uid="{00000000-0005-0000-0000-00005C380000}"/>
    <cellStyle name="Comma 2 2 6 3 6 9" xfId="23981" xr:uid="{00000000-0005-0000-0000-00005D380000}"/>
    <cellStyle name="Comma 2 2 6 3 7" xfId="1314" xr:uid="{00000000-0005-0000-0000-00005E380000}"/>
    <cellStyle name="Comma 2 2 6 3 7 10" xfId="22145" xr:uid="{00000000-0005-0000-0000-00005F380000}"/>
    <cellStyle name="Comma 2 2 6 3 7 2" xfId="3762" xr:uid="{00000000-0005-0000-0000-000060380000}"/>
    <cellStyle name="Comma 2 2 6 3 7 2 2" xfId="19697" xr:uid="{00000000-0005-0000-0000-000061380000}"/>
    <cellStyle name="Comma 2 2 6 3 7 2 2 2" xfId="42975" xr:uid="{00000000-0005-0000-0000-000062380000}"/>
    <cellStyle name="Comma 2 2 6 3 7 2 3" xfId="47871" xr:uid="{00000000-0005-0000-0000-000063380000}"/>
    <cellStyle name="Comma 2 2 6 3 7 2 4" xfId="27041" xr:uid="{00000000-0005-0000-0000-000064380000}"/>
    <cellStyle name="Comma 2 2 6 3 7 3" xfId="6210" xr:uid="{00000000-0005-0000-0000-000065380000}"/>
    <cellStyle name="Comma 2 2 6 3 7 3 2" xfId="29489" xr:uid="{00000000-0005-0000-0000-000066380000}"/>
    <cellStyle name="Comma 2 2 6 3 7 4" xfId="8658" xr:uid="{00000000-0005-0000-0000-000067380000}"/>
    <cellStyle name="Comma 2 2 6 3 7 4 2" xfId="31937" xr:uid="{00000000-0005-0000-0000-000068380000}"/>
    <cellStyle name="Comma 2 2 6 3 7 5" xfId="11106" xr:uid="{00000000-0005-0000-0000-000069380000}"/>
    <cellStyle name="Comma 2 2 6 3 7 5 2" xfId="34385" xr:uid="{00000000-0005-0000-0000-00006A380000}"/>
    <cellStyle name="Comma 2 2 6 3 7 6" xfId="13554" xr:uid="{00000000-0005-0000-0000-00006B380000}"/>
    <cellStyle name="Comma 2 2 6 3 7 6 2" xfId="36833" xr:uid="{00000000-0005-0000-0000-00006C380000}"/>
    <cellStyle name="Comma 2 2 6 3 7 7" xfId="17249" xr:uid="{00000000-0005-0000-0000-00006D380000}"/>
    <cellStyle name="Comma 2 2 6 3 7 7 2" xfId="40527" xr:uid="{00000000-0005-0000-0000-00006E380000}"/>
    <cellStyle name="Comma 2 2 6 3 7 8" xfId="24593" xr:uid="{00000000-0005-0000-0000-00006F380000}"/>
    <cellStyle name="Comma 2 2 6 3 7 9" xfId="45423" xr:uid="{00000000-0005-0000-0000-000070380000}"/>
    <cellStyle name="Comma 2 2 6 3 8" xfId="2538" xr:uid="{00000000-0005-0000-0000-000071380000}"/>
    <cellStyle name="Comma 2 2 6 3 8 2" xfId="16025" xr:uid="{00000000-0005-0000-0000-000072380000}"/>
    <cellStyle name="Comma 2 2 6 3 8 2 2" xfId="39303" xr:uid="{00000000-0005-0000-0000-000073380000}"/>
    <cellStyle name="Comma 2 2 6 3 8 3" xfId="46647" xr:uid="{00000000-0005-0000-0000-000074380000}"/>
    <cellStyle name="Comma 2 2 6 3 8 4" xfId="25817" xr:uid="{00000000-0005-0000-0000-000075380000}"/>
    <cellStyle name="Comma 2 2 6 3 9" xfId="4986" xr:uid="{00000000-0005-0000-0000-000076380000}"/>
    <cellStyle name="Comma 2 2 6 3 9 2" xfId="18473" xr:uid="{00000000-0005-0000-0000-000077380000}"/>
    <cellStyle name="Comma 2 2 6 3 9 2 2" xfId="41751" xr:uid="{00000000-0005-0000-0000-000078380000}"/>
    <cellStyle name="Comma 2 2 6 3 9 3" xfId="28265" xr:uid="{00000000-0005-0000-0000-000079380000}"/>
    <cellStyle name="Comma 2 2 6 4" xfId="107" xr:uid="{00000000-0005-0000-0000-00007A380000}"/>
    <cellStyle name="Comma 2 2 6 4 10" xfId="7451" xr:uid="{00000000-0005-0000-0000-00007B380000}"/>
    <cellStyle name="Comma 2 2 6 4 10 2" xfId="30730" xr:uid="{00000000-0005-0000-0000-00007C380000}"/>
    <cellStyle name="Comma 2 2 6 4 11" xfId="9899" xr:uid="{00000000-0005-0000-0000-00007D380000}"/>
    <cellStyle name="Comma 2 2 6 4 11 2" xfId="33178" xr:uid="{00000000-0005-0000-0000-00007E380000}"/>
    <cellStyle name="Comma 2 2 6 4 12" xfId="12347" xr:uid="{00000000-0005-0000-0000-00007F380000}"/>
    <cellStyle name="Comma 2 2 6 4 12 2" xfId="35626" xr:uid="{00000000-0005-0000-0000-000080380000}"/>
    <cellStyle name="Comma 2 2 6 4 13" xfId="14818" xr:uid="{00000000-0005-0000-0000-000081380000}"/>
    <cellStyle name="Comma 2 2 6 4 13 2" xfId="38096" xr:uid="{00000000-0005-0000-0000-000082380000}"/>
    <cellStyle name="Comma 2 2 6 4 14" xfId="23386" xr:uid="{00000000-0005-0000-0000-000083380000}"/>
    <cellStyle name="Comma 2 2 6 4 15" xfId="44216" xr:uid="{00000000-0005-0000-0000-000084380000}"/>
    <cellStyle name="Comma 2 2 6 4 16" xfId="20938" xr:uid="{00000000-0005-0000-0000-000085380000}"/>
    <cellStyle name="Comma 2 2 6 4 2" xfId="175" xr:uid="{00000000-0005-0000-0000-000086380000}"/>
    <cellStyle name="Comma 2 2 6 4 2 10" xfId="12415" xr:uid="{00000000-0005-0000-0000-000087380000}"/>
    <cellStyle name="Comma 2 2 6 4 2 10 2" xfId="35694" xr:uid="{00000000-0005-0000-0000-000088380000}"/>
    <cellStyle name="Comma 2 2 6 4 2 11" xfId="14886" xr:uid="{00000000-0005-0000-0000-000089380000}"/>
    <cellStyle name="Comma 2 2 6 4 2 11 2" xfId="38164" xr:uid="{00000000-0005-0000-0000-00008A380000}"/>
    <cellStyle name="Comma 2 2 6 4 2 12" xfId="23454" xr:uid="{00000000-0005-0000-0000-00008B380000}"/>
    <cellStyle name="Comma 2 2 6 4 2 13" xfId="44284" xr:uid="{00000000-0005-0000-0000-00008C380000}"/>
    <cellStyle name="Comma 2 2 6 4 2 14" xfId="21006" xr:uid="{00000000-0005-0000-0000-00008D380000}"/>
    <cellStyle name="Comma 2 2 6 4 2 2" xfId="379" xr:uid="{00000000-0005-0000-0000-00008E380000}"/>
    <cellStyle name="Comma 2 2 6 4 2 2 10" xfId="23658" xr:uid="{00000000-0005-0000-0000-00008F380000}"/>
    <cellStyle name="Comma 2 2 6 4 2 2 11" xfId="44488" xr:uid="{00000000-0005-0000-0000-000090380000}"/>
    <cellStyle name="Comma 2 2 6 4 2 2 12" xfId="21210" xr:uid="{00000000-0005-0000-0000-000091380000}"/>
    <cellStyle name="Comma 2 2 6 4 2 2 2" xfId="991" xr:uid="{00000000-0005-0000-0000-000092380000}"/>
    <cellStyle name="Comma 2 2 6 4 2 2 2 10" xfId="45100" xr:uid="{00000000-0005-0000-0000-000093380000}"/>
    <cellStyle name="Comma 2 2 6 4 2 2 2 11" xfId="21822" xr:uid="{00000000-0005-0000-0000-000094380000}"/>
    <cellStyle name="Comma 2 2 6 4 2 2 2 2" xfId="2215" xr:uid="{00000000-0005-0000-0000-000095380000}"/>
    <cellStyle name="Comma 2 2 6 4 2 2 2 2 10" xfId="23046" xr:uid="{00000000-0005-0000-0000-000096380000}"/>
    <cellStyle name="Comma 2 2 6 4 2 2 2 2 2" xfId="4663" xr:uid="{00000000-0005-0000-0000-000097380000}"/>
    <cellStyle name="Comma 2 2 6 4 2 2 2 2 2 2" xfId="20598" xr:uid="{00000000-0005-0000-0000-000098380000}"/>
    <cellStyle name="Comma 2 2 6 4 2 2 2 2 2 2 2" xfId="43876" xr:uid="{00000000-0005-0000-0000-000099380000}"/>
    <cellStyle name="Comma 2 2 6 4 2 2 2 2 2 3" xfId="48772" xr:uid="{00000000-0005-0000-0000-00009A380000}"/>
    <cellStyle name="Comma 2 2 6 4 2 2 2 2 2 4" xfId="27942" xr:uid="{00000000-0005-0000-0000-00009B380000}"/>
    <cellStyle name="Comma 2 2 6 4 2 2 2 2 3" xfId="7111" xr:uid="{00000000-0005-0000-0000-00009C380000}"/>
    <cellStyle name="Comma 2 2 6 4 2 2 2 2 3 2" xfId="30390" xr:uid="{00000000-0005-0000-0000-00009D380000}"/>
    <cellStyle name="Comma 2 2 6 4 2 2 2 2 4" xfId="9559" xr:uid="{00000000-0005-0000-0000-00009E380000}"/>
    <cellStyle name="Comma 2 2 6 4 2 2 2 2 4 2" xfId="32838" xr:uid="{00000000-0005-0000-0000-00009F380000}"/>
    <cellStyle name="Comma 2 2 6 4 2 2 2 2 5" xfId="12007" xr:uid="{00000000-0005-0000-0000-0000A0380000}"/>
    <cellStyle name="Comma 2 2 6 4 2 2 2 2 5 2" xfId="35286" xr:uid="{00000000-0005-0000-0000-0000A1380000}"/>
    <cellStyle name="Comma 2 2 6 4 2 2 2 2 6" xfId="14455" xr:uid="{00000000-0005-0000-0000-0000A2380000}"/>
    <cellStyle name="Comma 2 2 6 4 2 2 2 2 6 2" xfId="37734" xr:uid="{00000000-0005-0000-0000-0000A3380000}"/>
    <cellStyle name="Comma 2 2 6 4 2 2 2 2 7" xfId="18150" xr:uid="{00000000-0005-0000-0000-0000A4380000}"/>
    <cellStyle name="Comma 2 2 6 4 2 2 2 2 7 2" xfId="41428" xr:uid="{00000000-0005-0000-0000-0000A5380000}"/>
    <cellStyle name="Comma 2 2 6 4 2 2 2 2 8" xfId="25494" xr:uid="{00000000-0005-0000-0000-0000A6380000}"/>
    <cellStyle name="Comma 2 2 6 4 2 2 2 2 9" xfId="46324" xr:uid="{00000000-0005-0000-0000-0000A7380000}"/>
    <cellStyle name="Comma 2 2 6 4 2 2 2 3" xfId="3439" xr:uid="{00000000-0005-0000-0000-0000A8380000}"/>
    <cellStyle name="Comma 2 2 6 4 2 2 2 3 2" xfId="16926" xr:uid="{00000000-0005-0000-0000-0000A9380000}"/>
    <cellStyle name="Comma 2 2 6 4 2 2 2 3 2 2" xfId="40204" xr:uid="{00000000-0005-0000-0000-0000AA380000}"/>
    <cellStyle name="Comma 2 2 6 4 2 2 2 3 3" xfId="47548" xr:uid="{00000000-0005-0000-0000-0000AB380000}"/>
    <cellStyle name="Comma 2 2 6 4 2 2 2 3 4" xfId="26718" xr:uid="{00000000-0005-0000-0000-0000AC380000}"/>
    <cellStyle name="Comma 2 2 6 4 2 2 2 4" xfId="5887" xr:uid="{00000000-0005-0000-0000-0000AD380000}"/>
    <cellStyle name="Comma 2 2 6 4 2 2 2 4 2" xfId="19374" xr:uid="{00000000-0005-0000-0000-0000AE380000}"/>
    <cellStyle name="Comma 2 2 6 4 2 2 2 4 2 2" xfId="42652" xr:uid="{00000000-0005-0000-0000-0000AF380000}"/>
    <cellStyle name="Comma 2 2 6 4 2 2 2 4 3" xfId="29166" xr:uid="{00000000-0005-0000-0000-0000B0380000}"/>
    <cellStyle name="Comma 2 2 6 4 2 2 2 5" xfId="8335" xr:uid="{00000000-0005-0000-0000-0000B1380000}"/>
    <cellStyle name="Comma 2 2 6 4 2 2 2 5 2" xfId="31614" xr:uid="{00000000-0005-0000-0000-0000B2380000}"/>
    <cellStyle name="Comma 2 2 6 4 2 2 2 6" xfId="10783" xr:uid="{00000000-0005-0000-0000-0000B3380000}"/>
    <cellStyle name="Comma 2 2 6 4 2 2 2 6 2" xfId="34062" xr:uid="{00000000-0005-0000-0000-0000B4380000}"/>
    <cellStyle name="Comma 2 2 6 4 2 2 2 7" xfId="13231" xr:uid="{00000000-0005-0000-0000-0000B5380000}"/>
    <cellStyle name="Comma 2 2 6 4 2 2 2 7 2" xfId="36510" xr:uid="{00000000-0005-0000-0000-0000B6380000}"/>
    <cellStyle name="Comma 2 2 6 4 2 2 2 8" xfId="15702" xr:uid="{00000000-0005-0000-0000-0000B7380000}"/>
    <cellStyle name="Comma 2 2 6 4 2 2 2 8 2" xfId="38980" xr:uid="{00000000-0005-0000-0000-0000B8380000}"/>
    <cellStyle name="Comma 2 2 6 4 2 2 2 9" xfId="24270" xr:uid="{00000000-0005-0000-0000-0000B9380000}"/>
    <cellStyle name="Comma 2 2 6 4 2 2 3" xfId="1603" xr:uid="{00000000-0005-0000-0000-0000BA380000}"/>
    <cellStyle name="Comma 2 2 6 4 2 2 3 10" xfId="22434" xr:uid="{00000000-0005-0000-0000-0000BB380000}"/>
    <cellStyle name="Comma 2 2 6 4 2 2 3 2" xfId="4051" xr:uid="{00000000-0005-0000-0000-0000BC380000}"/>
    <cellStyle name="Comma 2 2 6 4 2 2 3 2 2" xfId="19986" xr:uid="{00000000-0005-0000-0000-0000BD380000}"/>
    <cellStyle name="Comma 2 2 6 4 2 2 3 2 2 2" xfId="43264" xr:uid="{00000000-0005-0000-0000-0000BE380000}"/>
    <cellStyle name="Comma 2 2 6 4 2 2 3 2 3" xfId="48160" xr:uid="{00000000-0005-0000-0000-0000BF380000}"/>
    <cellStyle name="Comma 2 2 6 4 2 2 3 2 4" xfId="27330" xr:uid="{00000000-0005-0000-0000-0000C0380000}"/>
    <cellStyle name="Comma 2 2 6 4 2 2 3 3" xfId="6499" xr:uid="{00000000-0005-0000-0000-0000C1380000}"/>
    <cellStyle name="Comma 2 2 6 4 2 2 3 3 2" xfId="29778" xr:uid="{00000000-0005-0000-0000-0000C2380000}"/>
    <cellStyle name="Comma 2 2 6 4 2 2 3 4" xfId="8947" xr:uid="{00000000-0005-0000-0000-0000C3380000}"/>
    <cellStyle name="Comma 2 2 6 4 2 2 3 4 2" xfId="32226" xr:uid="{00000000-0005-0000-0000-0000C4380000}"/>
    <cellStyle name="Comma 2 2 6 4 2 2 3 5" xfId="11395" xr:uid="{00000000-0005-0000-0000-0000C5380000}"/>
    <cellStyle name="Comma 2 2 6 4 2 2 3 5 2" xfId="34674" xr:uid="{00000000-0005-0000-0000-0000C6380000}"/>
    <cellStyle name="Comma 2 2 6 4 2 2 3 6" xfId="13843" xr:uid="{00000000-0005-0000-0000-0000C7380000}"/>
    <cellStyle name="Comma 2 2 6 4 2 2 3 6 2" xfId="37122" xr:uid="{00000000-0005-0000-0000-0000C8380000}"/>
    <cellStyle name="Comma 2 2 6 4 2 2 3 7" xfId="17538" xr:uid="{00000000-0005-0000-0000-0000C9380000}"/>
    <cellStyle name="Comma 2 2 6 4 2 2 3 7 2" xfId="40816" xr:uid="{00000000-0005-0000-0000-0000CA380000}"/>
    <cellStyle name="Comma 2 2 6 4 2 2 3 8" xfId="24882" xr:uid="{00000000-0005-0000-0000-0000CB380000}"/>
    <cellStyle name="Comma 2 2 6 4 2 2 3 9" xfId="45712" xr:uid="{00000000-0005-0000-0000-0000CC380000}"/>
    <cellStyle name="Comma 2 2 6 4 2 2 4" xfId="2827" xr:uid="{00000000-0005-0000-0000-0000CD380000}"/>
    <cellStyle name="Comma 2 2 6 4 2 2 4 2" xfId="16314" xr:uid="{00000000-0005-0000-0000-0000CE380000}"/>
    <cellStyle name="Comma 2 2 6 4 2 2 4 2 2" xfId="39592" xr:uid="{00000000-0005-0000-0000-0000CF380000}"/>
    <cellStyle name="Comma 2 2 6 4 2 2 4 3" xfId="46936" xr:uid="{00000000-0005-0000-0000-0000D0380000}"/>
    <cellStyle name="Comma 2 2 6 4 2 2 4 4" xfId="26106" xr:uid="{00000000-0005-0000-0000-0000D1380000}"/>
    <cellStyle name="Comma 2 2 6 4 2 2 5" xfId="5275" xr:uid="{00000000-0005-0000-0000-0000D2380000}"/>
    <cellStyle name="Comma 2 2 6 4 2 2 5 2" xfId="18762" xr:uid="{00000000-0005-0000-0000-0000D3380000}"/>
    <cellStyle name="Comma 2 2 6 4 2 2 5 2 2" xfId="42040" xr:uid="{00000000-0005-0000-0000-0000D4380000}"/>
    <cellStyle name="Comma 2 2 6 4 2 2 5 3" xfId="28554" xr:uid="{00000000-0005-0000-0000-0000D5380000}"/>
    <cellStyle name="Comma 2 2 6 4 2 2 6" xfId="7723" xr:uid="{00000000-0005-0000-0000-0000D6380000}"/>
    <cellStyle name="Comma 2 2 6 4 2 2 6 2" xfId="31002" xr:uid="{00000000-0005-0000-0000-0000D7380000}"/>
    <cellStyle name="Comma 2 2 6 4 2 2 7" xfId="10171" xr:uid="{00000000-0005-0000-0000-0000D8380000}"/>
    <cellStyle name="Comma 2 2 6 4 2 2 7 2" xfId="33450" xr:uid="{00000000-0005-0000-0000-0000D9380000}"/>
    <cellStyle name="Comma 2 2 6 4 2 2 8" xfId="12619" xr:uid="{00000000-0005-0000-0000-0000DA380000}"/>
    <cellStyle name="Comma 2 2 6 4 2 2 8 2" xfId="35898" xr:uid="{00000000-0005-0000-0000-0000DB380000}"/>
    <cellStyle name="Comma 2 2 6 4 2 2 9" xfId="15090" xr:uid="{00000000-0005-0000-0000-0000DC380000}"/>
    <cellStyle name="Comma 2 2 6 4 2 2 9 2" xfId="38368" xr:uid="{00000000-0005-0000-0000-0000DD380000}"/>
    <cellStyle name="Comma 2 2 6 4 2 3" xfId="583" xr:uid="{00000000-0005-0000-0000-0000DE380000}"/>
    <cellStyle name="Comma 2 2 6 4 2 3 10" xfId="23862" xr:uid="{00000000-0005-0000-0000-0000DF380000}"/>
    <cellStyle name="Comma 2 2 6 4 2 3 11" xfId="44692" xr:uid="{00000000-0005-0000-0000-0000E0380000}"/>
    <cellStyle name="Comma 2 2 6 4 2 3 12" xfId="21414" xr:uid="{00000000-0005-0000-0000-0000E1380000}"/>
    <cellStyle name="Comma 2 2 6 4 2 3 2" xfId="1195" xr:uid="{00000000-0005-0000-0000-0000E2380000}"/>
    <cellStyle name="Comma 2 2 6 4 2 3 2 10" xfId="45304" xr:uid="{00000000-0005-0000-0000-0000E3380000}"/>
    <cellStyle name="Comma 2 2 6 4 2 3 2 11" xfId="22026" xr:uid="{00000000-0005-0000-0000-0000E4380000}"/>
    <cellStyle name="Comma 2 2 6 4 2 3 2 2" xfId="2419" xr:uid="{00000000-0005-0000-0000-0000E5380000}"/>
    <cellStyle name="Comma 2 2 6 4 2 3 2 2 10" xfId="23250" xr:uid="{00000000-0005-0000-0000-0000E6380000}"/>
    <cellStyle name="Comma 2 2 6 4 2 3 2 2 2" xfId="4867" xr:uid="{00000000-0005-0000-0000-0000E7380000}"/>
    <cellStyle name="Comma 2 2 6 4 2 3 2 2 2 2" xfId="20802" xr:uid="{00000000-0005-0000-0000-0000E8380000}"/>
    <cellStyle name="Comma 2 2 6 4 2 3 2 2 2 2 2" xfId="44080" xr:uid="{00000000-0005-0000-0000-0000E9380000}"/>
    <cellStyle name="Comma 2 2 6 4 2 3 2 2 2 3" xfId="48976" xr:uid="{00000000-0005-0000-0000-0000EA380000}"/>
    <cellStyle name="Comma 2 2 6 4 2 3 2 2 2 4" xfId="28146" xr:uid="{00000000-0005-0000-0000-0000EB380000}"/>
    <cellStyle name="Comma 2 2 6 4 2 3 2 2 3" xfId="7315" xr:uid="{00000000-0005-0000-0000-0000EC380000}"/>
    <cellStyle name="Comma 2 2 6 4 2 3 2 2 3 2" xfId="30594" xr:uid="{00000000-0005-0000-0000-0000ED380000}"/>
    <cellStyle name="Comma 2 2 6 4 2 3 2 2 4" xfId="9763" xr:uid="{00000000-0005-0000-0000-0000EE380000}"/>
    <cellStyle name="Comma 2 2 6 4 2 3 2 2 4 2" xfId="33042" xr:uid="{00000000-0005-0000-0000-0000EF380000}"/>
    <cellStyle name="Comma 2 2 6 4 2 3 2 2 5" xfId="12211" xr:uid="{00000000-0005-0000-0000-0000F0380000}"/>
    <cellStyle name="Comma 2 2 6 4 2 3 2 2 5 2" xfId="35490" xr:uid="{00000000-0005-0000-0000-0000F1380000}"/>
    <cellStyle name="Comma 2 2 6 4 2 3 2 2 6" xfId="14659" xr:uid="{00000000-0005-0000-0000-0000F2380000}"/>
    <cellStyle name="Comma 2 2 6 4 2 3 2 2 6 2" xfId="37938" xr:uid="{00000000-0005-0000-0000-0000F3380000}"/>
    <cellStyle name="Comma 2 2 6 4 2 3 2 2 7" xfId="18354" xr:uid="{00000000-0005-0000-0000-0000F4380000}"/>
    <cellStyle name="Comma 2 2 6 4 2 3 2 2 7 2" xfId="41632" xr:uid="{00000000-0005-0000-0000-0000F5380000}"/>
    <cellStyle name="Comma 2 2 6 4 2 3 2 2 8" xfId="25698" xr:uid="{00000000-0005-0000-0000-0000F6380000}"/>
    <cellStyle name="Comma 2 2 6 4 2 3 2 2 9" xfId="46528" xr:uid="{00000000-0005-0000-0000-0000F7380000}"/>
    <cellStyle name="Comma 2 2 6 4 2 3 2 3" xfId="3643" xr:uid="{00000000-0005-0000-0000-0000F8380000}"/>
    <cellStyle name="Comma 2 2 6 4 2 3 2 3 2" xfId="17130" xr:uid="{00000000-0005-0000-0000-0000F9380000}"/>
    <cellStyle name="Comma 2 2 6 4 2 3 2 3 2 2" xfId="40408" xr:uid="{00000000-0005-0000-0000-0000FA380000}"/>
    <cellStyle name="Comma 2 2 6 4 2 3 2 3 3" xfId="47752" xr:uid="{00000000-0005-0000-0000-0000FB380000}"/>
    <cellStyle name="Comma 2 2 6 4 2 3 2 3 4" xfId="26922" xr:uid="{00000000-0005-0000-0000-0000FC380000}"/>
    <cellStyle name="Comma 2 2 6 4 2 3 2 4" xfId="6091" xr:uid="{00000000-0005-0000-0000-0000FD380000}"/>
    <cellStyle name="Comma 2 2 6 4 2 3 2 4 2" xfId="19578" xr:uid="{00000000-0005-0000-0000-0000FE380000}"/>
    <cellStyle name="Comma 2 2 6 4 2 3 2 4 2 2" xfId="42856" xr:uid="{00000000-0005-0000-0000-0000FF380000}"/>
    <cellStyle name="Comma 2 2 6 4 2 3 2 4 3" xfId="29370" xr:uid="{00000000-0005-0000-0000-000000390000}"/>
    <cellStyle name="Comma 2 2 6 4 2 3 2 5" xfId="8539" xr:uid="{00000000-0005-0000-0000-000001390000}"/>
    <cellStyle name="Comma 2 2 6 4 2 3 2 5 2" xfId="31818" xr:uid="{00000000-0005-0000-0000-000002390000}"/>
    <cellStyle name="Comma 2 2 6 4 2 3 2 6" xfId="10987" xr:uid="{00000000-0005-0000-0000-000003390000}"/>
    <cellStyle name="Comma 2 2 6 4 2 3 2 6 2" xfId="34266" xr:uid="{00000000-0005-0000-0000-000004390000}"/>
    <cellStyle name="Comma 2 2 6 4 2 3 2 7" xfId="13435" xr:uid="{00000000-0005-0000-0000-000005390000}"/>
    <cellStyle name="Comma 2 2 6 4 2 3 2 7 2" xfId="36714" xr:uid="{00000000-0005-0000-0000-000006390000}"/>
    <cellStyle name="Comma 2 2 6 4 2 3 2 8" xfId="15906" xr:uid="{00000000-0005-0000-0000-000007390000}"/>
    <cellStyle name="Comma 2 2 6 4 2 3 2 8 2" xfId="39184" xr:uid="{00000000-0005-0000-0000-000008390000}"/>
    <cellStyle name="Comma 2 2 6 4 2 3 2 9" xfId="24474" xr:uid="{00000000-0005-0000-0000-000009390000}"/>
    <cellStyle name="Comma 2 2 6 4 2 3 3" xfId="1807" xr:uid="{00000000-0005-0000-0000-00000A390000}"/>
    <cellStyle name="Comma 2 2 6 4 2 3 3 10" xfId="22638" xr:uid="{00000000-0005-0000-0000-00000B390000}"/>
    <cellStyle name="Comma 2 2 6 4 2 3 3 2" xfId="4255" xr:uid="{00000000-0005-0000-0000-00000C390000}"/>
    <cellStyle name="Comma 2 2 6 4 2 3 3 2 2" xfId="20190" xr:uid="{00000000-0005-0000-0000-00000D390000}"/>
    <cellStyle name="Comma 2 2 6 4 2 3 3 2 2 2" xfId="43468" xr:uid="{00000000-0005-0000-0000-00000E390000}"/>
    <cellStyle name="Comma 2 2 6 4 2 3 3 2 3" xfId="48364" xr:uid="{00000000-0005-0000-0000-00000F390000}"/>
    <cellStyle name="Comma 2 2 6 4 2 3 3 2 4" xfId="27534" xr:uid="{00000000-0005-0000-0000-000010390000}"/>
    <cellStyle name="Comma 2 2 6 4 2 3 3 3" xfId="6703" xr:uid="{00000000-0005-0000-0000-000011390000}"/>
    <cellStyle name="Comma 2 2 6 4 2 3 3 3 2" xfId="29982" xr:uid="{00000000-0005-0000-0000-000012390000}"/>
    <cellStyle name="Comma 2 2 6 4 2 3 3 4" xfId="9151" xr:uid="{00000000-0005-0000-0000-000013390000}"/>
    <cellStyle name="Comma 2 2 6 4 2 3 3 4 2" xfId="32430" xr:uid="{00000000-0005-0000-0000-000014390000}"/>
    <cellStyle name="Comma 2 2 6 4 2 3 3 5" xfId="11599" xr:uid="{00000000-0005-0000-0000-000015390000}"/>
    <cellStyle name="Comma 2 2 6 4 2 3 3 5 2" xfId="34878" xr:uid="{00000000-0005-0000-0000-000016390000}"/>
    <cellStyle name="Comma 2 2 6 4 2 3 3 6" xfId="14047" xr:uid="{00000000-0005-0000-0000-000017390000}"/>
    <cellStyle name="Comma 2 2 6 4 2 3 3 6 2" xfId="37326" xr:uid="{00000000-0005-0000-0000-000018390000}"/>
    <cellStyle name="Comma 2 2 6 4 2 3 3 7" xfId="17742" xr:uid="{00000000-0005-0000-0000-000019390000}"/>
    <cellStyle name="Comma 2 2 6 4 2 3 3 7 2" xfId="41020" xr:uid="{00000000-0005-0000-0000-00001A390000}"/>
    <cellStyle name="Comma 2 2 6 4 2 3 3 8" xfId="25086" xr:uid="{00000000-0005-0000-0000-00001B390000}"/>
    <cellStyle name="Comma 2 2 6 4 2 3 3 9" xfId="45916" xr:uid="{00000000-0005-0000-0000-00001C390000}"/>
    <cellStyle name="Comma 2 2 6 4 2 3 4" xfId="3031" xr:uid="{00000000-0005-0000-0000-00001D390000}"/>
    <cellStyle name="Comma 2 2 6 4 2 3 4 2" xfId="16518" xr:uid="{00000000-0005-0000-0000-00001E390000}"/>
    <cellStyle name="Comma 2 2 6 4 2 3 4 2 2" xfId="39796" xr:uid="{00000000-0005-0000-0000-00001F390000}"/>
    <cellStyle name="Comma 2 2 6 4 2 3 4 3" xfId="47140" xr:uid="{00000000-0005-0000-0000-000020390000}"/>
    <cellStyle name="Comma 2 2 6 4 2 3 4 4" xfId="26310" xr:uid="{00000000-0005-0000-0000-000021390000}"/>
    <cellStyle name="Comma 2 2 6 4 2 3 5" xfId="5479" xr:uid="{00000000-0005-0000-0000-000022390000}"/>
    <cellStyle name="Comma 2 2 6 4 2 3 5 2" xfId="18966" xr:uid="{00000000-0005-0000-0000-000023390000}"/>
    <cellStyle name="Comma 2 2 6 4 2 3 5 2 2" xfId="42244" xr:uid="{00000000-0005-0000-0000-000024390000}"/>
    <cellStyle name="Comma 2 2 6 4 2 3 5 3" xfId="28758" xr:uid="{00000000-0005-0000-0000-000025390000}"/>
    <cellStyle name="Comma 2 2 6 4 2 3 6" xfId="7927" xr:uid="{00000000-0005-0000-0000-000026390000}"/>
    <cellStyle name="Comma 2 2 6 4 2 3 6 2" xfId="31206" xr:uid="{00000000-0005-0000-0000-000027390000}"/>
    <cellStyle name="Comma 2 2 6 4 2 3 7" xfId="10375" xr:uid="{00000000-0005-0000-0000-000028390000}"/>
    <cellStyle name="Comma 2 2 6 4 2 3 7 2" xfId="33654" xr:uid="{00000000-0005-0000-0000-000029390000}"/>
    <cellStyle name="Comma 2 2 6 4 2 3 8" xfId="12823" xr:uid="{00000000-0005-0000-0000-00002A390000}"/>
    <cellStyle name="Comma 2 2 6 4 2 3 8 2" xfId="36102" xr:uid="{00000000-0005-0000-0000-00002B390000}"/>
    <cellStyle name="Comma 2 2 6 4 2 3 9" xfId="15294" xr:uid="{00000000-0005-0000-0000-00002C390000}"/>
    <cellStyle name="Comma 2 2 6 4 2 3 9 2" xfId="38572" xr:uid="{00000000-0005-0000-0000-00002D390000}"/>
    <cellStyle name="Comma 2 2 6 4 2 4" xfId="787" xr:uid="{00000000-0005-0000-0000-00002E390000}"/>
    <cellStyle name="Comma 2 2 6 4 2 4 10" xfId="44896" xr:uid="{00000000-0005-0000-0000-00002F390000}"/>
    <cellStyle name="Comma 2 2 6 4 2 4 11" xfId="21618" xr:uid="{00000000-0005-0000-0000-000030390000}"/>
    <cellStyle name="Comma 2 2 6 4 2 4 2" xfId="2011" xr:uid="{00000000-0005-0000-0000-000031390000}"/>
    <cellStyle name="Comma 2 2 6 4 2 4 2 10" xfId="22842" xr:uid="{00000000-0005-0000-0000-000032390000}"/>
    <cellStyle name="Comma 2 2 6 4 2 4 2 2" xfId="4459" xr:uid="{00000000-0005-0000-0000-000033390000}"/>
    <cellStyle name="Comma 2 2 6 4 2 4 2 2 2" xfId="20394" xr:uid="{00000000-0005-0000-0000-000034390000}"/>
    <cellStyle name="Comma 2 2 6 4 2 4 2 2 2 2" xfId="43672" xr:uid="{00000000-0005-0000-0000-000035390000}"/>
    <cellStyle name="Comma 2 2 6 4 2 4 2 2 3" xfId="48568" xr:uid="{00000000-0005-0000-0000-000036390000}"/>
    <cellStyle name="Comma 2 2 6 4 2 4 2 2 4" xfId="27738" xr:uid="{00000000-0005-0000-0000-000037390000}"/>
    <cellStyle name="Comma 2 2 6 4 2 4 2 3" xfId="6907" xr:uid="{00000000-0005-0000-0000-000038390000}"/>
    <cellStyle name="Comma 2 2 6 4 2 4 2 3 2" xfId="30186" xr:uid="{00000000-0005-0000-0000-000039390000}"/>
    <cellStyle name="Comma 2 2 6 4 2 4 2 4" xfId="9355" xr:uid="{00000000-0005-0000-0000-00003A390000}"/>
    <cellStyle name="Comma 2 2 6 4 2 4 2 4 2" xfId="32634" xr:uid="{00000000-0005-0000-0000-00003B390000}"/>
    <cellStyle name="Comma 2 2 6 4 2 4 2 5" xfId="11803" xr:uid="{00000000-0005-0000-0000-00003C390000}"/>
    <cellStyle name="Comma 2 2 6 4 2 4 2 5 2" xfId="35082" xr:uid="{00000000-0005-0000-0000-00003D390000}"/>
    <cellStyle name="Comma 2 2 6 4 2 4 2 6" xfId="14251" xr:uid="{00000000-0005-0000-0000-00003E390000}"/>
    <cellStyle name="Comma 2 2 6 4 2 4 2 6 2" xfId="37530" xr:uid="{00000000-0005-0000-0000-00003F390000}"/>
    <cellStyle name="Comma 2 2 6 4 2 4 2 7" xfId="17946" xr:uid="{00000000-0005-0000-0000-000040390000}"/>
    <cellStyle name="Comma 2 2 6 4 2 4 2 7 2" xfId="41224" xr:uid="{00000000-0005-0000-0000-000041390000}"/>
    <cellStyle name="Comma 2 2 6 4 2 4 2 8" xfId="25290" xr:uid="{00000000-0005-0000-0000-000042390000}"/>
    <cellStyle name="Comma 2 2 6 4 2 4 2 9" xfId="46120" xr:uid="{00000000-0005-0000-0000-000043390000}"/>
    <cellStyle name="Comma 2 2 6 4 2 4 3" xfId="3235" xr:uid="{00000000-0005-0000-0000-000044390000}"/>
    <cellStyle name="Comma 2 2 6 4 2 4 3 2" xfId="16722" xr:uid="{00000000-0005-0000-0000-000045390000}"/>
    <cellStyle name="Comma 2 2 6 4 2 4 3 2 2" xfId="40000" xr:uid="{00000000-0005-0000-0000-000046390000}"/>
    <cellStyle name="Comma 2 2 6 4 2 4 3 3" xfId="47344" xr:uid="{00000000-0005-0000-0000-000047390000}"/>
    <cellStyle name="Comma 2 2 6 4 2 4 3 4" xfId="26514" xr:uid="{00000000-0005-0000-0000-000048390000}"/>
    <cellStyle name="Comma 2 2 6 4 2 4 4" xfId="5683" xr:uid="{00000000-0005-0000-0000-000049390000}"/>
    <cellStyle name="Comma 2 2 6 4 2 4 4 2" xfId="19170" xr:uid="{00000000-0005-0000-0000-00004A390000}"/>
    <cellStyle name="Comma 2 2 6 4 2 4 4 2 2" xfId="42448" xr:uid="{00000000-0005-0000-0000-00004B390000}"/>
    <cellStyle name="Comma 2 2 6 4 2 4 4 3" xfId="28962" xr:uid="{00000000-0005-0000-0000-00004C390000}"/>
    <cellStyle name="Comma 2 2 6 4 2 4 5" xfId="8131" xr:uid="{00000000-0005-0000-0000-00004D390000}"/>
    <cellStyle name="Comma 2 2 6 4 2 4 5 2" xfId="31410" xr:uid="{00000000-0005-0000-0000-00004E390000}"/>
    <cellStyle name="Comma 2 2 6 4 2 4 6" xfId="10579" xr:uid="{00000000-0005-0000-0000-00004F390000}"/>
    <cellStyle name="Comma 2 2 6 4 2 4 6 2" xfId="33858" xr:uid="{00000000-0005-0000-0000-000050390000}"/>
    <cellStyle name="Comma 2 2 6 4 2 4 7" xfId="13027" xr:uid="{00000000-0005-0000-0000-000051390000}"/>
    <cellStyle name="Comma 2 2 6 4 2 4 7 2" xfId="36306" xr:uid="{00000000-0005-0000-0000-000052390000}"/>
    <cellStyle name="Comma 2 2 6 4 2 4 8" xfId="15498" xr:uid="{00000000-0005-0000-0000-000053390000}"/>
    <cellStyle name="Comma 2 2 6 4 2 4 8 2" xfId="38776" xr:uid="{00000000-0005-0000-0000-000054390000}"/>
    <cellStyle name="Comma 2 2 6 4 2 4 9" xfId="24066" xr:uid="{00000000-0005-0000-0000-000055390000}"/>
    <cellStyle name="Comma 2 2 6 4 2 5" xfId="1399" xr:uid="{00000000-0005-0000-0000-000056390000}"/>
    <cellStyle name="Comma 2 2 6 4 2 5 10" xfId="22230" xr:uid="{00000000-0005-0000-0000-000057390000}"/>
    <cellStyle name="Comma 2 2 6 4 2 5 2" xfId="3847" xr:uid="{00000000-0005-0000-0000-000058390000}"/>
    <cellStyle name="Comma 2 2 6 4 2 5 2 2" xfId="19782" xr:uid="{00000000-0005-0000-0000-000059390000}"/>
    <cellStyle name="Comma 2 2 6 4 2 5 2 2 2" xfId="43060" xr:uid="{00000000-0005-0000-0000-00005A390000}"/>
    <cellStyle name="Comma 2 2 6 4 2 5 2 3" xfId="47956" xr:uid="{00000000-0005-0000-0000-00005B390000}"/>
    <cellStyle name="Comma 2 2 6 4 2 5 2 4" xfId="27126" xr:uid="{00000000-0005-0000-0000-00005C390000}"/>
    <cellStyle name="Comma 2 2 6 4 2 5 3" xfId="6295" xr:uid="{00000000-0005-0000-0000-00005D390000}"/>
    <cellStyle name="Comma 2 2 6 4 2 5 3 2" xfId="29574" xr:uid="{00000000-0005-0000-0000-00005E390000}"/>
    <cellStyle name="Comma 2 2 6 4 2 5 4" xfId="8743" xr:uid="{00000000-0005-0000-0000-00005F390000}"/>
    <cellStyle name="Comma 2 2 6 4 2 5 4 2" xfId="32022" xr:uid="{00000000-0005-0000-0000-000060390000}"/>
    <cellStyle name="Comma 2 2 6 4 2 5 5" xfId="11191" xr:uid="{00000000-0005-0000-0000-000061390000}"/>
    <cellStyle name="Comma 2 2 6 4 2 5 5 2" xfId="34470" xr:uid="{00000000-0005-0000-0000-000062390000}"/>
    <cellStyle name="Comma 2 2 6 4 2 5 6" xfId="13639" xr:uid="{00000000-0005-0000-0000-000063390000}"/>
    <cellStyle name="Comma 2 2 6 4 2 5 6 2" xfId="36918" xr:uid="{00000000-0005-0000-0000-000064390000}"/>
    <cellStyle name="Comma 2 2 6 4 2 5 7" xfId="17334" xr:uid="{00000000-0005-0000-0000-000065390000}"/>
    <cellStyle name="Comma 2 2 6 4 2 5 7 2" xfId="40612" xr:uid="{00000000-0005-0000-0000-000066390000}"/>
    <cellStyle name="Comma 2 2 6 4 2 5 8" xfId="24678" xr:uid="{00000000-0005-0000-0000-000067390000}"/>
    <cellStyle name="Comma 2 2 6 4 2 5 9" xfId="45508" xr:uid="{00000000-0005-0000-0000-000068390000}"/>
    <cellStyle name="Comma 2 2 6 4 2 6" xfId="2623" xr:uid="{00000000-0005-0000-0000-000069390000}"/>
    <cellStyle name="Comma 2 2 6 4 2 6 2" xfId="16110" xr:uid="{00000000-0005-0000-0000-00006A390000}"/>
    <cellStyle name="Comma 2 2 6 4 2 6 2 2" xfId="39388" xr:uid="{00000000-0005-0000-0000-00006B390000}"/>
    <cellStyle name="Comma 2 2 6 4 2 6 3" xfId="46732" xr:uid="{00000000-0005-0000-0000-00006C390000}"/>
    <cellStyle name="Comma 2 2 6 4 2 6 4" xfId="25902" xr:uid="{00000000-0005-0000-0000-00006D390000}"/>
    <cellStyle name="Comma 2 2 6 4 2 7" xfId="5071" xr:uid="{00000000-0005-0000-0000-00006E390000}"/>
    <cellStyle name="Comma 2 2 6 4 2 7 2" xfId="18558" xr:uid="{00000000-0005-0000-0000-00006F390000}"/>
    <cellStyle name="Comma 2 2 6 4 2 7 2 2" xfId="41836" xr:uid="{00000000-0005-0000-0000-000070390000}"/>
    <cellStyle name="Comma 2 2 6 4 2 7 3" xfId="28350" xr:uid="{00000000-0005-0000-0000-000071390000}"/>
    <cellStyle name="Comma 2 2 6 4 2 8" xfId="7519" xr:uid="{00000000-0005-0000-0000-000072390000}"/>
    <cellStyle name="Comma 2 2 6 4 2 8 2" xfId="30798" xr:uid="{00000000-0005-0000-0000-000073390000}"/>
    <cellStyle name="Comma 2 2 6 4 2 9" xfId="9967" xr:uid="{00000000-0005-0000-0000-000074390000}"/>
    <cellStyle name="Comma 2 2 6 4 2 9 2" xfId="33246" xr:uid="{00000000-0005-0000-0000-000075390000}"/>
    <cellStyle name="Comma 2 2 6 4 3" xfId="243" xr:uid="{00000000-0005-0000-0000-000076390000}"/>
    <cellStyle name="Comma 2 2 6 4 3 10" xfId="12483" xr:uid="{00000000-0005-0000-0000-000077390000}"/>
    <cellStyle name="Comma 2 2 6 4 3 10 2" xfId="35762" xr:uid="{00000000-0005-0000-0000-000078390000}"/>
    <cellStyle name="Comma 2 2 6 4 3 11" xfId="14954" xr:uid="{00000000-0005-0000-0000-000079390000}"/>
    <cellStyle name="Comma 2 2 6 4 3 11 2" xfId="38232" xr:uid="{00000000-0005-0000-0000-00007A390000}"/>
    <cellStyle name="Comma 2 2 6 4 3 12" xfId="23522" xr:uid="{00000000-0005-0000-0000-00007B390000}"/>
    <cellStyle name="Comma 2 2 6 4 3 13" xfId="44352" xr:uid="{00000000-0005-0000-0000-00007C390000}"/>
    <cellStyle name="Comma 2 2 6 4 3 14" xfId="21074" xr:uid="{00000000-0005-0000-0000-00007D390000}"/>
    <cellStyle name="Comma 2 2 6 4 3 2" xfId="447" xr:uid="{00000000-0005-0000-0000-00007E390000}"/>
    <cellStyle name="Comma 2 2 6 4 3 2 10" xfId="23726" xr:uid="{00000000-0005-0000-0000-00007F390000}"/>
    <cellStyle name="Comma 2 2 6 4 3 2 11" xfId="44556" xr:uid="{00000000-0005-0000-0000-000080390000}"/>
    <cellStyle name="Comma 2 2 6 4 3 2 12" xfId="21278" xr:uid="{00000000-0005-0000-0000-000081390000}"/>
    <cellStyle name="Comma 2 2 6 4 3 2 2" xfId="1059" xr:uid="{00000000-0005-0000-0000-000082390000}"/>
    <cellStyle name="Comma 2 2 6 4 3 2 2 10" xfId="45168" xr:uid="{00000000-0005-0000-0000-000083390000}"/>
    <cellStyle name="Comma 2 2 6 4 3 2 2 11" xfId="21890" xr:uid="{00000000-0005-0000-0000-000084390000}"/>
    <cellStyle name="Comma 2 2 6 4 3 2 2 2" xfId="2283" xr:uid="{00000000-0005-0000-0000-000085390000}"/>
    <cellStyle name="Comma 2 2 6 4 3 2 2 2 10" xfId="23114" xr:uid="{00000000-0005-0000-0000-000086390000}"/>
    <cellStyle name="Comma 2 2 6 4 3 2 2 2 2" xfId="4731" xr:uid="{00000000-0005-0000-0000-000087390000}"/>
    <cellStyle name="Comma 2 2 6 4 3 2 2 2 2 2" xfId="20666" xr:uid="{00000000-0005-0000-0000-000088390000}"/>
    <cellStyle name="Comma 2 2 6 4 3 2 2 2 2 2 2" xfId="43944" xr:uid="{00000000-0005-0000-0000-000089390000}"/>
    <cellStyle name="Comma 2 2 6 4 3 2 2 2 2 3" xfId="48840" xr:uid="{00000000-0005-0000-0000-00008A390000}"/>
    <cellStyle name="Comma 2 2 6 4 3 2 2 2 2 4" xfId="28010" xr:uid="{00000000-0005-0000-0000-00008B390000}"/>
    <cellStyle name="Comma 2 2 6 4 3 2 2 2 3" xfId="7179" xr:uid="{00000000-0005-0000-0000-00008C390000}"/>
    <cellStyle name="Comma 2 2 6 4 3 2 2 2 3 2" xfId="30458" xr:uid="{00000000-0005-0000-0000-00008D390000}"/>
    <cellStyle name="Comma 2 2 6 4 3 2 2 2 4" xfId="9627" xr:uid="{00000000-0005-0000-0000-00008E390000}"/>
    <cellStyle name="Comma 2 2 6 4 3 2 2 2 4 2" xfId="32906" xr:uid="{00000000-0005-0000-0000-00008F390000}"/>
    <cellStyle name="Comma 2 2 6 4 3 2 2 2 5" xfId="12075" xr:uid="{00000000-0005-0000-0000-000090390000}"/>
    <cellStyle name="Comma 2 2 6 4 3 2 2 2 5 2" xfId="35354" xr:uid="{00000000-0005-0000-0000-000091390000}"/>
    <cellStyle name="Comma 2 2 6 4 3 2 2 2 6" xfId="14523" xr:uid="{00000000-0005-0000-0000-000092390000}"/>
    <cellStyle name="Comma 2 2 6 4 3 2 2 2 6 2" xfId="37802" xr:uid="{00000000-0005-0000-0000-000093390000}"/>
    <cellStyle name="Comma 2 2 6 4 3 2 2 2 7" xfId="18218" xr:uid="{00000000-0005-0000-0000-000094390000}"/>
    <cellStyle name="Comma 2 2 6 4 3 2 2 2 7 2" xfId="41496" xr:uid="{00000000-0005-0000-0000-000095390000}"/>
    <cellStyle name="Comma 2 2 6 4 3 2 2 2 8" xfId="25562" xr:uid="{00000000-0005-0000-0000-000096390000}"/>
    <cellStyle name="Comma 2 2 6 4 3 2 2 2 9" xfId="46392" xr:uid="{00000000-0005-0000-0000-000097390000}"/>
    <cellStyle name="Comma 2 2 6 4 3 2 2 3" xfId="3507" xr:uid="{00000000-0005-0000-0000-000098390000}"/>
    <cellStyle name="Comma 2 2 6 4 3 2 2 3 2" xfId="16994" xr:uid="{00000000-0005-0000-0000-000099390000}"/>
    <cellStyle name="Comma 2 2 6 4 3 2 2 3 2 2" xfId="40272" xr:uid="{00000000-0005-0000-0000-00009A390000}"/>
    <cellStyle name="Comma 2 2 6 4 3 2 2 3 3" xfId="47616" xr:uid="{00000000-0005-0000-0000-00009B390000}"/>
    <cellStyle name="Comma 2 2 6 4 3 2 2 3 4" xfId="26786" xr:uid="{00000000-0005-0000-0000-00009C390000}"/>
    <cellStyle name="Comma 2 2 6 4 3 2 2 4" xfId="5955" xr:uid="{00000000-0005-0000-0000-00009D390000}"/>
    <cellStyle name="Comma 2 2 6 4 3 2 2 4 2" xfId="19442" xr:uid="{00000000-0005-0000-0000-00009E390000}"/>
    <cellStyle name="Comma 2 2 6 4 3 2 2 4 2 2" xfId="42720" xr:uid="{00000000-0005-0000-0000-00009F390000}"/>
    <cellStyle name="Comma 2 2 6 4 3 2 2 4 3" xfId="29234" xr:uid="{00000000-0005-0000-0000-0000A0390000}"/>
    <cellStyle name="Comma 2 2 6 4 3 2 2 5" xfId="8403" xr:uid="{00000000-0005-0000-0000-0000A1390000}"/>
    <cellStyle name="Comma 2 2 6 4 3 2 2 5 2" xfId="31682" xr:uid="{00000000-0005-0000-0000-0000A2390000}"/>
    <cellStyle name="Comma 2 2 6 4 3 2 2 6" xfId="10851" xr:uid="{00000000-0005-0000-0000-0000A3390000}"/>
    <cellStyle name="Comma 2 2 6 4 3 2 2 6 2" xfId="34130" xr:uid="{00000000-0005-0000-0000-0000A4390000}"/>
    <cellStyle name="Comma 2 2 6 4 3 2 2 7" xfId="13299" xr:uid="{00000000-0005-0000-0000-0000A5390000}"/>
    <cellStyle name="Comma 2 2 6 4 3 2 2 7 2" xfId="36578" xr:uid="{00000000-0005-0000-0000-0000A6390000}"/>
    <cellStyle name="Comma 2 2 6 4 3 2 2 8" xfId="15770" xr:uid="{00000000-0005-0000-0000-0000A7390000}"/>
    <cellStyle name="Comma 2 2 6 4 3 2 2 8 2" xfId="39048" xr:uid="{00000000-0005-0000-0000-0000A8390000}"/>
    <cellStyle name="Comma 2 2 6 4 3 2 2 9" xfId="24338" xr:uid="{00000000-0005-0000-0000-0000A9390000}"/>
    <cellStyle name="Comma 2 2 6 4 3 2 3" xfId="1671" xr:uid="{00000000-0005-0000-0000-0000AA390000}"/>
    <cellStyle name="Comma 2 2 6 4 3 2 3 10" xfId="22502" xr:uid="{00000000-0005-0000-0000-0000AB390000}"/>
    <cellStyle name="Comma 2 2 6 4 3 2 3 2" xfId="4119" xr:uid="{00000000-0005-0000-0000-0000AC390000}"/>
    <cellStyle name="Comma 2 2 6 4 3 2 3 2 2" xfId="20054" xr:uid="{00000000-0005-0000-0000-0000AD390000}"/>
    <cellStyle name="Comma 2 2 6 4 3 2 3 2 2 2" xfId="43332" xr:uid="{00000000-0005-0000-0000-0000AE390000}"/>
    <cellStyle name="Comma 2 2 6 4 3 2 3 2 3" xfId="48228" xr:uid="{00000000-0005-0000-0000-0000AF390000}"/>
    <cellStyle name="Comma 2 2 6 4 3 2 3 2 4" xfId="27398" xr:uid="{00000000-0005-0000-0000-0000B0390000}"/>
    <cellStyle name="Comma 2 2 6 4 3 2 3 3" xfId="6567" xr:uid="{00000000-0005-0000-0000-0000B1390000}"/>
    <cellStyle name="Comma 2 2 6 4 3 2 3 3 2" xfId="29846" xr:uid="{00000000-0005-0000-0000-0000B2390000}"/>
    <cellStyle name="Comma 2 2 6 4 3 2 3 4" xfId="9015" xr:uid="{00000000-0005-0000-0000-0000B3390000}"/>
    <cellStyle name="Comma 2 2 6 4 3 2 3 4 2" xfId="32294" xr:uid="{00000000-0005-0000-0000-0000B4390000}"/>
    <cellStyle name="Comma 2 2 6 4 3 2 3 5" xfId="11463" xr:uid="{00000000-0005-0000-0000-0000B5390000}"/>
    <cellStyle name="Comma 2 2 6 4 3 2 3 5 2" xfId="34742" xr:uid="{00000000-0005-0000-0000-0000B6390000}"/>
    <cellStyle name="Comma 2 2 6 4 3 2 3 6" xfId="13911" xr:uid="{00000000-0005-0000-0000-0000B7390000}"/>
    <cellStyle name="Comma 2 2 6 4 3 2 3 6 2" xfId="37190" xr:uid="{00000000-0005-0000-0000-0000B8390000}"/>
    <cellStyle name="Comma 2 2 6 4 3 2 3 7" xfId="17606" xr:uid="{00000000-0005-0000-0000-0000B9390000}"/>
    <cellStyle name="Comma 2 2 6 4 3 2 3 7 2" xfId="40884" xr:uid="{00000000-0005-0000-0000-0000BA390000}"/>
    <cellStyle name="Comma 2 2 6 4 3 2 3 8" xfId="24950" xr:uid="{00000000-0005-0000-0000-0000BB390000}"/>
    <cellStyle name="Comma 2 2 6 4 3 2 3 9" xfId="45780" xr:uid="{00000000-0005-0000-0000-0000BC390000}"/>
    <cellStyle name="Comma 2 2 6 4 3 2 4" xfId="2895" xr:uid="{00000000-0005-0000-0000-0000BD390000}"/>
    <cellStyle name="Comma 2 2 6 4 3 2 4 2" xfId="16382" xr:uid="{00000000-0005-0000-0000-0000BE390000}"/>
    <cellStyle name="Comma 2 2 6 4 3 2 4 2 2" xfId="39660" xr:uid="{00000000-0005-0000-0000-0000BF390000}"/>
    <cellStyle name="Comma 2 2 6 4 3 2 4 3" xfId="47004" xr:uid="{00000000-0005-0000-0000-0000C0390000}"/>
    <cellStyle name="Comma 2 2 6 4 3 2 4 4" xfId="26174" xr:uid="{00000000-0005-0000-0000-0000C1390000}"/>
    <cellStyle name="Comma 2 2 6 4 3 2 5" xfId="5343" xr:uid="{00000000-0005-0000-0000-0000C2390000}"/>
    <cellStyle name="Comma 2 2 6 4 3 2 5 2" xfId="18830" xr:uid="{00000000-0005-0000-0000-0000C3390000}"/>
    <cellStyle name="Comma 2 2 6 4 3 2 5 2 2" xfId="42108" xr:uid="{00000000-0005-0000-0000-0000C4390000}"/>
    <cellStyle name="Comma 2 2 6 4 3 2 5 3" xfId="28622" xr:uid="{00000000-0005-0000-0000-0000C5390000}"/>
    <cellStyle name="Comma 2 2 6 4 3 2 6" xfId="7791" xr:uid="{00000000-0005-0000-0000-0000C6390000}"/>
    <cellStyle name="Comma 2 2 6 4 3 2 6 2" xfId="31070" xr:uid="{00000000-0005-0000-0000-0000C7390000}"/>
    <cellStyle name="Comma 2 2 6 4 3 2 7" xfId="10239" xr:uid="{00000000-0005-0000-0000-0000C8390000}"/>
    <cellStyle name="Comma 2 2 6 4 3 2 7 2" xfId="33518" xr:uid="{00000000-0005-0000-0000-0000C9390000}"/>
    <cellStyle name="Comma 2 2 6 4 3 2 8" xfId="12687" xr:uid="{00000000-0005-0000-0000-0000CA390000}"/>
    <cellStyle name="Comma 2 2 6 4 3 2 8 2" xfId="35966" xr:uid="{00000000-0005-0000-0000-0000CB390000}"/>
    <cellStyle name="Comma 2 2 6 4 3 2 9" xfId="15158" xr:uid="{00000000-0005-0000-0000-0000CC390000}"/>
    <cellStyle name="Comma 2 2 6 4 3 2 9 2" xfId="38436" xr:uid="{00000000-0005-0000-0000-0000CD390000}"/>
    <cellStyle name="Comma 2 2 6 4 3 3" xfId="651" xr:uid="{00000000-0005-0000-0000-0000CE390000}"/>
    <cellStyle name="Comma 2 2 6 4 3 3 10" xfId="23930" xr:uid="{00000000-0005-0000-0000-0000CF390000}"/>
    <cellStyle name="Comma 2 2 6 4 3 3 11" xfId="44760" xr:uid="{00000000-0005-0000-0000-0000D0390000}"/>
    <cellStyle name="Comma 2 2 6 4 3 3 12" xfId="21482" xr:uid="{00000000-0005-0000-0000-0000D1390000}"/>
    <cellStyle name="Comma 2 2 6 4 3 3 2" xfId="1263" xr:uid="{00000000-0005-0000-0000-0000D2390000}"/>
    <cellStyle name="Comma 2 2 6 4 3 3 2 10" xfId="45372" xr:uid="{00000000-0005-0000-0000-0000D3390000}"/>
    <cellStyle name="Comma 2 2 6 4 3 3 2 11" xfId="22094" xr:uid="{00000000-0005-0000-0000-0000D4390000}"/>
    <cellStyle name="Comma 2 2 6 4 3 3 2 2" xfId="2487" xr:uid="{00000000-0005-0000-0000-0000D5390000}"/>
    <cellStyle name="Comma 2 2 6 4 3 3 2 2 10" xfId="23318" xr:uid="{00000000-0005-0000-0000-0000D6390000}"/>
    <cellStyle name="Comma 2 2 6 4 3 3 2 2 2" xfId="4935" xr:uid="{00000000-0005-0000-0000-0000D7390000}"/>
    <cellStyle name="Comma 2 2 6 4 3 3 2 2 2 2" xfId="20870" xr:uid="{00000000-0005-0000-0000-0000D8390000}"/>
    <cellStyle name="Comma 2 2 6 4 3 3 2 2 2 2 2" xfId="44148" xr:uid="{00000000-0005-0000-0000-0000D9390000}"/>
    <cellStyle name="Comma 2 2 6 4 3 3 2 2 2 3" xfId="49044" xr:uid="{00000000-0005-0000-0000-0000DA390000}"/>
    <cellStyle name="Comma 2 2 6 4 3 3 2 2 2 4" xfId="28214" xr:uid="{00000000-0005-0000-0000-0000DB390000}"/>
    <cellStyle name="Comma 2 2 6 4 3 3 2 2 3" xfId="7383" xr:uid="{00000000-0005-0000-0000-0000DC390000}"/>
    <cellStyle name="Comma 2 2 6 4 3 3 2 2 3 2" xfId="30662" xr:uid="{00000000-0005-0000-0000-0000DD390000}"/>
    <cellStyle name="Comma 2 2 6 4 3 3 2 2 4" xfId="9831" xr:uid="{00000000-0005-0000-0000-0000DE390000}"/>
    <cellStyle name="Comma 2 2 6 4 3 3 2 2 4 2" xfId="33110" xr:uid="{00000000-0005-0000-0000-0000DF390000}"/>
    <cellStyle name="Comma 2 2 6 4 3 3 2 2 5" xfId="12279" xr:uid="{00000000-0005-0000-0000-0000E0390000}"/>
    <cellStyle name="Comma 2 2 6 4 3 3 2 2 5 2" xfId="35558" xr:uid="{00000000-0005-0000-0000-0000E1390000}"/>
    <cellStyle name="Comma 2 2 6 4 3 3 2 2 6" xfId="14727" xr:uid="{00000000-0005-0000-0000-0000E2390000}"/>
    <cellStyle name="Comma 2 2 6 4 3 3 2 2 6 2" xfId="38006" xr:uid="{00000000-0005-0000-0000-0000E3390000}"/>
    <cellStyle name="Comma 2 2 6 4 3 3 2 2 7" xfId="18422" xr:uid="{00000000-0005-0000-0000-0000E4390000}"/>
    <cellStyle name="Comma 2 2 6 4 3 3 2 2 7 2" xfId="41700" xr:uid="{00000000-0005-0000-0000-0000E5390000}"/>
    <cellStyle name="Comma 2 2 6 4 3 3 2 2 8" xfId="25766" xr:uid="{00000000-0005-0000-0000-0000E6390000}"/>
    <cellStyle name="Comma 2 2 6 4 3 3 2 2 9" xfId="46596" xr:uid="{00000000-0005-0000-0000-0000E7390000}"/>
    <cellStyle name="Comma 2 2 6 4 3 3 2 3" xfId="3711" xr:uid="{00000000-0005-0000-0000-0000E8390000}"/>
    <cellStyle name="Comma 2 2 6 4 3 3 2 3 2" xfId="17198" xr:uid="{00000000-0005-0000-0000-0000E9390000}"/>
    <cellStyle name="Comma 2 2 6 4 3 3 2 3 2 2" xfId="40476" xr:uid="{00000000-0005-0000-0000-0000EA390000}"/>
    <cellStyle name="Comma 2 2 6 4 3 3 2 3 3" xfId="47820" xr:uid="{00000000-0005-0000-0000-0000EB390000}"/>
    <cellStyle name="Comma 2 2 6 4 3 3 2 3 4" xfId="26990" xr:uid="{00000000-0005-0000-0000-0000EC390000}"/>
    <cellStyle name="Comma 2 2 6 4 3 3 2 4" xfId="6159" xr:uid="{00000000-0005-0000-0000-0000ED390000}"/>
    <cellStyle name="Comma 2 2 6 4 3 3 2 4 2" xfId="19646" xr:uid="{00000000-0005-0000-0000-0000EE390000}"/>
    <cellStyle name="Comma 2 2 6 4 3 3 2 4 2 2" xfId="42924" xr:uid="{00000000-0005-0000-0000-0000EF390000}"/>
    <cellStyle name="Comma 2 2 6 4 3 3 2 4 3" xfId="29438" xr:uid="{00000000-0005-0000-0000-0000F0390000}"/>
    <cellStyle name="Comma 2 2 6 4 3 3 2 5" xfId="8607" xr:uid="{00000000-0005-0000-0000-0000F1390000}"/>
    <cellStyle name="Comma 2 2 6 4 3 3 2 5 2" xfId="31886" xr:uid="{00000000-0005-0000-0000-0000F2390000}"/>
    <cellStyle name="Comma 2 2 6 4 3 3 2 6" xfId="11055" xr:uid="{00000000-0005-0000-0000-0000F3390000}"/>
    <cellStyle name="Comma 2 2 6 4 3 3 2 6 2" xfId="34334" xr:uid="{00000000-0005-0000-0000-0000F4390000}"/>
    <cellStyle name="Comma 2 2 6 4 3 3 2 7" xfId="13503" xr:uid="{00000000-0005-0000-0000-0000F5390000}"/>
    <cellStyle name="Comma 2 2 6 4 3 3 2 7 2" xfId="36782" xr:uid="{00000000-0005-0000-0000-0000F6390000}"/>
    <cellStyle name="Comma 2 2 6 4 3 3 2 8" xfId="15974" xr:uid="{00000000-0005-0000-0000-0000F7390000}"/>
    <cellStyle name="Comma 2 2 6 4 3 3 2 8 2" xfId="39252" xr:uid="{00000000-0005-0000-0000-0000F8390000}"/>
    <cellStyle name="Comma 2 2 6 4 3 3 2 9" xfId="24542" xr:uid="{00000000-0005-0000-0000-0000F9390000}"/>
    <cellStyle name="Comma 2 2 6 4 3 3 3" xfId="1875" xr:uid="{00000000-0005-0000-0000-0000FA390000}"/>
    <cellStyle name="Comma 2 2 6 4 3 3 3 10" xfId="22706" xr:uid="{00000000-0005-0000-0000-0000FB390000}"/>
    <cellStyle name="Comma 2 2 6 4 3 3 3 2" xfId="4323" xr:uid="{00000000-0005-0000-0000-0000FC390000}"/>
    <cellStyle name="Comma 2 2 6 4 3 3 3 2 2" xfId="20258" xr:uid="{00000000-0005-0000-0000-0000FD390000}"/>
    <cellStyle name="Comma 2 2 6 4 3 3 3 2 2 2" xfId="43536" xr:uid="{00000000-0005-0000-0000-0000FE390000}"/>
    <cellStyle name="Comma 2 2 6 4 3 3 3 2 3" xfId="48432" xr:uid="{00000000-0005-0000-0000-0000FF390000}"/>
    <cellStyle name="Comma 2 2 6 4 3 3 3 2 4" xfId="27602" xr:uid="{00000000-0005-0000-0000-0000003A0000}"/>
    <cellStyle name="Comma 2 2 6 4 3 3 3 3" xfId="6771" xr:uid="{00000000-0005-0000-0000-0000013A0000}"/>
    <cellStyle name="Comma 2 2 6 4 3 3 3 3 2" xfId="30050" xr:uid="{00000000-0005-0000-0000-0000023A0000}"/>
    <cellStyle name="Comma 2 2 6 4 3 3 3 4" xfId="9219" xr:uid="{00000000-0005-0000-0000-0000033A0000}"/>
    <cellStyle name="Comma 2 2 6 4 3 3 3 4 2" xfId="32498" xr:uid="{00000000-0005-0000-0000-0000043A0000}"/>
    <cellStyle name="Comma 2 2 6 4 3 3 3 5" xfId="11667" xr:uid="{00000000-0005-0000-0000-0000053A0000}"/>
    <cellStyle name="Comma 2 2 6 4 3 3 3 5 2" xfId="34946" xr:uid="{00000000-0005-0000-0000-0000063A0000}"/>
    <cellStyle name="Comma 2 2 6 4 3 3 3 6" xfId="14115" xr:uid="{00000000-0005-0000-0000-0000073A0000}"/>
    <cellStyle name="Comma 2 2 6 4 3 3 3 6 2" xfId="37394" xr:uid="{00000000-0005-0000-0000-0000083A0000}"/>
    <cellStyle name="Comma 2 2 6 4 3 3 3 7" xfId="17810" xr:uid="{00000000-0005-0000-0000-0000093A0000}"/>
    <cellStyle name="Comma 2 2 6 4 3 3 3 7 2" xfId="41088" xr:uid="{00000000-0005-0000-0000-00000A3A0000}"/>
    <cellStyle name="Comma 2 2 6 4 3 3 3 8" xfId="25154" xr:uid="{00000000-0005-0000-0000-00000B3A0000}"/>
    <cellStyle name="Comma 2 2 6 4 3 3 3 9" xfId="45984" xr:uid="{00000000-0005-0000-0000-00000C3A0000}"/>
    <cellStyle name="Comma 2 2 6 4 3 3 4" xfId="3099" xr:uid="{00000000-0005-0000-0000-00000D3A0000}"/>
    <cellStyle name="Comma 2 2 6 4 3 3 4 2" xfId="16586" xr:uid="{00000000-0005-0000-0000-00000E3A0000}"/>
    <cellStyle name="Comma 2 2 6 4 3 3 4 2 2" xfId="39864" xr:uid="{00000000-0005-0000-0000-00000F3A0000}"/>
    <cellStyle name="Comma 2 2 6 4 3 3 4 3" xfId="47208" xr:uid="{00000000-0005-0000-0000-0000103A0000}"/>
    <cellStyle name="Comma 2 2 6 4 3 3 4 4" xfId="26378" xr:uid="{00000000-0005-0000-0000-0000113A0000}"/>
    <cellStyle name="Comma 2 2 6 4 3 3 5" xfId="5547" xr:uid="{00000000-0005-0000-0000-0000123A0000}"/>
    <cellStyle name="Comma 2 2 6 4 3 3 5 2" xfId="19034" xr:uid="{00000000-0005-0000-0000-0000133A0000}"/>
    <cellStyle name="Comma 2 2 6 4 3 3 5 2 2" xfId="42312" xr:uid="{00000000-0005-0000-0000-0000143A0000}"/>
    <cellStyle name="Comma 2 2 6 4 3 3 5 3" xfId="28826" xr:uid="{00000000-0005-0000-0000-0000153A0000}"/>
    <cellStyle name="Comma 2 2 6 4 3 3 6" xfId="7995" xr:uid="{00000000-0005-0000-0000-0000163A0000}"/>
    <cellStyle name="Comma 2 2 6 4 3 3 6 2" xfId="31274" xr:uid="{00000000-0005-0000-0000-0000173A0000}"/>
    <cellStyle name="Comma 2 2 6 4 3 3 7" xfId="10443" xr:uid="{00000000-0005-0000-0000-0000183A0000}"/>
    <cellStyle name="Comma 2 2 6 4 3 3 7 2" xfId="33722" xr:uid="{00000000-0005-0000-0000-0000193A0000}"/>
    <cellStyle name="Comma 2 2 6 4 3 3 8" xfId="12891" xr:uid="{00000000-0005-0000-0000-00001A3A0000}"/>
    <cellStyle name="Comma 2 2 6 4 3 3 8 2" xfId="36170" xr:uid="{00000000-0005-0000-0000-00001B3A0000}"/>
    <cellStyle name="Comma 2 2 6 4 3 3 9" xfId="15362" xr:uid="{00000000-0005-0000-0000-00001C3A0000}"/>
    <cellStyle name="Comma 2 2 6 4 3 3 9 2" xfId="38640" xr:uid="{00000000-0005-0000-0000-00001D3A0000}"/>
    <cellStyle name="Comma 2 2 6 4 3 4" xfId="855" xr:uid="{00000000-0005-0000-0000-00001E3A0000}"/>
    <cellStyle name="Comma 2 2 6 4 3 4 10" xfId="44964" xr:uid="{00000000-0005-0000-0000-00001F3A0000}"/>
    <cellStyle name="Comma 2 2 6 4 3 4 11" xfId="21686" xr:uid="{00000000-0005-0000-0000-0000203A0000}"/>
    <cellStyle name="Comma 2 2 6 4 3 4 2" xfId="2079" xr:uid="{00000000-0005-0000-0000-0000213A0000}"/>
    <cellStyle name="Comma 2 2 6 4 3 4 2 10" xfId="22910" xr:uid="{00000000-0005-0000-0000-0000223A0000}"/>
    <cellStyle name="Comma 2 2 6 4 3 4 2 2" xfId="4527" xr:uid="{00000000-0005-0000-0000-0000233A0000}"/>
    <cellStyle name="Comma 2 2 6 4 3 4 2 2 2" xfId="20462" xr:uid="{00000000-0005-0000-0000-0000243A0000}"/>
    <cellStyle name="Comma 2 2 6 4 3 4 2 2 2 2" xfId="43740" xr:uid="{00000000-0005-0000-0000-0000253A0000}"/>
    <cellStyle name="Comma 2 2 6 4 3 4 2 2 3" xfId="48636" xr:uid="{00000000-0005-0000-0000-0000263A0000}"/>
    <cellStyle name="Comma 2 2 6 4 3 4 2 2 4" xfId="27806" xr:uid="{00000000-0005-0000-0000-0000273A0000}"/>
    <cellStyle name="Comma 2 2 6 4 3 4 2 3" xfId="6975" xr:uid="{00000000-0005-0000-0000-0000283A0000}"/>
    <cellStyle name="Comma 2 2 6 4 3 4 2 3 2" xfId="30254" xr:uid="{00000000-0005-0000-0000-0000293A0000}"/>
    <cellStyle name="Comma 2 2 6 4 3 4 2 4" xfId="9423" xr:uid="{00000000-0005-0000-0000-00002A3A0000}"/>
    <cellStyle name="Comma 2 2 6 4 3 4 2 4 2" xfId="32702" xr:uid="{00000000-0005-0000-0000-00002B3A0000}"/>
    <cellStyle name="Comma 2 2 6 4 3 4 2 5" xfId="11871" xr:uid="{00000000-0005-0000-0000-00002C3A0000}"/>
    <cellStyle name="Comma 2 2 6 4 3 4 2 5 2" xfId="35150" xr:uid="{00000000-0005-0000-0000-00002D3A0000}"/>
    <cellStyle name="Comma 2 2 6 4 3 4 2 6" xfId="14319" xr:uid="{00000000-0005-0000-0000-00002E3A0000}"/>
    <cellStyle name="Comma 2 2 6 4 3 4 2 6 2" xfId="37598" xr:uid="{00000000-0005-0000-0000-00002F3A0000}"/>
    <cellStyle name="Comma 2 2 6 4 3 4 2 7" xfId="18014" xr:uid="{00000000-0005-0000-0000-0000303A0000}"/>
    <cellStyle name="Comma 2 2 6 4 3 4 2 7 2" xfId="41292" xr:uid="{00000000-0005-0000-0000-0000313A0000}"/>
    <cellStyle name="Comma 2 2 6 4 3 4 2 8" xfId="25358" xr:uid="{00000000-0005-0000-0000-0000323A0000}"/>
    <cellStyle name="Comma 2 2 6 4 3 4 2 9" xfId="46188" xr:uid="{00000000-0005-0000-0000-0000333A0000}"/>
    <cellStyle name="Comma 2 2 6 4 3 4 3" xfId="3303" xr:uid="{00000000-0005-0000-0000-0000343A0000}"/>
    <cellStyle name="Comma 2 2 6 4 3 4 3 2" xfId="16790" xr:uid="{00000000-0005-0000-0000-0000353A0000}"/>
    <cellStyle name="Comma 2 2 6 4 3 4 3 2 2" xfId="40068" xr:uid="{00000000-0005-0000-0000-0000363A0000}"/>
    <cellStyle name="Comma 2 2 6 4 3 4 3 3" xfId="47412" xr:uid="{00000000-0005-0000-0000-0000373A0000}"/>
    <cellStyle name="Comma 2 2 6 4 3 4 3 4" xfId="26582" xr:uid="{00000000-0005-0000-0000-0000383A0000}"/>
    <cellStyle name="Comma 2 2 6 4 3 4 4" xfId="5751" xr:uid="{00000000-0005-0000-0000-0000393A0000}"/>
    <cellStyle name="Comma 2 2 6 4 3 4 4 2" xfId="19238" xr:uid="{00000000-0005-0000-0000-00003A3A0000}"/>
    <cellStyle name="Comma 2 2 6 4 3 4 4 2 2" xfId="42516" xr:uid="{00000000-0005-0000-0000-00003B3A0000}"/>
    <cellStyle name="Comma 2 2 6 4 3 4 4 3" xfId="29030" xr:uid="{00000000-0005-0000-0000-00003C3A0000}"/>
    <cellStyle name="Comma 2 2 6 4 3 4 5" xfId="8199" xr:uid="{00000000-0005-0000-0000-00003D3A0000}"/>
    <cellStyle name="Comma 2 2 6 4 3 4 5 2" xfId="31478" xr:uid="{00000000-0005-0000-0000-00003E3A0000}"/>
    <cellStyle name="Comma 2 2 6 4 3 4 6" xfId="10647" xr:uid="{00000000-0005-0000-0000-00003F3A0000}"/>
    <cellStyle name="Comma 2 2 6 4 3 4 6 2" xfId="33926" xr:uid="{00000000-0005-0000-0000-0000403A0000}"/>
    <cellStyle name="Comma 2 2 6 4 3 4 7" xfId="13095" xr:uid="{00000000-0005-0000-0000-0000413A0000}"/>
    <cellStyle name="Comma 2 2 6 4 3 4 7 2" xfId="36374" xr:uid="{00000000-0005-0000-0000-0000423A0000}"/>
    <cellStyle name="Comma 2 2 6 4 3 4 8" xfId="15566" xr:uid="{00000000-0005-0000-0000-0000433A0000}"/>
    <cellStyle name="Comma 2 2 6 4 3 4 8 2" xfId="38844" xr:uid="{00000000-0005-0000-0000-0000443A0000}"/>
    <cellStyle name="Comma 2 2 6 4 3 4 9" xfId="24134" xr:uid="{00000000-0005-0000-0000-0000453A0000}"/>
    <cellStyle name="Comma 2 2 6 4 3 5" xfId="1467" xr:uid="{00000000-0005-0000-0000-0000463A0000}"/>
    <cellStyle name="Comma 2 2 6 4 3 5 10" xfId="22298" xr:uid="{00000000-0005-0000-0000-0000473A0000}"/>
    <cellStyle name="Comma 2 2 6 4 3 5 2" xfId="3915" xr:uid="{00000000-0005-0000-0000-0000483A0000}"/>
    <cellStyle name="Comma 2 2 6 4 3 5 2 2" xfId="19850" xr:uid="{00000000-0005-0000-0000-0000493A0000}"/>
    <cellStyle name="Comma 2 2 6 4 3 5 2 2 2" xfId="43128" xr:uid="{00000000-0005-0000-0000-00004A3A0000}"/>
    <cellStyle name="Comma 2 2 6 4 3 5 2 3" xfId="48024" xr:uid="{00000000-0005-0000-0000-00004B3A0000}"/>
    <cellStyle name="Comma 2 2 6 4 3 5 2 4" xfId="27194" xr:uid="{00000000-0005-0000-0000-00004C3A0000}"/>
    <cellStyle name="Comma 2 2 6 4 3 5 3" xfId="6363" xr:uid="{00000000-0005-0000-0000-00004D3A0000}"/>
    <cellStyle name="Comma 2 2 6 4 3 5 3 2" xfId="29642" xr:uid="{00000000-0005-0000-0000-00004E3A0000}"/>
    <cellStyle name="Comma 2 2 6 4 3 5 4" xfId="8811" xr:uid="{00000000-0005-0000-0000-00004F3A0000}"/>
    <cellStyle name="Comma 2 2 6 4 3 5 4 2" xfId="32090" xr:uid="{00000000-0005-0000-0000-0000503A0000}"/>
    <cellStyle name="Comma 2 2 6 4 3 5 5" xfId="11259" xr:uid="{00000000-0005-0000-0000-0000513A0000}"/>
    <cellStyle name="Comma 2 2 6 4 3 5 5 2" xfId="34538" xr:uid="{00000000-0005-0000-0000-0000523A0000}"/>
    <cellStyle name="Comma 2 2 6 4 3 5 6" xfId="13707" xr:uid="{00000000-0005-0000-0000-0000533A0000}"/>
    <cellStyle name="Comma 2 2 6 4 3 5 6 2" xfId="36986" xr:uid="{00000000-0005-0000-0000-0000543A0000}"/>
    <cellStyle name="Comma 2 2 6 4 3 5 7" xfId="17402" xr:uid="{00000000-0005-0000-0000-0000553A0000}"/>
    <cellStyle name="Comma 2 2 6 4 3 5 7 2" xfId="40680" xr:uid="{00000000-0005-0000-0000-0000563A0000}"/>
    <cellStyle name="Comma 2 2 6 4 3 5 8" xfId="24746" xr:uid="{00000000-0005-0000-0000-0000573A0000}"/>
    <cellStyle name="Comma 2 2 6 4 3 5 9" xfId="45576" xr:uid="{00000000-0005-0000-0000-0000583A0000}"/>
    <cellStyle name="Comma 2 2 6 4 3 6" xfId="2691" xr:uid="{00000000-0005-0000-0000-0000593A0000}"/>
    <cellStyle name="Comma 2 2 6 4 3 6 2" xfId="16178" xr:uid="{00000000-0005-0000-0000-00005A3A0000}"/>
    <cellStyle name="Comma 2 2 6 4 3 6 2 2" xfId="39456" xr:uid="{00000000-0005-0000-0000-00005B3A0000}"/>
    <cellStyle name="Comma 2 2 6 4 3 6 3" xfId="46800" xr:uid="{00000000-0005-0000-0000-00005C3A0000}"/>
    <cellStyle name="Comma 2 2 6 4 3 6 4" xfId="25970" xr:uid="{00000000-0005-0000-0000-00005D3A0000}"/>
    <cellStyle name="Comma 2 2 6 4 3 7" xfId="5139" xr:uid="{00000000-0005-0000-0000-00005E3A0000}"/>
    <cellStyle name="Comma 2 2 6 4 3 7 2" xfId="18626" xr:uid="{00000000-0005-0000-0000-00005F3A0000}"/>
    <cellStyle name="Comma 2 2 6 4 3 7 2 2" xfId="41904" xr:uid="{00000000-0005-0000-0000-0000603A0000}"/>
    <cellStyle name="Comma 2 2 6 4 3 7 3" xfId="28418" xr:uid="{00000000-0005-0000-0000-0000613A0000}"/>
    <cellStyle name="Comma 2 2 6 4 3 8" xfId="7587" xr:uid="{00000000-0005-0000-0000-0000623A0000}"/>
    <cellStyle name="Comma 2 2 6 4 3 8 2" xfId="30866" xr:uid="{00000000-0005-0000-0000-0000633A0000}"/>
    <cellStyle name="Comma 2 2 6 4 3 9" xfId="10035" xr:uid="{00000000-0005-0000-0000-0000643A0000}"/>
    <cellStyle name="Comma 2 2 6 4 3 9 2" xfId="33314" xr:uid="{00000000-0005-0000-0000-0000653A0000}"/>
    <cellStyle name="Comma 2 2 6 4 4" xfId="311" xr:uid="{00000000-0005-0000-0000-0000663A0000}"/>
    <cellStyle name="Comma 2 2 6 4 4 10" xfId="23590" xr:uid="{00000000-0005-0000-0000-0000673A0000}"/>
    <cellStyle name="Comma 2 2 6 4 4 11" xfId="44420" xr:uid="{00000000-0005-0000-0000-0000683A0000}"/>
    <cellStyle name="Comma 2 2 6 4 4 12" xfId="21142" xr:uid="{00000000-0005-0000-0000-0000693A0000}"/>
    <cellStyle name="Comma 2 2 6 4 4 2" xfId="923" xr:uid="{00000000-0005-0000-0000-00006A3A0000}"/>
    <cellStyle name="Comma 2 2 6 4 4 2 10" xfId="45032" xr:uid="{00000000-0005-0000-0000-00006B3A0000}"/>
    <cellStyle name="Comma 2 2 6 4 4 2 11" xfId="21754" xr:uid="{00000000-0005-0000-0000-00006C3A0000}"/>
    <cellStyle name="Comma 2 2 6 4 4 2 2" xfId="2147" xr:uid="{00000000-0005-0000-0000-00006D3A0000}"/>
    <cellStyle name="Comma 2 2 6 4 4 2 2 10" xfId="22978" xr:uid="{00000000-0005-0000-0000-00006E3A0000}"/>
    <cellStyle name="Comma 2 2 6 4 4 2 2 2" xfId="4595" xr:uid="{00000000-0005-0000-0000-00006F3A0000}"/>
    <cellStyle name="Comma 2 2 6 4 4 2 2 2 2" xfId="20530" xr:uid="{00000000-0005-0000-0000-0000703A0000}"/>
    <cellStyle name="Comma 2 2 6 4 4 2 2 2 2 2" xfId="43808" xr:uid="{00000000-0005-0000-0000-0000713A0000}"/>
    <cellStyle name="Comma 2 2 6 4 4 2 2 2 3" xfId="48704" xr:uid="{00000000-0005-0000-0000-0000723A0000}"/>
    <cellStyle name="Comma 2 2 6 4 4 2 2 2 4" xfId="27874" xr:uid="{00000000-0005-0000-0000-0000733A0000}"/>
    <cellStyle name="Comma 2 2 6 4 4 2 2 3" xfId="7043" xr:uid="{00000000-0005-0000-0000-0000743A0000}"/>
    <cellStyle name="Comma 2 2 6 4 4 2 2 3 2" xfId="30322" xr:uid="{00000000-0005-0000-0000-0000753A0000}"/>
    <cellStyle name="Comma 2 2 6 4 4 2 2 4" xfId="9491" xr:uid="{00000000-0005-0000-0000-0000763A0000}"/>
    <cellStyle name="Comma 2 2 6 4 4 2 2 4 2" xfId="32770" xr:uid="{00000000-0005-0000-0000-0000773A0000}"/>
    <cellStyle name="Comma 2 2 6 4 4 2 2 5" xfId="11939" xr:uid="{00000000-0005-0000-0000-0000783A0000}"/>
    <cellStyle name="Comma 2 2 6 4 4 2 2 5 2" xfId="35218" xr:uid="{00000000-0005-0000-0000-0000793A0000}"/>
    <cellStyle name="Comma 2 2 6 4 4 2 2 6" xfId="14387" xr:uid="{00000000-0005-0000-0000-00007A3A0000}"/>
    <cellStyle name="Comma 2 2 6 4 4 2 2 6 2" xfId="37666" xr:uid="{00000000-0005-0000-0000-00007B3A0000}"/>
    <cellStyle name="Comma 2 2 6 4 4 2 2 7" xfId="18082" xr:uid="{00000000-0005-0000-0000-00007C3A0000}"/>
    <cellStyle name="Comma 2 2 6 4 4 2 2 7 2" xfId="41360" xr:uid="{00000000-0005-0000-0000-00007D3A0000}"/>
    <cellStyle name="Comma 2 2 6 4 4 2 2 8" xfId="25426" xr:uid="{00000000-0005-0000-0000-00007E3A0000}"/>
    <cellStyle name="Comma 2 2 6 4 4 2 2 9" xfId="46256" xr:uid="{00000000-0005-0000-0000-00007F3A0000}"/>
    <cellStyle name="Comma 2 2 6 4 4 2 3" xfId="3371" xr:uid="{00000000-0005-0000-0000-0000803A0000}"/>
    <cellStyle name="Comma 2 2 6 4 4 2 3 2" xfId="16858" xr:uid="{00000000-0005-0000-0000-0000813A0000}"/>
    <cellStyle name="Comma 2 2 6 4 4 2 3 2 2" xfId="40136" xr:uid="{00000000-0005-0000-0000-0000823A0000}"/>
    <cellStyle name="Comma 2 2 6 4 4 2 3 3" xfId="47480" xr:uid="{00000000-0005-0000-0000-0000833A0000}"/>
    <cellStyle name="Comma 2 2 6 4 4 2 3 4" xfId="26650" xr:uid="{00000000-0005-0000-0000-0000843A0000}"/>
    <cellStyle name="Comma 2 2 6 4 4 2 4" xfId="5819" xr:uid="{00000000-0005-0000-0000-0000853A0000}"/>
    <cellStyle name="Comma 2 2 6 4 4 2 4 2" xfId="19306" xr:uid="{00000000-0005-0000-0000-0000863A0000}"/>
    <cellStyle name="Comma 2 2 6 4 4 2 4 2 2" xfId="42584" xr:uid="{00000000-0005-0000-0000-0000873A0000}"/>
    <cellStyle name="Comma 2 2 6 4 4 2 4 3" xfId="29098" xr:uid="{00000000-0005-0000-0000-0000883A0000}"/>
    <cellStyle name="Comma 2 2 6 4 4 2 5" xfId="8267" xr:uid="{00000000-0005-0000-0000-0000893A0000}"/>
    <cellStyle name="Comma 2 2 6 4 4 2 5 2" xfId="31546" xr:uid="{00000000-0005-0000-0000-00008A3A0000}"/>
    <cellStyle name="Comma 2 2 6 4 4 2 6" xfId="10715" xr:uid="{00000000-0005-0000-0000-00008B3A0000}"/>
    <cellStyle name="Comma 2 2 6 4 4 2 6 2" xfId="33994" xr:uid="{00000000-0005-0000-0000-00008C3A0000}"/>
    <cellStyle name="Comma 2 2 6 4 4 2 7" xfId="13163" xr:uid="{00000000-0005-0000-0000-00008D3A0000}"/>
    <cellStyle name="Comma 2 2 6 4 4 2 7 2" xfId="36442" xr:uid="{00000000-0005-0000-0000-00008E3A0000}"/>
    <cellStyle name="Comma 2 2 6 4 4 2 8" xfId="15634" xr:uid="{00000000-0005-0000-0000-00008F3A0000}"/>
    <cellStyle name="Comma 2 2 6 4 4 2 8 2" xfId="38912" xr:uid="{00000000-0005-0000-0000-0000903A0000}"/>
    <cellStyle name="Comma 2 2 6 4 4 2 9" xfId="24202" xr:uid="{00000000-0005-0000-0000-0000913A0000}"/>
    <cellStyle name="Comma 2 2 6 4 4 3" xfId="1535" xr:uid="{00000000-0005-0000-0000-0000923A0000}"/>
    <cellStyle name="Comma 2 2 6 4 4 3 10" xfId="22366" xr:uid="{00000000-0005-0000-0000-0000933A0000}"/>
    <cellStyle name="Comma 2 2 6 4 4 3 2" xfId="3983" xr:uid="{00000000-0005-0000-0000-0000943A0000}"/>
    <cellStyle name="Comma 2 2 6 4 4 3 2 2" xfId="19918" xr:uid="{00000000-0005-0000-0000-0000953A0000}"/>
    <cellStyle name="Comma 2 2 6 4 4 3 2 2 2" xfId="43196" xr:uid="{00000000-0005-0000-0000-0000963A0000}"/>
    <cellStyle name="Comma 2 2 6 4 4 3 2 3" xfId="48092" xr:uid="{00000000-0005-0000-0000-0000973A0000}"/>
    <cellStyle name="Comma 2 2 6 4 4 3 2 4" xfId="27262" xr:uid="{00000000-0005-0000-0000-0000983A0000}"/>
    <cellStyle name="Comma 2 2 6 4 4 3 3" xfId="6431" xr:uid="{00000000-0005-0000-0000-0000993A0000}"/>
    <cellStyle name="Comma 2 2 6 4 4 3 3 2" xfId="29710" xr:uid="{00000000-0005-0000-0000-00009A3A0000}"/>
    <cellStyle name="Comma 2 2 6 4 4 3 4" xfId="8879" xr:uid="{00000000-0005-0000-0000-00009B3A0000}"/>
    <cellStyle name="Comma 2 2 6 4 4 3 4 2" xfId="32158" xr:uid="{00000000-0005-0000-0000-00009C3A0000}"/>
    <cellStyle name="Comma 2 2 6 4 4 3 5" xfId="11327" xr:uid="{00000000-0005-0000-0000-00009D3A0000}"/>
    <cellStyle name="Comma 2 2 6 4 4 3 5 2" xfId="34606" xr:uid="{00000000-0005-0000-0000-00009E3A0000}"/>
    <cellStyle name="Comma 2 2 6 4 4 3 6" xfId="13775" xr:uid="{00000000-0005-0000-0000-00009F3A0000}"/>
    <cellStyle name="Comma 2 2 6 4 4 3 6 2" xfId="37054" xr:uid="{00000000-0005-0000-0000-0000A03A0000}"/>
    <cellStyle name="Comma 2 2 6 4 4 3 7" xfId="17470" xr:uid="{00000000-0005-0000-0000-0000A13A0000}"/>
    <cellStyle name="Comma 2 2 6 4 4 3 7 2" xfId="40748" xr:uid="{00000000-0005-0000-0000-0000A23A0000}"/>
    <cellStyle name="Comma 2 2 6 4 4 3 8" xfId="24814" xr:uid="{00000000-0005-0000-0000-0000A33A0000}"/>
    <cellStyle name="Comma 2 2 6 4 4 3 9" xfId="45644" xr:uid="{00000000-0005-0000-0000-0000A43A0000}"/>
    <cellStyle name="Comma 2 2 6 4 4 4" xfId="2759" xr:uid="{00000000-0005-0000-0000-0000A53A0000}"/>
    <cellStyle name="Comma 2 2 6 4 4 4 2" xfId="16246" xr:uid="{00000000-0005-0000-0000-0000A63A0000}"/>
    <cellStyle name="Comma 2 2 6 4 4 4 2 2" xfId="39524" xr:uid="{00000000-0005-0000-0000-0000A73A0000}"/>
    <cellStyle name="Comma 2 2 6 4 4 4 3" xfId="46868" xr:uid="{00000000-0005-0000-0000-0000A83A0000}"/>
    <cellStyle name="Comma 2 2 6 4 4 4 4" xfId="26038" xr:uid="{00000000-0005-0000-0000-0000A93A0000}"/>
    <cellStyle name="Comma 2 2 6 4 4 5" xfId="5207" xr:uid="{00000000-0005-0000-0000-0000AA3A0000}"/>
    <cellStyle name="Comma 2 2 6 4 4 5 2" xfId="18694" xr:uid="{00000000-0005-0000-0000-0000AB3A0000}"/>
    <cellStyle name="Comma 2 2 6 4 4 5 2 2" xfId="41972" xr:uid="{00000000-0005-0000-0000-0000AC3A0000}"/>
    <cellStyle name="Comma 2 2 6 4 4 5 3" xfId="28486" xr:uid="{00000000-0005-0000-0000-0000AD3A0000}"/>
    <cellStyle name="Comma 2 2 6 4 4 6" xfId="7655" xr:uid="{00000000-0005-0000-0000-0000AE3A0000}"/>
    <cellStyle name="Comma 2 2 6 4 4 6 2" xfId="30934" xr:uid="{00000000-0005-0000-0000-0000AF3A0000}"/>
    <cellStyle name="Comma 2 2 6 4 4 7" xfId="10103" xr:uid="{00000000-0005-0000-0000-0000B03A0000}"/>
    <cellStyle name="Comma 2 2 6 4 4 7 2" xfId="33382" xr:uid="{00000000-0005-0000-0000-0000B13A0000}"/>
    <cellStyle name="Comma 2 2 6 4 4 8" xfId="12551" xr:uid="{00000000-0005-0000-0000-0000B23A0000}"/>
    <cellStyle name="Comma 2 2 6 4 4 8 2" xfId="35830" xr:uid="{00000000-0005-0000-0000-0000B33A0000}"/>
    <cellStyle name="Comma 2 2 6 4 4 9" xfId="15022" xr:uid="{00000000-0005-0000-0000-0000B43A0000}"/>
    <cellStyle name="Comma 2 2 6 4 4 9 2" xfId="38300" xr:uid="{00000000-0005-0000-0000-0000B53A0000}"/>
    <cellStyle name="Comma 2 2 6 4 5" xfId="515" xr:uid="{00000000-0005-0000-0000-0000B63A0000}"/>
    <cellStyle name="Comma 2 2 6 4 5 10" xfId="23794" xr:uid="{00000000-0005-0000-0000-0000B73A0000}"/>
    <cellStyle name="Comma 2 2 6 4 5 11" xfId="44624" xr:uid="{00000000-0005-0000-0000-0000B83A0000}"/>
    <cellStyle name="Comma 2 2 6 4 5 12" xfId="21346" xr:uid="{00000000-0005-0000-0000-0000B93A0000}"/>
    <cellStyle name="Comma 2 2 6 4 5 2" xfId="1127" xr:uid="{00000000-0005-0000-0000-0000BA3A0000}"/>
    <cellStyle name="Comma 2 2 6 4 5 2 10" xfId="45236" xr:uid="{00000000-0005-0000-0000-0000BB3A0000}"/>
    <cellStyle name="Comma 2 2 6 4 5 2 11" xfId="21958" xr:uid="{00000000-0005-0000-0000-0000BC3A0000}"/>
    <cellStyle name="Comma 2 2 6 4 5 2 2" xfId="2351" xr:uid="{00000000-0005-0000-0000-0000BD3A0000}"/>
    <cellStyle name="Comma 2 2 6 4 5 2 2 10" xfId="23182" xr:uid="{00000000-0005-0000-0000-0000BE3A0000}"/>
    <cellStyle name="Comma 2 2 6 4 5 2 2 2" xfId="4799" xr:uid="{00000000-0005-0000-0000-0000BF3A0000}"/>
    <cellStyle name="Comma 2 2 6 4 5 2 2 2 2" xfId="20734" xr:uid="{00000000-0005-0000-0000-0000C03A0000}"/>
    <cellStyle name="Comma 2 2 6 4 5 2 2 2 2 2" xfId="44012" xr:uid="{00000000-0005-0000-0000-0000C13A0000}"/>
    <cellStyle name="Comma 2 2 6 4 5 2 2 2 3" xfId="48908" xr:uid="{00000000-0005-0000-0000-0000C23A0000}"/>
    <cellStyle name="Comma 2 2 6 4 5 2 2 2 4" xfId="28078" xr:uid="{00000000-0005-0000-0000-0000C33A0000}"/>
    <cellStyle name="Comma 2 2 6 4 5 2 2 3" xfId="7247" xr:uid="{00000000-0005-0000-0000-0000C43A0000}"/>
    <cellStyle name="Comma 2 2 6 4 5 2 2 3 2" xfId="30526" xr:uid="{00000000-0005-0000-0000-0000C53A0000}"/>
    <cellStyle name="Comma 2 2 6 4 5 2 2 4" xfId="9695" xr:uid="{00000000-0005-0000-0000-0000C63A0000}"/>
    <cellStyle name="Comma 2 2 6 4 5 2 2 4 2" xfId="32974" xr:uid="{00000000-0005-0000-0000-0000C73A0000}"/>
    <cellStyle name="Comma 2 2 6 4 5 2 2 5" xfId="12143" xr:uid="{00000000-0005-0000-0000-0000C83A0000}"/>
    <cellStyle name="Comma 2 2 6 4 5 2 2 5 2" xfId="35422" xr:uid="{00000000-0005-0000-0000-0000C93A0000}"/>
    <cellStyle name="Comma 2 2 6 4 5 2 2 6" xfId="14591" xr:uid="{00000000-0005-0000-0000-0000CA3A0000}"/>
    <cellStyle name="Comma 2 2 6 4 5 2 2 6 2" xfId="37870" xr:uid="{00000000-0005-0000-0000-0000CB3A0000}"/>
    <cellStyle name="Comma 2 2 6 4 5 2 2 7" xfId="18286" xr:uid="{00000000-0005-0000-0000-0000CC3A0000}"/>
    <cellStyle name="Comma 2 2 6 4 5 2 2 7 2" xfId="41564" xr:uid="{00000000-0005-0000-0000-0000CD3A0000}"/>
    <cellStyle name="Comma 2 2 6 4 5 2 2 8" xfId="25630" xr:uid="{00000000-0005-0000-0000-0000CE3A0000}"/>
    <cellStyle name="Comma 2 2 6 4 5 2 2 9" xfId="46460" xr:uid="{00000000-0005-0000-0000-0000CF3A0000}"/>
    <cellStyle name="Comma 2 2 6 4 5 2 3" xfId="3575" xr:uid="{00000000-0005-0000-0000-0000D03A0000}"/>
    <cellStyle name="Comma 2 2 6 4 5 2 3 2" xfId="17062" xr:uid="{00000000-0005-0000-0000-0000D13A0000}"/>
    <cellStyle name="Comma 2 2 6 4 5 2 3 2 2" xfId="40340" xr:uid="{00000000-0005-0000-0000-0000D23A0000}"/>
    <cellStyle name="Comma 2 2 6 4 5 2 3 3" xfId="47684" xr:uid="{00000000-0005-0000-0000-0000D33A0000}"/>
    <cellStyle name="Comma 2 2 6 4 5 2 3 4" xfId="26854" xr:uid="{00000000-0005-0000-0000-0000D43A0000}"/>
    <cellStyle name="Comma 2 2 6 4 5 2 4" xfId="6023" xr:uid="{00000000-0005-0000-0000-0000D53A0000}"/>
    <cellStyle name="Comma 2 2 6 4 5 2 4 2" xfId="19510" xr:uid="{00000000-0005-0000-0000-0000D63A0000}"/>
    <cellStyle name="Comma 2 2 6 4 5 2 4 2 2" xfId="42788" xr:uid="{00000000-0005-0000-0000-0000D73A0000}"/>
    <cellStyle name="Comma 2 2 6 4 5 2 4 3" xfId="29302" xr:uid="{00000000-0005-0000-0000-0000D83A0000}"/>
    <cellStyle name="Comma 2 2 6 4 5 2 5" xfId="8471" xr:uid="{00000000-0005-0000-0000-0000D93A0000}"/>
    <cellStyle name="Comma 2 2 6 4 5 2 5 2" xfId="31750" xr:uid="{00000000-0005-0000-0000-0000DA3A0000}"/>
    <cellStyle name="Comma 2 2 6 4 5 2 6" xfId="10919" xr:uid="{00000000-0005-0000-0000-0000DB3A0000}"/>
    <cellStyle name="Comma 2 2 6 4 5 2 6 2" xfId="34198" xr:uid="{00000000-0005-0000-0000-0000DC3A0000}"/>
    <cellStyle name="Comma 2 2 6 4 5 2 7" xfId="13367" xr:uid="{00000000-0005-0000-0000-0000DD3A0000}"/>
    <cellStyle name="Comma 2 2 6 4 5 2 7 2" xfId="36646" xr:uid="{00000000-0005-0000-0000-0000DE3A0000}"/>
    <cellStyle name="Comma 2 2 6 4 5 2 8" xfId="15838" xr:uid="{00000000-0005-0000-0000-0000DF3A0000}"/>
    <cellStyle name="Comma 2 2 6 4 5 2 8 2" xfId="39116" xr:uid="{00000000-0005-0000-0000-0000E03A0000}"/>
    <cellStyle name="Comma 2 2 6 4 5 2 9" xfId="24406" xr:uid="{00000000-0005-0000-0000-0000E13A0000}"/>
    <cellStyle name="Comma 2 2 6 4 5 3" xfId="1739" xr:uid="{00000000-0005-0000-0000-0000E23A0000}"/>
    <cellStyle name="Comma 2 2 6 4 5 3 10" xfId="22570" xr:uid="{00000000-0005-0000-0000-0000E33A0000}"/>
    <cellStyle name="Comma 2 2 6 4 5 3 2" xfId="4187" xr:uid="{00000000-0005-0000-0000-0000E43A0000}"/>
    <cellStyle name="Comma 2 2 6 4 5 3 2 2" xfId="20122" xr:uid="{00000000-0005-0000-0000-0000E53A0000}"/>
    <cellStyle name="Comma 2 2 6 4 5 3 2 2 2" xfId="43400" xr:uid="{00000000-0005-0000-0000-0000E63A0000}"/>
    <cellStyle name="Comma 2 2 6 4 5 3 2 3" xfId="48296" xr:uid="{00000000-0005-0000-0000-0000E73A0000}"/>
    <cellStyle name="Comma 2 2 6 4 5 3 2 4" xfId="27466" xr:uid="{00000000-0005-0000-0000-0000E83A0000}"/>
    <cellStyle name="Comma 2 2 6 4 5 3 3" xfId="6635" xr:uid="{00000000-0005-0000-0000-0000E93A0000}"/>
    <cellStyle name="Comma 2 2 6 4 5 3 3 2" xfId="29914" xr:uid="{00000000-0005-0000-0000-0000EA3A0000}"/>
    <cellStyle name="Comma 2 2 6 4 5 3 4" xfId="9083" xr:uid="{00000000-0005-0000-0000-0000EB3A0000}"/>
    <cellStyle name="Comma 2 2 6 4 5 3 4 2" xfId="32362" xr:uid="{00000000-0005-0000-0000-0000EC3A0000}"/>
    <cellStyle name="Comma 2 2 6 4 5 3 5" xfId="11531" xr:uid="{00000000-0005-0000-0000-0000ED3A0000}"/>
    <cellStyle name="Comma 2 2 6 4 5 3 5 2" xfId="34810" xr:uid="{00000000-0005-0000-0000-0000EE3A0000}"/>
    <cellStyle name="Comma 2 2 6 4 5 3 6" xfId="13979" xr:uid="{00000000-0005-0000-0000-0000EF3A0000}"/>
    <cellStyle name="Comma 2 2 6 4 5 3 6 2" xfId="37258" xr:uid="{00000000-0005-0000-0000-0000F03A0000}"/>
    <cellStyle name="Comma 2 2 6 4 5 3 7" xfId="17674" xr:uid="{00000000-0005-0000-0000-0000F13A0000}"/>
    <cellStyle name="Comma 2 2 6 4 5 3 7 2" xfId="40952" xr:uid="{00000000-0005-0000-0000-0000F23A0000}"/>
    <cellStyle name="Comma 2 2 6 4 5 3 8" xfId="25018" xr:uid="{00000000-0005-0000-0000-0000F33A0000}"/>
    <cellStyle name="Comma 2 2 6 4 5 3 9" xfId="45848" xr:uid="{00000000-0005-0000-0000-0000F43A0000}"/>
    <cellStyle name="Comma 2 2 6 4 5 4" xfId="2963" xr:uid="{00000000-0005-0000-0000-0000F53A0000}"/>
    <cellStyle name="Comma 2 2 6 4 5 4 2" xfId="16450" xr:uid="{00000000-0005-0000-0000-0000F63A0000}"/>
    <cellStyle name="Comma 2 2 6 4 5 4 2 2" xfId="39728" xr:uid="{00000000-0005-0000-0000-0000F73A0000}"/>
    <cellStyle name="Comma 2 2 6 4 5 4 3" xfId="47072" xr:uid="{00000000-0005-0000-0000-0000F83A0000}"/>
    <cellStyle name="Comma 2 2 6 4 5 4 4" xfId="26242" xr:uid="{00000000-0005-0000-0000-0000F93A0000}"/>
    <cellStyle name="Comma 2 2 6 4 5 5" xfId="5411" xr:uid="{00000000-0005-0000-0000-0000FA3A0000}"/>
    <cellStyle name="Comma 2 2 6 4 5 5 2" xfId="18898" xr:uid="{00000000-0005-0000-0000-0000FB3A0000}"/>
    <cellStyle name="Comma 2 2 6 4 5 5 2 2" xfId="42176" xr:uid="{00000000-0005-0000-0000-0000FC3A0000}"/>
    <cellStyle name="Comma 2 2 6 4 5 5 3" xfId="28690" xr:uid="{00000000-0005-0000-0000-0000FD3A0000}"/>
    <cellStyle name="Comma 2 2 6 4 5 6" xfId="7859" xr:uid="{00000000-0005-0000-0000-0000FE3A0000}"/>
    <cellStyle name="Comma 2 2 6 4 5 6 2" xfId="31138" xr:uid="{00000000-0005-0000-0000-0000FF3A0000}"/>
    <cellStyle name="Comma 2 2 6 4 5 7" xfId="10307" xr:uid="{00000000-0005-0000-0000-0000003B0000}"/>
    <cellStyle name="Comma 2 2 6 4 5 7 2" xfId="33586" xr:uid="{00000000-0005-0000-0000-0000013B0000}"/>
    <cellStyle name="Comma 2 2 6 4 5 8" xfId="12755" xr:uid="{00000000-0005-0000-0000-0000023B0000}"/>
    <cellStyle name="Comma 2 2 6 4 5 8 2" xfId="36034" xr:uid="{00000000-0005-0000-0000-0000033B0000}"/>
    <cellStyle name="Comma 2 2 6 4 5 9" xfId="15226" xr:uid="{00000000-0005-0000-0000-0000043B0000}"/>
    <cellStyle name="Comma 2 2 6 4 5 9 2" xfId="38504" xr:uid="{00000000-0005-0000-0000-0000053B0000}"/>
    <cellStyle name="Comma 2 2 6 4 6" xfId="719" xr:uid="{00000000-0005-0000-0000-0000063B0000}"/>
    <cellStyle name="Comma 2 2 6 4 6 10" xfId="44828" xr:uid="{00000000-0005-0000-0000-0000073B0000}"/>
    <cellStyle name="Comma 2 2 6 4 6 11" xfId="21550" xr:uid="{00000000-0005-0000-0000-0000083B0000}"/>
    <cellStyle name="Comma 2 2 6 4 6 2" xfId="1943" xr:uid="{00000000-0005-0000-0000-0000093B0000}"/>
    <cellStyle name="Comma 2 2 6 4 6 2 10" xfId="22774" xr:uid="{00000000-0005-0000-0000-00000A3B0000}"/>
    <cellStyle name="Comma 2 2 6 4 6 2 2" xfId="4391" xr:uid="{00000000-0005-0000-0000-00000B3B0000}"/>
    <cellStyle name="Comma 2 2 6 4 6 2 2 2" xfId="20326" xr:uid="{00000000-0005-0000-0000-00000C3B0000}"/>
    <cellStyle name="Comma 2 2 6 4 6 2 2 2 2" xfId="43604" xr:uid="{00000000-0005-0000-0000-00000D3B0000}"/>
    <cellStyle name="Comma 2 2 6 4 6 2 2 3" xfId="48500" xr:uid="{00000000-0005-0000-0000-00000E3B0000}"/>
    <cellStyle name="Comma 2 2 6 4 6 2 2 4" xfId="27670" xr:uid="{00000000-0005-0000-0000-00000F3B0000}"/>
    <cellStyle name="Comma 2 2 6 4 6 2 3" xfId="6839" xr:uid="{00000000-0005-0000-0000-0000103B0000}"/>
    <cellStyle name="Comma 2 2 6 4 6 2 3 2" xfId="30118" xr:uid="{00000000-0005-0000-0000-0000113B0000}"/>
    <cellStyle name="Comma 2 2 6 4 6 2 4" xfId="9287" xr:uid="{00000000-0005-0000-0000-0000123B0000}"/>
    <cellStyle name="Comma 2 2 6 4 6 2 4 2" xfId="32566" xr:uid="{00000000-0005-0000-0000-0000133B0000}"/>
    <cellStyle name="Comma 2 2 6 4 6 2 5" xfId="11735" xr:uid="{00000000-0005-0000-0000-0000143B0000}"/>
    <cellStyle name="Comma 2 2 6 4 6 2 5 2" xfId="35014" xr:uid="{00000000-0005-0000-0000-0000153B0000}"/>
    <cellStyle name="Comma 2 2 6 4 6 2 6" xfId="14183" xr:uid="{00000000-0005-0000-0000-0000163B0000}"/>
    <cellStyle name="Comma 2 2 6 4 6 2 6 2" xfId="37462" xr:uid="{00000000-0005-0000-0000-0000173B0000}"/>
    <cellStyle name="Comma 2 2 6 4 6 2 7" xfId="17878" xr:uid="{00000000-0005-0000-0000-0000183B0000}"/>
    <cellStyle name="Comma 2 2 6 4 6 2 7 2" xfId="41156" xr:uid="{00000000-0005-0000-0000-0000193B0000}"/>
    <cellStyle name="Comma 2 2 6 4 6 2 8" xfId="25222" xr:uid="{00000000-0005-0000-0000-00001A3B0000}"/>
    <cellStyle name="Comma 2 2 6 4 6 2 9" xfId="46052" xr:uid="{00000000-0005-0000-0000-00001B3B0000}"/>
    <cellStyle name="Comma 2 2 6 4 6 3" xfId="3167" xr:uid="{00000000-0005-0000-0000-00001C3B0000}"/>
    <cellStyle name="Comma 2 2 6 4 6 3 2" xfId="16654" xr:uid="{00000000-0005-0000-0000-00001D3B0000}"/>
    <cellStyle name="Comma 2 2 6 4 6 3 2 2" xfId="39932" xr:uid="{00000000-0005-0000-0000-00001E3B0000}"/>
    <cellStyle name="Comma 2 2 6 4 6 3 3" xfId="47276" xr:uid="{00000000-0005-0000-0000-00001F3B0000}"/>
    <cellStyle name="Comma 2 2 6 4 6 3 4" xfId="26446" xr:uid="{00000000-0005-0000-0000-0000203B0000}"/>
    <cellStyle name="Comma 2 2 6 4 6 4" xfId="5615" xr:uid="{00000000-0005-0000-0000-0000213B0000}"/>
    <cellStyle name="Comma 2 2 6 4 6 4 2" xfId="19102" xr:uid="{00000000-0005-0000-0000-0000223B0000}"/>
    <cellStyle name="Comma 2 2 6 4 6 4 2 2" xfId="42380" xr:uid="{00000000-0005-0000-0000-0000233B0000}"/>
    <cellStyle name="Comma 2 2 6 4 6 4 3" xfId="28894" xr:uid="{00000000-0005-0000-0000-0000243B0000}"/>
    <cellStyle name="Comma 2 2 6 4 6 5" xfId="8063" xr:uid="{00000000-0005-0000-0000-0000253B0000}"/>
    <cellStyle name="Comma 2 2 6 4 6 5 2" xfId="31342" xr:uid="{00000000-0005-0000-0000-0000263B0000}"/>
    <cellStyle name="Comma 2 2 6 4 6 6" xfId="10511" xr:uid="{00000000-0005-0000-0000-0000273B0000}"/>
    <cellStyle name="Comma 2 2 6 4 6 6 2" xfId="33790" xr:uid="{00000000-0005-0000-0000-0000283B0000}"/>
    <cellStyle name="Comma 2 2 6 4 6 7" xfId="12959" xr:uid="{00000000-0005-0000-0000-0000293B0000}"/>
    <cellStyle name="Comma 2 2 6 4 6 7 2" xfId="36238" xr:uid="{00000000-0005-0000-0000-00002A3B0000}"/>
    <cellStyle name="Comma 2 2 6 4 6 8" xfId="15430" xr:uid="{00000000-0005-0000-0000-00002B3B0000}"/>
    <cellStyle name="Comma 2 2 6 4 6 8 2" xfId="38708" xr:uid="{00000000-0005-0000-0000-00002C3B0000}"/>
    <cellStyle name="Comma 2 2 6 4 6 9" xfId="23998" xr:uid="{00000000-0005-0000-0000-00002D3B0000}"/>
    <cellStyle name="Comma 2 2 6 4 7" xfId="1331" xr:uid="{00000000-0005-0000-0000-00002E3B0000}"/>
    <cellStyle name="Comma 2 2 6 4 7 10" xfId="22162" xr:uid="{00000000-0005-0000-0000-00002F3B0000}"/>
    <cellStyle name="Comma 2 2 6 4 7 2" xfId="3779" xr:uid="{00000000-0005-0000-0000-0000303B0000}"/>
    <cellStyle name="Comma 2 2 6 4 7 2 2" xfId="19714" xr:uid="{00000000-0005-0000-0000-0000313B0000}"/>
    <cellStyle name="Comma 2 2 6 4 7 2 2 2" xfId="42992" xr:uid="{00000000-0005-0000-0000-0000323B0000}"/>
    <cellStyle name="Comma 2 2 6 4 7 2 3" xfId="47888" xr:uid="{00000000-0005-0000-0000-0000333B0000}"/>
    <cellStyle name="Comma 2 2 6 4 7 2 4" xfId="27058" xr:uid="{00000000-0005-0000-0000-0000343B0000}"/>
    <cellStyle name="Comma 2 2 6 4 7 3" xfId="6227" xr:uid="{00000000-0005-0000-0000-0000353B0000}"/>
    <cellStyle name="Comma 2 2 6 4 7 3 2" xfId="29506" xr:uid="{00000000-0005-0000-0000-0000363B0000}"/>
    <cellStyle name="Comma 2 2 6 4 7 4" xfId="8675" xr:uid="{00000000-0005-0000-0000-0000373B0000}"/>
    <cellStyle name="Comma 2 2 6 4 7 4 2" xfId="31954" xr:uid="{00000000-0005-0000-0000-0000383B0000}"/>
    <cellStyle name="Comma 2 2 6 4 7 5" xfId="11123" xr:uid="{00000000-0005-0000-0000-0000393B0000}"/>
    <cellStyle name="Comma 2 2 6 4 7 5 2" xfId="34402" xr:uid="{00000000-0005-0000-0000-00003A3B0000}"/>
    <cellStyle name="Comma 2 2 6 4 7 6" xfId="13571" xr:uid="{00000000-0005-0000-0000-00003B3B0000}"/>
    <cellStyle name="Comma 2 2 6 4 7 6 2" xfId="36850" xr:uid="{00000000-0005-0000-0000-00003C3B0000}"/>
    <cellStyle name="Comma 2 2 6 4 7 7" xfId="17266" xr:uid="{00000000-0005-0000-0000-00003D3B0000}"/>
    <cellStyle name="Comma 2 2 6 4 7 7 2" xfId="40544" xr:uid="{00000000-0005-0000-0000-00003E3B0000}"/>
    <cellStyle name="Comma 2 2 6 4 7 8" xfId="24610" xr:uid="{00000000-0005-0000-0000-00003F3B0000}"/>
    <cellStyle name="Comma 2 2 6 4 7 9" xfId="45440" xr:uid="{00000000-0005-0000-0000-0000403B0000}"/>
    <cellStyle name="Comma 2 2 6 4 8" xfId="2555" xr:uid="{00000000-0005-0000-0000-0000413B0000}"/>
    <cellStyle name="Comma 2 2 6 4 8 2" xfId="16042" xr:uid="{00000000-0005-0000-0000-0000423B0000}"/>
    <cellStyle name="Comma 2 2 6 4 8 2 2" xfId="39320" xr:uid="{00000000-0005-0000-0000-0000433B0000}"/>
    <cellStyle name="Comma 2 2 6 4 8 3" xfId="46664" xr:uid="{00000000-0005-0000-0000-0000443B0000}"/>
    <cellStyle name="Comma 2 2 6 4 8 4" xfId="25834" xr:uid="{00000000-0005-0000-0000-0000453B0000}"/>
    <cellStyle name="Comma 2 2 6 4 9" xfId="5003" xr:uid="{00000000-0005-0000-0000-0000463B0000}"/>
    <cellStyle name="Comma 2 2 6 4 9 2" xfId="18490" xr:uid="{00000000-0005-0000-0000-0000473B0000}"/>
    <cellStyle name="Comma 2 2 6 4 9 2 2" xfId="41768" xr:uid="{00000000-0005-0000-0000-0000483B0000}"/>
    <cellStyle name="Comma 2 2 6 4 9 3" xfId="28282" xr:uid="{00000000-0005-0000-0000-0000493B0000}"/>
    <cellStyle name="Comma 2 2 6 5" xfId="124" xr:uid="{00000000-0005-0000-0000-00004A3B0000}"/>
    <cellStyle name="Comma 2 2 6 5 10" xfId="12364" xr:uid="{00000000-0005-0000-0000-00004B3B0000}"/>
    <cellStyle name="Comma 2 2 6 5 10 2" xfId="35643" xr:uid="{00000000-0005-0000-0000-00004C3B0000}"/>
    <cellStyle name="Comma 2 2 6 5 11" xfId="14835" xr:uid="{00000000-0005-0000-0000-00004D3B0000}"/>
    <cellStyle name="Comma 2 2 6 5 11 2" xfId="38113" xr:uid="{00000000-0005-0000-0000-00004E3B0000}"/>
    <cellStyle name="Comma 2 2 6 5 12" xfId="23403" xr:uid="{00000000-0005-0000-0000-00004F3B0000}"/>
    <cellStyle name="Comma 2 2 6 5 13" xfId="44233" xr:uid="{00000000-0005-0000-0000-0000503B0000}"/>
    <cellStyle name="Comma 2 2 6 5 14" xfId="20955" xr:uid="{00000000-0005-0000-0000-0000513B0000}"/>
    <cellStyle name="Comma 2 2 6 5 2" xfId="328" xr:uid="{00000000-0005-0000-0000-0000523B0000}"/>
    <cellStyle name="Comma 2 2 6 5 2 10" xfId="23607" xr:uid="{00000000-0005-0000-0000-0000533B0000}"/>
    <cellStyle name="Comma 2 2 6 5 2 11" xfId="44437" xr:uid="{00000000-0005-0000-0000-0000543B0000}"/>
    <cellStyle name="Comma 2 2 6 5 2 12" xfId="21159" xr:uid="{00000000-0005-0000-0000-0000553B0000}"/>
    <cellStyle name="Comma 2 2 6 5 2 2" xfId="940" xr:uid="{00000000-0005-0000-0000-0000563B0000}"/>
    <cellStyle name="Comma 2 2 6 5 2 2 10" xfId="45049" xr:uid="{00000000-0005-0000-0000-0000573B0000}"/>
    <cellStyle name="Comma 2 2 6 5 2 2 11" xfId="21771" xr:uid="{00000000-0005-0000-0000-0000583B0000}"/>
    <cellStyle name="Comma 2 2 6 5 2 2 2" xfId="2164" xr:uid="{00000000-0005-0000-0000-0000593B0000}"/>
    <cellStyle name="Comma 2 2 6 5 2 2 2 10" xfId="22995" xr:uid="{00000000-0005-0000-0000-00005A3B0000}"/>
    <cellStyle name="Comma 2 2 6 5 2 2 2 2" xfId="4612" xr:uid="{00000000-0005-0000-0000-00005B3B0000}"/>
    <cellStyle name="Comma 2 2 6 5 2 2 2 2 2" xfId="20547" xr:uid="{00000000-0005-0000-0000-00005C3B0000}"/>
    <cellStyle name="Comma 2 2 6 5 2 2 2 2 2 2" xfId="43825" xr:uid="{00000000-0005-0000-0000-00005D3B0000}"/>
    <cellStyle name="Comma 2 2 6 5 2 2 2 2 3" xfId="48721" xr:uid="{00000000-0005-0000-0000-00005E3B0000}"/>
    <cellStyle name="Comma 2 2 6 5 2 2 2 2 4" xfId="27891" xr:uid="{00000000-0005-0000-0000-00005F3B0000}"/>
    <cellStyle name="Comma 2 2 6 5 2 2 2 3" xfId="7060" xr:uid="{00000000-0005-0000-0000-0000603B0000}"/>
    <cellStyle name="Comma 2 2 6 5 2 2 2 3 2" xfId="30339" xr:uid="{00000000-0005-0000-0000-0000613B0000}"/>
    <cellStyle name="Comma 2 2 6 5 2 2 2 4" xfId="9508" xr:uid="{00000000-0005-0000-0000-0000623B0000}"/>
    <cellStyle name="Comma 2 2 6 5 2 2 2 4 2" xfId="32787" xr:uid="{00000000-0005-0000-0000-0000633B0000}"/>
    <cellStyle name="Comma 2 2 6 5 2 2 2 5" xfId="11956" xr:uid="{00000000-0005-0000-0000-0000643B0000}"/>
    <cellStyle name="Comma 2 2 6 5 2 2 2 5 2" xfId="35235" xr:uid="{00000000-0005-0000-0000-0000653B0000}"/>
    <cellStyle name="Comma 2 2 6 5 2 2 2 6" xfId="14404" xr:uid="{00000000-0005-0000-0000-0000663B0000}"/>
    <cellStyle name="Comma 2 2 6 5 2 2 2 6 2" xfId="37683" xr:uid="{00000000-0005-0000-0000-0000673B0000}"/>
    <cellStyle name="Comma 2 2 6 5 2 2 2 7" xfId="18099" xr:uid="{00000000-0005-0000-0000-0000683B0000}"/>
    <cellStyle name="Comma 2 2 6 5 2 2 2 7 2" xfId="41377" xr:uid="{00000000-0005-0000-0000-0000693B0000}"/>
    <cellStyle name="Comma 2 2 6 5 2 2 2 8" xfId="25443" xr:uid="{00000000-0005-0000-0000-00006A3B0000}"/>
    <cellStyle name="Comma 2 2 6 5 2 2 2 9" xfId="46273" xr:uid="{00000000-0005-0000-0000-00006B3B0000}"/>
    <cellStyle name="Comma 2 2 6 5 2 2 3" xfId="3388" xr:uid="{00000000-0005-0000-0000-00006C3B0000}"/>
    <cellStyle name="Comma 2 2 6 5 2 2 3 2" xfId="16875" xr:uid="{00000000-0005-0000-0000-00006D3B0000}"/>
    <cellStyle name="Comma 2 2 6 5 2 2 3 2 2" xfId="40153" xr:uid="{00000000-0005-0000-0000-00006E3B0000}"/>
    <cellStyle name="Comma 2 2 6 5 2 2 3 3" xfId="47497" xr:uid="{00000000-0005-0000-0000-00006F3B0000}"/>
    <cellStyle name="Comma 2 2 6 5 2 2 3 4" xfId="26667" xr:uid="{00000000-0005-0000-0000-0000703B0000}"/>
    <cellStyle name="Comma 2 2 6 5 2 2 4" xfId="5836" xr:uid="{00000000-0005-0000-0000-0000713B0000}"/>
    <cellStyle name="Comma 2 2 6 5 2 2 4 2" xfId="19323" xr:uid="{00000000-0005-0000-0000-0000723B0000}"/>
    <cellStyle name="Comma 2 2 6 5 2 2 4 2 2" xfId="42601" xr:uid="{00000000-0005-0000-0000-0000733B0000}"/>
    <cellStyle name="Comma 2 2 6 5 2 2 4 3" xfId="29115" xr:uid="{00000000-0005-0000-0000-0000743B0000}"/>
    <cellStyle name="Comma 2 2 6 5 2 2 5" xfId="8284" xr:uid="{00000000-0005-0000-0000-0000753B0000}"/>
    <cellStyle name="Comma 2 2 6 5 2 2 5 2" xfId="31563" xr:uid="{00000000-0005-0000-0000-0000763B0000}"/>
    <cellStyle name="Comma 2 2 6 5 2 2 6" xfId="10732" xr:uid="{00000000-0005-0000-0000-0000773B0000}"/>
    <cellStyle name="Comma 2 2 6 5 2 2 6 2" xfId="34011" xr:uid="{00000000-0005-0000-0000-0000783B0000}"/>
    <cellStyle name="Comma 2 2 6 5 2 2 7" xfId="13180" xr:uid="{00000000-0005-0000-0000-0000793B0000}"/>
    <cellStyle name="Comma 2 2 6 5 2 2 7 2" xfId="36459" xr:uid="{00000000-0005-0000-0000-00007A3B0000}"/>
    <cellStyle name="Comma 2 2 6 5 2 2 8" xfId="15651" xr:uid="{00000000-0005-0000-0000-00007B3B0000}"/>
    <cellStyle name="Comma 2 2 6 5 2 2 8 2" xfId="38929" xr:uid="{00000000-0005-0000-0000-00007C3B0000}"/>
    <cellStyle name="Comma 2 2 6 5 2 2 9" xfId="24219" xr:uid="{00000000-0005-0000-0000-00007D3B0000}"/>
    <cellStyle name="Comma 2 2 6 5 2 3" xfId="1552" xr:uid="{00000000-0005-0000-0000-00007E3B0000}"/>
    <cellStyle name="Comma 2 2 6 5 2 3 10" xfId="22383" xr:uid="{00000000-0005-0000-0000-00007F3B0000}"/>
    <cellStyle name="Comma 2 2 6 5 2 3 2" xfId="4000" xr:uid="{00000000-0005-0000-0000-0000803B0000}"/>
    <cellStyle name="Comma 2 2 6 5 2 3 2 2" xfId="19935" xr:uid="{00000000-0005-0000-0000-0000813B0000}"/>
    <cellStyle name="Comma 2 2 6 5 2 3 2 2 2" xfId="43213" xr:uid="{00000000-0005-0000-0000-0000823B0000}"/>
    <cellStyle name="Comma 2 2 6 5 2 3 2 3" xfId="48109" xr:uid="{00000000-0005-0000-0000-0000833B0000}"/>
    <cellStyle name="Comma 2 2 6 5 2 3 2 4" xfId="27279" xr:uid="{00000000-0005-0000-0000-0000843B0000}"/>
    <cellStyle name="Comma 2 2 6 5 2 3 3" xfId="6448" xr:uid="{00000000-0005-0000-0000-0000853B0000}"/>
    <cellStyle name="Comma 2 2 6 5 2 3 3 2" xfId="29727" xr:uid="{00000000-0005-0000-0000-0000863B0000}"/>
    <cellStyle name="Comma 2 2 6 5 2 3 4" xfId="8896" xr:uid="{00000000-0005-0000-0000-0000873B0000}"/>
    <cellStyle name="Comma 2 2 6 5 2 3 4 2" xfId="32175" xr:uid="{00000000-0005-0000-0000-0000883B0000}"/>
    <cellStyle name="Comma 2 2 6 5 2 3 5" xfId="11344" xr:uid="{00000000-0005-0000-0000-0000893B0000}"/>
    <cellStyle name="Comma 2 2 6 5 2 3 5 2" xfId="34623" xr:uid="{00000000-0005-0000-0000-00008A3B0000}"/>
    <cellStyle name="Comma 2 2 6 5 2 3 6" xfId="13792" xr:uid="{00000000-0005-0000-0000-00008B3B0000}"/>
    <cellStyle name="Comma 2 2 6 5 2 3 6 2" xfId="37071" xr:uid="{00000000-0005-0000-0000-00008C3B0000}"/>
    <cellStyle name="Comma 2 2 6 5 2 3 7" xfId="17487" xr:uid="{00000000-0005-0000-0000-00008D3B0000}"/>
    <cellStyle name="Comma 2 2 6 5 2 3 7 2" xfId="40765" xr:uid="{00000000-0005-0000-0000-00008E3B0000}"/>
    <cellStyle name="Comma 2 2 6 5 2 3 8" xfId="24831" xr:uid="{00000000-0005-0000-0000-00008F3B0000}"/>
    <cellStyle name="Comma 2 2 6 5 2 3 9" xfId="45661" xr:uid="{00000000-0005-0000-0000-0000903B0000}"/>
    <cellStyle name="Comma 2 2 6 5 2 4" xfId="2776" xr:uid="{00000000-0005-0000-0000-0000913B0000}"/>
    <cellStyle name="Comma 2 2 6 5 2 4 2" xfId="16263" xr:uid="{00000000-0005-0000-0000-0000923B0000}"/>
    <cellStyle name="Comma 2 2 6 5 2 4 2 2" xfId="39541" xr:uid="{00000000-0005-0000-0000-0000933B0000}"/>
    <cellStyle name="Comma 2 2 6 5 2 4 3" xfId="46885" xr:uid="{00000000-0005-0000-0000-0000943B0000}"/>
    <cellStyle name="Comma 2 2 6 5 2 4 4" xfId="26055" xr:uid="{00000000-0005-0000-0000-0000953B0000}"/>
    <cellStyle name="Comma 2 2 6 5 2 5" xfId="5224" xr:uid="{00000000-0005-0000-0000-0000963B0000}"/>
    <cellStyle name="Comma 2 2 6 5 2 5 2" xfId="18711" xr:uid="{00000000-0005-0000-0000-0000973B0000}"/>
    <cellStyle name="Comma 2 2 6 5 2 5 2 2" xfId="41989" xr:uid="{00000000-0005-0000-0000-0000983B0000}"/>
    <cellStyle name="Comma 2 2 6 5 2 5 3" xfId="28503" xr:uid="{00000000-0005-0000-0000-0000993B0000}"/>
    <cellStyle name="Comma 2 2 6 5 2 6" xfId="7672" xr:uid="{00000000-0005-0000-0000-00009A3B0000}"/>
    <cellStyle name="Comma 2 2 6 5 2 6 2" xfId="30951" xr:uid="{00000000-0005-0000-0000-00009B3B0000}"/>
    <cellStyle name="Comma 2 2 6 5 2 7" xfId="10120" xr:uid="{00000000-0005-0000-0000-00009C3B0000}"/>
    <cellStyle name="Comma 2 2 6 5 2 7 2" xfId="33399" xr:uid="{00000000-0005-0000-0000-00009D3B0000}"/>
    <cellStyle name="Comma 2 2 6 5 2 8" xfId="12568" xr:uid="{00000000-0005-0000-0000-00009E3B0000}"/>
    <cellStyle name="Comma 2 2 6 5 2 8 2" xfId="35847" xr:uid="{00000000-0005-0000-0000-00009F3B0000}"/>
    <cellStyle name="Comma 2 2 6 5 2 9" xfId="15039" xr:uid="{00000000-0005-0000-0000-0000A03B0000}"/>
    <cellStyle name="Comma 2 2 6 5 2 9 2" xfId="38317" xr:uid="{00000000-0005-0000-0000-0000A13B0000}"/>
    <cellStyle name="Comma 2 2 6 5 3" xfId="532" xr:uid="{00000000-0005-0000-0000-0000A23B0000}"/>
    <cellStyle name="Comma 2 2 6 5 3 10" xfId="23811" xr:uid="{00000000-0005-0000-0000-0000A33B0000}"/>
    <cellStyle name="Comma 2 2 6 5 3 11" xfId="44641" xr:uid="{00000000-0005-0000-0000-0000A43B0000}"/>
    <cellStyle name="Comma 2 2 6 5 3 12" xfId="21363" xr:uid="{00000000-0005-0000-0000-0000A53B0000}"/>
    <cellStyle name="Comma 2 2 6 5 3 2" xfId="1144" xr:uid="{00000000-0005-0000-0000-0000A63B0000}"/>
    <cellStyle name="Comma 2 2 6 5 3 2 10" xfId="45253" xr:uid="{00000000-0005-0000-0000-0000A73B0000}"/>
    <cellStyle name="Comma 2 2 6 5 3 2 11" xfId="21975" xr:uid="{00000000-0005-0000-0000-0000A83B0000}"/>
    <cellStyle name="Comma 2 2 6 5 3 2 2" xfId="2368" xr:uid="{00000000-0005-0000-0000-0000A93B0000}"/>
    <cellStyle name="Comma 2 2 6 5 3 2 2 10" xfId="23199" xr:uid="{00000000-0005-0000-0000-0000AA3B0000}"/>
    <cellStyle name="Comma 2 2 6 5 3 2 2 2" xfId="4816" xr:uid="{00000000-0005-0000-0000-0000AB3B0000}"/>
    <cellStyle name="Comma 2 2 6 5 3 2 2 2 2" xfId="20751" xr:uid="{00000000-0005-0000-0000-0000AC3B0000}"/>
    <cellStyle name="Comma 2 2 6 5 3 2 2 2 2 2" xfId="44029" xr:uid="{00000000-0005-0000-0000-0000AD3B0000}"/>
    <cellStyle name="Comma 2 2 6 5 3 2 2 2 3" xfId="48925" xr:uid="{00000000-0005-0000-0000-0000AE3B0000}"/>
    <cellStyle name="Comma 2 2 6 5 3 2 2 2 4" xfId="28095" xr:uid="{00000000-0005-0000-0000-0000AF3B0000}"/>
    <cellStyle name="Comma 2 2 6 5 3 2 2 3" xfId="7264" xr:uid="{00000000-0005-0000-0000-0000B03B0000}"/>
    <cellStyle name="Comma 2 2 6 5 3 2 2 3 2" xfId="30543" xr:uid="{00000000-0005-0000-0000-0000B13B0000}"/>
    <cellStyle name="Comma 2 2 6 5 3 2 2 4" xfId="9712" xr:uid="{00000000-0005-0000-0000-0000B23B0000}"/>
    <cellStyle name="Comma 2 2 6 5 3 2 2 4 2" xfId="32991" xr:uid="{00000000-0005-0000-0000-0000B33B0000}"/>
    <cellStyle name="Comma 2 2 6 5 3 2 2 5" xfId="12160" xr:uid="{00000000-0005-0000-0000-0000B43B0000}"/>
    <cellStyle name="Comma 2 2 6 5 3 2 2 5 2" xfId="35439" xr:uid="{00000000-0005-0000-0000-0000B53B0000}"/>
    <cellStyle name="Comma 2 2 6 5 3 2 2 6" xfId="14608" xr:uid="{00000000-0005-0000-0000-0000B63B0000}"/>
    <cellStyle name="Comma 2 2 6 5 3 2 2 6 2" xfId="37887" xr:uid="{00000000-0005-0000-0000-0000B73B0000}"/>
    <cellStyle name="Comma 2 2 6 5 3 2 2 7" xfId="18303" xr:uid="{00000000-0005-0000-0000-0000B83B0000}"/>
    <cellStyle name="Comma 2 2 6 5 3 2 2 7 2" xfId="41581" xr:uid="{00000000-0005-0000-0000-0000B93B0000}"/>
    <cellStyle name="Comma 2 2 6 5 3 2 2 8" xfId="25647" xr:uid="{00000000-0005-0000-0000-0000BA3B0000}"/>
    <cellStyle name="Comma 2 2 6 5 3 2 2 9" xfId="46477" xr:uid="{00000000-0005-0000-0000-0000BB3B0000}"/>
    <cellStyle name="Comma 2 2 6 5 3 2 3" xfId="3592" xr:uid="{00000000-0005-0000-0000-0000BC3B0000}"/>
    <cellStyle name="Comma 2 2 6 5 3 2 3 2" xfId="17079" xr:uid="{00000000-0005-0000-0000-0000BD3B0000}"/>
    <cellStyle name="Comma 2 2 6 5 3 2 3 2 2" xfId="40357" xr:uid="{00000000-0005-0000-0000-0000BE3B0000}"/>
    <cellStyle name="Comma 2 2 6 5 3 2 3 3" xfId="47701" xr:uid="{00000000-0005-0000-0000-0000BF3B0000}"/>
    <cellStyle name="Comma 2 2 6 5 3 2 3 4" xfId="26871" xr:uid="{00000000-0005-0000-0000-0000C03B0000}"/>
    <cellStyle name="Comma 2 2 6 5 3 2 4" xfId="6040" xr:uid="{00000000-0005-0000-0000-0000C13B0000}"/>
    <cellStyle name="Comma 2 2 6 5 3 2 4 2" xfId="19527" xr:uid="{00000000-0005-0000-0000-0000C23B0000}"/>
    <cellStyle name="Comma 2 2 6 5 3 2 4 2 2" xfId="42805" xr:uid="{00000000-0005-0000-0000-0000C33B0000}"/>
    <cellStyle name="Comma 2 2 6 5 3 2 4 3" xfId="29319" xr:uid="{00000000-0005-0000-0000-0000C43B0000}"/>
    <cellStyle name="Comma 2 2 6 5 3 2 5" xfId="8488" xr:uid="{00000000-0005-0000-0000-0000C53B0000}"/>
    <cellStyle name="Comma 2 2 6 5 3 2 5 2" xfId="31767" xr:uid="{00000000-0005-0000-0000-0000C63B0000}"/>
    <cellStyle name="Comma 2 2 6 5 3 2 6" xfId="10936" xr:uid="{00000000-0005-0000-0000-0000C73B0000}"/>
    <cellStyle name="Comma 2 2 6 5 3 2 6 2" xfId="34215" xr:uid="{00000000-0005-0000-0000-0000C83B0000}"/>
    <cellStyle name="Comma 2 2 6 5 3 2 7" xfId="13384" xr:uid="{00000000-0005-0000-0000-0000C93B0000}"/>
    <cellStyle name="Comma 2 2 6 5 3 2 7 2" xfId="36663" xr:uid="{00000000-0005-0000-0000-0000CA3B0000}"/>
    <cellStyle name="Comma 2 2 6 5 3 2 8" xfId="15855" xr:uid="{00000000-0005-0000-0000-0000CB3B0000}"/>
    <cellStyle name="Comma 2 2 6 5 3 2 8 2" xfId="39133" xr:uid="{00000000-0005-0000-0000-0000CC3B0000}"/>
    <cellStyle name="Comma 2 2 6 5 3 2 9" xfId="24423" xr:uid="{00000000-0005-0000-0000-0000CD3B0000}"/>
    <cellStyle name="Comma 2 2 6 5 3 3" xfId="1756" xr:uid="{00000000-0005-0000-0000-0000CE3B0000}"/>
    <cellStyle name="Comma 2 2 6 5 3 3 10" xfId="22587" xr:uid="{00000000-0005-0000-0000-0000CF3B0000}"/>
    <cellStyle name="Comma 2 2 6 5 3 3 2" xfId="4204" xr:uid="{00000000-0005-0000-0000-0000D03B0000}"/>
    <cellStyle name="Comma 2 2 6 5 3 3 2 2" xfId="20139" xr:uid="{00000000-0005-0000-0000-0000D13B0000}"/>
    <cellStyle name="Comma 2 2 6 5 3 3 2 2 2" xfId="43417" xr:uid="{00000000-0005-0000-0000-0000D23B0000}"/>
    <cellStyle name="Comma 2 2 6 5 3 3 2 3" xfId="48313" xr:uid="{00000000-0005-0000-0000-0000D33B0000}"/>
    <cellStyle name="Comma 2 2 6 5 3 3 2 4" xfId="27483" xr:uid="{00000000-0005-0000-0000-0000D43B0000}"/>
    <cellStyle name="Comma 2 2 6 5 3 3 3" xfId="6652" xr:uid="{00000000-0005-0000-0000-0000D53B0000}"/>
    <cellStyle name="Comma 2 2 6 5 3 3 3 2" xfId="29931" xr:uid="{00000000-0005-0000-0000-0000D63B0000}"/>
    <cellStyle name="Comma 2 2 6 5 3 3 4" xfId="9100" xr:uid="{00000000-0005-0000-0000-0000D73B0000}"/>
    <cellStyle name="Comma 2 2 6 5 3 3 4 2" xfId="32379" xr:uid="{00000000-0005-0000-0000-0000D83B0000}"/>
    <cellStyle name="Comma 2 2 6 5 3 3 5" xfId="11548" xr:uid="{00000000-0005-0000-0000-0000D93B0000}"/>
    <cellStyle name="Comma 2 2 6 5 3 3 5 2" xfId="34827" xr:uid="{00000000-0005-0000-0000-0000DA3B0000}"/>
    <cellStyle name="Comma 2 2 6 5 3 3 6" xfId="13996" xr:uid="{00000000-0005-0000-0000-0000DB3B0000}"/>
    <cellStyle name="Comma 2 2 6 5 3 3 6 2" xfId="37275" xr:uid="{00000000-0005-0000-0000-0000DC3B0000}"/>
    <cellStyle name="Comma 2 2 6 5 3 3 7" xfId="17691" xr:uid="{00000000-0005-0000-0000-0000DD3B0000}"/>
    <cellStyle name="Comma 2 2 6 5 3 3 7 2" xfId="40969" xr:uid="{00000000-0005-0000-0000-0000DE3B0000}"/>
    <cellStyle name="Comma 2 2 6 5 3 3 8" xfId="25035" xr:uid="{00000000-0005-0000-0000-0000DF3B0000}"/>
    <cellStyle name="Comma 2 2 6 5 3 3 9" xfId="45865" xr:uid="{00000000-0005-0000-0000-0000E03B0000}"/>
    <cellStyle name="Comma 2 2 6 5 3 4" xfId="2980" xr:uid="{00000000-0005-0000-0000-0000E13B0000}"/>
    <cellStyle name="Comma 2 2 6 5 3 4 2" xfId="16467" xr:uid="{00000000-0005-0000-0000-0000E23B0000}"/>
    <cellStyle name="Comma 2 2 6 5 3 4 2 2" xfId="39745" xr:uid="{00000000-0005-0000-0000-0000E33B0000}"/>
    <cellStyle name="Comma 2 2 6 5 3 4 3" xfId="47089" xr:uid="{00000000-0005-0000-0000-0000E43B0000}"/>
    <cellStyle name="Comma 2 2 6 5 3 4 4" xfId="26259" xr:uid="{00000000-0005-0000-0000-0000E53B0000}"/>
    <cellStyle name="Comma 2 2 6 5 3 5" xfId="5428" xr:uid="{00000000-0005-0000-0000-0000E63B0000}"/>
    <cellStyle name="Comma 2 2 6 5 3 5 2" xfId="18915" xr:uid="{00000000-0005-0000-0000-0000E73B0000}"/>
    <cellStyle name="Comma 2 2 6 5 3 5 2 2" xfId="42193" xr:uid="{00000000-0005-0000-0000-0000E83B0000}"/>
    <cellStyle name="Comma 2 2 6 5 3 5 3" xfId="28707" xr:uid="{00000000-0005-0000-0000-0000E93B0000}"/>
    <cellStyle name="Comma 2 2 6 5 3 6" xfId="7876" xr:uid="{00000000-0005-0000-0000-0000EA3B0000}"/>
    <cellStyle name="Comma 2 2 6 5 3 6 2" xfId="31155" xr:uid="{00000000-0005-0000-0000-0000EB3B0000}"/>
    <cellStyle name="Comma 2 2 6 5 3 7" xfId="10324" xr:uid="{00000000-0005-0000-0000-0000EC3B0000}"/>
    <cellStyle name="Comma 2 2 6 5 3 7 2" xfId="33603" xr:uid="{00000000-0005-0000-0000-0000ED3B0000}"/>
    <cellStyle name="Comma 2 2 6 5 3 8" xfId="12772" xr:uid="{00000000-0005-0000-0000-0000EE3B0000}"/>
    <cellStyle name="Comma 2 2 6 5 3 8 2" xfId="36051" xr:uid="{00000000-0005-0000-0000-0000EF3B0000}"/>
    <cellStyle name="Comma 2 2 6 5 3 9" xfId="15243" xr:uid="{00000000-0005-0000-0000-0000F03B0000}"/>
    <cellStyle name="Comma 2 2 6 5 3 9 2" xfId="38521" xr:uid="{00000000-0005-0000-0000-0000F13B0000}"/>
    <cellStyle name="Comma 2 2 6 5 4" xfId="736" xr:uid="{00000000-0005-0000-0000-0000F23B0000}"/>
    <cellStyle name="Comma 2 2 6 5 4 10" xfId="44845" xr:uid="{00000000-0005-0000-0000-0000F33B0000}"/>
    <cellStyle name="Comma 2 2 6 5 4 11" xfId="21567" xr:uid="{00000000-0005-0000-0000-0000F43B0000}"/>
    <cellStyle name="Comma 2 2 6 5 4 2" xfId="1960" xr:uid="{00000000-0005-0000-0000-0000F53B0000}"/>
    <cellStyle name="Comma 2 2 6 5 4 2 10" xfId="22791" xr:uid="{00000000-0005-0000-0000-0000F63B0000}"/>
    <cellStyle name="Comma 2 2 6 5 4 2 2" xfId="4408" xr:uid="{00000000-0005-0000-0000-0000F73B0000}"/>
    <cellStyle name="Comma 2 2 6 5 4 2 2 2" xfId="20343" xr:uid="{00000000-0005-0000-0000-0000F83B0000}"/>
    <cellStyle name="Comma 2 2 6 5 4 2 2 2 2" xfId="43621" xr:uid="{00000000-0005-0000-0000-0000F93B0000}"/>
    <cellStyle name="Comma 2 2 6 5 4 2 2 3" xfId="48517" xr:uid="{00000000-0005-0000-0000-0000FA3B0000}"/>
    <cellStyle name="Comma 2 2 6 5 4 2 2 4" xfId="27687" xr:uid="{00000000-0005-0000-0000-0000FB3B0000}"/>
    <cellStyle name="Comma 2 2 6 5 4 2 3" xfId="6856" xr:uid="{00000000-0005-0000-0000-0000FC3B0000}"/>
    <cellStyle name="Comma 2 2 6 5 4 2 3 2" xfId="30135" xr:uid="{00000000-0005-0000-0000-0000FD3B0000}"/>
    <cellStyle name="Comma 2 2 6 5 4 2 4" xfId="9304" xr:uid="{00000000-0005-0000-0000-0000FE3B0000}"/>
    <cellStyle name="Comma 2 2 6 5 4 2 4 2" xfId="32583" xr:uid="{00000000-0005-0000-0000-0000FF3B0000}"/>
    <cellStyle name="Comma 2 2 6 5 4 2 5" xfId="11752" xr:uid="{00000000-0005-0000-0000-0000003C0000}"/>
    <cellStyle name="Comma 2 2 6 5 4 2 5 2" xfId="35031" xr:uid="{00000000-0005-0000-0000-0000013C0000}"/>
    <cellStyle name="Comma 2 2 6 5 4 2 6" xfId="14200" xr:uid="{00000000-0005-0000-0000-0000023C0000}"/>
    <cellStyle name="Comma 2 2 6 5 4 2 6 2" xfId="37479" xr:uid="{00000000-0005-0000-0000-0000033C0000}"/>
    <cellStyle name="Comma 2 2 6 5 4 2 7" xfId="17895" xr:uid="{00000000-0005-0000-0000-0000043C0000}"/>
    <cellStyle name="Comma 2 2 6 5 4 2 7 2" xfId="41173" xr:uid="{00000000-0005-0000-0000-0000053C0000}"/>
    <cellStyle name="Comma 2 2 6 5 4 2 8" xfId="25239" xr:uid="{00000000-0005-0000-0000-0000063C0000}"/>
    <cellStyle name="Comma 2 2 6 5 4 2 9" xfId="46069" xr:uid="{00000000-0005-0000-0000-0000073C0000}"/>
    <cellStyle name="Comma 2 2 6 5 4 3" xfId="3184" xr:uid="{00000000-0005-0000-0000-0000083C0000}"/>
    <cellStyle name="Comma 2 2 6 5 4 3 2" xfId="16671" xr:uid="{00000000-0005-0000-0000-0000093C0000}"/>
    <cellStyle name="Comma 2 2 6 5 4 3 2 2" xfId="39949" xr:uid="{00000000-0005-0000-0000-00000A3C0000}"/>
    <cellStyle name="Comma 2 2 6 5 4 3 3" xfId="47293" xr:uid="{00000000-0005-0000-0000-00000B3C0000}"/>
    <cellStyle name="Comma 2 2 6 5 4 3 4" xfId="26463" xr:uid="{00000000-0005-0000-0000-00000C3C0000}"/>
    <cellStyle name="Comma 2 2 6 5 4 4" xfId="5632" xr:uid="{00000000-0005-0000-0000-00000D3C0000}"/>
    <cellStyle name="Comma 2 2 6 5 4 4 2" xfId="19119" xr:uid="{00000000-0005-0000-0000-00000E3C0000}"/>
    <cellStyle name="Comma 2 2 6 5 4 4 2 2" xfId="42397" xr:uid="{00000000-0005-0000-0000-00000F3C0000}"/>
    <cellStyle name="Comma 2 2 6 5 4 4 3" xfId="28911" xr:uid="{00000000-0005-0000-0000-0000103C0000}"/>
    <cellStyle name="Comma 2 2 6 5 4 5" xfId="8080" xr:uid="{00000000-0005-0000-0000-0000113C0000}"/>
    <cellStyle name="Comma 2 2 6 5 4 5 2" xfId="31359" xr:uid="{00000000-0005-0000-0000-0000123C0000}"/>
    <cellStyle name="Comma 2 2 6 5 4 6" xfId="10528" xr:uid="{00000000-0005-0000-0000-0000133C0000}"/>
    <cellStyle name="Comma 2 2 6 5 4 6 2" xfId="33807" xr:uid="{00000000-0005-0000-0000-0000143C0000}"/>
    <cellStyle name="Comma 2 2 6 5 4 7" xfId="12976" xr:uid="{00000000-0005-0000-0000-0000153C0000}"/>
    <cellStyle name="Comma 2 2 6 5 4 7 2" xfId="36255" xr:uid="{00000000-0005-0000-0000-0000163C0000}"/>
    <cellStyle name="Comma 2 2 6 5 4 8" xfId="15447" xr:uid="{00000000-0005-0000-0000-0000173C0000}"/>
    <cellStyle name="Comma 2 2 6 5 4 8 2" xfId="38725" xr:uid="{00000000-0005-0000-0000-0000183C0000}"/>
    <cellStyle name="Comma 2 2 6 5 4 9" xfId="24015" xr:uid="{00000000-0005-0000-0000-0000193C0000}"/>
    <cellStyle name="Comma 2 2 6 5 5" xfId="1348" xr:uid="{00000000-0005-0000-0000-00001A3C0000}"/>
    <cellStyle name="Comma 2 2 6 5 5 10" xfId="22179" xr:uid="{00000000-0005-0000-0000-00001B3C0000}"/>
    <cellStyle name="Comma 2 2 6 5 5 2" xfId="3796" xr:uid="{00000000-0005-0000-0000-00001C3C0000}"/>
    <cellStyle name="Comma 2 2 6 5 5 2 2" xfId="19731" xr:uid="{00000000-0005-0000-0000-00001D3C0000}"/>
    <cellStyle name="Comma 2 2 6 5 5 2 2 2" xfId="43009" xr:uid="{00000000-0005-0000-0000-00001E3C0000}"/>
    <cellStyle name="Comma 2 2 6 5 5 2 3" xfId="47905" xr:uid="{00000000-0005-0000-0000-00001F3C0000}"/>
    <cellStyle name="Comma 2 2 6 5 5 2 4" xfId="27075" xr:uid="{00000000-0005-0000-0000-0000203C0000}"/>
    <cellStyle name="Comma 2 2 6 5 5 3" xfId="6244" xr:uid="{00000000-0005-0000-0000-0000213C0000}"/>
    <cellStyle name="Comma 2 2 6 5 5 3 2" xfId="29523" xr:uid="{00000000-0005-0000-0000-0000223C0000}"/>
    <cellStyle name="Comma 2 2 6 5 5 4" xfId="8692" xr:uid="{00000000-0005-0000-0000-0000233C0000}"/>
    <cellStyle name="Comma 2 2 6 5 5 4 2" xfId="31971" xr:uid="{00000000-0005-0000-0000-0000243C0000}"/>
    <cellStyle name="Comma 2 2 6 5 5 5" xfId="11140" xr:uid="{00000000-0005-0000-0000-0000253C0000}"/>
    <cellStyle name="Comma 2 2 6 5 5 5 2" xfId="34419" xr:uid="{00000000-0005-0000-0000-0000263C0000}"/>
    <cellStyle name="Comma 2 2 6 5 5 6" xfId="13588" xr:uid="{00000000-0005-0000-0000-0000273C0000}"/>
    <cellStyle name="Comma 2 2 6 5 5 6 2" xfId="36867" xr:uid="{00000000-0005-0000-0000-0000283C0000}"/>
    <cellStyle name="Comma 2 2 6 5 5 7" xfId="17283" xr:uid="{00000000-0005-0000-0000-0000293C0000}"/>
    <cellStyle name="Comma 2 2 6 5 5 7 2" xfId="40561" xr:uid="{00000000-0005-0000-0000-00002A3C0000}"/>
    <cellStyle name="Comma 2 2 6 5 5 8" xfId="24627" xr:uid="{00000000-0005-0000-0000-00002B3C0000}"/>
    <cellStyle name="Comma 2 2 6 5 5 9" xfId="45457" xr:uid="{00000000-0005-0000-0000-00002C3C0000}"/>
    <cellStyle name="Comma 2 2 6 5 6" xfId="2572" xr:uid="{00000000-0005-0000-0000-00002D3C0000}"/>
    <cellStyle name="Comma 2 2 6 5 6 2" xfId="16059" xr:uid="{00000000-0005-0000-0000-00002E3C0000}"/>
    <cellStyle name="Comma 2 2 6 5 6 2 2" xfId="39337" xr:uid="{00000000-0005-0000-0000-00002F3C0000}"/>
    <cellStyle name="Comma 2 2 6 5 6 3" xfId="46681" xr:uid="{00000000-0005-0000-0000-0000303C0000}"/>
    <cellStyle name="Comma 2 2 6 5 6 4" xfId="25851" xr:uid="{00000000-0005-0000-0000-0000313C0000}"/>
    <cellStyle name="Comma 2 2 6 5 7" xfId="5020" xr:uid="{00000000-0005-0000-0000-0000323C0000}"/>
    <cellStyle name="Comma 2 2 6 5 7 2" xfId="18507" xr:uid="{00000000-0005-0000-0000-0000333C0000}"/>
    <cellStyle name="Comma 2 2 6 5 7 2 2" xfId="41785" xr:uid="{00000000-0005-0000-0000-0000343C0000}"/>
    <cellStyle name="Comma 2 2 6 5 7 3" xfId="28299" xr:uid="{00000000-0005-0000-0000-0000353C0000}"/>
    <cellStyle name="Comma 2 2 6 5 8" xfId="7468" xr:uid="{00000000-0005-0000-0000-0000363C0000}"/>
    <cellStyle name="Comma 2 2 6 5 8 2" xfId="30747" xr:uid="{00000000-0005-0000-0000-0000373C0000}"/>
    <cellStyle name="Comma 2 2 6 5 9" xfId="9916" xr:uid="{00000000-0005-0000-0000-0000383C0000}"/>
    <cellStyle name="Comma 2 2 6 5 9 2" xfId="33195" xr:uid="{00000000-0005-0000-0000-0000393C0000}"/>
    <cellStyle name="Comma 2 2 6 6" xfId="192" xr:uid="{00000000-0005-0000-0000-00003A3C0000}"/>
    <cellStyle name="Comma 2 2 6 6 10" xfId="12432" xr:uid="{00000000-0005-0000-0000-00003B3C0000}"/>
    <cellStyle name="Comma 2 2 6 6 10 2" xfId="35711" xr:uid="{00000000-0005-0000-0000-00003C3C0000}"/>
    <cellStyle name="Comma 2 2 6 6 11" xfId="14903" xr:uid="{00000000-0005-0000-0000-00003D3C0000}"/>
    <cellStyle name="Comma 2 2 6 6 11 2" xfId="38181" xr:uid="{00000000-0005-0000-0000-00003E3C0000}"/>
    <cellStyle name="Comma 2 2 6 6 12" xfId="23471" xr:uid="{00000000-0005-0000-0000-00003F3C0000}"/>
    <cellStyle name="Comma 2 2 6 6 13" xfId="44301" xr:uid="{00000000-0005-0000-0000-0000403C0000}"/>
    <cellStyle name="Comma 2 2 6 6 14" xfId="21023" xr:uid="{00000000-0005-0000-0000-0000413C0000}"/>
    <cellStyle name="Comma 2 2 6 6 2" xfId="396" xr:uid="{00000000-0005-0000-0000-0000423C0000}"/>
    <cellStyle name="Comma 2 2 6 6 2 10" xfId="23675" xr:uid="{00000000-0005-0000-0000-0000433C0000}"/>
    <cellStyle name="Comma 2 2 6 6 2 11" xfId="44505" xr:uid="{00000000-0005-0000-0000-0000443C0000}"/>
    <cellStyle name="Comma 2 2 6 6 2 12" xfId="21227" xr:uid="{00000000-0005-0000-0000-0000453C0000}"/>
    <cellStyle name="Comma 2 2 6 6 2 2" xfId="1008" xr:uid="{00000000-0005-0000-0000-0000463C0000}"/>
    <cellStyle name="Comma 2 2 6 6 2 2 10" xfId="45117" xr:uid="{00000000-0005-0000-0000-0000473C0000}"/>
    <cellStyle name="Comma 2 2 6 6 2 2 11" xfId="21839" xr:uid="{00000000-0005-0000-0000-0000483C0000}"/>
    <cellStyle name="Comma 2 2 6 6 2 2 2" xfId="2232" xr:uid="{00000000-0005-0000-0000-0000493C0000}"/>
    <cellStyle name="Comma 2 2 6 6 2 2 2 10" xfId="23063" xr:uid="{00000000-0005-0000-0000-00004A3C0000}"/>
    <cellStyle name="Comma 2 2 6 6 2 2 2 2" xfId="4680" xr:uid="{00000000-0005-0000-0000-00004B3C0000}"/>
    <cellStyle name="Comma 2 2 6 6 2 2 2 2 2" xfId="20615" xr:uid="{00000000-0005-0000-0000-00004C3C0000}"/>
    <cellStyle name="Comma 2 2 6 6 2 2 2 2 2 2" xfId="43893" xr:uid="{00000000-0005-0000-0000-00004D3C0000}"/>
    <cellStyle name="Comma 2 2 6 6 2 2 2 2 3" xfId="48789" xr:uid="{00000000-0005-0000-0000-00004E3C0000}"/>
    <cellStyle name="Comma 2 2 6 6 2 2 2 2 4" xfId="27959" xr:uid="{00000000-0005-0000-0000-00004F3C0000}"/>
    <cellStyle name="Comma 2 2 6 6 2 2 2 3" xfId="7128" xr:uid="{00000000-0005-0000-0000-0000503C0000}"/>
    <cellStyle name="Comma 2 2 6 6 2 2 2 3 2" xfId="30407" xr:uid="{00000000-0005-0000-0000-0000513C0000}"/>
    <cellStyle name="Comma 2 2 6 6 2 2 2 4" xfId="9576" xr:uid="{00000000-0005-0000-0000-0000523C0000}"/>
    <cellStyle name="Comma 2 2 6 6 2 2 2 4 2" xfId="32855" xr:uid="{00000000-0005-0000-0000-0000533C0000}"/>
    <cellStyle name="Comma 2 2 6 6 2 2 2 5" xfId="12024" xr:uid="{00000000-0005-0000-0000-0000543C0000}"/>
    <cellStyle name="Comma 2 2 6 6 2 2 2 5 2" xfId="35303" xr:uid="{00000000-0005-0000-0000-0000553C0000}"/>
    <cellStyle name="Comma 2 2 6 6 2 2 2 6" xfId="14472" xr:uid="{00000000-0005-0000-0000-0000563C0000}"/>
    <cellStyle name="Comma 2 2 6 6 2 2 2 6 2" xfId="37751" xr:uid="{00000000-0005-0000-0000-0000573C0000}"/>
    <cellStyle name="Comma 2 2 6 6 2 2 2 7" xfId="18167" xr:uid="{00000000-0005-0000-0000-0000583C0000}"/>
    <cellStyle name="Comma 2 2 6 6 2 2 2 7 2" xfId="41445" xr:uid="{00000000-0005-0000-0000-0000593C0000}"/>
    <cellStyle name="Comma 2 2 6 6 2 2 2 8" xfId="25511" xr:uid="{00000000-0005-0000-0000-00005A3C0000}"/>
    <cellStyle name="Comma 2 2 6 6 2 2 2 9" xfId="46341" xr:uid="{00000000-0005-0000-0000-00005B3C0000}"/>
    <cellStyle name="Comma 2 2 6 6 2 2 3" xfId="3456" xr:uid="{00000000-0005-0000-0000-00005C3C0000}"/>
    <cellStyle name="Comma 2 2 6 6 2 2 3 2" xfId="16943" xr:uid="{00000000-0005-0000-0000-00005D3C0000}"/>
    <cellStyle name="Comma 2 2 6 6 2 2 3 2 2" xfId="40221" xr:uid="{00000000-0005-0000-0000-00005E3C0000}"/>
    <cellStyle name="Comma 2 2 6 6 2 2 3 3" xfId="47565" xr:uid="{00000000-0005-0000-0000-00005F3C0000}"/>
    <cellStyle name="Comma 2 2 6 6 2 2 3 4" xfId="26735" xr:uid="{00000000-0005-0000-0000-0000603C0000}"/>
    <cellStyle name="Comma 2 2 6 6 2 2 4" xfId="5904" xr:uid="{00000000-0005-0000-0000-0000613C0000}"/>
    <cellStyle name="Comma 2 2 6 6 2 2 4 2" xfId="19391" xr:uid="{00000000-0005-0000-0000-0000623C0000}"/>
    <cellStyle name="Comma 2 2 6 6 2 2 4 2 2" xfId="42669" xr:uid="{00000000-0005-0000-0000-0000633C0000}"/>
    <cellStyle name="Comma 2 2 6 6 2 2 4 3" xfId="29183" xr:uid="{00000000-0005-0000-0000-0000643C0000}"/>
    <cellStyle name="Comma 2 2 6 6 2 2 5" xfId="8352" xr:uid="{00000000-0005-0000-0000-0000653C0000}"/>
    <cellStyle name="Comma 2 2 6 6 2 2 5 2" xfId="31631" xr:uid="{00000000-0005-0000-0000-0000663C0000}"/>
    <cellStyle name="Comma 2 2 6 6 2 2 6" xfId="10800" xr:uid="{00000000-0005-0000-0000-0000673C0000}"/>
    <cellStyle name="Comma 2 2 6 6 2 2 6 2" xfId="34079" xr:uid="{00000000-0005-0000-0000-0000683C0000}"/>
    <cellStyle name="Comma 2 2 6 6 2 2 7" xfId="13248" xr:uid="{00000000-0005-0000-0000-0000693C0000}"/>
    <cellStyle name="Comma 2 2 6 6 2 2 7 2" xfId="36527" xr:uid="{00000000-0005-0000-0000-00006A3C0000}"/>
    <cellStyle name="Comma 2 2 6 6 2 2 8" xfId="15719" xr:uid="{00000000-0005-0000-0000-00006B3C0000}"/>
    <cellStyle name="Comma 2 2 6 6 2 2 8 2" xfId="38997" xr:uid="{00000000-0005-0000-0000-00006C3C0000}"/>
    <cellStyle name="Comma 2 2 6 6 2 2 9" xfId="24287" xr:uid="{00000000-0005-0000-0000-00006D3C0000}"/>
    <cellStyle name="Comma 2 2 6 6 2 3" xfId="1620" xr:uid="{00000000-0005-0000-0000-00006E3C0000}"/>
    <cellStyle name="Comma 2 2 6 6 2 3 10" xfId="22451" xr:uid="{00000000-0005-0000-0000-00006F3C0000}"/>
    <cellStyle name="Comma 2 2 6 6 2 3 2" xfId="4068" xr:uid="{00000000-0005-0000-0000-0000703C0000}"/>
    <cellStyle name="Comma 2 2 6 6 2 3 2 2" xfId="20003" xr:uid="{00000000-0005-0000-0000-0000713C0000}"/>
    <cellStyle name="Comma 2 2 6 6 2 3 2 2 2" xfId="43281" xr:uid="{00000000-0005-0000-0000-0000723C0000}"/>
    <cellStyle name="Comma 2 2 6 6 2 3 2 3" xfId="48177" xr:uid="{00000000-0005-0000-0000-0000733C0000}"/>
    <cellStyle name="Comma 2 2 6 6 2 3 2 4" xfId="27347" xr:uid="{00000000-0005-0000-0000-0000743C0000}"/>
    <cellStyle name="Comma 2 2 6 6 2 3 3" xfId="6516" xr:uid="{00000000-0005-0000-0000-0000753C0000}"/>
    <cellStyle name="Comma 2 2 6 6 2 3 3 2" xfId="29795" xr:uid="{00000000-0005-0000-0000-0000763C0000}"/>
    <cellStyle name="Comma 2 2 6 6 2 3 4" xfId="8964" xr:uid="{00000000-0005-0000-0000-0000773C0000}"/>
    <cellStyle name="Comma 2 2 6 6 2 3 4 2" xfId="32243" xr:uid="{00000000-0005-0000-0000-0000783C0000}"/>
    <cellStyle name="Comma 2 2 6 6 2 3 5" xfId="11412" xr:uid="{00000000-0005-0000-0000-0000793C0000}"/>
    <cellStyle name="Comma 2 2 6 6 2 3 5 2" xfId="34691" xr:uid="{00000000-0005-0000-0000-00007A3C0000}"/>
    <cellStyle name="Comma 2 2 6 6 2 3 6" xfId="13860" xr:uid="{00000000-0005-0000-0000-00007B3C0000}"/>
    <cellStyle name="Comma 2 2 6 6 2 3 6 2" xfId="37139" xr:uid="{00000000-0005-0000-0000-00007C3C0000}"/>
    <cellStyle name="Comma 2 2 6 6 2 3 7" xfId="17555" xr:uid="{00000000-0005-0000-0000-00007D3C0000}"/>
    <cellStyle name="Comma 2 2 6 6 2 3 7 2" xfId="40833" xr:uid="{00000000-0005-0000-0000-00007E3C0000}"/>
    <cellStyle name="Comma 2 2 6 6 2 3 8" xfId="24899" xr:uid="{00000000-0005-0000-0000-00007F3C0000}"/>
    <cellStyle name="Comma 2 2 6 6 2 3 9" xfId="45729" xr:uid="{00000000-0005-0000-0000-0000803C0000}"/>
    <cellStyle name="Comma 2 2 6 6 2 4" xfId="2844" xr:uid="{00000000-0005-0000-0000-0000813C0000}"/>
    <cellStyle name="Comma 2 2 6 6 2 4 2" xfId="16331" xr:uid="{00000000-0005-0000-0000-0000823C0000}"/>
    <cellStyle name="Comma 2 2 6 6 2 4 2 2" xfId="39609" xr:uid="{00000000-0005-0000-0000-0000833C0000}"/>
    <cellStyle name="Comma 2 2 6 6 2 4 3" xfId="46953" xr:uid="{00000000-0005-0000-0000-0000843C0000}"/>
    <cellStyle name="Comma 2 2 6 6 2 4 4" xfId="26123" xr:uid="{00000000-0005-0000-0000-0000853C0000}"/>
    <cellStyle name="Comma 2 2 6 6 2 5" xfId="5292" xr:uid="{00000000-0005-0000-0000-0000863C0000}"/>
    <cellStyle name="Comma 2 2 6 6 2 5 2" xfId="18779" xr:uid="{00000000-0005-0000-0000-0000873C0000}"/>
    <cellStyle name="Comma 2 2 6 6 2 5 2 2" xfId="42057" xr:uid="{00000000-0005-0000-0000-0000883C0000}"/>
    <cellStyle name="Comma 2 2 6 6 2 5 3" xfId="28571" xr:uid="{00000000-0005-0000-0000-0000893C0000}"/>
    <cellStyle name="Comma 2 2 6 6 2 6" xfId="7740" xr:uid="{00000000-0005-0000-0000-00008A3C0000}"/>
    <cellStyle name="Comma 2 2 6 6 2 6 2" xfId="31019" xr:uid="{00000000-0005-0000-0000-00008B3C0000}"/>
    <cellStyle name="Comma 2 2 6 6 2 7" xfId="10188" xr:uid="{00000000-0005-0000-0000-00008C3C0000}"/>
    <cellStyle name="Comma 2 2 6 6 2 7 2" xfId="33467" xr:uid="{00000000-0005-0000-0000-00008D3C0000}"/>
    <cellStyle name="Comma 2 2 6 6 2 8" xfId="12636" xr:uid="{00000000-0005-0000-0000-00008E3C0000}"/>
    <cellStyle name="Comma 2 2 6 6 2 8 2" xfId="35915" xr:uid="{00000000-0005-0000-0000-00008F3C0000}"/>
    <cellStyle name="Comma 2 2 6 6 2 9" xfId="15107" xr:uid="{00000000-0005-0000-0000-0000903C0000}"/>
    <cellStyle name="Comma 2 2 6 6 2 9 2" xfId="38385" xr:uid="{00000000-0005-0000-0000-0000913C0000}"/>
    <cellStyle name="Comma 2 2 6 6 3" xfId="600" xr:uid="{00000000-0005-0000-0000-0000923C0000}"/>
    <cellStyle name="Comma 2 2 6 6 3 10" xfId="23879" xr:uid="{00000000-0005-0000-0000-0000933C0000}"/>
    <cellStyle name="Comma 2 2 6 6 3 11" xfId="44709" xr:uid="{00000000-0005-0000-0000-0000943C0000}"/>
    <cellStyle name="Comma 2 2 6 6 3 12" xfId="21431" xr:uid="{00000000-0005-0000-0000-0000953C0000}"/>
    <cellStyle name="Comma 2 2 6 6 3 2" xfId="1212" xr:uid="{00000000-0005-0000-0000-0000963C0000}"/>
    <cellStyle name="Comma 2 2 6 6 3 2 10" xfId="45321" xr:uid="{00000000-0005-0000-0000-0000973C0000}"/>
    <cellStyle name="Comma 2 2 6 6 3 2 11" xfId="22043" xr:uid="{00000000-0005-0000-0000-0000983C0000}"/>
    <cellStyle name="Comma 2 2 6 6 3 2 2" xfId="2436" xr:uid="{00000000-0005-0000-0000-0000993C0000}"/>
    <cellStyle name="Comma 2 2 6 6 3 2 2 10" xfId="23267" xr:uid="{00000000-0005-0000-0000-00009A3C0000}"/>
    <cellStyle name="Comma 2 2 6 6 3 2 2 2" xfId="4884" xr:uid="{00000000-0005-0000-0000-00009B3C0000}"/>
    <cellStyle name="Comma 2 2 6 6 3 2 2 2 2" xfId="20819" xr:uid="{00000000-0005-0000-0000-00009C3C0000}"/>
    <cellStyle name="Comma 2 2 6 6 3 2 2 2 2 2" xfId="44097" xr:uid="{00000000-0005-0000-0000-00009D3C0000}"/>
    <cellStyle name="Comma 2 2 6 6 3 2 2 2 3" xfId="48993" xr:uid="{00000000-0005-0000-0000-00009E3C0000}"/>
    <cellStyle name="Comma 2 2 6 6 3 2 2 2 4" xfId="28163" xr:uid="{00000000-0005-0000-0000-00009F3C0000}"/>
    <cellStyle name="Comma 2 2 6 6 3 2 2 3" xfId="7332" xr:uid="{00000000-0005-0000-0000-0000A03C0000}"/>
    <cellStyle name="Comma 2 2 6 6 3 2 2 3 2" xfId="30611" xr:uid="{00000000-0005-0000-0000-0000A13C0000}"/>
    <cellStyle name="Comma 2 2 6 6 3 2 2 4" xfId="9780" xr:uid="{00000000-0005-0000-0000-0000A23C0000}"/>
    <cellStyle name="Comma 2 2 6 6 3 2 2 4 2" xfId="33059" xr:uid="{00000000-0005-0000-0000-0000A33C0000}"/>
    <cellStyle name="Comma 2 2 6 6 3 2 2 5" xfId="12228" xr:uid="{00000000-0005-0000-0000-0000A43C0000}"/>
    <cellStyle name="Comma 2 2 6 6 3 2 2 5 2" xfId="35507" xr:uid="{00000000-0005-0000-0000-0000A53C0000}"/>
    <cellStyle name="Comma 2 2 6 6 3 2 2 6" xfId="14676" xr:uid="{00000000-0005-0000-0000-0000A63C0000}"/>
    <cellStyle name="Comma 2 2 6 6 3 2 2 6 2" xfId="37955" xr:uid="{00000000-0005-0000-0000-0000A73C0000}"/>
    <cellStyle name="Comma 2 2 6 6 3 2 2 7" xfId="18371" xr:uid="{00000000-0005-0000-0000-0000A83C0000}"/>
    <cellStyle name="Comma 2 2 6 6 3 2 2 7 2" xfId="41649" xr:uid="{00000000-0005-0000-0000-0000A93C0000}"/>
    <cellStyle name="Comma 2 2 6 6 3 2 2 8" xfId="25715" xr:uid="{00000000-0005-0000-0000-0000AA3C0000}"/>
    <cellStyle name="Comma 2 2 6 6 3 2 2 9" xfId="46545" xr:uid="{00000000-0005-0000-0000-0000AB3C0000}"/>
    <cellStyle name="Comma 2 2 6 6 3 2 3" xfId="3660" xr:uid="{00000000-0005-0000-0000-0000AC3C0000}"/>
    <cellStyle name="Comma 2 2 6 6 3 2 3 2" xfId="17147" xr:uid="{00000000-0005-0000-0000-0000AD3C0000}"/>
    <cellStyle name="Comma 2 2 6 6 3 2 3 2 2" xfId="40425" xr:uid="{00000000-0005-0000-0000-0000AE3C0000}"/>
    <cellStyle name="Comma 2 2 6 6 3 2 3 3" xfId="47769" xr:uid="{00000000-0005-0000-0000-0000AF3C0000}"/>
    <cellStyle name="Comma 2 2 6 6 3 2 3 4" xfId="26939" xr:uid="{00000000-0005-0000-0000-0000B03C0000}"/>
    <cellStyle name="Comma 2 2 6 6 3 2 4" xfId="6108" xr:uid="{00000000-0005-0000-0000-0000B13C0000}"/>
    <cellStyle name="Comma 2 2 6 6 3 2 4 2" xfId="19595" xr:uid="{00000000-0005-0000-0000-0000B23C0000}"/>
    <cellStyle name="Comma 2 2 6 6 3 2 4 2 2" xfId="42873" xr:uid="{00000000-0005-0000-0000-0000B33C0000}"/>
    <cellStyle name="Comma 2 2 6 6 3 2 4 3" xfId="29387" xr:uid="{00000000-0005-0000-0000-0000B43C0000}"/>
    <cellStyle name="Comma 2 2 6 6 3 2 5" xfId="8556" xr:uid="{00000000-0005-0000-0000-0000B53C0000}"/>
    <cellStyle name="Comma 2 2 6 6 3 2 5 2" xfId="31835" xr:uid="{00000000-0005-0000-0000-0000B63C0000}"/>
    <cellStyle name="Comma 2 2 6 6 3 2 6" xfId="11004" xr:uid="{00000000-0005-0000-0000-0000B73C0000}"/>
    <cellStyle name="Comma 2 2 6 6 3 2 6 2" xfId="34283" xr:uid="{00000000-0005-0000-0000-0000B83C0000}"/>
    <cellStyle name="Comma 2 2 6 6 3 2 7" xfId="13452" xr:uid="{00000000-0005-0000-0000-0000B93C0000}"/>
    <cellStyle name="Comma 2 2 6 6 3 2 7 2" xfId="36731" xr:uid="{00000000-0005-0000-0000-0000BA3C0000}"/>
    <cellStyle name="Comma 2 2 6 6 3 2 8" xfId="15923" xr:uid="{00000000-0005-0000-0000-0000BB3C0000}"/>
    <cellStyle name="Comma 2 2 6 6 3 2 8 2" xfId="39201" xr:uid="{00000000-0005-0000-0000-0000BC3C0000}"/>
    <cellStyle name="Comma 2 2 6 6 3 2 9" xfId="24491" xr:uid="{00000000-0005-0000-0000-0000BD3C0000}"/>
    <cellStyle name="Comma 2 2 6 6 3 3" xfId="1824" xr:uid="{00000000-0005-0000-0000-0000BE3C0000}"/>
    <cellStyle name="Comma 2 2 6 6 3 3 10" xfId="22655" xr:uid="{00000000-0005-0000-0000-0000BF3C0000}"/>
    <cellStyle name="Comma 2 2 6 6 3 3 2" xfId="4272" xr:uid="{00000000-0005-0000-0000-0000C03C0000}"/>
    <cellStyle name="Comma 2 2 6 6 3 3 2 2" xfId="20207" xr:uid="{00000000-0005-0000-0000-0000C13C0000}"/>
    <cellStyle name="Comma 2 2 6 6 3 3 2 2 2" xfId="43485" xr:uid="{00000000-0005-0000-0000-0000C23C0000}"/>
    <cellStyle name="Comma 2 2 6 6 3 3 2 3" xfId="48381" xr:uid="{00000000-0005-0000-0000-0000C33C0000}"/>
    <cellStyle name="Comma 2 2 6 6 3 3 2 4" xfId="27551" xr:uid="{00000000-0005-0000-0000-0000C43C0000}"/>
    <cellStyle name="Comma 2 2 6 6 3 3 3" xfId="6720" xr:uid="{00000000-0005-0000-0000-0000C53C0000}"/>
    <cellStyle name="Comma 2 2 6 6 3 3 3 2" xfId="29999" xr:uid="{00000000-0005-0000-0000-0000C63C0000}"/>
    <cellStyle name="Comma 2 2 6 6 3 3 4" xfId="9168" xr:uid="{00000000-0005-0000-0000-0000C73C0000}"/>
    <cellStyle name="Comma 2 2 6 6 3 3 4 2" xfId="32447" xr:uid="{00000000-0005-0000-0000-0000C83C0000}"/>
    <cellStyle name="Comma 2 2 6 6 3 3 5" xfId="11616" xr:uid="{00000000-0005-0000-0000-0000C93C0000}"/>
    <cellStyle name="Comma 2 2 6 6 3 3 5 2" xfId="34895" xr:uid="{00000000-0005-0000-0000-0000CA3C0000}"/>
    <cellStyle name="Comma 2 2 6 6 3 3 6" xfId="14064" xr:uid="{00000000-0005-0000-0000-0000CB3C0000}"/>
    <cellStyle name="Comma 2 2 6 6 3 3 6 2" xfId="37343" xr:uid="{00000000-0005-0000-0000-0000CC3C0000}"/>
    <cellStyle name="Comma 2 2 6 6 3 3 7" xfId="17759" xr:uid="{00000000-0005-0000-0000-0000CD3C0000}"/>
    <cellStyle name="Comma 2 2 6 6 3 3 7 2" xfId="41037" xr:uid="{00000000-0005-0000-0000-0000CE3C0000}"/>
    <cellStyle name="Comma 2 2 6 6 3 3 8" xfId="25103" xr:uid="{00000000-0005-0000-0000-0000CF3C0000}"/>
    <cellStyle name="Comma 2 2 6 6 3 3 9" xfId="45933" xr:uid="{00000000-0005-0000-0000-0000D03C0000}"/>
    <cellStyle name="Comma 2 2 6 6 3 4" xfId="3048" xr:uid="{00000000-0005-0000-0000-0000D13C0000}"/>
    <cellStyle name="Comma 2 2 6 6 3 4 2" xfId="16535" xr:uid="{00000000-0005-0000-0000-0000D23C0000}"/>
    <cellStyle name="Comma 2 2 6 6 3 4 2 2" xfId="39813" xr:uid="{00000000-0005-0000-0000-0000D33C0000}"/>
    <cellStyle name="Comma 2 2 6 6 3 4 3" xfId="47157" xr:uid="{00000000-0005-0000-0000-0000D43C0000}"/>
    <cellStyle name="Comma 2 2 6 6 3 4 4" xfId="26327" xr:uid="{00000000-0005-0000-0000-0000D53C0000}"/>
    <cellStyle name="Comma 2 2 6 6 3 5" xfId="5496" xr:uid="{00000000-0005-0000-0000-0000D63C0000}"/>
    <cellStyle name="Comma 2 2 6 6 3 5 2" xfId="18983" xr:uid="{00000000-0005-0000-0000-0000D73C0000}"/>
    <cellStyle name="Comma 2 2 6 6 3 5 2 2" xfId="42261" xr:uid="{00000000-0005-0000-0000-0000D83C0000}"/>
    <cellStyle name="Comma 2 2 6 6 3 5 3" xfId="28775" xr:uid="{00000000-0005-0000-0000-0000D93C0000}"/>
    <cellStyle name="Comma 2 2 6 6 3 6" xfId="7944" xr:uid="{00000000-0005-0000-0000-0000DA3C0000}"/>
    <cellStyle name="Comma 2 2 6 6 3 6 2" xfId="31223" xr:uid="{00000000-0005-0000-0000-0000DB3C0000}"/>
    <cellStyle name="Comma 2 2 6 6 3 7" xfId="10392" xr:uid="{00000000-0005-0000-0000-0000DC3C0000}"/>
    <cellStyle name="Comma 2 2 6 6 3 7 2" xfId="33671" xr:uid="{00000000-0005-0000-0000-0000DD3C0000}"/>
    <cellStyle name="Comma 2 2 6 6 3 8" xfId="12840" xr:uid="{00000000-0005-0000-0000-0000DE3C0000}"/>
    <cellStyle name="Comma 2 2 6 6 3 8 2" xfId="36119" xr:uid="{00000000-0005-0000-0000-0000DF3C0000}"/>
    <cellStyle name="Comma 2 2 6 6 3 9" xfId="15311" xr:uid="{00000000-0005-0000-0000-0000E03C0000}"/>
    <cellStyle name="Comma 2 2 6 6 3 9 2" xfId="38589" xr:uid="{00000000-0005-0000-0000-0000E13C0000}"/>
    <cellStyle name="Comma 2 2 6 6 4" xfId="804" xr:uid="{00000000-0005-0000-0000-0000E23C0000}"/>
    <cellStyle name="Comma 2 2 6 6 4 10" xfId="44913" xr:uid="{00000000-0005-0000-0000-0000E33C0000}"/>
    <cellStyle name="Comma 2 2 6 6 4 11" xfId="21635" xr:uid="{00000000-0005-0000-0000-0000E43C0000}"/>
    <cellStyle name="Comma 2 2 6 6 4 2" xfId="2028" xr:uid="{00000000-0005-0000-0000-0000E53C0000}"/>
    <cellStyle name="Comma 2 2 6 6 4 2 10" xfId="22859" xr:uid="{00000000-0005-0000-0000-0000E63C0000}"/>
    <cellStyle name="Comma 2 2 6 6 4 2 2" xfId="4476" xr:uid="{00000000-0005-0000-0000-0000E73C0000}"/>
    <cellStyle name="Comma 2 2 6 6 4 2 2 2" xfId="20411" xr:uid="{00000000-0005-0000-0000-0000E83C0000}"/>
    <cellStyle name="Comma 2 2 6 6 4 2 2 2 2" xfId="43689" xr:uid="{00000000-0005-0000-0000-0000E93C0000}"/>
    <cellStyle name="Comma 2 2 6 6 4 2 2 3" xfId="48585" xr:uid="{00000000-0005-0000-0000-0000EA3C0000}"/>
    <cellStyle name="Comma 2 2 6 6 4 2 2 4" xfId="27755" xr:uid="{00000000-0005-0000-0000-0000EB3C0000}"/>
    <cellStyle name="Comma 2 2 6 6 4 2 3" xfId="6924" xr:uid="{00000000-0005-0000-0000-0000EC3C0000}"/>
    <cellStyle name="Comma 2 2 6 6 4 2 3 2" xfId="30203" xr:uid="{00000000-0005-0000-0000-0000ED3C0000}"/>
    <cellStyle name="Comma 2 2 6 6 4 2 4" xfId="9372" xr:uid="{00000000-0005-0000-0000-0000EE3C0000}"/>
    <cellStyle name="Comma 2 2 6 6 4 2 4 2" xfId="32651" xr:uid="{00000000-0005-0000-0000-0000EF3C0000}"/>
    <cellStyle name="Comma 2 2 6 6 4 2 5" xfId="11820" xr:uid="{00000000-0005-0000-0000-0000F03C0000}"/>
    <cellStyle name="Comma 2 2 6 6 4 2 5 2" xfId="35099" xr:uid="{00000000-0005-0000-0000-0000F13C0000}"/>
    <cellStyle name="Comma 2 2 6 6 4 2 6" xfId="14268" xr:uid="{00000000-0005-0000-0000-0000F23C0000}"/>
    <cellStyle name="Comma 2 2 6 6 4 2 6 2" xfId="37547" xr:uid="{00000000-0005-0000-0000-0000F33C0000}"/>
    <cellStyle name="Comma 2 2 6 6 4 2 7" xfId="17963" xr:uid="{00000000-0005-0000-0000-0000F43C0000}"/>
    <cellStyle name="Comma 2 2 6 6 4 2 7 2" xfId="41241" xr:uid="{00000000-0005-0000-0000-0000F53C0000}"/>
    <cellStyle name="Comma 2 2 6 6 4 2 8" xfId="25307" xr:uid="{00000000-0005-0000-0000-0000F63C0000}"/>
    <cellStyle name="Comma 2 2 6 6 4 2 9" xfId="46137" xr:uid="{00000000-0005-0000-0000-0000F73C0000}"/>
    <cellStyle name="Comma 2 2 6 6 4 3" xfId="3252" xr:uid="{00000000-0005-0000-0000-0000F83C0000}"/>
    <cellStyle name="Comma 2 2 6 6 4 3 2" xfId="16739" xr:uid="{00000000-0005-0000-0000-0000F93C0000}"/>
    <cellStyle name="Comma 2 2 6 6 4 3 2 2" xfId="40017" xr:uid="{00000000-0005-0000-0000-0000FA3C0000}"/>
    <cellStyle name="Comma 2 2 6 6 4 3 3" xfId="47361" xr:uid="{00000000-0005-0000-0000-0000FB3C0000}"/>
    <cellStyle name="Comma 2 2 6 6 4 3 4" xfId="26531" xr:uid="{00000000-0005-0000-0000-0000FC3C0000}"/>
    <cellStyle name="Comma 2 2 6 6 4 4" xfId="5700" xr:uid="{00000000-0005-0000-0000-0000FD3C0000}"/>
    <cellStyle name="Comma 2 2 6 6 4 4 2" xfId="19187" xr:uid="{00000000-0005-0000-0000-0000FE3C0000}"/>
    <cellStyle name="Comma 2 2 6 6 4 4 2 2" xfId="42465" xr:uid="{00000000-0005-0000-0000-0000FF3C0000}"/>
    <cellStyle name="Comma 2 2 6 6 4 4 3" xfId="28979" xr:uid="{00000000-0005-0000-0000-0000003D0000}"/>
    <cellStyle name="Comma 2 2 6 6 4 5" xfId="8148" xr:uid="{00000000-0005-0000-0000-0000013D0000}"/>
    <cellStyle name="Comma 2 2 6 6 4 5 2" xfId="31427" xr:uid="{00000000-0005-0000-0000-0000023D0000}"/>
    <cellStyle name="Comma 2 2 6 6 4 6" xfId="10596" xr:uid="{00000000-0005-0000-0000-0000033D0000}"/>
    <cellStyle name="Comma 2 2 6 6 4 6 2" xfId="33875" xr:uid="{00000000-0005-0000-0000-0000043D0000}"/>
    <cellStyle name="Comma 2 2 6 6 4 7" xfId="13044" xr:uid="{00000000-0005-0000-0000-0000053D0000}"/>
    <cellStyle name="Comma 2 2 6 6 4 7 2" xfId="36323" xr:uid="{00000000-0005-0000-0000-0000063D0000}"/>
    <cellStyle name="Comma 2 2 6 6 4 8" xfId="15515" xr:uid="{00000000-0005-0000-0000-0000073D0000}"/>
    <cellStyle name="Comma 2 2 6 6 4 8 2" xfId="38793" xr:uid="{00000000-0005-0000-0000-0000083D0000}"/>
    <cellStyle name="Comma 2 2 6 6 4 9" xfId="24083" xr:uid="{00000000-0005-0000-0000-0000093D0000}"/>
    <cellStyle name="Comma 2 2 6 6 5" xfId="1416" xr:uid="{00000000-0005-0000-0000-00000A3D0000}"/>
    <cellStyle name="Comma 2 2 6 6 5 10" xfId="22247" xr:uid="{00000000-0005-0000-0000-00000B3D0000}"/>
    <cellStyle name="Comma 2 2 6 6 5 2" xfId="3864" xr:uid="{00000000-0005-0000-0000-00000C3D0000}"/>
    <cellStyle name="Comma 2 2 6 6 5 2 2" xfId="19799" xr:uid="{00000000-0005-0000-0000-00000D3D0000}"/>
    <cellStyle name="Comma 2 2 6 6 5 2 2 2" xfId="43077" xr:uid="{00000000-0005-0000-0000-00000E3D0000}"/>
    <cellStyle name="Comma 2 2 6 6 5 2 3" xfId="47973" xr:uid="{00000000-0005-0000-0000-00000F3D0000}"/>
    <cellStyle name="Comma 2 2 6 6 5 2 4" xfId="27143" xr:uid="{00000000-0005-0000-0000-0000103D0000}"/>
    <cellStyle name="Comma 2 2 6 6 5 3" xfId="6312" xr:uid="{00000000-0005-0000-0000-0000113D0000}"/>
    <cellStyle name="Comma 2 2 6 6 5 3 2" xfId="29591" xr:uid="{00000000-0005-0000-0000-0000123D0000}"/>
    <cellStyle name="Comma 2 2 6 6 5 4" xfId="8760" xr:uid="{00000000-0005-0000-0000-0000133D0000}"/>
    <cellStyle name="Comma 2 2 6 6 5 4 2" xfId="32039" xr:uid="{00000000-0005-0000-0000-0000143D0000}"/>
    <cellStyle name="Comma 2 2 6 6 5 5" xfId="11208" xr:uid="{00000000-0005-0000-0000-0000153D0000}"/>
    <cellStyle name="Comma 2 2 6 6 5 5 2" xfId="34487" xr:uid="{00000000-0005-0000-0000-0000163D0000}"/>
    <cellStyle name="Comma 2 2 6 6 5 6" xfId="13656" xr:uid="{00000000-0005-0000-0000-0000173D0000}"/>
    <cellStyle name="Comma 2 2 6 6 5 6 2" xfId="36935" xr:uid="{00000000-0005-0000-0000-0000183D0000}"/>
    <cellStyle name="Comma 2 2 6 6 5 7" xfId="17351" xr:uid="{00000000-0005-0000-0000-0000193D0000}"/>
    <cellStyle name="Comma 2 2 6 6 5 7 2" xfId="40629" xr:uid="{00000000-0005-0000-0000-00001A3D0000}"/>
    <cellStyle name="Comma 2 2 6 6 5 8" xfId="24695" xr:uid="{00000000-0005-0000-0000-00001B3D0000}"/>
    <cellStyle name="Comma 2 2 6 6 5 9" xfId="45525" xr:uid="{00000000-0005-0000-0000-00001C3D0000}"/>
    <cellStyle name="Comma 2 2 6 6 6" xfId="2640" xr:uid="{00000000-0005-0000-0000-00001D3D0000}"/>
    <cellStyle name="Comma 2 2 6 6 6 2" xfId="16127" xr:uid="{00000000-0005-0000-0000-00001E3D0000}"/>
    <cellStyle name="Comma 2 2 6 6 6 2 2" xfId="39405" xr:uid="{00000000-0005-0000-0000-00001F3D0000}"/>
    <cellStyle name="Comma 2 2 6 6 6 3" xfId="46749" xr:uid="{00000000-0005-0000-0000-0000203D0000}"/>
    <cellStyle name="Comma 2 2 6 6 6 4" xfId="25919" xr:uid="{00000000-0005-0000-0000-0000213D0000}"/>
    <cellStyle name="Comma 2 2 6 6 7" xfId="5088" xr:uid="{00000000-0005-0000-0000-0000223D0000}"/>
    <cellStyle name="Comma 2 2 6 6 7 2" xfId="18575" xr:uid="{00000000-0005-0000-0000-0000233D0000}"/>
    <cellStyle name="Comma 2 2 6 6 7 2 2" xfId="41853" xr:uid="{00000000-0005-0000-0000-0000243D0000}"/>
    <cellStyle name="Comma 2 2 6 6 7 3" xfId="28367" xr:uid="{00000000-0005-0000-0000-0000253D0000}"/>
    <cellStyle name="Comma 2 2 6 6 8" xfId="7536" xr:uid="{00000000-0005-0000-0000-0000263D0000}"/>
    <cellStyle name="Comma 2 2 6 6 8 2" xfId="30815" xr:uid="{00000000-0005-0000-0000-0000273D0000}"/>
    <cellStyle name="Comma 2 2 6 6 9" xfId="9984" xr:uid="{00000000-0005-0000-0000-0000283D0000}"/>
    <cellStyle name="Comma 2 2 6 6 9 2" xfId="33263" xr:uid="{00000000-0005-0000-0000-0000293D0000}"/>
    <cellStyle name="Comma 2 2 6 7" xfId="260" xr:uid="{00000000-0005-0000-0000-00002A3D0000}"/>
    <cellStyle name="Comma 2 2 6 7 10" xfId="23539" xr:uid="{00000000-0005-0000-0000-00002B3D0000}"/>
    <cellStyle name="Comma 2 2 6 7 11" xfId="44369" xr:uid="{00000000-0005-0000-0000-00002C3D0000}"/>
    <cellStyle name="Comma 2 2 6 7 12" xfId="21091" xr:uid="{00000000-0005-0000-0000-00002D3D0000}"/>
    <cellStyle name="Comma 2 2 6 7 2" xfId="872" xr:uid="{00000000-0005-0000-0000-00002E3D0000}"/>
    <cellStyle name="Comma 2 2 6 7 2 10" xfId="44981" xr:uid="{00000000-0005-0000-0000-00002F3D0000}"/>
    <cellStyle name="Comma 2 2 6 7 2 11" xfId="21703" xr:uid="{00000000-0005-0000-0000-0000303D0000}"/>
    <cellStyle name="Comma 2 2 6 7 2 2" xfId="2096" xr:uid="{00000000-0005-0000-0000-0000313D0000}"/>
    <cellStyle name="Comma 2 2 6 7 2 2 10" xfId="22927" xr:uid="{00000000-0005-0000-0000-0000323D0000}"/>
    <cellStyle name="Comma 2 2 6 7 2 2 2" xfId="4544" xr:uid="{00000000-0005-0000-0000-0000333D0000}"/>
    <cellStyle name="Comma 2 2 6 7 2 2 2 2" xfId="20479" xr:uid="{00000000-0005-0000-0000-0000343D0000}"/>
    <cellStyle name="Comma 2 2 6 7 2 2 2 2 2" xfId="43757" xr:uid="{00000000-0005-0000-0000-0000353D0000}"/>
    <cellStyle name="Comma 2 2 6 7 2 2 2 3" xfId="48653" xr:uid="{00000000-0005-0000-0000-0000363D0000}"/>
    <cellStyle name="Comma 2 2 6 7 2 2 2 4" xfId="27823" xr:uid="{00000000-0005-0000-0000-0000373D0000}"/>
    <cellStyle name="Comma 2 2 6 7 2 2 3" xfId="6992" xr:uid="{00000000-0005-0000-0000-0000383D0000}"/>
    <cellStyle name="Comma 2 2 6 7 2 2 3 2" xfId="30271" xr:uid="{00000000-0005-0000-0000-0000393D0000}"/>
    <cellStyle name="Comma 2 2 6 7 2 2 4" xfId="9440" xr:uid="{00000000-0005-0000-0000-00003A3D0000}"/>
    <cellStyle name="Comma 2 2 6 7 2 2 4 2" xfId="32719" xr:uid="{00000000-0005-0000-0000-00003B3D0000}"/>
    <cellStyle name="Comma 2 2 6 7 2 2 5" xfId="11888" xr:uid="{00000000-0005-0000-0000-00003C3D0000}"/>
    <cellStyle name="Comma 2 2 6 7 2 2 5 2" xfId="35167" xr:uid="{00000000-0005-0000-0000-00003D3D0000}"/>
    <cellStyle name="Comma 2 2 6 7 2 2 6" xfId="14336" xr:uid="{00000000-0005-0000-0000-00003E3D0000}"/>
    <cellStyle name="Comma 2 2 6 7 2 2 6 2" xfId="37615" xr:uid="{00000000-0005-0000-0000-00003F3D0000}"/>
    <cellStyle name="Comma 2 2 6 7 2 2 7" xfId="18031" xr:uid="{00000000-0005-0000-0000-0000403D0000}"/>
    <cellStyle name="Comma 2 2 6 7 2 2 7 2" xfId="41309" xr:uid="{00000000-0005-0000-0000-0000413D0000}"/>
    <cellStyle name="Comma 2 2 6 7 2 2 8" xfId="25375" xr:uid="{00000000-0005-0000-0000-0000423D0000}"/>
    <cellStyle name="Comma 2 2 6 7 2 2 9" xfId="46205" xr:uid="{00000000-0005-0000-0000-0000433D0000}"/>
    <cellStyle name="Comma 2 2 6 7 2 3" xfId="3320" xr:uid="{00000000-0005-0000-0000-0000443D0000}"/>
    <cellStyle name="Comma 2 2 6 7 2 3 2" xfId="16807" xr:uid="{00000000-0005-0000-0000-0000453D0000}"/>
    <cellStyle name="Comma 2 2 6 7 2 3 2 2" xfId="40085" xr:uid="{00000000-0005-0000-0000-0000463D0000}"/>
    <cellStyle name="Comma 2 2 6 7 2 3 3" xfId="47429" xr:uid="{00000000-0005-0000-0000-0000473D0000}"/>
    <cellStyle name="Comma 2 2 6 7 2 3 4" xfId="26599" xr:uid="{00000000-0005-0000-0000-0000483D0000}"/>
    <cellStyle name="Comma 2 2 6 7 2 4" xfId="5768" xr:uid="{00000000-0005-0000-0000-0000493D0000}"/>
    <cellStyle name="Comma 2 2 6 7 2 4 2" xfId="19255" xr:uid="{00000000-0005-0000-0000-00004A3D0000}"/>
    <cellStyle name="Comma 2 2 6 7 2 4 2 2" xfId="42533" xr:uid="{00000000-0005-0000-0000-00004B3D0000}"/>
    <cellStyle name="Comma 2 2 6 7 2 4 3" xfId="29047" xr:uid="{00000000-0005-0000-0000-00004C3D0000}"/>
    <cellStyle name="Comma 2 2 6 7 2 5" xfId="8216" xr:uid="{00000000-0005-0000-0000-00004D3D0000}"/>
    <cellStyle name="Comma 2 2 6 7 2 5 2" xfId="31495" xr:uid="{00000000-0005-0000-0000-00004E3D0000}"/>
    <cellStyle name="Comma 2 2 6 7 2 6" xfId="10664" xr:uid="{00000000-0005-0000-0000-00004F3D0000}"/>
    <cellStyle name="Comma 2 2 6 7 2 6 2" xfId="33943" xr:uid="{00000000-0005-0000-0000-0000503D0000}"/>
    <cellStyle name="Comma 2 2 6 7 2 7" xfId="13112" xr:uid="{00000000-0005-0000-0000-0000513D0000}"/>
    <cellStyle name="Comma 2 2 6 7 2 7 2" xfId="36391" xr:uid="{00000000-0005-0000-0000-0000523D0000}"/>
    <cellStyle name="Comma 2 2 6 7 2 8" xfId="15583" xr:uid="{00000000-0005-0000-0000-0000533D0000}"/>
    <cellStyle name="Comma 2 2 6 7 2 8 2" xfId="38861" xr:uid="{00000000-0005-0000-0000-0000543D0000}"/>
    <cellStyle name="Comma 2 2 6 7 2 9" xfId="24151" xr:uid="{00000000-0005-0000-0000-0000553D0000}"/>
    <cellStyle name="Comma 2 2 6 7 3" xfId="1484" xr:uid="{00000000-0005-0000-0000-0000563D0000}"/>
    <cellStyle name="Comma 2 2 6 7 3 10" xfId="22315" xr:uid="{00000000-0005-0000-0000-0000573D0000}"/>
    <cellStyle name="Comma 2 2 6 7 3 2" xfId="3932" xr:uid="{00000000-0005-0000-0000-0000583D0000}"/>
    <cellStyle name="Comma 2 2 6 7 3 2 2" xfId="19867" xr:uid="{00000000-0005-0000-0000-0000593D0000}"/>
    <cellStyle name="Comma 2 2 6 7 3 2 2 2" xfId="43145" xr:uid="{00000000-0005-0000-0000-00005A3D0000}"/>
    <cellStyle name="Comma 2 2 6 7 3 2 3" xfId="48041" xr:uid="{00000000-0005-0000-0000-00005B3D0000}"/>
    <cellStyle name="Comma 2 2 6 7 3 2 4" xfId="27211" xr:uid="{00000000-0005-0000-0000-00005C3D0000}"/>
    <cellStyle name="Comma 2 2 6 7 3 3" xfId="6380" xr:uid="{00000000-0005-0000-0000-00005D3D0000}"/>
    <cellStyle name="Comma 2 2 6 7 3 3 2" xfId="29659" xr:uid="{00000000-0005-0000-0000-00005E3D0000}"/>
    <cellStyle name="Comma 2 2 6 7 3 4" xfId="8828" xr:uid="{00000000-0005-0000-0000-00005F3D0000}"/>
    <cellStyle name="Comma 2 2 6 7 3 4 2" xfId="32107" xr:uid="{00000000-0005-0000-0000-0000603D0000}"/>
    <cellStyle name="Comma 2 2 6 7 3 5" xfId="11276" xr:uid="{00000000-0005-0000-0000-0000613D0000}"/>
    <cellStyle name="Comma 2 2 6 7 3 5 2" xfId="34555" xr:uid="{00000000-0005-0000-0000-0000623D0000}"/>
    <cellStyle name="Comma 2 2 6 7 3 6" xfId="13724" xr:uid="{00000000-0005-0000-0000-0000633D0000}"/>
    <cellStyle name="Comma 2 2 6 7 3 6 2" xfId="37003" xr:uid="{00000000-0005-0000-0000-0000643D0000}"/>
    <cellStyle name="Comma 2 2 6 7 3 7" xfId="17419" xr:uid="{00000000-0005-0000-0000-0000653D0000}"/>
    <cellStyle name="Comma 2 2 6 7 3 7 2" xfId="40697" xr:uid="{00000000-0005-0000-0000-0000663D0000}"/>
    <cellStyle name="Comma 2 2 6 7 3 8" xfId="24763" xr:uid="{00000000-0005-0000-0000-0000673D0000}"/>
    <cellStyle name="Comma 2 2 6 7 3 9" xfId="45593" xr:uid="{00000000-0005-0000-0000-0000683D0000}"/>
    <cellStyle name="Comma 2 2 6 7 4" xfId="2708" xr:uid="{00000000-0005-0000-0000-0000693D0000}"/>
    <cellStyle name="Comma 2 2 6 7 4 2" xfId="16195" xr:uid="{00000000-0005-0000-0000-00006A3D0000}"/>
    <cellStyle name="Comma 2 2 6 7 4 2 2" xfId="39473" xr:uid="{00000000-0005-0000-0000-00006B3D0000}"/>
    <cellStyle name="Comma 2 2 6 7 4 3" xfId="46817" xr:uid="{00000000-0005-0000-0000-00006C3D0000}"/>
    <cellStyle name="Comma 2 2 6 7 4 4" xfId="25987" xr:uid="{00000000-0005-0000-0000-00006D3D0000}"/>
    <cellStyle name="Comma 2 2 6 7 5" xfId="5156" xr:uid="{00000000-0005-0000-0000-00006E3D0000}"/>
    <cellStyle name="Comma 2 2 6 7 5 2" xfId="18643" xr:uid="{00000000-0005-0000-0000-00006F3D0000}"/>
    <cellStyle name="Comma 2 2 6 7 5 2 2" xfId="41921" xr:uid="{00000000-0005-0000-0000-0000703D0000}"/>
    <cellStyle name="Comma 2 2 6 7 5 3" xfId="28435" xr:uid="{00000000-0005-0000-0000-0000713D0000}"/>
    <cellStyle name="Comma 2 2 6 7 6" xfId="7604" xr:uid="{00000000-0005-0000-0000-0000723D0000}"/>
    <cellStyle name="Comma 2 2 6 7 6 2" xfId="30883" xr:uid="{00000000-0005-0000-0000-0000733D0000}"/>
    <cellStyle name="Comma 2 2 6 7 7" xfId="10052" xr:uid="{00000000-0005-0000-0000-0000743D0000}"/>
    <cellStyle name="Comma 2 2 6 7 7 2" xfId="33331" xr:uid="{00000000-0005-0000-0000-0000753D0000}"/>
    <cellStyle name="Comma 2 2 6 7 8" xfId="12500" xr:uid="{00000000-0005-0000-0000-0000763D0000}"/>
    <cellStyle name="Comma 2 2 6 7 8 2" xfId="35779" xr:uid="{00000000-0005-0000-0000-0000773D0000}"/>
    <cellStyle name="Comma 2 2 6 7 9" xfId="14971" xr:uid="{00000000-0005-0000-0000-0000783D0000}"/>
    <cellStyle name="Comma 2 2 6 7 9 2" xfId="38249" xr:uid="{00000000-0005-0000-0000-0000793D0000}"/>
    <cellStyle name="Comma 2 2 6 8" xfId="464" xr:uid="{00000000-0005-0000-0000-00007A3D0000}"/>
    <cellStyle name="Comma 2 2 6 8 10" xfId="23743" xr:uid="{00000000-0005-0000-0000-00007B3D0000}"/>
    <cellStyle name="Comma 2 2 6 8 11" xfId="44573" xr:uid="{00000000-0005-0000-0000-00007C3D0000}"/>
    <cellStyle name="Comma 2 2 6 8 12" xfId="21295" xr:uid="{00000000-0005-0000-0000-00007D3D0000}"/>
    <cellStyle name="Comma 2 2 6 8 2" xfId="1076" xr:uid="{00000000-0005-0000-0000-00007E3D0000}"/>
    <cellStyle name="Comma 2 2 6 8 2 10" xfId="45185" xr:uid="{00000000-0005-0000-0000-00007F3D0000}"/>
    <cellStyle name="Comma 2 2 6 8 2 11" xfId="21907" xr:uid="{00000000-0005-0000-0000-0000803D0000}"/>
    <cellStyle name="Comma 2 2 6 8 2 2" xfId="2300" xr:uid="{00000000-0005-0000-0000-0000813D0000}"/>
    <cellStyle name="Comma 2 2 6 8 2 2 10" xfId="23131" xr:uid="{00000000-0005-0000-0000-0000823D0000}"/>
    <cellStyle name="Comma 2 2 6 8 2 2 2" xfId="4748" xr:uid="{00000000-0005-0000-0000-0000833D0000}"/>
    <cellStyle name="Comma 2 2 6 8 2 2 2 2" xfId="20683" xr:uid="{00000000-0005-0000-0000-0000843D0000}"/>
    <cellStyle name="Comma 2 2 6 8 2 2 2 2 2" xfId="43961" xr:uid="{00000000-0005-0000-0000-0000853D0000}"/>
    <cellStyle name="Comma 2 2 6 8 2 2 2 3" xfId="48857" xr:uid="{00000000-0005-0000-0000-0000863D0000}"/>
    <cellStyle name="Comma 2 2 6 8 2 2 2 4" xfId="28027" xr:uid="{00000000-0005-0000-0000-0000873D0000}"/>
    <cellStyle name="Comma 2 2 6 8 2 2 3" xfId="7196" xr:uid="{00000000-0005-0000-0000-0000883D0000}"/>
    <cellStyle name="Comma 2 2 6 8 2 2 3 2" xfId="30475" xr:uid="{00000000-0005-0000-0000-0000893D0000}"/>
    <cellStyle name="Comma 2 2 6 8 2 2 4" xfId="9644" xr:uid="{00000000-0005-0000-0000-00008A3D0000}"/>
    <cellStyle name="Comma 2 2 6 8 2 2 4 2" xfId="32923" xr:uid="{00000000-0005-0000-0000-00008B3D0000}"/>
    <cellStyle name="Comma 2 2 6 8 2 2 5" xfId="12092" xr:uid="{00000000-0005-0000-0000-00008C3D0000}"/>
    <cellStyle name="Comma 2 2 6 8 2 2 5 2" xfId="35371" xr:uid="{00000000-0005-0000-0000-00008D3D0000}"/>
    <cellStyle name="Comma 2 2 6 8 2 2 6" xfId="14540" xr:uid="{00000000-0005-0000-0000-00008E3D0000}"/>
    <cellStyle name="Comma 2 2 6 8 2 2 6 2" xfId="37819" xr:uid="{00000000-0005-0000-0000-00008F3D0000}"/>
    <cellStyle name="Comma 2 2 6 8 2 2 7" xfId="18235" xr:uid="{00000000-0005-0000-0000-0000903D0000}"/>
    <cellStyle name="Comma 2 2 6 8 2 2 7 2" xfId="41513" xr:uid="{00000000-0005-0000-0000-0000913D0000}"/>
    <cellStyle name="Comma 2 2 6 8 2 2 8" xfId="25579" xr:uid="{00000000-0005-0000-0000-0000923D0000}"/>
    <cellStyle name="Comma 2 2 6 8 2 2 9" xfId="46409" xr:uid="{00000000-0005-0000-0000-0000933D0000}"/>
    <cellStyle name="Comma 2 2 6 8 2 3" xfId="3524" xr:uid="{00000000-0005-0000-0000-0000943D0000}"/>
    <cellStyle name="Comma 2 2 6 8 2 3 2" xfId="17011" xr:uid="{00000000-0005-0000-0000-0000953D0000}"/>
    <cellStyle name="Comma 2 2 6 8 2 3 2 2" xfId="40289" xr:uid="{00000000-0005-0000-0000-0000963D0000}"/>
    <cellStyle name="Comma 2 2 6 8 2 3 3" xfId="47633" xr:uid="{00000000-0005-0000-0000-0000973D0000}"/>
    <cellStyle name="Comma 2 2 6 8 2 3 4" xfId="26803" xr:uid="{00000000-0005-0000-0000-0000983D0000}"/>
    <cellStyle name="Comma 2 2 6 8 2 4" xfId="5972" xr:uid="{00000000-0005-0000-0000-0000993D0000}"/>
    <cellStyle name="Comma 2 2 6 8 2 4 2" xfId="19459" xr:uid="{00000000-0005-0000-0000-00009A3D0000}"/>
    <cellStyle name="Comma 2 2 6 8 2 4 2 2" xfId="42737" xr:uid="{00000000-0005-0000-0000-00009B3D0000}"/>
    <cellStyle name="Comma 2 2 6 8 2 4 3" xfId="29251" xr:uid="{00000000-0005-0000-0000-00009C3D0000}"/>
    <cellStyle name="Comma 2 2 6 8 2 5" xfId="8420" xr:uid="{00000000-0005-0000-0000-00009D3D0000}"/>
    <cellStyle name="Comma 2 2 6 8 2 5 2" xfId="31699" xr:uid="{00000000-0005-0000-0000-00009E3D0000}"/>
    <cellStyle name="Comma 2 2 6 8 2 6" xfId="10868" xr:uid="{00000000-0005-0000-0000-00009F3D0000}"/>
    <cellStyle name="Comma 2 2 6 8 2 6 2" xfId="34147" xr:uid="{00000000-0005-0000-0000-0000A03D0000}"/>
    <cellStyle name="Comma 2 2 6 8 2 7" xfId="13316" xr:uid="{00000000-0005-0000-0000-0000A13D0000}"/>
    <cellStyle name="Comma 2 2 6 8 2 7 2" xfId="36595" xr:uid="{00000000-0005-0000-0000-0000A23D0000}"/>
    <cellStyle name="Comma 2 2 6 8 2 8" xfId="15787" xr:uid="{00000000-0005-0000-0000-0000A33D0000}"/>
    <cellStyle name="Comma 2 2 6 8 2 8 2" xfId="39065" xr:uid="{00000000-0005-0000-0000-0000A43D0000}"/>
    <cellStyle name="Comma 2 2 6 8 2 9" xfId="24355" xr:uid="{00000000-0005-0000-0000-0000A53D0000}"/>
    <cellStyle name="Comma 2 2 6 8 3" xfId="1688" xr:uid="{00000000-0005-0000-0000-0000A63D0000}"/>
    <cellStyle name="Comma 2 2 6 8 3 10" xfId="22519" xr:uid="{00000000-0005-0000-0000-0000A73D0000}"/>
    <cellStyle name="Comma 2 2 6 8 3 2" xfId="4136" xr:uid="{00000000-0005-0000-0000-0000A83D0000}"/>
    <cellStyle name="Comma 2 2 6 8 3 2 2" xfId="20071" xr:uid="{00000000-0005-0000-0000-0000A93D0000}"/>
    <cellStyle name="Comma 2 2 6 8 3 2 2 2" xfId="43349" xr:uid="{00000000-0005-0000-0000-0000AA3D0000}"/>
    <cellStyle name="Comma 2 2 6 8 3 2 3" xfId="48245" xr:uid="{00000000-0005-0000-0000-0000AB3D0000}"/>
    <cellStyle name="Comma 2 2 6 8 3 2 4" xfId="27415" xr:uid="{00000000-0005-0000-0000-0000AC3D0000}"/>
    <cellStyle name="Comma 2 2 6 8 3 3" xfId="6584" xr:uid="{00000000-0005-0000-0000-0000AD3D0000}"/>
    <cellStyle name="Comma 2 2 6 8 3 3 2" xfId="29863" xr:uid="{00000000-0005-0000-0000-0000AE3D0000}"/>
    <cellStyle name="Comma 2 2 6 8 3 4" xfId="9032" xr:uid="{00000000-0005-0000-0000-0000AF3D0000}"/>
    <cellStyle name="Comma 2 2 6 8 3 4 2" xfId="32311" xr:uid="{00000000-0005-0000-0000-0000B03D0000}"/>
    <cellStyle name="Comma 2 2 6 8 3 5" xfId="11480" xr:uid="{00000000-0005-0000-0000-0000B13D0000}"/>
    <cellStyle name="Comma 2 2 6 8 3 5 2" xfId="34759" xr:uid="{00000000-0005-0000-0000-0000B23D0000}"/>
    <cellStyle name="Comma 2 2 6 8 3 6" xfId="13928" xr:uid="{00000000-0005-0000-0000-0000B33D0000}"/>
    <cellStyle name="Comma 2 2 6 8 3 6 2" xfId="37207" xr:uid="{00000000-0005-0000-0000-0000B43D0000}"/>
    <cellStyle name="Comma 2 2 6 8 3 7" xfId="17623" xr:uid="{00000000-0005-0000-0000-0000B53D0000}"/>
    <cellStyle name="Comma 2 2 6 8 3 7 2" xfId="40901" xr:uid="{00000000-0005-0000-0000-0000B63D0000}"/>
    <cellStyle name="Comma 2 2 6 8 3 8" xfId="24967" xr:uid="{00000000-0005-0000-0000-0000B73D0000}"/>
    <cellStyle name="Comma 2 2 6 8 3 9" xfId="45797" xr:uid="{00000000-0005-0000-0000-0000B83D0000}"/>
    <cellStyle name="Comma 2 2 6 8 4" xfId="2912" xr:uid="{00000000-0005-0000-0000-0000B93D0000}"/>
    <cellStyle name="Comma 2 2 6 8 4 2" xfId="16399" xr:uid="{00000000-0005-0000-0000-0000BA3D0000}"/>
    <cellStyle name="Comma 2 2 6 8 4 2 2" xfId="39677" xr:uid="{00000000-0005-0000-0000-0000BB3D0000}"/>
    <cellStyle name="Comma 2 2 6 8 4 3" xfId="47021" xr:uid="{00000000-0005-0000-0000-0000BC3D0000}"/>
    <cellStyle name="Comma 2 2 6 8 4 4" xfId="26191" xr:uid="{00000000-0005-0000-0000-0000BD3D0000}"/>
    <cellStyle name="Comma 2 2 6 8 5" xfId="5360" xr:uid="{00000000-0005-0000-0000-0000BE3D0000}"/>
    <cellStyle name="Comma 2 2 6 8 5 2" xfId="18847" xr:uid="{00000000-0005-0000-0000-0000BF3D0000}"/>
    <cellStyle name="Comma 2 2 6 8 5 2 2" xfId="42125" xr:uid="{00000000-0005-0000-0000-0000C03D0000}"/>
    <cellStyle name="Comma 2 2 6 8 5 3" xfId="28639" xr:uid="{00000000-0005-0000-0000-0000C13D0000}"/>
    <cellStyle name="Comma 2 2 6 8 6" xfId="7808" xr:uid="{00000000-0005-0000-0000-0000C23D0000}"/>
    <cellStyle name="Comma 2 2 6 8 6 2" xfId="31087" xr:uid="{00000000-0005-0000-0000-0000C33D0000}"/>
    <cellStyle name="Comma 2 2 6 8 7" xfId="10256" xr:uid="{00000000-0005-0000-0000-0000C43D0000}"/>
    <cellStyle name="Comma 2 2 6 8 7 2" xfId="33535" xr:uid="{00000000-0005-0000-0000-0000C53D0000}"/>
    <cellStyle name="Comma 2 2 6 8 8" xfId="12704" xr:uid="{00000000-0005-0000-0000-0000C63D0000}"/>
    <cellStyle name="Comma 2 2 6 8 8 2" xfId="35983" xr:uid="{00000000-0005-0000-0000-0000C73D0000}"/>
    <cellStyle name="Comma 2 2 6 8 9" xfId="15175" xr:uid="{00000000-0005-0000-0000-0000C83D0000}"/>
    <cellStyle name="Comma 2 2 6 8 9 2" xfId="38453" xr:uid="{00000000-0005-0000-0000-0000C93D0000}"/>
    <cellStyle name="Comma 2 2 6 9" xfId="668" xr:uid="{00000000-0005-0000-0000-0000CA3D0000}"/>
    <cellStyle name="Comma 2 2 6 9 10" xfId="44777" xr:uid="{00000000-0005-0000-0000-0000CB3D0000}"/>
    <cellStyle name="Comma 2 2 6 9 11" xfId="21499" xr:uid="{00000000-0005-0000-0000-0000CC3D0000}"/>
    <cellStyle name="Comma 2 2 6 9 2" xfId="1892" xr:uid="{00000000-0005-0000-0000-0000CD3D0000}"/>
    <cellStyle name="Comma 2 2 6 9 2 10" xfId="22723" xr:uid="{00000000-0005-0000-0000-0000CE3D0000}"/>
    <cellStyle name="Comma 2 2 6 9 2 2" xfId="4340" xr:uid="{00000000-0005-0000-0000-0000CF3D0000}"/>
    <cellStyle name="Comma 2 2 6 9 2 2 2" xfId="20275" xr:uid="{00000000-0005-0000-0000-0000D03D0000}"/>
    <cellStyle name="Comma 2 2 6 9 2 2 2 2" xfId="43553" xr:uid="{00000000-0005-0000-0000-0000D13D0000}"/>
    <cellStyle name="Comma 2 2 6 9 2 2 3" xfId="48449" xr:uid="{00000000-0005-0000-0000-0000D23D0000}"/>
    <cellStyle name="Comma 2 2 6 9 2 2 4" xfId="27619" xr:uid="{00000000-0005-0000-0000-0000D33D0000}"/>
    <cellStyle name="Comma 2 2 6 9 2 3" xfId="6788" xr:uid="{00000000-0005-0000-0000-0000D43D0000}"/>
    <cellStyle name="Comma 2 2 6 9 2 3 2" xfId="30067" xr:uid="{00000000-0005-0000-0000-0000D53D0000}"/>
    <cellStyle name="Comma 2 2 6 9 2 4" xfId="9236" xr:uid="{00000000-0005-0000-0000-0000D63D0000}"/>
    <cellStyle name="Comma 2 2 6 9 2 4 2" xfId="32515" xr:uid="{00000000-0005-0000-0000-0000D73D0000}"/>
    <cellStyle name="Comma 2 2 6 9 2 5" xfId="11684" xr:uid="{00000000-0005-0000-0000-0000D83D0000}"/>
    <cellStyle name="Comma 2 2 6 9 2 5 2" xfId="34963" xr:uid="{00000000-0005-0000-0000-0000D93D0000}"/>
    <cellStyle name="Comma 2 2 6 9 2 6" xfId="14132" xr:uid="{00000000-0005-0000-0000-0000DA3D0000}"/>
    <cellStyle name="Comma 2 2 6 9 2 6 2" xfId="37411" xr:uid="{00000000-0005-0000-0000-0000DB3D0000}"/>
    <cellStyle name="Comma 2 2 6 9 2 7" xfId="17827" xr:uid="{00000000-0005-0000-0000-0000DC3D0000}"/>
    <cellStyle name="Comma 2 2 6 9 2 7 2" xfId="41105" xr:uid="{00000000-0005-0000-0000-0000DD3D0000}"/>
    <cellStyle name="Comma 2 2 6 9 2 8" xfId="25171" xr:uid="{00000000-0005-0000-0000-0000DE3D0000}"/>
    <cellStyle name="Comma 2 2 6 9 2 9" xfId="46001" xr:uid="{00000000-0005-0000-0000-0000DF3D0000}"/>
    <cellStyle name="Comma 2 2 6 9 3" xfId="3116" xr:uid="{00000000-0005-0000-0000-0000E03D0000}"/>
    <cellStyle name="Comma 2 2 6 9 3 2" xfId="16603" xr:uid="{00000000-0005-0000-0000-0000E13D0000}"/>
    <cellStyle name="Comma 2 2 6 9 3 2 2" xfId="39881" xr:uid="{00000000-0005-0000-0000-0000E23D0000}"/>
    <cellStyle name="Comma 2 2 6 9 3 3" xfId="47225" xr:uid="{00000000-0005-0000-0000-0000E33D0000}"/>
    <cellStyle name="Comma 2 2 6 9 3 4" xfId="26395" xr:uid="{00000000-0005-0000-0000-0000E43D0000}"/>
    <cellStyle name="Comma 2 2 6 9 4" xfId="5564" xr:uid="{00000000-0005-0000-0000-0000E53D0000}"/>
    <cellStyle name="Comma 2 2 6 9 4 2" xfId="19051" xr:uid="{00000000-0005-0000-0000-0000E63D0000}"/>
    <cellStyle name="Comma 2 2 6 9 4 2 2" xfId="42329" xr:uid="{00000000-0005-0000-0000-0000E73D0000}"/>
    <cellStyle name="Comma 2 2 6 9 4 3" xfId="28843" xr:uid="{00000000-0005-0000-0000-0000E83D0000}"/>
    <cellStyle name="Comma 2 2 6 9 5" xfId="8012" xr:uid="{00000000-0005-0000-0000-0000E93D0000}"/>
    <cellStyle name="Comma 2 2 6 9 5 2" xfId="31291" xr:uid="{00000000-0005-0000-0000-0000EA3D0000}"/>
    <cellStyle name="Comma 2 2 6 9 6" xfId="10460" xr:uid="{00000000-0005-0000-0000-0000EB3D0000}"/>
    <cellStyle name="Comma 2 2 6 9 6 2" xfId="33739" xr:uid="{00000000-0005-0000-0000-0000EC3D0000}"/>
    <cellStyle name="Comma 2 2 6 9 7" xfId="12908" xr:uid="{00000000-0005-0000-0000-0000ED3D0000}"/>
    <cellStyle name="Comma 2 2 6 9 7 2" xfId="36187" xr:uid="{00000000-0005-0000-0000-0000EE3D0000}"/>
    <cellStyle name="Comma 2 2 6 9 8" xfId="15379" xr:uid="{00000000-0005-0000-0000-0000EF3D0000}"/>
    <cellStyle name="Comma 2 2 6 9 8 2" xfId="38657" xr:uid="{00000000-0005-0000-0000-0000F03D0000}"/>
    <cellStyle name="Comma 2 2 6 9 9" xfId="23947" xr:uid="{00000000-0005-0000-0000-0000F13D0000}"/>
    <cellStyle name="Comma 2 2 7" xfId="58" xr:uid="{00000000-0005-0000-0000-0000F23D0000}"/>
    <cellStyle name="Comma 2 2 7 10" xfId="1282" xr:uid="{00000000-0005-0000-0000-0000F33D0000}"/>
    <cellStyle name="Comma 2 2 7 10 10" xfId="22113" xr:uid="{00000000-0005-0000-0000-0000F43D0000}"/>
    <cellStyle name="Comma 2 2 7 10 2" xfId="3730" xr:uid="{00000000-0005-0000-0000-0000F53D0000}"/>
    <cellStyle name="Comma 2 2 7 10 2 2" xfId="17217" xr:uid="{00000000-0005-0000-0000-0000F63D0000}"/>
    <cellStyle name="Comma 2 2 7 10 2 2 2" xfId="40495" xr:uid="{00000000-0005-0000-0000-0000F73D0000}"/>
    <cellStyle name="Comma 2 2 7 10 2 3" xfId="47839" xr:uid="{00000000-0005-0000-0000-0000F83D0000}"/>
    <cellStyle name="Comma 2 2 7 10 2 4" xfId="27009" xr:uid="{00000000-0005-0000-0000-0000F93D0000}"/>
    <cellStyle name="Comma 2 2 7 10 3" xfId="6178" xr:uid="{00000000-0005-0000-0000-0000FA3D0000}"/>
    <cellStyle name="Comma 2 2 7 10 3 2" xfId="19665" xr:uid="{00000000-0005-0000-0000-0000FB3D0000}"/>
    <cellStyle name="Comma 2 2 7 10 3 2 2" xfId="42943" xr:uid="{00000000-0005-0000-0000-0000FC3D0000}"/>
    <cellStyle name="Comma 2 2 7 10 3 3" xfId="29457" xr:uid="{00000000-0005-0000-0000-0000FD3D0000}"/>
    <cellStyle name="Comma 2 2 7 10 4" xfId="8626" xr:uid="{00000000-0005-0000-0000-0000FE3D0000}"/>
    <cellStyle name="Comma 2 2 7 10 4 2" xfId="31905" xr:uid="{00000000-0005-0000-0000-0000FF3D0000}"/>
    <cellStyle name="Comma 2 2 7 10 5" xfId="11074" xr:uid="{00000000-0005-0000-0000-0000003E0000}"/>
    <cellStyle name="Comma 2 2 7 10 5 2" xfId="34353" xr:uid="{00000000-0005-0000-0000-0000013E0000}"/>
    <cellStyle name="Comma 2 2 7 10 6" xfId="13522" xr:uid="{00000000-0005-0000-0000-0000023E0000}"/>
    <cellStyle name="Comma 2 2 7 10 6 2" xfId="36801" xr:uid="{00000000-0005-0000-0000-0000033E0000}"/>
    <cellStyle name="Comma 2 2 7 10 7" xfId="14769" xr:uid="{00000000-0005-0000-0000-0000043E0000}"/>
    <cellStyle name="Comma 2 2 7 10 7 2" xfId="38047" xr:uid="{00000000-0005-0000-0000-0000053E0000}"/>
    <cellStyle name="Comma 2 2 7 10 8" xfId="24561" xr:uid="{00000000-0005-0000-0000-0000063E0000}"/>
    <cellStyle name="Comma 2 2 7 10 9" xfId="45391" xr:uid="{00000000-0005-0000-0000-0000073E0000}"/>
    <cellStyle name="Comma 2 2 7 11" xfId="2506" xr:uid="{00000000-0005-0000-0000-0000083E0000}"/>
    <cellStyle name="Comma 2 2 7 11 2" xfId="15993" xr:uid="{00000000-0005-0000-0000-0000093E0000}"/>
    <cellStyle name="Comma 2 2 7 11 2 2" xfId="39271" xr:uid="{00000000-0005-0000-0000-00000A3E0000}"/>
    <cellStyle name="Comma 2 2 7 11 3" xfId="46615" xr:uid="{00000000-0005-0000-0000-00000B3E0000}"/>
    <cellStyle name="Comma 2 2 7 11 4" xfId="25785" xr:uid="{00000000-0005-0000-0000-00000C3E0000}"/>
    <cellStyle name="Comma 2 2 7 12" xfId="4954" xr:uid="{00000000-0005-0000-0000-00000D3E0000}"/>
    <cellStyle name="Comma 2 2 7 12 2" xfId="18441" xr:uid="{00000000-0005-0000-0000-00000E3E0000}"/>
    <cellStyle name="Comma 2 2 7 12 2 2" xfId="41719" xr:uid="{00000000-0005-0000-0000-00000F3E0000}"/>
    <cellStyle name="Comma 2 2 7 12 3" xfId="28233" xr:uid="{00000000-0005-0000-0000-0000103E0000}"/>
    <cellStyle name="Comma 2 2 7 13" xfId="7402" xr:uid="{00000000-0005-0000-0000-0000113E0000}"/>
    <cellStyle name="Comma 2 2 7 13 2" xfId="30681" xr:uid="{00000000-0005-0000-0000-0000123E0000}"/>
    <cellStyle name="Comma 2 2 7 14" xfId="9850" xr:uid="{00000000-0005-0000-0000-0000133E0000}"/>
    <cellStyle name="Comma 2 2 7 14 2" xfId="33129" xr:uid="{00000000-0005-0000-0000-0000143E0000}"/>
    <cellStyle name="Comma 2 2 7 15" xfId="12298" xr:uid="{00000000-0005-0000-0000-0000153E0000}"/>
    <cellStyle name="Comma 2 2 7 15 2" xfId="35577" xr:uid="{00000000-0005-0000-0000-0000163E0000}"/>
    <cellStyle name="Comma 2 2 7 16" xfId="14752" xr:uid="{00000000-0005-0000-0000-0000173E0000}"/>
    <cellStyle name="Comma 2 2 7 16 2" xfId="38030" xr:uid="{00000000-0005-0000-0000-0000183E0000}"/>
    <cellStyle name="Comma 2 2 7 17" xfId="23337" xr:uid="{00000000-0005-0000-0000-0000193E0000}"/>
    <cellStyle name="Comma 2 2 7 18" xfId="44167" xr:uid="{00000000-0005-0000-0000-00001A3E0000}"/>
    <cellStyle name="Comma 2 2 7 19" xfId="20889" xr:uid="{00000000-0005-0000-0000-00001B3E0000}"/>
    <cellStyle name="Comma 2 2 7 2" xfId="75" xr:uid="{00000000-0005-0000-0000-00001C3E0000}"/>
    <cellStyle name="Comma 2 2 7 2 10" xfId="7419" xr:uid="{00000000-0005-0000-0000-00001D3E0000}"/>
    <cellStyle name="Comma 2 2 7 2 10 2" xfId="30698" xr:uid="{00000000-0005-0000-0000-00001E3E0000}"/>
    <cellStyle name="Comma 2 2 7 2 11" xfId="9867" xr:uid="{00000000-0005-0000-0000-00001F3E0000}"/>
    <cellStyle name="Comma 2 2 7 2 11 2" xfId="33146" xr:uid="{00000000-0005-0000-0000-0000203E0000}"/>
    <cellStyle name="Comma 2 2 7 2 12" xfId="12315" xr:uid="{00000000-0005-0000-0000-0000213E0000}"/>
    <cellStyle name="Comma 2 2 7 2 12 2" xfId="35594" xr:uid="{00000000-0005-0000-0000-0000223E0000}"/>
    <cellStyle name="Comma 2 2 7 2 13" xfId="14786" xr:uid="{00000000-0005-0000-0000-0000233E0000}"/>
    <cellStyle name="Comma 2 2 7 2 13 2" xfId="38064" xr:uid="{00000000-0005-0000-0000-0000243E0000}"/>
    <cellStyle name="Comma 2 2 7 2 14" xfId="23354" xr:uid="{00000000-0005-0000-0000-0000253E0000}"/>
    <cellStyle name="Comma 2 2 7 2 15" xfId="44184" xr:uid="{00000000-0005-0000-0000-0000263E0000}"/>
    <cellStyle name="Comma 2 2 7 2 16" xfId="20906" xr:uid="{00000000-0005-0000-0000-0000273E0000}"/>
    <cellStyle name="Comma 2 2 7 2 2" xfId="143" xr:uid="{00000000-0005-0000-0000-0000283E0000}"/>
    <cellStyle name="Comma 2 2 7 2 2 10" xfId="12383" xr:uid="{00000000-0005-0000-0000-0000293E0000}"/>
    <cellStyle name="Comma 2 2 7 2 2 10 2" xfId="35662" xr:uid="{00000000-0005-0000-0000-00002A3E0000}"/>
    <cellStyle name="Comma 2 2 7 2 2 11" xfId="14854" xr:uid="{00000000-0005-0000-0000-00002B3E0000}"/>
    <cellStyle name="Comma 2 2 7 2 2 11 2" xfId="38132" xr:uid="{00000000-0005-0000-0000-00002C3E0000}"/>
    <cellStyle name="Comma 2 2 7 2 2 12" xfId="23422" xr:uid="{00000000-0005-0000-0000-00002D3E0000}"/>
    <cellStyle name="Comma 2 2 7 2 2 13" xfId="44252" xr:uid="{00000000-0005-0000-0000-00002E3E0000}"/>
    <cellStyle name="Comma 2 2 7 2 2 14" xfId="20974" xr:uid="{00000000-0005-0000-0000-00002F3E0000}"/>
    <cellStyle name="Comma 2 2 7 2 2 2" xfId="347" xr:uid="{00000000-0005-0000-0000-0000303E0000}"/>
    <cellStyle name="Comma 2 2 7 2 2 2 10" xfId="23626" xr:uid="{00000000-0005-0000-0000-0000313E0000}"/>
    <cellStyle name="Comma 2 2 7 2 2 2 11" xfId="44456" xr:uid="{00000000-0005-0000-0000-0000323E0000}"/>
    <cellStyle name="Comma 2 2 7 2 2 2 12" xfId="21178" xr:uid="{00000000-0005-0000-0000-0000333E0000}"/>
    <cellStyle name="Comma 2 2 7 2 2 2 2" xfId="959" xr:uid="{00000000-0005-0000-0000-0000343E0000}"/>
    <cellStyle name="Comma 2 2 7 2 2 2 2 10" xfId="45068" xr:uid="{00000000-0005-0000-0000-0000353E0000}"/>
    <cellStyle name="Comma 2 2 7 2 2 2 2 11" xfId="21790" xr:uid="{00000000-0005-0000-0000-0000363E0000}"/>
    <cellStyle name="Comma 2 2 7 2 2 2 2 2" xfId="2183" xr:uid="{00000000-0005-0000-0000-0000373E0000}"/>
    <cellStyle name="Comma 2 2 7 2 2 2 2 2 10" xfId="23014" xr:uid="{00000000-0005-0000-0000-0000383E0000}"/>
    <cellStyle name="Comma 2 2 7 2 2 2 2 2 2" xfId="4631" xr:uid="{00000000-0005-0000-0000-0000393E0000}"/>
    <cellStyle name="Comma 2 2 7 2 2 2 2 2 2 2" xfId="20566" xr:uid="{00000000-0005-0000-0000-00003A3E0000}"/>
    <cellStyle name="Comma 2 2 7 2 2 2 2 2 2 2 2" xfId="43844" xr:uid="{00000000-0005-0000-0000-00003B3E0000}"/>
    <cellStyle name="Comma 2 2 7 2 2 2 2 2 2 3" xfId="48740" xr:uid="{00000000-0005-0000-0000-00003C3E0000}"/>
    <cellStyle name="Comma 2 2 7 2 2 2 2 2 2 4" xfId="27910" xr:uid="{00000000-0005-0000-0000-00003D3E0000}"/>
    <cellStyle name="Comma 2 2 7 2 2 2 2 2 3" xfId="7079" xr:uid="{00000000-0005-0000-0000-00003E3E0000}"/>
    <cellStyle name="Comma 2 2 7 2 2 2 2 2 3 2" xfId="30358" xr:uid="{00000000-0005-0000-0000-00003F3E0000}"/>
    <cellStyle name="Comma 2 2 7 2 2 2 2 2 4" xfId="9527" xr:uid="{00000000-0005-0000-0000-0000403E0000}"/>
    <cellStyle name="Comma 2 2 7 2 2 2 2 2 4 2" xfId="32806" xr:uid="{00000000-0005-0000-0000-0000413E0000}"/>
    <cellStyle name="Comma 2 2 7 2 2 2 2 2 5" xfId="11975" xr:uid="{00000000-0005-0000-0000-0000423E0000}"/>
    <cellStyle name="Comma 2 2 7 2 2 2 2 2 5 2" xfId="35254" xr:uid="{00000000-0005-0000-0000-0000433E0000}"/>
    <cellStyle name="Comma 2 2 7 2 2 2 2 2 6" xfId="14423" xr:uid="{00000000-0005-0000-0000-0000443E0000}"/>
    <cellStyle name="Comma 2 2 7 2 2 2 2 2 6 2" xfId="37702" xr:uid="{00000000-0005-0000-0000-0000453E0000}"/>
    <cellStyle name="Comma 2 2 7 2 2 2 2 2 7" xfId="18118" xr:uid="{00000000-0005-0000-0000-0000463E0000}"/>
    <cellStyle name="Comma 2 2 7 2 2 2 2 2 7 2" xfId="41396" xr:uid="{00000000-0005-0000-0000-0000473E0000}"/>
    <cellStyle name="Comma 2 2 7 2 2 2 2 2 8" xfId="25462" xr:uid="{00000000-0005-0000-0000-0000483E0000}"/>
    <cellStyle name="Comma 2 2 7 2 2 2 2 2 9" xfId="46292" xr:uid="{00000000-0005-0000-0000-0000493E0000}"/>
    <cellStyle name="Comma 2 2 7 2 2 2 2 3" xfId="3407" xr:uid="{00000000-0005-0000-0000-00004A3E0000}"/>
    <cellStyle name="Comma 2 2 7 2 2 2 2 3 2" xfId="16894" xr:uid="{00000000-0005-0000-0000-00004B3E0000}"/>
    <cellStyle name="Comma 2 2 7 2 2 2 2 3 2 2" xfId="40172" xr:uid="{00000000-0005-0000-0000-00004C3E0000}"/>
    <cellStyle name="Comma 2 2 7 2 2 2 2 3 3" xfId="47516" xr:uid="{00000000-0005-0000-0000-00004D3E0000}"/>
    <cellStyle name="Comma 2 2 7 2 2 2 2 3 4" xfId="26686" xr:uid="{00000000-0005-0000-0000-00004E3E0000}"/>
    <cellStyle name="Comma 2 2 7 2 2 2 2 4" xfId="5855" xr:uid="{00000000-0005-0000-0000-00004F3E0000}"/>
    <cellStyle name="Comma 2 2 7 2 2 2 2 4 2" xfId="19342" xr:uid="{00000000-0005-0000-0000-0000503E0000}"/>
    <cellStyle name="Comma 2 2 7 2 2 2 2 4 2 2" xfId="42620" xr:uid="{00000000-0005-0000-0000-0000513E0000}"/>
    <cellStyle name="Comma 2 2 7 2 2 2 2 4 3" xfId="29134" xr:uid="{00000000-0005-0000-0000-0000523E0000}"/>
    <cellStyle name="Comma 2 2 7 2 2 2 2 5" xfId="8303" xr:uid="{00000000-0005-0000-0000-0000533E0000}"/>
    <cellStyle name="Comma 2 2 7 2 2 2 2 5 2" xfId="31582" xr:uid="{00000000-0005-0000-0000-0000543E0000}"/>
    <cellStyle name="Comma 2 2 7 2 2 2 2 6" xfId="10751" xr:uid="{00000000-0005-0000-0000-0000553E0000}"/>
    <cellStyle name="Comma 2 2 7 2 2 2 2 6 2" xfId="34030" xr:uid="{00000000-0005-0000-0000-0000563E0000}"/>
    <cellStyle name="Comma 2 2 7 2 2 2 2 7" xfId="13199" xr:uid="{00000000-0005-0000-0000-0000573E0000}"/>
    <cellStyle name="Comma 2 2 7 2 2 2 2 7 2" xfId="36478" xr:uid="{00000000-0005-0000-0000-0000583E0000}"/>
    <cellStyle name="Comma 2 2 7 2 2 2 2 8" xfId="15670" xr:uid="{00000000-0005-0000-0000-0000593E0000}"/>
    <cellStyle name="Comma 2 2 7 2 2 2 2 8 2" xfId="38948" xr:uid="{00000000-0005-0000-0000-00005A3E0000}"/>
    <cellStyle name="Comma 2 2 7 2 2 2 2 9" xfId="24238" xr:uid="{00000000-0005-0000-0000-00005B3E0000}"/>
    <cellStyle name="Comma 2 2 7 2 2 2 3" xfId="1571" xr:uid="{00000000-0005-0000-0000-00005C3E0000}"/>
    <cellStyle name="Comma 2 2 7 2 2 2 3 10" xfId="22402" xr:uid="{00000000-0005-0000-0000-00005D3E0000}"/>
    <cellStyle name="Comma 2 2 7 2 2 2 3 2" xfId="4019" xr:uid="{00000000-0005-0000-0000-00005E3E0000}"/>
    <cellStyle name="Comma 2 2 7 2 2 2 3 2 2" xfId="19954" xr:uid="{00000000-0005-0000-0000-00005F3E0000}"/>
    <cellStyle name="Comma 2 2 7 2 2 2 3 2 2 2" xfId="43232" xr:uid="{00000000-0005-0000-0000-0000603E0000}"/>
    <cellStyle name="Comma 2 2 7 2 2 2 3 2 3" xfId="48128" xr:uid="{00000000-0005-0000-0000-0000613E0000}"/>
    <cellStyle name="Comma 2 2 7 2 2 2 3 2 4" xfId="27298" xr:uid="{00000000-0005-0000-0000-0000623E0000}"/>
    <cellStyle name="Comma 2 2 7 2 2 2 3 3" xfId="6467" xr:uid="{00000000-0005-0000-0000-0000633E0000}"/>
    <cellStyle name="Comma 2 2 7 2 2 2 3 3 2" xfId="29746" xr:uid="{00000000-0005-0000-0000-0000643E0000}"/>
    <cellStyle name="Comma 2 2 7 2 2 2 3 4" xfId="8915" xr:uid="{00000000-0005-0000-0000-0000653E0000}"/>
    <cellStyle name="Comma 2 2 7 2 2 2 3 4 2" xfId="32194" xr:uid="{00000000-0005-0000-0000-0000663E0000}"/>
    <cellStyle name="Comma 2 2 7 2 2 2 3 5" xfId="11363" xr:uid="{00000000-0005-0000-0000-0000673E0000}"/>
    <cellStyle name="Comma 2 2 7 2 2 2 3 5 2" xfId="34642" xr:uid="{00000000-0005-0000-0000-0000683E0000}"/>
    <cellStyle name="Comma 2 2 7 2 2 2 3 6" xfId="13811" xr:uid="{00000000-0005-0000-0000-0000693E0000}"/>
    <cellStyle name="Comma 2 2 7 2 2 2 3 6 2" xfId="37090" xr:uid="{00000000-0005-0000-0000-00006A3E0000}"/>
    <cellStyle name="Comma 2 2 7 2 2 2 3 7" xfId="17506" xr:uid="{00000000-0005-0000-0000-00006B3E0000}"/>
    <cellStyle name="Comma 2 2 7 2 2 2 3 7 2" xfId="40784" xr:uid="{00000000-0005-0000-0000-00006C3E0000}"/>
    <cellStyle name="Comma 2 2 7 2 2 2 3 8" xfId="24850" xr:uid="{00000000-0005-0000-0000-00006D3E0000}"/>
    <cellStyle name="Comma 2 2 7 2 2 2 3 9" xfId="45680" xr:uid="{00000000-0005-0000-0000-00006E3E0000}"/>
    <cellStyle name="Comma 2 2 7 2 2 2 4" xfId="2795" xr:uid="{00000000-0005-0000-0000-00006F3E0000}"/>
    <cellStyle name="Comma 2 2 7 2 2 2 4 2" xfId="16282" xr:uid="{00000000-0005-0000-0000-0000703E0000}"/>
    <cellStyle name="Comma 2 2 7 2 2 2 4 2 2" xfId="39560" xr:uid="{00000000-0005-0000-0000-0000713E0000}"/>
    <cellStyle name="Comma 2 2 7 2 2 2 4 3" xfId="46904" xr:uid="{00000000-0005-0000-0000-0000723E0000}"/>
    <cellStyle name="Comma 2 2 7 2 2 2 4 4" xfId="26074" xr:uid="{00000000-0005-0000-0000-0000733E0000}"/>
    <cellStyle name="Comma 2 2 7 2 2 2 5" xfId="5243" xr:uid="{00000000-0005-0000-0000-0000743E0000}"/>
    <cellStyle name="Comma 2 2 7 2 2 2 5 2" xfId="18730" xr:uid="{00000000-0005-0000-0000-0000753E0000}"/>
    <cellStyle name="Comma 2 2 7 2 2 2 5 2 2" xfId="42008" xr:uid="{00000000-0005-0000-0000-0000763E0000}"/>
    <cellStyle name="Comma 2 2 7 2 2 2 5 3" xfId="28522" xr:uid="{00000000-0005-0000-0000-0000773E0000}"/>
    <cellStyle name="Comma 2 2 7 2 2 2 6" xfId="7691" xr:uid="{00000000-0005-0000-0000-0000783E0000}"/>
    <cellStyle name="Comma 2 2 7 2 2 2 6 2" xfId="30970" xr:uid="{00000000-0005-0000-0000-0000793E0000}"/>
    <cellStyle name="Comma 2 2 7 2 2 2 7" xfId="10139" xr:uid="{00000000-0005-0000-0000-00007A3E0000}"/>
    <cellStyle name="Comma 2 2 7 2 2 2 7 2" xfId="33418" xr:uid="{00000000-0005-0000-0000-00007B3E0000}"/>
    <cellStyle name="Comma 2 2 7 2 2 2 8" xfId="12587" xr:uid="{00000000-0005-0000-0000-00007C3E0000}"/>
    <cellStyle name="Comma 2 2 7 2 2 2 8 2" xfId="35866" xr:uid="{00000000-0005-0000-0000-00007D3E0000}"/>
    <cellStyle name="Comma 2 2 7 2 2 2 9" xfId="15058" xr:uid="{00000000-0005-0000-0000-00007E3E0000}"/>
    <cellStyle name="Comma 2 2 7 2 2 2 9 2" xfId="38336" xr:uid="{00000000-0005-0000-0000-00007F3E0000}"/>
    <cellStyle name="Comma 2 2 7 2 2 3" xfId="551" xr:uid="{00000000-0005-0000-0000-0000803E0000}"/>
    <cellStyle name="Comma 2 2 7 2 2 3 10" xfId="23830" xr:uid="{00000000-0005-0000-0000-0000813E0000}"/>
    <cellStyle name="Comma 2 2 7 2 2 3 11" xfId="44660" xr:uid="{00000000-0005-0000-0000-0000823E0000}"/>
    <cellStyle name="Comma 2 2 7 2 2 3 12" xfId="21382" xr:uid="{00000000-0005-0000-0000-0000833E0000}"/>
    <cellStyle name="Comma 2 2 7 2 2 3 2" xfId="1163" xr:uid="{00000000-0005-0000-0000-0000843E0000}"/>
    <cellStyle name="Comma 2 2 7 2 2 3 2 10" xfId="45272" xr:uid="{00000000-0005-0000-0000-0000853E0000}"/>
    <cellStyle name="Comma 2 2 7 2 2 3 2 11" xfId="21994" xr:uid="{00000000-0005-0000-0000-0000863E0000}"/>
    <cellStyle name="Comma 2 2 7 2 2 3 2 2" xfId="2387" xr:uid="{00000000-0005-0000-0000-0000873E0000}"/>
    <cellStyle name="Comma 2 2 7 2 2 3 2 2 10" xfId="23218" xr:uid="{00000000-0005-0000-0000-0000883E0000}"/>
    <cellStyle name="Comma 2 2 7 2 2 3 2 2 2" xfId="4835" xr:uid="{00000000-0005-0000-0000-0000893E0000}"/>
    <cellStyle name="Comma 2 2 7 2 2 3 2 2 2 2" xfId="20770" xr:uid="{00000000-0005-0000-0000-00008A3E0000}"/>
    <cellStyle name="Comma 2 2 7 2 2 3 2 2 2 2 2" xfId="44048" xr:uid="{00000000-0005-0000-0000-00008B3E0000}"/>
    <cellStyle name="Comma 2 2 7 2 2 3 2 2 2 3" xfId="48944" xr:uid="{00000000-0005-0000-0000-00008C3E0000}"/>
    <cellStyle name="Comma 2 2 7 2 2 3 2 2 2 4" xfId="28114" xr:uid="{00000000-0005-0000-0000-00008D3E0000}"/>
    <cellStyle name="Comma 2 2 7 2 2 3 2 2 3" xfId="7283" xr:uid="{00000000-0005-0000-0000-00008E3E0000}"/>
    <cellStyle name="Comma 2 2 7 2 2 3 2 2 3 2" xfId="30562" xr:uid="{00000000-0005-0000-0000-00008F3E0000}"/>
    <cellStyle name="Comma 2 2 7 2 2 3 2 2 4" xfId="9731" xr:uid="{00000000-0005-0000-0000-0000903E0000}"/>
    <cellStyle name="Comma 2 2 7 2 2 3 2 2 4 2" xfId="33010" xr:uid="{00000000-0005-0000-0000-0000913E0000}"/>
    <cellStyle name="Comma 2 2 7 2 2 3 2 2 5" xfId="12179" xr:uid="{00000000-0005-0000-0000-0000923E0000}"/>
    <cellStyle name="Comma 2 2 7 2 2 3 2 2 5 2" xfId="35458" xr:uid="{00000000-0005-0000-0000-0000933E0000}"/>
    <cellStyle name="Comma 2 2 7 2 2 3 2 2 6" xfId="14627" xr:uid="{00000000-0005-0000-0000-0000943E0000}"/>
    <cellStyle name="Comma 2 2 7 2 2 3 2 2 6 2" xfId="37906" xr:uid="{00000000-0005-0000-0000-0000953E0000}"/>
    <cellStyle name="Comma 2 2 7 2 2 3 2 2 7" xfId="18322" xr:uid="{00000000-0005-0000-0000-0000963E0000}"/>
    <cellStyle name="Comma 2 2 7 2 2 3 2 2 7 2" xfId="41600" xr:uid="{00000000-0005-0000-0000-0000973E0000}"/>
    <cellStyle name="Comma 2 2 7 2 2 3 2 2 8" xfId="25666" xr:uid="{00000000-0005-0000-0000-0000983E0000}"/>
    <cellStyle name="Comma 2 2 7 2 2 3 2 2 9" xfId="46496" xr:uid="{00000000-0005-0000-0000-0000993E0000}"/>
    <cellStyle name="Comma 2 2 7 2 2 3 2 3" xfId="3611" xr:uid="{00000000-0005-0000-0000-00009A3E0000}"/>
    <cellStyle name="Comma 2 2 7 2 2 3 2 3 2" xfId="17098" xr:uid="{00000000-0005-0000-0000-00009B3E0000}"/>
    <cellStyle name="Comma 2 2 7 2 2 3 2 3 2 2" xfId="40376" xr:uid="{00000000-0005-0000-0000-00009C3E0000}"/>
    <cellStyle name="Comma 2 2 7 2 2 3 2 3 3" xfId="47720" xr:uid="{00000000-0005-0000-0000-00009D3E0000}"/>
    <cellStyle name="Comma 2 2 7 2 2 3 2 3 4" xfId="26890" xr:uid="{00000000-0005-0000-0000-00009E3E0000}"/>
    <cellStyle name="Comma 2 2 7 2 2 3 2 4" xfId="6059" xr:uid="{00000000-0005-0000-0000-00009F3E0000}"/>
    <cellStyle name="Comma 2 2 7 2 2 3 2 4 2" xfId="19546" xr:uid="{00000000-0005-0000-0000-0000A03E0000}"/>
    <cellStyle name="Comma 2 2 7 2 2 3 2 4 2 2" xfId="42824" xr:uid="{00000000-0005-0000-0000-0000A13E0000}"/>
    <cellStyle name="Comma 2 2 7 2 2 3 2 4 3" xfId="29338" xr:uid="{00000000-0005-0000-0000-0000A23E0000}"/>
    <cellStyle name="Comma 2 2 7 2 2 3 2 5" xfId="8507" xr:uid="{00000000-0005-0000-0000-0000A33E0000}"/>
    <cellStyle name="Comma 2 2 7 2 2 3 2 5 2" xfId="31786" xr:uid="{00000000-0005-0000-0000-0000A43E0000}"/>
    <cellStyle name="Comma 2 2 7 2 2 3 2 6" xfId="10955" xr:uid="{00000000-0005-0000-0000-0000A53E0000}"/>
    <cellStyle name="Comma 2 2 7 2 2 3 2 6 2" xfId="34234" xr:uid="{00000000-0005-0000-0000-0000A63E0000}"/>
    <cellStyle name="Comma 2 2 7 2 2 3 2 7" xfId="13403" xr:uid="{00000000-0005-0000-0000-0000A73E0000}"/>
    <cellStyle name="Comma 2 2 7 2 2 3 2 7 2" xfId="36682" xr:uid="{00000000-0005-0000-0000-0000A83E0000}"/>
    <cellStyle name="Comma 2 2 7 2 2 3 2 8" xfId="15874" xr:uid="{00000000-0005-0000-0000-0000A93E0000}"/>
    <cellStyle name="Comma 2 2 7 2 2 3 2 8 2" xfId="39152" xr:uid="{00000000-0005-0000-0000-0000AA3E0000}"/>
    <cellStyle name="Comma 2 2 7 2 2 3 2 9" xfId="24442" xr:uid="{00000000-0005-0000-0000-0000AB3E0000}"/>
    <cellStyle name="Comma 2 2 7 2 2 3 3" xfId="1775" xr:uid="{00000000-0005-0000-0000-0000AC3E0000}"/>
    <cellStyle name="Comma 2 2 7 2 2 3 3 10" xfId="22606" xr:uid="{00000000-0005-0000-0000-0000AD3E0000}"/>
    <cellStyle name="Comma 2 2 7 2 2 3 3 2" xfId="4223" xr:uid="{00000000-0005-0000-0000-0000AE3E0000}"/>
    <cellStyle name="Comma 2 2 7 2 2 3 3 2 2" xfId="20158" xr:uid="{00000000-0005-0000-0000-0000AF3E0000}"/>
    <cellStyle name="Comma 2 2 7 2 2 3 3 2 2 2" xfId="43436" xr:uid="{00000000-0005-0000-0000-0000B03E0000}"/>
    <cellStyle name="Comma 2 2 7 2 2 3 3 2 3" xfId="48332" xr:uid="{00000000-0005-0000-0000-0000B13E0000}"/>
    <cellStyle name="Comma 2 2 7 2 2 3 3 2 4" xfId="27502" xr:uid="{00000000-0005-0000-0000-0000B23E0000}"/>
    <cellStyle name="Comma 2 2 7 2 2 3 3 3" xfId="6671" xr:uid="{00000000-0005-0000-0000-0000B33E0000}"/>
    <cellStyle name="Comma 2 2 7 2 2 3 3 3 2" xfId="29950" xr:uid="{00000000-0005-0000-0000-0000B43E0000}"/>
    <cellStyle name="Comma 2 2 7 2 2 3 3 4" xfId="9119" xr:uid="{00000000-0005-0000-0000-0000B53E0000}"/>
    <cellStyle name="Comma 2 2 7 2 2 3 3 4 2" xfId="32398" xr:uid="{00000000-0005-0000-0000-0000B63E0000}"/>
    <cellStyle name="Comma 2 2 7 2 2 3 3 5" xfId="11567" xr:uid="{00000000-0005-0000-0000-0000B73E0000}"/>
    <cellStyle name="Comma 2 2 7 2 2 3 3 5 2" xfId="34846" xr:uid="{00000000-0005-0000-0000-0000B83E0000}"/>
    <cellStyle name="Comma 2 2 7 2 2 3 3 6" xfId="14015" xr:uid="{00000000-0005-0000-0000-0000B93E0000}"/>
    <cellStyle name="Comma 2 2 7 2 2 3 3 6 2" xfId="37294" xr:uid="{00000000-0005-0000-0000-0000BA3E0000}"/>
    <cellStyle name="Comma 2 2 7 2 2 3 3 7" xfId="17710" xr:uid="{00000000-0005-0000-0000-0000BB3E0000}"/>
    <cellStyle name="Comma 2 2 7 2 2 3 3 7 2" xfId="40988" xr:uid="{00000000-0005-0000-0000-0000BC3E0000}"/>
    <cellStyle name="Comma 2 2 7 2 2 3 3 8" xfId="25054" xr:uid="{00000000-0005-0000-0000-0000BD3E0000}"/>
    <cellStyle name="Comma 2 2 7 2 2 3 3 9" xfId="45884" xr:uid="{00000000-0005-0000-0000-0000BE3E0000}"/>
    <cellStyle name="Comma 2 2 7 2 2 3 4" xfId="2999" xr:uid="{00000000-0005-0000-0000-0000BF3E0000}"/>
    <cellStyle name="Comma 2 2 7 2 2 3 4 2" xfId="16486" xr:uid="{00000000-0005-0000-0000-0000C03E0000}"/>
    <cellStyle name="Comma 2 2 7 2 2 3 4 2 2" xfId="39764" xr:uid="{00000000-0005-0000-0000-0000C13E0000}"/>
    <cellStyle name="Comma 2 2 7 2 2 3 4 3" xfId="47108" xr:uid="{00000000-0005-0000-0000-0000C23E0000}"/>
    <cellStyle name="Comma 2 2 7 2 2 3 4 4" xfId="26278" xr:uid="{00000000-0005-0000-0000-0000C33E0000}"/>
    <cellStyle name="Comma 2 2 7 2 2 3 5" xfId="5447" xr:uid="{00000000-0005-0000-0000-0000C43E0000}"/>
    <cellStyle name="Comma 2 2 7 2 2 3 5 2" xfId="18934" xr:uid="{00000000-0005-0000-0000-0000C53E0000}"/>
    <cellStyle name="Comma 2 2 7 2 2 3 5 2 2" xfId="42212" xr:uid="{00000000-0005-0000-0000-0000C63E0000}"/>
    <cellStyle name="Comma 2 2 7 2 2 3 5 3" xfId="28726" xr:uid="{00000000-0005-0000-0000-0000C73E0000}"/>
    <cellStyle name="Comma 2 2 7 2 2 3 6" xfId="7895" xr:uid="{00000000-0005-0000-0000-0000C83E0000}"/>
    <cellStyle name="Comma 2 2 7 2 2 3 6 2" xfId="31174" xr:uid="{00000000-0005-0000-0000-0000C93E0000}"/>
    <cellStyle name="Comma 2 2 7 2 2 3 7" xfId="10343" xr:uid="{00000000-0005-0000-0000-0000CA3E0000}"/>
    <cellStyle name="Comma 2 2 7 2 2 3 7 2" xfId="33622" xr:uid="{00000000-0005-0000-0000-0000CB3E0000}"/>
    <cellStyle name="Comma 2 2 7 2 2 3 8" xfId="12791" xr:uid="{00000000-0005-0000-0000-0000CC3E0000}"/>
    <cellStyle name="Comma 2 2 7 2 2 3 8 2" xfId="36070" xr:uid="{00000000-0005-0000-0000-0000CD3E0000}"/>
    <cellStyle name="Comma 2 2 7 2 2 3 9" xfId="15262" xr:uid="{00000000-0005-0000-0000-0000CE3E0000}"/>
    <cellStyle name="Comma 2 2 7 2 2 3 9 2" xfId="38540" xr:uid="{00000000-0005-0000-0000-0000CF3E0000}"/>
    <cellStyle name="Comma 2 2 7 2 2 4" xfId="755" xr:uid="{00000000-0005-0000-0000-0000D03E0000}"/>
    <cellStyle name="Comma 2 2 7 2 2 4 10" xfId="44864" xr:uid="{00000000-0005-0000-0000-0000D13E0000}"/>
    <cellStyle name="Comma 2 2 7 2 2 4 11" xfId="21586" xr:uid="{00000000-0005-0000-0000-0000D23E0000}"/>
    <cellStyle name="Comma 2 2 7 2 2 4 2" xfId="1979" xr:uid="{00000000-0005-0000-0000-0000D33E0000}"/>
    <cellStyle name="Comma 2 2 7 2 2 4 2 10" xfId="22810" xr:uid="{00000000-0005-0000-0000-0000D43E0000}"/>
    <cellStyle name="Comma 2 2 7 2 2 4 2 2" xfId="4427" xr:uid="{00000000-0005-0000-0000-0000D53E0000}"/>
    <cellStyle name="Comma 2 2 7 2 2 4 2 2 2" xfId="20362" xr:uid="{00000000-0005-0000-0000-0000D63E0000}"/>
    <cellStyle name="Comma 2 2 7 2 2 4 2 2 2 2" xfId="43640" xr:uid="{00000000-0005-0000-0000-0000D73E0000}"/>
    <cellStyle name="Comma 2 2 7 2 2 4 2 2 3" xfId="48536" xr:uid="{00000000-0005-0000-0000-0000D83E0000}"/>
    <cellStyle name="Comma 2 2 7 2 2 4 2 2 4" xfId="27706" xr:uid="{00000000-0005-0000-0000-0000D93E0000}"/>
    <cellStyle name="Comma 2 2 7 2 2 4 2 3" xfId="6875" xr:uid="{00000000-0005-0000-0000-0000DA3E0000}"/>
    <cellStyle name="Comma 2 2 7 2 2 4 2 3 2" xfId="30154" xr:uid="{00000000-0005-0000-0000-0000DB3E0000}"/>
    <cellStyle name="Comma 2 2 7 2 2 4 2 4" xfId="9323" xr:uid="{00000000-0005-0000-0000-0000DC3E0000}"/>
    <cellStyle name="Comma 2 2 7 2 2 4 2 4 2" xfId="32602" xr:uid="{00000000-0005-0000-0000-0000DD3E0000}"/>
    <cellStyle name="Comma 2 2 7 2 2 4 2 5" xfId="11771" xr:uid="{00000000-0005-0000-0000-0000DE3E0000}"/>
    <cellStyle name="Comma 2 2 7 2 2 4 2 5 2" xfId="35050" xr:uid="{00000000-0005-0000-0000-0000DF3E0000}"/>
    <cellStyle name="Comma 2 2 7 2 2 4 2 6" xfId="14219" xr:uid="{00000000-0005-0000-0000-0000E03E0000}"/>
    <cellStyle name="Comma 2 2 7 2 2 4 2 6 2" xfId="37498" xr:uid="{00000000-0005-0000-0000-0000E13E0000}"/>
    <cellStyle name="Comma 2 2 7 2 2 4 2 7" xfId="17914" xr:uid="{00000000-0005-0000-0000-0000E23E0000}"/>
    <cellStyle name="Comma 2 2 7 2 2 4 2 7 2" xfId="41192" xr:uid="{00000000-0005-0000-0000-0000E33E0000}"/>
    <cellStyle name="Comma 2 2 7 2 2 4 2 8" xfId="25258" xr:uid="{00000000-0005-0000-0000-0000E43E0000}"/>
    <cellStyle name="Comma 2 2 7 2 2 4 2 9" xfId="46088" xr:uid="{00000000-0005-0000-0000-0000E53E0000}"/>
    <cellStyle name="Comma 2 2 7 2 2 4 3" xfId="3203" xr:uid="{00000000-0005-0000-0000-0000E63E0000}"/>
    <cellStyle name="Comma 2 2 7 2 2 4 3 2" xfId="16690" xr:uid="{00000000-0005-0000-0000-0000E73E0000}"/>
    <cellStyle name="Comma 2 2 7 2 2 4 3 2 2" xfId="39968" xr:uid="{00000000-0005-0000-0000-0000E83E0000}"/>
    <cellStyle name="Comma 2 2 7 2 2 4 3 3" xfId="47312" xr:uid="{00000000-0005-0000-0000-0000E93E0000}"/>
    <cellStyle name="Comma 2 2 7 2 2 4 3 4" xfId="26482" xr:uid="{00000000-0005-0000-0000-0000EA3E0000}"/>
    <cellStyle name="Comma 2 2 7 2 2 4 4" xfId="5651" xr:uid="{00000000-0005-0000-0000-0000EB3E0000}"/>
    <cellStyle name="Comma 2 2 7 2 2 4 4 2" xfId="19138" xr:uid="{00000000-0005-0000-0000-0000EC3E0000}"/>
    <cellStyle name="Comma 2 2 7 2 2 4 4 2 2" xfId="42416" xr:uid="{00000000-0005-0000-0000-0000ED3E0000}"/>
    <cellStyle name="Comma 2 2 7 2 2 4 4 3" xfId="28930" xr:uid="{00000000-0005-0000-0000-0000EE3E0000}"/>
    <cellStyle name="Comma 2 2 7 2 2 4 5" xfId="8099" xr:uid="{00000000-0005-0000-0000-0000EF3E0000}"/>
    <cellStyle name="Comma 2 2 7 2 2 4 5 2" xfId="31378" xr:uid="{00000000-0005-0000-0000-0000F03E0000}"/>
    <cellStyle name="Comma 2 2 7 2 2 4 6" xfId="10547" xr:uid="{00000000-0005-0000-0000-0000F13E0000}"/>
    <cellStyle name="Comma 2 2 7 2 2 4 6 2" xfId="33826" xr:uid="{00000000-0005-0000-0000-0000F23E0000}"/>
    <cellStyle name="Comma 2 2 7 2 2 4 7" xfId="12995" xr:uid="{00000000-0005-0000-0000-0000F33E0000}"/>
    <cellStyle name="Comma 2 2 7 2 2 4 7 2" xfId="36274" xr:uid="{00000000-0005-0000-0000-0000F43E0000}"/>
    <cellStyle name="Comma 2 2 7 2 2 4 8" xfId="15466" xr:uid="{00000000-0005-0000-0000-0000F53E0000}"/>
    <cellStyle name="Comma 2 2 7 2 2 4 8 2" xfId="38744" xr:uid="{00000000-0005-0000-0000-0000F63E0000}"/>
    <cellStyle name="Comma 2 2 7 2 2 4 9" xfId="24034" xr:uid="{00000000-0005-0000-0000-0000F73E0000}"/>
    <cellStyle name="Comma 2 2 7 2 2 5" xfId="1367" xr:uid="{00000000-0005-0000-0000-0000F83E0000}"/>
    <cellStyle name="Comma 2 2 7 2 2 5 10" xfId="22198" xr:uid="{00000000-0005-0000-0000-0000F93E0000}"/>
    <cellStyle name="Comma 2 2 7 2 2 5 2" xfId="3815" xr:uid="{00000000-0005-0000-0000-0000FA3E0000}"/>
    <cellStyle name="Comma 2 2 7 2 2 5 2 2" xfId="19750" xr:uid="{00000000-0005-0000-0000-0000FB3E0000}"/>
    <cellStyle name="Comma 2 2 7 2 2 5 2 2 2" xfId="43028" xr:uid="{00000000-0005-0000-0000-0000FC3E0000}"/>
    <cellStyle name="Comma 2 2 7 2 2 5 2 3" xfId="47924" xr:uid="{00000000-0005-0000-0000-0000FD3E0000}"/>
    <cellStyle name="Comma 2 2 7 2 2 5 2 4" xfId="27094" xr:uid="{00000000-0005-0000-0000-0000FE3E0000}"/>
    <cellStyle name="Comma 2 2 7 2 2 5 3" xfId="6263" xr:uid="{00000000-0005-0000-0000-0000FF3E0000}"/>
    <cellStyle name="Comma 2 2 7 2 2 5 3 2" xfId="29542" xr:uid="{00000000-0005-0000-0000-0000003F0000}"/>
    <cellStyle name="Comma 2 2 7 2 2 5 4" xfId="8711" xr:uid="{00000000-0005-0000-0000-0000013F0000}"/>
    <cellStyle name="Comma 2 2 7 2 2 5 4 2" xfId="31990" xr:uid="{00000000-0005-0000-0000-0000023F0000}"/>
    <cellStyle name="Comma 2 2 7 2 2 5 5" xfId="11159" xr:uid="{00000000-0005-0000-0000-0000033F0000}"/>
    <cellStyle name="Comma 2 2 7 2 2 5 5 2" xfId="34438" xr:uid="{00000000-0005-0000-0000-0000043F0000}"/>
    <cellStyle name="Comma 2 2 7 2 2 5 6" xfId="13607" xr:uid="{00000000-0005-0000-0000-0000053F0000}"/>
    <cellStyle name="Comma 2 2 7 2 2 5 6 2" xfId="36886" xr:uid="{00000000-0005-0000-0000-0000063F0000}"/>
    <cellStyle name="Comma 2 2 7 2 2 5 7" xfId="17302" xr:uid="{00000000-0005-0000-0000-0000073F0000}"/>
    <cellStyle name="Comma 2 2 7 2 2 5 7 2" xfId="40580" xr:uid="{00000000-0005-0000-0000-0000083F0000}"/>
    <cellStyle name="Comma 2 2 7 2 2 5 8" xfId="24646" xr:uid="{00000000-0005-0000-0000-0000093F0000}"/>
    <cellStyle name="Comma 2 2 7 2 2 5 9" xfId="45476" xr:uid="{00000000-0005-0000-0000-00000A3F0000}"/>
    <cellStyle name="Comma 2 2 7 2 2 6" xfId="2591" xr:uid="{00000000-0005-0000-0000-00000B3F0000}"/>
    <cellStyle name="Comma 2 2 7 2 2 6 2" xfId="16078" xr:uid="{00000000-0005-0000-0000-00000C3F0000}"/>
    <cellStyle name="Comma 2 2 7 2 2 6 2 2" xfId="39356" xr:uid="{00000000-0005-0000-0000-00000D3F0000}"/>
    <cellStyle name="Comma 2 2 7 2 2 6 3" xfId="46700" xr:uid="{00000000-0005-0000-0000-00000E3F0000}"/>
    <cellStyle name="Comma 2 2 7 2 2 6 4" xfId="25870" xr:uid="{00000000-0005-0000-0000-00000F3F0000}"/>
    <cellStyle name="Comma 2 2 7 2 2 7" xfId="5039" xr:uid="{00000000-0005-0000-0000-0000103F0000}"/>
    <cellStyle name="Comma 2 2 7 2 2 7 2" xfId="18526" xr:uid="{00000000-0005-0000-0000-0000113F0000}"/>
    <cellStyle name="Comma 2 2 7 2 2 7 2 2" xfId="41804" xr:uid="{00000000-0005-0000-0000-0000123F0000}"/>
    <cellStyle name="Comma 2 2 7 2 2 7 3" xfId="28318" xr:uid="{00000000-0005-0000-0000-0000133F0000}"/>
    <cellStyle name="Comma 2 2 7 2 2 8" xfId="7487" xr:uid="{00000000-0005-0000-0000-0000143F0000}"/>
    <cellStyle name="Comma 2 2 7 2 2 8 2" xfId="30766" xr:uid="{00000000-0005-0000-0000-0000153F0000}"/>
    <cellStyle name="Comma 2 2 7 2 2 9" xfId="9935" xr:uid="{00000000-0005-0000-0000-0000163F0000}"/>
    <cellStyle name="Comma 2 2 7 2 2 9 2" xfId="33214" xr:uid="{00000000-0005-0000-0000-0000173F0000}"/>
    <cellStyle name="Comma 2 2 7 2 3" xfId="211" xr:uid="{00000000-0005-0000-0000-0000183F0000}"/>
    <cellStyle name="Comma 2 2 7 2 3 10" xfId="12451" xr:uid="{00000000-0005-0000-0000-0000193F0000}"/>
    <cellStyle name="Comma 2 2 7 2 3 10 2" xfId="35730" xr:uid="{00000000-0005-0000-0000-00001A3F0000}"/>
    <cellStyle name="Comma 2 2 7 2 3 11" xfId="14922" xr:uid="{00000000-0005-0000-0000-00001B3F0000}"/>
    <cellStyle name="Comma 2 2 7 2 3 11 2" xfId="38200" xr:uid="{00000000-0005-0000-0000-00001C3F0000}"/>
    <cellStyle name="Comma 2 2 7 2 3 12" xfId="23490" xr:uid="{00000000-0005-0000-0000-00001D3F0000}"/>
    <cellStyle name="Comma 2 2 7 2 3 13" xfId="44320" xr:uid="{00000000-0005-0000-0000-00001E3F0000}"/>
    <cellStyle name="Comma 2 2 7 2 3 14" xfId="21042" xr:uid="{00000000-0005-0000-0000-00001F3F0000}"/>
    <cellStyle name="Comma 2 2 7 2 3 2" xfId="415" xr:uid="{00000000-0005-0000-0000-0000203F0000}"/>
    <cellStyle name="Comma 2 2 7 2 3 2 10" xfId="23694" xr:uid="{00000000-0005-0000-0000-0000213F0000}"/>
    <cellStyle name="Comma 2 2 7 2 3 2 11" xfId="44524" xr:uid="{00000000-0005-0000-0000-0000223F0000}"/>
    <cellStyle name="Comma 2 2 7 2 3 2 12" xfId="21246" xr:uid="{00000000-0005-0000-0000-0000233F0000}"/>
    <cellStyle name="Comma 2 2 7 2 3 2 2" xfId="1027" xr:uid="{00000000-0005-0000-0000-0000243F0000}"/>
    <cellStyle name="Comma 2 2 7 2 3 2 2 10" xfId="45136" xr:uid="{00000000-0005-0000-0000-0000253F0000}"/>
    <cellStyle name="Comma 2 2 7 2 3 2 2 11" xfId="21858" xr:uid="{00000000-0005-0000-0000-0000263F0000}"/>
    <cellStyle name="Comma 2 2 7 2 3 2 2 2" xfId="2251" xr:uid="{00000000-0005-0000-0000-0000273F0000}"/>
    <cellStyle name="Comma 2 2 7 2 3 2 2 2 10" xfId="23082" xr:uid="{00000000-0005-0000-0000-0000283F0000}"/>
    <cellStyle name="Comma 2 2 7 2 3 2 2 2 2" xfId="4699" xr:uid="{00000000-0005-0000-0000-0000293F0000}"/>
    <cellStyle name="Comma 2 2 7 2 3 2 2 2 2 2" xfId="20634" xr:uid="{00000000-0005-0000-0000-00002A3F0000}"/>
    <cellStyle name="Comma 2 2 7 2 3 2 2 2 2 2 2" xfId="43912" xr:uid="{00000000-0005-0000-0000-00002B3F0000}"/>
    <cellStyle name="Comma 2 2 7 2 3 2 2 2 2 3" xfId="48808" xr:uid="{00000000-0005-0000-0000-00002C3F0000}"/>
    <cellStyle name="Comma 2 2 7 2 3 2 2 2 2 4" xfId="27978" xr:uid="{00000000-0005-0000-0000-00002D3F0000}"/>
    <cellStyle name="Comma 2 2 7 2 3 2 2 2 3" xfId="7147" xr:uid="{00000000-0005-0000-0000-00002E3F0000}"/>
    <cellStyle name="Comma 2 2 7 2 3 2 2 2 3 2" xfId="30426" xr:uid="{00000000-0005-0000-0000-00002F3F0000}"/>
    <cellStyle name="Comma 2 2 7 2 3 2 2 2 4" xfId="9595" xr:uid="{00000000-0005-0000-0000-0000303F0000}"/>
    <cellStyle name="Comma 2 2 7 2 3 2 2 2 4 2" xfId="32874" xr:uid="{00000000-0005-0000-0000-0000313F0000}"/>
    <cellStyle name="Comma 2 2 7 2 3 2 2 2 5" xfId="12043" xr:uid="{00000000-0005-0000-0000-0000323F0000}"/>
    <cellStyle name="Comma 2 2 7 2 3 2 2 2 5 2" xfId="35322" xr:uid="{00000000-0005-0000-0000-0000333F0000}"/>
    <cellStyle name="Comma 2 2 7 2 3 2 2 2 6" xfId="14491" xr:uid="{00000000-0005-0000-0000-0000343F0000}"/>
    <cellStyle name="Comma 2 2 7 2 3 2 2 2 6 2" xfId="37770" xr:uid="{00000000-0005-0000-0000-0000353F0000}"/>
    <cellStyle name="Comma 2 2 7 2 3 2 2 2 7" xfId="18186" xr:uid="{00000000-0005-0000-0000-0000363F0000}"/>
    <cellStyle name="Comma 2 2 7 2 3 2 2 2 7 2" xfId="41464" xr:uid="{00000000-0005-0000-0000-0000373F0000}"/>
    <cellStyle name="Comma 2 2 7 2 3 2 2 2 8" xfId="25530" xr:uid="{00000000-0005-0000-0000-0000383F0000}"/>
    <cellStyle name="Comma 2 2 7 2 3 2 2 2 9" xfId="46360" xr:uid="{00000000-0005-0000-0000-0000393F0000}"/>
    <cellStyle name="Comma 2 2 7 2 3 2 2 3" xfId="3475" xr:uid="{00000000-0005-0000-0000-00003A3F0000}"/>
    <cellStyle name="Comma 2 2 7 2 3 2 2 3 2" xfId="16962" xr:uid="{00000000-0005-0000-0000-00003B3F0000}"/>
    <cellStyle name="Comma 2 2 7 2 3 2 2 3 2 2" xfId="40240" xr:uid="{00000000-0005-0000-0000-00003C3F0000}"/>
    <cellStyle name="Comma 2 2 7 2 3 2 2 3 3" xfId="47584" xr:uid="{00000000-0005-0000-0000-00003D3F0000}"/>
    <cellStyle name="Comma 2 2 7 2 3 2 2 3 4" xfId="26754" xr:uid="{00000000-0005-0000-0000-00003E3F0000}"/>
    <cellStyle name="Comma 2 2 7 2 3 2 2 4" xfId="5923" xr:uid="{00000000-0005-0000-0000-00003F3F0000}"/>
    <cellStyle name="Comma 2 2 7 2 3 2 2 4 2" xfId="19410" xr:uid="{00000000-0005-0000-0000-0000403F0000}"/>
    <cellStyle name="Comma 2 2 7 2 3 2 2 4 2 2" xfId="42688" xr:uid="{00000000-0005-0000-0000-0000413F0000}"/>
    <cellStyle name="Comma 2 2 7 2 3 2 2 4 3" xfId="29202" xr:uid="{00000000-0005-0000-0000-0000423F0000}"/>
    <cellStyle name="Comma 2 2 7 2 3 2 2 5" xfId="8371" xr:uid="{00000000-0005-0000-0000-0000433F0000}"/>
    <cellStyle name="Comma 2 2 7 2 3 2 2 5 2" xfId="31650" xr:uid="{00000000-0005-0000-0000-0000443F0000}"/>
    <cellStyle name="Comma 2 2 7 2 3 2 2 6" xfId="10819" xr:uid="{00000000-0005-0000-0000-0000453F0000}"/>
    <cellStyle name="Comma 2 2 7 2 3 2 2 6 2" xfId="34098" xr:uid="{00000000-0005-0000-0000-0000463F0000}"/>
    <cellStyle name="Comma 2 2 7 2 3 2 2 7" xfId="13267" xr:uid="{00000000-0005-0000-0000-0000473F0000}"/>
    <cellStyle name="Comma 2 2 7 2 3 2 2 7 2" xfId="36546" xr:uid="{00000000-0005-0000-0000-0000483F0000}"/>
    <cellStyle name="Comma 2 2 7 2 3 2 2 8" xfId="15738" xr:uid="{00000000-0005-0000-0000-0000493F0000}"/>
    <cellStyle name="Comma 2 2 7 2 3 2 2 8 2" xfId="39016" xr:uid="{00000000-0005-0000-0000-00004A3F0000}"/>
    <cellStyle name="Comma 2 2 7 2 3 2 2 9" xfId="24306" xr:uid="{00000000-0005-0000-0000-00004B3F0000}"/>
    <cellStyle name="Comma 2 2 7 2 3 2 3" xfId="1639" xr:uid="{00000000-0005-0000-0000-00004C3F0000}"/>
    <cellStyle name="Comma 2 2 7 2 3 2 3 10" xfId="22470" xr:uid="{00000000-0005-0000-0000-00004D3F0000}"/>
    <cellStyle name="Comma 2 2 7 2 3 2 3 2" xfId="4087" xr:uid="{00000000-0005-0000-0000-00004E3F0000}"/>
    <cellStyle name="Comma 2 2 7 2 3 2 3 2 2" xfId="20022" xr:uid="{00000000-0005-0000-0000-00004F3F0000}"/>
    <cellStyle name="Comma 2 2 7 2 3 2 3 2 2 2" xfId="43300" xr:uid="{00000000-0005-0000-0000-0000503F0000}"/>
    <cellStyle name="Comma 2 2 7 2 3 2 3 2 3" xfId="48196" xr:uid="{00000000-0005-0000-0000-0000513F0000}"/>
    <cellStyle name="Comma 2 2 7 2 3 2 3 2 4" xfId="27366" xr:uid="{00000000-0005-0000-0000-0000523F0000}"/>
    <cellStyle name="Comma 2 2 7 2 3 2 3 3" xfId="6535" xr:uid="{00000000-0005-0000-0000-0000533F0000}"/>
    <cellStyle name="Comma 2 2 7 2 3 2 3 3 2" xfId="29814" xr:uid="{00000000-0005-0000-0000-0000543F0000}"/>
    <cellStyle name="Comma 2 2 7 2 3 2 3 4" xfId="8983" xr:uid="{00000000-0005-0000-0000-0000553F0000}"/>
    <cellStyle name="Comma 2 2 7 2 3 2 3 4 2" xfId="32262" xr:uid="{00000000-0005-0000-0000-0000563F0000}"/>
    <cellStyle name="Comma 2 2 7 2 3 2 3 5" xfId="11431" xr:uid="{00000000-0005-0000-0000-0000573F0000}"/>
    <cellStyle name="Comma 2 2 7 2 3 2 3 5 2" xfId="34710" xr:uid="{00000000-0005-0000-0000-0000583F0000}"/>
    <cellStyle name="Comma 2 2 7 2 3 2 3 6" xfId="13879" xr:uid="{00000000-0005-0000-0000-0000593F0000}"/>
    <cellStyle name="Comma 2 2 7 2 3 2 3 6 2" xfId="37158" xr:uid="{00000000-0005-0000-0000-00005A3F0000}"/>
    <cellStyle name="Comma 2 2 7 2 3 2 3 7" xfId="17574" xr:uid="{00000000-0005-0000-0000-00005B3F0000}"/>
    <cellStyle name="Comma 2 2 7 2 3 2 3 7 2" xfId="40852" xr:uid="{00000000-0005-0000-0000-00005C3F0000}"/>
    <cellStyle name="Comma 2 2 7 2 3 2 3 8" xfId="24918" xr:uid="{00000000-0005-0000-0000-00005D3F0000}"/>
    <cellStyle name="Comma 2 2 7 2 3 2 3 9" xfId="45748" xr:uid="{00000000-0005-0000-0000-00005E3F0000}"/>
    <cellStyle name="Comma 2 2 7 2 3 2 4" xfId="2863" xr:uid="{00000000-0005-0000-0000-00005F3F0000}"/>
    <cellStyle name="Comma 2 2 7 2 3 2 4 2" xfId="16350" xr:uid="{00000000-0005-0000-0000-0000603F0000}"/>
    <cellStyle name="Comma 2 2 7 2 3 2 4 2 2" xfId="39628" xr:uid="{00000000-0005-0000-0000-0000613F0000}"/>
    <cellStyle name="Comma 2 2 7 2 3 2 4 3" xfId="46972" xr:uid="{00000000-0005-0000-0000-0000623F0000}"/>
    <cellStyle name="Comma 2 2 7 2 3 2 4 4" xfId="26142" xr:uid="{00000000-0005-0000-0000-0000633F0000}"/>
    <cellStyle name="Comma 2 2 7 2 3 2 5" xfId="5311" xr:uid="{00000000-0005-0000-0000-0000643F0000}"/>
    <cellStyle name="Comma 2 2 7 2 3 2 5 2" xfId="18798" xr:uid="{00000000-0005-0000-0000-0000653F0000}"/>
    <cellStyle name="Comma 2 2 7 2 3 2 5 2 2" xfId="42076" xr:uid="{00000000-0005-0000-0000-0000663F0000}"/>
    <cellStyle name="Comma 2 2 7 2 3 2 5 3" xfId="28590" xr:uid="{00000000-0005-0000-0000-0000673F0000}"/>
    <cellStyle name="Comma 2 2 7 2 3 2 6" xfId="7759" xr:uid="{00000000-0005-0000-0000-0000683F0000}"/>
    <cellStyle name="Comma 2 2 7 2 3 2 6 2" xfId="31038" xr:uid="{00000000-0005-0000-0000-0000693F0000}"/>
    <cellStyle name="Comma 2 2 7 2 3 2 7" xfId="10207" xr:uid="{00000000-0005-0000-0000-00006A3F0000}"/>
    <cellStyle name="Comma 2 2 7 2 3 2 7 2" xfId="33486" xr:uid="{00000000-0005-0000-0000-00006B3F0000}"/>
    <cellStyle name="Comma 2 2 7 2 3 2 8" xfId="12655" xr:uid="{00000000-0005-0000-0000-00006C3F0000}"/>
    <cellStyle name="Comma 2 2 7 2 3 2 8 2" xfId="35934" xr:uid="{00000000-0005-0000-0000-00006D3F0000}"/>
    <cellStyle name="Comma 2 2 7 2 3 2 9" xfId="15126" xr:uid="{00000000-0005-0000-0000-00006E3F0000}"/>
    <cellStyle name="Comma 2 2 7 2 3 2 9 2" xfId="38404" xr:uid="{00000000-0005-0000-0000-00006F3F0000}"/>
    <cellStyle name="Comma 2 2 7 2 3 3" xfId="619" xr:uid="{00000000-0005-0000-0000-0000703F0000}"/>
    <cellStyle name="Comma 2 2 7 2 3 3 10" xfId="23898" xr:uid="{00000000-0005-0000-0000-0000713F0000}"/>
    <cellStyle name="Comma 2 2 7 2 3 3 11" xfId="44728" xr:uid="{00000000-0005-0000-0000-0000723F0000}"/>
    <cellStyle name="Comma 2 2 7 2 3 3 12" xfId="21450" xr:uid="{00000000-0005-0000-0000-0000733F0000}"/>
    <cellStyle name="Comma 2 2 7 2 3 3 2" xfId="1231" xr:uid="{00000000-0005-0000-0000-0000743F0000}"/>
    <cellStyle name="Comma 2 2 7 2 3 3 2 10" xfId="45340" xr:uid="{00000000-0005-0000-0000-0000753F0000}"/>
    <cellStyle name="Comma 2 2 7 2 3 3 2 11" xfId="22062" xr:uid="{00000000-0005-0000-0000-0000763F0000}"/>
    <cellStyle name="Comma 2 2 7 2 3 3 2 2" xfId="2455" xr:uid="{00000000-0005-0000-0000-0000773F0000}"/>
    <cellStyle name="Comma 2 2 7 2 3 3 2 2 10" xfId="23286" xr:uid="{00000000-0005-0000-0000-0000783F0000}"/>
    <cellStyle name="Comma 2 2 7 2 3 3 2 2 2" xfId="4903" xr:uid="{00000000-0005-0000-0000-0000793F0000}"/>
    <cellStyle name="Comma 2 2 7 2 3 3 2 2 2 2" xfId="20838" xr:uid="{00000000-0005-0000-0000-00007A3F0000}"/>
    <cellStyle name="Comma 2 2 7 2 3 3 2 2 2 2 2" xfId="44116" xr:uid="{00000000-0005-0000-0000-00007B3F0000}"/>
    <cellStyle name="Comma 2 2 7 2 3 3 2 2 2 3" xfId="49012" xr:uid="{00000000-0005-0000-0000-00007C3F0000}"/>
    <cellStyle name="Comma 2 2 7 2 3 3 2 2 2 4" xfId="28182" xr:uid="{00000000-0005-0000-0000-00007D3F0000}"/>
    <cellStyle name="Comma 2 2 7 2 3 3 2 2 3" xfId="7351" xr:uid="{00000000-0005-0000-0000-00007E3F0000}"/>
    <cellStyle name="Comma 2 2 7 2 3 3 2 2 3 2" xfId="30630" xr:uid="{00000000-0005-0000-0000-00007F3F0000}"/>
    <cellStyle name="Comma 2 2 7 2 3 3 2 2 4" xfId="9799" xr:uid="{00000000-0005-0000-0000-0000803F0000}"/>
    <cellStyle name="Comma 2 2 7 2 3 3 2 2 4 2" xfId="33078" xr:uid="{00000000-0005-0000-0000-0000813F0000}"/>
    <cellStyle name="Comma 2 2 7 2 3 3 2 2 5" xfId="12247" xr:uid="{00000000-0005-0000-0000-0000823F0000}"/>
    <cellStyle name="Comma 2 2 7 2 3 3 2 2 5 2" xfId="35526" xr:uid="{00000000-0005-0000-0000-0000833F0000}"/>
    <cellStyle name="Comma 2 2 7 2 3 3 2 2 6" xfId="14695" xr:uid="{00000000-0005-0000-0000-0000843F0000}"/>
    <cellStyle name="Comma 2 2 7 2 3 3 2 2 6 2" xfId="37974" xr:uid="{00000000-0005-0000-0000-0000853F0000}"/>
    <cellStyle name="Comma 2 2 7 2 3 3 2 2 7" xfId="18390" xr:uid="{00000000-0005-0000-0000-0000863F0000}"/>
    <cellStyle name="Comma 2 2 7 2 3 3 2 2 7 2" xfId="41668" xr:uid="{00000000-0005-0000-0000-0000873F0000}"/>
    <cellStyle name="Comma 2 2 7 2 3 3 2 2 8" xfId="25734" xr:uid="{00000000-0005-0000-0000-0000883F0000}"/>
    <cellStyle name="Comma 2 2 7 2 3 3 2 2 9" xfId="46564" xr:uid="{00000000-0005-0000-0000-0000893F0000}"/>
    <cellStyle name="Comma 2 2 7 2 3 3 2 3" xfId="3679" xr:uid="{00000000-0005-0000-0000-00008A3F0000}"/>
    <cellStyle name="Comma 2 2 7 2 3 3 2 3 2" xfId="17166" xr:uid="{00000000-0005-0000-0000-00008B3F0000}"/>
    <cellStyle name="Comma 2 2 7 2 3 3 2 3 2 2" xfId="40444" xr:uid="{00000000-0005-0000-0000-00008C3F0000}"/>
    <cellStyle name="Comma 2 2 7 2 3 3 2 3 3" xfId="47788" xr:uid="{00000000-0005-0000-0000-00008D3F0000}"/>
    <cellStyle name="Comma 2 2 7 2 3 3 2 3 4" xfId="26958" xr:uid="{00000000-0005-0000-0000-00008E3F0000}"/>
    <cellStyle name="Comma 2 2 7 2 3 3 2 4" xfId="6127" xr:uid="{00000000-0005-0000-0000-00008F3F0000}"/>
    <cellStyle name="Comma 2 2 7 2 3 3 2 4 2" xfId="19614" xr:uid="{00000000-0005-0000-0000-0000903F0000}"/>
    <cellStyle name="Comma 2 2 7 2 3 3 2 4 2 2" xfId="42892" xr:uid="{00000000-0005-0000-0000-0000913F0000}"/>
    <cellStyle name="Comma 2 2 7 2 3 3 2 4 3" xfId="29406" xr:uid="{00000000-0005-0000-0000-0000923F0000}"/>
    <cellStyle name="Comma 2 2 7 2 3 3 2 5" xfId="8575" xr:uid="{00000000-0005-0000-0000-0000933F0000}"/>
    <cellStyle name="Comma 2 2 7 2 3 3 2 5 2" xfId="31854" xr:uid="{00000000-0005-0000-0000-0000943F0000}"/>
    <cellStyle name="Comma 2 2 7 2 3 3 2 6" xfId="11023" xr:uid="{00000000-0005-0000-0000-0000953F0000}"/>
    <cellStyle name="Comma 2 2 7 2 3 3 2 6 2" xfId="34302" xr:uid="{00000000-0005-0000-0000-0000963F0000}"/>
    <cellStyle name="Comma 2 2 7 2 3 3 2 7" xfId="13471" xr:uid="{00000000-0005-0000-0000-0000973F0000}"/>
    <cellStyle name="Comma 2 2 7 2 3 3 2 7 2" xfId="36750" xr:uid="{00000000-0005-0000-0000-0000983F0000}"/>
    <cellStyle name="Comma 2 2 7 2 3 3 2 8" xfId="15942" xr:uid="{00000000-0005-0000-0000-0000993F0000}"/>
    <cellStyle name="Comma 2 2 7 2 3 3 2 8 2" xfId="39220" xr:uid="{00000000-0005-0000-0000-00009A3F0000}"/>
    <cellStyle name="Comma 2 2 7 2 3 3 2 9" xfId="24510" xr:uid="{00000000-0005-0000-0000-00009B3F0000}"/>
    <cellStyle name="Comma 2 2 7 2 3 3 3" xfId="1843" xr:uid="{00000000-0005-0000-0000-00009C3F0000}"/>
    <cellStyle name="Comma 2 2 7 2 3 3 3 10" xfId="22674" xr:uid="{00000000-0005-0000-0000-00009D3F0000}"/>
    <cellStyle name="Comma 2 2 7 2 3 3 3 2" xfId="4291" xr:uid="{00000000-0005-0000-0000-00009E3F0000}"/>
    <cellStyle name="Comma 2 2 7 2 3 3 3 2 2" xfId="20226" xr:uid="{00000000-0005-0000-0000-00009F3F0000}"/>
    <cellStyle name="Comma 2 2 7 2 3 3 3 2 2 2" xfId="43504" xr:uid="{00000000-0005-0000-0000-0000A03F0000}"/>
    <cellStyle name="Comma 2 2 7 2 3 3 3 2 3" xfId="48400" xr:uid="{00000000-0005-0000-0000-0000A13F0000}"/>
    <cellStyle name="Comma 2 2 7 2 3 3 3 2 4" xfId="27570" xr:uid="{00000000-0005-0000-0000-0000A23F0000}"/>
    <cellStyle name="Comma 2 2 7 2 3 3 3 3" xfId="6739" xr:uid="{00000000-0005-0000-0000-0000A33F0000}"/>
    <cellStyle name="Comma 2 2 7 2 3 3 3 3 2" xfId="30018" xr:uid="{00000000-0005-0000-0000-0000A43F0000}"/>
    <cellStyle name="Comma 2 2 7 2 3 3 3 4" xfId="9187" xr:uid="{00000000-0005-0000-0000-0000A53F0000}"/>
    <cellStyle name="Comma 2 2 7 2 3 3 3 4 2" xfId="32466" xr:uid="{00000000-0005-0000-0000-0000A63F0000}"/>
    <cellStyle name="Comma 2 2 7 2 3 3 3 5" xfId="11635" xr:uid="{00000000-0005-0000-0000-0000A73F0000}"/>
    <cellStyle name="Comma 2 2 7 2 3 3 3 5 2" xfId="34914" xr:uid="{00000000-0005-0000-0000-0000A83F0000}"/>
    <cellStyle name="Comma 2 2 7 2 3 3 3 6" xfId="14083" xr:uid="{00000000-0005-0000-0000-0000A93F0000}"/>
    <cellStyle name="Comma 2 2 7 2 3 3 3 6 2" xfId="37362" xr:uid="{00000000-0005-0000-0000-0000AA3F0000}"/>
    <cellStyle name="Comma 2 2 7 2 3 3 3 7" xfId="17778" xr:uid="{00000000-0005-0000-0000-0000AB3F0000}"/>
    <cellStyle name="Comma 2 2 7 2 3 3 3 7 2" xfId="41056" xr:uid="{00000000-0005-0000-0000-0000AC3F0000}"/>
    <cellStyle name="Comma 2 2 7 2 3 3 3 8" xfId="25122" xr:uid="{00000000-0005-0000-0000-0000AD3F0000}"/>
    <cellStyle name="Comma 2 2 7 2 3 3 3 9" xfId="45952" xr:uid="{00000000-0005-0000-0000-0000AE3F0000}"/>
    <cellStyle name="Comma 2 2 7 2 3 3 4" xfId="3067" xr:uid="{00000000-0005-0000-0000-0000AF3F0000}"/>
    <cellStyle name="Comma 2 2 7 2 3 3 4 2" xfId="16554" xr:uid="{00000000-0005-0000-0000-0000B03F0000}"/>
    <cellStyle name="Comma 2 2 7 2 3 3 4 2 2" xfId="39832" xr:uid="{00000000-0005-0000-0000-0000B13F0000}"/>
    <cellStyle name="Comma 2 2 7 2 3 3 4 3" xfId="47176" xr:uid="{00000000-0005-0000-0000-0000B23F0000}"/>
    <cellStyle name="Comma 2 2 7 2 3 3 4 4" xfId="26346" xr:uid="{00000000-0005-0000-0000-0000B33F0000}"/>
    <cellStyle name="Comma 2 2 7 2 3 3 5" xfId="5515" xr:uid="{00000000-0005-0000-0000-0000B43F0000}"/>
    <cellStyle name="Comma 2 2 7 2 3 3 5 2" xfId="19002" xr:uid="{00000000-0005-0000-0000-0000B53F0000}"/>
    <cellStyle name="Comma 2 2 7 2 3 3 5 2 2" xfId="42280" xr:uid="{00000000-0005-0000-0000-0000B63F0000}"/>
    <cellStyle name="Comma 2 2 7 2 3 3 5 3" xfId="28794" xr:uid="{00000000-0005-0000-0000-0000B73F0000}"/>
    <cellStyle name="Comma 2 2 7 2 3 3 6" xfId="7963" xr:uid="{00000000-0005-0000-0000-0000B83F0000}"/>
    <cellStyle name="Comma 2 2 7 2 3 3 6 2" xfId="31242" xr:uid="{00000000-0005-0000-0000-0000B93F0000}"/>
    <cellStyle name="Comma 2 2 7 2 3 3 7" xfId="10411" xr:uid="{00000000-0005-0000-0000-0000BA3F0000}"/>
    <cellStyle name="Comma 2 2 7 2 3 3 7 2" xfId="33690" xr:uid="{00000000-0005-0000-0000-0000BB3F0000}"/>
    <cellStyle name="Comma 2 2 7 2 3 3 8" xfId="12859" xr:uid="{00000000-0005-0000-0000-0000BC3F0000}"/>
    <cellStyle name="Comma 2 2 7 2 3 3 8 2" xfId="36138" xr:uid="{00000000-0005-0000-0000-0000BD3F0000}"/>
    <cellStyle name="Comma 2 2 7 2 3 3 9" xfId="15330" xr:uid="{00000000-0005-0000-0000-0000BE3F0000}"/>
    <cellStyle name="Comma 2 2 7 2 3 3 9 2" xfId="38608" xr:uid="{00000000-0005-0000-0000-0000BF3F0000}"/>
    <cellStyle name="Comma 2 2 7 2 3 4" xfId="823" xr:uid="{00000000-0005-0000-0000-0000C03F0000}"/>
    <cellStyle name="Comma 2 2 7 2 3 4 10" xfId="44932" xr:uid="{00000000-0005-0000-0000-0000C13F0000}"/>
    <cellStyle name="Comma 2 2 7 2 3 4 11" xfId="21654" xr:uid="{00000000-0005-0000-0000-0000C23F0000}"/>
    <cellStyle name="Comma 2 2 7 2 3 4 2" xfId="2047" xr:uid="{00000000-0005-0000-0000-0000C33F0000}"/>
    <cellStyle name="Comma 2 2 7 2 3 4 2 10" xfId="22878" xr:uid="{00000000-0005-0000-0000-0000C43F0000}"/>
    <cellStyle name="Comma 2 2 7 2 3 4 2 2" xfId="4495" xr:uid="{00000000-0005-0000-0000-0000C53F0000}"/>
    <cellStyle name="Comma 2 2 7 2 3 4 2 2 2" xfId="20430" xr:uid="{00000000-0005-0000-0000-0000C63F0000}"/>
    <cellStyle name="Comma 2 2 7 2 3 4 2 2 2 2" xfId="43708" xr:uid="{00000000-0005-0000-0000-0000C73F0000}"/>
    <cellStyle name="Comma 2 2 7 2 3 4 2 2 3" xfId="48604" xr:uid="{00000000-0005-0000-0000-0000C83F0000}"/>
    <cellStyle name="Comma 2 2 7 2 3 4 2 2 4" xfId="27774" xr:uid="{00000000-0005-0000-0000-0000C93F0000}"/>
    <cellStyle name="Comma 2 2 7 2 3 4 2 3" xfId="6943" xr:uid="{00000000-0005-0000-0000-0000CA3F0000}"/>
    <cellStyle name="Comma 2 2 7 2 3 4 2 3 2" xfId="30222" xr:uid="{00000000-0005-0000-0000-0000CB3F0000}"/>
    <cellStyle name="Comma 2 2 7 2 3 4 2 4" xfId="9391" xr:uid="{00000000-0005-0000-0000-0000CC3F0000}"/>
    <cellStyle name="Comma 2 2 7 2 3 4 2 4 2" xfId="32670" xr:uid="{00000000-0005-0000-0000-0000CD3F0000}"/>
    <cellStyle name="Comma 2 2 7 2 3 4 2 5" xfId="11839" xr:uid="{00000000-0005-0000-0000-0000CE3F0000}"/>
    <cellStyle name="Comma 2 2 7 2 3 4 2 5 2" xfId="35118" xr:uid="{00000000-0005-0000-0000-0000CF3F0000}"/>
    <cellStyle name="Comma 2 2 7 2 3 4 2 6" xfId="14287" xr:uid="{00000000-0005-0000-0000-0000D03F0000}"/>
    <cellStyle name="Comma 2 2 7 2 3 4 2 6 2" xfId="37566" xr:uid="{00000000-0005-0000-0000-0000D13F0000}"/>
    <cellStyle name="Comma 2 2 7 2 3 4 2 7" xfId="17982" xr:uid="{00000000-0005-0000-0000-0000D23F0000}"/>
    <cellStyle name="Comma 2 2 7 2 3 4 2 7 2" xfId="41260" xr:uid="{00000000-0005-0000-0000-0000D33F0000}"/>
    <cellStyle name="Comma 2 2 7 2 3 4 2 8" xfId="25326" xr:uid="{00000000-0005-0000-0000-0000D43F0000}"/>
    <cellStyle name="Comma 2 2 7 2 3 4 2 9" xfId="46156" xr:uid="{00000000-0005-0000-0000-0000D53F0000}"/>
    <cellStyle name="Comma 2 2 7 2 3 4 3" xfId="3271" xr:uid="{00000000-0005-0000-0000-0000D63F0000}"/>
    <cellStyle name="Comma 2 2 7 2 3 4 3 2" xfId="16758" xr:uid="{00000000-0005-0000-0000-0000D73F0000}"/>
    <cellStyle name="Comma 2 2 7 2 3 4 3 2 2" xfId="40036" xr:uid="{00000000-0005-0000-0000-0000D83F0000}"/>
    <cellStyle name="Comma 2 2 7 2 3 4 3 3" xfId="47380" xr:uid="{00000000-0005-0000-0000-0000D93F0000}"/>
    <cellStyle name="Comma 2 2 7 2 3 4 3 4" xfId="26550" xr:uid="{00000000-0005-0000-0000-0000DA3F0000}"/>
    <cellStyle name="Comma 2 2 7 2 3 4 4" xfId="5719" xr:uid="{00000000-0005-0000-0000-0000DB3F0000}"/>
    <cellStyle name="Comma 2 2 7 2 3 4 4 2" xfId="19206" xr:uid="{00000000-0005-0000-0000-0000DC3F0000}"/>
    <cellStyle name="Comma 2 2 7 2 3 4 4 2 2" xfId="42484" xr:uid="{00000000-0005-0000-0000-0000DD3F0000}"/>
    <cellStyle name="Comma 2 2 7 2 3 4 4 3" xfId="28998" xr:uid="{00000000-0005-0000-0000-0000DE3F0000}"/>
    <cellStyle name="Comma 2 2 7 2 3 4 5" xfId="8167" xr:uid="{00000000-0005-0000-0000-0000DF3F0000}"/>
    <cellStyle name="Comma 2 2 7 2 3 4 5 2" xfId="31446" xr:uid="{00000000-0005-0000-0000-0000E03F0000}"/>
    <cellStyle name="Comma 2 2 7 2 3 4 6" xfId="10615" xr:uid="{00000000-0005-0000-0000-0000E13F0000}"/>
    <cellStyle name="Comma 2 2 7 2 3 4 6 2" xfId="33894" xr:uid="{00000000-0005-0000-0000-0000E23F0000}"/>
    <cellStyle name="Comma 2 2 7 2 3 4 7" xfId="13063" xr:uid="{00000000-0005-0000-0000-0000E33F0000}"/>
    <cellStyle name="Comma 2 2 7 2 3 4 7 2" xfId="36342" xr:uid="{00000000-0005-0000-0000-0000E43F0000}"/>
    <cellStyle name="Comma 2 2 7 2 3 4 8" xfId="15534" xr:uid="{00000000-0005-0000-0000-0000E53F0000}"/>
    <cellStyle name="Comma 2 2 7 2 3 4 8 2" xfId="38812" xr:uid="{00000000-0005-0000-0000-0000E63F0000}"/>
    <cellStyle name="Comma 2 2 7 2 3 4 9" xfId="24102" xr:uid="{00000000-0005-0000-0000-0000E73F0000}"/>
    <cellStyle name="Comma 2 2 7 2 3 5" xfId="1435" xr:uid="{00000000-0005-0000-0000-0000E83F0000}"/>
    <cellStyle name="Comma 2 2 7 2 3 5 10" xfId="22266" xr:uid="{00000000-0005-0000-0000-0000E93F0000}"/>
    <cellStyle name="Comma 2 2 7 2 3 5 2" xfId="3883" xr:uid="{00000000-0005-0000-0000-0000EA3F0000}"/>
    <cellStyle name="Comma 2 2 7 2 3 5 2 2" xfId="19818" xr:uid="{00000000-0005-0000-0000-0000EB3F0000}"/>
    <cellStyle name="Comma 2 2 7 2 3 5 2 2 2" xfId="43096" xr:uid="{00000000-0005-0000-0000-0000EC3F0000}"/>
    <cellStyle name="Comma 2 2 7 2 3 5 2 3" xfId="47992" xr:uid="{00000000-0005-0000-0000-0000ED3F0000}"/>
    <cellStyle name="Comma 2 2 7 2 3 5 2 4" xfId="27162" xr:uid="{00000000-0005-0000-0000-0000EE3F0000}"/>
    <cellStyle name="Comma 2 2 7 2 3 5 3" xfId="6331" xr:uid="{00000000-0005-0000-0000-0000EF3F0000}"/>
    <cellStyle name="Comma 2 2 7 2 3 5 3 2" xfId="29610" xr:uid="{00000000-0005-0000-0000-0000F03F0000}"/>
    <cellStyle name="Comma 2 2 7 2 3 5 4" xfId="8779" xr:uid="{00000000-0005-0000-0000-0000F13F0000}"/>
    <cellStyle name="Comma 2 2 7 2 3 5 4 2" xfId="32058" xr:uid="{00000000-0005-0000-0000-0000F23F0000}"/>
    <cellStyle name="Comma 2 2 7 2 3 5 5" xfId="11227" xr:uid="{00000000-0005-0000-0000-0000F33F0000}"/>
    <cellStyle name="Comma 2 2 7 2 3 5 5 2" xfId="34506" xr:uid="{00000000-0005-0000-0000-0000F43F0000}"/>
    <cellStyle name="Comma 2 2 7 2 3 5 6" xfId="13675" xr:uid="{00000000-0005-0000-0000-0000F53F0000}"/>
    <cellStyle name="Comma 2 2 7 2 3 5 6 2" xfId="36954" xr:uid="{00000000-0005-0000-0000-0000F63F0000}"/>
    <cellStyle name="Comma 2 2 7 2 3 5 7" xfId="17370" xr:uid="{00000000-0005-0000-0000-0000F73F0000}"/>
    <cellStyle name="Comma 2 2 7 2 3 5 7 2" xfId="40648" xr:uid="{00000000-0005-0000-0000-0000F83F0000}"/>
    <cellStyle name="Comma 2 2 7 2 3 5 8" xfId="24714" xr:uid="{00000000-0005-0000-0000-0000F93F0000}"/>
    <cellStyle name="Comma 2 2 7 2 3 5 9" xfId="45544" xr:uid="{00000000-0005-0000-0000-0000FA3F0000}"/>
    <cellStyle name="Comma 2 2 7 2 3 6" xfId="2659" xr:uid="{00000000-0005-0000-0000-0000FB3F0000}"/>
    <cellStyle name="Comma 2 2 7 2 3 6 2" xfId="16146" xr:uid="{00000000-0005-0000-0000-0000FC3F0000}"/>
    <cellStyle name="Comma 2 2 7 2 3 6 2 2" xfId="39424" xr:uid="{00000000-0005-0000-0000-0000FD3F0000}"/>
    <cellStyle name="Comma 2 2 7 2 3 6 3" xfId="46768" xr:uid="{00000000-0005-0000-0000-0000FE3F0000}"/>
    <cellStyle name="Comma 2 2 7 2 3 6 4" xfId="25938" xr:uid="{00000000-0005-0000-0000-0000FF3F0000}"/>
    <cellStyle name="Comma 2 2 7 2 3 7" xfId="5107" xr:uid="{00000000-0005-0000-0000-000000400000}"/>
    <cellStyle name="Comma 2 2 7 2 3 7 2" xfId="18594" xr:uid="{00000000-0005-0000-0000-000001400000}"/>
    <cellStyle name="Comma 2 2 7 2 3 7 2 2" xfId="41872" xr:uid="{00000000-0005-0000-0000-000002400000}"/>
    <cellStyle name="Comma 2 2 7 2 3 7 3" xfId="28386" xr:uid="{00000000-0005-0000-0000-000003400000}"/>
    <cellStyle name="Comma 2 2 7 2 3 8" xfId="7555" xr:uid="{00000000-0005-0000-0000-000004400000}"/>
    <cellStyle name="Comma 2 2 7 2 3 8 2" xfId="30834" xr:uid="{00000000-0005-0000-0000-000005400000}"/>
    <cellStyle name="Comma 2 2 7 2 3 9" xfId="10003" xr:uid="{00000000-0005-0000-0000-000006400000}"/>
    <cellStyle name="Comma 2 2 7 2 3 9 2" xfId="33282" xr:uid="{00000000-0005-0000-0000-000007400000}"/>
    <cellStyle name="Comma 2 2 7 2 4" xfId="279" xr:uid="{00000000-0005-0000-0000-000008400000}"/>
    <cellStyle name="Comma 2 2 7 2 4 10" xfId="23558" xr:uid="{00000000-0005-0000-0000-000009400000}"/>
    <cellStyle name="Comma 2 2 7 2 4 11" xfId="44388" xr:uid="{00000000-0005-0000-0000-00000A400000}"/>
    <cellStyle name="Comma 2 2 7 2 4 12" xfId="21110" xr:uid="{00000000-0005-0000-0000-00000B400000}"/>
    <cellStyle name="Comma 2 2 7 2 4 2" xfId="891" xr:uid="{00000000-0005-0000-0000-00000C400000}"/>
    <cellStyle name="Comma 2 2 7 2 4 2 10" xfId="45000" xr:uid="{00000000-0005-0000-0000-00000D400000}"/>
    <cellStyle name="Comma 2 2 7 2 4 2 11" xfId="21722" xr:uid="{00000000-0005-0000-0000-00000E400000}"/>
    <cellStyle name="Comma 2 2 7 2 4 2 2" xfId="2115" xr:uid="{00000000-0005-0000-0000-00000F400000}"/>
    <cellStyle name="Comma 2 2 7 2 4 2 2 10" xfId="22946" xr:uid="{00000000-0005-0000-0000-000010400000}"/>
    <cellStyle name="Comma 2 2 7 2 4 2 2 2" xfId="4563" xr:uid="{00000000-0005-0000-0000-000011400000}"/>
    <cellStyle name="Comma 2 2 7 2 4 2 2 2 2" xfId="20498" xr:uid="{00000000-0005-0000-0000-000012400000}"/>
    <cellStyle name="Comma 2 2 7 2 4 2 2 2 2 2" xfId="43776" xr:uid="{00000000-0005-0000-0000-000013400000}"/>
    <cellStyle name="Comma 2 2 7 2 4 2 2 2 3" xfId="48672" xr:uid="{00000000-0005-0000-0000-000014400000}"/>
    <cellStyle name="Comma 2 2 7 2 4 2 2 2 4" xfId="27842" xr:uid="{00000000-0005-0000-0000-000015400000}"/>
    <cellStyle name="Comma 2 2 7 2 4 2 2 3" xfId="7011" xr:uid="{00000000-0005-0000-0000-000016400000}"/>
    <cellStyle name="Comma 2 2 7 2 4 2 2 3 2" xfId="30290" xr:uid="{00000000-0005-0000-0000-000017400000}"/>
    <cellStyle name="Comma 2 2 7 2 4 2 2 4" xfId="9459" xr:uid="{00000000-0005-0000-0000-000018400000}"/>
    <cellStyle name="Comma 2 2 7 2 4 2 2 4 2" xfId="32738" xr:uid="{00000000-0005-0000-0000-000019400000}"/>
    <cellStyle name="Comma 2 2 7 2 4 2 2 5" xfId="11907" xr:uid="{00000000-0005-0000-0000-00001A400000}"/>
    <cellStyle name="Comma 2 2 7 2 4 2 2 5 2" xfId="35186" xr:uid="{00000000-0005-0000-0000-00001B400000}"/>
    <cellStyle name="Comma 2 2 7 2 4 2 2 6" xfId="14355" xr:uid="{00000000-0005-0000-0000-00001C400000}"/>
    <cellStyle name="Comma 2 2 7 2 4 2 2 6 2" xfId="37634" xr:uid="{00000000-0005-0000-0000-00001D400000}"/>
    <cellStyle name="Comma 2 2 7 2 4 2 2 7" xfId="18050" xr:uid="{00000000-0005-0000-0000-00001E400000}"/>
    <cellStyle name="Comma 2 2 7 2 4 2 2 7 2" xfId="41328" xr:uid="{00000000-0005-0000-0000-00001F400000}"/>
    <cellStyle name="Comma 2 2 7 2 4 2 2 8" xfId="25394" xr:uid="{00000000-0005-0000-0000-000020400000}"/>
    <cellStyle name="Comma 2 2 7 2 4 2 2 9" xfId="46224" xr:uid="{00000000-0005-0000-0000-000021400000}"/>
    <cellStyle name="Comma 2 2 7 2 4 2 3" xfId="3339" xr:uid="{00000000-0005-0000-0000-000022400000}"/>
    <cellStyle name="Comma 2 2 7 2 4 2 3 2" xfId="16826" xr:uid="{00000000-0005-0000-0000-000023400000}"/>
    <cellStyle name="Comma 2 2 7 2 4 2 3 2 2" xfId="40104" xr:uid="{00000000-0005-0000-0000-000024400000}"/>
    <cellStyle name="Comma 2 2 7 2 4 2 3 3" xfId="47448" xr:uid="{00000000-0005-0000-0000-000025400000}"/>
    <cellStyle name="Comma 2 2 7 2 4 2 3 4" xfId="26618" xr:uid="{00000000-0005-0000-0000-000026400000}"/>
    <cellStyle name="Comma 2 2 7 2 4 2 4" xfId="5787" xr:uid="{00000000-0005-0000-0000-000027400000}"/>
    <cellStyle name="Comma 2 2 7 2 4 2 4 2" xfId="19274" xr:uid="{00000000-0005-0000-0000-000028400000}"/>
    <cellStyle name="Comma 2 2 7 2 4 2 4 2 2" xfId="42552" xr:uid="{00000000-0005-0000-0000-000029400000}"/>
    <cellStyle name="Comma 2 2 7 2 4 2 4 3" xfId="29066" xr:uid="{00000000-0005-0000-0000-00002A400000}"/>
    <cellStyle name="Comma 2 2 7 2 4 2 5" xfId="8235" xr:uid="{00000000-0005-0000-0000-00002B400000}"/>
    <cellStyle name="Comma 2 2 7 2 4 2 5 2" xfId="31514" xr:uid="{00000000-0005-0000-0000-00002C400000}"/>
    <cellStyle name="Comma 2 2 7 2 4 2 6" xfId="10683" xr:uid="{00000000-0005-0000-0000-00002D400000}"/>
    <cellStyle name="Comma 2 2 7 2 4 2 6 2" xfId="33962" xr:uid="{00000000-0005-0000-0000-00002E400000}"/>
    <cellStyle name="Comma 2 2 7 2 4 2 7" xfId="13131" xr:uid="{00000000-0005-0000-0000-00002F400000}"/>
    <cellStyle name="Comma 2 2 7 2 4 2 7 2" xfId="36410" xr:uid="{00000000-0005-0000-0000-000030400000}"/>
    <cellStyle name="Comma 2 2 7 2 4 2 8" xfId="15602" xr:uid="{00000000-0005-0000-0000-000031400000}"/>
    <cellStyle name="Comma 2 2 7 2 4 2 8 2" xfId="38880" xr:uid="{00000000-0005-0000-0000-000032400000}"/>
    <cellStyle name="Comma 2 2 7 2 4 2 9" xfId="24170" xr:uid="{00000000-0005-0000-0000-000033400000}"/>
    <cellStyle name="Comma 2 2 7 2 4 3" xfId="1503" xr:uid="{00000000-0005-0000-0000-000034400000}"/>
    <cellStyle name="Comma 2 2 7 2 4 3 10" xfId="22334" xr:uid="{00000000-0005-0000-0000-000035400000}"/>
    <cellStyle name="Comma 2 2 7 2 4 3 2" xfId="3951" xr:uid="{00000000-0005-0000-0000-000036400000}"/>
    <cellStyle name="Comma 2 2 7 2 4 3 2 2" xfId="19886" xr:uid="{00000000-0005-0000-0000-000037400000}"/>
    <cellStyle name="Comma 2 2 7 2 4 3 2 2 2" xfId="43164" xr:uid="{00000000-0005-0000-0000-000038400000}"/>
    <cellStyle name="Comma 2 2 7 2 4 3 2 3" xfId="48060" xr:uid="{00000000-0005-0000-0000-000039400000}"/>
    <cellStyle name="Comma 2 2 7 2 4 3 2 4" xfId="27230" xr:uid="{00000000-0005-0000-0000-00003A400000}"/>
    <cellStyle name="Comma 2 2 7 2 4 3 3" xfId="6399" xr:uid="{00000000-0005-0000-0000-00003B400000}"/>
    <cellStyle name="Comma 2 2 7 2 4 3 3 2" xfId="29678" xr:uid="{00000000-0005-0000-0000-00003C400000}"/>
    <cellStyle name="Comma 2 2 7 2 4 3 4" xfId="8847" xr:uid="{00000000-0005-0000-0000-00003D400000}"/>
    <cellStyle name="Comma 2 2 7 2 4 3 4 2" xfId="32126" xr:uid="{00000000-0005-0000-0000-00003E400000}"/>
    <cellStyle name="Comma 2 2 7 2 4 3 5" xfId="11295" xr:uid="{00000000-0005-0000-0000-00003F400000}"/>
    <cellStyle name="Comma 2 2 7 2 4 3 5 2" xfId="34574" xr:uid="{00000000-0005-0000-0000-000040400000}"/>
    <cellStyle name="Comma 2 2 7 2 4 3 6" xfId="13743" xr:uid="{00000000-0005-0000-0000-000041400000}"/>
    <cellStyle name="Comma 2 2 7 2 4 3 6 2" xfId="37022" xr:uid="{00000000-0005-0000-0000-000042400000}"/>
    <cellStyle name="Comma 2 2 7 2 4 3 7" xfId="17438" xr:uid="{00000000-0005-0000-0000-000043400000}"/>
    <cellStyle name="Comma 2 2 7 2 4 3 7 2" xfId="40716" xr:uid="{00000000-0005-0000-0000-000044400000}"/>
    <cellStyle name="Comma 2 2 7 2 4 3 8" xfId="24782" xr:uid="{00000000-0005-0000-0000-000045400000}"/>
    <cellStyle name="Comma 2 2 7 2 4 3 9" xfId="45612" xr:uid="{00000000-0005-0000-0000-000046400000}"/>
    <cellStyle name="Comma 2 2 7 2 4 4" xfId="2727" xr:uid="{00000000-0005-0000-0000-000047400000}"/>
    <cellStyle name="Comma 2 2 7 2 4 4 2" xfId="16214" xr:uid="{00000000-0005-0000-0000-000048400000}"/>
    <cellStyle name="Comma 2 2 7 2 4 4 2 2" xfId="39492" xr:uid="{00000000-0005-0000-0000-000049400000}"/>
    <cellStyle name="Comma 2 2 7 2 4 4 3" xfId="46836" xr:uid="{00000000-0005-0000-0000-00004A400000}"/>
    <cellStyle name="Comma 2 2 7 2 4 4 4" xfId="26006" xr:uid="{00000000-0005-0000-0000-00004B400000}"/>
    <cellStyle name="Comma 2 2 7 2 4 5" xfId="5175" xr:uid="{00000000-0005-0000-0000-00004C400000}"/>
    <cellStyle name="Comma 2 2 7 2 4 5 2" xfId="18662" xr:uid="{00000000-0005-0000-0000-00004D400000}"/>
    <cellStyle name="Comma 2 2 7 2 4 5 2 2" xfId="41940" xr:uid="{00000000-0005-0000-0000-00004E400000}"/>
    <cellStyle name="Comma 2 2 7 2 4 5 3" xfId="28454" xr:uid="{00000000-0005-0000-0000-00004F400000}"/>
    <cellStyle name="Comma 2 2 7 2 4 6" xfId="7623" xr:uid="{00000000-0005-0000-0000-000050400000}"/>
    <cellStyle name="Comma 2 2 7 2 4 6 2" xfId="30902" xr:uid="{00000000-0005-0000-0000-000051400000}"/>
    <cellStyle name="Comma 2 2 7 2 4 7" xfId="10071" xr:uid="{00000000-0005-0000-0000-000052400000}"/>
    <cellStyle name="Comma 2 2 7 2 4 7 2" xfId="33350" xr:uid="{00000000-0005-0000-0000-000053400000}"/>
    <cellStyle name="Comma 2 2 7 2 4 8" xfId="12519" xr:uid="{00000000-0005-0000-0000-000054400000}"/>
    <cellStyle name="Comma 2 2 7 2 4 8 2" xfId="35798" xr:uid="{00000000-0005-0000-0000-000055400000}"/>
    <cellStyle name="Comma 2 2 7 2 4 9" xfId="14990" xr:uid="{00000000-0005-0000-0000-000056400000}"/>
    <cellStyle name="Comma 2 2 7 2 4 9 2" xfId="38268" xr:uid="{00000000-0005-0000-0000-000057400000}"/>
    <cellStyle name="Comma 2 2 7 2 5" xfId="483" xr:uid="{00000000-0005-0000-0000-000058400000}"/>
    <cellStyle name="Comma 2 2 7 2 5 10" xfId="23762" xr:uid="{00000000-0005-0000-0000-000059400000}"/>
    <cellStyle name="Comma 2 2 7 2 5 11" xfId="44592" xr:uid="{00000000-0005-0000-0000-00005A400000}"/>
    <cellStyle name="Comma 2 2 7 2 5 12" xfId="21314" xr:uid="{00000000-0005-0000-0000-00005B400000}"/>
    <cellStyle name="Comma 2 2 7 2 5 2" xfId="1095" xr:uid="{00000000-0005-0000-0000-00005C400000}"/>
    <cellStyle name="Comma 2 2 7 2 5 2 10" xfId="45204" xr:uid="{00000000-0005-0000-0000-00005D400000}"/>
    <cellStyle name="Comma 2 2 7 2 5 2 11" xfId="21926" xr:uid="{00000000-0005-0000-0000-00005E400000}"/>
    <cellStyle name="Comma 2 2 7 2 5 2 2" xfId="2319" xr:uid="{00000000-0005-0000-0000-00005F400000}"/>
    <cellStyle name="Comma 2 2 7 2 5 2 2 10" xfId="23150" xr:uid="{00000000-0005-0000-0000-000060400000}"/>
    <cellStyle name="Comma 2 2 7 2 5 2 2 2" xfId="4767" xr:uid="{00000000-0005-0000-0000-000061400000}"/>
    <cellStyle name="Comma 2 2 7 2 5 2 2 2 2" xfId="20702" xr:uid="{00000000-0005-0000-0000-000062400000}"/>
    <cellStyle name="Comma 2 2 7 2 5 2 2 2 2 2" xfId="43980" xr:uid="{00000000-0005-0000-0000-000063400000}"/>
    <cellStyle name="Comma 2 2 7 2 5 2 2 2 3" xfId="48876" xr:uid="{00000000-0005-0000-0000-000064400000}"/>
    <cellStyle name="Comma 2 2 7 2 5 2 2 2 4" xfId="28046" xr:uid="{00000000-0005-0000-0000-000065400000}"/>
    <cellStyle name="Comma 2 2 7 2 5 2 2 3" xfId="7215" xr:uid="{00000000-0005-0000-0000-000066400000}"/>
    <cellStyle name="Comma 2 2 7 2 5 2 2 3 2" xfId="30494" xr:uid="{00000000-0005-0000-0000-000067400000}"/>
    <cellStyle name="Comma 2 2 7 2 5 2 2 4" xfId="9663" xr:uid="{00000000-0005-0000-0000-000068400000}"/>
    <cellStyle name="Comma 2 2 7 2 5 2 2 4 2" xfId="32942" xr:uid="{00000000-0005-0000-0000-000069400000}"/>
    <cellStyle name="Comma 2 2 7 2 5 2 2 5" xfId="12111" xr:uid="{00000000-0005-0000-0000-00006A400000}"/>
    <cellStyle name="Comma 2 2 7 2 5 2 2 5 2" xfId="35390" xr:uid="{00000000-0005-0000-0000-00006B400000}"/>
    <cellStyle name="Comma 2 2 7 2 5 2 2 6" xfId="14559" xr:uid="{00000000-0005-0000-0000-00006C400000}"/>
    <cellStyle name="Comma 2 2 7 2 5 2 2 6 2" xfId="37838" xr:uid="{00000000-0005-0000-0000-00006D400000}"/>
    <cellStyle name="Comma 2 2 7 2 5 2 2 7" xfId="18254" xr:uid="{00000000-0005-0000-0000-00006E400000}"/>
    <cellStyle name="Comma 2 2 7 2 5 2 2 7 2" xfId="41532" xr:uid="{00000000-0005-0000-0000-00006F400000}"/>
    <cellStyle name="Comma 2 2 7 2 5 2 2 8" xfId="25598" xr:uid="{00000000-0005-0000-0000-000070400000}"/>
    <cellStyle name="Comma 2 2 7 2 5 2 2 9" xfId="46428" xr:uid="{00000000-0005-0000-0000-000071400000}"/>
    <cellStyle name="Comma 2 2 7 2 5 2 3" xfId="3543" xr:uid="{00000000-0005-0000-0000-000072400000}"/>
    <cellStyle name="Comma 2 2 7 2 5 2 3 2" xfId="17030" xr:uid="{00000000-0005-0000-0000-000073400000}"/>
    <cellStyle name="Comma 2 2 7 2 5 2 3 2 2" xfId="40308" xr:uid="{00000000-0005-0000-0000-000074400000}"/>
    <cellStyle name="Comma 2 2 7 2 5 2 3 3" xfId="47652" xr:uid="{00000000-0005-0000-0000-000075400000}"/>
    <cellStyle name="Comma 2 2 7 2 5 2 3 4" xfId="26822" xr:uid="{00000000-0005-0000-0000-000076400000}"/>
    <cellStyle name="Comma 2 2 7 2 5 2 4" xfId="5991" xr:uid="{00000000-0005-0000-0000-000077400000}"/>
    <cellStyle name="Comma 2 2 7 2 5 2 4 2" xfId="19478" xr:uid="{00000000-0005-0000-0000-000078400000}"/>
    <cellStyle name="Comma 2 2 7 2 5 2 4 2 2" xfId="42756" xr:uid="{00000000-0005-0000-0000-000079400000}"/>
    <cellStyle name="Comma 2 2 7 2 5 2 4 3" xfId="29270" xr:uid="{00000000-0005-0000-0000-00007A400000}"/>
    <cellStyle name="Comma 2 2 7 2 5 2 5" xfId="8439" xr:uid="{00000000-0005-0000-0000-00007B400000}"/>
    <cellStyle name="Comma 2 2 7 2 5 2 5 2" xfId="31718" xr:uid="{00000000-0005-0000-0000-00007C400000}"/>
    <cellStyle name="Comma 2 2 7 2 5 2 6" xfId="10887" xr:uid="{00000000-0005-0000-0000-00007D400000}"/>
    <cellStyle name="Comma 2 2 7 2 5 2 6 2" xfId="34166" xr:uid="{00000000-0005-0000-0000-00007E400000}"/>
    <cellStyle name="Comma 2 2 7 2 5 2 7" xfId="13335" xr:uid="{00000000-0005-0000-0000-00007F400000}"/>
    <cellStyle name="Comma 2 2 7 2 5 2 7 2" xfId="36614" xr:uid="{00000000-0005-0000-0000-000080400000}"/>
    <cellStyle name="Comma 2 2 7 2 5 2 8" xfId="15806" xr:uid="{00000000-0005-0000-0000-000081400000}"/>
    <cellStyle name="Comma 2 2 7 2 5 2 8 2" xfId="39084" xr:uid="{00000000-0005-0000-0000-000082400000}"/>
    <cellStyle name="Comma 2 2 7 2 5 2 9" xfId="24374" xr:uid="{00000000-0005-0000-0000-000083400000}"/>
    <cellStyle name="Comma 2 2 7 2 5 3" xfId="1707" xr:uid="{00000000-0005-0000-0000-000084400000}"/>
    <cellStyle name="Comma 2 2 7 2 5 3 10" xfId="22538" xr:uid="{00000000-0005-0000-0000-000085400000}"/>
    <cellStyle name="Comma 2 2 7 2 5 3 2" xfId="4155" xr:uid="{00000000-0005-0000-0000-000086400000}"/>
    <cellStyle name="Comma 2 2 7 2 5 3 2 2" xfId="20090" xr:uid="{00000000-0005-0000-0000-000087400000}"/>
    <cellStyle name="Comma 2 2 7 2 5 3 2 2 2" xfId="43368" xr:uid="{00000000-0005-0000-0000-000088400000}"/>
    <cellStyle name="Comma 2 2 7 2 5 3 2 3" xfId="48264" xr:uid="{00000000-0005-0000-0000-000089400000}"/>
    <cellStyle name="Comma 2 2 7 2 5 3 2 4" xfId="27434" xr:uid="{00000000-0005-0000-0000-00008A400000}"/>
    <cellStyle name="Comma 2 2 7 2 5 3 3" xfId="6603" xr:uid="{00000000-0005-0000-0000-00008B400000}"/>
    <cellStyle name="Comma 2 2 7 2 5 3 3 2" xfId="29882" xr:uid="{00000000-0005-0000-0000-00008C400000}"/>
    <cellStyle name="Comma 2 2 7 2 5 3 4" xfId="9051" xr:uid="{00000000-0005-0000-0000-00008D400000}"/>
    <cellStyle name="Comma 2 2 7 2 5 3 4 2" xfId="32330" xr:uid="{00000000-0005-0000-0000-00008E400000}"/>
    <cellStyle name="Comma 2 2 7 2 5 3 5" xfId="11499" xr:uid="{00000000-0005-0000-0000-00008F400000}"/>
    <cellStyle name="Comma 2 2 7 2 5 3 5 2" xfId="34778" xr:uid="{00000000-0005-0000-0000-000090400000}"/>
    <cellStyle name="Comma 2 2 7 2 5 3 6" xfId="13947" xr:uid="{00000000-0005-0000-0000-000091400000}"/>
    <cellStyle name="Comma 2 2 7 2 5 3 6 2" xfId="37226" xr:uid="{00000000-0005-0000-0000-000092400000}"/>
    <cellStyle name="Comma 2 2 7 2 5 3 7" xfId="17642" xr:uid="{00000000-0005-0000-0000-000093400000}"/>
    <cellStyle name="Comma 2 2 7 2 5 3 7 2" xfId="40920" xr:uid="{00000000-0005-0000-0000-000094400000}"/>
    <cellStyle name="Comma 2 2 7 2 5 3 8" xfId="24986" xr:uid="{00000000-0005-0000-0000-000095400000}"/>
    <cellStyle name="Comma 2 2 7 2 5 3 9" xfId="45816" xr:uid="{00000000-0005-0000-0000-000096400000}"/>
    <cellStyle name="Comma 2 2 7 2 5 4" xfId="2931" xr:uid="{00000000-0005-0000-0000-000097400000}"/>
    <cellStyle name="Comma 2 2 7 2 5 4 2" xfId="16418" xr:uid="{00000000-0005-0000-0000-000098400000}"/>
    <cellStyle name="Comma 2 2 7 2 5 4 2 2" xfId="39696" xr:uid="{00000000-0005-0000-0000-000099400000}"/>
    <cellStyle name="Comma 2 2 7 2 5 4 3" xfId="47040" xr:uid="{00000000-0005-0000-0000-00009A400000}"/>
    <cellStyle name="Comma 2 2 7 2 5 4 4" xfId="26210" xr:uid="{00000000-0005-0000-0000-00009B400000}"/>
    <cellStyle name="Comma 2 2 7 2 5 5" xfId="5379" xr:uid="{00000000-0005-0000-0000-00009C400000}"/>
    <cellStyle name="Comma 2 2 7 2 5 5 2" xfId="18866" xr:uid="{00000000-0005-0000-0000-00009D400000}"/>
    <cellStyle name="Comma 2 2 7 2 5 5 2 2" xfId="42144" xr:uid="{00000000-0005-0000-0000-00009E400000}"/>
    <cellStyle name="Comma 2 2 7 2 5 5 3" xfId="28658" xr:uid="{00000000-0005-0000-0000-00009F400000}"/>
    <cellStyle name="Comma 2 2 7 2 5 6" xfId="7827" xr:uid="{00000000-0005-0000-0000-0000A0400000}"/>
    <cellStyle name="Comma 2 2 7 2 5 6 2" xfId="31106" xr:uid="{00000000-0005-0000-0000-0000A1400000}"/>
    <cellStyle name="Comma 2 2 7 2 5 7" xfId="10275" xr:uid="{00000000-0005-0000-0000-0000A2400000}"/>
    <cellStyle name="Comma 2 2 7 2 5 7 2" xfId="33554" xr:uid="{00000000-0005-0000-0000-0000A3400000}"/>
    <cellStyle name="Comma 2 2 7 2 5 8" xfId="12723" xr:uid="{00000000-0005-0000-0000-0000A4400000}"/>
    <cellStyle name="Comma 2 2 7 2 5 8 2" xfId="36002" xr:uid="{00000000-0005-0000-0000-0000A5400000}"/>
    <cellStyle name="Comma 2 2 7 2 5 9" xfId="15194" xr:uid="{00000000-0005-0000-0000-0000A6400000}"/>
    <cellStyle name="Comma 2 2 7 2 5 9 2" xfId="38472" xr:uid="{00000000-0005-0000-0000-0000A7400000}"/>
    <cellStyle name="Comma 2 2 7 2 6" xfId="687" xr:uid="{00000000-0005-0000-0000-0000A8400000}"/>
    <cellStyle name="Comma 2 2 7 2 6 10" xfId="44796" xr:uid="{00000000-0005-0000-0000-0000A9400000}"/>
    <cellStyle name="Comma 2 2 7 2 6 11" xfId="21518" xr:uid="{00000000-0005-0000-0000-0000AA400000}"/>
    <cellStyle name="Comma 2 2 7 2 6 2" xfId="1911" xr:uid="{00000000-0005-0000-0000-0000AB400000}"/>
    <cellStyle name="Comma 2 2 7 2 6 2 10" xfId="22742" xr:uid="{00000000-0005-0000-0000-0000AC400000}"/>
    <cellStyle name="Comma 2 2 7 2 6 2 2" xfId="4359" xr:uid="{00000000-0005-0000-0000-0000AD400000}"/>
    <cellStyle name="Comma 2 2 7 2 6 2 2 2" xfId="20294" xr:uid="{00000000-0005-0000-0000-0000AE400000}"/>
    <cellStyle name="Comma 2 2 7 2 6 2 2 2 2" xfId="43572" xr:uid="{00000000-0005-0000-0000-0000AF400000}"/>
    <cellStyle name="Comma 2 2 7 2 6 2 2 3" xfId="48468" xr:uid="{00000000-0005-0000-0000-0000B0400000}"/>
    <cellStyle name="Comma 2 2 7 2 6 2 2 4" xfId="27638" xr:uid="{00000000-0005-0000-0000-0000B1400000}"/>
    <cellStyle name="Comma 2 2 7 2 6 2 3" xfId="6807" xr:uid="{00000000-0005-0000-0000-0000B2400000}"/>
    <cellStyle name="Comma 2 2 7 2 6 2 3 2" xfId="30086" xr:uid="{00000000-0005-0000-0000-0000B3400000}"/>
    <cellStyle name="Comma 2 2 7 2 6 2 4" xfId="9255" xr:uid="{00000000-0005-0000-0000-0000B4400000}"/>
    <cellStyle name="Comma 2 2 7 2 6 2 4 2" xfId="32534" xr:uid="{00000000-0005-0000-0000-0000B5400000}"/>
    <cellStyle name="Comma 2 2 7 2 6 2 5" xfId="11703" xr:uid="{00000000-0005-0000-0000-0000B6400000}"/>
    <cellStyle name="Comma 2 2 7 2 6 2 5 2" xfId="34982" xr:uid="{00000000-0005-0000-0000-0000B7400000}"/>
    <cellStyle name="Comma 2 2 7 2 6 2 6" xfId="14151" xr:uid="{00000000-0005-0000-0000-0000B8400000}"/>
    <cellStyle name="Comma 2 2 7 2 6 2 6 2" xfId="37430" xr:uid="{00000000-0005-0000-0000-0000B9400000}"/>
    <cellStyle name="Comma 2 2 7 2 6 2 7" xfId="17846" xr:uid="{00000000-0005-0000-0000-0000BA400000}"/>
    <cellStyle name="Comma 2 2 7 2 6 2 7 2" xfId="41124" xr:uid="{00000000-0005-0000-0000-0000BB400000}"/>
    <cellStyle name="Comma 2 2 7 2 6 2 8" xfId="25190" xr:uid="{00000000-0005-0000-0000-0000BC400000}"/>
    <cellStyle name="Comma 2 2 7 2 6 2 9" xfId="46020" xr:uid="{00000000-0005-0000-0000-0000BD400000}"/>
    <cellStyle name="Comma 2 2 7 2 6 3" xfId="3135" xr:uid="{00000000-0005-0000-0000-0000BE400000}"/>
    <cellStyle name="Comma 2 2 7 2 6 3 2" xfId="16622" xr:uid="{00000000-0005-0000-0000-0000BF400000}"/>
    <cellStyle name="Comma 2 2 7 2 6 3 2 2" xfId="39900" xr:uid="{00000000-0005-0000-0000-0000C0400000}"/>
    <cellStyle name="Comma 2 2 7 2 6 3 3" xfId="47244" xr:uid="{00000000-0005-0000-0000-0000C1400000}"/>
    <cellStyle name="Comma 2 2 7 2 6 3 4" xfId="26414" xr:uid="{00000000-0005-0000-0000-0000C2400000}"/>
    <cellStyle name="Comma 2 2 7 2 6 4" xfId="5583" xr:uid="{00000000-0005-0000-0000-0000C3400000}"/>
    <cellStyle name="Comma 2 2 7 2 6 4 2" xfId="19070" xr:uid="{00000000-0005-0000-0000-0000C4400000}"/>
    <cellStyle name="Comma 2 2 7 2 6 4 2 2" xfId="42348" xr:uid="{00000000-0005-0000-0000-0000C5400000}"/>
    <cellStyle name="Comma 2 2 7 2 6 4 3" xfId="28862" xr:uid="{00000000-0005-0000-0000-0000C6400000}"/>
    <cellStyle name="Comma 2 2 7 2 6 5" xfId="8031" xr:uid="{00000000-0005-0000-0000-0000C7400000}"/>
    <cellStyle name="Comma 2 2 7 2 6 5 2" xfId="31310" xr:uid="{00000000-0005-0000-0000-0000C8400000}"/>
    <cellStyle name="Comma 2 2 7 2 6 6" xfId="10479" xr:uid="{00000000-0005-0000-0000-0000C9400000}"/>
    <cellStyle name="Comma 2 2 7 2 6 6 2" xfId="33758" xr:uid="{00000000-0005-0000-0000-0000CA400000}"/>
    <cellStyle name="Comma 2 2 7 2 6 7" xfId="12927" xr:uid="{00000000-0005-0000-0000-0000CB400000}"/>
    <cellStyle name="Comma 2 2 7 2 6 7 2" xfId="36206" xr:uid="{00000000-0005-0000-0000-0000CC400000}"/>
    <cellStyle name="Comma 2 2 7 2 6 8" xfId="15398" xr:uid="{00000000-0005-0000-0000-0000CD400000}"/>
    <cellStyle name="Comma 2 2 7 2 6 8 2" xfId="38676" xr:uid="{00000000-0005-0000-0000-0000CE400000}"/>
    <cellStyle name="Comma 2 2 7 2 6 9" xfId="23966" xr:uid="{00000000-0005-0000-0000-0000CF400000}"/>
    <cellStyle name="Comma 2 2 7 2 7" xfId="1299" xr:uid="{00000000-0005-0000-0000-0000D0400000}"/>
    <cellStyle name="Comma 2 2 7 2 7 10" xfId="22130" xr:uid="{00000000-0005-0000-0000-0000D1400000}"/>
    <cellStyle name="Comma 2 2 7 2 7 2" xfId="3747" xr:uid="{00000000-0005-0000-0000-0000D2400000}"/>
    <cellStyle name="Comma 2 2 7 2 7 2 2" xfId="19682" xr:uid="{00000000-0005-0000-0000-0000D3400000}"/>
    <cellStyle name="Comma 2 2 7 2 7 2 2 2" xfId="42960" xr:uid="{00000000-0005-0000-0000-0000D4400000}"/>
    <cellStyle name="Comma 2 2 7 2 7 2 3" xfId="47856" xr:uid="{00000000-0005-0000-0000-0000D5400000}"/>
    <cellStyle name="Comma 2 2 7 2 7 2 4" xfId="27026" xr:uid="{00000000-0005-0000-0000-0000D6400000}"/>
    <cellStyle name="Comma 2 2 7 2 7 3" xfId="6195" xr:uid="{00000000-0005-0000-0000-0000D7400000}"/>
    <cellStyle name="Comma 2 2 7 2 7 3 2" xfId="29474" xr:uid="{00000000-0005-0000-0000-0000D8400000}"/>
    <cellStyle name="Comma 2 2 7 2 7 4" xfId="8643" xr:uid="{00000000-0005-0000-0000-0000D9400000}"/>
    <cellStyle name="Comma 2 2 7 2 7 4 2" xfId="31922" xr:uid="{00000000-0005-0000-0000-0000DA400000}"/>
    <cellStyle name="Comma 2 2 7 2 7 5" xfId="11091" xr:uid="{00000000-0005-0000-0000-0000DB400000}"/>
    <cellStyle name="Comma 2 2 7 2 7 5 2" xfId="34370" xr:uid="{00000000-0005-0000-0000-0000DC400000}"/>
    <cellStyle name="Comma 2 2 7 2 7 6" xfId="13539" xr:uid="{00000000-0005-0000-0000-0000DD400000}"/>
    <cellStyle name="Comma 2 2 7 2 7 6 2" xfId="36818" xr:uid="{00000000-0005-0000-0000-0000DE400000}"/>
    <cellStyle name="Comma 2 2 7 2 7 7" xfId="17234" xr:uid="{00000000-0005-0000-0000-0000DF400000}"/>
    <cellStyle name="Comma 2 2 7 2 7 7 2" xfId="40512" xr:uid="{00000000-0005-0000-0000-0000E0400000}"/>
    <cellStyle name="Comma 2 2 7 2 7 8" xfId="24578" xr:uid="{00000000-0005-0000-0000-0000E1400000}"/>
    <cellStyle name="Comma 2 2 7 2 7 9" xfId="45408" xr:uid="{00000000-0005-0000-0000-0000E2400000}"/>
    <cellStyle name="Comma 2 2 7 2 8" xfId="2523" xr:uid="{00000000-0005-0000-0000-0000E3400000}"/>
    <cellStyle name="Comma 2 2 7 2 8 2" xfId="16010" xr:uid="{00000000-0005-0000-0000-0000E4400000}"/>
    <cellStyle name="Comma 2 2 7 2 8 2 2" xfId="39288" xr:uid="{00000000-0005-0000-0000-0000E5400000}"/>
    <cellStyle name="Comma 2 2 7 2 8 3" xfId="46632" xr:uid="{00000000-0005-0000-0000-0000E6400000}"/>
    <cellStyle name="Comma 2 2 7 2 8 4" xfId="25802" xr:uid="{00000000-0005-0000-0000-0000E7400000}"/>
    <cellStyle name="Comma 2 2 7 2 9" xfId="4971" xr:uid="{00000000-0005-0000-0000-0000E8400000}"/>
    <cellStyle name="Comma 2 2 7 2 9 2" xfId="18458" xr:uid="{00000000-0005-0000-0000-0000E9400000}"/>
    <cellStyle name="Comma 2 2 7 2 9 2 2" xfId="41736" xr:uid="{00000000-0005-0000-0000-0000EA400000}"/>
    <cellStyle name="Comma 2 2 7 2 9 3" xfId="28250" xr:uid="{00000000-0005-0000-0000-0000EB400000}"/>
    <cellStyle name="Comma 2 2 7 3" xfId="92" xr:uid="{00000000-0005-0000-0000-0000EC400000}"/>
    <cellStyle name="Comma 2 2 7 3 10" xfId="7436" xr:uid="{00000000-0005-0000-0000-0000ED400000}"/>
    <cellStyle name="Comma 2 2 7 3 10 2" xfId="30715" xr:uid="{00000000-0005-0000-0000-0000EE400000}"/>
    <cellStyle name="Comma 2 2 7 3 11" xfId="9884" xr:uid="{00000000-0005-0000-0000-0000EF400000}"/>
    <cellStyle name="Comma 2 2 7 3 11 2" xfId="33163" xr:uid="{00000000-0005-0000-0000-0000F0400000}"/>
    <cellStyle name="Comma 2 2 7 3 12" xfId="12332" xr:uid="{00000000-0005-0000-0000-0000F1400000}"/>
    <cellStyle name="Comma 2 2 7 3 12 2" xfId="35611" xr:uid="{00000000-0005-0000-0000-0000F2400000}"/>
    <cellStyle name="Comma 2 2 7 3 13" xfId="14803" xr:uid="{00000000-0005-0000-0000-0000F3400000}"/>
    <cellStyle name="Comma 2 2 7 3 13 2" xfId="38081" xr:uid="{00000000-0005-0000-0000-0000F4400000}"/>
    <cellStyle name="Comma 2 2 7 3 14" xfId="23371" xr:uid="{00000000-0005-0000-0000-0000F5400000}"/>
    <cellStyle name="Comma 2 2 7 3 15" xfId="44201" xr:uid="{00000000-0005-0000-0000-0000F6400000}"/>
    <cellStyle name="Comma 2 2 7 3 16" xfId="20923" xr:uid="{00000000-0005-0000-0000-0000F7400000}"/>
    <cellStyle name="Comma 2 2 7 3 2" xfId="160" xr:uid="{00000000-0005-0000-0000-0000F8400000}"/>
    <cellStyle name="Comma 2 2 7 3 2 10" xfId="12400" xr:uid="{00000000-0005-0000-0000-0000F9400000}"/>
    <cellStyle name="Comma 2 2 7 3 2 10 2" xfId="35679" xr:uid="{00000000-0005-0000-0000-0000FA400000}"/>
    <cellStyle name="Comma 2 2 7 3 2 11" xfId="14871" xr:uid="{00000000-0005-0000-0000-0000FB400000}"/>
    <cellStyle name="Comma 2 2 7 3 2 11 2" xfId="38149" xr:uid="{00000000-0005-0000-0000-0000FC400000}"/>
    <cellStyle name="Comma 2 2 7 3 2 12" xfId="23439" xr:uid="{00000000-0005-0000-0000-0000FD400000}"/>
    <cellStyle name="Comma 2 2 7 3 2 13" xfId="44269" xr:uid="{00000000-0005-0000-0000-0000FE400000}"/>
    <cellStyle name="Comma 2 2 7 3 2 14" xfId="20991" xr:uid="{00000000-0005-0000-0000-0000FF400000}"/>
    <cellStyle name="Comma 2 2 7 3 2 2" xfId="364" xr:uid="{00000000-0005-0000-0000-000000410000}"/>
    <cellStyle name="Comma 2 2 7 3 2 2 10" xfId="23643" xr:uid="{00000000-0005-0000-0000-000001410000}"/>
    <cellStyle name="Comma 2 2 7 3 2 2 11" xfId="44473" xr:uid="{00000000-0005-0000-0000-000002410000}"/>
    <cellStyle name="Comma 2 2 7 3 2 2 12" xfId="21195" xr:uid="{00000000-0005-0000-0000-000003410000}"/>
    <cellStyle name="Comma 2 2 7 3 2 2 2" xfId="976" xr:uid="{00000000-0005-0000-0000-000004410000}"/>
    <cellStyle name="Comma 2 2 7 3 2 2 2 10" xfId="45085" xr:uid="{00000000-0005-0000-0000-000005410000}"/>
    <cellStyle name="Comma 2 2 7 3 2 2 2 11" xfId="21807" xr:uid="{00000000-0005-0000-0000-000006410000}"/>
    <cellStyle name="Comma 2 2 7 3 2 2 2 2" xfId="2200" xr:uid="{00000000-0005-0000-0000-000007410000}"/>
    <cellStyle name="Comma 2 2 7 3 2 2 2 2 10" xfId="23031" xr:uid="{00000000-0005-0000-0000-000008410000}"/>
    <cellStyle name="Comma 2 2 7 3 2 2 2 2 2" xfId="4648" xr:uid="{00000000-0005-0000-0000-000009410000}"/>
    <cellStyle name="Comma 2 2 7 3 2 2 2 2 2 2" xfId="20583" xr:uid="{00000000-0005-0000-0000-00000A410000}"/>
    <cellStyle name="Comma 2 2 7 3 2 2 2 2 2 2 2" xfId="43861" xr:uid="{00000000-0005-0000-0000-00000B410000}"/>
    <cellStyle name="Comma 2 2 7 3 2 2 2 2 2 3" xfId="48757" xr:uid="{00000000-0005-0000-0000-00000C410000}"/>
    <cellStyle name="Comma 2 2 7 3 2 2 2 2 2 4" xfId="27927" xr:uid="{00000000-0005-0000-0000-00000D410000}"/>
    <cellStyle name="Comma 2 2 7 3 2 2 2 2 3" xfId="7096" xr:uid="{00000000-0005-0000-0000-00000E410000}"/>
    <cellStyle name="Comma 2 2 7 3 2 2 2 2 3 2" xfId="30375" xr:uid="{00000000-0005-0000-0000-00000F410000}"/>
    <cellStyle name="Comma 2 2 7 3 2 2 2 2 4" xfId="9544" xr:uid="{00000000-0005-0000-0000-000010410000}"/>
    <cellStyle name="Comma 2 2 7 3 2 2 2 2 4 2" xfId="32823" xr:uid="{00000000-0005-0000-0000-000011410000}"/>
    <cellStyle name="Comma 2 2 7 3 2 2 2 2 5" xfId="11992" xr:uid="{00000000-0005-0000-0000-000012410000}"/>
    <cellStyle name="Comma 2 2 7 3 2 2 2 2 5 2" xfId="35271" xr:uid="{00000000-0005-0000-0000-000013410000}"/>
    <cellStyle name="Comma 2 2 7 3 2 2 2 2 6" xfId="14440" xr:uid="{00000000-0005-0000-0000-000014410000}"/>
    <cellStyle name="Comma 2 2 7 3 2 2 2 2 6 2" xfId="37719" xr:uid="{00000000-0005-0000-0000-000015410000}"/>
    <cellStyle name="Comma 2 2 7 3 2 2 2 2 7" xfId="18135" xr:uid="{00000000-0005-0000-0000-000016410000}"/>
    <cellStyle name="Comma 2 2 7 3 2 2 2 2 7 2" xfId="41413" xr:uid="{00000000-0005-0000-0000-000017410000}"/>
    <cellStyle name="Comma 2 2 7 3 2 2 2 2 8" xfId="25479" xr:uid="{00000000-0005-0000-0000-000018410000}"/>
    <cellStyle name="Comma 2 2 7 3 2 2 2 2 9" xfId="46309" xr:uid="{00000000-0005-0000-0000-000019410000}"/>
    <cellStyle name="Comma 2 2 7 3 2 2 2 3" xfId="3424" xr:uid="{00000000-0005-0000-0000-00001A410000}"/>
    <cellStyle name="Comma 2 2 7 3 2 2 2 3 2" xfId="16911" xr:uid="{00000000-0005-0000-0000-00001B410000}"/>
    <cellStyle name="Comma 2 2 7 3 2 2 2 3 2 2" xfId="40189" xr:uid="{00000000-0005-0000-0000-00001C410000}"/>
    <cellStyle name="Comma 2 2 7 3 2 2 2 3 3" xfId="47533" xr:uid="{00000000-0005-0000-0000-00001D410000}"/>
    <cellStyle name="Comma 2 2 7 3 2 2 2 3 4" xfId="26703" xr:uid="{00000000-0005-0000-0000-00001E410000}"/>
    <cellStyle name="Comma 2 2 7 3 2 2 2 4" xfId="5872" xr:uid="{00000000-0005-0000-0000-00001F410000}"/>
    <cellStyle name="Comma 2 2 7 3 2 2 2 4 2" xfId="19359" xr:uid="{00000000-0005-0000-0000-000020410000}"/>
    <cellStyle name="Comma 2 2 7 3 2 2 2 4 2 2" xfId="42637" xr:uid="{00000000-0005-0000-0000-000021410000}"/>
    <cellStyle name="Comma 2 2 7 3 2 2 2 4 3" xfId="29151" xr:uid="{00000000-0005-0000-0000-000022410000}"/>
    <cellStyle name="Comma 2 2 7 3 2 2 2 5" xfId="8320" xr:uid="{00000000-0005-0000-0000-000023410000}"/>
    <cellStyle name="Comma 2 2 7 3 2 2 2 5 2" xfId="31599" xr:uid="{00000000-0005-0000-0000-000024410000}"/>
    <cellStyle name="Comma 2 2 7 3 2 2 2 6" xfId="10768" xr:uid="{00000000-0005-0000-0000-000025410000}"/>
    <cellStyle name="Comma 2 2 7 3 2 2 2 6 2" xfId="34047" xr:uid="{00000000-0005-0000-0000-000026410000}"/>
    <cellStyle name="Comma 2 2 7 3 2 2 2 7" xfId="13216" xr:uid="{00000000-0005-0000-0000-000027410000}"/>
    <cellStyle name="Comma 2 2 7 3 2 2 2 7 2" xfId="36495" xr:uid="{00000000-0005-0000-0000-000028410000}"/>
    <cellStyle name="Comma 2 2 7 3 2 2 2 8" xfId="15687" xr:uid="{00000000-0005-0000-0000-000029410000}"/>
    <cellStyle name="Comma 2 2 7 3 2 2 2 8 2" xfId="38965" xr:uid="{00000000-0005-0000-0000-00002A410000}"/>
    <cellStyle name="Comma 2 2 7 3 2 2 2 9" xfId="24255" xr:uid="{00000000-0005-0000-0000-00002B410000}"/>
    <cellStyle name="Comma 2 2 7 3 2 2 3" xfId="1588" xr:uid="{00000000-0005-0000-0000-00002C410000}"/>
    <cellStyle name="Comma 2 2 7 3 2 2 3 10" xfId="22419" xr:uid="{00000000-0005-0000-0000-00002D410000}"/>
    <cellStyle name="Comma 2 2 7 3 2 2 3 2" xfId="4036" xr:uid="{00000000-0005-0000-0000-00002E410000}"/>
    <cellStyle name="Comma 2 2 7 3 2 2 3 2 2" xfId="19971" xr:uid="{00000000-0005-0000-0000-00002F410000}"/>
    <cellStyle name="Comma 2 2 7 3 2 2 3 2 2 2" xfId="43249" xr:uid="{00000000-0005-0000-0000-000030410000}"/>
    <cellStyle name="Comma 2 2 7 3 2 2 3 2 3" xfId="48145" xr:uid="{00000000-0005-0000-0000-000031410000}"/>
    <cellStyle name="Comma 2 2 7 3 2 2 3 2 4" xfId="27315" xr:uid="{00000000-0005-0000-0000-000032410000}"/>
    <cellStyle name="Comma 2 2 7 3 2 2 3 3" xfId="6484" xr:uid="{00000000-0005-0000-0000-000033410000}"/>
    <cellStyle name="Comma 2 2 7 3 2 2 3 3 2" xfId="29763" xr:uid="{00000000-0005-0000-0000-000034410000}"/>
    <cellStyle name="Comma 2 2 7 3 2 2 3 4" xfId="8932" xr:uid="{00000000-0005-0000-0000-000035410000}"/>
    <cellStyle name="Comma 2 2 7 3 2 2 3 4 2" xfId="32211" xr:uid="{00000000-0005-0000-0000-000036410000}"/>
    <cellStyle name="Comma 2 2 7 3 2 2 3 5" xfId="11380" xr:uid="{00000000-0005-0000-0000-000037410000}"/>
    <cellStyle name="Comma 2 2 7 3 2 2 3 5 2" xfId="34659" xr:uid="{00000000-0005-0000-0000-000038410000}"/>
    <cellStyle name="Comma 2 2 7 3 2 2 3 6" xfId="13828" xr:uid="{00000000-0005-0000-0000-000039410000}"/>
    <cellStyle name="Comma 2 2 7 3 2 2 3 6 2" xfId="37107" xr:uid="{00000000-0005-0000-0000-00003A410000}"/>
    <cellStyle name="Comma 2 2 7 3 2 2 3 7" xfId="17523" xr:uid="{00000000-0005-0000-0000-00003B410000}"/>
    <cellStyle name="Comma 2 2 7 3 2 2 3 7 2" xfId="40801" xr:uid="{00000000-0005-0000-0000-00003C410000}"/>
    <cellStyle name="Comma 2 2 7 3 2 2 3 8" xfId="24867" xr:uid="{00000000-0005-0000-0000-00003D410000}"/>
    <cellStyle name="Comma 2 2 7 3 2 2 3 9" xfId="45697" xr:uid="{00000000-0005-0000-0000-00003E410000}"/>
    <cellStyle name="Comma 2 2 7 3 2 2 4" xfId="2812" xr:uid="{00000000-0005-0000-0000-00003F410000}"/>
    <cellStyle name="Comma 2 2 7 3 2 2 4 2" xfId="16299" xr:uid="{00000000-0005-0000-0000-000040410000}"/>
    <cellStyle name="Comma 2 2 7 3 2 2 4 2 2" xfId="39577" xr:uid="{00000000-0005-0000-0000-000041410000}"/>
    <cellStyle name="Comma 2 2 7 3 2 2 4 3" xfId="46921" xr:uid="{00000000-0005-0000-0000-000042410000}"/>
    <cellStyle name="Comma 2 2 7 3 2 2 4 4" xfId="26091" xr:uid="{00000000-0005-0000-0000-000043410000}"/>
    <cellStyle name="Comma 2 2 7 3 2 2 5" xfId="5260" xr:uid="{00000000-0005-0000-0000-000044410000}"/>
    <cellStyle name="Comma 2 2 7 3 2 2 5 2" xfId="18747" xr:uid="{00000000-0005-0000-0000-000045410000}"/>
    <cellStyle name="Comma 2 2 7 3 2 2 5 2 2" xfId="42025" xr:uid="{00000000-0005-0000-0000-000046410000}"/>
    <cellStyle name="Comma 2 2 7 3 2 2 5 3" xfId="28539" xr:uid="{00000000-0005-0000-0000-000047410000}"/>
    <cellStyle name="Comma 2 2 7 3 2 2 6" xfId="7708" xr:uid="{00000000-0005-0000-0000-000048410000}"/>
    <cellStyle name="Comma 2 2 7 3 2 2 6 2" xfId="30987" xr:uid="{00000000-0005-0000-0000-000049410000}"/>
    <cellStyle name="Comma 2 2 7 3 2 2 7" xfId="10156" xr:uid="{00000000-0005-0000-0000-00004A410000}"/>
    <cellStyle name="Comma 2 2 7 3 2 2 7 2" xfId="33435" xr:uid="{00000000-0005-0000-0000-00004B410000}"/>
    <cellStyle name="Comma 2 2 7 3 2 2 8" xfId="12604" xr:uid="{00000000-0005-0000-0000-00004C410000}"/>
    <cellStyle name="Comma 2 2 7 3 2 2 8 2" xfId="35883" xr:uid="{00000000-0005-0000-0000-00004D410000}"/>
    <cellStyle name="Comma 2 2 7 3 2 2 9" xfId="15075" xr:uid="{00000000-0005-0000-0000-00004E410000}"/>
    <cellStyle name="Comma 2 2 7 3 2 2 9 2" xfId="38353" xr:uid="{00000000-0005-0000-0000-00004F410000}"/>
    <cellStyle name="Comma 2 2 7 3 2 3" xfId="568" xr:uid="{00000000-0005-0000-0000-000050410000}"/>
    <cellStyle name="Comma 2 2 7 3 2 3 10" xfId="23847" xr:uid="{00000000-0005-0000-0000-000051410000}"/>
    <cellStyle name="Comma 2 2 7 3 2 3 11" xfId="44677" xr:uid="{00000000-0005-0000-0000-000052410000}"/>
    <cellStyle name="Comma 2 2 7 3 2 3 12" xfId="21399" xr:uid="{00000000-0005-0000-0000-000053410000}"/>
    <cellStyle name="Comma 2 2 7 3 2 3 2" xfId="1180" xr:uid="{00000000-0005-0000-0000-000054410000}"/>
    <cellStyle name="Comma 2 2 7 3 2 3 2 10" xfId="45289" xr:uid="{00000000-0005-0000-0000-000055410000}"/>
    <cellStyle name="Comma 2 2 7 3 2 3 2 11" xfId="22011" xr:uid="{00000000-0005-0000-0000-000056410000}"/>
    <cellStyle name="Comma 2 2 7 3 2 3 2 2" xfId="2404" xr:uid="{00000000-0005-0000-0000-000057410000}"/>
    <cellStyle name="Comma 2 2 7 3 2 3 2 2 10" xfId="23235" xr:uid="{00000000-0005-0000-0000-000058410000}"/>
    <cellStyle name="Comma 2 2 7 3 2 3 2 2 2" xfId="4852" xr:uid="{00000000-0005-0000-0000-000059410000}"/>
    <cellStyle name="Comma 2 2 7 3 2 3 2 2 2 2" xfId="20787" xr:uid="{00000000-0005-0000-0000-00005A410000}"/>
    <cellStyle name="Comma 2 2 7 3 2 3 2 2 2 2 2" xfId="44065" xr:uid="{00000000-0005-0000-0000-00005B410000}"/>
    <cellStyle name="Comma 2 2 7 3 2 3 2 2 2 3" xfId="48961" xr:uid="{00000000-0005-0000-0000-00005C410000}"/>
    <cellStyle name="Comma 2 2 7 3 2 3 2 2 2 4" xfId="28131" xr:uid="{00000000-0005-0000-0000-00005D410000}"/>
    <cellStyle name="Comma 2 2 7 3 2 3 2 2 3" xfId="7300" xr:uid="{00000000-0005-0000-0000-00005E410000}"/>
    <cellStyle name="Comma 2 2 7 3 2 3 2 2 3 2" xfId="30579" xr:uid="{00000000-0005-0000-0000-00005F410000}"/>
    <cellStyle name="Comma 2 2 7 3 2 3 2 2 4" xfId="9748" xr:uid="{00000000-0005-0000-0000-000060410000}"/>
    <cellStyle name="Comma 2 2 7 3 2 3 2 2 4 2" xfId="33027" xr:uid="{00000000-0005-0000-0000-000061410000}"/>
    <cellStyle name="Comma 2 2 7 3 2 3 2 2 5" xfId="12196" xr:uid="{00000000-0005-0000-0000-000062410000}"/>
    <cellStyle name="Comma 2 2 7 3 2 3 2 2 5 2" xfId="35475" xr:uid="{00000000-0005-0000-0000-000063410000}"/>
    <cellStyle name="Comma 2 2 7 3 2 3 2 2 6" xfId="14644" xr:uid="{00000000-0005-0000-0000-000064410000}"/>
    <cellStyle name="Comma 2 2 7 3 2 3 2 2 6 2" xfId="37923" xr:uid="{00000000-0005-0000-0000-000065410000}"/>
    <cellStyle name="Comma 2 2 7 3 2 3 2 2 7" xfId="18339" xr:uid="{00000000-0005-0000-0000-000066410000}"/>
    <cellStyle name="Comma 2 2 7 3 2 3 2 2 7 2" xfId="41617" xr:uid="{00000000-0005-0000-0000-000067410000}"/>
    <cellStyle name="Comma 2 2 7 3 2 3 2 2 8" xfId="25683" xr:uid="{00000000-0005-0000-0000-000068410000}"/>
    <cellStyle name="Comma 2 2 7 3 2 3 2 2 9" xfId="46513" xr:uid="{00000000-0005-0000-0000-000069410000}"/>
    <cellStyle name="Comma 2 2 7 3 2 3 2 3" xfId="3628" xr:uid="{00000000-0005-0000-0000-00006A410000}"/>
    <cellStyle name="Comma 2 2 7 3 2 3 2 3 2" xfId="17115" xr:uid="{00000000-0005-0000-0000-00006B410000}"/>
    <cellStyle name="Comma 2 2 7 3 2 3 2 3 2 2" xfId="40393" xr:uid="{00000000-0005-0000-0000-00006C410000}"/>
    <cellStyle name="Comma 2 2 7 3 2 3 2 3 3" xfId="47737" xr:uid="{00000000-0005-0000-0000-00006D410000}"/>
    <cellStyle name="Comma 2 2 7 3 2 3 2 3 4" xfId="26907" xr:uid="{00000000-0005-0000-0000-00006E410000}"/>
    <cellStyle name="Comma 2 2 7 3 2 3 2 4" xfId="6076" xr:uid="{00000000-0005-0000-0000-00006F410000}"/>
    <cellStyle name="Comma 2 2 7 3 2 3 2 4 2" xfId="19563" xr:uid="{00000000-0005-0000-0000-000070410000}"/>
    <cellStyle name="Comma 2 2 7 3 2 3 2 4 2 2" xfId="42841" xr:uid="{00000000-0005-0000-0000-000071410000}"/>
    <cellStyle name="Comma 2 2 7 3 2 3 2 4 3" xfId="29355" xr:uid="{00000000-0005-0000-0000-000072410000}"/>
    <cellStyle name="Comma 2 2 7 3 2 3 2 5" xfId="8524" xr:uid="{00000000-0005-0000-0000-000073410000}"/>
    <cellStyle name="Comma 2 2 7 3 2 3 2 5 2" xfId="31803" xr:uid="{00000000-0005-0000-0000-000074410000}"/>
    <cellStyle name="Comma 2 2 7 3 2 3 2 6" xfId="10972" xr:uid="{00000000-0005-0000-0000-000075410000}"/>
    <cellStyle name="Comma 2 2 7 3 2 3 2 6 2" xfId="34251" xr:uid="{00000000-0005-0000-0000-000076410000}"/>
    <cellStyle name="Comma 2 2 7 3 2 3 2 7" xfId="13420" xr:uid="{00000000-0005-0000-0000-000077410000}"/>
    <cellStyle name="Comma 2 2 7 3 2 3 2 7 2" xfId="36699" xr:uid="{00000000-0005-0000-0000-000078410000}"/>
    <cellStyle name="Comma 2 2 7 3 2 3 2 8" xfId="15891" xr:uid="{00000000-0005-0000-0000-000079410000}"/>
    <cellStyle name="Comma 2 2 7 3 2 3 2 8 2" xfId="39169" xr:uid="{00000000-0005-0000-0000-00007A410000}"/>
    <cellStyle name="Comma 2 2 7 3 2 3 2 9" xfId="24459" xr:uid="{00000000-0005-0000-0000-00007B410000}"/>
    <cellStyle name="Comma 2 2 7 3 2 3 3" xfId="1792" xr:uid="{00000000-0005-0000-0000-00007C410000}"/>
    <cellStyle name="Comma 2 2 7 3 2 3 3 10" xfId="22623" xr:uid="{00000000-0005-0000-0000-00007D410000}"/>
    <cellStyle name="Comma 2 2 7 3 2 3 3 2" xfId="4240" xr:uid="{00000000-0005-0000-0000-00007E410000}"/>
    <cellStyle name="Comma 2 2 7 3 2 3 3 2 2" xfId="20175" xr:uid="{00000000-0005-0000-0000-00007F410000}"/>
    <cellStyle name="Comma 2 2 7 3 2 3 3 2 2 2" xfId="43453" xr:uid="{00000000-0005-0000-0000-000080410000}"/>
    <cellStyle name="Comma 2 2 7 3 2 3 3 2 3" xfId="48349" xr:uid="{00000000-0005-0000-0000-000081410000}"/>
    <cellStyle name="Comma 2 2 7 3 2 3 3 2 4" xfId="27519" xr:uid="{00000000-0005-0000-0000-000082410000}"/>
    <cellStyle name="Comma 2 2 7 3 2 3 3 3" xfId="6688" xr:uid="{00000000-0005-0000-0000-000083410000}"/>
    <cellStyle name="Comma 2 2 7 3 2 3 3 3 2" xfId="29967" xr:uid="{00000000-0005-0000-0000-000084410000}"/>
    <cellStyle name="Comma 2 2 7 3 2 3 3 4" xfId="9136" xr:uid="{00000000-0005-0000-0000-000085410000}"/>
    <cellStyle name="Comma 2 2 7 3 2 3 3 4 2" xfId="32415" xr:uid="{00000000-0005-0000-0000-000086410000}"/>
    <cellStyle name="Comma 2 2 7 3 2 3 3 5" xfId="11584" xr:uid="{00000000-0005-0000-0000-000087410000}"/>
    <cellStyle name="Comma 2 2 7 3 2 3 3 5 2" xfId="34863" xr:uid="{00000000-0005-0000-0000-000088410000}"/>
    <cellStyle name="Comma 2 2 7 3 2 3 3 6" xfId="14032" xr:uid="{00000000-0005-0000-0000-000089410000}"/>
    <cellStyle name="Comma 2 2 7 3 2 3 3 6 2" xfId="37311" xr:uid="{00000000-0005-0000-0000-00008A410000}"/>
    <cellStyle name="Comma 2 2 7 3 2 3 3 7" xfId="17727" xr:uid="{00000000-0005-0000-0000-00008B410000}"/>
    <cellStyle name="Comma 2 2 7 3 2 3 3 7 2" xfId="41005" xr:uid="{00000000-0005-0000-0000-00008C410000}"/>
    <cellStyle name="Comma 2 2 7 3 2 3 3 8" xfId="25071" xr:uid="{00000000-0005-0000-0000-00008D410000}"/>
    <cellStyle name="Comma 2 2 7 3 2 3 3 9" xfId="45901" xr:uid="{00000000-0005-0000-0000-00008E410000}"/>
    <cellStyle name="Comma 2 2 7 3 2 3 4" xfId="3016" xr:uid="{00000000-0005-0000-0000-00008F410000}"/>
    <cellStyle name="Comma 2 2 7 3 2 3 4 2" xfId="16503" xr:uid="{00000000-0005-0000-0000-000090410000}"/>
    <cellStyle name="Comma 2 2 7 3 2 3 4 2 2" xfId="39781" xr:uid="{00000000-0005-0000-0000-000091410000}"/>
    <cellStyle name="Comma 2 2 7 3 2 3 4 3" xfId="47125" xr:uid="{00000000-0005-0000-0000-000092410000}"/>
    <cellStyle name="Comma 2 2 7 3 2 3 4 4" xfId="26295" xr:uid="{00000000-0005-0000-0000-000093410000}"/>
    <cellStyle name="Comma 2 2 7 3 2 3 5" xfId="5464" xr:uid="{00000000-0005-0000-0000-000094410000}"/>
    <cellStyle name="Comma 2 2 7 3 2 3 5 2" xfId="18951" xr:uid="{00000000-0005-0000-0000-000095410000}"/>
    <cellStyle name="Comma 2 2 7 3 2 3 5 2 2" xfId="42229" xr:uid="{00000000-0005-0000-0000-000096410000}"/>
    <cellStyle name="Comma 2 2 7 3 2 3 5 3" xfId="28743" xr:uid="{00000000-0005-0000-0000-000097410000}"/>
    <cellStyle name="Comma 2 2 7 3 2 3 6" xfId="7912" xr:uid="{00000000-0005-0000-0000-000098410000}"/>
    <cellStyle name="Comma 2 2 7 3 2 3 6 2" xfId="31191" xr:uid="{00000000-0005-0000-0000-000099410000}"/>
    <cellStyle name="Comma 2 2 7 3 2 3 7" xfId="10360" xr:uid="{00000000-0005-0000-0000-00009A410000}"/>
    <cellStyle name="Comma 2 2 7 3 2 3 7 2" xfId="33639" xr:uid="{00000000-0005-0000-0000-00009B410000}"/>
    <cellStyle name="Comma 2 2 7 3 2 3 8" xfId="12808" xr:uid="{00000000-0005-0000-0000-00009C410000}"/>
    <cellStyle name="Comma 2 2 7 3 2 3 8 2" xfId="36087" xr:uid="{00000000-0005-0000-0000-00009D410000}"/>
    <cellStyle name="Comma 2 2 7 3 2 3 9" xfId="15279" xr:uid="{00000000-0005-0000-0000-00009E410000}"/>
    <cellStyle name="Comma 2 2 7 3 2 3 9 2" xfId="38557" xr:uid="{00000000-0005-0000-0000-00009F410000}"/>
    <cellStyle name="Comma 2 2 7 3 2 4" xfId="772" xr:uid="{00000000-0005-0000-0000-0000A0410000}"/>
    <cellStyle name="Comma 2 2 7 3 2 4 10" xfId="44881" xr:uid="{00000000-0005-0000-0000-0000A1410000}"/>
    <cellStyle name="Comma 2 2 7 3 2 4 11" xfId="21603" xr:uid="{00000000-0005-0000-0000-0000A2410000}"/>
    <cellStyle name="Comma 2 2 7 3 2 4 2" xfId="1996" xr:uid="{00000000-0005-0000-0000-0000A3410000}"/>
    <cellStyle name="Comma 2 2 7 3 2 4 2 10" xfId="22827" xr:uid="{00000000-0005-0000-0000-0000A4410000}"/>
    <cellStyle name="Comma 2 2 7 3 2 4 2 2" xfId="4444" xr:uid="{00000000-0005-0000-0000-0000A5410000}"/>
    <cellStyle name="Comma 2 2 7 3 2 4 2 2 2" xfId="20379" xr:uid="{00000000-0005-0000-0000-0000A6410000}"/>
    <cellStyle name="Comma 2 2 7 3 2 4 2 2 2 2" xfId="43657" xr:uid="{00000000-0005-0000-0000-0000A7410000}"/>
    <cellStyle name="Comma 2 2 7 3 2 4 2 2 3" xfId="48553" xr:uid="{00000000-0005-0000-0000-0000A8410000}"/>
    <cellStyle name="Comma 2 2 7 3 2 4 2 2 4" xfId="27723" xr:uid="{00000000-0005-0000-0000-0000A9410000}"/>
    <cellStyle name="Comma 2 2 7 3 2 4 2 3" xfId="6892" xr:uid="{00000000-0005-0000-0000-0000AA410000}"/>
    <cellStyle name="Comma 2 2 7 3 2 4 2 3 2" xfId="30171" xr:uid="{00000000-0005-0000-0000-0000AB410000}"/>
    <cellStyle name="Comma 2 2 7 3 2 4 2 4" xfId="9340" xr:uid="{00000000-0005-0000-0000-0000AC410000}"/>
    <cellStyle name="Comma 2 2 7 3 2 4 2 4 2" xfId="32619" xr:uid="{00000000-0005-0000-0000-0000AD410000}"/>
    <cellStyle name="Comma 2 2 7 3 2 4 2 5" xfId="11788" xr:uid="{00000000-0005-0000-0000-0000AE410000}"/>
    <cellStyle name="Comma 2 2 7 3 2 4 2 5 2" xfId="35067" xr:uid="{00000000-0005-0000-0000-0000AF410000}"/>
    <cellStyle name="Comma 2 2 7 3 2 4 2 6" xfId="14236" xr:uid="{00000000-0005-0000-0000-0000B0410000}"/>
    <cellStyle name="Comma 2 2 7 3 2 4 2 6 2" xfId="37515" xr:uid="{00000000-0005-0000-0000-0000B1410000}"/>
    <cellStyle name="Comma 2 2 7 3 2 4 2 7" xfId="17931" xr:uid="{00000000-0005-0000-0000-0000B2410000}"/>
    <cellStyle name="Comma 2 2 7 3 2 4 2 7 2" xfId="41209" xr:uid="{00000000-0005-0000-0000-0000B3410000}"/>
    <cellStyle name="Comma 2 2 7 3 2 4 2 8" xfId="25275" xr:uid="{00000000-0005-0000-0000-0000B4410000}"/>
    <cellStyle name="Comma 2 2 7 3 2 4 2 9" xfId="46105" xr:uid="{00000000-0005-0000-0000-0000B5410000}"/>
    <cellStyle name="Comma 2 2 7 3 2 4 3" xfId="3220" xr:uid="{00000000-0005-0000-0000-0000B6410000}"/>
    <cellStyle name="Comma 2 2 7 3 2 4 3 2" xfId="16707" xr:uid="{00000000-0005-0000-0000-0000B7410000}"/>
    <cellStyle name="Comma 2 2 7 3 2 4 3 2 2" xfId="39985" xr:uid="{00000000-0005-0000-0000-0000B8410000}"/>
    <cellStyle name="Comma 2 2 7 3 2 4 3 3" xfId="47329" xr:uid="{00000000-0005-0000-0000-0000B9410000}"/>
    <cellStyle name="Comma 2 2 7 3 2 4 3 4" xfId="26499" xr:uid="{00000000-0005-0000-0000-0000BA410000}"/>
    <cellStyle name="Comma 2 2 7 3 2 4 4" xfId="5668" xr:uid="{00000000-0005-0000-0000-0000BB410000}"/>
    <cellStyle name="Comma 2 2 7 3 2 4 4 2" xfId="19155" xr:uid="{00000000-0005-0000-0000-0000BC410000}"/>
    <cellStyle name="Comma 2 2 7 3 2 4 4 2 2" xfId="42433" xr:uid="{00000000-0005-0000-0000-0000BD410000}"/>
    <cellStyle name="Comma 2 2 7 3 2 4 4 3" xfId="28947" xr:uid="{00000000-0005-0000-0000-0000BE410000}"/>
    <cellStyle name="Comma 2 2 7 3 2 4 5" xfId="8116" xr:uid="{00000000-0005-0000-0000-0000BF410000}"/>
    <cellStyle name="Comma 2 2 7 3 2 4 5 2" xfId="31395" xr:uid="{00000000-0005-0000-0000-0000C0410000}"/>
    <cellStyle name="Comma 2 2 7 3 2 4 6" xfId="10564" xr:uid="{00000000-0005-0000-0000-0000C1410000}"/>
    <cellStyle name="Comma 2 2 7 3 2 4 6 2" xfId="33843" xr:uid="{00000000-0005-0000-0000-0000C2410000}"/>
    <cellStyle name="Comma 2 2 7 3 2 4 7" xfId="13012" xr:uid="{00000000-0005-0000-0000-0000C3410000}"/>
    <cellStyle name="Comma 2 2 7 3 2 4 7 2" xfId="36291" xr:uid="{00000000-0005-0000-0000-0000C4410000}"/>
    <cellStyle name="Comma 2 2 7 3 2 4 8" xfId="15483" xr:uid="{00000000-0005-0000-0000-0000C5410000}"/>
    <cellStyle name="Comma 2 2 7 3 2 4 8 2" xfId="38761" xr:uid="{00000000-0005-0000-0000-0000C6410000}"/>
    <cellStyle name="Comma 2 2 7 3 2 4 9" xfId="24051" xr:uid="{00000000-0005-0000-0000-0000C7410000}"/>
    <cellStyle name="Comma 2 2 7 3 2 5" xfId="1384" xr:uid="{00000000-0005-0000-0000-0000C8410000}"/>
    <cellStyle name="Comma 2 2 7 3 2 5 10" xfId="22215" xr:uid="{00000000-0005-0000-0000-0000C9410000}"/>
    <cellStyle name="Comma 2 2 7 3 2 5 2" xfId="3832" xr:uid="{00000000-0005-0000-0000-0000CA410000}"/>
    <cellStyle name="Comma 2 2 7 3 2 5 2 2" xfId="19767" xr:uid="{00000000-0005-0000-0000-0000CB410000}"/>
    <cellStyle name="Comma 2 2 7 3 2 5 2 2 2" xfId="43045" xr:uid="{00000000-0005-0000-0000-0000CC410000}"/>
    <cellStyle name="Comma 2 2 7 3 2 5 2 3" xfId="47941" xr:uid="{00000000-0005-0000-0000-0000CD410000}"/>
    <cellStyle name="Comma 2 2 7 3 2 5 2 4" xfId="27111" xr:uid="{00000000-0005-0000-0000-0000CE410000}"/>
    <cellStyle name="Comma 2 2 7 3 2 5 3" xfId="6280" xr:uid="{00000000-0005-0000-0000-0000CF410000}"/>
    <cellStyle name="Comma 2 2 7 3 2 5 3 2" xfId="29559" xr:uid="{00000000-0005-0000-0000-0000D0410000}"/>
    <cellStyle name="Comma 2 2 7 3 2 5 4" xfId="8728" xr:uid="{00000000-0005-0000-0000-0000D1410000}"/>
    <cellStyle name="Comma 2 2 7 3 2 5 4 2" xfId="32007" xr:uid="{00000000-0005-0000-0000-0000D2410000}"/>
    <cellStyle name="Comma 2 2 7 3 2 5 5" xfId="11176" xr:uid="{00000000-0005-0000-0000-0000D3410000}"/>
    <cellStyle name="Comma 2 2 7 3 2 5 5 2" xfId="34455" xr:uid="{00000000-0005-0000-0000-0000D4410000}"/>
    <cellStyle name="Comma 2 2 7 3 2 5 6" xfId="13624" xr:uid="{00000000-0005-0000-0000-0000D5410000}"/>
    <cellStyle name="Comma 2 2 7 3 2 5 6 2" xfId="36903" xr:uid="{00000000-0005-0000-0000-0000D6410000}"/>
    <cellStyle name="Comma 2 2 7 3 2 5 7" xfId="17319" xr:uid="{00000000-0005-0000-0000-0000D7410000}"/>
    <cellStyle name="Comma 2 2 7 3 2 5 7 2" xfId="40597" xr:uid="{00000000-0005-0000-0000-0000D8410000}"/>
    <cellStyle name="Comma 2 2 7 3 2 5 8" xfId="24663" xr:uid="{00000000-0005-0000-0000-0000D9410000}"/>
    <cellStyle name="Comma 2 2 7 3 2 5 9" xfId="45493" xr:uid="{00000000-0005-0000-0000-0000DA410000}"/>
    <cellStyle name="Comma 2 2 7 3 2 6" xfId="2608" xr:uid="{00000000-0005-0000-0000-0000DB410000}"/>
    <cellStyle name="Comma 2 2 7 3 2 6 2" xfId="16095" xr:uid="{00000000-0005-0000-0000-0000DC410000}"/>
    <cellStyle name="Comma 2 2 7 3 2 6 2 2" xfId="39373" xr:uid="{00000000-0005-0000-0000-0000DD410000}"/>
    <cellStyle name="Comma 2 2 7 3 2 6 3" xfId="46717" xr:uid="{00000000-0005-0000-0000-0000DE410000}"/>
    <cellStyle name="Comma 2 2 7 3 2 6 4" xfId="25887" xr:uid="{00000000-0005-0000-0000-0000DF410000}"/>
    <cellStyle name="Comma 2 2 7 3 2 7" xfId="5056" xr:uid="{00000000-0005-0000-0000-0000E0410000}"/>
    <cellStyle name="Comma 2 2 7 3 2 7 2" xfId="18543" xr:uid="{00000000-0005-0000-0000-0000E1410000}"/>
    <cellStyle name="Comma 2 2 7 3 2 7 2 2" xfId="41821" xr:uid="{00000000-0005-0000-0000-0000E2410000}"/>
    <cellStyle name="Comma 2 2 7 3 2 7 3" xfId="28335" xr:uid="{00000000-0005-0000-0000-0000E3410000}"/>
    <cellStyle name="Comma 2 2 7 3 2 8" xfId="7504" xr:uid="{00000000-0005-0000-0000-0000E4410000}"/>
    <cellStyle name="Comma 2 2 7 3 2 8 2" xfId="30783" xr:uid="{00000000-0005-0000-0000-0000E5410000}"/>
    <cellStyle name="Comma 2 2 7 3 2 9" xfId="9952" xr:uid="{00000000-0005-0000-0000-0000E6410000}"/>
    <cellStyle name="Comma 2 2 7 3 2 9 2" xfId="33231" xr:uid="{00000000-0005-0000-0000-0000E7410000}"/>
    <cellStyle name="Comma 2 2 7 3 3" xfId="228" xr:uid="{00000000-0005-0000-0000-0000E8410000}"/>
    <cellStyle name="Comma 2 2 7 3 3 10" xfId="12468" xr:uid="{00000000-0005-0000-0000-0000E9410000}"/>
    <cellStyle name="Comma 2 2 7 3 3 10 2" xfId="35747" xr:uid="{00000000-0005-0000-0000-0000EA410000}"/>
    <cellStyle name="Comma 2 2 7 3 3 11" xfId="14939" xr:uid="{00000000-0005-0000-0000-0000EB410000}"/>
    <cellStyle name="Comma 2 2 7 3 3 11 2" xfId="38217" xr:uid="{00000000-0005-0000-0000-0000EC410000}"/>
    <cellStyle name="Comma 2 2 7 3 3 12" xfId="23507" xr:uid="{00000000-0005-0000-0000-0000ED410000}"/>
    <cellStyle name="Comma 2 2 7 3 3 13" xfId="44337" xr:uid="{00000000-0005-0000-0000-0000EE410000}"/>
    <cellStyle name="Comma 2 2 7 3 3 14" xfId="21059" xr:uid="{00000000-0005-0000-0000-0000EF410000}"/>
    <cellStyle name="Comma 2 2 7 3 3 2" xfId="432" xr:uid="{00000000-0005-0000-0000-0000F0410000}"/>
    <cellStyle name="Comma 2 2 7 3 3 2 10" xfId="23711" xr:uid="{00000000-0005-0000-0000-0000F1410000}"/>
    <cellStyle name="Comma 2 2 7 3 3 2 11" xfId="44541" xr:uid="{00000000-0005-0000-0000-0000F2410000}"/>
    <cellStyle name="Comma 2 2 7 3 3 2 12" xfId="21263" xr:uid="{00000000-0005-0000-0000-0000F3410000}"/>
    <cellStyle name="Comma 2 2 7 3 3 2 2" xfId="1044" xr:uid="{00000000-0005-0000-0000-0000F4410000}"/>
    <cellStyle name="Comma 2 2 7 3 3 2 2 10" xfId="45153" xr:uid="{00000000-0005-0000-0000-0000F5410000}"/>
    <cellStyle name="Comma 2 2 7 3 3 2 2 11" xfId="21875" xr:uid="{00000000-0005-0000-0000-0000F6410000}"/>
    <cellStyle name="Comma 2 2 7 3 3 2 2 2" xfId="2268" xr:uid="{00000000-0005-0000-0000-0000F7410000}"/>
    <cellStyle name="Comma 2 2 7 3 3 2 2 2 10" xfId="23099" xr:uid="{00000000-0005-0000-0000-0000F8410000}"/>
    <cellStyle name="Comma 2 2 7 3 3 2 2 2 2" xfId="4716" xr:uid="{00000000-0005-0000-0000-0000F9410000}"/>
    <cellStyle name="Comma 2 2 7 3 3 2 2 2 2 2" xfId="20651" xr:uid="{00000000-0005-0000-0000-0000FA410000}"/>
    <cellStyle name="Comma 2 2 7 3 3 2 2 2 2 2 2" xfId="43929" xr:uid="{00000000-0005-0000-0000-0000FB410000}"/>
    <cellStyle name="Comma 2 2 7 3 3 2 2 2 2 3" xfId="48825" xr:uid="{00000000-0005-0000-0000-0000FC410000}"/>
    <cellStyle name="Comma 2 2 7 3 3 2 2 2 2 4" xfId="27995" xr:uid="{00000000-0005-0000-0000-0000FD410000}"/>
    <cellStyle name="Comma 2 2 7 3 3 2 2 2 3" xfId="7164" xr:uid="{00000000-0005-0000-0000-0000FE410000}"/>
    <cellStyle name="Comma 2 2 7 3 3 2 2 2 3 2" xfId="30443" xr:uid="{00000000-0005-0000-0000-0000FF410000}"/>
    <cellStyle name="Comma 2 2 7 3 3 2 2 2 4" xfId="9612" xr:uid="{00000000-0005-0000-0000-000000420000}"/>
    <cellStyle name="Comma 2 2 7 3 3 2 2 2 4 2" xfId="32891" xr:uid="{00000000-0005-0000-0000-000001420000}"/>
    <cellStyle name="Comma 2 2 7 3 3 2 2 2 5" xfId="12060" xr:uid="{00000000-0005-0000-0000-000002420000}"/>
    <cellStyle name="Comma 2 2 7 3 3 2 2 2 5 2" xfId="35339" xr:uid="{00000000-0005-0000-0000-000003420000}"/>
    <cellStyle name="Comma 2 2 7 3 3 2 2 2 6" xfId="14508" xr:uid="{00000000-0005-0000-0000-000004420000}"/>
    <cellStyle name="Comma 2 2 7 3 3 2 2 2 6 2" xfId="37787" xr:uid="{00000000-0005-0000-0000-000005420000}"/>
    <cellStyle name="Comma 2 2 7 3 3 2 2 2 7" xfId="18203" xr:uid="{00000000-0005-0000-0000-000006420000}"/>
    <cellStyle name="Comma 2 2 7 3 3 2 2 2 7 2" xfId="41481" xr:uid="{00000000-0005-0000-0000-000007420000}"/>
    <cellStyle name="Comma 2 2 7 3 3 2 2 2 8" xfId="25547" xr:uid="{00000000-0005-0000-0000-000008420000}"/>
    <cellStyle name="Comma 2 2 7 3 3 2 2 2 9" xfId="46377" xr:uid="{00000000-0005-0000-0000-000009420000}"/>
    <cellStyle name="Comma 2 2 7 3 3 2 2 3" xfId="3492" xr:uid="{00000000-0005-0000-0000-00000A420000}"/>
    <cellStyle name="Comma 2 2 7 3 3 2 2 3 2" xfId="16979" xr:uid="{00000000-0005-0000-0000-00000B420000}"/>
    <cellStyle name="Comma 2 2 7 3 3 2 2 3 2 2" xfId="40257" xr:uid="{00000000-0005-0000-0000-00000C420000}"/>
    <cellStyle name="Comma 2 2 7 3 3 2 2 3 3" xfId="47601" xr:uid="{00000000-0005-0000-0000-00000D420000}"/>
    <cellStyle name="Comma 2 2 7 3 3 2 2 3 4" xfId="26771" xr:uid="{00000000-0005-0000-0000-00000E420000}"/>
    <cellStyle name="Comma 2 2 7 3 3 2 2 4" xfId="5940" xr:uid="{00000000-0005-0000-0000-00000F420000}"/>
    <cellStyle name="Comma 2 2 7 3 3 2 2 4 2" xfId="19427" xr:uid="{00000000-0005-0000-0000-000010420000}"/>
    <cellStyle name="Comma 2 2 7 3 3 2 2 4 2 2" xfId="42705" xr:uid="{00000000-0005-0000-0000-000011420000}"/>
    <cellStyle name="Comma 2 2 7 3 3 2 2 4 3" xfId="29219" xr:uid="{00000000-0005-0000-0000-000012420000}"/>
    <cellStyle name="Comma 2 2 7 3 3 2 2 5" xfId="8388" xr:uid="{00000000-0005-0000-0000-000013420000}"/>
    <cellStyle name="Comma 2 2 7 3 3 2 2 5 2" xfId="31667" xr:uid="{00000000-0005-0000-0000-000014420000}"/>
    <cellStyle name="Comma 2 2 7 3 3 2 2 6" xfId="10836" xr:uid="{00000000-0005-0000-0000-000015420000}"/>
    <cellStyle name="Comma 2 2 7 3 3 2 2 6 2" xfId="34115" xr:uid="{00000000-0005-0000-0000-000016420000}"/>
    <cellStyle name="Comma 2 2 7 3 3 2 2 7" xfId="13284" xr:uid="{00000000-0005-0000-0000-000017420000}"/>
    <cellStyle name="Comma 2 2 7 3 3 2 2 7 2" xfId="36563" xr:uid="{00000000-0005-0000-0000-000018420000}"/>
    <cellStyle name="Comma 2 2 7 3 3 2 2 8" xfId="15755" xr:uid="{00000000-0005-0000-0000-000019420000}"/>
    <cellStyle name="Comma 2 2 7 3 3 2 2 8 2" xfId="39033" xr:uid="{00000000-0005-0000-0000-00001A420000}"/>
    <cellStyle name="Comma 2 2 7 3 3 2 2 9" xfId="24323" xr:uid="{00000000-0005-0000-0000-00001B420000}"/>
    <cellStyle name="Comma 2 2 7 3 3 2 3" xfId="1656" xr:uid="{00000000-0005-0000-0000-00001C420000}"/>
    <cellStyle name="Comma 2 2 7 3 3 2 3 10" xfId="22487" xr:uid="{00000000-0005-0000-0000-00001D420000}"/>
    <cellStyle name="Comma 2 2 7 3 3 2 3 2" xfId="4104" xr:uid="{00000000-0005-0000-0000-00001E420000}"/>
    <cellStyle name="Comma 2 2 7 3 3 2 3 2 2" xfId="20039" xr:uid="{00000000-0005-0000-0000-00001F420000}"/>
    <cellStyle name="Comma 2 2 7 3 3 2 3 2 2 2" xfId="43317" xr:uid="{00000000-0005-0000-0000-000020420000}"/>
    <cellStyle name="Comma 2 2 7 3 3 2 3 2 3" xfId="48213" xr:uid="{00000000-0005-0000-0000-000021420000}"/>
    <cellStyle name="Comma 2 2 7 3 3 2 3 2 4" xfId="27383" xr:uid="{00000000-0005-0000-0000-000022420000}"/>
    <cellStyle name="Comma 2 2 7 3 3 2 3 3" xfId="6552" xr:uid="{00000000-0005-0000-0000-000023420000}"/>
    <cellStyle name="Comma 2 2 7 3 3 2 3 3 2" xfId="29831" xr:uid="{00000000-0005-0000-0000-000024420000}"/>
    <cellStyle name="Comma 2 2 7 3 3 2 3 4" xfId="9000" xr:uid="{00000000-0005-0000-0000-000025420000}"/>
    <cellStyle name="Comma 2 2 7 3 3 2 3 4 2" xfId="32279" xr:uid="{00000000-0005-0000-0000-000026420000}"/>
    <cellStyle name="Comma 2 2 7 3 3 2 3 5" xfId="11448" xr:uid="{00000000-0005-0000-0000-000027420000}"/>
    <cellStyle name="Comma 2 2 7 3 3 2 3 5 2" xfId="34727" xr:uid="{00000000-0005-0000-0000-000028420000}"/>
    <cellStyle name="Comma 2 2 7 3 3 2 3 6" xfId="13896" xr:uid="{00000000-0005-0000-0000-000029420000}"/>
    <cellStyle name="Comma 2 2 7 3 3 2 3 6 2" xfId="37175" xr:uid="{00000000-0005-0000-0000-00002A420000}"/>
    <cellStyle name="Comma 2 2 7 3 3 2 3 7" xfId="17591" xr:uid="{00000000-0005-0000-0000-00002B420000}"/>
    <cellStyle name="Comma 2 2 7 3 3 2 3 7 2" xfId="40869" xr:uid="{00000000-0005-0000-0000-00002C420000}"/>
    <cellStyle name="Comma 2 2 7 3 3 2 3 8" xfId="24935" xr:uid="{00000000-0005-0000-0000-00002D420000}"/>
    <cellStyle name="Comma 2 2 7 3 3 2 3 9" xfId="45765" xr:uid="{00000000-0005-0000-0000-00002E420000}"/>
    <cellStyle name="Comma 2 2 7 3 3 2 4" xfId="2880" xr:uid="{00000000-0005-0000-0000-00002F420000}"/>
    <cellStyle name="Comma 2 2 7 3 3 2 4 2" xfId="16367" xr:uid="{00000000-0005-0000-0000-000030420000}"/>
    <cellStyle name="Comma 2 2 7 3 3 2 4 2 2" xfId="39645" xr:uid="{00000000-0005-0000-0000-000031420000}"/>
    <cellStyle name="Comma 2 2 7 3 3 2 4 3" xfId="46989" xr:uid="{00000000-0005-0000-0000-000032420000}"/>
    <cellStyle name="Comma 2 2 7 3 3 2 4 4" xfId="26159" xr:uid="{00000000-0005-0000-0000-000033420000}"/>
    <cellStyle name="Comma 2 2 7 3 3 2 5" xfId="5328" xr:uid="{00000000-0005-0000-0000-000034420000}"/>
    <cellStyle name="Comma 2 2 7 3 3 2 5 2" xfId="18815" xr:uid="{00000000-0005-0000-0000-000035420000}"/>
    <cellStyle name="Comma 2 2 7 3 3 2 5 2 2" xfId="42093" xr:uid="{00000000-0005-0000-0000-000036420000}"/>
    <cellStyle name="Comma 2 2 7 3 3 2 5 3" xfId="28607" xr:uid="{00000000-0005-0000-0000-000037420000}"/>
    <cellStyle name="Comma 2 2 7 3 3 2 6" xfId="7776" xr:uid="{00000000-0005-0000-0000-000038420000}"/>
    <cellStyle name="Comma 2 2 7 3 3 2 6 2" xfId="31055" xr:uid="{00000000-0005-0000-0000-000039420000}"/>
    <cellStyle name="Comma 2 2 7 3 3 2 7" xfId="10224" xr:uid="{00000000-0005-0000-0000-00003A420000}"/>
    <cellStyle name="Comma 2 2 7 3 3 2 7 2" xfId="33503" xr:uid="{00000000-0005-0000-0000-00003B420000}"/>
    <cellStyle name="Comma 2 2 7 3 3 2 8" xfId="12672" xr:uid="{00000000-0005-0000-0000-00003C420000}"/>
    <cellStyle name="Comma 2 2 7 3 3 2 8 2" xfId="35951" xr:uid="{00000000-0005-0000-0000-00003D420000}"/>
    <cellStyle name="Comma 2 2 7 3 3 2 9" xfId="15143" xr:uid="{00000000-0005-0000-0000-00003E420000}"/>
    <cellStyle name="Comma 2 2 7 3 3 2 9 2" xfId="38421" xr:uid="{00000000-0005-0000-0000-00003F420000}"/>
    <cellStyle name="Comma 2 2 7 3 3 3" xfId="636" xr:uid="{00000000-0005-0000-0000-000040420000}"/>
    <cellStyle name="Comma 2 2 7 3 3 3 10" xfId="23915" xr:uid="{00000000-0005-0000-0000-000041420000}"/>
    <cellStyle name="Comma 2 2 7 3 3 3 11" xfId="44745" xr:uid="{00000000-0005-0000-0000-000042420000}"/>
    <cellStyle name="Comma 2 2 7 3 3 3 12" xfId="21467" xr:uid="{00000000-0005-0000-0000-000043420000}"/>
    <cellStyle name="Comma 2 2 7 3 3 3 2" xfId="1248" xr:uid="{00000000-0005-0000-0000-000044420000}"/>
    <cellStyle name="Comma 2 2 7 3 3 3 2 10" xfId="45357" xr:uid="{00000000-0005-0000-0000-000045420000}"/>
    <cellStyle name="Comma 2 2 7 3 3 3 2 11" xfId="22079" xr:uid="{00000000-0005-0000-0000-000046420000}"/>
    <cellStyle name="Comma 2 2 7 3 3 3 2 2" xfId="2472" xr:uid="{00000000-0005-0000-0000-000047420000}"/>
    <cellStyle name="Comma 2 2 7 3 3 3 2 2 10" xfId="23303" xr:uid="{00000000-0005-0000-0000-000048420000}"/>
    <cellStyle name="Comma 2 2 7 3 3 3 2 2 2" xfId="4920" xr:uid="{00000000-0005-0000-0000-000049420000}"/>
    <cellStyle name="Comma 2 2 7 3 3 3 2 2 2 2" xfId="20855" xr:uid="{00000000-0005-0000-0000-00004A420000}"/>
    <cellStyle name="Comma 2 2 7 3 3 3 2 2 2 2 2" xfId="44133" xr:uid="{00000000-0005-0000-0000-00004B420000}"/>
    <cellStyle name="Comma 2 2 7 3 3 3 2 2 2 3" xfId="49029" xr:uid="{00000000-0005-0000-0000-00004C420000}"/>
    <cellStyle name="Comma 2 2 7 3 3 3 2 2 2 4" xfId="28199" xr:uid="{00000000-0005-0000-0000-00004D420000}"/>
    <cellStyle name="Comma 2 2 7 3 3 3 2 2 3" xfId="7368" xr:uid="{00000000-0005-0000-0000-00004E420000}"/>
    <cellStyle name="Comma 2 2 7 3 3 3 2 2 3 2" xfId="30647" xr:uid="{00000000-0005-0000-0000-00004F420000}"/>
    <cellStyle name="Comma 2 2 7 3 3 3 2 2 4" xfId="9816" xr:uid="{00000000-0005-0000-0000-000050420000}"/>
    <cellStyle name="Comma 2 2 7 3 3 3 2 2 4 2" xfId="33095" xr:uid="{00000000-0005-0000-0000-000051420000}"/>
    <cellStyle name="Comma 2 2 7 3 3 3 2 2 5" xfId="12264" xr:uid="{00000000-0005-0000-0000-000052420000}"/>
    <cellStyle name="Comma 2 2 7 3 3 3 2 2 5 2" xfId="35543" xr:uid="{00000000-0005-0000-0000-000053420000}"/>
    <cellStyle name="Comma 2 2 7 3 3 3 2 2 6" xfId="14712" xr:uid="{00000000-0005-0000-0000-000054420000}"/>
    <cellStyle name="Comma 2 2 7 3 3 3 2 2 6 2" xfId="37991" xr:uid="{00000000-0005-0000-0000-000055420000}"/>
    <cellStyle name="Comma 2 2 7 3 3 3 2 2 7" xfId="18407" xr:uid="{00000000-0005-0000-0000-000056420000}"/>
    <cellStyle name="Comma 2 2 7 3 3 3 2 2 7 2" xfId="41685" xr:uid="{00000000-0005-0000-0000-000057420000}"/>
    <cellStyle name="Comma 2 2 7 3 3 3 2 2 8" xfId="25751" xr:uid="{00000000-0005-0000-0000-000058420000}"/>
    <cellStyle name="Comma 2 2 7 3 3 3 2 2 9" xfId="46581" xr:uid="{00000000-0005-0000-0000-000059420000}"/>
    <cellStyle name="Comma 2 2 7 3 3 3 2 3" xfId="3696" xr:uid="{00000000-0005-0000-0000-00005A420000}"/>
    <cellStyle name="Comma 2 2 7 3 3 3 2 3 2" xfId="17183" xr:uid="{00000000-0005-0000-0000-00005B420000}"/>
    <cellStyle name="Comma 2 2 7 3 3 3 2 3 2 2" xfId="40461" xr:uid="{00000000-0005-0000-0000-00005C420000}"/>
    <cellStyle name="Comma 2 2 7 3 3 3 2 3 3" xfId="47805" xr:uid="{00000000-0005-0000-0000-00005D420000}"/>
    <cellStyle name="Comma 2 2 7 3 3 3 2 3 4" xfId="26975" xr:uid="{00000000-0005-0000-0000-00005E420000}"/>
    <cellStyle name="Comma 2 2 7 3 3 3 2 4" xfId="6144" xr:uid="{00000000-0005-0000-0000-00005F420000}"/>
    <cellStyle name="Comma 2 2 7 3 3 3 2 4 2" xfId="19631" xr:uid="{00000000-0005-0000-0000-000060420000}"/>
    <cellStyle name="Comma 2 2 7 3 3 3 2 4 2 2" xfId="42909" xr:uid="{00000000-0005-0000-0000-000061420000}"/>
    <cellStyle name="Comma 2 2 7 3 3 3 2 4 3" xfId="29423" xr:uid="{00000000-0005-0000-0000-000062420000}"/>
    <cellStyle name="Comma 2 2 7 3 3 3 2 5" xfId="8592" xr:uid="{00000000-0005-0000-0000-000063420000}"/>
    <cellStyle name="Comma 2 2 7 3 3 3 2 5 2" xfId="31871" xr:uid="{00000000-0005-0000-0000-000064420000}"/>
    <cellStyle name="Comma 2 2 7 3 3 3 2 6" xfId="11040" xr:uid="{00000000-0005-0000-0000-000065420000}"/>
    <cellStyle name="Comma 2 2 7 3 3 3 2 6 2" xfId="34319" xr:uid="{00000000-0005-0000-0000-000066420000}"/>
    <cellStyle name="Comma 2 2 7 3 3 3 2 7" xfId="13488" xr:uid="{00000000-0005-0000-0000-000067420000}"/>
    <cellStyle name="Comma 2 2 7 3 3 3 2 7 2" xfId="36767" xr:uid="{00000000-0005-0000-0000-000068420000}"/>
    <cellStyle name="Comma 2 2 7 3 3 3 2 8" xfId="15959" xr:uid="{00000000-0005-0000-0000-000069420000}"/>
    <cellStyle name="Comma 2 2 7 3 3 3 2 8 2" xfId="39237" xr:uid="{00000000-0005-0000-0000-00006A420000}"/>
    <cellStyle name="Comma 2 2 7 3 3 3 2 9" xfId="24527" xr:uid="{00000000-0005-0000-0000-00006B420000}"/>
    <cellStyle name="Comma 2 2 7 3 3 3 3" xfId="1860" xr:uid="{00000000-0005-0000-0000-00006C420000}"/>
    <cellStyle name="Comma 2 2 7 3 3 3 3 10" xfId="22691" xr:uid="{00000000-0005-0000-0000-00006D420000}"/>
    <cellStyle name="Comma 2 2 7 3 3 3 3 2" xfId="4308" xr:uid="{00000000-0005-0000-0000-00006E420000}"/>
    <cellStyle name="Comma 2 2 7 3 3 3 3 2 2" xfId="20243" xr:uid="{00000000-0005-0000-0000-00006F420000}"/>
    <cellStyle name="Comma 2 2 7 3 3 3 3 2 2 2" xfId="43521" xr:uid="{00000000-0005-0000-0000-000070420000}"/>
    <cellStyle name="Comma 2 2 7 3 3 3 3 2 3" xfId="48417" xr:uid="{00000000-0005-0000-0000-000071420000}"/>
    <cellStyle name="Comma 2 2 7 3 3 3 3 2 4" xfId="27587" xr:uid="{00000000-0005-0000-0000-000072420000}"/>
    <cellStyle name="Comma 2 2 7 3 3 3 3 3" xfId="6756" xr:uid="{00000000-0005-0000-0000-000073420000}"/>
    <cellStyle name="Comma 2 2 7 3 3 3 3 3 2" xfId="30035" xr:uid="{00000000-0005-0000-0000-000074420000}"/>
    <cellStyle name="Comma 2 2 7 3 3 3 3 4" xfId="9204" xr:uid="{00000000-0005-0000-0000-000075420000}"/>
    <cellStyle name="Comma 2 2 7 3 3 3 3 4 2" xfId="32483" xr:uid="{00000000-0005-0000-0000-000076420000}"/>
    <cellStyle name="Comma 2 2 7 3 3 3 3 5" xfId="11652" xr:uid="{00000000-0005-0000-0000-000077420000}"/>
    <cellStyle name="Comma 2 2 7 3 3 3 3 5 2" xfId="34931" xr:uid="{00000000-0005-0000-0000-000078420000}"/>
    <cellStyle name="Comma 2 2 7 3 3 3 3 6" xfId="14100" xr:uid="{00000000-0005-0000-0000-000079420000}"/>
    <cellStyle name="Comma 2 2 7 3 3 3 3 6 2" xfId="37379" xr:uid="{00000000-0005-0000-0000-00007A420000}"/>
    <cellStyle name="Comma 2 2 7 3 3 3 3 7" xfId="17795" xr:uid="{00000000-0005-0000-0000-00007B420000}"/>
    <cellStyle name="Comma 2 2 7 3 3 3 3 7 2" xfId="41073" xr:uid="{00000000-0005-0000-0000-00007C420000}"/>
    <cellStyle name="Comma 2 2 7 3 3 3 3 8" xfId="25139" xr:uid="{00000000-0005-0000-0000-00007D420000}"/>
    <cellStyle name="Comma 2 2 7 3 3 3 3 9" xfId="45969" xr:uid="{00000000-0005-0000-0000-00007E420000}"/>
    <cellStyle name="Comma 2 2 7 3 3 3 4" xfId="3084" xr:uid="{00000000-0005-0000-0000-00007F420000}"/>
    <cellStyle name="Comma 2 2 7 3 3 3 4 2" xfId="16571" xr:uid="{00000000-0005-0000-0000-000080420000}"/>
    <cellStyle name="Comma 2 2 7 3 3 3 4 2 2" xfId="39849" xr:uid="{00000000-0005-0000-0000-000081420000}"/>
    <cellStyle name="Comma 2 2 7 3 3 3 4 3" xfId="47193" xr:uid="{00000000-0005-0000-0000-000082420000}"/>
    <cellStyle name="Comma 2 2 7 3 3 3 4 4" xfId="26363" xr:uid="{00000000-0005-0000-0000-000083420000}"/>
    <cellStyle name="Comma 2 2 7 3 3 3 5" xfId="5532" xr:uid="{00000000-0005-0000-0000-000084420000}"/>
    <cellStyle name="Comma 2 2 7 3 3 3 5 2" xfId="19019" xr:uid="{00000000-0005-0000-0000-000085420000}"/>
    <cellStyle name="Comma 2 2 7 3 3 3 5 2 2" xfId="42297" xr:uid="{00000000-0005-0000-0000-000086420000}"/>
    <cellStyle name="Comma 2 2 7 3 3 3 5 3" xfId="28811" xr:uid="{00000000-0005-0000-0000-000087420000}"/>
    <cellStyle name="Comma 2 2 7 3 3 3 6" xfId="7980" xr:uid="{00000000-0005-0000-0000-000088420000}"/>
    <cellStyle name="Comma 2 2 7 3 3 3 6 2" xfId="31259" xr:uid="{00000000-0005-0000-0000-000089420000}"/>
    <cellStyle name="Comma 2 2 7 3 3 3 7" xfId="10428" xr:uid="{00000000-0005-0000-0000-00008A420000}"/>
    <cellStyle name="Comma 2 2 7 3 3 3 7 2" xfId="33707" xr:uid="{00000000-0005-0000-0000-00008B420000}"/>
    <cellStyle name="Comma 2 2 7 3 3 3 8" xfId="12876" xr:uid="{00000000-0005-0000-0000-00008C420000}"/>
    <cellStyle name="Comma 2 2 7 3 3 3 8 2" xfId="36155" xr:uid="{00000000-0005-0000-0000-00008D420000}"/>
    <cellStyle name="Comma 2 2 7 3 3 3 9" xfId="15347" xr:uid="{00000000-0005-0000-0000-00008E420000}"/>
    <cellStyle name="Comma 2 2 7 3 3 3 9 2" xfId="38625" xr:uid="{00000000-0005-0000-0000-00008F420000}"/>
    <cellStyle name="Comma 2 2 7 3 3 4" xfId="840" xr:uid="{00000000-0005-0000-0000-000090420000}"/>
    <cellStyle name="Comma 2 2 7 3 3 4 10" xfId="44949" xr:uid="{00000000-0005-0000-0000-000091420000}"/>
    <cellStyle name="Comma 2 2 7 3 3 4 11" xfId="21671" xr:uid="{00000000-0005-0000-0000-000092420000}"/>
    <cellStyle name="Comma 2 2 7 3 3 4 2" xfId="2064" xr:uid="{00000000-0005-0000-0000-000093420000}"/>
    <cellStyle name="Comma 2 2 7 3 3 4 2 10" xfId="22895" xr:uid="{00000000-0005-0000-0000-000094420000}"/>
    <cellStyle name="Comma 2 2 7 3 3 4 2 2" xfId="4512" xr:uid="{00000000-0005-0000-0000-000095420000}"/>
    <cellStyle name="Comma 2 2 7 3 3 4 2 2 2" xfId="20447" xr:uid="{00000000-0005-0000-0000-000096420000}"/>
    <cellStyle name="Comma 2 2 7 3 3 4 2 2 2 2" xfId="43725" xr:uid="{00000000-0005-0000-0000-000097420000}"/>
    <cellStyle name="Comma 2 2 7 3 3 4 2 2 3" xfId="48621" xr:uid="{00000000-0005-0000-0000-000098420000}"/>
    <cellStyle name="Comma 2 2 7 3 3 4 2 2 4" xfId="27791" xr:uid="{00000000-0005-0000-0000-000099420000}"/>
    <cellStyle name="Comma 2 2 7 3 3 4 2 3" xfId="6960" xr:uid="{00000000-0005-0000-0000-00009A420000}"/>
    <cellStyle name="Comma 2 2 7 3 3 4 2 3 2" xfId="30239" xr:uid="{00000000-0005-0000-0000-00009B420000}"/>
    <cellStyle name="Comma 2 2 7 3 3 4 2 4" xfId="9408" xr:uid="{00000000-0005-0000-0000-00009C420000}"/>
    <cellStyle name="Comma 2 2 7 3 3 4 2 4 2" xfId="32687" xr:uid="{00000000-0005-0000-0000-00009D420000}"/>
    <cellStyle name="Comma 2 2 7 3 3 4 2 5" xfId="11856" xr:uid="{00000000-0005-0000-0000-00009E420000}"/>
    <cellStyle name="Comma 2 2 7 3 3 4 2 5 2" xfId="35135" xr:uid="{00000000-0005-0000-0000-00009F420000}"/>
    <cellStyle name="Comma 2 2 7 3 3 4 2 6" xfId="14304" xr:uid="{00000000-0005-0000-0000-0000A0420000}"/>
    <cellStyle name="Comma 2 2 7 3 3 4 2 6 2" xfId="37583" xr:uid="{00000000-0005-0000-0000-0000A1420000}"/>
    <cellStyle name="Comma 2 2 7 3 3 4 2 7" xfId="17999" xr:uid="{00000000-0005-0000-0000-0000A2420000}"/>
    <cellStyle name="Comma 2 2 7 3 3 4 2 7 2" xfId="41277" xr:uid="{00000000-0005-0000-0000-0000A3420000}"/>
    <cellStyle name="Comma 2 2 7 3 3 4 2 8" xfId="25343" xr:uid="{00000000-0005-0000-0000-0000A4420000}"/>
    <cellStyle name="Comma 2 2 7 3 3 4 2 9" xfId="46173" xr:uid="{00000000-0005-0000-0000-0000A5420000}"/>
    <cellStyle name="Comma 2 2 7 3 3 4 3" xfId="3288" xr:uid="{00000000-0005-0000-0000-0000A6420000}"/>
    <cellStyle name="Comma 2 2 7 3 3 4 3 2" xfId="16775" xr:uid="{00000000-0005-0000-0000-0000A7420000}"/>
    <cellStyle name="Comma 2 2 7 3 3 4 3 2 2" xfId="40053" xr:uid="{00000000-0005-0000-0000-0000A8420000}"/>
    <cellStyle name="Comma 2 2 7 3 3 4 3 3" xfId="47397" xr:uid="{00000000-0005-0000-0000-0000A9420000}"/>
    <cellStyle name="Comma 2 2 7 3 3 4 3 4" xfId="26567" xr:uid="{00000000-0005-0000-0000-0000AA420000}"/>
    <cellStyle name="Comma 2 2 7 3 3 4 4" xfId="5736" xr:uid="{00000000-0005-0000-0000-0000AB420000}"/>
    <cellStyle name="Comma 2 2 7 3 3 4 4 2" xfId="19223" xr:uid="{00000000-0005-0000-0000-0000AC420000}"/>
    <cellStyle name="Comma 2 2 7 3 3 4 4 2 2" xfId="42501" xr:uid="{00000000-0005-0000-0000-0000AD420000}"/>
    <cellStyle name="Comma 2 2 7 3 3 4 4 3" xfId="29015" xr:uid="{00000000-0005-0000-0000-0000AE420000}"/>
    <cellStyle name="Comma 2 2 7 3 3 4 5" xfId="8184" xr:uid="{00000000-0005-0000-0000-0000AF420000}"/>
    <cellStyle name="Comma 2 2 7 3 3 4 5 2" xfId="31463" xr:uid="{00000000-0005-0000-0000-0000B0420000}"/>
    <cellStyle name="Comma 2 2 7 3 3 4 6" xfId="10632" xr:uid="{00000000-0005-0000-0000-0000B1420000}"/>
    <cellStyle name="Comma 2 2 7 3 3 4 6 2" xfId="33911" xr:uid="{00000000-0005-0000-0000-0000B2420000}"/>
    <cellStyle name="Comma 2 2 7 3 3 4 7" xfId="13080" xr:uid="{00000000-0005-0000-0000-0000B3420000}"/>
    <cellStyle name="Comma 2 2 7 3 3 4 7 2" xfId="36359" xr:uid="{00000000-0005-0000-0000-0000B4420000}"/>
    <cellStyle name="Comma 2 2 7 3 3 4 8" xfId="15551" xr:uid="{00000000-0005-0000-0000-0000B5420000}"/>
    <cellStyle name="Comma 2 2 7 3 3 4 8 2" xfId="38829" xr:uid="{00000000-0005-0000-0000-0000B6420000}"/>
    <cellStyle name="Comma 2 2 7 3 3 4 9" xfId="24119" xr:uid="{00000000-0005-0000-0000-0000B7420000}"/>
    <cellStyle name="Comma 2 2 7 3 3 5" xfId="1452" xr:uid="{00000000-0005-0000-0000-0000B8420000}"/>
    <cellStyle name="Comma 2 2 7 3 3 5 10" xfId="22283" xr:uid="{00000000-0005-0000-0000-0000B9420000}"/>
    <cellStyle name="Comma 2 2 7 3 3 5 2" xfId="3900" xr:uid="{00000000-0005-0000-0000-0000BA420000}"/>
    <cellStyle name="Comma 2 2 7 3 3 5 2 2" xfId="19835" xr:uid="{00000000-0005-0000-0000-0000BB420000}"/>
    <cellStyle name="Comma 2 2 7 3 3 5 2 2 2" xfId="43113" xr:uid="{00000000-0005-0000-0000-0000BC420000}"/>
    <cellStyle name="Comma 2 2 7 3 3 5 2 3" xfId="48009" xr:uid="{00000000-0005-0000-0000-0000BD420000}"/>
    <cellStyle name="Comma 2 2 7 3 3 5 2 4" xfId="27179" xr:uid="{00000000-0005-0000-0000-0000BE420000}"/>
    <cellStyle name="Comma 2 2 7 3 3 5 3" xfId="6348" xr:uid="{00000000-0005-0000-0000-0000BF420000}"/>
    <cellStyle name="Comma 2 2 7 3 3 5 3 2" xfId="29627" xr:uid="{00000000-0005-0000-0000-0000C0420000}"/>
    <cellStyle name="Comma 2 2 7 3 3 5 4" xfId="8796" xr:uid="{00000000-0005-0000-0000-0000C1420000}"/>
    <cellStyle name="Comma 2 2 7 3 3 5 4 2" xfId="32075" xr:uid="{00000000-0005-0000-0000-0000C2420000}"/>
    <cellStyle name="Comma 2 2 7 3 3 5 5" xfId="11244" xr:uid="{00000000-0005-0000-0000-0000C3420000}"/>
    <cellStyle name="Comma 2 2 7 3 3 5 5 2" xfId="34523" xr:uid="{00000000-0005-0000-0000-0000C4420000}"/>
    <cellStyle name="Comma 2 2 7 3 3 5 6" xfId="13692" xr:uid="{00000000-0005-0000-0000-0000C5420000}"/>
    <cellStyle name="Comma 2 2 7 3 3 5 6 2" xfId="36971" xr:uid="{00000000-0005-0000-0000-0000C6420000}"/>
    <cellStyle name="Comma 2 2 7 3 3 5 7" xfId="17387" xr:uid="{00000000-0005-0000-0000-0000C7420000}"/>
    <cellStyle name="Comma 2 2 7 3 3 5 7 2" xfId="40665" xr:uid="{00000000-0005-0000-0000-0000C8420000}"/>
    <cellStyle name="Comma 2 2 7 3 3 5 8" xfId="24731" xr:uid="{00000000-0005-0000-0000-0000C9420000}"/>
    <cellStyle name="Comma 2 2 7 3 3 5 9" xfId="45561" xr:uid="{00000000-0005-0000-0000-0000CA420000}"/>
    <cellStyle name="Comma 2 2 7 3 3 6" xfId="2676" xr:uid="{00000000-0005-0000-0000-0000CB420000}"/>
    <cellStyle name="Comma 2 2 7 3 3 6 2" xfId="16163" xr:uid="{00000000-0005-0000-0000-0000CC420000}"/>
    <cellStyle name="Comma 2 2 7 3 3 6 2 2" xfId="39441" xr:uid="{00000000-0005-0000-0000-0000CD420000}"/>
    <cellStyle name="Comma 2 2 7 3 3 6 3" xfId="46785" xr:uid="{00000000-0005-0000-0000-0000CE420000}"/>
    <cellStyle name="Comma 2 2 7 3 3 6 4" xfId="25955" xr:uid="{00000000-0005-0000-0000-0000CF420000}"/>
    <cellStyle name="Comma 2 2 7 3 3 7" xfId="5124" xr:uid="{00000000-0005-0000-0000-0000D0420000}"/>
    <cellStyle name="Comma 2 2 7 3 3 7 2" xfId="18611" xr:uid="{00000000-0005-0000-0000-0000D1420000}"/>
    <cellStyle name="Comma 2 2 7 3 3 7 2 2" xfId="41889" xr:uid="{00000000-0005-0000-0000-0000D2420000}"/>
    <cellStyle name="Comma 2 2 7 3 3 7 3" xfId="28403" xr:uid="{00000000-0005-0000-0000-0000D3420000}"/>
    <cellStyle name="Comma 2 2 7 3 3 8" xfId="7572" xr:uid="{00000000-0005-0000-0000-0000D4420000}"/>
    <cellStyle name="Comma 2 2 7 3 3 8 2" xfId="30851" xr:uid="{00000000-0005-0000-0000-0000D5420000}"/>
    <cellStyle name="Comma 2 2 7 3 3 9" xfId="10020" xr:uid="{00000000-0005-0000-0000-0000D6420000}"/>
    <cellStyle name="Comma 2 2 7 3 3 9 2" xfId="33299" xr:uid="{00000000-0005-0000-0000-0000D7420000}"/>
    <cellStyle name="Comma 2 2 7 3 4" xfId="296" xr:uid="{00000000-0005-0000-0000-0000D8420000}"/>
    <cellStyle name="Comma 2 2 7 3 4 10" xfId="23575" xr:uid="{00000000-0005-0000-0000-0000D9420000}"/>
    <cellStyle name="Comma 2 2 7 3 4 11" xfId="44405" xr:uid="{00000000-0005-0000-0000-0000DA420000}"/>
    <cellStyle name="Comma 2 2 7 3 4 12" xfId="21127" xr:uid="{00000000-0005-0000-0000-0000DB420000}"/>
    <cellStyle name="Comma 2 2 7 3 4 2" xfId="908" xr:uid="{00000000-0005-0000-0000-0000DC420000}"/>
    <cellStyle name="Comma 2 2 7 3 4 2 10" xfId="45017" xr:uid="{00000000-0005-0000-0000-0000DD420000}"/>
    <cellStyle name="Comma 2 2 7 3 4 2 11" xfId="21739" xr:uid="{00000000-0005-0000-0000-0000DE420000}"/>
    <cellStyle name="Comma 2 2 7 3 4 2 2" xfId="2132" xr:uid="{00000000-0005-0000-0000-0000DF420000}"/>
    <cellStyle name="Comma 2 2 7 3 4 2 2 10" xfId="22963" xr:uid="{00000000-0005-0000-0000-0000E0420000}"/>
    <cellStyle name="Comma 2 2 7 3 4 2 2 2" xfId="4580" xr:uid="{00000000-0005-0000-0000-0000E1420000}"/>
    <cellStyle name="Comma 2 2 7 3 4 2 2 2 2" xfId="20515" xr:uid="{00000000-0005-0000-0000-0000E2420000}"/>
    <cellStyle name="Comma 2 2 7 3 4 2 2 2 2 2" xfId="43793" xr:uid="{00000000-0005-0000-0000-0000E3420000}"/>
    <cellStyle name="Comma 2 2 7 3 4 2 2 2 3" xfId="48689" xr:uid="{00000000-0005-0000-0000-0000E4420000}"/>
    <cellStyle name="Comma 2 2 7 3 4 2 2 2 4" xfId="27859" xr:uid="{00000000-0005-0000-0000-0000E5420000}"/>
    <cellStyle name="Comma 2 2 7 3 4 2 2 3" xfId="7028" xr:uid="{00000000-0005-0000-0000-0000E6420000}"/>
    <cellStyle name="Comma 2 2 7 3 4 2 2 3 2" xfId="30307" xr:uid="{00000000-0005-0000-0000-0000E7420000}"/>
    <cellStyle name="Comma 2 2 7 3 4 2 2 4" xfId="9476" xr:uid="{00000000-0005-0000-0000-0000E8420000}"/>
    <cellStyle name="Comma 2 2 7 3 4 2 2 4 2" xfId="32755" xr:uid="{00000000-0005-0000-0000-0000E9420000}"/>
    <cellStyle name="Comma 2 2 7 3 4 2 2 5" xfId="11924" xr:uid="{00000000-0005-0000-0000-0000EA420000}"/>
    <cellStyle name="Comma 2 2 7 3 4 2 2 5 2" xfId="35203" xr:uid="{00000000-0005-0000-0000-0000EB420000}"/>
    <cellStyle name="Comma 2 2 7 3 4 2 2 6" xfId="14372" xr:uid="{00000000-0005-0000-0000-0000EC420000}"/>
    <cellStyle name="Comma 2 2 7 3 4 2 2 6 2" xfId="37651" xr:uid="{00000000-0005-0000-0000-0000ED420000}"/>
    <cellStyle name="Comma 2 2 7 3 4 2 2 7" xfId="18067" xr:uid="{00000000-0005-0000-0000-0000EE420000}"/>
    <cellStyle name="Comma 2 2 7 3 4 2 2 7 2" xfId="41345" xr:uid="{00000000-0005-0000-0000-0000EF420000}"/>
    <cellStyle name="Comma 2 2 7 3 4 2 2 8" xfId="25411" xr:uid="{00000000-0005-0000-0000-0000F0420000}"/>
    <cellStyle name="Comma 2 2 7 3 4 2 2 9" xfId="46241" xr:uid="{00000000-0005-0000-0000-0000F1420000}"/>
    <cellStyle name="Comma 2 2 7 3 4 2 3" xfId="3356" xr:uid="{00000000-0005-0000-0000-0000F2420000}"/>
    <cellStyle name="Comma 2 2 7 3 4 2 3 2" xfId="16843" xr:uid="{00000000-0005-0000-0000-0000F3420000}"/>
    <cellStyle name="Comma 2 2 7 3 4 2 3 2 2" xfId="40121" xr:uid="{00000000-0005-0000-0000-0000F4420000}"/>
    <cellStyle name="Comma 2 2 7 3 4 2 3 3" xfId="47465" xr:uid="{00000000-0005-0000-0000-0000F5420000}"/>
    <cellStyle name="Comma 2 2 7 3 4 2 3 4" xfId="26635" xr:uid="{00000000-0005-0000-0000-0000F6420000}"/>
    <cellStyle name="Comma 2 2 7 3 4 2 4" xfId="5804" xr:uid="{00000000-0005-0000-0000-0000F7420000}"/>
    <cellStyle name="Comma 2 2 7 3 4 2 4 2" xfId="19291" xr:uid="{00000000-0005-0000-0000-0000F8420000}"/>
    <cellStyle name="Comma 2 2 7 3 4 2 4 2 2" xfId="42569" xr:uid="{00000000-0005-0000-0000-0000F9420000}"/>
    <cellStyle name="Comma 2 2 7 3 4 2 4 3" xfId="29083" xr:uid="{00000000-0005-0000-0000-0000FA420000}"/>
    <cellStyle name="Comma 2 2 7 3 4 2 5" xfId="8252" xr:uid="{00000000-0005-0000-0000-0000FB420000}"/>
    <cellStyle name="Comma 2 2 7 3 4 2 5 2" xfId="31531" xr:uid="{00000000-0005-0000-0000-0000FC420000}"/>
    <cellStyle name="Comma 2 2 7 3 4 2 6" xfId="10700" xr:uid="{00000000-0005-0000-0000-0000FD420000}"/>
    <cellStyle name="Comma 2 2 7 3 4 2 6 2" xfId="33979" xr:uid="{00000000-0005-0000-0000-0000FE420000}"/>
    <cellStyle name="Comma 2 2 7 3 4 2 7" xfId="13148" xr:uid="{00000000-0005-0000-0000-0000FF420000}"/>
    <cellStyle name="Comma 2 2 7 3 4 2 7 2" xfId="36427" xr:uid="{00000000-0005-0000-0000-000000430000}"/>
    <cellStyle name="Comma 2 2 7 3 4 2 8" xfId="15619" xr:uid="{00000000-0005-0000-0000-000001430000}"/>
    <cellStyle name="Comma 2 2 7 3 4 2 8 2" xfId="38897" xr:uid="{00000000-0005-0000-0000-000002430000}"/>
    <cellStyle name="Comma 2 2 7 3 4 2 9" xfId="24187" xr:uid="{00000000-0005-0000-0000-000003430000}"/>
    <cellStyle name="Comma 2 2 7 3 4 3" xfId="1520" xr:uid="{00000000-0005-0000-0000-000004430000}"/>
    <cellStyle name="Comma 2 2 7 3 4 3 10" xfId="22351" xr:uid="{00000000-0005-0000-0000-000005430000}"/>
    <cellStyle name="Comma 2 2 7 3 4 3 2" xfId="3968" xr:uid="{00000000-0005-0000-0000-000006430000}"/>
    <cellStyle name="Comma 2 2 7 3 4 3 2 2" xfId="19903" xr:uid="{00000000-0005-0000-0000-000007430000}"/>
    <cellStyle name="Comma 2 2 7 3 4 3 2 2 2" xfId="43181" xr:uid="{00000000-0005-0000-0000-000008430000}"/>
    <cellStyle name="Comma 2 2 7 3 4 3 2 3" xfId="48077" xr:uid="{00000000-0005-0000-0000-000009430000}"/>
    <cellStyle name="Comma 2 2 7 3 4 3 2 4" xfId="27247" xr:uid="{00000000-0005-0000-0000-00000A430000}"/>
    <cellStyle name="Comma 2 2 7 3 4 3 3" xfId="6416" xr:uid="{00000000-0005-0000-0000-00000B430000}"/>
    <cellStyle name="Comma 2 2 7 3 4 3 3 2" xfId="29695" xr:uid="{00000000-0005-0000-0000-00000C430000}"/>
    <cellStyle name="Comma 2 2 7 3 4 3 4" xfId="8864" xr:uid="{00000000-0005-0000-0000-00000D430000}"/>
    <cellStyle name="Comma 2 2 7 3 4 3 4 2" xfId="32143" xr:uid="{00000000-0005-0000-0000-00000E430000}"/>
    <cellStyle name="Comma 2 2 7 3 4 3 5" xfId="11312" xr:uid="{00000000-0005-0000-0000-00000F430000}"/>
    <cellStyle name="Comma 2 2 7 3 4 3 5 2" xfId="34591" xr:uid="{00000000-0005-0000-0000-000010430000}"/>
    <cellStyle name="Comma 2 2 7 3 4 3 6" xfId="13760" xr:uid="{00000000-0005-0000-0000-000011430000}"/>
    <cellStyle name="Comma 2 2 7 3 4 3 6 2" xfId="37039" xr:uid="{00000000-0005-0000-0000-000012430000}"/>
    <cellStyle name="Comma 2 2 7 3 4 3 7" xfId="17455" xr:uid="{00000000-0005-0000-0000-000013430000}"/>
    <cellStyle name="Comma 2 2 7 3 4 3 7 2" xfId="40733" xr:uid="{00000000-0005-0000-0000-000014430000}"/>
    <cellStyle name="Comma 2 2 7 3 4 3 8" xfId="24799" xr:uid="{00000000-0005-0000-0000-000015430000}"/>
    <cellStyle name="Comma 2 2 7 3 4 3 9" xfId="45629" xr:uid="{00000000-0005-0000-0000-000016430000}"/>
    <cellStyle name="Comma 2 2 7 3 4 4" xfId="2744" xr:uid="{00000000-0005-0000-0000-000017430000}"/>
    <cellStyle name="Comma 2 2 7 3 4 4 2" xfId="16231" xr:uid="{00000000-0005-0000-0000-000018430000}"/>
    <cellStyle name="Comma 2 2 7 3 4 4 2 2" xfId="39509" xr:uid="{00000000-0005-0000-0000-000019430000}"/>
    <cellStyle name="Comma 2 2 7 3 4 4 3" xfId="46853" xr:uid="{00000000-0005-0000-0000-00001A430000}"/>
    <cellStyle name="Comma 2 2 7 3 4 4 4" xfId="26023" xr:uid="{00000000-0005-0000-0000-00001B430000}"/>
    <cellStyle name="Comma 2 2 7 3 4 5" xfId="5192" xr:uid="{00000000-0005-0000-0000-00001C430000}"/>
    <cellStyle name="Comma 2 2 7 3 4 5 2" xfId="18679" xr:uid="{00000000-0005-0000-0000-00001D430000}"/>
    <cellStyle name="Comma 2 2 7 3 4 5 2 2" xfId="41957" xr:uid="{00000000-0005-0000-0000-00001E430000}"/>
    <cellStyle name="Comma 2 2 7 3 4 5 3" xfId="28471" xr:uid="{00000000-0005-0000-0000-00001F430000}"/>
    <cellStyle name="Comma 2 2 7 3 4 6" xfId="7640" xr:uid="{00000000-0005-0000-0000-000020430000}"/>
    <cellStyle name="Comma 2 2 7 3 4 6 2" xfId="30919" xr:uid="{00000000-0005-0000-0000-000021430000}"/>
    <cellStyle name="Comma 2 2 7 3 4 7" xfId="10088" xr:uid="{00000000-0005-0000-0000-000022430000}"/>
    <cellStyle name="Comma 2 2 7 3 4 7 2" xfId="33367" xr:uid="{00000000-0005-0000-0000-000023430000}"/>
    <cellStyle name="Comma 2 2 7 3 4 8" xfId="12536" xr:uid="{00000000-0005-0000-0000-000024430000}"/>
    <cellStyle name="Comma 2 2 7 3 4 8 2" xfId="35815" xr:uid="{00000000-0005-0000-0000-000025430000}"/>
    <cellStyle name="Comma 2 2 7 3 4 9" xfId="15007" xr:uid="{00000000-0005-0000-0000-000026430000}"/>
    <cellStyle name="Comma 2 2 7 3 4 9 2" xfId="38285" xr:uid="{00000000-0005-0000-0000-000027430000}"/>
    <cellStyle name="Comma 2 2 7 3 5" xfId="500" xr:uid="{00000000-0005-0000-0000-000028430000}"/>
    <cellStyle name="Comma 2 2 7 3 5 10" xfId="23779" xr:uid="{00000000-0005-0000-0000-000029430000}"/>
    <cellStyle name="Comma 2 2 7 3 5 11" xfId="44609" xr:uid="{00000000-0005-0000-0000-00002A430000}"/>
    <cellStyle name="Comma 2 2 7 3 5 12" xfId="21331" xr:uid="{00000000-0005-0000-0000-00002B430000}"/>
    <cellStyle name="Comma 2 2 7 3 5 2" xfId="1112" xr:uid="{00000000-0005-0000-0000-00002C430000}"/>
    <cellStyle name="Comma 2 2 7 3 5 2 10" xfId="45221" xr:uid="{00000000-0005-0000-0000-00002D430000}"/>
    <cellStyle name="Comma 2 2 7 3 5 2 11" xfId="21943" xr:uid="{00000000-0005-0000-0000-00002E430000}"/>
    <cellStyle name="Comma 2 2 7 3 5 2 2" xfId="2336" xr:uid="{00000000-0005-0000-0000-00002F430000}"/>
    <cellStyle name="Comma 2 2 7 3 5 2 2 10" xfId="23167" xr:uid="{00000000-0005-0000-0000-000030430000}"/>
    <cellStyle name="Comma 2 2 7 3 5 2 2 2" xfId="4784" xr:uid="{00000000-0005-0000-0000-000031430000}"/>
    <cellStyle name="Comma 2 2 7 3 5 2 2 2 2" xfId="20719" xr:uid="{00000000-0005-0000-0000-000032430000}"/>
    <cellStyle name="Comma 2 2 7 3 5 2 2 2 2 2" xfId="43997" xr:uid="{00000000-0005-0000-0000-000033430000}"/>
    <cellStyle name="Comma 2 2 7 3 5 2 2 2 3" xfId="48893" xr:uid="{00000000-0005-0000-0000-000034430000}"/>
    <cellStyle name="Comma 2 2 7 3 5 2 2 2 4" xfId="28063" xr:uid="{00000000-0005-0000-0000-000035430000}"/>
    <cellStyle name="Comma 2 2 7 3 5 2 2 3" xfId="7232" xr:uid="{00000000-0005-0000-0000-000036430000}"/>
    <cellStyle name="Comma 2 2 7 3 5 2 2 3 2" xfId="30511" xr:uid="{00000000-0005-0000-0000-000037430000}"/>
    <cellStyle name="Comma 2 2 7 3 5 2 2 4" xfId="9680" xr:uid="{00000000-0005-0000-0000-000038430000}"/>
    <cellStyle name="Comma 2 2 7 3 5 2 2 4 2" xfId="32959" xr:uid="{00000000-0005-0000-0000-000039430000}"/>
    <cellStyle name="Comma 2 2 7 3 5 2 2 5" xfId="12128" xr:uid="{00000000-0005-0000-0000-00003A430000}"/>
    <cellStyle name="Comma 2 2 7 3 5 2 2 5 2" xfId="35407" xr:uid="{00000000-0005-0000-0000-00003B430000}"/>
    <cellStyle name="Comma 2 2 7 3 5 2 2 6" xfId="14576" xr:uid="{00000000-0005-0000-0000-00003C430000}"/>
    <cellStyle name="Comma 2 2 7 3 5 2 2 6 2" xfId="37855" xr:uid="{00000000-0005-0000-0000-00003D430000}"/>
    <cellStyle name="Comma 2 2 7 3 5 2 2 7" xfId="18271" xr:uid="{00000000-0005-0000-0000-00003E430000}"/>
    <cellStyle name="Comma 2 2 7 3 5 2 2 7 2" xfId="41549" xr:uid="{00000000-0005-0000-0000-00003F430000}"/>
    <cellStyle name="Comma 2 2 7 3 5 2 2 8" xfId="25615" xr:uid="{00000000-0005-0000-0000-000040430000}"/>
    <cellStyle name="Comma 2 2 7 3 5 2 2 9" xfId="46445" xr:uid="{00000000-0005-0000-0000-000041430000}"/>
    <cellStyle name="Comma 2 2 7 3 5 2 3" xfId="3560" xr:uid="{00000000-0005-0000-0000-000042430000}"/>
    <cellStyle name="Comma 2 2 7 3 5 2 3 2" xfId="17047" xr:uid="{00000000-0005-0000-0000-000043430000}"/>
    <cellStyle name="Comma 2 2 7 3 5 2 3 2 2" xfId="40325" xr:uid="{00000000-0005-0000-0000-000044430000}"/>
    <cellStyle name="Comma 2 2 7 3 5 2 3 3" xfId="47669" xr:uid="{00000000-0005-0000-0000-000045430000}"/>
    <cellStyle name="Comma 2 2 7 3 5 2 3 4" xfId="26839" xr:uid="{00000000-0005-0000-0000-000046430000}"/>
    <cellStyle name="Comma 2 2 7 3 5 2 4" xfId="6008" xr:uid="{00000000-0005-0000-0000-000047430000}"/>
    <cellStyle name="Comma 2 2 7 3 5 2 4 2" xfId="19495" xr:uid="{00000000-0005-0000-0000-000048430000}"/>
    <cellStyle name="Comma 2 2 7 3 5 2 4 2 2" xfId="42773" xr:uid="{00000000-0005-0000-0000-000049430000}"/>
    <cellStyle name="Comma 2 2 7 3 5 2 4 3" xfId="29287" xr:uid="{00000000-0005-0000-0000-00004A430000}"/>
    <cellStyle name="Comma 2 2 7 3 5 2 5" xfId="8456" xr:uid="{00000000-0005-0000-0000-00004B430000}"/>
    <cellStyle name="Comma 2 2 7 3 5 2 5 2" xfId="31735" xr:uid="{00000000-0005-0000-0000-00004C430000}"/>
    <cellStyle name="Comma 2 2 7 3 5 2 6" xfId="10904" xr:uid="{00000000-0005-0000-0000-00004D430000}"/>
    <cellStyle name="Comma 2 2 7 3 5 2 6 2" xfId="34183" xr:uid="{00000000-0005-0000-0000-00004E430000}"/>
    <cellStyle name="Comma 2 2 7 3 5 2 7" xfId="13352" xr:uid="{00000000-0005-0000-0000-00004F430000}"/>
    <cellStyle name="Comma 2 2 7 3 5 2 7 2" xfId="36631" xr:uid="{00000000-0005-0000-0000-000050430000}"/>
    <cellStyle name="Comma 2 2 7 3 5 2 8" xfId="15823" xr:uid="{00000000-0005-0000-0000-000051430000}"/>
    <cellStyle name="Comma 2 2 7 3 5 2 8 2" xfId="39101" xr:uid="{00000000-0005-0000-0000-000052430000}"/>
    <cellStyle name="Comma 2 2 7 3 5 2 9" xfId="24391" xr:uid="{00000000-0005-0000-0000-000053430000}"/>
    <cellStyle name="Comma 2 2 7 3 5 3" xfId="1724" xr:uid="{00000000-0005-0000-0000-000054430000}"/>
    <cellStyle name="Comma 2 2 7 3 5 3 10" xfId="22555" xr:uid="{00000000-0005-0000-0000-000055430000}"/>
    <cellStyle name="Comma 2 2 7 3 5 3 2" xfId="4172" xr:uid="{00000000-0005-0000-0000-000056430000}"/>
    <cellStyle name="Comma 2 2 7 3 5 3 2 2" xfId="20107" xr:uid="{00000000-0005-0000-0000-000057430000}"/>
    <cellStyle name="Comma 2 2 7 3 5 3 2 2 2" xfId="43385" xr:uid="{00000000-0005-0000-0000-000058430000}"/>
    <cellStyle name="Comma 2 2 7 3 5 3 2 3" xfId="48281" xr:uid="{00000000-0005-0000-0000-000059430000}"/>
    <cellStyle name="Comma 2 2 7 3 5 3 2 4" xfId="27451" xr:uid="{00000000-0005-0000-0000-00005A430000}"/>
    <cellStyle name="Comma 2 2 7 3 5 3 3" xfId="6620" xr:uid="{00000000-0005-0000-0000-00005B430000}"/>
    <cellStyle name="Comma 2 2 7 3 5 3 3 2" xfId="29899" xr:uid="{00000000-0005-0000-0000-00005C430000}"/>
    <cellStyle name="Comma 2 2 7 3 5 3 4" xfId="9068" xr:uid="{00000000-0005-0000-0000-00005D430000}"/>
    <cellStyle name="Comma 2 2 7 3 5 3 4 2" xfId="32347" xr:uid="{00000000-0005-0000-0000-00005E430000}"/>
    <cellStyle name="Comma 2 2 7 3 5 3 5" xfId="11516" xr:uid="{00000000-0005-0000-0000-00005F430000}"/>
    <cellStyle name="Comma 2 2 7 3 5 3 5 2" xfId="34795" xr:uid="{00000000-0005-0000-0000-000060430000}"/>
    <cellStyle name="Comma 2 2 7 3 5 3 6" xfId="13964" xr:uid="{00000000-0005-0000-0000-000061430000}"/>
    <cellStyle name="Comma 2 2 7 3 5 3 6 2" xfId="37243" xr:uid="{00000000-0005-0000-0000-000062430000}"/>
    <cellStyle name="Comma 2 2 7 3 5 3 7" xfId="17659" xr:uid="{00000000-0005-0000-0000-000063430000}"/>
    <cellStyle name="Comma 2 2 7 3 5 3 7 2" xfId="40937" xr:uid="{00000000-0005-0000-0000-000064430000}"/>
    <cellStyle name="Comma 2 2 7 3 5 3 8" xfId="25003" xr:uid="{00000000-0005-0000-0000-000065430000}"/>
    <cellStyle name="Comma 2 2 7 3 5 3 9" xfId="45833" xr:uid="{00000000-0005-0000-0000-000066430000}"/>
    <cellStyle name="Comma 2 2 7 3 5 4" xfId="2948" xr:uid="{00000000-0005-0000-0000-000067430000}"/>
    <cellStyle name="Comma 2 2 7 3 5 4 2" xfId="16435" xr:uid="{00000000-0005-0000-0000-000068430000}"/>
    <cellStyle name="Comma 2 2 7 3 5 4 2 2" xfId="39713" xr:uid="{00000000-0005-0000-0000-000069430000}"/>
    <cellStyle name="Comma 2 2 7 3 5 4 3" xfId="47057" xr:uid="{00000000-0005-0000-0000-00006A430000}"/>
    <cellStyle name="Comma 2 2 7 3 5 4 4" xfId="26227" xr:uid="{00000000-0005-0000-0000-00006B430000}"/>
    <cellStyle name="Comma 2 2 7 3 5 5" xfId="5396" xr:uid="{00000000-0005-0000-0000-00006C430000}"/>
    <cellStyle name="Comma 2 2 7 3 5 5 2" xfId="18883" xr:uid="{00000000-0005-0000-0000-00006D430000}"/>
    <cellStyle name="Comma 2 2 7 3 5 5 2 2" xfId="42161" xr:uid="{00000000-0005-0000-0000-00006E430000}"/>
    <cellStyle name="Comma 2 2 7 3 5 5 3" xfId="28675" xr:uid="{00000000-0005-0000-0000-00006F430000}"/>
    <cellStyle name="Comma 2 2 7 3 5 6" xfId="7844" xr:uid="{00000000-0005-0000-0000-000070430000}"/>
    <cellStyle name="Comma 2 2 7 3 5 6 2" xfId="31123" xr:uid="{00000000-0005-0000-0000-000071430000}"/>
    <cellStyle name="Comma 2 2 7 3 5 7" xfId="10292" xr:uid="{00000000-0005-0000-0000-000072430000}"/>
    <cellStyle name="Comma 2 2 7 3 5 7 2" xfId="33571" xr:uid="{00000000-0005-0000-0000-000073430000}"/>
    <cellStyle name="Comma 2 2 7 3 5 8" xfId="12740" xr:uid="{00000000-0005-0000-0000-000074430000}"/>
    <cellStyle name="Comma 2 2 7 3 5 8 2" xfId="36019" xr:uid="{00000000-0005-0000-0000-000075430000}"/>
    <cellStyle name="Comma 2 2 7 3 5 9" xfId="15211" xr:uid="{00000000-0005-0000-0000-000076430000}"/>
    <cellStyle name="Comma 2 2 7 3 5 9 2" xfId="38489" xr:uid="{00000000-0005-0000-0000-000077430000}"/>
    <cellStyle name="Comma 2 2 7 3 6" xfId="704" xr:uid="{00000000-0005-0000-0000-000078430000}"/>
    <cellStyle name="Comma 2 2 7 3 6 10" xfId="44813" xr:uid="{00000000-0005-0000-0000-000079430000}"/>
    <cellStyle name="Comma 2 2 7 3 6 11" xfId="21535" xr:uid="{00000000-0005-0000-0000-00007A430000}"/>
    <cellStyle name="Comma 2 2 7 3 6 2" xfId="1928" xr:uid="{00000000-0005-0000-0000-00007B430000}"/>
    <cellStyle name="Comma 2 2 7 3 6 2 10" xfId="22759" xr:uid="{00000000-0005-0000-0000-00007C430000}"/>
    <cellStyle name="Comma 2 2 7 3 6 2 2" xfId="4376" xr:uid="{00000000-0005-0000-0000-00007D430000}"/>
    <cellStyle name="Comma 2 2 7 3 6 2 2 2" xfId="20311" xr:uid="{00000000-0005-0000-0000-00007E430000}"/>
    <cellStyle name="Comma 2 2 7 3 6 2 2 2 2" xfId="43589" xr:uid="{00000000-0005-0000-0000-00007F430000}"/>
    <cellStyle name="Comma 2 2 7 3 6 2 2 3" xfId="48485" xr:uid="{00000000-0005-0000-0000-000080430000}"/>
    <cellStyle name="Comma 2 2 7 3 6 2 2 4" xfId="27655" xr:uid="{00000000-0005-0000-0000-000081430000}"/>
    <cellStyle name="Comma 2 2 7 3 6 2 3" xfId="6824" xr:uid="{00000000-0005-0000-0000-000082430000}"/>
    <cellStyle name="Comma 2 2 7 3 6 2 3 2" xfId="30103" xr:uid="{00000000-0005-0000-0000-000083430000}"/>
    <cellStyle name="Comma 2 2 7 3 6 2 4" xfId="9272" xr:uid="{00000000-0005-0000-0000-000084430000}"/>
    <cellStyle name="Comma 2 2 7 3 6 2 4 2" xfId="32551" xr:uid="{00000000-0005-0000-0000-000085430000}"/>
    <cellStyle name="Comma 2 2 7 3 6 2 5" xfId="11720" xr:uid="{00000000-0005-0000-0000-000086430000}"/>
    <cellStyle name="Comma 2 2 7 3 6 2 5 2" xfId="34999" xr:uid="{00000000-0005-0000-0000-000087430000}"/>
    <cellStyle name="Comma 2 2 7 3 6 2 6" xfId="14168" xr:uid="{00000000-0005-0000-0000-000088430000}"/>
    <cellStyle name="Comma 2 2 7 3 6 2 6 2" xfId="37447" xr:uid="{00000000-0005-0000-0000-000089430000}"/>
    <cellStyle name="Comma 2 2 7 3 6 2 7" xfId="17863" xr:uid="{00000000-0005-0000-0000-00008A430000}"/>
    <cellStyle name="Comma 2 2 7 3 6 2 7 2" xfId="41141" xr:uid="{00000000-0005-0000-0000-00008B430000}"/>
    <cellStyle name="Comma 2 2 7 3 6 2 8" xfId="25207" xr:uid="{00000000-0005-0000-0000-00008C430000}"/>
    <cellStyle name="Comma 2 2 7 3 6 2 9" xfId="46037" xr:uid="{00000000-0005-0000-0000-00008D430000}"/>
    <cellStyle name="Comma 2 2 7 3 6 3" xfId="3152" xr:uid="{00000000-0005-0000-0000-00008E430000}"/>
    <cellStyle name="Comma 2 2 7 3 6 3 2" xfId="16639" xr:uid="{00000000-0005-0000-0000-00008F430000}"/>
    <cellStyle name="Comma 2 2 7 3 6 3 2 2" xfId="39917" xr:uid="{00000000-0005-0000-0000-000090430000}"/>
    <cellStyle name="Comma 2 2 7 3 6 3 3" xfId="47261" xr:uid="{00000000-0005-0000-0000-000091430000}"/>
    <cellStyle name="Comma 2 2 7 3 6 3 4" xfId="26431" xr:uid="{00000000-0005-0000-0000-000092430000}"/>
    <cellStyle name="Comma 2 2 7 3 6 4" xfId="5600" xr:uid="{00000000-0005-0000-0000-000093430000}"/>
    <cellStyle name="Comma 2 2 7 3 6 4 2" xfId="19087" xr:uid="{00000000-0005-0000-0000-000094430000}"/>
    <cellStyle name="Comma 2 2 7 3 6 4 2 2" xfId="42365" xr:uid="{00000000-0005-0000-0000-000095430000}"/>
    <cellStyle name="Comma 2 2 7 3 6 4 3" xfId="28879" xr:uid="{00000000-0005-0000-0000-000096430000}"/>
    <cellStyle name="Comma 2 2 7 3 6 5" xfId="8048" xr:uid="{00000000-0005-0000-0000-000097430000}"/>
    <cellStyle name="Comma 2 2 7 3 6 5 2" xfId="31327" xr:uid="{00000000-0005-0000-0000-000098430000}"/>
    <cellStyle name="Comma 2 2 7 3 6 6" xfId="10496" xr:uid="{00000000-0005-0000-0000-000099430000}"/>
    <cellStyle name="Comma 2 2 7 3 6 6 2" xfId="33775" xr:uid="{00000000-0005-0000-0000-00009A430000}"/>
    <cellStyle name="Comma 2 2 7 3 6 7" xfId="12944" xr:uid="{00000000-0005-0000-0000-00009B430000}"/>
    <cellStyle name="Comma 2 2 7 3 6 7 2" xfId="36223" xr:uid="{00000000-0005-0000-0000-00009C430000}"/>
    <cellStyle name="Comma 2 2 7 3 6 8" xfId="15415" xr:uid="{00000000-0005-0000-0000-00009D430000}"/>
    <cellStyle name="Comma 2 2 7 3 6 8 2" xfId="38693" xr:uid="{00000000-0005-0000-0000-00009E430000}"/>
    <cellStyle name="Comma 2 2 7 3 6 9" xfId="23983" xr:uid="{00000000-0005-0000-0000-00009F430000}"/>
    <cellStyle name="Comma 2 2 7 3 7" xfId="1316" xr:uid="{00000000-0005-0000-0000-0000A0430000}"/>
    <cellStyle name="Comma 2 2 7 3 7 10" xfId="22147" xr:uid="{00000000-0005-0000-0000-0000A1430000}"/>
    <cellStyle name="Comma 2 2 7 3 7 2" xfId="3764" xr:uid="{00000000-0005-0000-0000-0000A2430000}"/>
    <cellStyle name="Comma 2 2 7 3 7 2 2" xfId="19699" xr:uid="{00000000-0005-0000-0000-0000A3430000}"/>
    <cellStyle name="Comma 2 2 7 3 7 2 2 2" xfId="42977" xr:uid="{00000000-0005-0000-0000-0000A4430000}"/>
    <cellStyle name="Comma 2 2 7 3 7 2 3" xfId="47873" xr:uid="{00000000-0005-0000-0000-0000A5430000}"/>
    <cellStyle name="Comma 2 2 7 3 7 2 4" xfId="27043" xr:uid="{00000000-0005-0000-0000-0000A6430000}"/>
    <cellStyle name="Comma 2 2 7 3 7 3" xfId="6212" xr:uid="{00000000-0005-0000-0000-0000A7430000}"/>
    <cellStyle name="Comma 2 2 7 3 7 3 2" xfId="29491" xr:uid="{00000000-0005-0000-0000-0000A8430000}"/>
    <cellStyle name="Comma 2 2 7 3 7 4" xfId="8660" xr:uid="{00000000-0005-0000-0000-0000A9430000}"/>
    <cellStyle name="Comma 2 2 7 3 7 4 2" xfId="31939" xr:uid="{00000000-0005-0000-0000-0000AA430000}"/>
    <cellStyle name="Comma 2 2 7 3 7 5" xfId="11108" xr:uid="{00000000-0005-0000-0000-0000AB430000}"/>
    <cellStyle name="Comma 2 2 7 3 7 5 2" xfId="34387" xr:uid="{00000000-0005-0000-0000-0000AC430000}"/>
    <cellStyle name="Comma 2 2 7 3 7 6" xfId="13556" xr:uid="{00000000-0005-0000-0000-0000AD430000}"/>
    <cellStyle name="Comma 2 2 7 3 7 6 2" xfId="36835" xr:uid="{00000000-0005-0000-0000-0000AE430000}"/>
    <cellStyle name="Comma 2 2 7 3 7 7" xfId="17251" xr:uid="{00000000-0005-0000-0000-0000AF430000}"/>
    <cellStyle name="Comma 2 2 7 3 7 7 2" xfId="40529" xr:uid="{00000000-0005-0000-0000-0000B0430000}"/>
    <cellStyle name="Comma 2 2 7 3 7 8" xfId="24595" xr:uid="{00000000-0005-0000-0000-0000B1430000}"/>
    <cellStyle name="Comma 2 2 7 3 7 9" xfId="45425" xr:uid="{00000000-0005-0000-0000-0000B2430000}"/>
    <cellStyle name="Comma 2 2 7 3 8" xfId="2540" xr:uid="{00000000-0005-0000-0000-0000B3430000}"/>
    <cellStyle name="Comma 2 2 7 3 8 2" xfId="16027" xr:uid="{00000000-0005-0000-0000-0000B4430000}"/>
    <cellStyle name="Comma 2 2 7 3 8 2 2" xfId="39305" xr:uid="{00000000-0005-0000-0000-0000B5430000}"/>
    <cellStyle name="Comma 2 2 7 3 8 3" xfId="46649" xr:uid="{00000000-0005-0000-0000-0000B6430000}"/>
    <cellStyle name="Comma 2 2 7 3 8 4" xfId="25819" xr:uid="{00000000-0005-0000-0000-0000B7430000}"/>
    <cellStyle name="Comma 2 2 7 3 9" xfId="4988" xr:uid="{00000000-0005-0000-0000-0000B8430000}"/>
    <cellStyle name="Comma 2 2 7 3 9 2" xfId="18475" xr:uid="{00000000-0005-0000-0000-0000B9430000}"/>
    <cellStyle name="Comma 2 2 7 3 9 2 2" xfId="41753" xr:uid="{00000000-0005-0000-0000-0000BA430000}"/>
    <cellStyle name="Comma 2 2 7 3 9 3" xfId="28267" xr:uid="{00000000-0005-0000-0000-0000BB430000}"/>
    <cellStyle name="Comma 2 2 7 4" xfId="109" xr:uid="{00000000-0005-0000-0000-0000BC430000}"/>
    <cellStyle name="Comma 2 2 7 4 10" xfId="7453" xr:uid="{00000000-0005-0000-0000-0000BD430000}"/>
    <cellStyle name="Comma 2 2 7 4 10 2" xfId="30732" xr:uid="{00000000-0005-0000-0000-0000BE430000}"/>
    <cellStyle name="Comma 2 2 7 4 11" xfId="9901" xr:uid="{00000000-0005-0000-0000-0000BF430000}"/>
    <cellStyle name="Comma 2 2 7 4 11 2" xfId="33180" xr:uid="{00000000-0005-0000-0000-0000C0430000}"/>
    <cellStyle name="Comma 2 2 7 4 12" xfId="12349" xr:uid="{00000000-0005-0000-0000-0000C1430000}"/>
    <cellStyle name="Comma 2 2 7 4 12 2" xfId="35628" xr:uid="{00000000-0005-0000-0000-0000C2430000}"/>
    <cellStyle name="Comma 2 2 7 4 13" xfId="14820" xr:uid="{00000000-0005-0000-0000-0000C3430000}"/>
    <cellStyle name="Comma 2 2 7 4 13 2" xfId="38098" xr:uid="{00000000-0005-0000-0000-0000C4430000}"/>
    <cellStyle name="Comma 2 2 7 4 14" xfId="23388" xr:uid="{00000000-0005-0000-0000-0000C5430000}"/>
    <cellStyle name="Comma 2 2 7 4 15" xfId="44218" xr:uid="{00000000-0005-0000-0000-0000C6430000}"/>
    <cellStyle name="Comma 2 2 7 4 16" xfId="20940" xr:uid="{00000000-0005-0000-0000-0000C7430000}"/>
    <cellStyle name="Comma 2 2 7 4 2" xfId="177" xr:uid="{00000000-0005-0000-0000-0000C8430000}"/>
    <cellStyle name="Comma 2 2 7 4 2 10" xfId="12417" xr:uid="{00000000-0005-0000-0000-0000C9430000}"/>
    <cellStyle name="Comma 2 2 7 4 2 10 2" xfId="35696" xr:uid="{00000000-0005-0000-0000-0000CA430000}"/>
    <cellStyle name="Comma 2 2 7 4 2 11" xfId="14888" xr:uid="{00000000-0005-0000-0000-0000CB430000}"/>
    <cellStyle name="Comma 2 2 7 4 2 11 2" xfId="38166" xr:uid="{00000000-0005-0000-0000-0000CC430000}"/>
    <cellStyle name="Comma 2 2 7 4 2 12" xfId="23456" xr:uid="{00000000-0005-0000-0000-0000CD430000}"/>
    <cellStyle name="Comma 2 2 7 4 2 13" xfId="44286" xr:uid="{00000000-0005-0000-0000-0000CE430000}"/>
    <cellStyle name="Comma 2 2 7 4 2 14" xfId="21008" xr:uid="{00000000-0005-0000-0000-0000CF430000}"/>
    <cellStyle name="Comma 2 2 7 4 2 2" xfId="381" xr:uid="{00000000-0005-0000-0000-0000D0430000}"/>
    <cellStyle name="Comma 2 2 7 4 2 2 10" xfId="23660" xr:uid="{00000000-0005-0000-0000-0000D1430000}"/>
    <cellStyle name="Comma 2 2 7 4 2 2 11" xfId="44490" xr:uid="{00000000-0005-0000-0000-0000D2430000}"/>
    <cellStyle name="Comma 2 2 7 4 2 2 12" xfId="21212" xr:uid="{00000000-0005-0000-0000-0000D3430000}"/>
    <cellStyle name="Comma 2 2 7 4 2 2 2" xfId="993" xr:uid="{00000000-0005-0000-0000-0000D4430000}"/>
    <cellStyle name="Comma 2 2 7 4 2 2 2 10" xfId="45102" xr:uid="{00000000-0005-0000-0000-0000D5430000}"/>
    <cellStyle name="Comma 2 2 7 4 2 2 2 11" xfId="21824" xr:uid="{00000000-0005-0000-0000-0000D6430000}"/>
    <cellStyle name="Comma 2 2 7 4 2 2 2 2" xfId="2217" xr:uid="{00000000-0005-0000-0000-0000D7430000}"/>
    <cellStyle name="Comma 2 2 7 4 2 2 2 2 10" xfId="23048" xr:uid="{00000000-0005-0000-0000-0000D8430000}"/>
    <cellStyle name="Comma 2 2 7 4 2 2 2 2 2" xfId="4665" xr:uid="{00000000-0005-0000-0000-0000D9430000}"/>
    <cellStyle name="Comma 2 2 7 4 2 2 2 2 2 2" xfId="20600" xr:uid="{00000000-0005-0000-0000-0000DA430000}"/>
    <cellStyle name="Comma 2 2 7 4 2 2 2 2 2 2 2" xfId="43878" xr:uid="{00000000-0005-0000-0000-0000DB430000}"/>
    <cellStyle name="Comma 2 2 7 4 2 2 2 2 2 3" xfId="48774" xr:uid="{00000000-0005-0000-0000-0000DC430000}"/>
    <cellStyle name="Comma 2 2 7 4 2 2 2 2 2 4" xfId="27944" xr:uid="{00000000-0005-0000-0000-0000DD430000}"/>
    <cellStyle name="Comma 2 2 7 4 2 2 2 2 3" xfId="7113" xr:uid="{00000000-0005-0000-0000-0000DE430000}"/>
    <cellStyle name="Comma 2 2 7 4 2 2 2 2 3 2" xfId="30392" xr:uid="{00000000-0005-0000-0000-0000DF430000}"/>
    <cellStyle name="Comma 2 2 7 4 2 2 2 2 4" xfId="9561" xr:uid="{00000000-0005-0000-0000-0000E0430000}"/>
    <cellStyle name="Comma 2 2 7 4 2 2 2 2 4 2" xfId="32840" xr:uid="{00000000-0005-0000-0000-0000E1430000}"/>
    <cellStyle name="Comma 2 2 7 4 2 2 2 2 5" xfId="12009" xr:uid="{00000000-0005-0000-0000-0000E2430000}"/>
    <cellStyle name="Comma 2 2 7 4 2 2 2 2 5 2" xfId="35288" xr:uid="{00000000-0005-0000-0000-0000E3430000}"/>
    <cellStyle name="Comma 2 2 7 4 2 2 2 2 6" xfId="14457" xr:uid="{00000000-0005-0000-0000-0000E4430000}"/>
    <cellStyle name="Comma 2 2 7 4 2 2 2 2 6 2" xfId="37736" xr:uid="{00000000-0005-0000-0000-0000E5430000}"/>
    <cellStyle name="Comma 2 2 7 4 2 2 2 2 7" xfId="18152" xr:uid="{00000000-0005-0000-0000-0000E6430000}"/>
    <cellStyle name="Comma 2 2 7 4 2 2 2 2 7 2" xfId="41430" xr:uid="{00000000-0005-0000-0000-0000E7430000}"/>
    <cellStyle name="Comma 2 2 7 4 2 2 2 2 8" xfId="25496" xr:uid="{00000000-0005-0000-0000-0000E8430000}"/>
    <cellStyle name="Comma 2 2 7 4 2 2 2 2 9" xfId="46326" xr:uid="{00000000-0005-0000-0000-0000E9430000}"/>
    <cellStyle name="Comma 2 2 7 4 2 2 2 3" xfId="3441" xr:uid="{00000000-0005-0000-0000-0000EA430000}"/>
    <cellStyle name="Comma 2 2 7 4 2 2 2 3 2" xfId="16928" xr:uid="{00000000-0005-0000-0000-0000EB430000}"/>
    <cellStyle name="Comma 2 2 7 4 2 2 2 3 2 2" xfId="40206" xr:uid="{00000000-0005-0000-0000-0000EC430000}"/>
    <cellStyle name="Comma 2 2 7 4 2 2 2 3 3" xfId="47550" xr:uid="{00000000-0005-0000-0000-0000ED430000}"/>
    <cellStyle name="Comma 2 2 7 4 2 2 2 3 4" xfId="26720" xr:uid="{00000000-0005-0000-0000-0000EE430000}"/>
    <cellStyle name="Comma 2 2 7 4 2 2 2 4" xfId="5889" xr:uid="{00000000-0005-0000-0000-0000EF430000}"/>
    <cellStyle name="Comma 2 2 7 4 2 2 2 4 2" xfId="19376" xr:uid="{00000000-0005-0000-0000-0000F0430000}"/>
    <cellStyle name="Comma 2 2 7 4 2 2 2 4 2 2" xfId="42654" xr:uid="{00000000-0005-0000-0000-0000F1430000}"/>
    <cellStyle name="Comma 2 2 7 4 2 2 2 4 3" xfId="29168" xr:uid="{00000000-0005-0000-0000-0000F2430000}"/>
    <cellStyle name="Comma 2 2 7 4 2 2 2 5" xfId="8337" xr:uid="{00000000-0005-0000-0000-0000F3430000}"/>
    <cellStyle name="Comma 2 2 7 4 2 2 2 5 2" xfId="31616" xr:uid="{00000000-0005-0000-0000-0000F4430000}"/>
    <cellStyle name="Comma 2 2 7 4 2 2 2 6" xfId="10785" xr:uid="{00000000-0005-0000-0000-0000F5430000}"/>
    <cellStyle name="Comma 2 2 7 4 2 2 2 6 2" xfId="34064" xr:uid="{00000000-0005-0000-0000-0000F6430000}"/>
    <cellStyle name="Comma 2 2 7 4 2 2 2 7" xfId="13233" xr:uid="{00000000-0005-0000-0000-0000F7430000}"/>
    <cellStyle name="Comma 2 2 7 4 2 2 2 7 2" xfId="36512" xr:uid="{00000000-0005-0000-0000-0000F8430000}"/>
    <cellStyle name="Comma 2 2 7 4 2 2 2 8" xfId="15704" xr:uid="{00000000-0005-0000-0000-0000F9430000}"/>
    <cellStyle name="Comma 2 2 7 4 2 2 2 8 2" xfId="38982" xr:uid="{00000000-0005-0000-0000-0000FA430000}"/>
    <cellStyle name="Comma 2 2 7 4 2 2 2 9" xfId="24272" xr:uid="{00000000-0005-0000-0000-0000FB430000}"/>
    <cellStyle name="Comma 2 2 7 4 2 2 3" xfId="1605" xr:uid="{00000000-0005-0000-0000-0000FC430000}"/>
    <cellStyle name="Comma 2 2 7 4 2 2 3 10" xfId="22436" xr:uid="{00000000-0005-0000-0000-0000FD430000}"/>
    <cellStyle name="Comma 2 2 7 4 2 2 3 2" xfId="4053" xr:uid="{00000000-0005-0000-0000-0000FE430000}"/>
    <cellStyle name="Comma 2 2 7 4 2 2 3 2 2" xfId="19988" xr:uid="{00000000-0005-0000-0000-0000FF430000}"/>
    <cellStyle name="Comma 2 2 7 4 2 2 3 2 2 2" xfId="43266" xr:uid="{00000000-0005-0000-0000-000000440000}"/>
    <cellStyle name="Comma 2 2 7 4 2 2 3 2 3" xfId="48162" xr:uid="{00000000-0005-0000-0000-000001440000}"/>
    <cellStyle name="Comma 2 2 7 4 2 2 3 2 4" xfId="27332" xr:uid="{00000000-0005-0000-0000-000002440000}"/>
    <cellStyle name="Comma 2 2 7 4 2 2 3 3" xfId="6501" xr:uid="{00000000-0005-0000-0000-000003440000}"/>
    <cellStyle name="Comma 2 2 7 4 2 2 3 3 2" xfId="29780" xr:uid="{00000000-0005-0000-0000-000004440000}"/>
    <cellStyle name="Comma 2 2 7 4 2 2 3 4" xfId="8949" xr:uid="{00000000-0005-0000-0000-000005440000}"/>
    <cellStyle name="Comma 2 2 7 4 2 2 3 4 2" xfId="32228" xr:uid="{00000000-0005-0000-0000-000006440000}"/>
    <cellStyle name="Comma 2 2 7 4 2 2 3 5" xfId="11397" xr:uid="{00000000-0005-0000-0000-000007440000}"/>
    <cellStyle name="Comma 2 2 7 4 2 2 3 5 2" xfId="34676" xr:uid="{00000000-0005-0000-0000-000008440000}"/>
    <cellStyle name="Comma 2 2 7 4 2 2 3 6" xfId="13845" xr:uid="{00000000-0005-0000-0000-000009440000}"/>
    <cellStyle name="Comma 2 2 7 4 2 2 3 6 2" xfId="37124" xr:uid="{00000000-0005-0000-0000-00000A440000}"/>
    <cellStyle name="Comma 2 2 7 4 2 2 3 7" xfId="17540" xr:uid="{00000000-0005-0000-0000-00000B440000}"/>
    <cellStyle name="Comma 2 2 7 4 2 2 3 7 2" xfId="40818" xr:uid="{00000000-0005-0000-0000-00000C440000}"/>
    <cellStyle name="Comma 2 2 7 4 2 2 3 8" xfId="24884" xr:uid="{00000000-0005-0000-0000-00000D440000}"/>
    <cellStyle name="Comma 2 2 7 4 2 2 3 9" xfId="45714" xr:uid="{00000000-0005-0000-0000-00000E440000}"/>
    <cellStyle name="Comma 2 2 7 4 2 2 4" xfId="2829" xr:uid="{00000000-0005-0000-0000-00000F440000}"/>
    <cellStyle name="Comma 2 2 7 4 2 2 4 2" xfId="16316" xr:uid="{00000000-0005-0000-0000-000010440000}"/>
    <cellStyle name="Comma 2 2 7 4 2 2 4 2 2" xfId="39594" xr:uid="{00000000-0005-0000-0000-000011440000}"/>
    <cellStyle name="Comma 2 2 7 4 2 2 4 3" xfId="46938" xr:uid="{00000000-0005-0000-0000-000012440000}"/>
    <cellStyle name="Comma 2 2 7 4 2 2 4 4" xfId="26108" xr:uid="{00000000-0005-0000-0000-000013440000}"/>
    <cellStyle name="Comma 2 2 7 4 2 2 5" xfId="5277" xr:uid="{00000000-0005-0000-0000-000014440000}"/>
    <cellStyle name="Comma 2 2 7 4 2 2 5 2" xfId="18764" xr:uid="{00000000-0005-0000-0000-000015440000}"/>
    <cellStyle name="Comma 2 2 7 4 2 2 5 2 2" xfId="42042" xr:uid="{00000000-0005-0000-0000-000016440000}"/>
    <cellStyle name="Comma 2 2 7 4 2 2 5 3" xfId="28556" xr:uid="{00000000-0005-0000-0000-000017440000}"/>
    <cellStyle name="Comma 2 2 7 4 2 2 6" xfId="7725" xr:uid="{00000000-0005-0000-0000-000018440000}"/>
    <cellStyle name="Comma 2 2 7 4 2 2 6 2" xfId="31004" xr:uid="{00000000-0005-0000-0000-000019440000}"/>
    <cellStyle name="Comma 2 2 7 4 2 2 7" xfId="10173" xr:uid="{00000000-0005-0000-0000-00001A440000}"/>
    <cellStyle name="Comma 2 2 7 4 2 2 7 2" xfId="33452" xr:uid="{00000000-0005-0000-0000-00001B440000}"/>
    <cellStyle name="Comma 2 2 7 4 2 2 8" xfId="12621" xr:uid="{00000000-0005-0000-0000-00001C440000}"/>
    <cellStyle name="Comma 2 2 7 4 2 2 8 2" xfId="35900" xr:uid="{00000000-0005-0000-0000-00001D440000}"/>
    <cellStyle name="Comma 2 2 7 4 2 2 9" xfId="15092" xr:uid="{00000000-0005-0000-0000-00001E440000}"/>
    <cellStyle name="Comma 2 2 7 4 2 2 9 2" xfId="38370" xr:uid="{00000000-0005-0000-0000-00001F440000}"/>
    <cellStyle name="Comma 2 2 7 4 2 3" xfId="585" xr:uid="{00000000-0005-0000-0000-000020440000}"/>
    <cellStyle name="Comma 2 2 7 4 2 3 10" xfId="23864" xr:uid="{00000000-0005-0000-0000-000021440000}"/>
    <cellStyle name="Comma 2 2 7 4 2 3 11" xfId="44694" xr:uid="{00000000-0005-0000-0000-000022440000}"/>
    <cellStyle name="Comma 2 2 7 4 2 3 12" xfId="21416" xr:uid="{00000000-0005-0000-0000-000023440000}"/>
    <cellStyle name="Comma 2 2 7 4 2 3 2" xfId="1197" xr:uid="{00000000-0005-0000-0000-000024440000}"/>
    <cellStyle name="Comma 2 2 7 4 2 3 2 10" xfId="45306" xr:uid="{00000000-0005-0000-0000-000025440000}"/>
    <cellStyle name="Comma 2 2 7 4 2 3 2 11" xfId="22028" xr:uid="{00000000-0005-0000-0000-000026440000}"/>
    <cellStyle name="Comma 2 2 7 4 2 3 2 2" xfId="2421" xr:uid="{00000000-0005-0000-0000-000027440000}"/>
    <cellStyle name="Comma 2 2 7 4 2 3 2 2 10" xfId="23252" xr:uid="{00000000-0005-0000-0000-000028440000}"/>
    <cellStyle name="Comma 2 2 7 4 2 3 2 2 2" xfId="4869" xr:uid="{00000000-0005-0000-0000-000029440000}"/>
    <cellStyle name="Comma 2 2 7 4 2 3 2 2 2 2" xfId="20804" xr:uid="{00000000-0005-0000-0000-00002A440000}"/>
    <cellStyle name="Comma 2 2 7 4 2 3 2 2 2 2 2" xfId="44082" xr:uid="{00000000-0005-0000-0000-00002B440000}"/>
    <cellStyle name="Comma 2 2 7 4 2 3 2 2 2 3" xfId="48978" xr:uid="{00000000-0005-0000-0000-00002C440000}"/>
    <cellStyle name="Comma 2 2 7 4 2 3 2 2 2 4" xfId="28148" xr:uid="{00000000-0005-0000-0000-00002D440000}"/>
    <cellStyle name="Comma 2 2 7 4 2 3 2 2 3" xfId="7317" xr:uid="{00000000-0005-0000-0000-00002E440000}"/>
    <cellStyle name="Comma 2 2 7 4 2 3 2 2 3 2" xfId="30596" xr:uid="{00000000-0005-0000-0000-00002F440000}"/>
    <cellStyle name="Comma 2 2 7 4 2 3 2 2 4" xfId="9765" xr:uid="{00000000-0005-0000-0000-000030440000}"/>
    <cellStyle name="Comma 2 2 7 4 2 3 2 2 4 2" xfId="33044" xr:uid="{00000000-0005-0000-0000-000031440000}"/>
    <cellStyle name="Comma 2 2 7 4 2 3 2 2 5" xfId="12213" xr:uid="{00000000-0005-0000-0000-000032440000}"/>
    <cellStyle name="Comma 2 2 7 4 2 3 2 2 5 2" xfId="35492" xr:uid="{00000000-0005-0000-0000-000033440000}"/>
    <cellStyle name="Comma 2 2 7 4 2 3 2 2 6" xfId="14661" xr:uid="{00000000-0005-0000-0000-000034440000}"/>
    <cellStyle name="Comma 2 2 7 4 2 3 2 2 6 2" xfId="37940" xr:uid="{00000000-0005-0000-0000-000035440000}"/>
    <cellStyle name="Comma 2 2 7 4 2 3 2 2 7" xfId="18356" xr:uid="{00000000-0005-0000-0000-000036440000}"/>
    <cellStyle name="Comma 2 2 7 4 2 3 2 2 7 2" xfId="41634" xr:uid="{00000000-0005-0000-0000-000037440000}"/>
    <cellStyle name="Comma 2 2 7 4 2 3 2 2 8" xfId="25700" xr:uid="{00000000-0005-0000-0000-000038440000}"/>
    <cellStyle name="Comma 2 2 7 4 2 3 2 2 9" xfId="46530" xr:uid="{00000000-0005-0000-0000-000039440000}"/>
    <cellStyle name="Comma 2 2 7 4 2 3 2 3" xfId="3645" xr:uid="{00000000-0005-0000-0000-00003A440000}"/>
    <cellStyle name="Comma 2 2 7 4 2 3 2 3 2" xfId="17132" xr:uid="{00000000-0005-0000-0000-00003B440000}"/>
    <cellStyle name="Comma 2 2 7 4 2 3 2 3 2 2" xfId="40410" xr:uid="{00000000-0005-0000-0000-00003C440000}"/>
    <cellStyle name="Comma 2 2 7 4 2 3 2 3 3" xfId="47754" xr:uid="{00000000-0005-0000-0000-00003D440000}"/>
    <cellStyle name="Comma 2 2 7 4 2 3 2 3 4" xfId="26924" xr:uid="{00000000-0005-0000-0000-00003E440000}"/>
    <cellStyle name="Comma 2 2 7 4 2 3 2 4" xfId="6093" xr:uid="{00000000-0005-0000-0000-00003F440000}"/>
    <cellStyle name="Comma 2 2 7 4 2 3 2 4 2" xfId="19580" xr:uid="{00000000-0005-0000-0000-000040440000}"/>
    <cellStyle name="Comma 2 2 7 4 2 3 2 4 2 2" xfId="42858" xr:uid="{00000000-0005-0000-0000-000041440000}"/>
    <cellStyle name="Comma 2 2 7 4 2 3 2 4 3" xfId="29372" xr:uid="{00000000-0005-0000-0000-000042440000}"/>
    <cellStyle name="Comma 2 2 7 4 2 3 2 5" xfId="8541" xr:uid="{00000000-0005-0000-0000-000043440000}"/>
    <cellStyle name="Comma 2 2 7 4 2 3 2 5 2" xfId="31820" xr:uid="{00000000-0005-0000-0000-000044440000}"/>
    <cellStyle name="Comma 2 2 7 4 2 3 2 6" xfId="10989" xr:uid="{00000000-0005-0000-0000-000045440000}"/>
    <cellStyle name="Comma 2 2 7 4 2 3 2 6 2" xfId="34268" xr:uid="{00000000-0005-0000-0000-000046440000}"/>
    <cellStyle name="Comma 2 2 7 4 2 3 2 7" xfId="13437" xr:uid="{00000000-0005-0000-0000-000047440000}"/>
    <cellStyle name="Comma 2 2 7 4 2 3 2 7 2" xfId="36716" xr:uid="{00000000-0005-0000-0000-000048440000}"/>
    <cellStyle name="Comma 2 2 7 4 2 3 2 8" xfId="15908" xr:uid="{00000000-0005-0000-0000-000049440000}"/>
    <cellStyle name="Comma 2 2 7 4 2 3 2 8 2" xfId="39186" xr:uid="{00000000-0005-0000-0000-00004A440000}"/>
    <cellStyle name="Comma 2 2 7 4 2 3 2 9" xfId="24476" xr:uid="{00000000-0005-0000-0000-00004B440000}"/>
    <cellStyle name="Comma 2 2 7 4 2 3 3" xfId="1809" xr:uid="{00000000-0005-0000-0000-00004C440000}"/>
    <cellStyle name="Comma 2 2 7 4 2 3 3 10" xfId="22640" xr:uid="{00000000-0005-0000-0000-00004D440000}"/>
    <cellStyle name="Comma 2 2 7 4 2 3 3 2" xfId="4257" xr:uid="{00000000-0005-0000-0000-00004E440000}"/>
    <cellStyle name="Comma 2 2 7 4 2 3 3 2 2" xfId="20192" xr:uid="{00000000-0005-0000-0000-00004F440000}"/>
    <cellStyle name="Comma 2 2 7 4 2 3 3 2 2 2" xfId="43470" xr:uid="{00000000-0005-0000-0000-000050440000}"/>
    <cellStyle name="Comma 2 2 7 4 2 3 3 2 3" xfId="48366" xr:uid="{00000000-0005-0000-0000-000051440000}"/>
    <cellStyle name="Comma 2 2 7 4 2 3 3 2 4" xfId="27536" xr:uid="{00000000-0005-0000-0000-000052440000}"/>
    <cellStyle name="Comma 2 2 7 4 2 3 3 3" xfId="6705" xr:uid="{00000000-0005-0000-0000-000053440000}"/>
    <cellStyle name="Comma 2 2 7 4 2 3 3 3 2" xfId="29984" xr:uid="{00000000-0005-0000-0000-000054440000}"/>
    <cellStyle name="Comma 2 2 7 4 2 3 3 4" xfId="9153" xr:uid="{00000000-0005-0000-0000-000055440000}"/>
    <cellStyle name="Comma 2 2 7 4 2 3 3 4 2" xfId="32432" xr:uid="{00000000-0005-0000-0000-000056440000}"/>
    <cellStyle name="Comma 2 2 7 4 2 3 3 5" xfId="11601" xr:uid="{00000000-0005-0000-0000-000057440000}"/>
    <cellStyle name="Comma 2 2 7 4 2 3 3 5 2" xfId="34880" xr:uid="{00000000-0005-0000-0000-000058440000}"/>
    <cellStyle name="Comma 2 2 7 4 2 3 3 6" xfId="14049" xr:uid="{00000000-0005-0000-0000-000059440000}"/>
    <cellStyle name="Comma 2 2 7 4 2 3 3 6 2" xfId="37328" xr:uid="{00000000-0005-0000-0000-00005A440000}"/>
    <cellStyle name="Comma 2 2 7 4 2 3 3 7" xfId="17744" xr:uid="{00000000-0005-0000-0000-00005B440000}"/>
    <cellStyle name="Comma 2 2 7 4 2 3 3 7 2" xfId="41022" xr:uid="{00000000-0005-0000-0000-00005C440000}"/>
    <cellStyle name="Comma 2 2 7 4 2 3 3 8" xfId="25088" xr:uid="{00000000-0005-0000-0000-00005D440000}"/>
    <cellStyle name="Comma 2 2 7 4 2 3 3 9" xfId="45918" xr:uid="{00000000-0005-0000-0000-00005E440000}"/>
    <cellStyle name="Comma 2 2 7 4 2 3 4" xfId="3033" xr:uid="{00000000-0005-0000-0000-00005F440000}"/>
    <cellStyle name="Comma 2 2 7 4 2 3 4 2" xfId="16520" xr:uid="{00000000-0005-0000-0000-000060440000}"/>
    <cellStyle name="Comma 2 2 7 4 2 3 4 2 2" xfId="39798" xr:uid="{00000000-0005-0000-0000-000061440000}"/>
    <cellStyle name="Comma 2 2 7 4 2 3 4 3" xfId="47142" xr:uid="{00000000-0005-0000-0000-000062440000}"/>
    <cellStyle name="Comma 2 2 7 4 2 3 4 4" xfId="26312" xr:uid="{00000000-0005-0000-0000-000063440000}"/>
    <cellStyle name="Comma 2 2 7 4 2 3 5" xfId="5481" xr:uid="{00000000-0005-0000-0000-000064440000}"/>
    <cellStyle name="Comma 2 2 7 4 2 3 5 2" xfId="18968" xr:uid="{00000000-0005-0000-0000-000065440000}"/>
    <cellStyle name="Comma 2 2 7 4 2 3 5 2 2" xfId="42246" xr:uid="{00000000-0005-0000-0000-000066440000}"/>
    <cellStyle name="Comma 2 2 7 4 2 3 5 3" xfId="28760" xr:uid="{00000000-0005-0000-0000-000067440000}"/>
    <cellStyle name="Comma 2 2 7 4 2 3 6" xfId="7929" xr:uid="{00000000-0005-0000-0000-000068440000}"/>
    <cellStyle name="Comma 2 2 7 4 2 3 6 2" xfId="31208" xr:uid="{00000000-0005-0000-0000-000069440000}"/>
    <cellStyle name="Comma 2 2 7 4 2 3 7" xfId="10377" xr:uid="{00000000-0005-0000-0000-00006A440000}"/>
    <cellStyle name="Comma 2 2 7 4 2 3 7 2" xfId="33656" xr:uid="{00000000-0005-0000-0000-00006B440000}"/>
    <cellStyle name="Comma 2 2 7 4 2 3 8" xfId="12825" xr:uid="{00000000-0005-0000-0000-00006C440000}"/>
    <cellStyle name="Comma 2 2 7 4 2 3 8 2" xfId="36104" xr:uid="{00000000-0005-0000-0000-00006D440000}"/>
    <cellStyle name="Comma 2 2 7 4 2 3 9" xfId="15296" xr:uid="{00000000-0005-0000-0000-00006E440000}"/>
    <cellStyle name="Comma 2 2 7 4 2 3 9 2" xfId="38574" xr:uid="{00000000-0005-0000-0000-00006F440000}"/>
    <cellStyle name="Comma 2 2 7 4 2 4" xfId="789" xr:uid="{00000000-0005-0000-0000-000070440000}"/>
    <cellStyle name="Comma 2 2 7 4 2 4 10" xfId="44898" xr:uid="{00000000-0005-0000-0000-000071440000}"/>
    <cellStyle name="Comma 2 2 7 4 2 4 11" xfId="21620" xr:uid="{00000000-0005-0000-0000-000072440000}"/>
    <cellStyle name="Comma 2 2 7 4 2 4 2" xfId="2013" xr:uid="{00000000-0005-0000-0000-000073440000}"/>
    <cellStyle name="Comma 2 2 7 4 2 4 2 10" xfId="22844" xr:uid="{00000000-0005-0000-0000-000074440000}"/>
    <cellStyle name="Comma 2 2 7 4 2 4 2 2" xfId="4461" xr:uid="{00000000-0005-0000-0000-000075440000}"/>
    <cellStyle name="Comma 2 2 7 4 2 4 2 2 2" xfId="20396" xr:uid="{00000000-0005-0000-0000-000076440000}"/>
    <cellStyle name="Comma 2 2 7 4 2 4 2 2 2 2" xfId="43674" xr:uid="{00000000-0005-0000-0000-000077440000}"/>
    <cellStyle name="Comma 2 2 7 4 2 4 2 2 3" xfId="48570" xr:uid="{00000000-0005-0000-0000-000078440000}"/>
    <cellStyle name="Comma 2 2 7 4 2 4 2 2 4" xfId="27740" xr:uid="{00000000-0005-0000-0000-000079440000}"/>
    <cellStyle name="Comma 2 2 7 4 2 4 2 3" xfId="6909" xr:uid="{00000000-0005-0000-0000-00007A440000}"/>
    <cellStyle name="Comma 2 2 7 4 2 4 2 3 2" xfId="30188" xr:uid="{00000000-0005-0000-0000-00007B440000}"/>
    <cellStyle name="Comma 2 2 7 4 2 4 2 4" xfId="9357" xr:uid="{00000000-0005-0000-0000-00007C440000}"/>
    <cellStyle name="Comma 2 2 7 4 2 4 2 4 2" xfId="32636" xr:uid="{00000000-0005-0000-0000-00007D440000}"/>
    <cellStyle name="Comma 2 2 7 4 2 4 2 5" xfId="11805" xr:uid="{00000000-0005-0000-0000-00007E440000}"/>
    <cellStyle name="Comma 2 2 7 4 2 4 2 5 2" xfId="35084" xr:uid="{00000000-0005-0000-0000-00007F440000}"/>
    <cellStyle name="Comma 2 2 7 4 2 4 2 6" xfId="14253" xr:uid="{00000000-0005-0000-0000-000080440000}"/>
    <cellStyle name="Comma 2 2 7 4 2 4 2 6 2" xfId="37532" xr:uid="{00000000-0005-0000-0000-000081440000}"/>
    <cellStyle name="Comma 2 2 7 4 2 4 2 7" xfId="17948" xr:uid="{00000000-0005-0000-0000-000082440000}"/>
    <cellStyle name="Comma 2 2 7 4 2 4 2 7 2" xfId="41226" xr:uid="{00000000-0005-0000-0000-000083440000}"/>
    <cellStyle name="Comma 2 2 7 4 2 4 2 8" xfId="25292" xr:uid="{00000000-0005-0000-0000-000084440000}"/>
    <cellStyle name="Comma 2 2 7 4 2 4 2 9" xfId="46122" xr:uid="{00000000-0005-0000-0000-000085440000}"/>
    <cellStyle name="Comma 2 2 7 4 2 4 3" xfId="3237" xr:uid="{00000000-0005-0000-0000-000086440000}"/>
    <cellStyle name="Comma 2 2 7 4 2 4 3 2" xfId="16724" xr:uid="{00000000-0005-0000-0000-000087440000}"/>
    <cellStyle name="Comma 2 2 7 4 2 4 3 2 2" xfId="40002" xr:uid="{00000000-0005-0000-0000-000088440000}"/>
    <cellStyle name="Comma 2 2 7 4 2 4 3 3" xfId="47346" xr:uid="{00000000-0005-0000-0000-000089440000}"/>
    <cellStyle name="Comma 2 2 7 4 2 4 3 4" xfId="26516" xr:uid="{00000000-0005-0000-0000-00008A440000}"/>
    <cellStyle name="Comma 2 2 7 4 2 4 4" xfId="5685" xr:uid="{00000000-0005-0000-0000-00008B440000}"/>
    <cellStyle name="Comma 2 2 7 4 2 4 4 2" xfId="19172" xr:uid="{00000000-0005-0000-0000-00008C440000}"/>
    <cellStyle name="Comma 2 2 7 4 2 4 4 2 2" xfId="42450" xr:uid="{00000000-0005-0000-0000-00008D440000}"/>
    <cellStyle name="Comma 2 2 7 4 2 4 4 3" xfId="28964" xr:uid="{00000000-0005-0000-0000-00008E440000}"/>
    <cellStyle name="Comma 2 2 7 4 2 4 5" xfId="8133" xr:uid="{00000000-0005-0000-0000-00008F440000}"/>
    <cellStyle name="Comma 2 2 7 4 2 4 5 2" xfId="31412" xr:uid="{00000000-0005-0000-0000-000090440000}"/>
    <cellStyle name="Comma 2 2 7 4 2 4 6" xfId="10581" xr:uid="{00000000-0005-0000-0000-000091440000}"/>
    <cellStyle name="Comma 2 2 7 4 2 4 6 2" xfId="33860" xr:uid="{00000000-0005-0000-0000-000092440000}"/>
    <cellStyle name="Comma 2 2 7 4 2 4 7" xfId="13029" xr:uid="{00000000-0005-0000-0000-000093440000}"/>
    <cellStyle name="Comma 2 2 7 4 2 4 7 2" xfId="36308" xr:uid="{00000000-0005-0000-0000-000094440000}"/>
    <cellStyle name="Comma 2 2 7 4 2 4 8" xfId="15500" xr:uid="{00000000-0005-0000-0000-000095440000}"/>
    <cellStyle name="Comma 2 2 7 4 2 4 8 2" xfId="38778" xr:uid="{00000000-0005-0000-0000-000096440000}"/>
    <cellStyle name="Comma 2 2 7 4 2 4 9" xfId="24068" xr:uid="{00000000-0005-0000-0000-000097440000}"/>
    <cellStyle name="Comma 2 2 7 4 2 5" xfId="1401" xr:uid="{00000000-0005-0000-0000-000098440000}"/>
    <cellStyle name="Comma 2 2 7 4 2 5 10" xfId="22232" xr:uid="{00000000-0005-0000-0000-000099440000}"/>
    <cellStyle name="Comma 2 2 7 4 2 5 2" xfId="3849" xr:uid="{00000000-0005-0000-0000-00009A440000}"/>
    <cellStyle name="Comma 2 2 7 4 2 5 2 2" xfId="19784" xr:uid="{00000000-0005-0000-0000-00009B440000}"/>
    <cellStyle name="Comma 2 2 7 4 2 5 2 2 2" xfId="43062" xr:uid="{00000000-0005-0000-0000-00009C440000}"/>
    <cellStyle name="Comma 2 2 7 4 2 5 2 3" xfId="47958" xr:uid="{00000000-0005-0000-0000-00009D440000}"/>
    <cellStyle name="Comma 2 2 7 4 2 5 2 4" xfId="27128" xr:uid="{00000000-0005-0000-0000-00009E440000}"/>
    <cellStyle name="Comma 2 2 7 4 2 5 3" xfId="6297" xr:uid="{00000000-0005-0000-0000-00009F440000}"/>
    <cellStyle name="Comma 2 2 7 4 2 5 3 2" xfId="29576" xr:uid="{00000000-0005-0000-0000-0000A0440000}"/>
    <cellStyle name="Comma 2 2 7 4 2 5 4" xfId="8745" xr:uid="{00000000-0005-0000-0000-0000A1440000}"/>
    <cellStyle name="Comma 2 2 7 4 2 5 4 2" xfId="32024" xr:uid="{00000000-0005-0000-0000-0000A2440000}"/>
    <cellStyle name="Comma 2 2 7 4 2 5 5" xfId="11193" xr:uid="{00000000-0005-0000-0000-0000A3440000}"/>
    <cellStyle name="Comma 2 2 7 4 2 5 5 2" xfId="34472" xr:uid="{00000000-0005-0000-0000-0000A4440000}"/>
    <cellStyle name="Comma 2 2 7 4 2 5 6" xfId="13641" xr:uid="{00000000-0005-0000-0000-0000A5440000}"/>
    <cellStyle name="Comma 2 2 7 4 2 5 6 2" xfId="36920" xr:uid="{00000000-0005-0000-0000-0000A6440000}"/>
    <cellStyle name="Comma 2 2 7 4 2 5 7" xfId="17336" xr:uid="{00000000-0005-0000-0000-0000A7440000}"/>
    <cellStyle name="Comma 2 2 7 4 2 5 7 2" xfId="40614" xr:uid="{00000000-0005-0000-0000-0000A8440000}"/>
    <cellStyle name="Comma 2 2 7 4 2 5 8" xfId="24680" xr:uid="{00000000-0005-0000-0000-0000A9440000}"/>
    <cellStyle name="Comma 2 2 7 4 2 5 9" xfId="45510" xr:uid="{00000000-0005-0000-0000-0000AA440000}"/>
    <cellStyle name="Comma 2 2 7 4 2 6" xfId="2625" xr:uid="{00000000-0005-0000-0000-0000AB440000}"/>
    <cellStyle name="Comma 2 2 7 4 2 6 2" xfId="16112" xr:uid="{00000000-0005-0000-0000-0000AC440000}"/>
    <cellStyle name="Comma 2 2 7 4 2 6 2 2" xfId="39390" xr:uid="{00000000-0005-0000-0000-0000AD440000}"/>
    <cellStyle name="Comma 2 2 7 4 2 6 3" xfId="46734" xr:uid="{00000000-0005-0000-0000-0000AE440000}"/>
    <cellStyle name="Comma 2 2 7 4 2 6 4" xfId="25904" xr:uid="{00000000-0005-0000-0000-0000AF440000}"/>
    <cellStyle name="Comma 2 2 7 4 2 7" xfId="5073" xr:uid="{00000000-0005-0000-0000-0000B0440000}"/>
    <cellStyle name="Comma 2 2 7 4 2 7 2" xfId="18560" xr:uid="{00000000-0005-0000-0000-0000B1440000}"/>
    <cellStyle name="Comma 2 2 7 4 2 7 2 2" xfId="41838" xr:uid="{00000000-0005-0000-0000-0000B2440000}"/>
    <cellStyle name="Comma 2 2 7 4 2 7 3" xfId="28352" xr:uid="{00000000-0005-0000-0000-0000B3440000}"/>
    <cellStyle name="Comma 2 2 7 4 2 8" xfId="7521" xr:uid="{00000000-0005-0000-0000-0000B4440000}"/>
    <cellStyle name="Comma 2 2 7 4 2 8 2" xfId="30800" xr:uid="{00000000-0005-0000-0000-0000B5440000}"/>
    <cellStyle name="Comma 2 2 7 4 2 9" xfId="9969" xr:uid="{00000000-0005-0000-0000-0000B6440000}"/>
    <cellStyle name="Comma 2 2 7 4 2 9 2" xfId="33248" xr:uid="{00000000-0005-0000-0000-0000B7440000}"/>
    <cellStyle name="Comma 2 2 7 4 3" xfId="245" xr:uid="{00000000-0005-0000-0000-0000B8440000}"/>
    <cellStyle name="Comma 2 2 7 4 3 10" xfId="12485" xr:uid="{00000000-0005-0000-0000-0000B9440000}"/>
    <cellStyle name="Comma 2 2 7 4 3 10 2" xfId="35764" xr:uid="{00000000-0005-0000-0000-0000BA440000}"/>
    <cellStyle name="Comma 2 2 7 4 3 11" xfId="14956" xr:uid="{00000000-0005-0000-0000-0000BB440000}"/>
    <cellStyle name="Comma 2 2 7 4 3 11 2" xfId="38234" xr:uid="{00000000-0005-0000-0000-0000BC440000}"/>
    <cellStyle name="Comma 2 2 7 4 3 12" xfId="23524" xr:uid="{00000000-0005-0000-0000-0000BD440000}"/>
    <cellStyle name="Comma 2 2 7 4 3 13" xfId="44354" xr:uid="{00000000-0005-0000-0000-0000BE440000}"/>
    <cellStyle name="Comma 2 2 7 4 3 14" xfId="21076" xr:uid="{00000000-0005-0000-0000-0000BF440000}"/>
    <cellStyle name="Comma 2 2 7 4 3 2" xfId="449" xr:uid="{00000000-0005-0000-0000-0000C0440000}"/>
    <cellStyle name="Comma 2 2 7 4 3 2 10" xfId="23728" xr:uid="{00000000-0005-0000-0000-0000C1440000}"/>
    <cellStyle name="Comma 2 2 7 4 3 2 11" xfId="44558" xr:uid="{00000000-0005-0000-0000-0000C2440000}"/>
    <cellStyle name="Comma 2 2 7 4 3 2 12" xfId="21280" xr:uid="{00000000-0005-0000-0000-0000C3440000}"/>
    <cellStyle name="Comma 2 2 7 4 3 2 2" xfId="1061" xr:uid="{00000000-0005-0000-0000-0000C4440000}"/>
    <cellStyle name="Comma 2 2 7 4 3 2 2 10" xfId="45170" xr:uid="{00000000-0005-0000-0000-0000C5440000}"/>
    <cellStyle name="Comma 2 2 7 4 3 2 2 11" xfId="21892" xr:uid="{00000000-0005-0000-0000-0000C6440000}"/>
    <cellStyle name="Comma 2 2 7 4 3 2 2 2" xfId="2285" xr:uid="{00000000-0005-0000-0000-0000C7440000}"/>
    <cellStyle name="Comma 2 2 7 4 3 2 2 2 10" xfId="23116" xr:uid="{00000000-0005-0000-0000-0000C8440000}"/>
    <cellStyle name="Comma 2 2 7 4 3 2 2 2 2" xfId="4733" xr:uid="{00000000-0005-0000-0000-0000C9440000}"/>
    <cellStyle name="Comma 2 2 7 4 3 2 2 2 2 2" xfId="20668" xr:uid="{00000000-0005-0000-0000-0000CA440000}"/>
    <cellStyle name="Comma 2 2 7 4 3 2 2 2 2 2 2" xfId="43946" xr:uid="{00000000-0005-0000-0000-0000CB440000}"/>
    <cellStyle name="Comma 2 2 7 4 3 2 2 2 2 3" xfId="48842" xr:uid="{00000000-0005-0000-0000-0000CC440000}"/>
    <cellStyle name="Comma 2 2 7 4 3 2 2 2 2 4" xfId="28012" xr:uid="{00000000-0005-0000-0000-0000CD440000}"/>
    <cellStyle name="Comma 2 2 7 4 3 2 2 2 3" xfId="7181" xr:uid="{00000000-0005-0000-0000-0000CE440000}"/>
    <cellStyle name="Comma 2 2 7 4 3 2 2 2 3 2" xfId="30460" xr:uid="{00000000-0005-0000-0000-0000CF440000}"/>
    <cellStyle name="Comma 2 2 7 4 3 2 2 2 4" xfId="9629" xr:uid="{00000000-0005-0000-0000-0000D0440000}"/>
    <cellStyle name="Comma 2 2 7 4 3 2 2 2 4 2" xfId="32908" xr:uid="{00000000-0005-0000-0000-0000D1440000}"/>
    <cellStyle name="Comma 2 2 7 4 3 2 2 2 5" xfId="12077" xr:uid="{00000000-0005-0000-0000-0000D2440000}"/>
    <cellStyle name="Comma 2 2 7 4 3 2 2 2 5 2" xfId="35356" xr:uid="{00000000-0005-0000-0000-0000D3440000}"/>
    <cellStyle name="Comma 2 2 7 4 3 2 2 2 6" xfId="14525" xr:uid="{00000000-0005-0000-0000-0000D4440000}"/>
    <cellStyle name="Comma 2 2 7 4 3 2 2 2 6 2" xfId="37804" xr:uid="{00000000-0005-0000-0000-0000D5440000}"/>
    <cellStyle name="Comma 2 2 7 4 3 2 2 2 7" xfId="18220" xr:uid="{00000000-0005-0000-0000-0000D6440000}"/>
    <cellStyle name="Comma 2 2 7 4 3 2 2 2 7 2" xfId="41498" xr:uid="{00000000-0005-0000-0000-0000D7440000}"/>
    <cellStyle name="Comma 2 2 7 4 3 2 2 2 8" xfId="25564" xr:uid="{00000000-0005-0000-0000-0000D8440000}"/>
    <cellStyle name="Comma 2 2 7 4 3 2 2 2 9" xfId="46394" xr:uid="{00000000-0005-0000-0000-0000D9440000}"/>
    <cellStyle name="Comma 2 2 7 4 3 2 2 3" xfId="3509" xr:uid="{00000000-0005-0000-0000-0000DA440000}"/>
    <cellStyle name="Comma 2 2 7 4 3 2 2 3 2" xfId="16996" xr:uid="{00000000-0005-0000-0000-0000DB440000}"/>
    <cellStyle name="Comma 2 2 7 4 3 2 2 3 2 2" xfId="40274" xr:uid="{00000000-0005-0000-0000-0000DC440000}"/>
    <cellStyle name="Comma 2 2 7 4 3 2 2 3 3" xfId="47618" xr:uid="{00000000-0005-0000-0000-0000DD440000}"/>
    <cellStyle name="Comma 2 2 7 4 3 2 2 3 4" xfId="26788" xr:uid="{00000000-0005-0000-0000-0000DE440000}"/>
    <cellStyle name="Comma 2 2 7 4 3 2 2 4" xfId="5957" xr:uid="{00000000-0005-0000-0000-0000DF440000}"/>
    <cellStyle name="Comma 2 2 7 4 3 2 2 4 2" xfId="19444" xr:uid="{00000000-0005-0000-0000-0000E0440000}"/>
    <cellStyle name="Comma 2 2 7 4 3 2 2 4 2 2" xfId="42722" xr:uid="{00000000-0005-0000-0000-0000E1440000}"/>
    <cellStyle name="Comma 2 2 7 4 3 2 2 4 3" xfId="29236" xr:uid="{00000000-0005-0000-0000-0000E2440000}"/>
    <cellStyle name="Comma 2 2 7 4 3 2 2 5" xfId="8405" xr:uid="{00000000-0005-0000-0000-0000E3440000}"/>
    <cellStyle name="Comma 2 2 7 4 3 2 2 5 2" xfId="31684" xr:uid="{00000000-0005-0000-0000-0000E4440000}"/>
    <cellStyle name="Comma 2 2 7 4 3 2 2 6" xfId="10853" xr:uid="{00000000-0005-0000-0000-0000E5440000}"/>
    <cellStyle name="Comma 2 2 7 4 3 2 2 6 2" xfId="34132" xr:uid="{00000000-0005-0000-0000-0000E6440000}"/>
    <cellStyle name="Comma 2 2 7 4 3 2 2 7" xfId="13301" xr:uid="{00000000-0005-0000-0000-0000E7440000}"/>
    <cellStyle name="Comma 2 2 7 4 3 2 2 7 2" xfId="36580" xr:uid="{00000000-0005-0000-0000-0000E8440000}"/>
    <cellStyle name="Comma 2 2 7 4 3 2 2 8" xfId="15772" xr:uid="{00000000-0005-0000-0000-0000E9440000}"/>
    <cellStyle name="Comma 2 2 7 4 3 2 2 8 2" xfId="39050" xr:uid="{00000000-0005-0000-0000-0000EA440000}"/>
    <cellStyle name="Comma 2 2 7 4 3 2 2 9" xfId="24340" xr:uid="{00000000-0005-0000-0000-0000EB440000}"/>
    <cellStyle name="Comma 2 2 7 4 3 2 3" xfId="1673" xr:uid="{00000000-0005-0000-0000-0000EC440000}"/>
    <cellStyle name="Comma 2 2 7 4 3 2 3 10" xfId="22504" xr:uid="{00000000-0005-0000-0000-0000ED440000}"/>
    <cellStyle name="Comma 2 2 7 4 3 2 3 2" xfId="4121" xr:uid="{00000000-0005-0000-0000-0000EE440000}"/>
    <cellStyle name="Comma 2 2 7 4 3 2 3 2 2" xfId="20056" xr:uid="{00000000-0005-0000-0000-0000EF440000}"/>
    <cellStyle name="Comma 2 2 7 4 3 2 3 2 2 2" xfId="43334" xr:uid="{00000000-0005-0000-0000-0000F0440000}"/>
    <cellStyle name="Comma 2 2 7 4 3 2 3 2 3" xfId="48230" xr:uid="{00000000-0005-0000-0000-0000F1440000}"/>
    <cellStyle name="Comma 2 2 7 4 3 2 3 2 4" xfId="27400" xr:uid="{00000000-0005-0000-0000-0000F2440000}"/>
    <cellStyle name="Comma 2 2 7 4 3 2 3 3" xfId="6569" xr:uid="{00000000-0005-0000-0000-0000F3440000}"/>
    <cellStyle name="Comma 2 2 7 4 3 2 3 3 2" xfId="29848" xr:uid="{00000000-0005-0000-0000-0000F4440000}"/>
    <cellStyle name="Comma 2 2 7 4 3 2 3 4" xfId="9017" xr:uid="{00000000-0005-0000-0000-0000F5440000}"/>
    <cellStyle name="Comma 2 2 7 4 3 2 3 4 2" xfId="32296" xr:uid="{00000000-0005-0000-0000-0000F6440000}"/>
    <cellStyle name="Comma 2 2 7 4 3 2 3 5" xfId="11465" xr:uid="{00000000-0005-0000-0000-0000F7440000}"/>
    <cellStyle name="Comma 2 2 7 4 3 2 3 5 2" xfId="34744" xr:uid="{00000000-0005-0000-0000-0000F8440000}"/>
    <cellStyle name="Comma 2 2 7 4 3 2 3 6" xfId="13913" xr:uid="{00000000-0005-0000-0000-0000F9440000}"/>
    <cellStyle name="Comma 2 2 7 4 3 2 3 6 2" xfId="37192" xr:uid="{00000000-0005-0000-0000-0000FA440000}"/>
    <cellStyle name="Comma 2 2 7 4 3 2 3 7" xfId="17608" xr:uid="{00000000-0005-0000-0000-0000FB440000}"/>
    <cellStyle name="Comma 2 2 7 4 3 2 3 7 2" xfId="40886" xr:uid="{00000000-0005-0000-0000-0000FC440000}"/>
    <cellStyle name="Comma 2 2 7 4 3 2 3 8" xfId="24952" xr:uid="{00000000-0005-0000-0000-0000FD440000}"/>
    <cellStyle name="Comma 2 2 7 4 3 2 3 9" xfId="45782" xr:uid="{00000000-0005-0000-0000-0000FE440000}"/>
    <cellStyle name="Comma 2 2 7 4 3 2 4" xfId="2897" xr:uid="{00000000-0005-0000-0000-0000FF440000}"/>
    <cellStyle name="Comma 2 2 7 4 3 2 4 2" xfId="16384" xr:uid="{00000000-0005-0000-0000-000000450000}"/>
    <cellStyle name="Comma 2 2 7 4 3 2 4 2 2" xfId="39662" xr:uid="{00000000-0005-0000-0000-000001450000}"/>
    <cellStyle name="Comma 2 2 7 4 3 2 4 3" xfId="47006" xr:uid="{00000000-0005-0000-0000-000002450000}"/>
    <cellStyle name="Comma 2 2 7 4 3 2 4 4" xfId="26176" xr:uid="{00000000-0005-0000-0000-000003450000}"/>
    <cellStyle name="Comma 2 2 7 4 3 2 5" xfId="5345" xr:uid="{00000000-0005-0000-0000-000004450000}"/>
    <cellStyle name="Comma 2 2 7 4 3 2 5 2" xfId="18832" xr:uid="{00000000-0005-0000-0000-000005450000}"/>
    <cellStyle name="Comma 2 2 7 4 3 2 5 2 2" xfId="42110" xr:uid="{00000000-0005-0000-0000-000006450000}"/>
    <cellStyle name="Comma 2 2 7 4 3 2 5 3" xfId="28624" xr:uid="{00000000-0005-0000-0000-000007450000}"/>
    <cellStyle name="Comma 2 2 7 4 3 2 6" xfId="7793" xr:uid="{00000000-0005-0000-0000-000008450000}"/>
    <cellStyle name="Comma 2 2 7 4 3 2 6 2" xfId="31072" xr:uid="{00000000-0005-0000-0000-000009450000}"/>
    <cellStyle name="Comma 2 2 7 4 3 2 7" xfId="10241" xr:uid="{00000000-0005-0000-0000-00000A450000}"/>
    <cellStyle name="Comma 2 2 7 4 3 2 7 2" xfId="33520" xr:uid="{00000000-0005-0000-0000-00000B450000}"/>
    <cellStyle name="Comma 2 2 7 4 3 2 8" xfId="12689" xr:uid="{00000000-0005-0000-0000-00000C450000}"/>
    <cellStyle name="Comma 2 2 7 4 3 2 8 2" xfId="35968" xr:uid="{00000000-0005-0000-0000-00000D450000}"/>
    <cellStyle name="Comma 2 2 7 4 3 2 9" xfId="15160" xr:uid="{00000000-0005-0000-0000-00000E450000}"/>
    <cellStyle name="Comma 2 2 7 4 3 2 9 2" xfId="38438" xr:uid="{00000000-0005-0000-0000-00000F450000}"/>
    <cellStyle name="Comma 2 2 7 4 3 3" xfId="653" xr:uid="{00000000-0005-0000-0000-000010450000}"/>
    <cellStyle name="Comma 2 2 7 4 3 3 10" xfId="23932" xr:uid="{00000000-0005-0000-0000-000011450000}"/>
    <cellStyle name="Comma 2 2 7 4 3 3 11" xfId="44762" xr:uid="{00000000-0005-0000-0000-000012450000}"/>
    <cellStyle name="Comma 2 2 7 4 3 3 12" xfId="21484" xr:uid="{00000000-0005-0000-0000-000013450000}"/>
    <cellStyle name="Comma 2 2 7 4 3 3 2" xfId="1265" xr:uid="{00000000-0005-0000-0000-000014450000}"/>
    <cellStyle name="Comma 2 2 7 4 3 3 2 10" xfId="45374" xr:uid="{00000000-0005-0000-0000-000015450000}"/>
    <cellStyle name="Comma 2 2 7 4 3 3 2 11" xfId="22096" xr:uid="{00000000-0005-0000-0000-000016450000}"/>
    <cellStyle name="Comma 2 2 7 4 3 3 2 2" xfId="2489" xr:uid="{00000000-0005-0000-0000-000017450000}"/>
    <cellStyle name="Comma 2 2 7 4 3 3 2 2 10" xfId="23320" xr:uid="{00000000-0005-0000-0000-000018450000}"/>
    <cellStyle name="Comma 2 2 7 4 3 3 2 2 2" xfId="4937" xr:uid="{00000000-0005-0000-0000-000019450000}"/>
    <cellStyle name="Comma 2 2 7 4 3 3 2 2 2 2" xfId="20872" xr:uid="{00000000-0005-0000-0000-00001A450000}"/>
    <cellStyle name="Comma 2 2 7 4 3 3 2 2 2 2 2" xfId="44150" xr:uid="{00000000-0005-0000-0000-00001B450000}"/>
    <cellStyle name="Comma 2 2 7 4 3 3 2 2 2 3" xfId="49046" xr:uid="{00000000-0005-0000-0000-00001C450000}"/>
    <cellStyle name="Comma 2 2 7 4 3 3 2 2 2 4" xfId="28216" xr:uid="{00000000-0005-0000-0000-00001D450000}"/>
    <cellStyle name="Comma 2 2 7 4 3 3 2 2 3" xfId="7385" xr:uid="{00000000-0005-0000-0000-00001E450000}"/>
    <cellStyle name="Comma 2 2 7 4 3 3 2 2 3 2" xfId="30664" xr:uid="{00000000-0005-0000-0000-00001F450000}"/>
    <cellStyle name="Comma 2 2 7 4 3 3 2 2 4" xfId="9833" xr:uid="{00000000-0005-0000-0000-000020450000}"/>
    <cellStyle name="Comma 2 2 7 4 3 3 2 2 4 2" xfId="33112" xr:uid="{00000000-0005-0000-0000-000021450000}"/>
    <cellStyle name="Comma 2 2 7 4 3 3 2 2 5" xfId="12281" xr:uid="{00000000-0005-0000-0000-000022450000}"/>
    <cellStyle name="Comma 2 2 7 4 3 3 2 2 5 2" xfId="35560" xr:uid="{00000000-0005-0000-0000-000023450000}"/>
    <cellStyle name="Comma 2 2 7 4 3 3 2 2 6" xfId="14729" xr:uid="{00000000-0005-0000-0000-000024450000}"/>
    <cellStyle name="Comma 2 2 7 4 3 3 2 2 6 2" xfId="38008" xr:uid="{00000000-0005-0000-0000-000025450000}"/>
    <cellStyle name="Comma 2 2 7 4 3 3 2 2 7" xfId="18424" xr:uid="{00000000-0005-0000-0000-000026450000}"/>
    <cellStyle name="Comma 2 2 7 4 3 3 2 2 7 2" xfId="41702" xr:uid="{00000000-0005-0000-0000-000027450000}"/>
    <cellStyle name="Comma 2 2 7 4 3 3 2 2 8" xfId="25768" xr:uid="{00000000-0005-0000-0000-000028450000}"/>
    <cellStyle name="Comma 2 2 7 4 3 3 2 2 9" xfId="46598" xr:uid="{00000000-0005-0000-0000-000029450000}"/>
    <cellStyle name="Comma 2 2 7 4 3 3 2 3" xfId="3713" xr:uid="{00000000-0005-0000-0000-00002A450000}"/>
    <cellStyle name="Comma 2 2 7 4 3 3 2 3 2" xfId="17200" xr:uid="{00000000-0005-0000-0000-00002B450000}"/>
    <cellStyle name="Comma 2 2 7 4 3 3 2 3 2 2" xfId="40478" xr:uid="{00000000-0005-0000-0000-00002C450000}"/>
    <cellStyle name="Comma 2 2 7 4 3 3 2 3 3" xfId="47822" xr:uid="{00000000-0005-0000-0000-00002D450000}"/>
    <cellStyle name="Comma 2 2 7 4 3 3 2 3 4" xfId="26992" xr:uid="{00000000-0005-0000-0000-00002E450000}"/>
    <cellStyle name="Comma 2 2 7 4 3 3 2 4" xfId="6161" xr:uid="{00000000-0005-0000-0000-00002F450000}"/>
    <cellStyle name="Comma 2 2 7 4 3 3 2 4 2" xfId="19648" xr:uid="{00000000-0005-0000-0000-000030450000}"/>
    <cellStyle name="Comma 2 2 7 4 3 3 2 4 2 2" xfId="42926" xr:uid="{00000000-0005-0000-0000-000031450000}"/>
    <cellStyle name="Comma 2 2 7 4 3 3 2 4 3" xfId="29440" xr:uid="{00000000-0005-0000-0000-000032450000}"/>
    <cellStyle name="Comma 2 2 7 4 3 3 2 5" xfId="8609" xr:uid="{00000000-0005-0000-0000-000033450000}"/>
    <cellStyle name="Comma 2 2 7 4 3 3 2 5 2" xfId="31888" xr:uid="{00000000-0005-0000-0000-000034450000}"/>
    <cellStyle name="Comma 2 2 7 4 3 3 2 6" xfId="11057" xr:uid="{00000000-0005-0000-0000-000035450000}"/>
    <cellStyle name="Comma 2 2 7 4 3 3 2 6 2" xfId="34336" xr:uid="{00000000-0005-0000-0000-000036450000}"/>
    <cellStyle name="Comma 2 2 7 4 3 3 2 7" xfId="13505" xr:uid="{00000000-0005-0000-0000-000037450000}"/>
    <cellStyle name="Comma 2 2 7 4 3 3 2 7 2" xfId="36784" xr:uid="{00000000-0005-0000-0000-000038450000}"/>
    <cellStyle name="Comma 2 2 7 4 3 3 2 8" xfId="15976" xr:uid="{00000000-0005-0000-0000-000039450000}"/>
    <cellStyle name="Comma 2 2 7 4 3 3 2 8 2" xfId="39254" xr:uid="{00000000-0005-0000-0000-00003A450000}"/>
    <cellStyle name="Comma 2 2 7 4 3 3 2 9" xfId="24544" xr:uid="{00000000-0005-0000-0000-00003B450000}"/>
    <cellStyle name="Comma 2 2 7 4 3 3 3" xfId="1877" xr:uid="{00000000-0005-0000-0000-00003C450000}"/>
    <cellStyle name="Comma 2 2 7 4 3 3 3 10" xfId="22708" xr:uid="{00000000-0005-0000-0000-00003D450000}"/>
    <cellStyle name="Comma 2 2 7 4 3 3 3 2" xfId="4325" xr:uid="{00000000-0005-0000-0000-00003E450000}"/>
    <cellStyle name="Comma 2 2 7 4 3 3 3 2 2" xfId="20260" xr:uid="{00000000-0005-0000-0000-00003F450000}"/>
    <cellStyle name="Comma 2 2 7 4 3 3 3 2 2 2" xfId="43538" xr:uid="{00000000-0005-0000-0000-000040450000}"/>
    <cellStyle name="Comma 2 2 7 4 3 3 3 2 3" xfId="48434" xr:uid="{00000000-0005-0000-0000-000041450000}"/>
    <cellStyle name="Comma 2 2 7 4 3 3 3 2 4" xfId="27604" xr:uid="{00000000-0005-0000-0000-000042450000}"/>
    <cellStyle name="Comma 2 2 7 4 3 3 3 3" xfId="6773" xr:uid="{00000000-0005-0000-0000-000043450000}"/>
    <cellStyle name="Comma 2 2 7 4 3 3 3 3 2" xfId="30052" xr:uid="{00000000-0005-0000-0000-000044450000}"/>
    <cellStyle name="Comma 2 2 7 4 3 3 3 4" xfId="9221" xr:uid="{00000000-0005-0000-0000-000045450000}"/>
    <cellStyle name="Comma 2 2 7 4 3 3 3 4 2" xfId="32500" xr:uid="{00000000-0005-0000-0000-000046450000}"/>
    <cellStyle name="Comma 2 2 7 4 3 3 3 5" xfId="11669" xr:uid="{00000000-0005-0000-0000-000047450000}"/>
    <cellStyle name="Comma 2 2 7 4 3 3 3 5 2" xfId="34948" xr:uid="{00000000-0005-0000-0000-000048450000}"/>
    <cellStyle name="Comma 2 2 7 4 3 3 3 6" xfId="14117" xr:uid="{00000000-0005-0000-0000-000049450000}"/>
    <cellStyle name="Comma 2 2 7 4 3 3 3 6 2" xfId="37396" xr:uid="{00000000-0005-0000-0000-00004A450000}"/>
    <cellStyle name="Comma 2 2 7 4 3 3 3 7" xfId="17812" xr:uid="{00000000-0005-0000-0000-00004B450000}"/>
    <cellStyle name="Comma 2 2 7 4 3 3 3 7 2" xfId="41090" xr:uid="{00000000-0005-0000-0000-00004C450000}"/>
    <cellStyle name="Comma 2 2 7 4 3 3 3 8" xfId="25156" xr:uid="{00000000-0005-0000-0000-00004D450000}"/>
    <cellStyle name="Comma 2 2 7 4 3 3 3 9" xfId="45986" xr:uid="{00000000-0005-0000-0000-00004E450000}"/>
    <cellStyle name="Comma 2 2 7 4 3 3 4" xfId="3101" xr:uid="{00000000-0005-0000-0000-00004F450000}"/>
    <cellStyle name="Comma 2 2 7 4 3 3 4 2" xfId="16588" xr:uid="{00000000-0005-0000-0000-000050450000}"/>
    <cellStyle name="Comma 2 2 7 4 3 3 4 2 2" xfId="39866" xr:uid="{00000000-0005-0000-0000-000051450000}"/>
    <cellStyle name="Comma 2 2 7 4 3 3 4 3" xfId="47210" xr:uid="{00000000-0005-0000-0000-000052450000}"/>
    <cellStyle name="Comma 2 2 7 4 3 3 4 4" xfId="26380" xr:uid="{00000000-0005-0000-0000-000053450000}"/>
    <cellStyle name="Comma 2 2 7 4 3 3 5" xfId="5549" xr:uid="{00000000-0005-0000-0000-000054450000}"/>
    <cellStyle name="Comma 2 2 7 4 3 3 5 2" xfId="19036" xr:uid="{00000000-0005-0000-0000-000055450000}"/>
    <cellStyle name="Comma 2 2 7 4 3 3 5 2 2" xfId="42314" xr:uid="{00000000-0005-0000-0000-000056450000}"/>
    <cellStyle name="Comma 2 2 7 4 3 3 5 3" xfId="28828" xr:uid="{00000000-0005-0000-0000-000057450000}"/>
    <cellStyle name="Comma 2 2 7 4 3 3 6" xfId="7997" xr:uid="{00000000-0005-0000-0000-000058450000}"/>
    <cellStyle name="Comma 2 2 7 4 3 3 6 2" xfId="31276" xr:uid="{00000000-0005-0000-0000-000059450000}"/>
    <cellStyle name="Comma 2 2 7 4 3 3 7" xfId="10445" xr:uid="{00000000-0005-0000-0000-00005A450000}"/>
    <cellStyle name="Comma 2 2 7 4 3 3 7 2" xfId="33724" xr:uid="{00000000-0005-0000-0000-00005B450000}"/>
    <cellStyle name="Comma 2 2 7 4 3 3 8" xfId="12893" xr:uid="{00000000-0005-0000-0000-00005C450000}"/>
    <cellStyle name="Comma 2 2 7 4 3 3 8 2" xfId="36172" xr:uid="{00000000-0005-0000-0000-00005D450000}"/>
    <cellStyle name="Comma 2 2 7 4 3 3 9" xfId="15364" xr:uid="{00000000-0005-0000-0000-00005E450000}"/>
    <cellStyle name="Comma 2 2 7 4 3 3 9 2" xfId="38642" xr:uid="{00000000-0005-0000-0000-00005F450000}"/>
    <cellStyle name="Comma 2 2 7 4 3 4" xfId="857" xr:uid="{00000000-0005-0000-0000-000060450000}"/>
    <cellStyle name="Comma 2 2 7 4 3 4 10" xfId="44966" xr:uid="{00000000-0005-0000-0000-000061450000}"/>
    <cellStyle name="Comma 2 2 7 4 3 4 11" xfId="21688" xr:uid="{00000000-0005-0000-0000-000062450000}"/>
    <cellStyle name="Comma 2 2 7 4 3 4 2" xfId="2081" xr:uid="{00000000-0005-0000-0000-000063450000}"/>
    <cellStyle name="Comma 2 2 7 4 3 4 2 10" xfId="22912" xr:uid="{00000000-0005-0000-0000-000064450000}"/>
    <cellStyle name="Comma 2 2 7 4 3 4 2 2" xfId="4529" xr:uid="{00000000-0005-0000-0000-000065450000}"/>
    <cellStyle name="Comma 2 2 7 4 3 4 2 2 2" xfId="20464" xr:uid="{00000000-0005-0000-0000-000066450000}"/>
    <cellStyle name="Comma 2 2 7 4 3 4 2 2 2 2" xfId="43742" xr:uid="{00000000-0005-0000-0000-000067450000}"/>
    <cellStyle name="Comma 2 2 7 4 3 4 2 2 3" xfId="48638" xr:uid="{00000000-0005-0000-0000-000068450000}"/>
    <cellStyle name="Comma 2 2 7 4 3 4 2 2 4" xfId="27808" xr:uid="{00000000-0005-0000-0000-000069450000}"/>
    <cellStyle name="Comma 2 2 7 4 3 4 2 3" xfId="6977" xr:uid="{00000000-0005-0000-0000-00006A450000}"/>
    <cellStyle name="Comma 2 2 7 4 3 4 2 3 2" xfId="30256" xr:uid="{00000000-0005-0000-0000-00006B450000}"/>
    <cellStyle name="Comma 2 2 7 4 3 4 2 4" xfId="9425" xr:uid="{00000000-0005-0000-0000-00006C450000}"/>
    <cellStyle name="Comma 2 2 7 4 3 4 2 4 2" xfId="32704" xr:uid="{00000000-0005-0000-0000-00006D450000}"/>
    <cellStyle name="Comma 2 2 7 4 3 4 2 5" xfId="11873" xr:uid="{00000000-0005-0000-0000-00006E450000}"/>
    <cellStyle name="Comma 2 2 7 4 3 4 2 5 2" xfId="35152" xr:uid="{00000000-0005-0000-0000-00006F450000}"/>
    <cellStyle name="Comma 2 2 7 4 3 4 2 6" xfId="14321" xr:uid="{00000000-0005-0000-0000-000070450000}"/>
    <cellStyle name="Comma 2 2 7 4 3 4 2 6 2" xfId="37600" xr:uid="{00000000-0005-0000-0000-000071450000}"/>
    <cellStyle name="Comma 2 2 7 4 3 4 2 7" xfId="18016" xr:uid="{00000000-0005-0000-0000-000072450000}"/>
    <cellStyle name="Comma 2 2 7 4 3 4 2 7 2" xfId="41294" xr:uid="{00000000-0005-0000-0000-000073450000}"/>
    <cellStyle name="Comma 2 2 7 4 3 4 2 8" xfId="25360" xr:uid="{00000000-0005-0000-0000-000074450000}"/>
    <cellStyle name="Comma 2 2 7 4 3 4 2 9" xfId="46190" xr:uid="{00000000-0005-0000-0000-000075450000}"/>
    <cellStyle name="Comma 2 2 7 4 3 4 3" xfId="3305" xr:uid="{00000000-0005-0000-0000-000076450000}"/>
    <cellStyle name="Comma 2 2 7 4 3 4 3 2" xfId="16792" xr:uid="{00000000-0005-0000-0000-000077450000}"/>
    <cellStyle name="Comma 2 2 7 4 3 4 3 2 2" xfId="40070" xr:uid="{00000000-0005-0000-0000-000078450000}"/>
    <cellStyle name="Comma 2 2 7 4 3 4 3 3" xfId="47414" xr:uid="{00000000-0005-0000-0000-000079450000}"/>
    <cellStyle name="Comma 2 2 7 4 3 4 3 4" xfId="26584" xr:uid="{00000000-0005-0000-0000-00007A450000}"/>
    <cellStyle name="Comma 2 2 7 4 3 4 4" xfId="5753" xr:uid="{00000000-0005-0000-0000-00007B450000}"/>
    <cellStyle name="Comma 2 2 7 4 3 4 4 2" xfId="19240" xr:uid="{00000000-0005-0000-0000-00007C450000}"/>
    <cellStyle name="Comma 2 2 7 4 3 4 4 2 2" xfId="42518" xr:uid="{00000000-0005-0000-0000-00007D450000}"/>
    <cellStyle name="Comma 2 2 7 4 3 4 4 3" xfId="29032" xr:uid="{00000000-0005-0000-0000-00007E450000}"/>
    <cellStyle name="Comma 2 2 7 4 3 4 5" xfId="8201" xr:uid="{00000000-0005-0000-0000-00007F450000}"/>
    <cellStyle name="Comma 2 2 7 4 3 4 5 2" xfId="31480" xr:uid="{00000000-0005-0000-0000-000080450000}"/>
    <cellStyle name="Comma 2 2 7 4 3 4 6" xfId="10649" xr:uid="{00000000-0005-0000-0000-000081450000}"/>
    <cellStyle name="Comma 2 2 7 4 3 4 6 2" xfId="33928" xr:uid="{00000000-0005-0000-0000-000082450000}"/>
    <cellStyle name="Comma 2 2 7 4 3 4 7" xfId="13097" xr:uid="{00000000-0005-0000-0000-000083450000}"/>
    <cellStyle name="Comma 2 2 7 4 3 4 7 2" xfId="36376" xr:uid="{00000000-0005-0000-0000-000084450000}"/>
    <cellStyle name="Comma 2 2 7 4 3 4 8" xfId="15568" xr:uid="{00000000-0005-0000-0000-000085450000}"/>
    <cellStyle name="Comma 2 2 7 4 3 4 8 2" xfId="38846" xr:uid="{00000000-0005-0000-0000-000086450000}"/>
    <cellStyle name="Comma 2 2 7 4 3 4 9" xfId="24136" xr:uid="{00000000-0005-0000-0000-000087450000}"/>
    <cellStyle name="Comma 2 2 7 4 3 5" xfId="1469" xr:uid="{00000000-0005-0000-0000-000088450000}"/>
    <cellStyle name="Comma 2 2 7 4 3 5 10" xfId="22300" xr:uid="{00000000-0005-0000-0000-000089450000}"/>
    <cellStyle name="Comma 2 2 7 4 3 5 2" xfId="3917" xr:uid="{00000000-0005-0000-0000-00008A450000}"/>
    <cellStyle name="Comma 2 2 7 4 3 5 2 2" xfId="19852" xr:uid="{00000000-0005-0000-0000-00008B450000}"/>
    <cellStyle name="Comma 2 2 7 4 3 5 2 2 2" xfId="43130" xr:uid="{00000000-0005-0000-0000-00008C450000}"/>
    <cellStyle name="Comma 2 2 7 4 3 5 2 3" xfId="48026" xr:uid="{00000000-0005-0000-0000-00008D450000}"/>
    <cellStyle name="Comma 2 2 7 4 3 5 2 4" xfId="27196" xr:uid="{00000000-0005-0000-0000-00008E450000}"/>
    <cellStyle name="Comma 2 2 7 4 3 5 3" xfId="6365" xr:uid="{00000000-0005-0000-0000-00008F450000}"/>
    <cellStyle name="Comma 2 2 7 4 3 5 3 2" xfId="29644" xr:uid="{00000000-0005-0000-0000-000090450000}"/>
    <cellStyle name="Comma 2 2 7 4 3 5 4" xfId="8813" xr:uid="{00000000-0005-0000-0000-000091450000}"/>
    <cellStyle name="Comma 2 2 7 4 3 5 4 2" xfId="32092" xr:uid="{00000000-0005-0000-0000-000092450000}"/>
    <cellStyle name="Comma 2 2 7 4 3 5 5" xfId="11261" xr:uid="{00000000-0005-0000-0000-000093450000}"/>
    <cellStyle name="Comma 2 2 7 4 3 5 5 2" xfId="34540" xr:uid="{00000000-0005-0000-0000-000094450000}"/>
    <cellStyle name="Comma 2 2 7 4 3 5 6" xfId="13709" xr:uid="{00000000-0005-0000-0000-000095450000}"/>
    <cellStyle name="Comma 2 2 7 4 3 5 6 2" xfId="36988" xr:uid="{00000000-0005-0000-0000-000096450000}"/>
    <cellStyle name="Comma 2 2 7 4 3 5 7" xfId="17404" xr:uid="{00000000-0005-0000-0000-000097450000}"/>
    <cellStyle name="Comma 2 2 7 4 3 5 7 2" xfId="40682" xr:uid="{00000000-0005-0000-0000-000098450000}"/>
    <cellStyle name="Comma 2 2 7 4 3 5 8" xfId="24748" xr:uid="{00000000-0005-0000-0000-000099450000}"/>
    <cellStyle name="Comma 2 2 7 4 3 5 9" xfId="45578" xr:uid="{00000000-0005-0000-0000-00009A450000}"/>
    <cellStyle name="Comma 2 2 7 4 3 6" xfId="2693" xr:uid="{00000000-0005-0000-0000-00009B450000}"/>
    <cellStyle name="Comma 2 2 7 4 3 6 2" xfId="16180" xr:uid="{00000000-0005-0000-0000-00009C450000}"/>
    <cellStyle name="Comma 2 2 7 4 3 6 2 2" xfId="39458" xr:uid="{00000000-0005-0000-0000-00009D450000}"/>
    <cellStyle name="Comma 2 2 7 4 3 6 3" xfId="46802" xr:uid="{00000000-0005-0000-0000-00009E450000}"/>
    <cellStyle name="Comma 2 2 7 4 3 6 4" xfId="25972" xr:uid="{00000000-0005-0000-0000-00009F450000}"/>
    <cellStyle name="Comma 2 2 7 4 3 7" xfId="5141" xr:uid="{00000000-0005-0000-0000-0000A0450000}"/>
    <cellStyle name="Comma 2 2 7 4 3 7 2" xfId="18628" xr:uid="{00000000-0005-0000-0000-0000A1450000}"/>
    <cellStyle name="Comma 2 2 7 4 3 7 2 2" xfId="41906" xr:uid="{00000000-0005-0000-0000-0000A2450000}"/>
    <cellStyle name="Comma 2 2 7 4 3 7 3" xfId="28420" xr:uid="{00000000-0005-0000-0000-0000A3450000}"/>
    <cellStyle name="Comma 2 2 7 4 3 8" xfId="7589" xr:uid="{00000000-0005-0000-0000-0000A4450000}"/>
    <cellStyle name="Comma 2 2 7 4 3 8 2" xfId="30868" xr:uid="{00000000-0005-0000-0000-0000A5450000}"/>
    <cellStyle name="Comma 2 2 7 4 3 9" xfId="10037" xr:uid="{00000000-0005-0000-0000-0000A6450000}"/>
    <cellStyle name="Comma 2 2 7 4 3 9 2" xfId="33316" xr:uid="{00000000-0005-0000-0000-0000A7450000}"/>
    <cellStyle name="Comma 2 2 7 4 4" xfId="313" xr:uid="{00000000-0005-0000-0000-0000A8450000}"/>
    <cellStyle name="Comma 2 2 7 4 4 10" xfId="23592" xr:uid="{00000000-0005-0000-0000-0000A9450000}"/>
    <cellStyle name="Comma 2 2 7 4 4 11" xfId="44422" xr:uid="{00000000-0005-0000-0000-0000AA450000}"/>
    <cellStyle name="Comma 2 2 7 4 4 12" xfId="21144" xr:uid="{00000000-0005-0000-0000-0000AB450000}"/>
    <cellStyle name="Comma 2 2 7 4 4 2" xfId="925" xr:uid="{00000000-0005-0000-0000-0000AC450000}"/>
    <cellStyle name="Comma 2 2 7 4 4 2 10" xfId="45034" xr:uid="{00000000-0005-0000-0000-0000AD450000}"/>
    <cellStyle name="Comma 2 2 7 4 4 2 11" xfId="21756" xr:uid="{00000000-0005-0000-0000-0000AE450000}"/>
    <cellStyle name="Comma 2 2 7 4 4 2 2" xfId="2149" xr:uid="{00000000-0005-0000-0000-0000AF450000}"/>
    <cellStyle name="Comma 2 2 7 4 4 2 2 10" xfId="22980" xr:uid="{00000000-0005-0000-0000-0000B0450000}"/>
    <cellStyle name="Comma 2 2 7 4 4 2 2 2" xfId="4597" xr:uid="{00000000-0005-0000-0000-0000B1450000}"/>
    <cellStyle name="Comma 2 2 7 4 4 2 2 2 2" xfId="20532" xr:uid="{00000000-0005-0000-0000-0000B2450000}"/>
    <cellStyle name="Comma 2 2 7 4 4 2 2 2 2 2" xfId="43810" xr:uid="{00000000-0005-0000-0000-0000B3450000}"/>
    <cellStyle name="Comma 2 2 7 4 4 2 2 2 3" xfId="48706" xr:uid="{00000000-0005-0000-0000-0000B4450000}"/>
    <cellStyle name="Comma 2 2 7 4 4 2 2 2 4" xfId="27876" xr:uid="{00000000-0005-0000-0000-0000B5450000}"/>
    <cellStyle name="Comma 2 2 7 4 4 2 2 3" xfId="7045" xr:uid="{00000000-0005-0000-0000-0000B6450000}"/>
    <cellStyle name="Comma 2 2 7 4 4 2 2 3 2" xfId="30324" xr:uid="{00000000-0005-0000-0000-0000B7450000}"/>
    <cellStyle name="Comma 2 2 7 4 4 2 2 4" xfId="9493" xr:uid="{00000000-0005-0000-0000-0000B8450000}"/>
    <cellStyle name="Comma 2 2 7 4 4 2 2 4 2" xfId="32772" xr:uid="{00000000-0005-0000-0000-0000B9450000}"/>
    <cellStyle name="Comma 2 2 7 4 4 2 2 5" xfId="11941" xr:uid="{00000000-0005-0000-0000-0000BA450000}"/>
    <cellStyle name="Comma 2 2 7 4 4 2 2 5 2" xfId="35220" xr:uid="{00000000-0005-0000-0000-0000BB450000}"/>
    <cellStyle name="Comma 2 2 7 4 4 2 2 6" xfId="14389" xr:uid="{00000000-0005-0000-0000-0000BC450000}"/>
    <cellStyle name="Comma 2 2 7 4 4 2 2 6 2" xfId="37668" xr:uid="{00000000-0005-0000-0000-0000BD450000}"/>
    <cellStyle name="Comma 2 2 7 4 4 2 2 7" xfId="18084" xr:uid="{00000000-0005-0000-0000-0000BE450000}"/>
    <cellStyle name="Comma 2 2 7 4 4 2 2 7 2" xfId="41362" xr:uid="{00000000-0005-0000-0000-0000BF450000}"/>
    <cellStyle name="Comma 2 2 7 4 4 2 2 8" xfId="25428" xr:uid="{00000000-0005-0000-0000-0000C0450000}"/>
    <cellStyle name="Comma 2 2 7 4 4 2 2 9" xfId="46258" xr:uid="{00000000-0005-0000-0000-0000C1450000}"/>
    <cellStyle name="Comma 2 2 7 4 4 2 3" xfId="3373" xr:uid="{00000000-0005-0000-0000-0000C2450000}"/>
    <cellStyle name="Comma 2 2 7 4 4 2 3 2" xfId="16860" xr:uid="{00000000-0005-0000-0000-0000C3450000}"/>
    <cellStyle name="Comma 2 2 7 4 4 2 3 2 2" xfId="40138" xr:uid="{00000000-0005-0000-0000-0000C4450000}"/>
    <cellStyle name="Comma 2 2 7 4 4 2 3 3" xfId="47482" xr:uid="{00000000-0005-0000-0000-0000C5450000}"/>
    <cellStyle name="Comma 2 2 7 4 4 2 3 4" xfId="26652" xr:uid="{00000000-0005-0000-0000-0000C6450000}"/>
    <cellStyle name="Comma 2 2 7 4 4 2 4" xfId="5821" xr:uid="{00000000-0005-0000-0000-0000C7450000}"/>
    <cellStyle name="Comma 2 2 7 4 4 2 4 2" xfId="19308" xr:uid="{00000000-0005-0000-0000-0000C8450000}"/>
    <cellStyle name="Comma 2 2 7 4 4 2 4 2 2" xfId="42586" xr:uid="{00000000-0005-0000-0000-0000C9450000}"/>
    <cellStyle name="Comma 2 2 7 4 4 2 4 3" xfId="29100" xr:uid="{00000000-0005-0000-0000-0000CA450000}"/>
    <cellStyle name="Comma 2 2 7 4 4 2 5" xfId="8269" xr:uid="{00000000-0005-0000-0000-0000CB450000}"/>
    <cellStyle name="Comma 2 2 7 4 4 2 5 2" xfId="31548" xr:uid="{00000000-0005-0000-0000-0000CC450000}"/>
    <cellStyle name="Comma 2 2 7 4 4 2 6" xfId="10717" xr:uid="{00000000-0005-0000-0000-0000CD450000}"/>
    <cellStyle name="Comma 2 2 7 4 4 2 6 2" xfId="33996" xr:uid="{00000000-0005-0000-0000-0000CE450000}"/>
    <cellStyle name="Comma 2 2 7 4 4 2 7" xfId="13165" xr:uid="{00000000-0005-0000-0000-0000CF450000}"/>
    <cellStyle name="Comma 2 2 7 4 4 2 7 2" xfId="36444" xr:uid="{00000000-0005-0000-0000-0000D0450000}"/>
    <cellStyle name="Comma 2 2 7 4 4 2 8" xfId="15636" xr:uid="{00000000-0005-0000-0000-0000D1450000}"/>
    <cellStyle name="Comma 2 2 7 4 4 2 8 2" xfId="38914" xr:uid="{00000000-0005-0000-0000-0000D2450000}"/>
    <cellStyle name="Comma 2 2 7 4 4 2 9" xfId="24204" xr:uid="{00000000-0005-0000-0000-0000D3450000}"/>
    <cellStyle name="Comma 2 2 7 4 4 3" xfId="1537" xr:uid="{00000000-0005-0000-0000-0000D4450000}"/>
    <cellStyle name="Comma 2 2 7 4 4 3 10" xfId="22368" xr:uid="{00000000-0005-0000-0000-0000D5450000}"/>
    <cellStyle name="Comma 2 2 7 4 4 3 2" xfId="3985" xr:uid="{00000000-0005-0000-0000-0000D6450000}"/>
    <cellStyle name="Comma 2 2 7 4 4 3 2 2" xfId="19920" xr:uid="{00000000-0005-0000-0000-0000D7450000}"/>
    <cellStyle name="Comma 2 2 7 4 4 3 2 2 2" xfId="43198" xr:uid="{00000000-0005-0000-0000-0000D8450000}"/>
    <cellStyle name="Comma 2 2 7 4 4 3 2 3" xfId="48094" xr:uid="{00000000-0005-0000-0000-0000D9450000}"/>
    <cellStyle name="Comma 2 2 7 4 4 3 2 4" xfId="27264" xr:uid="{00000000-0005-0000-0000-0000DA450000}"/>
    <cellStyle name="Comma 2 2 7 4 4 3 3" xfId="6433" xr:uid="{00000000-0005-0000-0000-0000DB450000}"/>
    <cellStyle name="Comma 2 2 7 4 4 3 3 2" xfId="29712" xr:uid="{00000000-0005-0000-0000-0000DC450000}"/>
    <cellStyle name="Comma 2 2 7 4 4 3 4" xfId="8881" xr:uid="{00000000-0005-0000-0000-0000DD450000}"/>
    <cellStyle name="Comma 2 2 7 4 4 3 4 2" xfId="32160" xr:uid="{00000000-0005-0000-0000-0000DE450000}"/>
    <cellStyle name="Comma 2 2 7 4 4 3 5" xfId="11329" xr:uid="{00000000-0005-0000-0000-0000DF450000}"/>
    <cellStyle name="Comma 2 2 7 4 4 3 5 2" xfId="34608" xr:uid="{00000000-0005-0000-0000-0000E0450000}"/>
    <cellStyle name="Comma 2 2 7 4 4 3 6" xfId="13777" xr:uid="{00000000-0005-0000-0000-0000E1450000}"/>
    <cellStyle name="Comma 2 2 7 4 4 3 6 2" xfId="37056" xr:uid="{00000000-0005-0000-0000-0000E2450000}"/>
    <cellStyle name="Comma 2 2 7 4 4 3 7" xfId="17472" xr:uid="{00000000-0005-0000-0000-0000E3450000}"/>
    <cellStyle name="Comma 2 2 7 4 4 3 7 2" xfId="40750" xr:uid="{00000000-0005-0000-0000-0000E4450000}"/>
    <cellStyle name="Comma 2 2 7 4 4 3 8" xfId="24816" xr:uid="{00000000-0005-0000-0000-0000E5450000}"/>
    <cellStyle name="Comma 2 2 7 4 4 3 9" xfId="45646" xr:uid="{00000000-0005-0000-0000-0000E6450000}"/>
    <cellStyle name="Comma 2 2 7 4 4 4" xfId="2761" xr:uid="{00000000-0005-0000-0000-0000E7450000}"/>
    <cellStyle name="Comma 2 2 7 4 4 4 2" xfId="16248" xr:uid="{00000000-0005-0000-0000-0000E8450000}"/>
    <cellStyle name="Comma 2 2 7 4 4 4 2 2" xfId="39526" xr:uid="{00000000-0005-0000-0000-0000E9450000}"/>
    <cellStyle name="Comma 2 2 7 4 4 4 3" xfId="46870" xr:uid="{00000000-0005-0000-0000-0000EA450000}"/>
    <cellStyle name="Comma 2 2 7 4 4 4 4" xfId="26040" xr:uid="{00000000-0005-0000-0000-0000EB450000}"/>
    <cellStyle name="Comma 2 2 7 4 4 5" xfId="5209" xr:uid="{00000000-0005-0000-0000-0000EC450000}"/>
    <cellStyle name="Comma 2 2 7 4 4 5 2" xfId="18696" xr:uid="{00000000-0005-0000-0000-0000ED450000}"/>
    <cellStyle name="Comma 2 2 7 4 4 5 2 2" xfId="41974" xr:uid="{00000000-0005-0000-0000-0000EE450000}"/>
    <cellStyle name="Comma 2 2 7 4 4 5 3" xfId="28488" xr:uid="{00000000-0005-0000-0000-0000EF450000}"/>
    <cellStyle name="Comma 2 2 7 4 4 6" xfId="7657" xr:uid="{00000000-0005-0000-0000-0000F0450000}"/>
    <cellStyle name="Comma 2 2 7 4 4 6 2" xfId="30936" xr:uid="{00000000-0005-0000-0000-0000F1450000}"/>
    <cellStyle name="Comma 2 2 7 4 4 7" xfId="10105" xr:uid="{00000000-0005-0000-0000-0000F2450000}"/>
    <cellStyle name="Comma 2 2 7 4 4 7 2" xfId="33384" xr:uid="{00000000-0005-0000-0000-0000F3450000}"/>
    <cellStyle name="Comma 2 2 7 4 4 8" xfId="12553" xr:uid="{00000000-0005-0000-0000-0000F4450000}"/>
    <cellStyle name="Comma 2 2 7 4 4 8 2" xfId="35832" xr:uid="{00000000-0005-0000-0000-0000F5450000}"/>
    <cellStyle name="Comma 2 2 7 4 4 9" xfId="15024" xr:uid="{00000000-0005-0000-0000-0000F6450000}"/>
    <cellStyle name="Comma 2 2 7 4 4 9 2" xfId="38302" xr:uid="{00000000-0005-0000-0000-0000F7450000}"/>
    <cellStyle name="Comma 2 2 7 4 5" xfId="517" xr:uid="{00000000-0005-0000-0000-0000F8450000}"/>
    <cellStyle name="Comma 2 2 7 4 5 10" xfId="23796" xr:uid="{00000000-0005-0000-0000-0000F9450000}"/>
    <cellStyle name="Comma 2 2 7 4 5 11" xfId="44626" xr:uid="{00000000-0005-0000-0000-0000FA450000}"/>
    <cellStyle name="Comma 2 2 7 4 5 12" xfId="21348" xr:uid="{00000000-0005-0000-0000-0000FB450000}"/>
    <cellStyle name="Comma 2 2 7 4 5 2" xfId="1129" xr:uid="{00000000-0005-0000-0000-0000FC450000}"/>
    <cellStyle name="Comma 2 2 7 4 5 2 10" xfId="45238" xr:uid="{00000000-0005-0000-0000-0000FD450000}"/>
    <cellStyle name="Comma 2 2 7 4 5 2 11" xfId="21960" xr:uid="{00000000-0005-0000-0000-0000FE450000}"/>
    <cellStyle name="Comma 2 2 7 4 5 2 2" xfId="2353" xr:uid="{00000000-0005-0000-0000-0000FF450000}"/>
    <cellStyle name="Comma 2 2 7 4 5 2 2 10" xfId="23184" xr:uid="{00000000-0005-0000-0000-000000460000}"/>
    <cellStyle name="Comma 2 2 7 4 5 2 2 2" xfId="4801" xr:uid="{00000000-0005-0000-0000-000001460000}"/>
    <cellStyle name="Comma 2 2 7 4 5 2 2 2 2" xfId="20736" xr:uid="{00000000-0005-0000-0000-000002460000}"/>
    <cellStyle name="Comma 2 2 7 4 5 2 2 2 2 2" xfId="44014" xr:uid="{00000000-0005-0000-0000-000003460000}"/>
    <cellStyle name="Comma 2 2 7 4 5 2 2 2 3" xfId="48910" xr:uid="{00000000-0005-0000-0000-000004460000}"/>
    <cellStyle name="Comma 2 2 7 4 5 2 2 2 4" xfId="28080" xr:uid="{00000000-0005-0000-0000-000005460000}"/>
    <cellStyle name="Comma 2 2 7 4 5 2 2 3" xfId="7249" xr:uid="{00000000-0005-0000-0000-000006460000}"/>
    <cellStyle name="Comma 2 2 7 4 5 2 2 3 2" xfId="30528" xr:uid="{00000000-0005-0000-0000-000007460000}"/>
    <cellStyle name="Comma 2 2 7 4 5 2 2 4" xfId="9697" xr:uid="{00000000-0005-0000-0000-000008460000}"/>
    <cellStyle name="Comma 2 2 7 4 5 2 2 4 2" xfId="32976" xr:uid="{00000000-0005-0000-0000-000009460000}"/>
    <cellStyle name="Comma 2 2 7 4 5 2 2 5" xfId="12145" xr:uid="{00000000-0005-0000-0000-00000A460000}"/>
    <cellStyle name="Comma 2 2 7 4 5 2 2 5 2" xfId="35424" xr:uid="{00000000-0005-0000-0000-00000B460000}"/>
    <cellStyle name="Comma 2 2 7 4 5 2 2 6" xfId="14593" xr:uid="{00000000-0005-0000-0000-00000C460000}"/>
    <cellStyle name="Comma 2 2 7 4 5 2 2 6 2" xfId="37872" xr:uid="{00000000-0005-0000-0000-00000D460000}"/>
    <cellStyle name="Comma 2 2 7 4 5 2 2 7" xfId="18288" xr:uid="{00000000-0005-0000-0000-00000E460000}"/>
    <cellStyle name="Comma 2 2 7 4 5 2 2 7 2" xfId="41566" xr:uid="{00000000-0005-0000-0000-00000F460000}"/>
    <cellStyle name="Comma 2 2 7 4 5 2 2 8" xfId="25632" xr:uid="{00000000-0005-0000-0000-000010460000}"/>
    <cellStyle name="Comma 2 2 7 4 5 2 2 9" xfId="46462" xr:uid="{00000000-0005-0000-0000-000011460000}"/>
    <cellStyle name="Comma 2 2 7 4 5 2 3" xfId="3577" xr:uid="{00000000-0005-0000-0000-000012460000}"/>
    <cellStyle name="Comma 2 2 7 4 5 2 3 2" xfId="17064" xr:uid="{00000000-0005-0000-0000-000013460000}"/>
    <cellStyle name="Comma 2 2 7 4 5 2 3 2 2" xfId="40342" xr:uid="{00000000-0005-0000-0000-000014460000}"/>
    <cellStyle name="Comma 2 2 7 4 5 2 3 3" xfId="47686" xr:uid="{00000000-0005-0000-0000-000015460000}"/>
    <cellStyle name="Comma 2 2 7 4 5 2 3 4" xfId="26856" xr:uid="{00000000-0005-0000-0000-000016460000}"/>
    <cellStyle name="Comma 2 2 7 4 5 2 4" xfId="6025" xr:uid="{00000000-0005-0000-0000-000017460000}"/>
    <cellStyle name="Comma 2 2 7 4 5 2 4 2" xfId="19512" xr:uid="{00000000-0005-0000-0000-000018460000}"/>
    <cellStyle name="Comma 2 2 7 4 5 2 4 2 2" xfId="42790" xr:uid="{00000000-0005-0000-0000-000019460000}"/>
    <cellStyle name="Comma 2 2 7 4 5 2 4 3" xfId="29304" xr:uid="{00000000-0005-0000-0000-00001A460000}"/>
    <cellStyle name="Comma 2 2 7 4 5 2 5" xfId="8473" xr:uid="{00000000-0005-0000-0000-00001B460000}"/>
    <cellStyle name="Comma 2 2 7 4 5 2 5 2" xfId="31752" xr:uid="{00000000-0005-0000-0000-00001C460000}"/>
    <cellStyle name="Comma 2 2 7 4 5 2 6" xfId="10921" xr:uid="{00000000-0005-0000-0000-00001D460000}"/>
    <cellStyle name="Comma 2 2 7 4 5 2 6 2" xfId="34200" xr:uid="{00000000-0005-0000-0000-00001E460000}"/>
    <cellStyle name="Comma 2 2 7 4 5 2 7" xfId="13369" xr:uid="{00000000-0005-0000-0000-00001F460000}"/>
    <cellStyle name="Comma 2 2 7 4 5 2 7 2" xfId="36648" xr:uid="{00000000-0005-0000-0000-000020460000}"/>
    <cellStyle name="Comma 2 2 7 4 5 2 8" xfId="15840" xr:uid="{00000000-0005-0000-0000-000021460000}"/>
    <cellStyle name="Comma 2 2 7 4 5 2 8 2" xfId="39118" xr:uid="{00000000-0005-0000-0000-000022460000}"/>
    <cellStyle name="Comma 2 2 7 4 5 2 9" xfId="24408" xr:uid="{00000000-0005-0000-0000-000023460000}"/>
    <cellStyle name="Comma 2 2 7 4 5 3" xfId="1741" xr:uid="{00000000-0005-0000-0000-000024460000}"/>
    <cellStyle name="Comma 2 2 7 4 5 3 10" xfId="22572" xr:uid="{00000000-0005-0000-0000-000025460000}"/>
    <cellStyle name="Comma 2 2 7 4 5 3 2" xfId="4189" xr:uid="{00000000-0005-0000-0000-000026460000}"/>
    <cellStyle name="Comma 2 2 7 4 5 3 2 2" xfId="20124" xr:uid="{00000000-0005-0000-0000-000027460000}"/>
    <cellStyle name="Comma 2 2 7 4 5 3 2 2 2" xfId="43402" xr:uid="{00000000-0005-0000-0000-000028460000}"/>
    <cellStyle name="Comma 2 2 7 4 5 3 2 3" xfId="48298" xr:uid="{00000000-0005-0000-0000-000029460000}"/>
    <cellStyle name="Comma 2 2 7 4 5 3 2 4" xfId="27468" xr:uid="{00000000-0005-0000-0000-00002A460000}"/>
    <cellStyle name="Comma 2 2 7 4 5 3 3" xfId="6637" xr:uid="{00000000-0005-0000-0000-00002B460000}"/>
    <cellStyle name="Comma 2 2 7 4 5 3 3 2" xfId="29916" xr:uid="{00000000-0005-0000-0000-00002C460000}"/>
    <cellStyle name="Comma 2 2 7 4 5 3 4" xfId="9085" xr:uid="{00000000-0005-0000-0000-00002D460000}"/>
    <cellStyle name="Comma 2 2 7 4 5 3 4 2" xfId="32364" xr:uid="{00000000-0005-0000-0000-00002E460000}"/>
    <cellStyle name="Comma 2 2 7 4 5 3 5" xfId="11533" xr:uid="{00000000-0005-0000-0000-00002F460000}"/>
    <cellStyle name="Comma 2 2 7 4 5 3 5 2" xfId="34812" xr:uid="{00000000-0005-0000-0000-000030460000}"/>
    <cellStyle name="Comma 2 2 7 4 5 3 6" xfId="13981" xr:uid="{00000000-0005-0000-0000-000031460000}"/>
    <cellStyle name="Comma 2 2 7 4 5 3 6 2" xfId="37260" xr:uid="{00000000-0005-0000-0000-000032460000}"/>
    <cellStyle name="Comma 2 2 7 4 5 3 7" xfId="17676" xr:uid="{00000000-0005-0000-0000-000033460000}"/>
    <cellStyle name="Comma 2 2 7 4 5 3 7 2" xfId="40954" xr:uid="{00000000-0005-0000-0000-000034460000}"/>
    <cellStyle name="Comma 2 2 7 4 5 3 8" xfId="25020" xr:uid="{00000000-0005-0000-0000-000035460000}"/>
    <cellStyle name="Comma 2 2 7 4 5 3 9" xfId="45850" xr:uid="{00000000-0005-0000-0000-000036460000}"/>
    <cellStyle name="Comma 2 2 7 4 5 4" xfId="2965" xr:uid="{00000000-0005-0000-0000-000037460000}"/>
    <cellStyle name="Comma 2 2 7 4 5 4 2" xfId="16452" xr:uid="{00000000-0005-0000-0000-000038460000}"/>
    <cellStyle name="Comma 2 2 7 4 5 4 2 2" xfId="39730" xr:uid="{00000000-0005-0000-0000-000039460000}"/>
    <cellStyle name="Comma 2 2 7 4 5 4 3" xfId="47074" xr:uid="{00000000-0005-0000-0000-00003A460000}"/>
    <cellStyle name="Comma 2 2 7 4 5 4 4" xfId="26244" xr:uid="{00000000-0005-0000-0000-00003B460000}"/>
    <cellStyle name="Comma 2 2 7 4 5 5" xfId="5413" xr:uid="{00000000-0005-0000-0000-00003C460000}"/>
    <cellStyle name="Comma 2 2 7 4 5 5 2" xfId="18900" xr:uid="{00000000-0005-0000-0000-00003D460000}"/>
    <cellStyle name="Comma 2 2 7 4 5 5 2 2" xfId="42178" xr:uid="{00000000-0005-0000-0000-00003E460000}"/>
    <cellStyle name="Comma 2 2 7 4 5 5 3" xfId="28692" xr:uid="{00000000-0005-0000-0000-00003F460000}"/>
    <cellStyle name="Comma 2 2 7 4 5 6" xfId="7861" xr:uid="{00000000-0005-0000-0000-000040460000}"/>
    <cellStyle name="Comma 2 2 7 4 5 6 2" xfId="31140" xr:uid="{00000000-0005-0000-0000-000041460000}"/>
    <cellStyle name="Comma 2 2 7 4 5 7" xfId="10309" xr:uid="{00000000-0005-0000-0000-000042460000}"/>
    <cellStyle name="Comma 2 2 7 4 5 7 2" xfId="33588" xr:uid="{00000000-0005-0000-0000-000043460000}"/>
    <cellStyle name="Comma 2 2 7 4 5 8" xfId="12757" xr:uid="{00000000-0005-0000-0000-000044460000}"/>
    <cellStyle name="Comma 2 2 7 4 5 8 2" xfId="36036" xr:uid="{00000000-0005-0000-0000-000045460000}"/>
    <cellStyle name="Comma 2 2 7 4 5 9" xfId="15228" xr:uid="{00000000-0005-0000-0000-000046460000}"/>
    <cellStyle name="Comma 2 2 7 4 5 9 2" xfId="38506" xr:uid="{00000000-0005-0000-0000-000047460000}"/>
    <cellStyle name="Comma 2 2 7 4 6" xfId="721" xr:uid="{00000000-0005-0000-0000-000048460000}"/>
    <cellStyle name="Comma 2 2 7 4 6 10" xfId="44830" xr:uid="{00000000-0005-0000-0000-000049460000}"/>
    <cellStyle name="Comma 2 2 7 4 6 11" xfId="21552" xr:uid="{00000000-0005-0000-0000-00004A460000}"/>
    <cellStyle name="Comma 2 2 7 4 6 2" xfId="1945" xr:uid="{00000000-0005-0000-0000-00004B460000}"/>
    <cellStyle name="Comma 2 2 7 4 6 2 10" xfId="22776" xr:uid="{00000000-0005-0000-0000-00004C460000}"/>
    <cellStyle name="Comma 2 2 7 4 6 2 2" xfId="4393" xr:uid="{00000000-0005-0000-0000-00004D460000}"/>
    <cellStyle name="Comma 2 2 7 4 6 2 2 2" xfId="20328" xr:uid="{00000000-0005-0000-0000-00004E460000}"/>
    <cellStyle name="Comma 2 2 7 4 6 2 2 2 2" xfId="43606" xr:uid="{00000000-0005-0000-0000-00004F460000}"/>
    <cellStyle name="Comma 2 2 7 4 6 2 2 3" xfId="48502" xr:uid="{00000000-0005-0000-0000-000050460000}"/>
    <cellStyle name="Comma 2 2 7 4 6 2 2 4" xfId="27672" xr:uid="{00000000-0005-0000-0000-000051460000}"/>
    <cellStyle name="Comma 2 2 7 4 6 2 3" xfId="6841" xr:uid="{00000000-0005-0000-0000-000052460000}"/>
    <cellStyle name="Comma 2 2 7 4 6 2 3 2" xfId="30120" xr:uid="{00000000-0005-0000-0000-000053460000}"/>
    <cellStyle name="Comma 2 2 7 4 6 2 4" xfId="9289" xr:uid="{00000000-0005-0000-0000-000054460000}"/>
    <cellStyle name="Comma 2 2 7 4 6 2 4 2" xfId="32568" xr:uid="{00000000-0005-0000-0000-000055460000}"/>
    <cellStyle name="Comma 2 2 7 4 6 2 5" xfId="11737" xr:uid="{00000000-0005-0000-0000-000056460000}"/>
    <cellStyle name="Comma 2 2 7 4 6 2 5 2" xfId="35016" xr:uid="{00000000-0005-0000-0000-000057460000}"/>
    <cellStyle name="Comma 2 2 7 4 6 2 6" xfId="14185" xr:uid="{00000000-0005-0000-0000-000058460000}"/>
    <cellStyle name="Comma 2 2 7 4 6 2 6 2" xfId="37464" xr:uid="{00000000-0005-0000-0000-000059460000}"/>
    <cellStyle name="Comma 2 2 7 4 6 2 7" xfId="17880" xr:uid="{00000000-0005-0000-0000-00005A460000}"/>
    <cellStyle name="Comma 2 2 7 4 6 2 7 2" xfId="41158" xr:uid="{00000000-0005-0000-0000-00005B460000}"/>
    <cellStyle name="Comma 2 2 7 4 6 2 8" xfId="25224" xr:uid="{00000000-0005-0000-0000-00005C460000}"/>
    <cellStyle name="Comma 2 2 7 4 6 2 9" xfId="46054" xr:uid="{00000000-0005-0000-0000-00005D460000}"/>
    <cellStyle name="Comma 2 2 7 4 6 3" xfId="3169" xr:uid="{00000000-0005-0000-0000-00005E460000}"/>
    <cellStyle name="Comma 2 2 7 4 6 3 2" xfId="16656" xr:uid="{00000000-0005-0000-0000-00005F460000}"/>
    <cellStyle name="Comma 2 2 7 4 6 3 2 2" xfId="39934" xr:uid="{00000000-0005-0000-0000-000060460000}"/>
    <cellStyle name="Comma 2 2 7 4 6 3 3" xfId="47278" xr:uid="{00000000-0005-0000-0000-000061460000}"/>
    <cellStyle name="Comma 2 2 7 4 6 3 4" xfId="26448" xr:uid="{00000000-0005-0000-0000-000062460000}"/>
    <cellStyle name="Comma 2 2 7 4 6 4" xfId="5617" xr:uid="{00000000-0005-0000-0000-000063460000}"/>
    <cellStyle name="Comma 2 2 7 4 6 4 2" xfId="19104" xr:uid="{00000000-0005-0000-0000-000064460000}"/>
    <cellStyle name="Comma 2 2 7 4 6 4 2 2" xfId="42382" xr:uid="{00000000-0005-0000-0000-000065460000}"/>
    <cellStyle name="Comma 2 2 7 4 6 4 3" xfId="28896" xr:uid="{00000000-0005-0000-0000-000066460000}"/>
    <cellStyle name="Comma 2 2 7 4 6 5" xfId="8065" xr:uid="{00000000-0005-0000-0000-000067460000}"/>
    <cellStyle name="Comma 2 2 7 4 6 5 2" xfId="31344" xr:uid="{00000000-0005-0000-0000-000068460000}"/>
    <cellStyle name="Comma 2 2 7 4 6 6" xfId="10513" xr:uid="{00000000-0005-0000-0000-000069460000}"/>
    <cellStyle name="Comma 2 2 7 4 6 6 2" xfId="33792" xr:uid="{00000000-0005-0000-0000-00006A460000}"/>
    <cellStyle name="Comma 2 2 7 4 6 7" xfId="12961" xr:uid="{00000000-0005-0000-0000-00006B460000}"/>
    <cellStyle name="Comma 2 2 7 4 6 7 2" xfId="36240" xr:uid="{00000000-0005-0000-0000-00006C460000}"/>
    <cellStyle name="Comma 2 2 7 4 6 8" xfId="15432" xr:uid="{00000000-0005-0000-0000-00006D460000}"/>
    <cellStyle name="Comma 2 2 7 4 6 8 2" xfId="38710" xr:uid="{00000000-0005-0000-0000-00006E460000}"/>
    <cellStyle name="Comma 2 2 7 4 6 9" xfId="24000" xr:uid="{00000000-0005-0000-0000-00006F460000}"/>
    <cellStyle name="Comma 2 2 7 4 7" xfId="1333" xr:uid="{00000000-0005-0000-0000-000070460000}"/>
    <cellStyle name="Comma 2 2 7 4 7 10" xfId="22164" xr:uid="{00000000-0005-0000-0000-000071460000}"/>
    <cellStyle name="Comma 2 2 7 4 7 2" xfId="3781" xr:uid="{00000000-0005-0000-0000-000072460000}"/>
    <cellStyle name="Comma 2 2 7 4 7 2 2" xfId="19716" xr:uid="{00000000-0005-0000-0000-000073460000}"/>
    <cellStyle name="Comma 2 2 7 4 7 2 2 2" xfId="42994" xr:uid="{00000000-0005-0000-0000-000074460000}"/>
    <cellStyle name="Comma 2 2 7 4 7 2 3" xfId="47890" xr:uid="{00000000-0005-0000-0000-000075460000}"/>
    <cellStyle name="Comma 2 2 7 4 7 2 4" xfId="27060" xr:uid="{00000000-0005-0000-0000-000076460000}"/>
    <cellStyle name="Comma 2 2 7 4 7 3" xfId="6229" xr:uid="{00000000-0005-0000-0000-000077460000}"/>
    <cellStyle name="Comma 2 2 7 4 7 3 2" xfId="29508" xr:uid="{00000000-0005-0000-0000-000078460000}"/>
    <cellStyle name="Comma 2 2 7 4 7 4" xfId="8677" xr:uid="{00000000-0005-0000-0000-000079460000}"/>
    <cellStyle name="Comma 2 2 7 4 7 4 2" xfId="31956" xr:uid="{00000000-0005-0000-0000-00007A460000}"/>
    <cellStyle name="Comma 2 2 7 4 7 5" xfId="11125" xr:uid="{00000000-0005-0000-0000-00007B460000}"/>
    <cellStyle name="Comma 2 2 7 4 7 5 2" xfId="34404" xr:uid="{00000000-0005-0000-0000-00007C460000}"/>
    <cellStyle name="Comma 2 2 7 4 7 6" xfId="13573" xr:uid="{00000000-0005-0000-0000-00007D460000}"/>
    <cellStyle name="Comma 2 2 7 4 7 6 2" xfId="36852" xr:uid="{00000000-0005-0000-0000-00007E460000}"/>
    <cellStyle name="Comma 2 2 7 4 7 7" xfId="17268" xr:uid="{00000000-0005-0000-0000-00007F460000}"/>
    <cellStyle name="Comma 2 2 7 4 7 7 2" xfId="40546" xr:uid="{00000000-0005-0000-0000-000080460000}"/>
    <cellStyle name="Comma 2 2 7 4 7 8" xfId="24612" xr:uid="{00000000-0005-0000-0000-000081460000}"/>
    <cellStyle name="Comma 2 2 7 4 7 9" xfId="45442" xr:uid="{00000000-0005-0000-0000-000082460000}"/>
    <cellStyle name="Comma 2 2 7 4 8" xfId="2557" xr:uid="{00000000-0005-0000-0000-000083460000}"/>
    <cellStyle name="Comma 2 2 7 4 8 2" xfId="16044" xr:uid="{00000000-0005-0000-0000-000084460000}"/>
    <cellStyle name="Comma 2 2 7 4 8 2 2" xfId="39322" xr:uid="{00000000-0005-0000-0000-000085460000}"/>
    <cellStyle name="Comma 2 2 7 4 8 3" xfId="46666" xr:uid="{00000000-0005-0000-0000-000086460000}"/>
    <cellStyle name="Comma 2 2 7 4 8 4" xfId="25836" xr:uid="{00000000-0005-0000-0000-000087460000}"/>
    <cellStyle name="Comma 2 2 7 4 9" xfId="5005" xr:uid="{00000000-0005-0000-0000-000088460000}"/>
    <cellStyle name="Comma 2 2 7 4 9 2" xfId="18492" xr:uid="{00000000-0005-0000-0000-000089460000}"/>
    <cellStyle name="Comma 2 2 7 4 9 2 2" xfId="41770" xr:uid="{00000000-0005-0000-0000-00008A460000}"/>
    <cellStyle name="Comma 2 2 7 4 9 3" xfId="28284" xr:uid="{00000000-0005-0000-0000-00008B460000}"/>
    <cellStyle name="Comma 2 2 7 5" xfId="126" xr:uid="{00000000-0005-0000-0000-00008C460000}"/>
    <cellStyle name="Comma 2 2 7 5 10" xfId="12366" xr:uid="{00000000-0005-0000-0000-00008D460000}"/>
    <cellStyle name="Comma 2 2 7 5 10 2" xfId="35645" xr:uid="{00000000-0005-0000-0000-00008E460000}"/>
    <cellStyle name="Comma 2 2 7 5 11" xfId="14837" xr:uid="{00000000-0005-0000-0000-00008F460000}"/>
    <cellStyle name="Comma 2 2 7 5 11 2" xfId="38115" xr:uid="{00000000-0005-0000-0000-000090460000}"/>
    <cellStyle name="Comma 2 2 7 5 12" xfId="23405" xr:uid="{00000000-0005-0000-0000-000091460000}"/>
    <cellStyle name="Comma 2 2 7 5 13" xfId="44235" xr:uid="{00000000-0005-0000-0000-000092460000}"/>
    <cellStyle name="Comma 2 2 7 5 14" xfId="20957" xr:uid="{00000000-0005-0000-0000-000093460000}"/>
    <cellStyle name="Comma 2 2 7 5 2" xfId="330" xr:uid="{00000000-0005-0000-0000-000094460000}"/>
    <cellStyle name="Comma 2 2 7 5 2 10" xfId="23609" xr:uid="{00000000-0005-0000-0000-000095460000}"/>
    <cellStyle name="Comma 2 2 7 5 2 11" xfId="44439" xr:uid="{00000000-0005-0000-0000-000096460000}"/>
    <cellStyle name="Comma 2 2 7 5 2 12" xfId="21161" xr:uid="{00000000-0005-0000-0000-000097460000}"/>
    <cellStyle name="Comma 2 2 7 5 2 2" xfId="942" xr:uid="{00000000-0005-0000-0000-000098460000}"/>
    <cellStyle name="Comma 2 2 7 5 2 2 10" xfId="45051" xr:uid="{00000000-0005-0000-0000-000099460000}"/>
    <cellStyle name="Comma 2 2 7 5 2 2 11" xfId="21773" xr:uid="{00000000-0005-0000-0000-00009A460000}"/>
    <cellStyle name="Comma 2 2 7 5 2 2 2" xfId="2166" xr:uid="{00000000-0005-0000-0000-00009B460000}"/>
    <cellStyle name="Comma 2 2 7 5 2 2 2 10" xfId="22997" xr:uid="{00000000-0005-0000-0000-00009C460000}"/>
    <cellStyle name="Comma 2 2 7 5 2 2 2 2" xfId="4614" xr:uid="{00000000-0005-0000-0000-00009D460000}"/>
    <cellStyle name="Comma 2 2 7 5 2 2 2 2 2" xfId="20549" xr:uid="{00000000-0005-0000-0000-00009E460000}"/>
    <cellStyle name="Comma 2 2 7 5 2 2 2 2 2 2" xfId="43827" xr:uid="{00000000-0005-0000-0000-00009F460000}"/>
    <cellStyle name="Comma 2 2 7 5 2 2 2 2 3" xfId="48723" xr:uid="{00000000-0005-0000-0000-0000A0460000}"/>
    <cellStyle name="Comma 2 2 7 5 2 2 2 2 4" xfId="27893" xr:uid="{00000000-0005-0000-0000-0000A1460000}"/>
    <cellStyle name="Comma 2 2 7 5 2 2 2 3" xfId="7062" xr:uid="{00000000-0005-0000-0000-0000A2460000}"/>
    <cellStyle name="Comma 2 2 7 5 2 2 2 3 2" xfId="30341" xr:uid="{00000000-0005-0000-0000-0000A3460000}"/>
    <cellStyle name="Comma 2 2 7 5 2 2 2 4" xfId="9510" xr:uid="{00000000-0005-0000-0000-0000A4460000}"/>
    <cellStyle name="Comma 2 2 7 5 2 2 2 4 2" xfId="32789" xr:uid="{00000000-0005-0000-0000-0000A5460000}"/>
    <cellStyle name="Comma 2 2 7 5 2 2 2 5" xfId="11958" xr:uid="{00000000-0005-0000-0000-0000A6460000}"/>
    <cellStyle name="Comma 2 2 7 5 2 2 2 5 2" xfId="35237" xr:uid="{00000000-0005-0000-0000-0000A7460000}"/>
    <cellStyle name="Comma 2 2 7 5 2 2 2 6" xfId="14406" xr:uid="{00000000-0005-0000-0000-0000A8460000}"/>
    <cellStyle name="Comma 2 2 7 5 2 2 2 6 2" xfId="37685" xr:uid="{00000000-0005-0000-0000-0000A9460000}"/>
    <cellStyle name="Comma 2 2 7 5 2 2 2 7" xfId="18101" xr:uid="{00000000-0005-0000-0000-0000AA460000}"/>
    <cellStyle name="Comma 2 2 7 5 2 2 2 7 2" xfId="41379" xr:uid="{00000000-0005-0000-0000-0000AB460000}"/>
    <cellStyle name="Comma 2 2 7 5 2 2 2 8" xfId="25445" xr:uid="{00000000-0005-0000-0000-0000AC460000}"/>
    <cellStyle name="Comma 2 2 7 5 2 2 2 9" xfId="46275" xr:uid="{00000000-0005-0000-0000-0000AD460000}"/>
    <cellStyle name="Comma 2 2 7 5 2 2 3" xfId="3390" xr:uid="{00000000-0005-0000-0000-0000AE460000}"/>
    <cellStyle name="Comma 2 2 7 5 2 2 3 2" xfId="16877" xr:uid="{00000000-0005-0000-0000-0000AF460000}"/>
    <cellStyle name="Comma 2 2 7 5 2 2 3 2 2" xfId="40155" xr:uid="{00000000-0005-0000-0000-0000B0460000}"/>
    <cellStyle name="Comma 2 2 7 5 2 2 3 3" xfId="47499" xr:uid="{00000000-0005-0000-0000-0000B1460000}"/>
    <cellStyle name="Comma 2 2 7 5 2 2 3 4" xfId="26669" xr:uid="{00000000-0005-0000-0000-0000B2460000}"/>
    <cellStyle name="Comma 2 2 7 5 2 2 4" xfId="5838" xr:uid="{00000000-0005-0000-0000-0000B3460000}"/>
    <cellStyle name="Comma 2 2 7 5 2 2 4 2" xfId="19325" xr:uid="{00000000-0005-0000-0000-0000B4460000}"/>
    <cellStyle name="Comma 2 2 7 5 2 2 4 2 2" xfId="42603" xr:uid="{00000000-0005-0000-0000-0000B5460000}"/>
    <cellStyle name="Comma 2 2 7 5 2 2 4 3" xfId="29117" xr:uid="{00000000-0005-0000-0000-0000B6460000}"/>
    <cellStyle name="Comma 2 2 7 5 2 2 5" xfId="8286" xr:uid="{00000000-0005-0000-0000-0000B7460000}"/>
    <cellStyle name="Comma 2 2 7 5 2 2 5 2" xfId="31565" xr:uid="{00000000-0005-0000-0000-0000B8460000}"/>
    <cellStyle name="Comma 2 2 7 5 2 2 6" xfId="10734" xr:uid="{00000000-0005-0000-0000-0000B9460000}"/>
    <cellStyle name="Comma 2 2 7 5 2 2 6 2" xfId="34013" xr:uid="{00000000-0005-0000-0000-0000BA460000}"/>
    <cellStyle name="Comma 2 2 7 5 2 2 7" xfId="13182" xr:uid="{00000000-0005-0000-0000-0000BB460000}"/>
    <cellStyle name="Comma 2 2 7 5 2 2 7 2" xfId="36461" xr:uid="{00000000-0005-0000-0000-0000BC460000}"/>
    <cellStyle name="Comma 2 2 7 5 2 2 8" xfId="15653" xr:uid="{00000000-0005-0000-0000-0000BD460000}"/>
    <cellStyle name="Comma 2 2 7 5 2 2 8 2" xfId="38931" xr:uid="{00000000-0005-0000-0000-0000BE460000}"/>
    <cellStyle name="Comma 2 2 7 5 2 2 9" xfId="24221" xr:uid="{00000000-0005-0000-0000-0000BF460000}"/>
    <cellStyle name="Comma 2 2 7 5 2 3" xfId="1554" xr:uid="{00000000-0005-0000-0000-0000C0460000}"/>
    <cellStyle name="Comma 2 2 7 5 2 3 10" xfId="22385" xr:uid="{00000000-0005-0000-0000-0000C1460000}"/>
    <cellStyle name="Comma 2 2 7 5 2 3 2" xfId="4002" xr:uid="{00000000-0005-0000-0000-0000C2460000}"/>
    <cellStyle name="Comma 2 2 7 5 2 3 2 2" xfId="19937" xr:uid="{00000000-0005-0000-0000-0000C3460000}"/>
    <cellStyle name="Comma 2 2 7 5 2 3 2 2 2" xfId="43215" xr:uid="{00000000-0005-0000-0000-0000C4460000}"/>
    <cellStyle name="Comma 2 2 7 5 2 3 2 3" xfId="48111" xr:uid="{00000000-0005-0000-0000-0000C5460000}"/>
    <cellStyle name="Comma 2 2 7 5 2 3 2 4" xfId="27281" xr:uid="{00000000-0005-0000-0000-0000C6460000}"/>
    <cellStyle name="Comma 2 2 7 5 2 3 3" xfId="6450" xr:uid="{00000000-0005-0000-0000-0000C7460000}"/>
    <cellStyle name="Comma 2 2 7 5 2 3 3 2" xfId="29729" xr:uid="{00000000-0005-0000-0000-0000C8460000}"/>
    <cellStyle name="Comma 2 2 7 5 2 3 4" xfId="8898" xr:uid="{00000000-0005-0000-0000-0000C9460000}"/>
    <cellStyle name="Comma 2 2 7 5 2 3 4 2" xfId="32177" xr:uid="{00000000-0005-0000-0000-0000CA460000}"/>
    <cellStyle name="Comma 2 2 7 5 2 3 5" xfId="11346" xr:uid="{00000000-0005-0000-0000-0000CB460000}"/>
    <cellStyle name="Comma 2 2 7 5 2 3 5 2" xfId="34625" xr:uid="{00000000-0005-0000-0000-0000CC460000}"/>
    <cellStyle name="Comma 2 2 7 5 2 3 6" xfId="13794" xr:uid="{00000000-0005-0000-0000-0000CD460000}"/>
    <cellStyle name="Comma 2 2 7 5 2 3 6 2" xfId="37073" xr:uid="{00000000-0005-0000-0000-0000CE460000}"/>
    <cellStyle name="Comma 2 2 7 5 2 3 7" xfId="17489" xr:uid="{00000000-0005-0000-0000-0000CF460000}"/>
    <cellStyle name="Comma 2 2 7 5 2 3 7 2" xfId="40767" xr:uid="{00000000-0005-0000-0000-0000D0460000}"/>
    <cellStyle name="Comma 2 2 7 5 2 3 8" xfId="24833" xr:uid="{00000000-0005-0000-0000-0000D1460000}"/>
    <cellStyle name="Comma 2 2 7 5 2 3 9" xfId="45663" xr:uid="{00000000-0005-0000-0000-0000D2460000}"/>
    <cellStyle name="Comma 2 2 7 5 2 4" xfId="2778" xr:uid="{00000000-0005-0000-0000-0000D3460000}"/>
    <cellStyle name="Comma 2 2 7 5 2 4 2" xfId="16265" xr:uid="{00000000-0005-0000-0000-0000D4460000}"/>
    <cellStyle name="Comma 2 2 7 5 2 4 2 2" xfId="39543" xr:uid="{00000000-0005-0000-0000-0000D5460000}"/>
    <cellStyle name="Comma 2 2 7 5 2 4 3" xfId="46887" xr:uid="{00000000-0005-0000-0000-0000D6460000}"/>
    <cellStyle name="Comma 2 2 7 5 2 4 4" xfId="26057" xr:uid="{00000000-0005-0000-0000-0000D7460000}"/>
    <cellStyle name="Comma 2 2 7 5 2 5" xfId="5226" xr:uid="{00000000-0005-0000-0000-0000D8460000}"/>
    <cellStyle name="Comma 2 2 7 5 2 5 2" xfId="18713" xr:uid="{00000000-0005-0000-0000-0000D9460000}"/>
    <cellStyle name="Comma 2 2 7 5 2 5 2 2" xfId="41991" xr:uid="{00000000-0005-0000-0000-0000DA460000}"/>
    <cellStyle name="Comma 2 2 7 5 2 5 3" xfId="28505" xr:uid="{00000000-0005-0000-0000-0000DB460000}"/>
    <cellStyle name="Comma 2 2 7 5 2 6" xfId="7674" xr:uid="{00000000-0005-0000-0000-0000DC460000}"/>
    <cellStyle name="Comma 2 2 7 5 2 6 2" xfId="30953" xr:uid="{00000000-0005-0000-0000-0000DD460000}"/>
    <cellStyle name="Comma 2 2 7 5 2 7" xfId="10122" xr:uid="{00000000-0005-0000-0000-0000DE460000}"/>
    <cellStyle name="Comma 2 2 7 5 2 7 2" xfId="33401" xr:uid="{00000000-0005-0000-0000-0000DF460000}"/>
    <cellStyle name="Comma 2 2 7 5 2 8" xfId="12570" xr:uid="{00000000-0005-0000-0000-0000E0460000}"/>
    <cellStyle name="Comma 2 2 7 5 2 8 2" xfId="35849" xr:uid="{00000000-0005-0000-0000-0000E1460000}"/>
    <cellStyle name="Comma 2 2 7 5 2 9" xfId="15041" xr:uid="{00000000-0005-0000-0000-0000E2460000}"/>
    <cellStyle name="Comma 2 2 7 5 2 9 2" xfId="38319" xr:uid="{00000000-0005-0000-0000-0000E3460000}"/>
    <cellStyle name="Comma 2 2 7 5 3" xfId="534" xr:uid="{00000000-0005-0000-0000-0000E4460000}"/>
    <cellStyle name="Comma 2 2 7 5 3 10" xfId="23813" xr:uid="{00000000-0005-0000-0000-0000E5460000}"/>
    <cellStyle name="Comma 2 2 7 5 3 11" xfId="44643" xr:uid="{00000000-0005-0000-0000-0000E6460000}"/>
    <cellStyle name="Comma 2 2 7 5 3 12" xfId="21365" xr:uid="{00000000-0005-0000-0000-0000E7460000}"/>
    <cellStyle name="Comma 2 2 7 5 3 2" xfId="1146" xr:uid="{00000000-0005-0000-0000-0000E8460000}"/>
    <cellStyle name="Comma 2 2 7 5 3 2 10" xfId="45255" xr:uid="{00000000-0005-0000-0000-0000E9460000}"/>
    <cellStyle name="Comma 2 2 7 5 3 2 11" xfId="21977" xr:uid="{00000000-0005-0000-0000-0000EA460000}"/>
    <cellStyle name="Comma 2 2 7 5 3 2 2" xfId="2370" xr:uid="{00000000-0005-0000-0000-0000EB460000}"/>
    <cellStyle name="Comma 2 2 7 5 3 2 2 10" xfId="23201" xr:uid="{00000000-0005-0000-0000-0000EC460000}"/>
    <cellStyle name="Comma 2 2 7 5 3 2 2 2" xfId="4818" xr:uid="{00000000-0005-0000-0000-0000ED460000}"/>
    <cellStyle name="Comma 2 2 7 5 3 2 2 2 2" xfId="20753" xr:uid="{00000000-0005-0000-0000-0000EE460000}"/>
    <cellStyle name="Comma 2 2 7 5 3 2 2 2 2 2" xfId="44031" xr:uid="{00000000-0005-0000-0000-0000EF460000}"/>
    <cellStyle name="Comma 2 2 7 5 3 2 2 2 3" xfId="48927" xr:uid="{00000000-0005-0000-0000-0000F0460000}"/>
    <cellStyle name="Comma 2 2 7 5 3 2 2 2 4" xfId="28097" xr:uid="{00000000-0005-0000-0000-0000F1460000}"/>
    <cellStyle name="Comma 2 2 7 5 3 2 2 3" xfId="7266" xr:uid="{00000000-0005-0000-0000-0000F2460000}"/>
    <cellStyle name="Comma 2 2 7 5 3 2 2 3 2" xfId="30545" xr:uid="{00000000-0005-0000-0000-0000F3460000}"/>
    <cellStyle name="Comma 2 2 7 5 3 2 2 4" xfId="9714" xr:uid="{00000000-0005-0000-0000-0000F4460000}"/>
    <cellStyle name="Comma 2 2 7 5 3 2 2 4 2" xfId="32993" xr:uid="{00000000-0005-0000-0000-0000F5460000}"/>
    <cellStyle name="Comma 2 2 7 5 3 2 2 5" xfId="12162" xr:uid="{00000000-0005-0000-0000-0000F6460000}"/>
    <cellStyle name="Comma 2 2 7 5 3 2 2 5 2" xfId="35441" xr:uid="{00000000-0005-0000-0000-0000F7460000}"/>
    <cellStyle name="Comma 2 2 7 5 3 2 2 6" xfId="14610" xr:uid="{00000000-0005-0000-0000-0000F8460000}"/>
    <cellStyle name="Comma 2 2 7 5 3 2 2 6 2" xfId="37889" xr:uid="{00000000-0005-0000-0000-0000F9460000}"/>
    <cellStyle name="Comma 2 2 7 5 3 2 2 7" xfId="18305" xr:uid="{00000000-0005-0000-0000-0000FA460000}"/>
    <cellStyle name="Comma 2 2 7 5 3 2 2 7 2" xfId="41583" xr:uid="{00000000-0005-0000-0000-0000FB460000}"/>
    <cellStyle name="Comma 2 2 7 5 3 2 2 8" xfId="25649" xr:uid="{00000000-0005-0000-0000-0000FC460000}"/>
    <cellStyle name="Comma 2 2 7 5 3 2 2 9" xfId="46479" xr:uid="{00000000-0005-0000-0000-0000FD460000}"/>
    <cellStyle name="Comma 2 2 7 5 3 2 3" xfId="3594" xr:uid="{00000000-0005-0000-0000-0000FE460000}"/>
    <cellStyle name="Comma 2 2 7 5 3 2 3 2" xfId="17081" xr:uid="{00000000-0005-0000-0000-0000FF460000}"/>
    <cellStyle name="Comma 2 2 7 5 3 2 3 2 2" xfId="40359" xr:uid="{00000000-0005-0000-0000-000000470000}"/>
    <cellStyle name="Comma 2 2 7 5 3 2 3 3" xfId="47703" xr:uid="{00000000-0005-0000-0000-000001470000}"/>
    <cellStyle name="Comma 2 2 7 5 3 2 3 4" xfId="26873" xr:uid="{00000000-0005-0000-0000-000002470000}"/>
    <cellStyle name="Comma 2 2 7 5 3 2 4" xfId="6042" xr:uid="{00000000-0005-0000-0000-000003470000}"/>
    <cellStyle name="Comma 2 2 7 5 3 2 4 2" xfId="19529" xr:uid="{00000000-0005-0000-0000-000004470000}"/>
    <cellStyle name="Comma 2 2 7 5 3 2 4 2 2" xfId="42807" xr:uid="{00000000-0005-0000-0000-000005470000}"/>
    <cellStyle name="Comma 2 2 7 5 3 2 4 3" xfId="29321" xr:uid="{00000000-0005-0000-0000-000006470000}"/>
    <cellStyle name="Comma 2 2 7 5 3 2 5" xfId="8490" xr:uid="{00000000-0005-0000-0000-000007470000}"/>
    <cellStyle name="Comma 2 2 7 5 3 2 5 2" xfId="31769" xr:uid="{00000000-0005-0000-0000-000008470000}"/>
    <cellStyle name="Comma 2 2 7 5 3 2 6" xfId="10938" xr:uid="{00000000-0005-0000-0000-000009470000}"/>
    <cellStyle name="Comma 2 2 7 5 3 2 6 2" xfId="34217" xr:uid="{00000000-0005-0000-0000-00000A470000}"/>
    <cellStyle name="Comma 2 2 7 5 3 2 7" xfId="13386" xr:uid="{00000000-0005-0000-0000-00000B470000}"/>
    <cellStyle name="Comma 2 2 7 5 3 2 7 2" xfId="36665" xr:uid="{00000000-0005-0000-0000-00000C470000}"/>
    <cellStyle name="Comma 2 2 7 5 3 2 8" xfId="15857" xr:uid="{00000000-0005-0000-0000-00000D470000}"/>
    <cellStyle name="Comma 2 2 7 5 3 2 8 2" xfId="39135" xr:uid="{00000000-0005-0000-0000-00000E470000}"/>
    <cellStyle name="Comma 2 2 7 5 3 2 9" xfId="24425" xr:uid="{00000000-0005-0000-0000-00000F470000}"/>
    <cellStyle name="Comma 2 2 7 5 3 3" xfId="1758" xr:uid="{00000000-0005-0000-0000-000010470000}"/>
    <cellStyle name="Comma 2 2 7 5 3 3 10" xfId="22589" xr:uid="{00000000-0005-0000-0000-000011470000}"/>
    <cellStyle name="Comma 2 2 7 5 3 3 2" xfId="4206" xr:uid="{00000000-0005-0000-0000-000012470000}"/>
    <cellStyle name="Comma 2 2 7 5 3 3 2 2" xfId="20141" xr:uid="{00000000-0005-0000-0000-000013470000}"/>
    <cellStyle name="Comma 2 2 7 5 3 3 2 2 2" xfId="43419" xr:uid="{00000000-0005-0000-0000-000014470000}"/>
    <cellStyle name="Comma 2 2 7 5 3 3 2 3" xfId="48315" xr:uid="{00000000-0005-0000-0000-000015470000}"/>
    <cellStyle name="Comma 2 2 7 5 3 3 2 4" xfId="27485" xr:uid="{00000000-0005-0000-0000-000016470000}"/>
    <cellStyle name="Comma 2 2 7 5 3 3 3" xfId="6654" xr:uid="{00000000-0005-0000-0000-000017470000}"/>
    <cellStyle name="Comma 2 2 7 5 3 3 3 2" xfId="29933" xr:uid="{00000000-0005-0000-0000-000018470000}"/>
    <cellStyle name="Comma 2 2 7 5 3 3 4" xfId="9102" xr:uid="{00000000-0005-0000-0000-000019470000}"/>
    <cellStyle name="Comma 2 2 7 5 3 3 4 2" xfId="32381" xr:uid="{00000000-0005-0000-0000-00001A470000}"/>
    <cellStyle name="Comma 2 2 7 5 3 3 5" xfId="11550" xr:uid="{00000000-0005-0000-0000-00001B470000}"/>
    <cellStyle name="Comma 2 2 7 5 3 3 5 2" xfId="34829" xr:uid="{00000000-0005-0000-0000-00001C470000}"/>
    <cellStyle name="Comma 2 2 7 5 3 3 6" xfId="13998" xr:uid="{00000000-0005-0000-0000-00001D470000}"/>
    <cellStyle name="Comma 2 2 7 5 3 3 6 2" xfId="37277" xr:uid="{00000000-0005-0000-0000-00001E470000}"/>
    <cellStyle name="Comma 2 2 7 5 3 3 7" xfId="17693" xr:uid="{00000000-0005-0000-0000-00001F470000}"/>
    <cellStyle name="Comma 2 2 7 5 3 3 7 2" xfId="40971" xr:uid="{00000000-0005-0000-0000-000020470000}"/>
    <cellStyle name="Comma 2 2 7 5 3 3 8" xfId="25037" xr:uid="{00000000-0005-0000-0000-000021470000}"/>
    <cellStyle name="Comma 2 2 7 5 3 3 9" xfId="45867" xr:uid="{00000000-0005-0000-0000-000022470000}"/>
    <cellStyle name="Comma 2 2 7 5 3 4" xfId="2982" xr:uid="{00000000-0005-0000-0000-000023470000}"/>
    <cellStyle name="Comma 2 2 7 5 3 4 2" xfId="16469" xr:uid="{00000000-0005-0000-0000-000024470000}"/>
    <cellStyle name="Comma 2 2 7 5 3 4 2 2" xfId="39747" xr:uid="{00000000-0005-0000-0000-000025470000}"/>
    <cellStyle name="Comma 2 2 7 5 3 4 3" xfId="47091" xr:uid="{00000000-0005-0000-0000-000026470000}"/>
    <cellStyle name="Comma 2 2 7 5 3 4 4" xfId="26261" xr:uid="{00000000-0005-0000-0000-000027470000}"/>
    <cellStyle name="Comma 2 2 7 5 3 5" xfId="5430" xr:uid="{00000000-0005-0000-0000-000028470000}"/>
    <cellStyle name="Comma 2 2 7 5 3 5 2" xfId="18917" xr:uid="{00000000-0005-0000-0000-000029470000}"/>
    <cellStyle name="Comma 2 2 7 5 3 5 2 2" xfId="42195" xr:uid="{00000000-0005-0000-0000-00002A470000}"/>
    <cellStyle name="Comma 2 2 7 5 3 5 3" xfId="28709" xr:uid="{00000000-0005-0000-0000-00002B470000}"/>
    <cellStyle name="Comma 2 2 7 5 3 6" xfId="7878" xr:uid="{00000000-0005-0000-0000-00002C470000}"/>
    <cellStyle name="Comma 2 2 7 5 3 6 2" xfId="31157" xr:uid="{00000000-0005-0000-0000-00002D470000}"/>
    <cellStyle name="Comma 2 2 7 5 3 7" xfId="10326" xr:uid="{00000000-0005-0000-0000-00002E470000}"/>
    <cellStyle name="Comma 2 2 7 5 3 7 2" xfId="33605" xr:uid="{00000000-0005-0000-0000-00002F470000}"/>
    <cellStyle name="Comma 2 2 7 5 3 8" xfId="12774" xr:uid="{00000000-0005-0000-0000-000030470000}"/>
    <cellStyle name="Comma 2 2 7 5 3 8 2" xfId="36053" xr:uid="{00000000-0005-0000-0000-000031470000}"/>
    <cellStyle name="Comma 2 2 7 5 3 9" xfId="15245" xr:uid="{00000000-0005-0000-0000-000032470000}"/>
    <cellStyle name="Comma 2 2 7 5 3 9 2" xfId="38523" xr:uid="{00000000-0005-0000-0000-000033470000}"/>
    <cellStyle name="Comma 2 2 7 5 4" xfId="738" xr:uid="{00000000-0005-0000-0000-000034470000}"/>
    <cellStyle name="Comma 2 2 7 5 4 10" xfId="44847" xr:uid="{00000000-0005-0000-0000-000035470000}"/>
    <cellStyle name="Comma 2 2 7 5 4 11" xfId="21569" xr:uid="{00000000-0005-0000-0000-000036470000}"/>
    <cellStyle name="Comma 2 2 7 5 4 2" xfId="1962" xr:uid="{00000000-0005-0000-0000-000037470000}"/>
    <cellStyle name="Comma 2 2 7 5 4 2 10" xfId="22793" xr:uid="{00000000-0005-0000-0000-000038470000}"/>
    <cellStyle name="Comma 2 2 7 5 4 2 2" xfId="4410" xr:uid="{00000000-0005-0000-0000-000039470000}"/>
    <cellStyle name="Comma 2 2 7 5 4 2 2 2" xfId="20345" xr:uid="{00000000-0005-0000-0000-00003A470000}"/>
    <cellStyle name="Comma 2 2 7 5 4 2 2 2 2" xfId="43623" xr:uid="{00000000-0005-0000-0000-00003B470000}"/>
    <cellStyle name="Comma 2 2 7 5 4 2 2 3" xfId="48519" xr:uid="{00000000-0005-0000-0000-00003C470000}"/>
    <cellStyle name="Comma 2 2 7 5 4 2 2 4" xfId="27689" xr:uid="{00000000-0005-0000-0000-00003D470000}"/>
    <cellStyle name="Comma 2 2 7 5 4 2 3" xfId="6858" xr:uid="{00000000-0005-0000-0000-00003E470000}"/>
    <cellStyle name="Comma 2 2 7 5 4 2 3 2" xfId="30137" xr:uid="{00000000-0005-0000-0000-00003F470000}"/>
    <cellStyle name="Comma 2 2 7 5 4 2 4" xfId="9306" xr:uid="{00000000-0005-0000-0000-000040470000}"/>
    <cellStyle name="Comma 2 2 7 5 4 2 4 2" xfId="32585" xr:uid="{00000000-0005-0000-0000-000041470000}"/>
    <cellStyle name="Comma 2 2 7 5 4 2 5" xfId="11754" xr:uid="{00000000-0005-0000-0000-000042470000}"/>
    <cellStyle name="Comma 2 2 7 5 4 2 5 2" xfId="35033" xr:uid="{00000000-0005-0000-0000-000043470000}"/>
    <cellStyle name="Comma 2 2 7 5 4 2 6" xfId="14202" xr:uid="{00000000-0005-0000-0000-000044470000}"/>
    <cellStyle name="Comma 2 2 7 5 4 2 6 2" xfId="37481" xr:uid="{00000000-0005-0000-0000-000045470000}"/>
    <cellStyle name="Comma 2 2 7 5 4 2 7" xfId="17897" xr:uid="{00000000-0005-0000-0000-000046470000}"/>
    <cellStyle name="Comma 2 2 7 5 4 2 7 2" xfId="41175" xr:uid="{00000000-0005-0000-0000-000047470000}"/>
    <cellStyle name="Comma 2 2 7 5 4 2 8" xfId="25241" xr:uid="{00000000-0005-0000-0000-000048470000}"/>
    <cellStyle name="Comma 2 2 7 5 4 2 9" xfId="46071" xr:uid="{00000000-0005-0000-0000-000049470000}"/>
    <cellStyle name="Comma 2 2 7 5 4 3" xfId="3186" xr:uid="{00000000-0005-0000-0000-00004A470000}"/>
    <cellStyle name="Comma 2 2 7 5 4 3 2" xfId="16673" xr:uid="{00000000-0005-0000-0000-00004B470000}"/>
    <cellStyle name="Comma 2 2 7 5 4 3 2 2" xfId="39951" xr:uid="{00000000-0005-0000-0000-00004C470000}"/>
    <cellStyle name="Comma 2 2 7 5 4 3 3" xfId="47295" xr:uid="{00000000-0005-0000-0000-00004D470000}"/>
    <cellStyle name="Comma 2 2 7 5 4 3 4" xfId="26465" xr:uid="{00000000-0005-0000-0000-00004E470000}"/>
    <cellStyle name="Comma 2 2 7 5 4 4" xfId="5634" xr:uid="{00000000-0005-0000-0000-00004F470000}"/>
    <cellStyle name="Comma 2 2 7 5 4 4 2" xfId="19121" xr:uid="{00000000-0005-0000-0000-000050470000}"/>
    <cellStyle name="Comma 2 2 7 5 4 4 2 2" xfId="42399" xr:uid="{00000000-0005-0000-0000-000051470000}"/>
    <cellStyle name="Comma 2 2 7 5 4 4 3" xfId="28913" xr:uid="{00000000-0005-0000-0000-000052470000}"/>
    <cellStyle name="Comma 2 2 7 5 4 5" xfId="8082" xr:uid="{00000000-0005-0000-0000-000053470000}"/>
    <cellStyle name="Comma 2 2 7 5 4 5 2" xfId="31361" xr:uid="{00000000-0005-0000-0000-000054470000}"/>
    <cellStyle name="Comma 2 2 7 5 4 6" xfId="10530" xr:uid="{00000000-0005-0000-0000-000055470000}"/>
    <cellStyle name="Comma 2 2 7 5 4 6 2" xfId="33809" xr:uid="{00000000-0005-0000-0000-000056470000}"/>
    <cellStyle name="Comma 2 2 7 5 4 7" xfId="12978" xr:uid="{00000000-0005-0000-0000-000057470000}"/>
    <cellStyle name="Comma 2 2 7 5 4 7 2" xfId="36257" xr:uid="{00000000-0005-0000-0000-000058470000}"/>
    <cellStyle name="Comma 2 2 7 5 4 8" xfId="15449" xr:uid="{00000000-0005-0000-0000-000059470000}"/>
    <cellStyle name="Comma 2 2 7 5 4 8 2" xfId="38727" xr:uid="{00000000-0005-0000-0000-00005A470000}"/>
    <cellStyle name="Comma 2 2 7 5 4 9" xfId="24017" xr:uid="{00000000-0005-0000-0000-00005B470000}"/>
    <cellStyle name="Comma 2 2 7 5 5" xfId="1350" xr:uid="{00000000-0005-0000-0000-00005C470000}"/>
    <cellStyle name="Comma 2 2 7 5 5 10" xfId="22181" xr:uid="{00000000-0005-0000-0000-00005D470000}"/>
    <cellStyle name="Comma 2 2 7 5 5 2" xfId="3798" xr:uid="{00000000-0005-0000-0000-00005E470000}"/>
    <cellStyle name="Comma 2 2 7 5 5 2 2" xfId="19733" xr:uid="{00000000-0005-0000-0000-00005F470000}"/>
    <cellStyle name="Comma 2 2 7 5 5 2 2 2" xfId="43011" xr:uid="{00000000-0005-0000-0000-000060470000}"/>
    <cellStyle name="Comma 2 2 7 5 5 2 3" xfId="47907" xr:uid="{00000000-0005-0000-0000-000061470000}"/>
    <cellStyle name="Comma 2 2 7 5 5 2 4" xfId="27077" xr:uid="{00000000-0005-0000-0000-000062470000}"/>
    <cellStyle name="Comma 2 2 7 5 5 3" xfId="6246" xr:uid="{00000000-0005-0000-0000-000063470000}"/>
    <cellStyle name="Comma 2 2 7 5 5 3 2" xfId="29525" xr:uid="{00000000-0005-0000-0000-000064470000}"/>
    <cellStyle name="Comma 2 2 7 5 5 4" xfId="8694" xr:uid="{00000000-0005-0000-0000-000065470000}"/>
    <cellStyle name="Comma 2 2 7 5 5 4 2" xfId="31973" xr:uid="{00000000-0005-0000-0000-000066470000}"/>
    <cellStyle name="Comma 2 2 7 5 5 5" xfId="11142" xr:uid="{00000000-0005-0000-0000-000067470000}"/>
    <cellStyle name="Comma 2 2 7 5 5 5 2" xfId="34421" xr:uid="{00000000-0005-0000-0000-000068470000}"/>
    <cellStyle name="Comma 2 2 7 5 5 6" xfId="13590" xr:uid="{00000000-0005-0000-0000-000069470000}"/>
    <cellStyle name="Comma 2 2 7 5 5 6 2" xfId="36869" xr:uid="{00000000-0005-0000-0000-00006A470000}"/>
    <cellStyle name="Comma 2 2 7 5 5 7" xfId="17285" xr:uid="{00000000-0005-0000-0000-00006B470000}"/>
    <cellStyle name="Comma 2 2 7 5 5 7 2" xfId="40563" xr:uid="{00000000-0005-0000-0000-00006C470000}"/>
    <cellStyle name="Comma 2 2 7 5 5 8" xfId="24629" xr:uid="{00000000-0005-0000-0000-00006D470000}"/>
    <cellStyle name="Comma 2 2 7 5 5 9" xfId="45459" xr:uid="{00000000-0005-0000-0000-00006E470000}"/>
    <cellStyle name="Comma 2 2 7 5 6" xfId="2574" xr:uid="{00000000-0005-0000-0000-00006F470000}"/>
    <cellStyle name="Comma 2 2 7 5 6 2" xfId="16061" xr:uid="{00000000-0005-0000-0000-000070470000}"/>
    <cellStyle name="Comma 2 2 7 5 6 2 2" xfId="39339" xr:uid="{00000000-0005-0000-0000-000071470000}"/>
    <cellStyle name="Comma 2 2 7 5 6 3" xfId="46683" xr:uid="{00000000-0005-0000-0000-000072470000}"/>
    <cellStyle name="Comma 2 2 7 5 6 4" xfId="25853" xr:uid="{00000000-0005-0000-0000-000073470000}"/>
    <cellStyle name="Comma 2 2 7 5 7" xfId="5022" xr:uid="{00000000-0005-0000-0000-000074470000}"/>
    <cellStyle name="Comma 2 2 7 5 7 2" xfId="18509" xr:uid="{00000000-0005-0000-0000-000075470000}"/>
    <cellStyle name="Comma 2 2 7 5 7 2 2" xfId="41787" xr:uid="{00000000-0005-0000-0000-000076470000}"/>
    <cellStyle name="Comma 2 2 7 5 7 3" xfId="28301" xr:uid="{00000000-0005-0000-0000-000077470000}"/>
    <cellStyle name="Comma 2 2 7 5 8" xfId="7470" xr:uid="{00000000-0005-0000-0000-000078470000}"/>
    <cellStyle name="Comma 2 2 7 5 8 2" xfId="30749" xr:uid="{00000000-0005-0000-0000-000079470000}"/>
    <cellStyle name="Comma 2 2 7 5 9" xfId="9918" xr:uid="{00000000-0005-0000-0000-00007A470000}"/>
    <cellStyle name="Comma 2 2 7 5 9 2" xfId="33197" xr:uid="{00000000-0005-0000-0000-00007B470000}"/>
    <cellStyle name="Comma 2 2 7 6" xfId="194" xr:uid="{00000000-0005-0000-0000-00007C470000}"/>
    <cellStyle name="Comma 2 2 7 6 10" xfId="12434" xr:uid="{00000000-0005-0000-0000-00007D470000}"/>
    <cellStyle name="Comma 2 2 7 6 10 2" xfId="35713" xr:uid="{00000000-0005-0000-0000-00007E470000}"/>
    <cellStyle name="Comma 2 2 7 6 11" xfId="14905" xr:uid="{00000000-0005-0000-0000-00007F470000}"/>
    <cellStyle name="Comma 2 2 7 6 11 2" xfId="38183" xr:uid="{00000000-0005-0000-0000-000080470000}"/>
    <cellStyle name="Comma 2 2 7 6 12" xfId="23473" xr:uid="{00000000-0005-0000-0000-000081470000}"/>
    <cellStyle name="Comma 2 2 7 6 13" xfId="44303" xr:uid="{00000000-0005-0000-0000-000082470000}"/>
    <cellStyle name="Comma 2 2 7 6 14" xfId="21025" xr:uid="{00000000-0005-0000-0000-000083470000}"/>
    <cellStyle name="Comma 2 2 7 6 2" xfId="398" xr:uid="{00000000-0005-0000-0000-000084470000}"/>
    <cellStyle name="Comma 2 2 7 6 2 10" xfId="23677" xr:uid="{00000000-0005-0000-0000-000085470000}"/>
    <cellStyle name="Comma 2 2 7 6 2 11" xfId="44507" xr:uid="{00000000-0005-0000-0000-000086470000}"/>
    <cellStyle name="Comma 2 2 7 6 2 12" xfId="21229" xr:uid="{00000000-0005-0000-0000-000087470000}"/>
    <cellStyle name="Comma 2 2 7 6 2 2" xfId="1010" xr:uid="{00000000-0005-0000-0000-000088470000}"/>
    <cellStyle name="Comma 2 2 7 6 2 2 10" xfId="45119" xr:uid="{00000000-0005-0000-0000-000089470000}"/>
    <cellStyle name="Comma 2 2 7 6 2 2 11" xfId="21841" xr:uid="{00000000-0005-0000-0000-00008A470000}"/>
    <cellStyle name="Comma 2 2 7 6 2 2 2" xfId="2234" xr:uid="{00000000-0005-0000-0000-00008B470000}"/>
    <cellStyle name="Comma 2 2 7 6 2 2 2 10" xfId="23065" xr:uid="{00000000-0005-0000-0000-00008C470000}"/>
    <cellStyle name="Comma 2 2 7 6 2 2 2 2" xfId="4682" xr:uid="{00000000-0005-0000-0000-00008D470000}"/>
    <cellStyle name="Comma 2 2 7 6 2 2 2 2 2" xfId="20617" xr:uid="{00000000-0005-0000-0000-00008E470000}"/>
    <cellStyle name="Comma 2 2 7 6 2 2 2 2 2 2" xfId="43895" xr:uid="{00000000-0005-0000-0000-00008F470000}"/>
    <cellStyle name="Comma 2 2 7 6 2 2 2 2 3" xfId="48791" xr:uid="{00000000-0005-0000-0000-000090470000}"/>
    <cellStyle name="Comma 2 2 7 6 2 2 2 2 4" xfId="27961" xr:uid="{00000000-0005-0000-0000-000091470000}"/>
    <cellStyle name="Comma 2 2 7 6 2 2 2 3" xfId="7130" xr:uid="{00000000-0005-0000-0000-000092470000}"/>
    <cellStyle name="Comma 2 2 7 6 2 2 2 3 2" xfId="30409" xr:uid="{00000000-0005-0000-0000-000093470000}"/>
    <cellStyle name="Comma 2 2 7 6 2 2 2 4" xfId="9578" xr:uid="{00000000-0005-0000-0000-000094470000}"/>
    <cellStyle name="Comma 2 2 7 6 2 2 2 4 2" xfId="32857" xr:uid="{00000000-0005-0000-0000-000095470000}"/>
    <cellStyle name="Comma 2 2 7 6 2 2 2 5" xfId="12026" xr:uid="{00000000-0005-0000-0000-000096470000}"/>
    <cellStyle name="Comma 2 2 7 6 2 2 2 5 2" xfId="35305" xr:uid="{00000000-0005-0000-0000-000097470000}"/>
    <cellStyle name="Comma 2 2 7 6 2 2 2 6" xfId="14474" xr:uid="{00000000-0005-0000-0000-000098470000}"/>
    <cellStyle name="Comma 2 2 7 6 2 2 2 6 2" xfId="37753" xr:uid="{00000000-0005-0000-0000-000099470000}"/>
    <cellStyle name="Comma 2 2 7 6 2 2 2 7" xfId="18169" xr:uid="{00000000-0005-0000-0000-00009A470000}"/>
    <cellStyle name="Comma 2 2 7 6 2 2 2 7 2" xfId="41447" xr:uid="{00000000-0005-0000-0000-00009B470000}"/>
    <cellStyle name="Comma 2 2 7 6 2 2 2 8" xfId="25513" xr:uid="{00000000-0005-0000-0000-00009C470000}"/>
    <cellStyle name="Comma 2 2 7 6 2 2 2 9" xfId="46343" xr:uid="{00000000-0005-0000-0000-00009D470000}"/>
    <cellStyle name="Comma 2 2 7 6 2 2 3" xfId="3458" xr:uid="{00000000-0005-0000-0000-00009E470000}"/>
    <cellStyle name="Comma 2 2 7 6 2 2 3 2" xfId="16945" xr:uid="{00000000-0005-0000-0000-00009F470000}"/>
    <cellStyle name="Comma 2 2 7 6 2 2 3 2 2" xfId="40223" xr:uid="{00000000-0005-0000-0000-0000A0470000}"/>
    <cellStyle name="Comma 2 2 7 6 2 2 3 3" xfId="47567" xr:uid="{00000000-0005-0000-0000-0000A1470000}"/>
    <cellStyle name="Comma 2 2 7 6 2 2 3 4" xfId="26737" xr:uid="{00000000-0005-0000-0000-0000A2470000}"/>
    <cellStyle name="Comma 2 2 7 6 2 2 4" xfId="5906" xr:uid="{00000000-0005-0000-0000-0000A3470000}"/>
    <cellStyle name="Comma 2 2 7 6 2 2 4 2" xfId="19393" xr:uid="{00000000-0005-0000-0000-0000A4470000}"/>
    <cellStyle name="Comma 2 2 7 6 2 2 4 2 2" xfId="42671" xr:uid="{00000000-0005-0000-0000-0000A5470000}"/>
    <cellStyle name="Comma 2 2 7 6 2 2 4 3" xfId="29185" xr:uid="{00000000-0005-0000-0000-0000A6470000}"/>
    <cellStyle name="Comma 2 2 7 6 2 2 5" xfId="8354" xr:uid="{00000000-0005-0000-0000-0000A7470000}"/>
    <cellStyle name="Comma 2 2 7 6 2 2 5 2" xfId="31633" xr:uid="{00000000-0005-0000-0000-0000A8470000}"/>
    <cellStyle name="Comma 2 2 7 6 2 2 6" xfId="10802" xr:uid="{00000000-0005-0000-0000-0000A9470000}"/>
    <cellStyle name="Comma 2 2 7 6 2 2 6 2" xfId="34081" xr:uid="{00000000-0005-0000-0000-0000AA470000}"/>
    <cellStyle name="Comma 2 2 7 6 2 2 7" xfId="13250" xr:uid="{00000000-0005-0000-0000-0000AB470000}"/>
    <cellStyle name="Comma 2 2 7 6 2 2 7 2" xfId="36529" xr:uid="{00000000-0005-0000-0000-0000AC470000}"/>
    <cellStyle name="Comma 2 2 7 6 2 2 8" xfId="15721" xr:uid="{00000000-0005-0000-0000-0000AD470000}"/>
    <cellStyle name="Comma 2 2 7 6 2 2 8 2" xfId="38999" xr:uid="{00000000-0005-0000-0000-0000AE470000}"/>
    <cellStyle name="Comma 2 2 7 6 2 2 9" xfId="24289" xr:uid="{00000000-0005-0000-0000-0000AF470000}"/>
    <cellStyle name="Comma 2 2 7 6 2 3" xfId="1622" xr:uid="{00000000-0005-0000-0000-0000B0470000}"/>
    <cellStyle name="Comma 2 2 7 6 2 3 10" xfId="22453" xr:uid="{00000000-0005-0000-0000-0000B1470000}"/>
    <cellStyle name="Comma 2 2 7 6 2 3 2" xfId="4070" xr:uid="{00000000-0005-0000-0000-0000B2470000}"/>
    <cellStyle name="Comma 2 2 7 6 2 3 2 2" xfId="20005" xr:uid="{00000000-0005-0000-0000-0000B3470000}"/>
    <cellStyle name="Comma 2 2 7 6 2 3 2 2 2" xfId="43283" xr:uid="{00000000-0005-0000-0000-0000B4470000}"/>
    <cellStyle name="Comma 2 2 7 6 2 3 2 3" xfId="48179" xr:uid="{00000000-0005-0000-0000-0000B5470000}"/>
    <cellStyle name="Comma 2 2 7 6 2 3 2 4" xfId="27349" xr:uid="{00000000-0005-0000-0000-0000B6470000}"/>
    <cellStyle name="Comma 2 2 7 6 2 3 3" xfId="6518" xr:uid="{00000000-0005-0000-0000-0000B7470000}"/>
    <cellStyle name="Comma 2 2 7 6 2 3 3 2" xfId="29797" xr:uid="{00000000-0005-0000-0000-0000B8470000}"/>
    <cellStyle name="Comma 2 2 7 6 2 3 4" xfId="8966" xr:uid="{00000000-0005-0000-0000-0000B9470000}"/>
    <cellStyle name="Comma 2 2 7 6 2 3 4 2" xfId="32245" xr:uid="{00000000-0005-0000-0000-0000BA470000}"/>
    <cellStyle name="Comma 2 2 7 6 2 3 5" xfId="11414" xr:uid="{00000000-0005-0000-0000-0000BB470000}"/>
    <cellStyle name="Comma 2 2 7 6 2 3 5 2" xfId="34693" xr:uid="{00000000-0005-0000-0000-0000BC470000}"/>
    <cellStyle name="Comma 2 2 7 6 2 3 6" xfId="13862" xr:uid="{00000000-0005-0000-0000-0000BD470000}"/>
    <cellStyle name="Comma 2 2 7 6 2 3 6 2" xfId="37141" xr:uid="{00000000-0005-0000-0000-0000BE470000}"/>
    <cellStyle name="Comma 2 2 7 6 2 3 7" xfId="17557" xr:uid="{00000000-0005-0000-0000-0000BF470000}"/>
    <cellStyle name="Comma 2 2 7 6 2 3 7 2" xfId="40835" xr:uid="{00000000-0005-0000-0000-0000C0470000}"/>
    <cellStyle name="Comma 2 2 7 6 2 3 8" xfId="24901" xr:uid="{00000000-0005-0000-0000-0000C1470000}"/>
    <cellStyle name="Comma 2 2 7 6 2 3 9" xfId="45731" xr:uid="{00000000-0005-0000-0000-0000C2470000}"/>
    <cellStyle name="Comma 2 2 7 6 2 4" xfId="2846" xr:uid="{00000000-0005-0000-0000-0000C3470000}"/>
    <cellStyle name="Comma 2 2 7 6 2 4 2" xfId="16333" xr:uid="{00000000-0005-0000-0000-0000C4470000}"/>
    <cellStyle name="Comma 2 2 7 6 2 4 2 2" xfId="39611" xr:uid="{00000000-0005-0000-0000-0000C5470000}"/>
    <cellStyle name="Comma 2 2 7 6 2 4 3" xfId="46955" xr:uid="{00000000-0005-0000-0000-0000C6470000}"/>
    <cellStyle name="Comma 2 2 7 6 2 4 4" xfId="26125" xr:uid="{00000000-0005-0000-0000-0000C7470000}"/>
    <cellStyle name="Comma 2 2 7 6 2 5" xfId="5294" xr:uid="{00000000-0005-0000-0000-0000C8470000}"/>
    <cellStyle name="Comma 2 2 7 6 2 5 2" xfId="18781" xr:uid="{00000000-0005-0000-0000-0000C9470000}"/>
    <cellStyle name="Comma 2 2 7 6 2 5 2 2" xfId="42059" xr:uid="{00000000-0005-0000-0000-0000CA470000}"/>
    <cellStyle name="Comma 2 2 7 6 2 5 3" xfId="28573" xr:uid="{00000000-0005-0000-0000-0000CB470000}"/>
    <cellStyle name="Comma 2 2 7 6 2 6" xfId="7742" xr:uid="{00000000-0005-0000-0000-0000CC470000}"/>
    <cellStyle name="Comma 2 2 7 6 2 6 2" xfId="31021" xr:uid="{00000000-0005-0000-0000-0000CD470000}"/>
    <cellStyle name="Comma 2 2 7 6 2 7" xfId="10190" xr:uid="{00000000-0005-0000-0000-0000CE470000}"/>
    <cellStyle name="Comma 2 2 7 6 2 7 2" xfId="33469" xr:uid="{00000000-0005-0000-0000-0000CF470000}"/>
    <cellStyle name="Comma 2 2 7 6 2 8" xfId="12638" xr:uid="{00000000-0005-0000-0000-0000D0470000}"/>
    <cellStyle name="Comma 2 2 7 6 2 8 2" xfId="35917" xr:uid="{00000000-0005-0000-0000-0000D1470000}"/>
    <cellStyle name="Comma 2 2 7 6 2 9" xfId="15109" xr:uid="{00000000-0005-0000-0000-0000D2470000}"/>
    <cellStyle name="Comma 2 2 7 6 2 9 2" xfId="38387" xr:uid="{00000000-0005-0000-0000-0000D3470000}"/>
    <cellStyle name="Comma 2 2 7 6 3" xfId="602" xr:uid="{00000000-0005-0000-0000-0000D4470000}"/>
    <cellStyle name="Comma 2 2 7 6 3 10" xfId="23881" xr:uid="{00000000-0005-0000-0000-0000D5470000}"/>
    <cellStyle name="Comma 2 2 7 6 3 11" xfId="44711" xr:uid="{00000000-0005-0000-0000-0000D6470000}"/>
    <cellStyle name="Comma 2 2 7 6 3 12" xfId="21433" xr:uid="{00000000-0005-0000-0000-0000D7470000}"/>
    <cellStyle name="Comma 2 2 7 6 3 2" xfId="1214" xr:uid="{00000000-0005-0000-0000-0000D8470000}"/>
    <cellStyle name="Comma 2 2 7 6 3 2 10" xfId="45323" xr:uid="{00000000-0005-0000-0000-0000D9470000}"/>
    <cellStyle name="Comma 2 2 7 6 3 2 11" xfId="22045" xr:uid="{00000000-0005-0000-0000-0000DA470000}"/>
    <cellStyle name="Comma 2 2 7 6 3 2 2" xfId="2438" xr:uid="{00000000-0005-0000-0000-0000DB470000}"/>
    <cellStyle name="Comma 2 2 7 6 3 2 2 10" xfId="23269" xr:uid="{00000000-0005-0000-0000-0000DC470000}"/>
    <cellStyle name="Comma 2 2 7 6 3 2 2 2" xfId="4886" xr:uid="{00000000-0005-0000-0000-0000DD470000}"/>
    <cellStyle name="Comma 2 2 7 6 3 2 2 2 2" xfId="20821" xr:uid="{00000000-0005-0000-0000-0000DE470000}"/>
    <cellStyle name="Comma 2 2 7 6 3 2 2 2 2 2" xfId="44099" xr:uid="{00000000-0005-0000-0000-0000DF470000}"/>
    <cellStyle name="Comma 2 2 7 6 3 2 2 2 3" xfId="48995" xr:uid="{00000000-0005-0000-0000-0000E0470000}"/>
    <cellStyle name="Comma 2 2 7 6 3 2 2 2 4" xfId="28165" xr:uid="{00000000-0005-0000-0000-0000E1470000}"/>
    <cellStyle name="Comma 2 2 7 6 3 2 2 3" xfId="7334" xr:uid="{00000000-0005-0000-0000-0000E2470000}"/>
    <cellStyle name="Comma 2 2 7 6 3 2 2 3 2" xfId="30613" xr:uid="{00000000-0005-0000-0000-0000E3470000}"/>
    <cellStyle name="Comma 2 2 7 6 3 2 2 4" xfId="9782" xr:uid="{00000000-0005-0000-0000-0000E4470000}"/>
    <cellStyle name="Comma 2 2 7 6 3 2 2 4 2" xfId="33061" xr:uid="{00000000-0005-0000-0000-0000E5470000}"/>
    <cellStyle name="Comma 2 2 7 6 3 2 2 5" xfId="12230" xr:uid="{00000000-0005-0000-0000-0000E6470000}"/>
    <cellStyle name="Comma 2 2 7 6 3 2 2 5 2" xfId="35509" xr:uid="{00000000-0005-0000-0000-0000E7470000}"/>
    <cellStyle name="Comma 2 2 7 6 3 2 2 6" xfId="14678" xr:uid="{00000000-0005-0000-0000-0000E8470000}"/>
    <cellStyle name="Comma 2 2 7 6 3 2 2 6 2" xfId="37957" xr:uid="{00000000-0005-0000-0000-0000E9470000}"/>
    <cellStyle name="Comma 2 2 7 6 3 2 2 7" xfId="18373" xr:uid="{00000000-0005-0000-0000-0000EA470000}"/>
    <cellStyle name="Comma 2 2 7 6 3 2 2 7 2" xfId="41651" xr:uid="{00000000-0005-0000-0000-0000EB470000}"/>
    <cellStyle name="Comma 2 2 7 6 3 2 2 8" xfId="25717" xr:uid="{00000000-0005-0000-0000-0000EC470000}"/>
    <cellStyle name="Comma 2 2 7 6 3 2 2 9" xfId="46547" xr:uid="{00000000-0005-0000-0000-0000ED470000}"/>
    <cellStyle name="Comma 2 2 7 6 3 2 3" xfId="3662" xr:uid="{00000000-0005-0000-0000-0000EE470000}"/>
    <cellStyle name="Comma 2 2 7 6 3 2 3 2" xfId="17149" xr:uid="{00000000-0005-0000-0000-0000EF470000}"/>
    <cellStyle name="Comma 2 2 7 6 3 2 3 2 2" xfId="40427" xr:uid="{00000000-0005-0000-0000-0000F0470000}"/>
    <cellStyle name="Comma 2 2 7 6 3 2 3 3" xfId="47771" xr:uid="{00000000-0005-0000-0000-0000F1470000}"/>
    <cellStyle name="Comma 2 2 7 6 3 2 3 4" xfId="26941" xr:uid="{00000000-0005-0000-0000-0000F2470000}"/>
    <cellStyle name="Comma 2 2 7 6 3 2 4" xfId="6110" xr:uid="{00000000-0005-0000-0000-0000F3470000}"/>
    <cellStyle name="Comma 2 2 7 6 3 2 4 2" xfId="19597" xr:uid="{00000000-0005-0000-0000-0000F4470000}"/>
    <cellStyle name="Comma 2 2 7 6 3 2 4 2 2" xfId="42875" xr:uid="{00000000-0005-0000-0000-0000F5470000}"/>
    <cellStyle name="Comma 2 2 7 6 3 2 4 3" xfId="29389" xr:uid="{00000000-0005-0000-0000-0000F6470000}"/>
    <cellStyle name="Comma 2 2 7 6 3 2 5" xfId="8558" xr:uid="{00000000-0005-0000-0000-0000F7470000}"/>
    <cellStyle name="Comma 2 2 7 6 3 2 5 2" xfId="31837" xr:uid="{00000000-0005-0000-0000-0000F8470000}"/>
    <cellStyle name="Comma 2 2 7 6 3 2 6" xfId="11006" xr:uid="{00000000-0005-0000-0000-0000F9470000}"/>
    <cellStyle name="Comma 2 2 7 6 3 2 6 2" xfId="34285" xr:uid="{00000000-0005-0000-0000-0000FA470000}"/>
    <cellStyle name="Comma 2 2 7 6 3 2 7" xfId="13454" xr:uid="{00000000-0005-0000-0000-0000FB470000}"/>
    <cellStyle name="Comma 2 2 7 6 3 2 7 2" xfId="36733" xr:uid="{00000000-0005-0000-0000-0000FC470000}"/>
    <cellStyle name="Comma 2 2 7 6 3 2 8" xfId="15925" xr:uid="{00000000-0005-0000-0000-0000FD470000}"/>
    <cellStyle name="Comma 2 2 7 6 3 2 8 2" xfId="39203" xr:uid="{00000000-0005-0000-0000-0000FE470000}"/>
    <cellStyle name="Comma 2 2 7 6 3 2 9" xfId="24493" xr:uid="{00000000-0005-0000-0000-0000FF470000}"/>
    <cellStyle name="Comma 2 2 7 6 3 3" xfId="1826" xr:uid="{00000000-0005-0000-0000-000000480000}"/>
    <cellStyle name="Comma 2 2 7 6 3 3 10" xfId="22657" xr:uid="{00000000-0005-0000-0000-000001480000}"/>
    <cellStyle name="Comma 2 2 7 6 3 3 2" xfId="4274" xr:uid="{00000000-0005-0000-0000-000002480000}"/>
    <cellStyle name="Comma 2 2 7 6 3 3 2 2" xfId="20209" xr:uid="{00000000-0005-0000-0000-000003480000}"/>
    <cellStyle name="Comma 2 2 7 6 3 3 2 2 2" xfId="43487" xr:uid="{00000000-0005-0000-0000-000004480000}"/>
    <cellStyle name="Comma 2 2 7 6 3 3 2 3" xfId="48383" xr:uid="{00000000-0005-0000-0000-000005480000}"/>
    <cellStyle name="Comma 2 2 7 6 3 3 2 4" xfId="27553" xr:uid="{00000000-0005-0000-0000-000006480000}"/>
    <cellStyle name="Comma 2 2 7 6 3 3 3" xfId="6722" xr:uid="{00000000-0005-0000-0000-000007480000}"/>
    <cellStyle name="Comma 2 2 7 6 3 3 3 2" xfId="30001" xr:uid="{00000000-0005-0000-0000-000008480000}"/>
    <cellStyle name="Comma 2 2 7 6 3 3 4" xfId="9170" xr:uid="{00000000-0005-0000-0000-000009480000}"/>
    <cellStyle name="Comma 2 2 7 6 3 3 4 2" xfId="32449" xr:uid="{00000000-0005-0000-0000-00000A480000}"/>
    <cellStyle name="Comma 2 2 7 6 3 3 5" xfId="11618" xr:uid="{00000000-0005-0000-0000-00000B480000}"/>
    <cellStyle name="Comma 2 2 7 6 3 3 5 2" xfId="34897" xr:uid="{00000000-0005-0000-0000-00000C480000}"/>
    <cellStyle name="Comma 2 2 7 6 3 3 6" xfId="14066" xr:uid="{00000000-0005-0000-0000-00000D480000}"/>
    <cellStyle name="Comma 2 2 7 6 3 3 6 2" xfId="37345" xr:uid="{00000000-0005-0000-0000-00000E480000}"/>
    <cellStyle name="Comma 2 2 7 6 3 3 7" xfId="17761" xr:uid="{00000000-0005-0000-0000-00000F480000}"/>
    <cellStyle name="Comma 2 2 7 6 3 3 7 2" xfId="41039" xr:uid="{00000000-0005-0000-0000-000010480000}"/>
    <cellStyle name="Comma 2 2 7 6 3 3 8" xfId="25105" xr:uid="{00000000-0005-0000-0000-000011480000}"/>
    <cellStyle name="Comma 2 2 7 6 3 3 9" xfId="45935" xr:uid="{00000000-0005-0000-0000-000012480000}"/>
    <cellStyle name="Comma 2 2 7 6 3 4" xfId="3050" xr:uid="{00000000-0005-0000-0000-000013480000}"/>
    <cellStyle name="Comma 2 2 7 6 3 4 2" xfId="16537" xr:uid="{00000000-0005-0000-0000-000014480000}"/>
    <cellStyle name="Comma 2 2 7 6 3 4 2 2" xfId="39815" xr:uid="{00000000-0005-0000-0000-000015480000}"/>
    <cellStyle name="Comma 2 2 7 6 3 4 3" xfId="47159" xr:uid="{00000000-0005-0000-0000-000016480000}"/>
    <cellStyle name="Comma 2 2 7 6 3 4 4" xfId="26329" xr:uid="{00000000-0005-0000-0000-000017480000}"/>
    <cellStyle name="Comma 2 2 7 6 3 5" xfId="5498" xr:uid="{00000000-0005-0000-0000-000018480000}"/>
    <cellStyle name="Comma 2 2 7 6 3 5 2" xfId="18985" xr:uid="{00000000-0005-0000-0000-000019480000}"/>
    <cellStyle name="Comma 2 2 7 6 3 5 2 2" xfId="42263" xr:uid="{00000000-0005-0000-0000-00001A480000}"/>
    <cellStyle name="Comma 2 2 7 6 3 5 3" xfId="28777" xr:uid="{00000000-0005-0000-0000-00001B480000}"/>
    <cellStyle name="Comma 2 2 7 6 3 6" xfId="7946" xr:uid="{00000000-0005-0000-0000-00001C480000}"/>
    <cellStyle name="Comma 2 2 7 6 3 6 2" xfId="31225" xr:uid="{00000000-0005-0000-0000-00001D480000}"/>
    <cellStyle name="Comma 2 2 7 6 3 7" xfId="10394" xr:uid="{00000000-0005-0000-0000-00001E480000}"/>
    <cellStyle name="Comma 2 2 7 6 3 7 2" xfId="33673" xr:uid="{00000000-0005-0000-0000-00001F480000}"/>
    <cellStyle name="Comma 2 2 7 6 3 8" xfId="12842" xr:uid="{00000000-0005-0000-0000-000020480000}"/>
    <cellStyle name="Comma 2 2 7 6 3 8 2" xfId="36121" xr:uid="{00000000-0005-0000-0000-000021480000}"/>
    <cellStyle name="Comma 2 2 7 6 3 9" xfId="15313" xr:uid="{00000000-0005-0000-0000-000022480000}"/>
    <cellStyle name="Comma 2 2 7 6 3 9 2" xfId="38591" xr:uid="{00000000-0005-0000-0000-000023480000}"/>
    <cellStyle name="Comma 2 2 7 6 4" xfId="806" xr:uid="{00000000-0005-0000-0000-000024480000}"/>
    <cellStyle name="Comma 2 2 7 6 4 10" xfId="44915" xr:uid="{00000000-0005-0000-0000-000025480000}"/>
    <cellStyle name="Comma 2 2 7 6 4 11" xfId="21637" xr:uid="{00000000-0005-0000-0000-000026480000}"/>
    <cellStyle name="Comma 2 2 7 6 4 2" xfId="2030" xr:uid="{00000000-0005-0000-0000-000027480000}"/>
    <cellStyle name="Comma 2 2 7 6 4 2 10" xfId="22861" xr:uid="{00000000-0005-0000-0000-000028480000}"/>
    <cellStyle name="Comma 2 2 7 6 4 2 2" xfId="4478" xr:uid="{00000000-0005-0000-0000-000029480000}"/>
    <cellStyle name="Comma 2 2 7 6 4 2 2 2" xfId="20413" xr:uid="{00000000-0005-0000-0000-00002A480000}"/>
    <cellStyle name="Comma 2 2 7 6 4 2 2 2 2" xfId="43691" xr:uid="{00000000-0005-0000-0000-00002B480000}"/>
    <cellStyle name="Comma 2 2 7 6 4 2 2 3" xfId="48587" xr:uid="{00000000-0005-0000-0000-00002C480000}"/>
    <cellStyle name="Comma 2 2 7 6 4 2 2 4" xfId="27757" xr:uid="{00000000-0005-0000-0000-00002D480000}"/>
    <cellStyle name="Comma 2 2 7 6 4 2 3" xfId="6926" xr:uid="{00000000-0005-0000-0000-00002E480000}"/>
    <cellStyle name="Comma 2 2 7 6 4 2 3 2" xfId="30205" xr:uid="{00000000-0005-0000-0000-00002F480000}"/>
    <cellStyle name="Comma 2 2 7 6 4 2 4" xfId="9374" xr:uid="{00000000-0005-0000-0000-000030480000}"/>
    <cellStyle name="Comma 2 2 7 6 4 2 4 2" xfId="32653" xr:uid="{00000000-0005-0000-0000-000031480000}"/>
    <cellStyle name="Comma 2 2 7 6 4 2 5" xfId="11822" xr:uid="{00000000-0005-0000-0000-000032480000}"/>
    <cellStyle name="Comma 2 2 7 6 4 2 5 2" xfId="35101" xr:uid="{00000000-0005-0000-0000-000033480000}"/>
    <cellStyle name="Comma 2 2 7 6 4 2 6" xfId="14270" xr:uid="{00000000-0005-0000-0000-000034480000}"/>
    <cellStyle name="Comma 2 2 7 6 4 2 6 2" xfId="37549" xr:uid="{00000000-0005-0000-0000-000035480000}"/>
    <cellStyle name="Comma 2 2 7 6 4 2 7" xfId="17965" xr:uid="{00000000-0005-0000-0000-000036480000}"/>
    <cellStyle name="Comma 2 2 7 6 4 2 7 2" xfId="41243" xr:uid="{00000000-0005-0000-0000-000037480000}"/>
    <cellStyle name="Comma 2 2 7 6 4 2 8" xfId="25309" xr:uid="{00000000-0005-0000-0000-000038480000}"/>
    <cellStyle name="Comma 2 2 7 6 4 2 9" xfId="46139" xr:uid="{00000000-0005-0000-0000-000039480000}"/>
    <cellStyle name="Comma 2 2 7 6 4 3" xfId="3254" xr:uid="{00000000-0005-0000-0000-00003A480000}"/>
    <cellStyle name="Comma 2 2 7 6 4 3 2" xfId="16741" xr:uid="{00000000-0005-0000-0000-00003B480000}"/>
    <cellStyle name="Comma 2 2 7 6 4 3 2 2" xfId="40019" xr:uid="{00000000-0005-0000-0000-00003C480000}"/>
    <cellStyle name="Comma 2 2 7 6 4 3 3" xfId="47363" xr:uid="{00000000-0005-0000-0000-00003D480000}"/>
    <cellStyle name="Comma 2 2 7 6 4 3 4" xfId="26533" xr:uid="{00000000-0005-0000-0000-00003E480000}"/>
    <cellStyle name="Comma 2 2 7 6 4 4" xfId="5702" xr:uid="{00000000-0005-0000-0000-00003F480000}"/>
    <cellStyle name="Comma 2 2 7 6 4 4 2" xfId="19189" xr:uid="{00000000-0005-0000-0000-000040480000}"/>
    <cellStyle name="Comma 2 2 7 6 4 4 2 2" xfId="42467" xr:uid="{00000000-0005-0000-0000-000041480000}"/>
    <cellStyle name="Comma 2 2 7 6 4 4 3" xfId="28981" xr:uid="{00000000-0005-0000-0000-000042480000}"/>
    <cellStyle name="Comma 2 2 7 6 4 5" xfId="8150" xr:uid="{00000000-0005-0000-0000-000043480000}"/>
    <cellStyle name="Comma 2 2 7 6 4 5 2" xfId="31429" xr:uid="{00000000-0005-0000-0000-000044480000}"/>
    <cellStyle name="Comma 2 2 7 6 4 6" xfId="10598" xr:uid="{00000000-0005-0000-0000-000045480000}"/>
    <cellStyle name="Comma 2 2 7 6 4 6 2" xfId="33877" xr:uid="{00000000-0005-0000-0000-000046480000}"/>
    <cellStyle name="Comma 2 2 7 6 4 7" xfId="13046" xr:uid="{00000000-0005-0000-0000-000047480000}"/>
    <cellStyle name="Comma 2 2 7 6 4 7 2" xfId="36325" xr:uid="{00000000-0005-0000-0000-000048480000}"/>
    <cellStyle name="Comma 2 2 7 6 4 8" xfId="15517" xr:uid="{00000000-0005-0000-0000-000049480000}"/>
    <cellStyle name="Comma 2 2 7 6 4 8 2" xfId="38795" xr:uid="{00000000-0005-0000-0000-00004A480000}"/>
    <cellStyle name="Comma 2 2 7 6 4 9" xfId="24085" xr:uid="{00000000-0005-0000-0000-00004B480000}"/>
    <cellStyle name="Comma 2 2 7 6 5" xfId="1418" xr:uid="{00000000-0005-0000-0000-00004C480000}"/>
    <cellStyle name="Comma 2 2 7 6 5 10" xfId="22249" xr:uid="{00000000-0005-0000-0000-00004D480000}"/>
    <cellStyle name="Comma 2 2 7 6 5 2" xfId="3866" xr:uid="{00000000-0005-0000-0000-00004E480000}"/>
    <cellStyle name="Comma 2 2 7 6 5 2 2" xfId="19801" xr:uid="{00000000-0005-0000-0000-00004F480000}"/>
    <cellStyle name="Comma 2 2 7 6 5 2 2 2" xfId="43079" xr:uid="{00000000-0005-0000-0000-000050480000}"/>
    <cellStyle name="Comma 2 2 7 6 5 2 3" xfId="47975" xr:uid="{00000000-0005-0000-0000-000051480000}"/>
    <cellStyle name="Comma 2 2 7 6 5 2 4" xfId="27145" xr:uid="{00000000-0005-0000-0000-000052480000}"/>
    <cellStyle name="Comma 2 2 7 6 5 3" xfId="6314" xr:uid="{00000000-0005-0000-0000-000053480000}"/>
    <cellStyle name="Comma 2 2 7 6 5 3 2" xfId="29593" xr:uid="{00000000-0005-0000-0000-000054480000}"/>
    <cellStyle name="Comma 2 2 7 6 5 4" xfId="8762" xr:uid="{00000000-0005-0000-0000-000055480000}"/>
    <cellStyle name="Comma 2 2 7 6 5 4 2" xfId="32041" xr:uid="{00000000-0005-0000-0000-000056480000}"/>
    <cellStyle name="Comma 2 2 7 6 5 5" xfId="11210" xr:uid="{00000000-0005-0000-0000-000057480000}"/>
    <cellStyle name="Comma 2 2 7 6 5 5 2" xfId="34489" xr:uid="{00000000-0005-0000-0000-000058480000}"/>
    <cellStyle name="Comma 2 2 7 6 5 6" xfId="13658" xr:uid="{00000000-0005-0000-0000-000059480000}"/>
    <cellStyle name="Comma 2 2 7 6 5 6 2" xfId="36937" xr:uid="{00000000-0005-0000-0000-00005A480000}"/>
    <cellStyle name="Comma 2 2 7 6 5 7" xfId="17353" xr:uid="{00000000-0005-0000-0000-00005B480000}"/>
    <cellStyle name="Comma 2 2 7 6 5 7 2" xfId="40631" xr:uid="{00000000-0005-0000-0000-00005C480000}"/>
    <cellStyle name="Comma 2 2 7 6 5 8" xfId="24697" xr:uid="{00000000-0005-0000-0000-00005D480000}"/>
    <cellStyle name="Comma 2 2 7 6 5 9" xfId="45527" xr:uid="{00000000-0005-0000-0000-00005E480000}"/>
    <cellStyle name="Comma 2 2 7 6 6" xfId="2642" xr:uid="{00000000-0005-0000-0000-00005F480000}"/>
    <cellStyle name="Comma 2 2 7 6 6 2" xfId="16129" xr:uid="{00000000-0005-0000-0000-000060480000}"/>
    <cellStyle name="Comma 2 2 7 6 6 2 2" xfId="39407" xr:uid="{00000000-0005-0000-0000-000061480000}"/>
    <cellStyle name="Comma 2 2 7 6 6 3" xfId="46751" xr:uid="{00000000-0005-0000-0000-000062480000}"/>
    <cellStyle name="Comma 2 2 7 6 6 4" xfId="25921" xr:uid="{00000000-0005-0000-0000-000063480000}"/>
    <cellStyle name="Comma 2 2 7 6 7" xfId="5090" xr:uid="{00000000-0005-0000-0000-000064480000}"/>
    <cellStyle name="Comma 2 2 7 6 7 2" xfId="18577" xr:uid="{00000000-0005-0000-0000-000065480000}"/>
    <cellStyle name="Comma 2 2 7 6 7 2 2" xfId="41855" xr:uid="{00000000-0005-0000-0000-000066480000}"/>
    <cellStyle name="Comma 2 2 7 6 7 3" xfId="28369" xr:uid="{00000000-0005-0000-0000-000067480000}"/>
    <cellStyle name="Comma 2 2 7 6 8" xfId="7538" xr:uid="{00000000-0005-0000-0000-000068480000}"/>
    <cellStyle name="Comma 2 2 7 6 8 2" xfId="30817" xr:uid="{00000000-0005-0000-0000-000069480000}"/>
    <cellStyle name="Comma 2 2 7 6 9" xfId="9986" xr:uid="{00000000-0005-0000-0000-00006A480000}"/>
    <cellStyle name="Comma 2 2 7 6 9 2" xfId="33265" xr:uid="{00000000-0005-0000-0000-00006B480000}"/>
    <cellStyle name="Comma 2 2 7 7" xfId="262" xr:uid="{00000000-0005-0000-0000-00006C480000}"/>
    <cellStyle name="Comma 2 2 7 7 10" xfId="23541" xr:uid="{00000000-0005-0000-0000-00006D480000}"/>
    <cellStyle name="Comma 2 2 7 7 11" xfId="44371" xr:uid="{00000000-0005-0000-0000-00006E480000}"/>
    <cellStyle name="Comma 2 2 7 7 12" xfId="21093" xr:uid="{00000000-0005-0000-0000-00006F480000}"/>
    <cellStyle name="Comma 2 2 7 7 2" xfId="874" xr:uid="{00000000-0005-0000-0000-000070480000}"/>
    <cellStyle name="Comma 2 2 7 7 2 10" xfId="44983" xr:uid="{00000000-0005-0000-0000-000071480000}"/>
    <cellStyle name="Comma 2 2 7 7 2 11" xfId="21705" xr:uid="{00000000-0005-0000-0000-000072480000}"/>
    <cellStyle name="Comma 2 2 7 7 2 2" xfId="2098" xr:uid="{00000000-0005-0000-0000-000073480000}"/>
    <cellStyle name="Comma 2 2 7 7 2 2 10" xfId="22929" xr:uid="{00000000-0005-0000-0000-000074480000}"/>
    <cellStyle name="Comma 2 2 7 7 2 2 2" xfId="4546" xr:uid="{00000000-0005-0000-0000-000075480000}"/>
    <cellStyle name="Comma 2 2 7 7 2 2 2 2" xfId="20481" xr:uid="{00000000-0005-0000-0000-000076480000}"/>
    <cellStyle name="Comma 2 2 7 7 2 2 2 2 2" xfId="43759" xr:uid="{00000000-0005-0000-0000-000077480000}"/>
    <cellStyle name="Comma 2 2 7 7 2 2 2 3" xfId="48655" xr:uid="{00000000-0005-0000-0000-000078480000}"/>
    <cellStyle name="Comma 2 2 7 7 2 2 2 4" xfId="27825" xr:uid="{00000000-0005-0000-0000-000079480000}"/>
    <cellStyle name="Comma 2 2 7 7 2 2 3" xfId="6994" xr:uid="{00000000-0005-0000-0000-00007A480000}"/>
    <cellStyle name="Comma 2 2 7 7 2 2 3 2" xfId="30273" xr:uid="{00000000-0005-0000-0000-00007B480000}"/>
    <cellStyle name="Comma 2 2 7 7 2 2 4" xfId="9442" xr:uid="{00000000-0005-0000-0000-00007C480000}"/>
    <cellStyle name="Comma 2 2 7 7 2 2 4 2" xfId="32721" xr:uid="{00000000-0005-0000-0000-00007D480000}"/>
    <cellStyle name="Comma 2 2 7 7 2 2 5" xfId="11890" xr:uid="{00000000-0005-0000-0000-00007E480000}"/>
    <cellStyle name="Comma 2 2 7 7 2 2 5 2" xfId="35169" xr:uid="{00000000-0005-0000-0000-00007F480000}"/>
    <cellStyle name="Comma 2 2 7 7 2 2 6" xfId="14338" xr:uid="{00000000-0005-0000-0000-000080480000}"/>
    <cellStyle name="Comma 2 2 7 7 2 2 6 2" xfId="37617" xr:uid="{00000000-0005-0000-0000-000081480000}"/>
    <cellStyle name="Comma 2 2 7 7 2 2 7" xfId="18033" xr:uid="{00000000-0005-0000-0000-000082480000}"/>
    <cellStyle name="Comma 2 2 7 7 2 2 7 2" xfId="41311" xr:uid="{00000000-0005-0000-0000-000083480000}"/>
    <cellStyle name="Comma 2 2 7 7 2 2 8" xfId="25377" xr:uid="{00000000-0005-0000-0000-000084480000}"/>
    <cellStyle name="Comma 2 2 7 7 2 2 9" xfId="46207" xr:uid="{00000000-0005-0000-0000-000085480000}"/>
    <cellStyle name="Comma 2 2 7 7 2 3" xfId="3322" xr:uid="{00000000-0005-0000-0000-000086480000}"/>
    <cellStyle name="Comma 2 2 7 7 2 3 2" xfId="16809" xr:uid="{00000000-0005-0000-0000-000087480000}"/>
    <cellStyle name="Comma 2 2 7 7 2 3 2 2" xfId="40087" xr:uid="{00000000-0005-0000-0000-000088480000}"/>
    <cellStyle name="Comma 2 2 7 7 2 3 3" xfId="47431" xr:uid="{00000000-0005-0000-0000-000089480000}"/>
    <cellStyle name="Comma 2 2 7 7 2 3 4" xfId="26601" xr:uid="{00000000-0005-0000-0000-00008A480000}"/>
    <cellStyle name="Comma 2 2 7 7 2 4" xfId="5770" xr:uid="{00000000-0005-0000-0000-00008B480000}"/>
    <cellStyle name="Comma 2 2 7 7 2 4 2" xfId="19257" xr:uid="{00000000-0005-0000-0000-00008C480000}"/>
    <cellStyle name="Comma 2 2 7 7 2 4 2 2" xfId="42535" xr:uid="{00000000-0005-0000-0000-00008D480000}"/>
    <cellStyle name="Comma 2 2 7 7 2 4 3" xfId="29049" xr:uid="{00000000-0005-0000-0000-00008E480000}"/>
    <cellStyle name="Comma 2 2 7 7 2 5" xfId="8218" xr:uid="{00000000-0005-0000-0000-00008F480000}"/>
    <cellStyle name="Comma 2 2 7 7 2 5 2" xfId="31497" xr:uid="{00000000-0005-0000-0000-000090480000}"/>
    <cellStyle name="Comma 2 2 7 7 2 6" xfId="10666" xr:uid="{00000000-0005-0000-0000-000091480000}"/>
    <cellStyle name="Comma 2 2 7 7 2 6 2" xfId="33945" xr:uid="{00000000-0005-0000-0000-000092480000}"/>
    <cellStyle name="Comma 2 2 7 7 2 7" xfId="13114" xr:uid="{00000000-0005-0000-0000-000093480000}"/>
    <cellStyle name="Comma 2 2 7 7 2 7 2" xfId="36393" xr:uid="{00000000-0005-0000-0000-000094480000}"/>
    <cellStyle name="Comma 2 2 7 7 2 8" xfId="15585" xr:uid="{00000000-0005-0000-0000-000095480000}"/>
    <cellStyle name="Comma 2 2 7 7 2 8 2" xfId="38863" xr:uid="{00000000-0005-0000-0000-000096480000}"/>
    <cellStyle name="Comma 2 2 7 7 2 9" xfId="24153" xr:uid="{00000000-0005-0000-0000-000097480000}"/>
    <cellStyle name="Comma 2 2 7 7 3" xfId="1486" xr:uid="{00000000-0005-0000-0000-000098480000}"/>
    <cellStyle name="Comma 2 2 7 7 3 10" xfId="22317" xr:uid="{00000000-0005-0000-0000-000099480000}"/>
    <cellStyle name="Comma 2 2 7 7 3 2" xfId="3934" xr:uid="{00000000-0005-0000-0000-00009A480000}"/>
    <cellStyle name="Comma 2 2 7 7 3 2 2" xfId="19869" xr:uid="{00000000-0005-0000-0000-00009B480000}"/>
    <cellStyle name="Comma 2 2 7 7 3 2 2 2" xfId="43147" xr:uid="{00000000-0005-0000-0000-00009C480000}"/>
    <cellStyle name="Comma 2 2 7 7 3 2 3" xfId="48043" xr:uid="{00000000-0005-0000-0000-00009D480000}"/>
    <cellStyle name="Comma 2 2 7 7 3 2 4" xfId="27213" xr:uid="{00000000-0005-0000-0000-00009E480000}"/>
    <cellStyle name="Comma 2 2 7 7 3 3" xfId="6382" xr:uid="{00000000-0005-0000-0000-00009F480000}"/>
    <cellStyle name="Comma 2 2 7 7 3 3 2" xfId="29661" xr:uid="{00000000-0005-0000-0000-0000A0480000}"/>
    <cellStyle name="Comma 2 2 7 7 3 4" xfId="8830" xr:uid="{00000000-0005-0000-0000-0000A1480000}"/>
    <cellStyle name="Comma 2 2 7 7 3 4 2" xfId="32109" xr:uid="{00000000-0005-0000-0000-0000A2480000}"/>
    <cellStyle name="Comma 2 2 7 7 3 5" xfId="11278" xr:uid="{00000000-0005-0000-0000-0000A3480000}"/>
    <cellStyle name="Comma 2 2 7 7 3 5 2" xfId="34557" xr:uid="{00000000-0005-0000-0000-0000A4480000}"/>
    <cellStyle name="Comma 2 2 7 7 3 6" xfId="13726" xr:uid="{00000000-0005-0000-0000-0000A5480000}"/>
    <cellStyle name="Comma 2 2 7 7 3 6 2" xfId="37005" xr:uid="{00000000-0005-0000-0000-0000A6480000}"/>
    <cellStyle name="Comma 2 2 7 7 3 7" xfId="17421" xr:uid="{00000000-0005-0000-0000-0000A7480000}"/>
    <cellStyle name="Comma 2 2 7 7 3 7 2" xfId="40699" xr:uid="{00000000-0005-0000-0000-0000A8480000}"/>
    <cellStyle name="Comma 2 2 7 7 3 8" xfId="24765" xr:uid="{00000000-0005-0000-0000-0000A9480000}"/>
    <cellStyle name="Comma 2 2 7 7 3 9" xfId="45595" xr:uid="{00000000-0005-0000-0000-0000AA480000}"/>
    <cellStyle name="Comma 2 2 7 7 4" xfId="2710" xr:uid="{00000000-0005-0000-0000-0000AB480000}"/>
    <cellStyle name="Comma 2 2 7 7 4 2" xfId="16197" xr:uid="{00000000-0005-0000-0000-0000AC480000}"/>
    <cellStyle name="Comma 2 2 7 7 4 2 2" xfId="39475" xr:uid="{00000000-0005-0000-0000-0000AD480000}"/>
    <cellStyle name="Comma 2 2 7 7 4 3" xfId="46819" xr:uid="{00000000-0005-0000-0000-0000AE480000}"/>
    <cellStyle name="Comma 2 2 7 7 4 4" xfId="25989" xr:uid="{00000000-0005-0000-0000-0000AF480000}"/>
    <cellStyle name="Comma 2 2 7 7 5" xfId="5158" xr:uid="{00000000-0005-0000-0000-0000B0480000}"/>
    <cellStyle name="Comma 2 2 7 7 5 2" xfId="18645" xr:uid="{00000000-0005-0000-0000-0000B1480000}"/>
    <cellStyle name="Comma 2 2 7 7 5 2 2" xfId="41923" xr:uid="{00000000-0005-0000-0000-0000B2480000}"/>
    <cellStyle name="Comma 2 2 7 7 5 3" xfId="28437" xr:uid="{00000000-0005-0000-0000-0000B3480000}"/>
    <cellStyle name="Comma 2 2 7 7 6" xfId="7606" xr:uid="{00000000-0005-0000-0000-0000B4480000}"/>
    <cellStyle name="Comma 2 2 7 7 6 2" xfId="30885" xr:uid="{00000000-0005-0000-0000-0000B5480000}"/>
    <cellStyle name="Comma 2 2 7 7 7" xfId="10054" xr:uid="{00000000-0005-0000-0000-0000B6480000}"/>
    <cellStyle name="Comma 2 2 7 7 7 2" xfId="33333" xr:uid="{00000000-0005-0000-0000-0000B7480000}"/>
    <cellStyle name="Comma 2 2 7 7 8" xfId="12502" xr:uid="{00000000-0005-0000-0000-0000B8480000}"/>
    <cellStyle name="Comma 2 2 7 7 8 2" xfId="35781" xr:uid="{00000000-0005-0000-0000-0000B9480000}"/>
    <cellStyle name="Comma 2 2 7 7 9" xfId="14973" xr:uid="{00000000-0005-0000-0000-0000BA480000}"/>
    <cellStyle name="Comma 2 2 7 7 9 2" xfId="38251" xr:uid="{00000000-0005-0000-0000-0000BB480000}"/>
    <cellStyle name="Comma 2 2 7 8" xfId="466" xr:uid="{00000000-0005-0000-0000-0000BC480000}"/>
    <cellStyle name="Comma 2 2 7 8 10" xfId="23745" xr:uid="{00000000-0005-0000-0000-0000BD480000}"/>
    <cellStyle name="Comma 2 2 7 8 11" xfId="44575" xr:uid="{00000000-0005-0000-0000-0000BE480000}"/>
    <cellStyle name="Comma 2 2 7 8 12" xfId="21297" xr:uid="{00000000-0005-0000-0000-0000BF480000}"/>
    <cellStyle name="Comma 2 2 7 8 2" xfId="1078" xr:uid="{00000000-0005-0000-0000-0000C0480000}"/>
    <cellStyle name="Comma 2 2 7 8 2 10" xfId="45187" xr:uid="{00000000-0005-0000-0000-0000C1480000}"/>
    <cellStyle name="Comma 2 2 7 8 2 11" xfId="21909" xr:uid="{00000000-0005-0000-0000-0000C2480000}"/>
    <cellStyle name="Comma 2 2 7 8 2 2" xfId="2302" xr:uid="{00000000-0005-0000-0000-0000C3480000}"/>
    <cellStyle name="Comma 2 2 7 8 2 2 10" xfId="23133" xr:uid="{00000000-0005-0000-0000-0000C4480000}"/>
    <cellStyle name="Comma 2 2 7 8 2 2 2" xfId="4750" xr:uid="{00000000-0005-0000-0000-0000C5480000}"/>
    <cellStyle name="Comma 2 2 7 8 2 2 2 2" xfId="20685" xr:uid="{00000000-0005-0000-0000-0000C6480000}"/>
    <cellStyle name="Comma 2 2 7 8 2 2 2 2 2" xfId="43963" xr:uid="{00000000-0005-0000-0000-0000C7480000}"/>
    <cellStyle name="Comma 2 2 7 8 2 2 2 3" xfId="48859" xr:uid="{00000000-0005-0000-0000-0000C8480000}"/>
    <cellStyle name="Comma 2 2 7 8 2 2 2 4" xfId="28029" xr:uid="{00000000-0005-0000-0000-0000C9480000}"/>
    <cellStyle name="Comma 2 2 7 8 2 2 3" xfId="7198" xr:uid="{00000000-0005-0000-0000-0000CA480000}"/>
    <cellStyle name="Comma 2 2 7 8 2 2 3 2" xfId="30477" xr:uid="{00000000-0005-0000-0000-0000CB480000}"/>
    <cellStyle name="Comma 2 2 7 8 2 2 4" xfId="9646" xr:uid="{00000000-0005-0000-0000-0000CC480000}"/>
    <cellStyle name="Comma 2 2 7 8 2 2 4 2" xfId="32925" xr:uid="{00000000-0005-0000-0000-0000CD480000}"/>
    <cellStyle name="Comma 2 2 7 8 2 2 5" xfId="12094" xr:uid="{00000000-0005-0000-0000-0000CE480000}"/>
    <cellStyle name="Comma 2 2 7 8 2 2 5 2" xfId="35373" xr:uid="{00000000-0005-0000-0000-0000CF480000}"/>
    <cellStyle name="Comma 2 2 7 8 2 2 6" xfId="14542" xr:uid="{00000000-0005-0000-0000-0000D0480000}"/>
    <cellStyle name="Comma 2 2 7 8 2 2 6 2" xfId="37821" xr:uid="{00000000-0005-0000-0000-0000D1480000}"/>
    <cellStyle name="Comma 2 2 7 8 2 2 7" xfId="18237" xr:uid="{00000000-0005-0000-0000-0000D2480000}"/>
    <cellStyle name="Comma 2 2 7 8 2 2 7 2" xfId="41515" xr:uid="{00000000-0005-0000-0000-0000D3480000}"/>
    <cellStyle name="Comma 2 2 7 8 2 2 8" xfId="25581" xr:uid="{00000000-0005-0000-0000-0000D4480000}"/>
    <cellStyle name="Comma 2 2 7 8 2 2 9" xfId="46411" xr:uid="{00000000-0005-0000-0000-0000D5480000}"/>
    <cellStyle name="Comma 2 2 7 8 2 3" xfId="3526" xr:uid="{00000000-0005-0000-0000-0000D6480000}"/>
    <cellStyle name="Comma 2 2 7 8 2 3 2" xfId="17013" xr:uid="{00000000-0005-0000-0000-0000D7480000}"/>
    <cellStyle name="Comma 2 2 7 8 2 3 2 2" xfId="40291" xr:uid="{00000000-0005-0000-0000-0000D8480000}"/>
    <cellStyle name="Comma 2 2 7 8 2 3 3" xfId="47635" xr:uid="{00000000-0005-0000-0000-0000D9480000}"/>
    <cellStyle name="Comma 2 2 7 8 2 3 4" xfId="26805" xr:uid="{00000000-0005-0000-0000-0000DA480000}"/>
    <cellStyle name="Comma 2 2 7 8 2 4" xfId="5974" xr:uid="{00000000-0005-0000-0000-0000DB480000}"/>
    <cellStyle name="Comma 2 2 7 8 2 4 2" xfId="19461" xr:uid="{00000000-0005-0000-0000-0000DC480000}"/>
    <cellStyle name="Comma 2 2 7 8 2 4 2 2" xfId="42739" xr:uid="{00000000-0005-0000-0000-0000DD480000}"/>
    <cellStyle name="Comma 2 2 7 8 2 4 3" xfId="29253" xr:uid="{00000000-0005-0000-0000-0000DE480000}"/>
    <cellStyle name="Comma 2 2 7 8 2 5" xfId="8422" xr:uid="{00000000-0005-0000-0000-0000DF480000}"/>
    <cellStyle name="Comma 2 2 7 8 2 5 2" xfId="31701" xr:uid="{00000000-0005-0000-0000-0000E0480000}"/>
    <cellStyle name="Comma 2 2 7 8 2 6" xfId="10870" xr:uid="{00000000-0005-0000-0000-0000E1480000}"/>
    <cellStyle name="Comma 2 2 7 8 2 6 2" xfId="34149" xr:uid="{00000000-0005-0000-0000-0000E2480000}"/>
    <cellStyle name="Comma 2 2 7 8 2 7" xfId="13318" xr:uid="{00000000-0005-0000-0000-0000E3480000}"/>
    <cellStyle name="Comma 2 2 7 8 2 7 2" xfId="36597" xr:uid="{00000000-0005-0000-0000-0000E4480000}"/>
    <cellStyle name="Comma 2 2 7 8 2 8" xfId="15789" xr:uid="{00000000-0005-0000-0000-0000E5480000}"/>
    <cellStyle name="Comma 2 2 7 8 2 8 2" xfId="39067" xr:uid="{00000000-0005-0000-0000-0000E6480000}"/>
    <cellStyle name="Comma 2 2 7 8 2 9" xfId="24357" xr:uid="{00000000-0005-0000-0000-0000E7480000}"/>
    <cellStyle name="Comma 2 2 7 8 3" xfId="1690" xr:uid="{00000000-0005-0000-0000-0000E8480000}"/>
    <cellStyle name="Comma 2 2 7 8 3 10" xfId="22521" xr:uid="{00000000-0005-0000-0000-0000E9480000}"/>
    <cellStyle name="Comma 2 2 7 8 3 2" xfId="4138" xr:uid="{00000000-0005-0000-0000-0000EA480000}"/>
    <cellStyle name="Comma 2 2 7 8 3 2 2" xfId="20073" xr:uid="{00000000-0005-0000-0000-0000EB480000}"/>
    <cellStyle name="Comma 2 2 7 8 3 2 2 2" xfId="43351" xr:uid="{00000000-0005-0000-0000-0000EC480000}"/>
    <cellStyle name="Comma 2 2 7 8 3 2 3" xfId="48247" xr:uid="{00000000-0005-0000-0000-0000ED480000}"/>
    <cellStyle name="Comma 2 2 7 8 3 2 4" xfId="27417" xr:uid="{00000000-0005-0000-0000-0000EE480000}"/>
    <cellStyle name="Comma 2 2 7 8 3 3" xfId="6586" xr:uid="{00000000-0005-0000-0000-0000EF480000}"/>
    <cellStyle name="Comma 2 2 7 8 3 3 2" xfId="29865" xr:uid="{00000000-0005-0000-0000-0000F0480000}"/>
    <cellStyle name="Comma 2 2 7 8 3 4" xfId="9034" xr:uid="{00000000-0005-0000-0000-0000F1480000}"/>
    <cellStyle name="Comma 2 2 7 8 3 4 2" xfId="32313" xr:uid="{00000000-0005-0000-0000-0000F2480000}"/>
    <cellStyle name="Comma 2 2 7 8 3 5" xfId="11482" xr:uid="{00000000-0005-0000-0000-0000F3480000}"/>
    <cellStyle name="Comma 2 2 7 8 3 5 2" xfId="34761" xr:uid="{00000000-0005-0000-0000-0000F4480000}"/>
    <cellStyle name="Comma 2 2 7 8 3 6" xfId="13930" xr:uid="{00000000-0005-0000-0000-0000F5480000}"/>
    <cellStyle name="Comma 2 2 7 8 3 6 2" xfId="37209" xr:uid="{00000000-0005-0000-0000-0000F6480000}"/>
    <cellStyle name="Comma 2 2 7 8 3 7" xfId="17625" xr:uid="{00000000-0005-0000-0000-0000F7480000}"/>
    <cellStyle name="Comma 2 2 7 8 3 7 2" xfId="40903" xr:uid="{00000000-0005-0000-0000-0000F8480000}"/>
    <cellStyle name="Comma 2 2 7 8 3 8" xfId="24969" xr:uid="{00000000-0005-0000-0000-0000F9480000}"/>
    <cellStyle name="Comma 2 2 7 8 3 9" xfId="45799" xr:uid="{00000000-0005-0000-0000-0000FA480000}"/>
    <cellStyle name="Comma 2 2 7 8 4" xfId="2914" xr:uid="{00000000-0005-0000-0000-0000FB480000}"/>
    <cellStyle name="Comma 2 2 7 8 4 2" xfId="16401" xr:uid="{00000000-0005-0000-0000-0000FC480000}"/>
    <cellStyle name="Comma 2 2 7 8 4 2 2" xfId="39679" xr:uid="{00000000-0005-0000-0000-0000FD480000}"/>
    <cellStyle name="Comma 2 2 7 8 4 3" xfId="47023" xr:uid="{00000000-0005-0000-0000-0000FE480000}"/>
    <cellStyle name="Comma 2 2 7 8 4 4" xfId="26193" xr:uid="{00000000-0005-0000-0000-0000FF480000}"/>
    <cellStyle name="Comma 2 2 7 8 5" xfId="5362" xr:uid="{00000000-0005-0000-0000-000000490000}"/>
    <cellStyle name="Comma 2 2 7 8 5 2" xfId="18849" xr:uid="{00000000-0005-0000-0000-000001490000}"/>
    <cellStyle name="Comma 2 2 7 8 5 2 2" xfId="42127" xr:uid="{00000000-0005-0000-0000-000002490000}"/>
    <cellStyle name="Comma 2 2 7 8 5 3" xfId="28641" xr:uid="{00000000-0005-0000-0000-000003490000}"/>
    <cellStyle name="Comma 2 2 7 8 6" xfId="7810" xr:uid="{00000000-0005-0000-0000-000004490000}"/>
    <cellStyle name="Comma 2 2 7 8 6 2" xfId="31089" xr:uid="{00000000-0005-0000-0000-000005490000}"/>
    <cellStyle name="Comma 2 2 7 8 7" xfId="10258" xr:uid="{00000000-0005-0000-0000-000006490000}"/>
    <cellStyle name="Comma 2 2 7 8 7 2" xfId="33537" xr:uid="{00000000-0005-0000-0000-000007490000}"/>
    <cellStyle name="Comma 2 2 7 8 8" xfId="12706" xr:uid="{00000000-0005-0000-0000-000008490000}"/>
    <cellStyle name="Comma 2 2 7 8 8 2" xfId="35985" xr:uid="{00000000-0005-0000-0000-000009490000}"/>
    <cellStyle name="Comma 2 2 7 8 9" xfId="15177" xr:uid="{00000000-0005-0000-0000-00000A490000}"/>
    <cellStyle name="Comma 2 2 7 8 9 2" xfId="38455" xr:uid="{00000000-0005-0000-0000-00000B490000}"/>
    <cellStyle name="Comma 2 2 7 9" xfId="670" xr:uid="{00000000-0005-0000-0000-00000C490000}"/>
    <cellStyle name="Comma 2 2 7 9 10" xfId="44779" xr:uid="{00000000-0005-0000-0000-00000D490000}"/>
    <cellStyle name="Comma 2 2 7 9 11" xfId="21501" xr:uid="{00000000-0005-0000-0000-00000E490000}"/>
    <cellStyle name="Comma 2 2 7 9 2" xfId="1894" xr:uid="{00000000-0005-0000-0000-00000F490000}"/>
    <cellStyle name="Comma 2 2 7 9 2 10" xfId="22725" xr:uid="{00000000-0005-0000-0000-000010490000}"/>
    <cellStyle name="Comma 2 2 7 9 2 2" xfId="4342" xr:uid="{00000000-0005-0000-0000-000011490000}"/>
    <cellStyle name="Comma 2 2 7 9 2 2 2" xfId="20277" xr:uid="{00000000-0005-0000-0000-000012490000}"/>
    <cellStyle name="Comma 2 2 7 9 2 2 2 2" xfId="43555" xr:uid="{00000000-0005-0000-0000-000013490000}"/>
    <cellStyle name="Comma 2 2 7 9 2 2 3" xfId="48451" xr:uid="{00000000-0005-0000-0000-000014490000}"/>
    <cellStyle name="Comma 2 2 7 9 2 2 4" xfId="27621" xr:uid="{00000000-0005-0000-0000-000015490000}"/>
    <cellStyle name="Comma 2 2 7 9 2 3" xfId="6790" xr:uid="{00000000-0005-0000-0000-000016490000}"/>
    <cellStyle name="Comma 2 2 7 9 2 3 2" xfId="30069" xr:uid="{00000000-0005-0000-0000-000017490000}"/>
    <cellStyle name="Comma 2 2 7 9 2 4" xfId="9238" xr:uid="{00000000-0005-0000-0000-000018490000}"/>
    <cellStyle name="Comma 2 2 7 9 2 4 2" xfId="32517" xr:uid="{00000000-0005-0000-0000-000019490000}"/>
    <cellStyle name="Comma 2 2 7 9 2 5" xfId="11686" xr:uid="{00000000-0005-0000-0000-00001A490000}"/>
    <cellStyle name="Comma 2 2 7 9 2 5 2" xfId="34965" xr:uid="{00000000-0005-0000-0000-00001B490000}"/>
    <cellStyle name="Comma 2 2 7 9 2 6" xfId="14134" xr:uid="{00000000-0005-0000-0000-00001C490000}"/>
    <cellStyle name="Comma 2 2 7 9 2 6 2" xfId="37413" xr:uid="{00000000-0005-0000-0000-00001D490000}"/>
    <cellStyle name="Comma 2 2 7 9 2 7" xfId="17829" xr:uid="{00000000-0005-0000-0000-00001E490000}"/>
    <cellStyle name="Comma 2 2 7 9 2 7 2" xfId="41107" xr:uid="{00000000-0005-0000-0000-00001F490000}"/>
    <cellStyle name="Comma 2 2 7 9 2 8" xfId="25173" xr:uid="{00000000-0005-0000-0000-000020490000}"/>
    <cellStyle name="Comma 2 2 7 9 2 9" xfId="46003" xr:uid="{00000000-0005-0000-0000-000021490000}"/>
    <cellStyle name="Comma 2 2 7 9 3" xfId="3118" xr:uid="{00000000-0005-0000-0000-000022490000}"/>
    <cellStyle name="Comma 2 2 7 9 3 2" xfId="16605" xr:uid="{00000000-0005-0000-0000-000023490000}"/>
    <cellStyle name="Comma 2 2 7 9 3 2 2" xfId="39883" xr:uid="{00000000-0005-0000-0000-000024490000}"/>
    <cellStyle name="Comma 2 2 7 9 3 3" xfId="47227" xr:uid="{00000000-0005-0000-0000-000025490000}"/>
    <cellStyle name="Comma 2 2 7 9 3 4" xfId="26397" xr:uid="{00000000-0005-0000-0000-000026490000}"/>
    <cellStyle name="Comma 2 2 7 9 4" xfId="5566" xr:uid="{00000000-0005-0000-0000-000027490000}"/>
    <cellStyle name="Comma 2 2 7 9 4 2" xfId="19053" xr:uid="{00000000-0005-0000-0000-000028490000}"/>
    <cellStyle name="Comma 2 2 7 9 4 2 2" xfId="42331" xr:uid="{00000000-0005-0000-0000-000029490000}"/>
    <cellStyle name="Comma 2 2 7 9 4 3" xfId="28845" xr:uid="{00000000-0005-0000-0000-00002A490000}"/>
    <cellStyle name="Comma 2 2 7 9 5" xfId="8014" xr:uid="{00000000-0005-0000-0000-00002B490000}"/>
    <cellStyle name="Comma 2 2 7 9 5 2" xfId="31293" xr:uid="{00000000-0005-0000-0000-00002C490000}"/>
    <cellStyle name="Comma 2 2 7 9 6" xfId="10462" xr:uid="{00000000-0005-0000-0000-00002D490000}"/>
    <cellStyle name="Comma 2 2 7 9 6 2" xfId="33741" xr:uid="{00000000-0005-0000-0000-00002E490000}"/>
    <cellStyle name="Comma 2 2 7 9 7" xfId="12910" xr:uid="{00000000-0005-0000-0000-00002F490000}"/>
    <cellStyle name="Comma 2 2 7 9 7 2" xfId="36189" xr:uid="{00000000-0005-0000-0000-000030490000}"/>
    <cellStyle name="Comma 2 2 7 9 8" xfId="15381" xr:uid="{00000000-0005-0000-0000-000031490000}"/>
    <cellStyle name="Comma 2 2 7 9 8 2" xfId="38659" xr:uid="{00000000-0005-0000-0000-000032490000}"/>
    <cellStyle name="Comma 2 2 7 9 9" xfId="23949" xr:uid="{00000000-0005-0000-0000-000033490000}"/>
    <cellStyle name="Comma 2 2 8" xfId="60" xr:uid="{00000000-0005-0000-0000-000034490000}"/>
    <cellStyle name="Comma 2 2 8 10" xfId="7404" xr:uid="{00000000-0005-0000-0000-000035490000}"/>
    <cellStyle name="Comma 2 2 8 10 2" xfId="30683" xr:uid="{00000000-0005-0000-0000-000036490000}"/>
    <cellStyle name="Comma 2 2 8 11" xfId="9852" xr:uid="{00000000-0005-0000-0000-000037490000}"/>
    <cellStyle name="Comma 2 2 8 11 2" xfId="33131" xr:uid="{00000000-0005-0000-0000-000038490000}"/>
    <cellStyle name="Comma 2 2 8 12" xfId="12300" xr:uid="{00000000-0005-0000-0000-000039490000}"/>
    <cellStyle name="Comma 2 2 8 12 2" xfId="35579" xr:uid="{00000000-0005-0000-0000-00003A490000}"/>
    <cellStyle name="Comma 2 2 8 13" xfId="14734" xr:uid="{00000000-0005-0000-0000-00003B490000}"/>
    <cellStyle name="Comma 2 2 8 13 2" xfId="38013" xr:uid="{00000000-0005-0000-0000-00003C490000}"/>
    <cellStyle name="Comma 2 2 8 14" xfId="23339" xr:uid="{00000000-0005-0000-0000-00003D490000}"/>
    <cellStyle name="Comma 2 2 8 15" xfId="44169" xr:uid="{00000000-0005-0000-0000-00003E490000}"/>
    <cellStyle name="Comma 2 2 8 16" xfId="20891" xr:uid="{00000000-0005-0000-0000-00003F490000}"/>
    <cellStyle name="Comma 2 2 8 2" xfId="128" xr:uid="{00000000-0005-0000-0000-000040490000}"/>
    <cellStyle name="Comma 2 2 8 2 10" xfId="12368" xr:uid="{00000000-0005-0000-0000-000041490000}"/>
    <cellStyle name="Comma 2 2 8 2 10 2" xfId="35647" xr:uid="{00000000-0005-0000-0000-000042490000}"/>
    <cellStyle name="Comma 2 2 8 2 11" xfId="14839" xr:uid="{00000000-0005-0000-0000-000043490000}"/>
    <cellStyle name="Comma 2 2 8 2 11 2" xfId="38117" xr:uid="{00000000-0005-0000-0000-000044490000}"/>
    <cellStyle name="Comma 2 2 8 2 12" xfId="23407" xr:uid="{00000000-0005-0000-0000-000045490000}"/>
    <cellStyle name="Comma 2 2 8 2 13" xfId="44237" xr:uid="{00000000-0005-0000-0000-000046490000}"/>
    <cellStyle name="Comma 2 2 8 2 14" xfId="20959" xr:uid="{00000000-0005-0000-0000-000047490000}"/>
    <cellStyle name="Comma 2 2 8 2 2" xfId="332" xr:uid="{00000000-0005-0000-0000-000048490000}"/>
    <cellStyle name="Comma 2 2 8 2 2 10" xfId="23611" xr:uid="{00000000-0005-0000-0000-000049490000}"/>
    <cellStyle name="Comma 2 2 8 2 2 11" xfId="44441" xr:uid="{00000000-0005-0000-0000-00004A490000}"/>
    <cellStyle name="Comma 2 2 8 2 2 12" xfId="21163" xr:uid="{00000000-0005-0000-0000-00004B490000}"/>
    <cellStyle name="Comma 2 2 8 2 2 2" xfId="944" xr:uid="{00000000-0005-0000-0000-00004C490000}"/>
    <cellStyle name="Comma 2 2 8 2 2 2 10" xfId="45053" xr:uid="{00000000-0005-0000-0000-00004D490000}"/>
    <cellStyle name="Comma 2 2 8 2 2 2 11" xfId="21775" xr:uid="{00000000-0005-0000-0000-00004E490000}"/>
    <cellStyle name="Comma 2 2 8 2 2 2 2" xfId="2168" xr:uid="{00000000-0005-0000-0000-00004F490000}"/>
    <cellStyle name="Comma 2 2 8 2 2 2 2 10" xfId="22999" xr:uid="{00000000-0005-0000-0000-000050490000}"/>
    <cellStyle name="Comma 2 2 8 2 2 2 2 2" xfId="4616" xr:uid="{00000000-0005-0000-0000-000051490000}"/>
    <cellStyle name="Comma 2 2 8 2 2 2 2 2 2" xfId="20551" xr:uid="{00000000-0005-0000-0000-000052490000}"/>
    <cellStyle name="Comma 2 2 8 2 2 2 2 2 2 2" xfId="43829" xr:uid="{00000000-0005-0000-0000-000053490000}"/>
    <cellStyle name="Comma 2 2 8 2 2 2 2 2 3" xfId="48725" xr:uid="{00000000-0005-0000-0000-000054490000}"/>
    <cellStyle name="Comma 2 2 8 2 2 2 2 2 4" xfId="27895" xr:uid="{00000000-0005-0000-0000-000055490000}"/>
    <cellStyle name="Comma 2 2 8 2 2 2 2 3" xfId="7064" xr:uid="{00000000-0005-0000-0000-000056490000}"/>
    <cellStyle name="Comma 2 2 8 2 2 2 2 3 2" xfId="30343" xr:uid="{00000000-0005-0000-0000-000057490000}"/>
    <cellStyle name="Comma 2 2 8 2 2 2 2 4" xfId="9512" xr:uid="{00000000-0005-0000-0000-000058490000}"/>
    <cellStyle name="Comma 2 2 8 2 2 2 2 4 2" xfId="32791" xr:uid="{00000000-0005-0000-0000-000059490000}"/>
    <cellStyle name="Comma 2 2 8 2 2 2 2 5" xfId="11960" xr:uid="{00000000-0005-0000-0000-00005A490000}"/>
    <cellStyle name="Comma 2 2 8 2 2 2 2 5 2" xfId="35239" xr:uid="{00000000-0005-0000-0000-00005B490000}"/>
    <cellStyle name="Comma 2 2 8 2 2 2 2 6" xfId="14408" xr:uid="{00000000-0005-0000-0000-00005C490000}"/>
    <cellStyle name="Comma 2 2 8 2 2 2 2 6 2" xfId="37687" xr:uid="{00000000-0005-0000-0000-00005D490000}"/>
    <cellStyle name="Comma 2 2 8 2 2 2 2 7" xfId="18103" xr:uid="{00000000-0005-0000-0000-00005E490000}"/>
    <cellStyle name="Comma 2 2 8 2 2 2 2 7 2" xfId="41381" xr:uid="{00000000-0005-0000-0000-00005F490000}"/>
    <cellStyle name="Comma 2 2 8 2 2 2 2 8" xfId="25447" xr:uid="{00000000-0005-0000-0000-000060490000}"/>
    <cellStyle name="Comma 2 2 8 2 2 2 2 9" xfId="46277" xr:uid="{00000000-0005-0000-0000-000061490000}"/>
    <cellStyle name="Comma 2 2 8 2 2 2 3" xfId="3392" xr:uid="{00000000-0005-0000-0000-000062490000}"/>
    <cellStyle name="Comma 2 2 8 2 2 2 3 2" xfId="16879" xr:uid="{00000000-0005-0000-0000-000063490000}"/>
    <cellStyle name="Comma 2 2 8 2 2 2 3 2 2" xfId="40157" xr:uid="{00000000-0005-0000-0000-000064490000}"/>
    <cellStyle name="Comma 2 2 8 2 2 2 3 3" xfId="47501" xr:uid="{00000000-0005-0000-0000-000065490000}"/>
    <cellStyle name="Comma 2 2 8 2 2 2 3 4" xfId="26671" xr:uid="{00000000-0005-0000-0000-000066490000}"/>
    <cellStyle name="Comma 2 2 8 2 2 2 4" xfId="5840" xr:uid="{00000000-0005-0000-0000-000067490000}"/>
    <cellStyle name="Comma 2 2 8 2 2 2 4 2" xfId="19327" xr:uid="{00000000-0005-0000-0000-000068490000}"/>
    <cellStyle name="Comma 2 2 8 2 2 2 4 2 2" xfId="42605" xr:uid="{00000000-0005-0000-0000-000069490000}"/>
    <cellStyle name="Comma 2 2 8 2 2 2 4 3" xfId="29119" xr:uid="{00000000-0005-0000-0000-00006A490000}"/>
    <cellStyle name="Comma 2 2 8 2 2 2 5" xfId="8288" xr:uid="{00000000-0005-0000-0000-00006B490000}"/>
    <cellStyle name="Comma 2 2 8 2 2 2 5 2" xfId="31567" xr:uid="{00000000-0005-0000-0000-00006C490000}"/>
    <cellStyle name="Comma 2 2 8 2 2 2 6" xfId="10736" xr:uid="{00000000-0005-0000-0000-00006D490000}"/>
    <cellStyle name="Comma 2 2 8 2 2 2 6 2" xfId="34015" xr:uid="{00000000-0005-0000-0000-00006E490000}"/>
    <cellStyle name="Comma 2 2 8 2 2 2 7" xfId="13184" xr:uid="{00000000-0005-0000-0000-00006F490000}"/>
    <cellStyle name="Comma 2 2 8 2 2 2 7 2" xfId="36463" xr:uid="{00000000-0005-0000-0000-000070490000}"/>
    <cellStyle name="Comma 2 2 8 2 2 2 8" xfId="15655" xr:uid="{00000000-0005-0000-0000-000071490000}"/>
    <cellStyle name="Comma 2 2 8 2 2 2 8 2" xfId="38933" xr:uid="{00000000-0005-0000-0000-000072490000}"/>
    <cellStyle name="Comma 2 2 8 2 2 2 9" xfId="24223" xr:uid="{00000000-0005-0000-0000-000073490000}"/>
    <cellStyle name="Comma 2 2 8 2 2 3" xfId="1556" xr:uid="{00000000-0005-0000-0000-000074490000}"/>
    <cellStyle name="Comma 2 2 8 2 2 3 10" xfId="22387" xr:uid="{00000000-0005-0000-0000-000075490000}"/>
    <cellStyle name="Comma 2 2 8 2 2 3 2" xfId="4004" xr:uid="{00000000-0005-0000-0000-000076490000}"/>
    <cellStyle name="Comma 2 2 8 2 2 3 2 2" xfId="19939" xr:uid="{00000000-0005-0000-0000-000077490000}"/>
    <cellStyle name="Comma 2 2 8 2 2 3 2 2 2" xfId="43217" xr:uid="{00000000-0005-0000-0000-000078490000}"/>
    <cellStyle name="Comma 2 2 8 2 2 3 2 3" xfId="48113" xr:uid="{00000000-0005-0000-0000-000079490000}"/>
    <cellStyle name="Comma 2 2 8 2 2 3 2 4" xfId="27283" xr:uid="{00000000-0005-0000-0000-00007A490000}"/>
    <cellStyle name="Comma 2 2 8 2 2 3 3" xfId="6452" xr:uid="{00000000-0005-0000-0000-00007B490000}"/>
    <cellStyle name="Comma 2 2 8 2 2 3 3 2" xfId="29731" xr:uid="{00000000-0005-0000-0000-00007C490000}"/>
    <cellStyle name="Comma 2 2 8 2 2 3 4" xfId="8900" xr:uid="{00000000-0005-0000-0000-00007D490000}"/>
    <cellStyle name="Comma 2 2 8 2 2 3 4 2" xfId="32179" xr:uid="{00000000-0005-0000-0000-00007E490000}"/>
    <cellStyle name="Comma 2 2 8 2 2 3 5" xfId="11348" xr:uid="{00000000-0005-0000-0000-00007F490000}"/>
    <cellStyle name="Comma 2 2 8 2 2 3 5 2" xfId="34627" xr:uid="{00000000-0005-0000-0000-000080490000}"/>
    <cellStyle name="Comma 2 2 8 2 2 3 6" xfId="13796" xr:uid="{00000000-0005-0000-0000-000081490000}"/>
    <cellStyle name="Comma 2 2 8 2 2 3 6 2" xfId="37075" xr:uid="{00000000-0005-0000-0000-000082490000}"/>
    <cellStyle name="Comma 2 2 8 2 2 3 7" xfId="17491" xr:uid="{00000000-0005-0000-0000-000083490000}"/>
    <cellStyle name="Comma 2 2 8 2 2 3 7 2" xfId="40769" xr:uid="{00000000-0005-0000-0000-000084490000}"/>
    <cellStyle name="Comma 2 2 8 2 2 3 8" xfId="24835" xr:uid="{00000000-0005-0000-0000-000085490000}"/>
    <cellStyle name="Comma 2 2 8 2 2 3 9" xfId="45665" xr:uid="{00000000-0005-0000-0000-000086490000}"/>
    <cellStyle name="Comma 2 2 8 2 2 4" xfId="2780" xr:uid="{00000000-0005-0000-0000-000087490000}"/>
    <cellStyle name="Comma 2 2 8 2 2 4 2" xfId="16267" xr:uid="{00000000-0005-0000-0000-000088490000}"/>
    <cellStyle name="Comma 2 2 8 2 2 4 2 2" xfId="39545" xr:uid="{00000000-0005-0000-0000-000089490000}"/>
    <cellStyle name="Comma 2 2 8 2 2 4 3" xfId="46889" xr:uid="{00000000-0005-0000-0000-00008A490000}"/>
    <cellStyle name="Comma 2 2 8 2 2 4 4" xfId="26059" xr:uid="{00000000-0005-0000-0000-00008B490000}"/>
    <cellStyle name="Comma 2 2 8 2 2 5" xfId="5228" xr:uid="{00000000-0005-0000-0000-00008C490000}"/>
    <cellStyle name="Comma 2 2 8 2 2 5 2" xfId="18715" xr:uid="{00000000-0005-0000-0000-00008D490000}"/>
    <cellStyle name="Comma 2 2 8 2 2 5 2 2" xfId="41993" xr:uid="{00000000-0005-0000-0000-00008E490000}"/>
    <cellStyle name="Comma 2 2 8 2 2 5 3" xfId="28507" xr:uid="{00000000-0005-0000-0000-00008F490000}"/>
    <cellStyle name="Comma 2 2 8 2 2 6" xfId="7676" xr:uid="{00000000-0005-0000-0000-000090490000}"/>
    <cellStyle name="Comma 2 2 8 2 2 6 2" xfId="30955" xr:uid="{00000000-0005-0000-0000-000091490000}"/>
    <cellStyle name="Comma 2 2 8 2 2 7" xfId="10124" xr:uid="{00000000-0005-0000-0000-000092490000}"/>
    <cellStyle name="Comma 2 2 8 2 2 7 2" xfId="33403" xr:uid="{00000000-0005-0000-0000-000093490000}"/>
    <cellStyle name="Comma 2 2 8 2 2 8" xfId="12572" xr:uid="{00000000-0005-0000-0000-000094490000}"/>
    <cellStyle name="Comma 2 2 8 2 2 8 2" xfId="35851" xr:uid="{00000000-0005-0000-0000-000095490000}"/>
    <cellStyle name="Comma 2 2 8 2 2 9" xfId="15043" xr:uid="{00000000-0005-0000-0000-000096490000}"/>
    <cellStyle name="Comma 2 2 8 2 2 9 2" xfId="38321" xr:uid="{00000000-0005-0000-0000-000097490000}"/>
    <cellStyle name="Comma 2 2 8 2 3" xfId="536" xr:uid="{00000000-0005-0000-0000-000098490000}"/>
    <cellStyle name="Comma 2 2 8 2 3 10" xfId="23815" xr:uid="{00000000-0005-0000-0000-000099490000}"/>
    <cellStyle name="Comma 2 2 8 2 3 11" xfId="44645" xr:uid="{00000000-0005-0000-0000-00009A490000}"/>
    <cellStyle name="Comma 2 2 8 2 3 12" xfId="21367" xr:uid="{00000000-0005-0000-0000-00009B490000}"/>
    <cellStyle name="Comma 2 2 8 2 3 2" xfId="1148" xr:uid="{00000000-0005-0000-0000-00009C490000}"/>
    <cellStyle name="Comma 2 2 8 2 3 2 10" xfId="45257" xr:uid="{00000000-0005-0000-0000-00009D490000}"/>
    <cellStyle name="Comma 2 2 8 2 3 2 11" xfId="21979" xr:uid="{00000000-0005-0000-0000-00009E490000}"/>
    <cellStyle name="Comma 2 2 8 2 3 2 2" xfId="2372" xr:uid="{00000000-0005-0000-0000-00009F490000}"/>
    <cellStyle name="Comma 2 2 8 2 3 2 2 10" xfId="23203" xr:uid="{00000000-0005-0000-0000-0000A0490000}"/>
    <cellStyle name="Comma 2 2 8 2 3 2 2 2" xfId="4820" xr:uid="{00000000-0005-0000-0000-0000A1490000}"/>
    <cellStyle name="Comma 2 2 8 2 3 2 2 2 2" xfId="20755" xr:uid="{00000000-0005-0000-0000-0000A2490000}"/>
    <cellStyle name="Comma 2 2 8 2 3 2 2 2 2 2" xfId="44033" xr:uid="{00000000-0005-0000-0000-0000A3490000}"/>
    <cellStyle name="Comma 2 2 8 2 3 2 2 2 3" xfId="48929" xr:uid="{00000000-0005-0000-0000-0000A4490000}"/>
    <cellStyle name="Comma 2 2 8 2 3 2 2 2 4" xfId="28099" xr:uid="{00000000-0005-0000-0000-0000A5490000}"/>
    <cellStyle name="Comma 2 2 8 2 3 2 2 3" xfId="7268" xr:uid="{00000000-0005-0000-0000-0000A6490000}"/>
    <cellStyle name="Comma 2 2 8 2 3 2 2 3 2" xfId="30547" xr:uid="{00000000-0005-0000-0000-0000A7490000}"/>
    <cellStyle name="Comma 2 2 8 2 3 2 2 4" xfId="9716" xr:uid="{00000000-0005-0000-0000-0000A8490000}"/>
    <cellStyle name="Comma 2 2 8 2 3 2 2 4 2" xfId="32995" xr:uid="{00000000-0005-0000-0000-0000A9490000}"/>
    <cellStyle name="Comma 2 2 8 2 3 2 2 5" xfId="12164" xr:uid="{00000000-0005-0000-0000-0000AA490000}"/>
    <cellStyle name="Comma 2 2 8 2 3 2 2 5 2" xfId="35443" xr:uid="{00000000-0005-0000-0000-0000AB490000}"/>
    <cellStyle name="Comma 2 2 8 2 3 2 2 6" xfId="14612" xr:uid="{00000000-0005-0000-0000-0000AC490000}"/>
    <cellStyle name="Comma 2 2 8 2 3 2 2 6 2" xfId="37891" xr:uid="{00000000-0005-0000-0000-0000AD490000}"/>
    <cellStyle name="Comma 2 2 8 2 3 2 2 7" xfId="18307" xr:uid="{00000000-0005-0000-0000-0000AE490000}"/>
    <cellStyle name="Comma 2 2 8 2 3 2 2 7 2" xfId="41585" xr:uid="{00000000-0005-0000-0000-0000AF490000}"/>
    <cellStyle name="Comma 2 2 8 2 3 2 2 8" xfId="25651" xr:uid="{00000000-0005-0000-0000-0000B0490000}"/>
    <cellStyle name="Comma 2 2 8 2 3 2 2 9" xfId="46481" xr:uid="{00000000-0005-0000-0000-0000B1490000}"/>
    <cellStyle name="Comma 2 2 8 2 3 2 3" xfId="3596" xr:uid="{00000000-0005-0000-0000-0000B2490000}"/>
    <cellStyle name="Comma 2 2 8 2 3 2 3 2" xfId="17083" xr:uid="{00000000-0005-0000-0000-0000B3490000}"/>
    <cellStyle name="Comma 2 2 8 2 3 2 3 2 2" xfId="40361" xr:uid="{00000000-0005-0000-0000-0000B4490000}"/>
    <cellStyle name="Comma 2 2 8 2 3 2 3 3" xfId="47705" xr:uid="{00000000-0005-0000-0000-0000B5490000}"/>
    <cellStyle name="Comma 2 2 8 2 3 2 3 4" xfId="26875" xr:uid="{00000000-0005-0000-0000-0000B6490000}"/>
    <cellStyle name="Comma 2 2 8 2 3 2 4" xfId="6044" xr:uid="{00000000-0005-0000-0000-0000B7490000}"/>
    <cellStyle name="Comma 2 2 8 2 3 2 4 2" xfId="19531" xr:uid="{00000000-0005-0000-0000-0000B8490000}"/>
    <cellStyle name="Comma 2 2 8 2 3 2 4 2 2" xfId="42809" xr:uid="{00000000-0005-0000-0000-0000B9490000}"/>
    <cellStyle name="Comma 2 2 8 2 3 2 4 3" xfId="29323" xr:uid="{00000000-0005-0000-0000-0000BA490000}"/>
    <cellStyle name="Comma 2 2 8 2 3 2 5" xfId="8492" xr:uid="{00000000-0005-0000-0000-0000BB490000}"/>
    <cellStyle name="Comma 2 2 8 2 3 2 5 2" xfId="31771" xr:uid="{00000000-0005-0000-0000-0000BC490000}"/>
    <cellStyle name="Comma 2 2 8 2 3 2 6" xfId="10940" xr:uid="{00000000-0005-0000-0000-0000BD490000}"/>
    <cellStyle name="Comma 2 2 8 2 3 2 6 2" xfId="34219" xr:uid="{00000000-0005-0000-0000-0000BE490000}"/>
    <cellStyle name="Comma 2 2 8 2 3 2 7" xfId="13388" xr:uid="{00000000-0005-0000-0000-0000BF490000}"/>
    <cellStyle name="Comma 2 2 8 2 3 2 7 2" xfId="36667" xr:uid="{00000000-0005-0000-0000-0000C0490000}"/>
    <cellStyle name="Comma 2 2 8 2 3 2 8" xfId="15859" xr:uid="{00000000-0005-0000-0000-0000C1490000}"/>
    <cellStyle name="Comma 2 2 8 2 3 2 8 2" xfId="39137" xr:uid="{00000000-0005-0000-0000-0000C2490000}"/>
    <cellStyle name="Comma 2 2 8 2 3 2 9" xfId="24427" xr:uid="{00000000-0005-0000-0000-0000C3490000}"/>
    <cellStyle name="Comma 2 2 8 2 3 3" xfId="1760" xr:uid="{00000000-0005-0000-0000-0000C4490000}"/>
    <cellStyle name="Comma 2 2 8 2 3 3 10" xfId="22591" xr:uid="{00000000-0005-0000-0000-0000C5490000}"/>
    <cellStyle name="Comma 2 2 8 2 3 3 2" xfId="4208" xr:uid="{00000000-0005-0000-0000-0000C6490000}"/>
    <cellStyle name="Comma 2 2 8 2 3 3 2 2" xfId="20143" xr:uid="{00000000-0005-0000-0000-0000C7490000}"/>
    <cellStyle name="Comma 2 2 8 2 3 3 2 2 2" xfId="43421" xr:uid="{00000000-0005-0000-0000-0000C8490000}"/>
    <cellStyle name="Comma 2 2 8 2 3 3 2 3" xfId="48317" xr:uid="{00000000-0005-0000-0000-0000C9490000}"/>
    <cellStyle name="Comma 2 2 8 2 3 3 2 4" xfId="27487" xr:uid="{00000000-0005-0000-0000-0000CA490000}"/>
    <cellStyle name="Comma 2 2 8 2 3 3 3" xfId="6656" xr:uid="{00000000-0005-0000-0000-0000CB490000}"/>
    <cellStyle name="Comma 2 2 8 2 3 3 3 2" xfId="29935" xr:uid="{00000000-0005-0000-0000-0000CC490000}"/>
    <cellStyle name="Comma 2 2 8 2 3 3 4" xfId="9104" xr:uid="{00000000-0005-0000-0000-0000CD490000}"/>
    <cellStyle name="Comma 2 2 8 2 3 3 4 2" xfId="32383" xr:uid="{00000000-0005-0000-0000-0000CE490000}"/>
    <cellStyle name="Comma 2 2 8 2 3 3 5" xfId="11552" xr:uid="{00000000-0005-0000-0000-0000CF490000}"/>
    <cellStyle name="Comma 2 2 8 2 3 3 5 2" xfId="34831" xr:uid="{00000000-0005-0000-0000-0000D0490000}"/>
    <cellStyle name="Comma 2 2 8 2 3 3 6" xfId="14000" xr:uid="{00000000-0005-0000-0000-0000D1490000}"/>
    <cellStyle name="Comma 2 2 8 2 3 3 6 2" xfId="37279" xr:uid="{00000000-0005-0000-0000-0000D2490000}"/>
    <cellStyle name="Comma 2 2 8 2 3 3 7" xfId="17695" xr:uid="{00000000-0005-0000-0000-0000D3490000}"/>
    <cellStyle name="Comma 2 2 8 2 3 3 7 2" xfId="40973" xr:uid="{00000000-0005-0000-0000-0000D4490000}"/>
    <cellStyle name="Comma 2 2 8 2 3 3 8" xfId="25039" xr:uid="{00000000-0005-0000-0000-0000D5490000}"/>
    <cellStyle name="Comma 2 2 8 2 3 3 9" xfId="45869" xr:uid="{00000000-0005-0000-0000-0000D6490000}"/>
    <cellStyle name="Comma 2 2 8 2 3 4" xfId="2984" xr:uid="{00000000-0005-0000-0000-0000D7490000}"/>
    <cellStyle name="Comma 2 2 8 2 3 4 2" xfId="16471" xr:uid="{00000000-0005-0000-0000-0000D8490000}"/>
    <cellStyle name="Comma 2 2 8 2 3 4 2 2" xfId="39749" xr:uid="{00000000-0005-0000-0000-0000D9490000}"/>
    <cellStyle name="Comma 2 2 8 2 3 4 3" xfId="47093" xr:uid="{00000000-0005-0000-0000-0000DA490000}"/>
    <cellStyle name="Comma 2 2 8 2 3 4 4" xfId="26263" xr:uid="{00000000-0005-0000-0000-0000DB490000}"/>
    <cellStyle name="Comma 2 2 8 2 3 5" xfId="5432" xr:uid="{00000000-0005-0000-0000-0000DC490000}"/>
    <cellStyle name="Comma 2 2 8 2 3 5 2" xfId="18919" xr:uid="{00000000-0005-0000-0000-0000DD490000}"/>
    <cellStyle name="Comma 2 2 8 2 3 5 2 2" xfId="42197" xr:uid="{00000000-0005-0000-0000-0000DE490000}"/>
    <cellStyle name="Comma 2 2 8 2 3 5 3" xfId="28711" xr:uid="{00000000-0005-0000-0000-0000DF490000}"/>
    <cellStyle name="Comma 2 2 8 2 3 6" xfId="7880" xr:uid="{00000000-0005-0000-0000-0000E0490000}"/>
    <cellStyle name="Comma 2 2 8 2 3 6 2" xfId="31159" xr:uid="{00000000-0005-0000-0000-0000E1490000}"/>
    <cellStyle name="Comma 2 2 8 2 3 7" xfId="10328" xr:uid="{00000000-0005-0000-0000-0000E2490000}"/>
    <cellStyle name="Comma 2 2 8 2 3 7 2" xfId="33607" xr:uid="{00000000-0005-0000-0000-0000E3490000}"/>
    <cellStyle name="Comma 2 2 8 2 3 8" xfId="12776" xr:uid="{00000000-0005-0000-0000-0000E4490000}"/>
    <cellStyle name="Comma 2 2 8 2 3 8 2" xfId="36055" xr:uid="{00000000-0005-0000-0000-0000E5490000}"/>
    <cellStyle name="Comma 2 2 8 2 3 9" xfId="15247" xr:uid="{00000000-0005-0000-0000-0000E6490000}"/>
    <cellStyle name="Comma 2 2 8 2 3 9 2" xfId="38525" xr:uid="{00000000-0005-0000-0000-0000E7490000}"/>
    <cellStyle name="Comma 2 2 8 2 4" xfId="740" xr:uid="{00000000-0005-0000-0000-0000E8490000}"/>
    <cellStyle name="Comma 2 2 8 2 4 10" xfId="44849" xr:uid="{00000000-0005-0000-0000-0000E9490000}"/>
    <cellStyle name="Comma 2 2 8 2 4 11" xfId="21571" xr:uid="{00000000-0005-0000-0000-0000EA490000}"/>
    <cellStyle name="Comma 2 2 8 2 4 2" xfId="1964" xr:uid="{00000000-0005-0000-0000-0000EB490000}"/>
    <cellStyle name="Comma 2 2 8 2 4 2 10" xfId="22795" xr:uid="{00000000-0005-0000-0000-0000EC490000}"/>
    <cellStyle name="Comma 2 2 8 2 4 2 2" xfId="4412" xr:uid="{00000000-0005-0000-0000-0000ED490000}"/>
    <cellStyle name="Comma 2 2 8 2 4 2 2 2" xfId="20347" xr:uid="{00000000-0005-0000-0000-0000EE490000}"/>
    <cellStyle name="Comma 2 2 8 2 4 2 2 2 2" xfId="43625" xr:uid="{00000000-0005-0000-0000-0000EF490000}"/>
    <cellStyle name="Comma 2 2 8 2 4 2 2 3" xfId="48521" xr:uid="{00000000-0005-0000-0000-0000F0490000}"/>
    <cellStyle name="Comma 2 2 8 2 4 2 2 4" xfId="27691" xr:uid="{00000000-0005-0000-0000-0000F1490000}"/>
    <cellStyle name="Comma 2 2 8 2 4 2 3" xfId="6860" xr:uid="{00000000-0005-0000-0000-0000F2490000}"/>
    <cellStyle name="Comma 2 2 8 2 4 2 3 2" xfId="30139" xr:uid="{00000000-0005-0000-0000-0000F3490000}"/>
    <cellStyle name="Comma 2 2 8 2 4 2 4" xfId="9308" xr:uid="{00000000-0005-0000-0000-0000F4490000}"/>
    <cellStyle name="Comma 2 2 8 2 4 2 4 2" xfId="32587" xr:uid="{00000000-0005-0000-0000-0000F5490000}"/>
    <cellStyle name="Comma 2 2 8 2 4 2 5" xfId="11756" xr:uid="{00000000-0005-0000-0000-0000F6490000}"/>
    <cellStyle name="Comma 2 2 8 2 4 2 5 2" xfId="35035" xr:uid="{00000000-0005-0000-0000-0000F7490000}"/>
    <cellStyle name="Comma 2 2 8 2 4 2 6" xfId="14204" xr:uid="{00000000-0005-0000-0000-0000F8490000}"/>
    <cellStyle name="Comma 2 2 8 2 4 2 6 2" xfId="37483" xr:uid="{00000000-0005-0000-0000-0000F9490000}"/>
    <cellStyle name="Comma 2 2 8 2 4 2 7" xfId="17899" xr:uid="{00000000-0005-0000-0000-0000FA490000}"/>
    <cellStyle name="Comma 2 2 8 2 4 2 7 2" xfId="41177" xr:uid="{00000000-0005-0000-0000-0000FB490000}"/>
    <cellStyle name="Comma 2 2 8 2 4 2 8" xfId="25243" xr:uid="{00000000-0005-0000-0000-0000FC490000}"/>
    <cellStyle name="Comma 2 2 8 2 4 2 9" xfId="46073" xr:uid="{00000000-0005-0000-0000-0000FD490000}"/>
    <cellStyle name="Comma 2 2 8 2 4 3" xfId="3188" xr:uid="{00000000-0005-0000-0000-0000FE490000}"/>
    <cellStyle name="Comma 2 2 8 2 4 3 2" xfId="16675" xr:uid="{00000000-0005-0000-0000-0000FF490000}"/>
    <cellStyle name="Comma 2 2 8 2 4 3 2 2" xfId="39953" xr:uid="{00000000-0005-0000-0000-0000004A0000}"/>
    <cellStyle name="Comma 2 2 8 2 4 3 3" xfId="47297" xr:uid="{00000000-0005-0000-0000-0000014A0000}"/>
    <cellStyle name="Comma 2 2 8 2 4 3 4" xfId="26467" xr:uid="{00000000-0005-0000-0000-0000024A0000}"/>
    <cellStyle name="Comma 2 2 8 2 4 4" xfId="5636" xr:uid="{00000000-0005-0000-0000-0000034A0000}"/>
    <cellStyle name="Comma 2 2 8 2 4 4 2" xfId="19123" xr:uid="{00000000-0005-0000-0000-0000044A0000}"/>
    <cellStyle name="Comma 2 2 8 2 4 4 2 2" xfId="42401" xr:uid="{00000000-0005-0000-0000-0000054A0000}"/>
    <cellStyle name="Comma 2 2 8 2 4 4 3" xfId="28915" xr:uid="{00000000-0005-0000-0000-0000064A0000}"/>
    <cellStyle name="Comma 2 2 8 2 4 5" xfId="8084" xr:uid="{00000000-0005-0000-0000-0000074A0000}"/>
    <cellStyle name="Comma 2 2 8 2 4 5 2" xfId="31363" xr:uid="{00000000-0005-0000-0000-0000084A0000}"/>
    <cellStyle name="Comma 2 2 8 2 4 6" xfId="10532" xr:uid="{00000000-0005-0000-0000-0000094A0000}"/>
    <cellStyle name="Comma 2 2 8 2 4 6 2" xfId="33811" xr:uid="{00000000-0005-0000-0000-00000A4A0000}"/>
    <cellStyle name="Comma 2 2 8 2 4 7" xfId="12980" xr:uid="{00000000-0005-0000-0000-00000B4A0000}"/>
    <cellStyle name="Comma 2 2 8 2 4 7 2" xfId="36259" xr:uid="{00000000-0005-0000-0000-00000C4A0000}"/>
    <cellStyle name="Comma 2 2 8 2 4 8" xfId="15451" xr:uid="{00000000-0005-0000-0000-00000D4A0000}"/>
    <cellStyle name="Comma 2 2 8 2 4 8 2" xfId="38729" xr:uid="{00000000-0005-0000-0000-00000E4A0000}"/>
    <cellStyle name="Comma 2 2 8 2 4 9" xfId="24019" xr:uid="{00000000-0005-0000-0000-00000F4A0000}"/>
    <cellStyle name="Comma 2 2 8 2 5" xfId="1352" xr:uid="{00000000-0005-0000-0000-0000104A0000}"/>
    <cellStyle name="Comma 2 2 8 2 5 10" xfId="22183" xr:uid="{00000000-0005-0000-0000-0000114A0000}"/>
    <cellStyle name="Comma 2 2 8 2 5 2" xfId="3800" xr:uid="{00000000-0005-0000-0000-0000124A0000}"/>
    <cellStyle name="Comma 2 2 8 2 5 2 2" xfId="19735" xr:uid="{00000000-0005-0000-0000-0000134A0000}"/>
    <cellStyle name="Comma 2 2 8 2 5 2 2 2" xfId="43013" xr:uid="{00000000-0005-0000-0000-0000144A0000}"/>
    <cellStyle name="Comma 2 2 8 2 5 2 3" xfId="47909" xr:uid="{00000000-0005-0000-0000-0000154A0000}"/>
    <cellStyle name="Comma 2 2 8 2 5 2 4" xfId="27079" xr:uid="{00000000-0005-0000-0000-0000164A0000}"/>
    <cellStyle name="Comma 2 2 8 2 5 3" xfId="6248" xr:uid="{00000000-0005-0000-0000-0000174A0000}"/>
    <cellStyle name="Comma 2 2 8 2 5 3 2" xfId="29527" xr:uid="{00000000-0005-0000-0000-0000184A0000}"/>
    <cellStyle name="Comma 2 2 8 2 5 4" xfId="8696" xr:uid="{00000000-0005-0000-0000-0000194A0000}"/>
    <cellStyle name="Comma 2 2 8 2 5 4 2" xfId="31975" xr:uid="{00000000-0005-0000-0000-00001A4A0000}"/>
    <cellStyle name="Comma 2 2 8 2 5 5" xfId="11144" xr:uid="{00000000-0005-0000-0000-00001B4A0000}"/>
    <cellStyle name="Comma 2 2 8 2 5 5 2" xfId="34423" xr:uid="{00000000-0005-0000-0000-00001C4A0000}"/>
    <cellStyle name="Comma 2 2 8 2 5 6" xfId="13592" xr:uid="{00000000-0005-0000-0000-00001D4A0000}"/>
    <cellStyle name="Comma 2 2 8 2 5 6 2" xfId="36871" xr:uid="{00000000-0005-0000-0000-00001E4A0000}"/>
    <cellStyle name="Comma 2 2 8 2 5 7" xfId="17287" xr:uid="{00000000-0005-0000-0000-00001F4A0000}"/>
    <cellStyle name="Comma 2 2 8 2 5 7 2" xfId="40565" xr:uid="{00000000-0005-0000-0000-0000204A0000}"/>
    <cellStyle name="Comma 2 2 8 2 5 8" xfId="24631" xr:uid="{00000000-0005-0000-0000-0000214A0000}"/>
    <cellStyle name="Comma 2 2 8 2 5 9" xfId="45461" xr:uid="{00000000-0005-0000-0000-0000224A0000}"/>
    <cellStyle name="Comma 2 2 8 2 6" xfId="2576" xr:uid="{00000000-0005-0000-0000-0000234A0000}"/>
    <cellStyle name="Comma 2 2 8 2 6 2" xfId="16063" xr:uid="{00000000-0005-0000-0000-0000244A0000}"/>
    <cellStyle name="Comma 2 2 8 2 6 2 2" xfId="39341" xr:uid="{00000000-0005-0000-0000-0000254A0000}"/>
    <cellStyle name="Comma 2 2 8 2 6 3" xfId="46685" xr:uid="{00000000-0005-0000-0000-0000264A0000}"/>
    <cellStyle name="Comma 2 2 8 2 6 4" xfId="25855" xr:uid="{00000000-0005-0000-0000-0000274A0000}"/>
    <cellStyle name="Comma 2 2 8 2 7" xfId="5024" xr:uid="{00000000-0005-0000-0000-0000284A0000}"/>
    <cellStyle name="Comma 2 2 8 2 7 2" xfId="18511" xr:uid="{00000000-0005-0000-0000-0000294A0000}"/>
    <cellStyle name="Comma 2 2 8 2 7 2 2" xfId="41789" xr:uid="{00000000-0005-0000-0000-00002A4A0000}"/>
    <cellStyle name="Comma 2 2 8 2 7 3" xfId="28303" xr:uid="{00000000-0005-0000-0000-00002B4A0000}"/>
    <cellStyle name="Comma 2 2 8 2 8" xfId="7472" xr:uid="{00000000-0005-0000-0000-00002C4A0000}"/>
    <cellStyle name="Comma 2 2 8 2 8 2" xfId="30751" xr:uid="{00000000-0005-0000-0000-00002D4A0000}"/>
    <cellStyle name="Comma 2 2 8 2 9" xfId="9920" xr:uid="{00000000-0005-0000-0000-00002E4A0000}"/>
    <cellStyle name="Comma 2 2 8 2 9 2" xfId="33199" xr:uid="{00000000-0005-0000-0000-00002F4A0000}"/>
    <cellStyle name="Comma 2 2 8 3" xfId="196" xr:uid="{00000000-0005-0000-0000-0000304A0000}"/>
    <cellStyle name="Comma 2 2 8 3 10" xfId="12436" xr:uid="{00000000-0005-0000-0000-0000314A0000}"/>
    <cellStyle name="Comma 2 2 8 3 10 2" xfId="35715" xr:uid="{00000000-0005-0000-0000-0000324A0000}"/>
    <cellStyle name="Comma 2 2 8 3 11" xfId="14907" xr:uid="{00000000-0005-0000-0000-0000334A0000}"/>
    <cellStyle name="Comma 2 2 8 3 11 2" xfId="38185" xr:uid="{00000000-0005-0000-0000-0000344A0000}"/>
    <cellStyle name="Comma 2 2 8 3 12" xfId="23475" xr:uid="{00000000-0005-0000-0000-0000354A0000}"/>
    <cellStyle name="Comma 2 2 8 3 13" xfId="44305" xr:uid="{00000000-0005-0000-0000-0000364A0000}"/>
    <cellStyle name="Comma 2 2 8 3 14" xfId="21027" xr:uid="{00000000-0005-0000-0000-0000374A0000}"/>
    <cellStyle name="Comma 2 2 8 3 2" xfId="400" xr:uid="{00000000-0005-0000-0000-0000384A0000}"/>
    <cellStyle name="Comma 2 2 8 3 2 10" xfId="23679" xr:uid="{00000000-0005-0000-0000-0000394A0000}"/>
    <cellStyle name="Comma 2 2 8 3 2 11" xfId="44509" xr:uid="{00000000-0005-0000-0000-00003A4A0000}"/>
    <cellStyle name="Comma 2 2 8 3 2 12" xfId="21231" xr:uid="{00000000-0005-0000-0000-00003B4A0000}"/>
    <cellStyle name="Comma 2 2 8 3 2 2" xfId="1012" xr:uid="{00000000-0005-0000-0000-00003C4A0000}"/>
    <cellStyle name="Comma 2 2 8 3 2 2 10" xfId="45121" xr:uid="{00000000-0005-0000-0000-00003D4A0000}"/>
    <cellStyle name="Comma 2 2 8 3 2 2 11" xfId="21843" xr:uid="{00000000-0005-0000-0000-00003E4A0000}"/>
    <cellStyle name="Comma 2 2 8 3 2 2 2" xfId="2236" xr:uid="{00000000-0005-0000-0000-00003F4A0000}"/>
    <cellStyle name="Comma 2 2 8 3 2 2 2 10" xfId="23067" xr:uid="{00000000-0005-0000-0000-0000404A0000}"/>
    <cellStyle name="Comma 2 2 8 3 2 2 2 2" xfId="4684" xr:uid="{00000000-0005-0000-0000-0000414A0000}"/>
    <cellStyle name="Comma 2 2 8 3 2 2 2 2 2" xfId="20619" xr:uid="{00000000-0005-0000-0000-0000424A0000}"/>
    <cellStyle name="Comma 2 2 8 3 2 2 2 2 2 2" xfId="43897" xr:uid="{00000000-0005-0000-0000-0000434A0000}"/>
    <cellStyle name="Comma 2 2 8 3 2 2 2 2 3" xfId="48793" xr:uid="{00000000-0005-0000-0000-0000444A0000}"/>
    <cellStyle name="Comma 2 2 8 3 2 2 2 2 4" xfId="27963" xr:uid="{00000000-0005-0000-0000-0000454A0000}"/>
    <cellStyle name="Comma 2 2 8 3 2 2 2 3" xfId="7132" xr:uid="{00000000-0005-0000-0000-0000464A0000}"/>
    <cellStyle name="Comma 2 2 8 3 2 2 2 3 2" xfId="30411" xr:uid="{00000000-0005-0000-0000-0000474A0000}"/>
    <cellStyle name="Comma 2 2 8 3 2 2 2 4" xfId="9580" xr:uid="{00000000-0005-0000-0000-0000484A0000}"/>
    <cellStyle name="Comma 2 2 8 3 2 2 2 4 2" xfId="32859" xr:uid="{00000000-0005-0000-0000-0000494A0000}"/>
    <cellStyle name="Comma 2 2 8 3 2 2 2 5" xfId="12028" xr:uid="{00000000-0005-0000-0000-00004A4A0000}"/>
    <cellStyle name="Comma 2 2 8 3 2 2 2 5 2" xfId="35307" xr:uid="{00000000-0005-0000-0000-00004B4A0000}"/>
    <cellStyle name="Comma 2 2 8 3 2 2 2 6" xfId="14476" xr:uid="{00000000-0005-0000-0000-00004C4A0000}"/>
    <cellStyle name="Comma 2 2 8 3 2 2 2 6 2" xfId="37755" xr:uid="{00000000-0005-0000-0000-00004D4A0000}"/>
    <cellStyle name="Comma 2 2 8 3 2 2 2 7" xfId="18171" xr:uid="{00000000-0005-0000-0000-00004E4A0000}"/>
    <cellStyle name="Comma 2 2 8 3 2 2 2 7 2" xfId="41449" xr:uid="{00000000-0005-0000-0000-00004F4A0000}"/>
    <cellStyle name="Comma 2 2 8 3 2 2 2 8" xfId="25515" xr:uid="{00000000-0005-0000-0000-0000504A0000}"/>
    <cellStyle name="Comma 2 2 8 3 2 2 2 9" xfId="46345" xr:uid="{00000000-0005-0000-0000-0000514A0000}"/>
    <cellStyle name="Comma 2 2 8 3 2 2 3" xfId="3460" xr:uid="{00000000-0005-0000-0000-0000524A0000}"/>
    <cellStyle name="Comma 2 2 8 3 2 2 3 2" xfId="16947" xr:uid="{00000000-0005-0000-0000-0000534A0000}"/>
    <cellStyle name="Comma 2 2 8 3 2 2 3 2 2" xfId="40225" xr:uid="{00000000-0005-0000-0000-0000544A0000}"/>
    <cellStyle name="Comma 2 2 8 3 2 2 3 3" xfId="47569" xr:uid="{00000000-0005-0000-0000-0000554A0000}"/>
    <cellStyle name="Comma 2 2 8 3 2 2 3 4" xfId="26739" xr:uid="{00000000-0005-0000-0000-0000564A0000}"/>
    <cellStyle name="Comma 2 2 8 3 2 2 4" xfId="5908" xr:uid="{00000000-0005-0000-0000-0000574A0000}"/>
    <cellStyle name="Comma 2 2 8 3 2 2 4 2" xfId="19395" xr:uid="{00000000-0005-0000-0000-0000584A0000}"/>
    <cellStyle name="Comma 2 2 8 3 2 2 4 2 2" xfId="42673" xr:uid="{00000000-0005-0000-0000-0000594A0000}"/>
    <cellStyle name="Comma 2 2 8 3 2 2 4 3" xfId="29187" xr:uid="{00000000-0005-0000-0000-00005A4A0000}"/>
    <cellStyle name="Comma 2 2 8 3 2 2 5" xfId="8356" xr:uid="{00000000-0005-0000-0000-00005B4A0000}"/>
    <cellStyle name="Comma 2 2 8 3 2 2 5 2" xfId="31635" xr:uid="{00000000-0005-0000-0000-00005C4A0000}"/>
    <cellStyle name="Comma 2 2 8 3 2 2 6" xfId="10804" xr:uid="{00000000-0005-0000-0000-00005D4A0000}"/>
    <cellStyle name="Comma 2 2 8 3 2 2 6 2" xfId="34083" xr:uid="{00000000-0005-0000-0000-00005E4A0000}"/>
    <cellStyle name="Comma 2 2 8 3 2 2 7" xfId="13252" xr:uid="{00000000-0005-0000-0000-00005F4A0000}"/>
    <cellStyle name="Comma 2 2 8 3 2 2 7 2" xfId="36531" xr:uid="{00000000-0005-0000-0000-0000604A0000}"/>
    <cellStyle name="Comma 2 2 8 3 2 2 8" xfId="15723" xr:uid="{00000000-0005-0000-0000-0000614A0000}"/>
    <cellStyle name="Comma 2 2 8 3 2 2 8 2" xfId="39001" xr:uid="{00000000-0005-0000-0000-0000624A0000}"/>
    <cellStyle name="Comma 2 2 8 3 2 2 9" xfId="24291" xr:uid="{00000000-0005-0000-0000-0000634A0000}"/>
    <cellStyle name="Comma 2 2 8 3 2 3" xfId="1624" xr:uid="{00000000-0005-0000-0000-0000644A0000}"/>
    <cellStyle name="Comma 2 2 8 3 2 3 10" xfId="22455" xr:uid="{00000000-0005-0000-0000-0000654A0000}"/>
    <cellStyle name="Comma 2 2 8 3 2 3 2" xfId="4072" xr:uid="{00000000-0005-0000-0000-0000664A0000}"/>
    <cellStyle name="Comma 2 2 8 3 2 3 2 2" xfId="20007" xr:uid="{00000000-0005-0000-0000-0000674A0000}"/>
    <cellStyle name="Comma 2 2 8 3 2 3 2 2 2" xfId="43285" xr:uid="{00000000-0005-0000-0000-0000684A0000}"/>
    <cellStyle name="Comma 2 2 8 3 2 3 2 3" xfId="48181" xr:uid="{00000000-0005-0000-0000-0000694A0000}"/>
    <cellStyle name="Comma 2 2 8 3 2 3 2 4" xfId="27351" xr:uid="{00000000-0005-0000-0000-00006A4A0000}"/>
    <cellStyle name="Comma 2 2 8 3 2 3 3" xfId="6520" xr:uid="{00000000-0005-0000-0000-00006B4A0000}"/>
    <cellStyle name="Comma 2 2 8 3 2 3 3 2" xfId="29799" xr:uid="{00000000-0005-0000-0000-00006C4A0000}"/>
    <cellStyle name="Comma 2 2 8 3 2 3 4" xfId="8968" xr:uid="{00000000-0005-0000-0000-00006D4A0000}"/>
    <cellStyle name="Comma 2 2 8 3 2 3 4 2" xfId="32247" xr:uid="{00000000-0005-0000-0000-00006E4A0000}"/>
    <cellStyle name="Comma 2 2 8 3 2 3 5" xfId="11416" xr:uid="{00000000-0005-0000-0000-00006F4A0000}"/>
    <cellStyle name="Comma 2 2 8 3 2 3 5 2" xfId="34695" xr:uid="{00000000-0005-0000-0000-0000704A0000}"/>
    <cellStyle name="Comma 2 2 8 3 2 3 6" xfId="13864" xr:uid="{00000000-0005-0000-0000-0000714A0000}"/>
    <cellStyle name="Comma 2 2 8 3 2 3 6 2" xfId="37143" xr:uid="{00000000-0005-0000-0000-0000724A0000}"/>
    <cellStyle name="Comma 2 2 8 3 2 3 7" xfId="17559" xr:uid="{00000000-0005-0000-0000-0000734A0000}"/>
    <cellStyle name="Comma 2 2 8 3 2 3 7 2" xfId="40837" xr:uid="{00000000-0005-0000-0000-0000744A0000}"/>
    <cellStyle name="Comma 2 2 8 3 2 3 8" xfId="24903" xr:uid="{00000000-0005-0000-0000-0000754A0000}"/>
    <cellStyle name="Comma 2 2 8 3 2 3 9" xfId="45733" xr:uid="{00000000-0005-0000-0000-0000764A0000}"/>
    <cellStyle name="Comma 2 2 8 3 2 4" xfId="2848" xr:uid="{00000000-0005-0000-0000-0000774A0000}"/>
    <cellStyle name="Comma 2 2 8 3 2 4 2" xfId="16335" xr:uid="{00000000-0005-0000-0000-0000784A0000}"/>
    <cellStyle name="Comma 2 2 8 3 2 4 2 2" xfId="39613" xr:uid="{00000000-0005-0000-0000-0000794A0000}"/>
    <cellStyle name="Comma 2 2 8 3 2 4 3" xfId="46957" xr:uid="{00000000-0005-0000-0000-00007A4A0000}"/>
    <cellStyle name="Comma 2 2 8 3 2 4 4" xfId="26127" xr:uid="{00000000-0005-0000-0000-00007B4A0000}"/>
    <cellStyle name="Comma 2 2 8 3 2 5" xfId="5296" xr:uid="{00000000-0005-0000-0000-00007C4A0000}"/>
    <cellStyle name="Comma 2 2 8 3 2 5 2" xfId="18783" xr:uid="{00000000-0005-0000-0000-00007D4A0000}"/>
    <cellStyle name="Comma 2 2 8 3 2 5 2 2" xfId="42061" xr:uid="{00000000-0005-0000-0000-00007E4A0000}"/>
    <cellStyle name="Comma 2 2 8 3 2 5 3" xfId="28575" xr:uid="{00000000-0005-0000-0000-00007F4A0000}"/>
    <cellStyle name="Comma 2 2 8 3 2 6" xfId="7744" xr:uid="{00000000-0005-0000-0000-0000804A0000}"/>
    <cellStyle name="Comma 2 2 8 3 2 6 2" xfId="31023" xr:uid="{00000000-0005-0000-0000-0000814A0000}"/>
    <cellStyle name="Comma 2 2 8 3 2 7" xfId="10192" xr:uid="{00000000-0005-0000-0000-0000824A0000}"/>
    <cellStyle name="Comma 2 2 8 3 2 7 2" xfId="33471" xr:uid="{00000000-0005-0000-0000-0000834A0000}"/>
    <cellStyle name="Comma 2 2 8 3 2 8" xfId="12640" xr:uid="{00000000-0005-0000-0000-0000844A0000}"/>
    <cellStyle name="Comma 2 2 8 3 2 8 2" xfId="35919" xr:uid="{00000000-0005-0000-0000-0000854A0000}"/>
    <cellStyle name="Comma 2 2 8 3 2 9" xfId="15111" xr:uid="{00000000-0005-0000-0000-0000864A0000}"/>
    <cellStyle name="Comma 2 2 8 3 2 9 2" xfId="38389" xr:uid="{00000000-0005-0000-0000-0000874A0000}"/>
    <cellStyle name="Comma 2 2 8 3 3" xfId="604" xr:uid="{00000000-0005-0000-0000-0000884A0000}"/>
    <cellStyle name="Comma 2 2 8 3 3 10" xfId="23883" xr:uid="{00000000-0005-0000-0000-0000894A0000}"/>
    <cellStyle name="Comma 2 2 8 3 3 11" xfId="44713" xr:uid="{00000000-0005-0000-0000-00008A4A0000}"/>
    <cellStyle name="Comma 2 2 8 3 3 12" xfId="21435" xr:uid="{00000000-0005-0000-0000-00008B4A0000}"/>
    <cellStyle name="Comma 2 2 8 3 3 2" xfId="1216" xr:uid="{00000000-0005-0000-0000-00008C4A0000}"/>
    <cellStyle name="Comma 2 2 8 3 3 2 10" xfId="45325" xr:uid="{00000000-0005-0000-0000-00008D4A0000}"/>
    <cellStyle name="Comma 2 2 8 3 3 2 11" xfId="22047" xr:uid="{00000000-0005-0000-0000-00008E4A0000}"/>
    <cellStyle name="Comma 2 2 8 3 3 2 2" xfId="2440" xr:uid="{00000000-0005-0000-0000-00008F4A0000}"/>
    <cellStyle name="Comma 2 2 8 3 3 2 2 10" xfId="23271" xr:uid="{00000000-0005-0000-0000-0000904A0000}"/>
    <cellStyle name="Comma 2 2 8 3 3 2 2 2" xfId="4888" xr:uid="{00000000-0005-0000-0000-0000914A0000}"/>
    <cellStyle name="Comma 2 2 8 3 3 2 2 2 2" xfId="20823" xr:uid="{00000000-0005-0000-0000-0000924A0000}"/>
    <cellStyle name="Comma 2 2 8 3 3 2 2 2 2 2" xfId="44101" xr:uid="{00000000-0005-0000-0000-0000934A0000}"/>
    <cellStyle name="Comma 2 2 8 3 3 2 2 2 3" xfId="48997" xr:uid="{00000000-0005-0000-0000-0000944A0000}"/>
    <cellStyle name="Comma 2 2 8 3 3 2 2 2 4" xfId="28167" xr:uid="{00000000-0005-0000-0000-0000954A0000}"/>
    <cellStyle name="Comma 2 2 8 3 3 2 2 3" xfId="7336" xr:uid="{00000000-0005-0000-0000-0000964A0000}"/>
    <cellStyle name="Comma 2 2 8 3 3 2 2 3 2" xfId="30615" xr:uid="{00000000-0005-0000-0000-0000974A0000}"/>
    <cellStyle name="Comma 2 2 8 3 3 2 2 4" xfId="9784" xr:uid="{00000000-0005-0000-0000-0000984A0000}"/>
    <cellStyle name="Comma 2 2 8 3 3 2 2 4 2" xfId="33063" xr:uid="{00000000-0005-0000-0000-0000994A0000}"/>
    <cellStyle name="Comma 2 2 8 3 3 2 2 5" xfId="12232" xr:uid="{00000000-0005-0000-0000-00009A4A0000}"/>
    <cellStyle name="Comma 2 2 8 3 3 2 2 5 2" xfId="35511" xr:uid="{00000000-0005-0000-0000-00009B4A0000}"/>
    <cellStyle name="Comma 2 2 8 3 3 2 2 6" xfId="14680" xr:uid="{00000000-0005-0000-0000-00009C4A0000}"/>
    <cellStyle name="Comma 2 2 8 3 3 2 2 6 2" xfId="37959" xr:uid="{00000000-0005-0000-0000-00009D4A0000}"/>
    <cellStyle name="Comma 2 2 8 3 3 2 2 7" xfId="18375" xr:uid="{00000000-0005-0000-0000-00009E4A0000}"/>
    <cellStyle name="Comma 2 2 8 3 3 2 2 7 2" xfId="41653" xr:uid="{00000000-0005-0000-0000-00009F4A0000}"/>
    <cellStyle name="Comma 2 2 8 3 3 2 2 8" xfId="25719" xr:uid="{00000000-0005-0000-0000-0000A04A0000}"/>
    <cellStyle name="Comma 2 2 8 3 3 2 2 9" xfId="46549" xr:uid="{00000000-0005-0000-0000-0000A14A0000}"/>
    <cellStyle name="Comma 2 2 8 3 3 2 3" xfId="3664" xr:uid="{00000000-0005-0000-0000-0000A24A0000}"/>
    <cellStyle name="Comma 2 2 8 3 3 2 3 2" xfId="17151" xr:uid="{00000000-0005-0000-0000-0000A34A0000}"/>
    <cellStyle name="Comma 2 2 8 3 3 2 3 2 2" xfId="40429" xr:uid="{00000000-0005-0000-0000-0000A44A0000}"/>
    <cellStyle name="Comma 2 2 8 3 3 2 3 3" xfId="47773" xr:uid="{00000000-0005-0000-0000-0000A54A0000}"/>
    <cellStyle name="Comma 2 2 8 3 3 2 3 4" xfId="26943" xr:uid="{00000000-0005-0000-0000-0000A64A0000}"/>
    <cellStyle name="Comma 2 2 8 3 3 2 4" xfId="6112" xr:uid="{00000000-0005-0000-0000-0000A74A0000}"/>
    <cellStyle name="Comma 2 2 8 3 3 2 4 2" xfId="19599" xr:uid="{00000000-0005-0000-0000-0000A84A0000}"/>
    <cellStyle name="Comma 2 2 8 3 3 2 4 2 2" xfId="42877" xr:uid="{00000000-0005-0000-0000-0000A94A0000}"/>
    <cellStyle name="Comma 2 2 8 3 3 2 4 3" xfId="29391" xr:uid="{00000000-0005-0000-0000-0000AA4A0000}"/>
    <cellStyle name="Comma 2 2 8 3 3 2 5" xfId="8560" xr:uid="{00000000-0005-0000-0000-0000AB4A0000}"/>
    <cellStyle name="Comma 2 2 8 3 3 2 5 2" xfId="31839" xr:uid="{00000000-0005-0000-0000-0000AC4A0000}"/>
    <cellStyle name="Comma 2 2 8 3 3 2 6" xfId="11008" xr:uid="{00000000-0005-0000-0000-0000AD4A0000}"/>
    <cellStyle name="Comma 2 2 8 3 3 2 6 2" xfId="34287" xr:uid="{00000000-0005-0000-0000-0000AE4A0000}"/>
    <cellStyle name="Comma 2 2 8 3 3 2 7" xfId="13456" xr:uid="{00000000-0005-0000-0000-0000AF4A0000}"/>
    <cellStyle name="Comma 2 2 8 3 3 2 7 2" xfId="36735" xr:uid="{00000000-0005-0000-0000-0000B04A0000}"/>
    <cellStyle name="Comma 2 2 8 3 3 2 8" xfId="15927" xr:uid="{00000000-0005-0000-0000-0000B14A0000}"/>
    <cellStyle name="Comma 2 2 8 3 3 2 8 2" xfId="39205" xr:uid="{00000000-0005-0000-0000-0000B24A0000}"/>
    <cellStyle name="Comma 2 2 8 3 3 2 9" xfId="24495" xr:uid="{00000000-0005-0000-0000-0000B34A0000}"/>
    <cellStyle name="Comma 2 2 8 3 3 3" xfId="1828" xr:uid="{00000000-0005-0000-0000-0000B44A0000}"/>
    <cellStyle name="Comma 2 2 8 3 3 3 10" xfId="22659" xr:uid="{00000000-0005-0000-0000-0000B54A0000}"/>
    <cellStyle name="Comma 2 2 8 3 3 3 2" xfId="4276" xr:uid="{00000000-0005-0000-0000-0000B64A0000}"/>
    <cellStyle name="Comma 2 2 8 3 3 3 2 2" xfId="20211" xr:uid="{00000000-0005-0000-0000-0000B74A0000}"/>
    <cellStyle name="Comma 2 2 8 3 3 3 2 2 2" xfId="43489" xr:uid="{00000000-0005-0000-0000-0000B84A0000}"/>
    <cellStyle name="Comma 2 2 8 3 3 3 2 3" xfId="48385" xr:uid="{00000000-0005-0000-0000-0000B94A0000}"/>
    <cellStyle name="Comma 2 2 8 3 3 3 2 4" xfId="27555" xr:uid="{00000000-0005-0000-0000-0000BA4A0000}"/>
    <cellStyle name="Comma 2 2 8 3 3 3 3" xfId="6724" xr:uid="{00000000-0005-0000-0000-0000BB4A0000}"/>
    <cellStyle name="Comma 2 2 8 3 3 3 3 2" xfId="30003" xr:uid="{00000000-0005-0000-0000-0000BC4A0000}"/>
    <cellStyle name="Comma 2 2 8 3 3 3 4" xfId="9172" xr:uid="{00000000-0005-0000-0000-0000BD4A0000}"/>
    <cellStyle name="Comma 2 2 8 3 3 3 4 2" xfId="32451" xr:uid="{00000000-0005-0000-0000-0000BE4A0000}"/>
    <cellStyle name="Comma 2 2 8 3 3 3 5" xfId="11620" xr:uid="{00000000-0005-0000-0000-0000BF4A0000}"/>
    <cellStyle name="Comma 2 2 8 3 3 3 5 2" xfId="34899" xr:uid="{00000000-0005-0000-0000-0000C04A0000}"/>
    <cellStyle name="Comma 2 2 8 3 3 3 6" xfId="14068" xr:uid="{00000000-0005-0000-0000-0000C14A0000}"/>
    <cellStyle name="Comma 2 2 8 3 3 3 6 2" xfId="37347" xr:uid="{00000000-0005-0000-0000-0000C24A0000}"/>
    <cellStyle name="Comma 2 2 8 3 3 3 7" xfId="17763" xr:uid="{00000000-0005-0000-0000-0000C34A0000}"/>
    <cellStyle name="Comma 2 2 8 3 3 3 7 2" xfId="41041" xr:uid="{00000000-0005-0000-0000-0000C44A0000}"/>
    <cellStyle name="Comma 2 2 8 3 3 3 8" xfId="25107" xr:uid="{00000000-0005-0000-0000-0000C54A0000}"/>
    <cellStyle name="Comma 2 2 8 3 3 3 9" xfId="45937" xr:uid="{00000000-0005-0000-0000-0000C64A0000}"/>
    <cellStyle name="Comma 2 2 8 3 3 4" xfId="3052" xr:uid="{00000000-0005-0000-0000-0000C74A0000}"/>
    <cellStyle name="Comma 2 2 8 3 3 4 2" xfId="16539" xr:uid="{00000000-0005-0000-0000-0000C84A0000}"/>
    <cellStyle name="Comma 2 2 8 3 3 4 2 2" xfId="39817" xr:uid="{00000000-0005-0000-0000-0000C94A0000}"/>
    <cellStyle name="Comma 2 2 8 3 3 4 3" xfId="47161" xr:uid="{00000000-0005-0000-0000-0000CA4A0000}"/>
    <cellStyle name="Comma 2 2 8 3 3 4 4" xfId="26331" xr:uid="{00000000-0005-0000-0000-0000CB4A0000}"/>
    <cellStyle name="Comma 2 2 8 3 3 5" xfId="5500" xr:uid="{00000000-0005-0000-0000-0000CC4A0000}"/>
    <cellStyle name="Comma 2 2 8 3 3 5 2" xfId="18987" xr:uid="{00000000-0005-0000-0000-0000CD4A0000}"/>
    <cellStyle name="Comma 2 2 8 3 3 5 2 2" xfId="42265" xr:uid="{00000000-0005-0000-0000-0000CE4A0000}"/>
    <cellStyle name="Comma 2 2 8 3 3 5 3" xfId="28779" xr:uid="{00000000-0005-0000-0000-0000CF4A0000}"/>
    <cellStyle name="Comma 2 2 8 3 3 6" xfId="7948" xr:uid="{00000000-0005-0000-0000-0000D04A0000}"/>
    <cellStyle name="Comma 2 2 8 3 3 6 2" xfId="31227" xr:uid="{00000000-0005-0000-0000-0000D14A0000}"/>
    <cellStyle name="Comma 2 2 8 3 3 7" xfId="10396" xr:uid="{00000000-0005-0000-0000-0000D24A0000}"/>
    <cellStyle name="Comma 2 2 8 3 3 7 2" xfId="33675" xr:uid="{00000000-0005-0000-0000-0000D34A0000}"/>
    <cellStyle name="Comma 2 2 8 3 3 8" xfId="12844" xr:uid="{00000000-0005-0000-0000-0000D44A0000}"/>
    <cellStyle name="Comma 2 2 8 3 3 8 2" xfId="36123" xr:uid="{00000000-0005-0000-0000-0000D54A0000}"/>
    <cellStyle name="Comma 2 2 8 3 3 9" xfId="15315" xr:uid="{00000000-0005-0000-0000-0000D64A0000}"/>
    <cellStyle name="Comma 2 2 8 3 3 9 2" xfId="38593" xr:uid="{00000000-0005-0000-0000-0000D74A0000}"/>
    <cellStyle name="Comma 2 2 8 3 4" xfId="808" xr:uid="{00000000-0005-0000-0000-0000D84A0000}"/>
    <cellStyle name="Comma 2 2 8 3 4 10" xfId="44917" xr:uid="{00000000-0005-0000-0000-0000D94A0000}"/>
    <cellStyle name="Comma 2 2 8 3 4 11" xfId="21639" xr:uid="{00000000-0005-0000-0000-0000DA4A0000}"/>
    <cellStyle name="Comma 2 2 8 3 4 2" xfId="2032" xr:uid="{00000000-0005-0000-0000-0000DB4A0000}"/>
    <cellStyle name="Comma 2 2 8 3 4 2 10" xfId="22863" xr:uid="{00000000-0005-0000-0000-0000DC4A0000}"/>
    <cellStyle name="Comma 2 2 8 3 4 2 2" xfId="4480" xr:uid="{00000000-0005-0000-0000-0000DD4A0000}"/>
    <cellStyle name="Comma 2 2 8 3 4 2 2 2" xfId="20415" xr:uid="{00000000-0005-0000-0000-0000DE4A0000}"/>
    <cellStyle name="Comma 2 2 8 3 4 2 2 2 2" xfId="43693" xr:uid="{00000000-0005-0000-0000-0000DF4A0000}"/>
    <cellStyle name="Comma 2 2 8 3 4 2 2 3" xfId="48589" xr:uid="{00000000-0005-0000-0000-0000E04A0000}"/>
    <cellStyle name="Comma 2 2 8 3 4 2 2 4" xfId="27759" xr:uid="{00000000-0005-0000-0000-0000E14A0000}"/>
    <cellStyle name="Comma 2 2 8 3 4 2 3" xfId="6928" xr:uid="{00000000-0005-0000-0000-0000E24A0000}"/>
    <cellStyle name="Comma 2 2 8 3 4 2 3 2" xfId="30207" xr:uid="{00000000-0005-0000-0000-0000E34A0000}"/>
    <cellStyle name="Comma 2 2 8 3 4 2 4" xfId="9376" xr:uid="{00000000-0005-0000-0000-0000E44A0000}"/>
    <cellStyle name="Comma 2 2 8 3 4 2 4 2" xfId="32655" xr:uid="{00000000-0005-0000-0000-0000E54A0000}"/>
    <cellStyle name="Comma 2 2 8 3 4 2 5" xfId="11824" xr:uid="{00000000-0005-0000-0000-0000E64A0000}"/>
    <cellStyle name="Comma 2 2 8 3 4 2 5 2" xfId="35103" xr:uid="{00000000-0005-0000-0000-0000E74A0000}"/>
    <cellStyle name="Comma 2 2 8 3 4 2 6" xfId="14272" xr:uid="{00000000-0005-0000-0000-0000E84A0000}"/>
    <cellStyle name="Comma 2 2 8 3 4 2 6 2" xfId="37551" xr:uid="{00000000-0005-0000-0000-0000E94A0000}"/>
    <cellStyle name="Comma 2 2 8 3 4 2 7" xfId="17967" xr:uid="{00000000-0005-0000-0000-0000EA4A0000}"/>
    <cellStyle name="Comma 2 2 8 3 4 2 7 2" xfId="41245" xr:uid="{00000000-0005-0000-0000-0000EB4A0000}"/>
    <cellStyle name="Comma 2 2 8 3 4 2 8" xfId="25311" xr:uid="{00000000-0005-0000-0000-0000EC4A0000}"/>
    <cellStyle name="Comma 2 2 8 3 4 2 9" xfId="46141" xr:uid="{00000000-0005-0000-0000-0000ED4A0000}"/>
    <cellStyle name="Comma 2 2 8 3 4 3" xfId="3256" xr:uid="{00000000-0005-0000-0000-0000EE4A0000}"/>
    <cellStyle name="Comma 2 2 8 3 4 3 2" xfId="16743" xr:uid="{00000000-0005-0000-0000-0000EF4A0000}"/>
    <cellStyle name="Comma 2 2 8 3 4 3 2 2" xfId="40021" xr:uid="{00000000-0005-0000-0000-0000F04A0000}"/>
    <cellStyle name="Comma 2 2 8 3 4 3 3" xfId="47365" xr:uid="{00000000-0005-0000-0000-0000F14A0000}"/>
    <cellStyle name="Comma 2 2 8 3 4 3 4" xfId="26535" xr:uid="{00000000-0005-0000-0000-0000F24A0000}"/>
    <cellStyle name="Comma 2 2 8 3 4 4" xfId="5704" xr:uid="{00000000-0005-0000-0000-0000F34A0000}"/>
    <cellStyle name="Comma 2 2 8 3 4 4 2" xfId="19191" xr:uid="{00000000-0005-0000-0000-0000F44A0000}"/>
    <cellStyle name="Comma 2 2 8 3 4 4 2 2" xfId="42469" xr:uid="{00000000-0005-0000-0000-0000F54A0000}"/>
    <cellStyle name="Comma 2 2 8 3 4 4 3" xfId="28983" xr:uid="{00000000-0005-0000-0000-0000F64A0000}"/>
    <cellStyle name="Comma 2 2 8 3 4 5" xfId="8152" xr:uid="{00000000-0005-0000-0000-0000F74A0000}"/>
    <cellStyle name="Comma 2 2 8 3 4 5 2" xfId="31431" xr:uid="{00000000-0005-0000-0000-0000F84A0000}"/>
    <cellStyle name="Comma 2 2 8 3 4 6" xfId="10600" xr:uid="{00000000-0005-0000-0000-0000F94A0000}"/>
    <cellStyle name="Comma 2 2 8 3 4 6 2" xfId="33879" xr:uid="{00000000-0005-0000-0000-0000FA4A0000}"/>
    <cellStyle name="Comma 2 2 8 3 4 7" xfId="13048" xr:uid="{00000000-0005-0000-0000-0000FB4A0000}"/>
    <cellStyle name="Comma 2 2 8 3 4 7 2" xfId="36327" xr:uid="{00000000-0005-0000-0000-0000FC4A0000}"/>
    <cellStyle name="Comma 2 2 8 3 4 8" xfId="15519" xr:uid="{00000000-0005-0000-0000-0000FD4A0000}"/>
    <cellStyle name="Comma 2 2 8 3 4 8 2" xfId="38797" xr:uid="{00000000-0005-0000-0000-0000FE4A0000}"/>
    <cellStyle name="Comma 2 2 8 3 4 9" xfId="24087" xr:uid="{00000000-0005-0000-0000-0000FF4A0000}"/>
    <cellStyle name="Comma 2 2 8 3 5" xfId="1420" xr:uid="{00000000-0005-0000-0000-0000004B0000}"/>
    <cellStyle name="Comma 2 2 8 3 5 10" xfId="22251" xr:uid="{00000000-0005-0000-0000-0000014B0000}"/>
    <cellStyle name="Comma 2 2 8 3 5 2" xfId="3868" xr:uid="{00000000-0005-0000-0000-0000024B0000}"/>
    <cellStyle name="Comma 2 2 8 3 5 2 2" xfId="19803" xr:uid="{00000000-0005-0000-0000-0000034B0000}"/>
    <cellStyle name="Comma 2 2 8 3 5 2 2 2" xfId="43081" xr:uid="{00000000-0005-0000-0000-0000044B0000}"/>
    <cellStyle name="Comma 2 2 8 3 5 2 3" xfId="47977" xr:uid="{00000000-0005-0000-0000-0000054B0000}"/>
    <cellStyle name="Comma 2 2 8 3 5 2 4" xfId="27147" xr:uid="{00000000-0005-0000-0000-0000064B0000}"/>
    <cellStyle name="Comma 2 2 8 3 5 3" xfId="6316" xr:uid="{00000000-0005-0000-0000-0000074B0000}"/>
    <cellStyle name="Comma 2 2 8 3 5 3 2" xfId="29595" xr:uid="{00000000-0005-0000-0000-0000084B0000}"/>
    <cellStyle name="Comma 2 2 8 3 5 4" xfId="8764" xr:uid="{00000000-0005-0000-0000-0000094B0000}"/>
    <cellStyle name="Comma 2 2 8 3 5 4 2" xfId="32043" xr:uid="{00000000-0005-0000-0000-00000A4B0000}"/>
    <cellStyle name="Comma 2 2 8 3 5 5" xfId="11212" xr:uid="{00000000-0005-0000-0000-00000B4B0000}"/>
    <cellStyle name="Comma 2 2 8 3 5 5 2" xfId="34491" xr:uid="{00000000-0005-0000-0000-00000C4B0000}"/>
    <cellStyle name="Comma 2 2 8 3 5 6" xfId="13660" xr:uid="{00000000-0005-0000-0000-00000D4B0000}"/>
    <cellStyle name="Comma 2 2 8 3 5 6 2" xfId="36939" xr:uid="{00000000-0005-0000-0000-00000E4B0000}"/>
    <cellStyle name="Comma 2 2 8 3 5 7" xfId="17355" xr:uid="{00000000-0005-0000-0000-00000F4B0000}"/>
    <cellStyle name="Comma 2 2 8 3 5 7 2" xfId="40633" xr:uid="{00000000-0005-0000-0000-0000104B0000}"/>
    <cellStyle name="Comma 2 2 8 3 5 8" xfId="24699" xr:uid="{00000000-0005-0000-0000-0000114B0000}"/>
    <cellStyle name="Comma 2 2 8 3 5 9" xfId="45529" xr:uid="{00000000-0005-0000-0000-0000124B0000}"/>
    <cellStyle name="Comma 2 2 8 3 6" xfId="2644" xr:uid="{00000000-0005-0000-0000-0000134B0000}"/>
    <cellStyle name="Comma 2 2 8 3 6 2" xfId="16131" xr:uid="{00000000-0005-0000-0000-0000144B0000}"/>
    <cellStyle name="Comma 2 2 8 3 6 2 2" xfId="39409" xr:uid="{00000000-0005-0000-0000-0000154B0000}"/>
    <cellStyle name="Comma 2 2 8 3 6 3" xfId="46753" xr:uid="{00000000-0005-0000-0000-0000164B0000}"/>
    <cellStyle name="Comma 2 2 8 3 6 4" xfId="25923" xr:uid="{00000000-0005-0000-0000-0000174B0000}"/>
    <cellStyle name="Comma 2 2 8 3 7" xfId="5092" xr:uid="{00000000-0005-0000-0000-0000184B0000}"/>
    <cellStyle name="Comma 2 2 8 3 7 2" xfId="18579" xr:uid="{00000000-0005-0000-0000-0000194B0000}"/>
    <cellStyle name="Comma 2 2 8 3 7 2 2" xfId="41857" xr:uid="{00000000-0005-0000-0000-00001A4B0000}"/>
    <cellStyle name="Comma 2 2 8 3 7 3" xfId="28371" xr:uid="{00000000-0005-0000-0000-00001B4B0000}"/>
    <cellStyle name="Comma 2 2 8 3 8" xfId="7540" xr:uid="{00000000-0005-0000-0000-00001C4B0000}"/>
    <cellStyle name="Comma 2 2 8 3 8 2" xfId="30819" xr:uid="{00000000-0005-0000-0000-00001D4B0000}"/>
    <cellStyle name="Comma 2 2 8 3 9" xfId="9988" xr:uid="{00000000-0005-0000-0000-00001E4B0000}"/>
    <cellStyle name="Comma 2 2 8 3 9 2" xfId="33267" xr:uid="{00000000-0005-0000-0000-00001F4B0000}"/>
    <cellStyle name="Comma 2 2 8 4" xfId="264" xr:uid="{00000000-0005-0000-0000-0000204B0000}"/>
    <cellStyle name="Comma 2 2 8 4 10" xfId="23543" xr:uid="{00000000-0005-0000-0000-0000214B0000}"/>
    <cellStyle name="Comma 2 2 8 4 11" xfId="44373" xr:uid="{00000000-0005-0000-0000-0000224B0000}"/>
    <cellStyle name="Comma 2 2 8 4 12" xfId="21095" xr:uid="{00000000-0005-0000-0000-0000234B0000}"/>
    <cellStyle name="Comma 2 2 8 4 2" xfId="876" xr:uid="{00000000-0005-0000-0000-0000244B0000}"/>
    <cellStyle name="Comma 2 2 8 4 2 10" xfId="44985" xr:uid="{00000000-0005-0000-0000-0000254B0000}"/>
    <cellStyle name="Comma 2 2 8 4 2 11" xfId="21707" xr:uid="{00000000-0005-0000-0000-0000264B0000}"/>
    <cellStyle name="Comma 2 2 8 4 2 2" xfId="2100" xr:uid="{00000000-0005-0000-0000-0000274B0000}"/>
    <cellStyle name="Comma 2 2 8 4 2 2 10" xfId="22931" xr:uid="{00000000-0005-0000-0000-0000284B0000}"/>
    <cellStyle name="Comma 2 2 8 4 2 2 2" xfId="4548" xr:uid="{00000000-0005-0000-0000-0000294B0000}"/>
    <cellStyle name="Comma 2 2 8 4 2 2 2 2" xfId="20483" xr:uid="{00000000-0005-0000-0000-00002A4B0000}"/>
    <cellStyle name="Comma 2 2 8 4 2 2 2 2 2" xfId="43761" xr:uid="{00000000-0005-0000-0000-00002B4B0000}"/>
    <cellStyle name="Comma 2 2 8 4 2 2 2 3" xfId="48657" xr:uid="{00000000-0005-0000-0000-00002C4B0000}"/>
    <cellStyle name="Comma 2 2 8 4 2 2 2 4" xfId="27827" xr:uid="{00000000-0005-0000-0000-00002D4B0000}"/>
    <cellStyle name="Comma 2 2 8 4 2 2 3" xfId="6996" xr:uid="{00000000-0005-0000-0000-00002E4B0000}"/>
    <cellStyle name="Comma 2 2 8 4 2 2 3 2" xfId="30275" xr:uid="{00000000-0005-0000-0000-00002F4B0000}"/>
    <cellStyle name="Comma 2 2 8 4 2 2 4" xfId="9444" xr:uid="{00000000-0005-0000-0000-0000304B0000}"/>
    <cellStyle name="Comma 2 2 8 4 2 2 4 2" xfId="32723" xr:uid="{00000000-0005-0000-0000-0000314B0000}"/>
    <cellStyle name="Comma 2 2 8 4 2 2 5" xfId="11892" xr:uid="{00000000-0005-0000-0000-0000324B0000}"/>
    <cellStyle name="Comma 2 2 8 4 2 2 5 2" xfId="35171" xr:uid="{00000000-0005-0000-0000-0000334B0000}"/>
    <cellStyle name="Comma 2 2 8 4 2 2 6" xfId="14340" xr:uid="{00000000-0005-0000-0000-0000344B0000}"/>
    <cellStyle name="Comma 2 2 8 4 2 2 6 2" xfId="37619" xr:uid="{00000000-0005-0000-0000-0000354B0000}"/>
    <cellStyle name="Comma 2 2 8 4 2 2 7" xfId="18035" xr:uid="{00000000-0005-0000-0000-0000364B0000}"/>
    <cellStyle name="Comma 2 2 8 4 2 2 7 2" xfId="41313" xr:uid="{00000000-0005-0000-0000-0000374B0000}"/>
    <cellStyle name="Comma 2 2 8 4 2 2 8" xfId="25379" xr:uid="{00000000-0005-0000-0000-0000384B0000}"/>
    <cellStyle name="Comma 2 2 8 4 2 2 9" xfId="46209" xr:uid="{00000000-0005-0000-0000-0000394B0000}"/>
    <cellStyle name="Comma 2 2 8 4 2 3" xfId="3324" xr:uid="{00000000-0005-0000-0000-00003A4B0000}"/>
    <cellStyle name="Comma 2 2 8 4 2 3 2" xfId="16811" xr:uid="{00000000-0005-0000-0000-00003B4B0000}"/>
    <cellStyle name="Comma 2 2 8 4 2 3 2 2" xfId="40089" xr:uid="{00000000-0005-0000-0000-00003C4B0000}"/>
    <cellStyle name="Comma 2 2 8 4 2 3 3" xfId="47433" xr:uid="{00000000-0005-0000-0000-00003D4B0000}"/>
    <cellStyle name="Comma 2 2 8 4 2 3 4" xfId="26603" xr:uid="{00000000-0005-0000-0000-00003E4B0000}"/>
    <cellStyle name="Comma 2 2 8 4 2 4" xfId="5772" xr:uid="{00000000-0005-0000-0000-00003F4B0000}"/>
    <cellStyle name="Comma 2 2 8 4 2 4 2" xfId="19259" xr:uid="{00000000-0005-0000-0000-0000404B0000}"/>
    <cellStyle name="Comma 2 2 8 4 2 4 2 2" xfId="42537" xr:uid="{00000000-0005-0000-0000-0000414B0000}"/>
    <cellStyle name="Comma 2 2 8 4 2 4 3" xfId="29051" xr:uid="{00000000-0005-0000-0000-0000424B0000}"/>
    <cellStyle name="Comma 2 2 8 4 2 5" xfId="8220" xr:uid="{00000000-0005-0000-0000-0000434B0000}"/>
    <cellStyle name="Comma 2 2 8 4 2 5 2" xfId="31499" xr:uid="{00000000-0005-0000-0000-0000444B0000}"/>
    <cellStyle name="Comma 2 2 8 4 2 6" xfId="10668" xr:uid="{00000000-0005-0000-0000-0000454B0000}"/>
    <cellStyle name="Comma 2 2 8 4 2 6 2" xfId="33947" xr:uid="{00000000-0005-0000-0000-0000464B0000}"/>
    <cellStyle name="Comma 2 2 8 4 2 7" xfId="13116" xr:uid="{00000000-0005-0000-0000-0000474B0000}"/>
    <cellStyle name="Comma 2 2 8 4 2 7 2" xfId="36395" xr:uid="{00000000-0005-0000-0000-0000484B0000}"/>
    <cellStyle name="Comma 2 2 8 4 2 8" xfId="15587" xr:uid="{00000000-0005-0000-0000-0000494B0000}"/>
    <cellStyle name="Comma 2 2 8 4 2 8 2" xfId="38865" xr:uid="{00000000-0005-0000-0000-00004A4B0000}"/>
    <cellStyle name="Comma 2 2 8 4 2 9" xfId="24155" xr:uid="{00000000-0005-0000-0000-00004B4B0000}"/>
    <cellStyle name="Comma 2 2 8 4 3" xfId="1488" xr:uid="{00000000-0005-0000-0000-00004C4B0000}"/>
    <cellStyle name="Comma 2 2 8 4 3 10" xfId="22319" xr:uid="{00000000-0005-0000-0000-00004D4B0000}"/>
    <cellStyle name="Comma 2 2 8 4 3 2" xfId="3936" xr:uid="{00000000-0005-0000-0000-00004E4B0000}"/>
    <cellStyle name="Comma 2 2 8 4 3 2 2" xfId="19871" xr:uid="{00000000-0005-0000-0000-00004F4B0000}"/>
    <cellStyle name="Comma 2 2 8 4 3 2 2 2" xfId="43149" xr:uid="{00000000-0005-0000-0000-0000504B0000}"/>
    <cellStyle name="Comma 2 2 8 4 3 2 3" xfId="48045" xr:uid="{00000000-0005-0000-0000-0000514B0000}"/>
    <cellStyle name="Comma 2 2 8 4 3 2 4" xfId="27215" xr:uid="{00000000-0005-0000-0000-0000524B0000}"/>
    <cellStyle name="Comma 2 2 8 4 3 3" xfId="6384" xr:uid="{00000000-0005-0000-0000-0000534B0000}"/>
    <cellStyle name="Comma 2 2 8 4 3 3 2" xfId="29663" xr:uid="{00000000-0005-0000-0000-0000544B0000}"/>
    <cellStyle name="Comma 2 2 8 4 3 4" xfId="8832" xr:uid="{00000000-0005-0000-0000-0000554B0000}"/>
    <cellStyle name="Comma 2 2 8 4 3 4 2" xfId="32111" xr:uid="{00000000-0005-0000-0000-0000564B0000}"/>
    <cellStyle name="Comma 2 2 8 4 3 5" xfId="11280" xr:uid="{00000000-0005-0000-0000-0000574B0000}"/>
    <cellStyle name="Comma 2 2 8 4 3 5 2" xfId="34559" xr:uid="{00000000-0005-0000-0000-0000584B0000}"/>
    <cellStyle name="Comma 2 2 8 4 3 6" xfId="13728" xr:uid="{00000000-0005-0000-0000-0000594B0000}"/>
    <cellStyle name="Comma 2 2 8 4 3 6 2" xfId="37007" xr:uid="{00000000-0005-0000-0000-00005A4B0000}"/>
    <cellStyle name="Comma 2 2 8 4 3 7" xfId="17423" xr:uid="{00000000-0005-0000-0000-00005B4B0000}"/>
    <cellStyle name="Comma 2 2 8 4 3 7 2" xfId="40701" xr:uid="{00000000-0005-0000-0000-00005C4B0000}"/>
    <cellStyle name="Comma 2 2 8 4 3 8" xfId="24767" xr:uid="{00000000-0005-0000-0000-00005D4B0000}"/>
    <cellStyle name="Comma 2 2 8 4 3 9" xfId="45597" xr:uid="{00000000-0005-0000-0000-00005E4B0000}"/>
    <cellStyle name="Comma 2 2 8 4 4" xfId="2712" xr:uid="{00000000-0005-0000-0000-00005F4B0000}"/>
    <cellStyle name="Comma 2 2 8 4 4 2" xfId="16199" xr:uid="{00000000-0005-0000-0000-0000604B0000}"/>
    <cellStyle name="Comma 2 2 8 4 4 2 2" xfId="39477" xr:uid="{00000000-0005-0000-0000-0000614B0000}"/>
    <cellStyle name="Comma 2 2 8 4 4 3" xfId="46821" xr:uid="{00000000-0005-0000-0000-0000624B0000}"/>
    <cellStyle name="Comma 2 2 8 4 4 4" xfId="25991" xr:uid="{00000000-0005-0000-0000-0000634B0000}"/>
    <cellStyle name="Comma 2 2 8 4 5" xfId="5160" xr:uid="{00000000-0005-0000-0000-0000644B0000}"/>
    <cellStyle name="Comma 2 2 8 4 5 2" xfId="18647" xr:uid="{00000000-0005-0000-0000-0000654B0000}"/>
    <cellStyle name="Comma 2 2 8 4 5 2 2" xfId="41925" xr:uid="{00000000-0005-0000-0000-0000664B0000}"/>
    <cellStyle name="Comma 2 2 8 4 5 3" xfId="28439" xr:uid="{00000000-0005-0000-0000-0000674B0000}"/>
    <cellStyle name="Comma 2 2 8 4 6" xfId="7608" xr:uid="{00000000-0005-0000-0000-0000684B0000}"/>
    <cellStyle name="Comma 2 2 8 4 6 2" xfId="30887" xr:uid="{00000000-0005-0000-0000-0000694B0000}"/>
    <cellStyle name="Comma 2 2 8 4 7" xfId="10056" xr:uid="{00000000-0005-0000-0000-00006A4B0000}"/>
    <cellStyle name="Comma 2 2 8 4 7 2" xfId="33335" xr:uid="{00000000-0005-0000-0000-00006B4B0000}"/>
    <cellStyle name="Comma 2 2 8 4 8" xfId="12504" xr:uid="{00000000-0005-0000-0000-00006C4B0000}"/>
    <cellStyle name="Comma 2 2 8 4 8 2" xfId="35783" xr:uid="{00000000-0005-0000-0000-00006D4B0000}"/>
    <cellStyle name="Comma 2 2 8 4 9" xfId="14975" xr:uid="{00000000-0005-0000-0000-00006E4B0000}"/>
    <cellStyle name="Comma 2 2 8 4 9 2" xfId="38253" xr:uid="{00000000-0005-0000-0000-00006F4B0000}"/>
    <cellStyle name="Comma 2 2 8 5" xfId="468" xr:uid="{00000000-0005-0000-0000-0000704B0000}"/>
    <cellStyle name="Comma 2 2 8 5 10" xfId="23747" xr:uid="{00000000-0005-0000-0000-0000714B0000}"/>
    <cellStyle name="Comma 2 2 8 5 11" xfId="44577" xr:uid="{00000000-0005-0000-0000-0000724B0000}"/>
    <cellStyle name="Comma 2 2 8 5 12" xfId="21299" xr:uid="{00000000-0005-0000-0000-0000734B0000}"/>
    <cellStyle name="Comma 2 2 8 5 2" xfId="1080" xr:uid="{00000000-0005-0000-0000-0000744B0000}"/>
    <cellStyle name="Comma 2 2 8 5 2 10" xfId="45189" xr:uid="{00000000-0005-0000-0000-0000754B0000}"/>
    <cellStyle name="Comma 2 2 8 5 2 11" xfId="21911" xr:uid="{00000000-0005-0000-0000-0000764B0000}"/>
    <cellStyle name="Comma 2 2 8 5 2 2" xfId="2304" xr:uid="{00000000-0005-0000-0000-0000774B0000}"/>
    <cellStyle name="Comma 2 2 8 5 2 2 10" xfId="23135" xr:uid="{00000000-0005-0000-0000-0000784B0000}"/>
    <cellStyle name="Comma 2 2 8 5 2 2 2" xfId="4752" xr:uid="{00000000-0005-0000-0000-0000794B0000}"/>
    <cellStyle name="Comma 2 2 8 5 2 2 2 2" xfId="20687" xr:uid="{00000000-0005-0000-0000-00007A4B0000}"/>
    <cellStyle name="Comma 2 2 8 5 2 2 2 2 2" xfId="43965" xr:uid="{00000000-0005-0000-0000-00007B4B0000}"/>
    <cellStyle name="Comma 2 2 8 5 2 2 2 3" xfId="48861" xr:uid="{00000000-0005-0000-0000-00007C4B0000}"/>
    <cellStyle name="Comma 2 2 8 5 2 2 2 4" xfId="28031" xr:uid="{00000000-0005-0000-0000-00007D4B0000}"/>
    <cellStyle name="Comma 2 2 8 5 2 2 3" xfId="7200" xr:uid="{00000000-0005-0000-0000-00007E4B0000}"/>
    <cellStyle name="Comma 2 2 8 5 2 2 3 2" xfId="30479" xr:uid="{00000000-0005-0000-0000-00007F4B0000}"/>
    <cellStyle name="Comma 2 2 8 5 2 2 4" xfId="9648" xr:uid="{00000000-0005-0000-0000-0000804B0000}"/>
    <cellStyle name="Comma 2 2 8 5 2 2 4 2" xfId="32927" xr:uid="{00000000-0005-0000-0000-0000814B0000}"/>
    <cellStyle name="Comma 2 2 8 5 2 2 5" xfId="12096" xr:uid="{00000000-0005-0000-0000-0000824B0000}"/>
    <cellStyle name="Comma 2 2 8 5 2 2 5 2" xfId="35375" xr:uid="{00000000-0005-0000-0000-0000834B0000}"/>
    <cellStyle name="Comma 2 2 8 5 2 2 6" xfId="14544" xr:uid="{00000000-0005-0000-0000-0000844B0000}"/>
    <cellStyle name="Comma 2 2 8 5 2 2 6 2" xfId="37823" xr:uid="{00000000-0005-0000-0000-0000854B0000}"/>
    <cellStyle name="Comma 2 2 8 5 2 2 7" xfId="18239" xr:uid="{00000000-0005-0000-0000-0000864B0000}"/>
    <cellStyle name="Comma 2 2 8 5 2 2 7 2" xfId="41517" xr:uid="{00000000-0005-0000-0000-0000874B0000}"/>
    <cellStyle name="Comma 2 2 8 5 2 2 8" xfId="25583" xr:uid="{00000000-0005-0000-0000-0000884B0000}"/>
    <cellStyle name="Comma 2 2 8 5 2 2 9" xfId="46413" xr:uid="{00000000-0005-0000-0000-0000894B0000}"/>
    <cellStyle name="Comma 2 2 8 5 2 3" xfId="3528" xr:uid="{00000000-0005-0000-0000-00008A4B0000}"/>
    <cellStyle name="Comma 2 2 8 5 2 3 2" xfId="17015" xr:uid="{00000000-0005-0000-0000-00008B4B0000}"/>
    <cellStyle name="Comma 2 2 8 5 2 3 2 2" xfId="40293" xr:uid="{00000000-0005-0000-0000-00008C4B0000}"/>
    <cellStyle name="Comma 2 2 8 5 2 3 3" xfId="47637" xr:uid="{00000000-0005-0000-0000-00008D4B0000}"/>
    <cellStyle name="Comma 2 2 8 5 2 3 4" xfId="26807" xr:uid="{00000000-0005-0000-0000-00008E4B0000}"/>
    <cellStyle name="Comma 2 2 8 5 2 4" xfId="5976" xr:uid="{00000000-0005-0000-0000-00008F4B0000}"/>
    <cellStyle name="Comma 2 2 8 5 2 4 2" xfId="19463" xr:uid="{00000000-0005-0000-0000-0000904B0000}"/>
    <cellStyle name="Comma 2 2 8 5 2 4 2 2" xfId="42741" xr:uid="{00000000-0005-0000-0000-0000914B0000}"/>
    <cellStyle name="Comma 2 2 8 5 2 4 3" xfId="29255" xr:uid="{00000000-0005-0000-0000-0000924B0000}"/>
    <cellStyle name="Comma 2 2 8 5 2 5" xfId="8424" xr:uid="{00000000-0005-0000-0000-0000934B0000}"/>
    <cellStyle name="Comma 2 2 8 5 2 5 2" xfId="31703" xr:uid="{00000000-0005-0000-0000-0000944B0000}"/>
    <cellStyle name="Comma 2 2 8 5 2 6" xfId="10872" xr:uid="{00000000-0005-0000-0000-0000954B0000}"/>
    <cellStyle name="Comma 2 2 8 5 2 6 2" xfId="34151" xr:uid="{00000000-0005-0000-0000-0000964B0000}"/>
    <cellStyle name="Comma 2 2 8 5 2 7" xfId="13320" xr:uid="{00000000-0005-0000-0000-0000974B0000}"/>
    <cellStyle name="Comma 2 2 8 5 2 7 2" xfId="36599" xr:uid="{00000000-0005-0000-0000-0000984B0000}"/>
    <cellStyle name="Comma 2 2 8 5 2 8" xfId="15791" xr:uid="{00000000-0005-0000-0000-0000994B0000}"/>
    <cellStyle name="Comma 2 2 8 5 2 8 2" xfId="39069" xr:uid="{00000000-0005-0000-0000-00009A4B0000}"/>
    <cellStyle name="Comma 2 2 8 5 2 9" xfId="24359" xr:uid="{00000000-0005-0000-0000-00009B4B0000}"/>
    <cellStyle name="Comma 2 2 8 5 3" xfId="1692" xr:uid="{00000000-0005-0000-0000-00009C4B0000}"/>
    <cellStyle name="Comma 2 2 8 5 3 10" xfId="22523" xr:uid="{00000000-0005-0000-0000-00009D4B0000}"/>
    <cellStyle name="Comma 2 2 8 5 3 2" xfId="4140" xr:uid="{00000000-0005-0000-0000-00009E4B0000}"/>
    <cellStyle name="Comma 2 2 8 5 3 2 2" xfId="20075" xr:uid="{00000000-0005-0000-0000-00009F4B0000}"/>
    <cellStyle name="Comma 2 2 8 5 3 2 2 2" xfId="43353" xr:uid="{00000000-0005-0000-0000-0000A04B0000}"/>
    <cellStyle name="Comma 2 2 8 5 3 2 3" xfId="48249" xr:uid="{00000000-0005-0000-0000-0000A14B0000}"/>
    <cellStyle name="Comma 2 2 8 5 3 2 4" xfId="27419" xr:uid="{00000000-0005-0000-0000-0000A24B0000}"/>
    <cellStyle name="Comma 2 2 8 5 3 3" xfId="6588" xr:uid="{00000000-0005-0000-0000-0000A34B0000}"/>
    <cellStyle name="Comma 2 2 8 5 3 3 2" xfId="29867" xr:uid="{00000000-0005-0000-0000-0000A44B0000}"/>
    <cellStyle name="Comma 2 2 8 5 3 4" xfId="9036" xr:uid="{00000000-0005-0000-0000-0000A54B0000}"/>
    <cellStyle name="Comma 2 2 8 5 3 4 2" xfId="32315" xr:uid="{00000000-0005-0000-0000-0000A64B0000}"/>
    <cellStyle name="Comma 2 2 8 5 3 5" xfId="11484" xr:uid="{00000000-0005-0000-0000-0000A74B0000}"/>
    <cellStyle name="Comma 2 2 8 5 3 5 2" xfId="34763" xr:uid="{00000000-0005-0000-0000-0000A84B0000}"/>
    <cellStyle name="Comma 2 2 8 5 3 6" xfId="13932" xr:uid="{00000000-0005-0000-0000-0000A94B0000}"/>
    <cellStyle name="Comma 2 2 8 5 3 6 2" xfId="37211" xr:uid="{00000000-0005-0000-0000-0000AA4B0000}"/>
    <cellStyle name="Comma 2 2 8 5 3 7" xfId="17627" xr:uid="{00000000-0005-0000-0000-0000AB4B0000}"/>
    <cellStyle name="Comma 2 2 8 5 3 7 2" xfId="40905" xr:uid="{00000000-0005-0000-0000-0000AC4B0000}"/>
    <cellStyle name="Comma 2 2 8 5 3 8" xfId="24971" xr:uid="{00000000-0005-0000-0000-0000AD4B0000}"/>
    <cellStyle name="Comma 2 2 8 5 3 9" xfId="45801" xr:uid="{00000000-0005-0000-0000-0000AE4B0000}"/>
    <cellStyle name="Comma 2 2 8 5 4" xfId="2916" xr:uid="{00000000-0005-0000-0000-0000AF4B0000}"/>
    <cellStyle name="Comma 2 2 8 5 4 2" xfId="16403" xr:uid="{00000000-0005-0000-0000-0000B04B0000}"/>
    <cellStyle name="Comma 2 2 8 5 4 2 2" xfId="39681" xr:uid="{00000000-0005-0000-0000-0000B14B0000}"/>
    <cellStyle name="Comma 2 2 8 5 4 3" xfId="47025" xr:uid="{00000000-0005-0000-0000-0000B24B0000}"/>
    <cellStyle name="Comma 2 2 8 5 4 4" xfId="26195" xr:uid="{00000000-0005-0000-0000-0000B34B0000}"/>
    <cellStyle name="Comma 2 2 8 5 5" xfId="5364" xr:uid="{00000000-0005-0000-0000-0000B44B0000}"/>
    <cellStyle name="Comma 2 2 8 5 5 2" xfId="18851" xr:uid="{00000000-0005-0000-0000-0000B54B0000}"/>
    <cellStyle name="Comma 2 2 8 5 5 2 2" xfId="42129" xr:uid="{00000000-0005-0000-0000-0000B64B0000}"/>
    <cellStyle name="Comma 2 2 8 5 5 3" xfId="28643" xr:uid="{00000000-0005-0000-0000-0000B74B0000}"/>
    <cellStyle name="Comma 2 2 8 5 6" xfId="7812" xr:uid="{00000000-0005-0000-0000-0000B84B0000}"/>
    <cellStyle name="Comma 2 2 8 5 6 2" xfId="31091" xr:uid="{00000000-0005-0000-0000-0000B94B0000}"/>
    <cellStyle name="Comma 2 2 8 5 7" xfId="10260" xr:uid="{00000000-0005-0000-0000-0000BA4B0000}"/>
    <cellStyle name="Comma 2 2 8 5 7 2" xfId="33539" xr:uid="{00000000-0005-0000-0000-0000BB4B0000}"/>
    <cellStyle name="Comma 2 2 8 5 8" xfId="12708" xr:uid="{00000000-0005-0000-0000-0000BC4B0000}"/>
    <cellStyle name="Comma 2 2 8 5 8 2" xfId="35987" xr:uid="{00000000-0005-0000-0000-0000BD4B0000}"/>
    <cellStyle name="Comma 2 2 8 5 9" xfId="15179" xr:uid="{00000000-0005-0000-0000-0000BE4B0000}"/>
    <cellStyle name="Comma 2 2 8 5 9 2" xfId="38457" xr:uid="{00000000-0005-0000-0000-0000BF4B0000}"/>
    <cellStyle name="Comma 2 2 8 6" xfId="672" xr:uid="{00000000-0005-0000-0000-0000C04B0000}"/>
    <cellStyle name="Comma 2 2 8 6 10" xfId="44781" xr:uid="{00000000-0005-0000-0000-0000C14B0000}"/>
    <cellStyle name="Comma 2 2 8 6 11" xfId="21503" xr:uid="{00000000-0005-0000-0000-0000C24B0000}"/>
    <cellStyle name="Comma 2 2 8 6 2" xfId="1896" xr:uid="{00000000-0005-0000-0000-0000C34B0000}"/>
    <cellStyle name="Comma 2 2 8 6 2 10" xfId="22727" xr:uid="{00000000-0005-0000-0000-0000C44B0000}"/>
    <cellStyle name="Comma 2 2 8 6 2 2" xfId="4344" xr:uid="{00000000-0005-0000-0000-0000C54B0000}"/>
    <cellStyle name="Comma 2 2 8 6 2 2 2" xfId="20279" xr:uid="{00000000-0005-0000-0000-0000C64B0000}"/>
    <cellStyle name="Comma 2 2 8 6 2 2 2 2" xfId="43557" xr:uid="{00000000-0005-0000-0000-0000C74B0000}"/>
    <cellStyle name="Comma 2 2 8 6 2 2 3" xfId="48453" xr:uid="{00000000-0005-0000-0000-0000C84B0000}"/>
    <cellStyle name="Comma 2 2 8 6 2 2 4" xfId="27623" xr:uid="{00000000-0005-0000-0000-0000C94B0000}"/>
    <cellStyle name="Comma 2 2 8 6 2 3" xfId="6792" xr:uid="{00000000-0005-0000-0000-0000CA4B0000}"/>
    <cellStyle name="Comma 2 2 8 6 2 3 2" xfId="30071" xr:uid="{00000000-0005-0000-0000-0000CB4B0000}"/>
    <cellStyle name="Comma 2 2 8 6 2 4" xfId="9240" xr:uid="{00000000-0005-0000-0000-0000CC4B0000}"/>
    <cellStyle name="Comma 2 2 8 6 2 4 2" xfId="32519" xr:uid="{00000000-0005-0000-0000-0000CD4B0000}"/>
    <cellStyle name="Comma 2 2 8 6 2 5" xfId="11688" xr:uid="{00000000-0005-0000-0000-0000CE4B0000}"/>
    <cellStyle name="Comma 2 2 8 6 2 5 2" xfId="34967" xr:uid="{00000000-0005-0000-0000-0000CF4B0000}"/>
    <cellStyle name="Comma 2 2 8 6 2 6" xfId="14136" xr:uid="{00000000-0005-0000-0000-0000D04B0000}"/>
    <cellStyle name="Comma 2 2 8 6 2 6 2" xfId="37415" xr:uid="{00000000-0005-0000-0000-0000D14B0000}"/>
    <cellStyle name="Comma 2 2 8 6 2 7" xfId="17831" xr:uid="{00000000-0005-0000-0000-0000D24B0000}"/>
    <cellStyle name="Comma 2 2 8 6 2 7 2" xfId="41109" xr:uid="{00000000-0005-0000-0000-0000D34B0000}"/>
    <cellStyle name="Comma 2 2 8 6 2 8" xfId="25175" xr:uid="{00000000-0005-0000-0000-0000D44B0000}"/>
    <cellStyle name="Comma 2 2 8 6 2 9" xfId="46005" xr:uid="{00000000-0005-0000-0000-0000D54B0000}"/>
    <cellStyle name="Comma 2 2 8 6 3" xfId="3120" xr:uid="{00000000-0005-0000-0000-0000D64B0000}"/>
    <cellStyle name="Comma 2 2 8 6 3 2" xfId="16607" xr:uid="{00000000-0005-0000-0000-0000D74B0000}"/>
    <cellStyle name="Comma 2 2 8 6 3 2 2" xfId="39885" xr:uid="{00000000-0005-0000-0000-0000D84B0000}"/>
    <cellStyle name="Comma 2 2 8 6 3 3" xfId="47229" xr:uid="{00000000-0005-0000-0000-0000D94B0000}"/>
    <cellStyle name="Comma 2 2 8 6 3 4" xfId="26399" xr:uid="{00000000-0005-0000-0000-0000DA4B0000}"/>
    <cellStyle name="Comma 2 2 8 6 4" xfId="5568" xr:uid="{00000000-0005-0000-0000-0000DB4B0000}"/>
    <cellStyle name="Comma 2 2 8 6 4 2" xfId="19055" xr:uid="{00000000-0005-0000-0000-0000DC4B0000}"/>
    <cellStyle name="Comma 2 2 8 6 4 2 2" xfId="42333" xr:uid="{00000000-0005-0000-0000-0000DD4B0000}"/>
    <cellStyle name="Comma 2 2 8 6 4 3" xfId="28847" xr:uid="{00000000-0005-0000-0000-0000DE4B0000}"/>
    <cellStyle name="Comma 2 2 8 6 5" xfId="8016" xr:uid="{00000000-0005-0000-0000-0000DF4B0000}"/>
    <cellStyle name="Comma 2 2 8 6 5 2" xfId="31295" xr:uid="{00000000-0005-0000-0000-0000E04B0000}"/>
    <cellStyle name="Comma 2 2 8 6 6" xfId="10464" xr:uid="{00000000-0005-0000-0000-0000E14B0000}"/>
    <cellStyle name="Comma 2 2 8 6 6 2" xfId="33743" xr:uid="{00000000-0005-0000-0000-0000E24B0000}"/>
    <cellStyle name="Comma 2 2 8 6 7" xfId="12912" xr:uid="{00000000-0005-0000-0000-0000E34B0000}"/>
    <cellStyle name="Comma 2 2 8 6 7 2" xfId="36191" xr:uid="{00000000-0005-0000-0000-0000E44B0000}"/>
    <cellStyle name="Comma 2 2 8 6 8" xfId="15383" xr:uid="{00000000-0005-0000-0000-0000E54B0000}"/>
    <cellStyle name="Comma 2 2 8 6 8 2" xfId="38661" xr:uid="{00000000-0005-0000-0000-0000E64B0000}"/>
    <cellStyle name="Comma 2 2 8 6 9" xfId="23951" xr:uid="{00000000-0005-0000-0000-0000E74B0000}"/>
    <cellStyle name="Comma 2 2 8 7" xfId="1284" xr:uid="{00000000-0005-0000-0000-0000E84B0000}"/>
    <cellStyle name="Comma 2 2 8 7 10" xfId="22115" xr:uid="{00000000-0005-0000-0000-0000E94B0000}"/>
    <cellStyle name="Comma 2 2 8 7 2" xfId="3732" xr:uid="{00000000-0005-0000-0000-0000EA4B0000}"/>
    <cellStyle name="Comma 2 2 8 7 2 2" xfId="17219" xr:uid="{00000000-0005-0000-0000-0000EB4B0000}"/>
    <cellStyle name="Comma 2 2 8 7 2 2 2" xfId="40497" xr:uid="{00000000-0005-0000-0000-0000EC4B0000}"/>
    <cellStyle name="Comma 2 2 8 7 2 3" xfId="47841" xr:uid="{00000000-0005-0000-0000-0000ED4B0000}"/>
    <cellStyle name="Comma 2 2 8 7 2 4" xfId="27011" xr:uid="{00000000-0005-0000-0000-0000EE4B0000}"/>
    <cellStyle name="Comma 2 2 8 7 3" xfId="6180" xr:uid="{00000000-0005-0000-0000-0000EF4B0000}"/>
    <cellStyle name="Comma 2 2 8 7 3 2" xfId="19667" xr:uid="{00000000-0005-0000-0000-0000F04B0000}"/>
    <cellStyle name="Comma 2 2 8 7 3 2 2" xfId="42945" xr:uid="{00000000-0005-0000-0000-0000F14B0000}"/>
    <cellStyle name="Comma 2 2 8 7 3 3" xfId="29459" xr:uid="{00000000-0005-0000-0000-0000F24B0000}"/>
    <cellStyle name="Comma 2 2 8 7 4" xfId="8628" xr:uid="{00000000-0005-0000-0000-0000F34B0000}"/>
    <cellStyle name="Comma 2 2 8 7 4 2" xfId="31907" xr:uid="{00000000-0005-0000-0000-0000F44B0000}"/>
    <cellStyle name="Comma 2 2 8 7 5" xfId="11076" xr:uid="{00000000-0005-0000-0000-0000F54B0000}"/>
    <cellStyle name="Comma 2 2 8 7 5 2" xfId="34355" xr:uid="{00000000-0005-0000-0000-0000F64B0000}"/>
    <cellStyle name="Comma 2 2 8 7 6" xfId="13524" xr:uid="{00000000-0005-0000-0000-0000F74B0000}"/>
    <cellStyle name="Comma 2 2 8 7 6 2" xfId="36803" xr:uid="{00000000-0005-0000-0000-0000F84B0000}"/>
    <cellStyle name="Comma 2 2 8 7 7" xfId="14771" xr:uid="{00000000-0005-0000-0000-0000F94B0000}"/>
    <cellStyle name="Comma 2 2 8 7 7 2" xfId="38049" xr:uid="{00000000-0005-0000-0000-0000FA4B0000}"/>
    <cellStyle name="Comma 2 2 8 7 8" xfId="24563" xr:uid="{00000000-0005-0000-0000-0000FB4B0000}"/>
    <cellStyle name="Comma 2 2 8 7 9" xfId="45393" xr:uid="{00000000-0005-0000-0000-0000FC4B0000}"/>
    <cellStyle name="Comma 2 2 8 8" xfId="2508" xr:uid="{00000000-0005-0000-0000-0000FD4B0000}"/>
    <cellStyle name="Comma 2 2 8 8 2" xfId="15995" xr:uid="{00000000-0005-0000-0000-0000FE4B0000}"/>
    <cellStyle name="Comma 2 2 8 8 2 2" xfId="39273" xr:uid="{00000000-0005-0000-0000-0000FF4B0000}"/>
    <cellStyle name="Comma 2 2 8 8 3" xfId="46617" xr:uid="{00000000-0005-0000-0000-0000004C0000}"/>
    <cellStyle name="Comma 2 2 8 8 4" xfId="25787" xr:uid="{00000000-0005-0000-0000-0000014C0000}"/>
    <cellStyle name="Comma 2 2 8 9" xfId="4956" xr:uid="{00000000-0005-0000-0000-0000024C0000}"/>
    <cellStyle name="Comma 2 2 8 9 2" xfId="18443" xr:uid="{00000000-0005-0000-0000-0000034C0000}"/>
    <cellStyle name="Comma 2 2 8 9 2 2" xfId="41721" xr:uid="{00000000-0005-0000-0000-0000044C0000}"/>
    <cellStyle name="Comma 2 2 8 9 3" xfId="28235" xr:uid="{00000000-0005-0000-0000-0000054C0000}"/>
    <cellStyle name="Comma 2 2 9" xfId="77" xr:uid="{00000000-0005-0000-0000-0000064C0000}"/>
    <cellStyle name="Comma 2 2 9 10" xfId="7421" xr:uid="{00000000-0005-0000-0000-0000074C0000}"/>
    <cellStyle name="Comma 2 2 9 10 2" xfId="30700" xr:uid="{00000000-0005-0000-0000-0000084C0000}"/>
    <cellStyle name="Comma 2 2 9 11" xfId="9869" xr:uid="{00000000-0005-0000-0000-0000094C0000}"/>
    <cellStyle name="Comma 2 2 9 11 2" xfId="33148" xr:uid="{00000000-0005-0000-0000-00000A4C0000}"/>
    <cellStyle name="Comma 2 2 9 12" xfId="12317" xr:uid="{00000000-0005-0000-0000-00000B4C0000}"/>
    <cellStyle name="Comma 2 2 9 12 2" xfId="35596" xr:uid="{00000000-0005-0000-0000-00000C4C0000}"/>
    <cellStyle name="Comma 2 2 9 13" xfId="14788" xr:uid="{00000000-0005-0000-0000-00000D4C0000}"/>
    <cellStyle name="Comma 2 2 9 13 2" xfId="38066" xr:uid="{00000000-0005-0000-0000-00000E4C0000}"/>
    <cellStyle name="Comma 2 2 9 14" xfId="23356" xr:uid="{00000000-0005-0000-0000-00000F4C0000}"/>
    <cellStyle name="Comma 2 2 9 15" xfId="44186" xr:uid="{00000000-0005-0000-0000-0000104C0000}"/>
    <cellStyle name="Comma 2 2 9 16" xfId="20908" xr:uid="{00000000-0005-0000-0000-0000114C0000}"/>
    <cellStyle name="Comma 2 2 9 2" xfId="145" xr:uid="{00000000-0005-0000-0000-0000124C0000}"/>
    <cellStyle name="Comma 2 2 9 2 10" xfId="12385" xr:uid="{00000000-0005-0000-0000-0000134C0000}"/>
    <cellStyle name="Comma 2 2 9 2 10 2" xfId="35664" xr:uid="{00000000-0005-0000-0000-0000144C0000}"/>
    <cellStyle name="Comma 2 2 9 2 11" xfId="14856" xr:uid="{00000000-0005-0000-0000-0000154C0000}"/>
    <cellStyle name="Comma 2 2 9 2 11 2" xfId="38134" xr:uid="{00000000-0005-0000-0000-0000164C0000}"/>
    <cellStyle name="Comma 2 2 9 2 12" xfId="23424" xr:uid="{00000000-0005-0000-0000-0000174C0000}"/>
    <cellStyle name="Comma 2 2 9 2 13" xfId="44254" xr:uid="{00000000-0005-0000-0000-0000184C0000}"/>
    <cellStyle name="Comma 2 2 9 2 14" xfId="20976" xr:uid="{00000000-0005-0000-0000-0000194C0000}"/>
    <cellStyle name="Comma 2 2 9 2 2" xfId="349" xr:uid="{00000000-0005-0000-0000-00001A4C0000}"/>
    <cellStyle name="Comma 2 2 9 2 2 10" xfId="23628" xr:uid="{00000000-0005-0000-0000-00001B4C0000}"/>
    <cellStyle name="Comma 2 2 9 2 2 11" xfId="44458" xr:uid="{00000000-0005-0000-0000-00001C4C0000}"/>
    <cellStyle name="Comma 2 2 9 2 2 12" xfId="21180" xr:uid="{00000000-0005-0000-0000-00001D4C0000}"/>
    <cellStyle name="Comma 2 2 9 2 2 2" xfId="961" xr:uid="{00000000-0005-0000-0000-00001E4C0000}"/>
    <cellStyle name="Comma 2 2 9 2 2 2 10" xfId="45070" xr:uid="{00000000-0005-0000-0000-00001F4C0000}"/>
    <cellStyle name="Comma 2 2 9 2 2 2 11" xfId="21792" xr:uid="{00000000-0005-0000-0000-0000204C0000}"/>
    <cellStyle name="Comma 2 2 9 2 2 2 2" xfId="2185" xr:uid="{00000000-0005-0000-0000-0000214C0000}"/>
    <cellStyle name="Comma 2 2 9 2 2 2 2 10" xfId="23016" xr:uid="{00000000-0005-0000-0000-0000224C0000}"/>
    <cellStyle name="Comma 2 2 9 2 2 2 2 2" xfId="4633" xr:uid="{00000000-0005-0000-0000-0000234C0000}"/>
    <cellStyle name="Comma 2 2 9 2 2 2 2 2 2" xfId="20568" xr:uid="{00000000-0005-0000-0000-0000244C0000}"/>
    <cellStyle name="Comma 2 2 9 2 2 2 2 2 2 2" xfId="43846" xr:uid="{00000000-0005-0000-0000-0000254C0000}"/>
    <cellStyle name="Comma 2 2 9 2 2 2 2 2 3" xfId="48742" xr:uid="{00000000-0005-0000-0000-0000264C0000}"/>
    <cellStyle name="Comma 2 2 9 2 2 2 2 2 4" xfId="27912" xr:uid="{00000000-0005-0000-0000-0000274C0000}"/>
    <cellStyle name="Comma 2 2 9 2 2 2 2 3" xfId="7081" xr:uid="{00000000-0005-0000-0000-0000284C0000}"/>
    <cellStyle name="Comma 2 2 9 2 2 2 2 3 2" xfId="30360" xr:uid="{00000000-0005-0000-0000-0000294C0000}"/>
    <cellStyle name="Comma 2 2 9 2 2 2 2 4" xfId="9529" xr:uid="{00000000-0005-0000-0000-00002A4C0000}"/>
    <cellStyle name="Comma 2 2 9 2 2 2 2 4 2" xfId="32808" xr:uid="{00000000-0005-0000-0000-00002B4C0000}"/>
    <cellStyle name="Comma 2 2 9 2 2 2 2 5" xfId="11977" xr:uid="{00000000-0005-0000-0000-00002C4C0000}"/>
    <cellStyle name="Comma 2 2 9 2 2 2 2 5 2" xfId="35256" xr:uid="{00000000-0005-0000-0000-00002D4C0000}"/>
    <cellStyle name="Comma 2 2 9 2 2 2 2 6" xfId="14425" xr:uid="{00000000-0005-0000-0000-00002E4C0000}"/>
    <cellStyle name="Comma 2 2 9 2 2 2 2 6 2" xfId="37704" xr:uid="{00000000-0005-0000-0000-00002F4C0000}"/>
    <cellStyle name="Comma 2 2 9 2 2 2 2 7" xfId="18120" xr:uid="{00000000-0005-0000-0000-0000304C0000}"/>
    <cellStyle name="Comma 2 2 9 2 2 2 2 7 2" xfId="41398" xr:uid="{00000000-0005-0000-0000-0000314C0000}"/>
    <cellStyle name="Comma 2 2 9 2 2 2 2 8" xfId="25464" xr:uid="{00000000-0005-0000-0000-0000324C0000}"/>
    <cellStyle name="Comma 2 2 9 2 2 2 2 9" xfId="46294" xr:uid="{00000000-0005-0000-0000-0000334C0000}"/>
    <cellStyle name="Comma 2 2 9 2 2 2 3" xfId="3409" xr:uid="{00000000-0005-0000-0000-0000344C0000}"/>
    <cellStyle name="Comma 2 2 9 2 2 2 3 2" xfId="16896" xr:uid="{00000000-0005-0000-0000-0000354C0000}"/>
    <cellStyle name="Comma 2 2 9 2 2 2 3 2 2" xfId="40174" xr:uid="{00000000-0005-0000-0000-0000364C0000}"/>
    <cellStyle name="Comma 2 2 9 2 2 2 3 3" xfId="47518" xr:uid="{00000000-0005-0000-0000-0000374C0000}"/>
    <cellStyle name="Comma 2 2 9 2 2 2 3 4" xfId="26688" xr:uid="{00000000-0005-0000-0000-0000384C0000}"/>
    <cellStyle name="Comma 2 2 9 2 2 2 4" xfId="5857" xr:uid="{00000000-0005-0000-0000-0000394C0000}"/>
    <cellStyle name="Comma 2 2 9 2 2 2 4 2" xfId="19344" xr:uid="{00000000-0005-0000-0000-00003A4C0000}"/>
    <cellStyle name="Comma 2 2 9 2 2 2 4 2 2" xfId="42622" xr:uid="{00000000-0005-0000-0000-00003B4C0000}"/>
    <cellStyle name="Comma 2 2 9 2 2 2 4 3" xfId="29136" xr:uid="{00000000-0005-0000-0000-00003C4C0000}"/>
    <cellStyle name="Comma 2 2 9 2 2 2 5" xfId="8305" xr:uid="{00000000-0005-0000-0000-00003D4C0000}"/>
    <cellStyle name="Comma 2 2 9 2 2 2 5 2" xfId="31584" xr:uid="{00000000-0005-0000-0000-00003E4C0000}"/>
    <cellStyle name="Comma 2 2 9 2 2 2 6" xfId="10753" xr:uid="{00000000-0005-0000-0000-00003F4C0000}"/>
    <cellStyle name="Comma 2 2 9 2 2 2 6 2" xfId="34032" xr:uid="{00000000-0005-0000-0000-0000404C0000}"/>
    <cellStyle name="Comma 2 2 9 2 2 2 7" xfId="13201" xr:uid="{00000000-0005-0000-0000-0000414C0000}"/>
    <cellStyle name="Comma 2 2 9 2 2 2 7 2" xfId="36480" xr:uid="{00000000-0005-0000-0000-0000424C0000}"/>
    <cellStyle name="Comma 2 2 9 2 2 2 8" xfId="15672" xr:uid="{00000000-0005-0000-0000-0000434C0000}"/>
    <cellStyle name="Comma 2 2 9 2 2 2 8 2" xfId="38950" xr:uid="{00000000-0005-0000-0000-0000444C0000}"/>
    <cellStyle name="Comma 2 2 9 2 2 2 9" xfId="24240" xr:uid="{00000000-0005-0000-0000-0000454C0000}"/>
    <cellStyle name="Comma 2 2 9 2 2 3" xfId="1573" xr:uid="{00000000-0005-0000-0000-0000464C0000}"/>
    <cellStyle name="Comma 2 2 9 2 2 3 10" xfId="22404" xr:uid="{00000000-0005-0000-0000-0000474C0000}"/>
    <cellStyle name="Comma 2 2 9 2 2 3 2" xfId="4021" xr:uid="{00000000-0005-0000-0000-0000484C0000}"/>
    <cellStyle name="Comma 2 2 9 2 2 3 2 2" xfId="19956" xr:uid="{00000000-0005-0000-0000-0000494C0000}"/>
    <cellStyle name="Comma 2 2 9 2 2 3 2 2 2" xfId="43234" xr:uid="{00000000-0005-0000-0000-00004A4C0000}"/>
    <cellStyle name="Comma 2 2 9 2 2 3 2 3" xfId="48130" xr:uid="{00000000-0005-0000-0000-00004B4C0000}"/>
    <cellStyle name="Comma 2 2 9 2 2 3 2 4" xfId="27300" xr:uid="{00000000-0005-0000-0000-00004C4C0000}"/>
    <cellStyle name="Comma 2 2 9 2 2 3 3" xfId="6469" xr:uid="{00000000-0005-0000-0000-00004D4C0000}"/>
    <cellStyle name="Comma 2 2 9 2 2 3 3 2" xfId="29748" xr:uid="{00000000-0005-0000-0000-00004E4C0000}"/>
    <cellStyle name="Comma 2 2 9 2 2 3 4" xfId="8917" xr:uid="{00000000-0005-0000-0000-00004F4C0000}"/>
    <cellStyle name="Comma 2 2 9 2 2 3 4 2" xfId="32196" xr:uid="{00000000-0005-0000-0000-0000504C0000}"/>
    <cellStyle name="Comma 2 2 9 2 2 3 5" xfId="11365" xr:uid="{00000000-0005-0000-0000-0000514C0000}"/>
    <cellStyle name="Comma 2 2 9 2 2 3 5 2" xfId="34644" xr:uid="{00000000-0005-0000-0000-0000524C0000}"/>
    <cellStyle name="Comma 2 2 9 2 2 3 6" xfId="13813" xr:uid="{00000000-0005-0000-0000-0000534C0000}"/>
    <cellStyle name="Comma 2 2 9 2 2 3 6 2" xfId="37092" xr:uid="{00000000-0005-0000-0000-0000544C0000}"/>
    <cellStyle name="Comma 2 2 9 2 2 3 7" xfId="17508" xr:uid="{00000000-0005-0000-0000-0000554C0000}"/>
    <cellStyle name="Comma 2 2 9 2 2 3 7 2" xfId="40786" xr:uid="{00000000-0005-0000-0000-0000564C0000}"/>
    <cellStyle name="Comma 2 2 9 2 2 3 8" xfId="24852" xr:uid="{00000000-0005-0000-0000-0000574C0000}"/>
    <cellStyle name="Comma 2 2 9 2 2 3 9" xfId="45682" xr:uid="{00000000-0005-0000-0000-0000584C0000}"/>
    <cellStyle name="Comma 2 2 9 2 2 4" xfId="2797" xr:uid="{00000000-0005-0000-0000-0000594C0000}"/>
    <cellStyle name="Comma 2 2 9 2 2 4 2" xfId="16284" xr:uid="{00000000-0005-0000-0000-00005A4C0000}"/>
    <cellStyle name="Comma 2 2 9 2 2 4 2 2" xfId="39562" xr:uid="{00000000-0005-0000-0000-00005B4C0000}"/>
    <cellStyle name="Comma 2 2 9 2 2 4 3" xfId="46906" xr:uid="{00000000-0005-0000-0000-00005C4C0000}"/>
    <cellStyle name="Comma 2 2 9 2 2 4 4" xfId="26076" xr:uid="{00000000-0005-0000-0000-00005D4C0000}"/>
    <cellStyle name="Comma 2 2 9 2 2 5" xfId="5245" xr:uid="{00000000-0005-0000-0000-00005E4C0000}"/>
    <cellStyle name="Comma 2 2 9 2 2 5 2" xfId="18732" xr:uid="{00000000-0005-0000-0000-00005F4C0000}"/>
    <cellStyle name="Comma 2 2 9 2 2 5 2 2" xfId="42010" xr:uid="{00000000-0005-0000-0000-0000604C0000}"/>
    <cellStyle name="Comma 2 2 9 2 2 5 3" xfId="28524" xr:uid="{00000000-0005-0000-0000-0000614C0000}"/>
    <cellStyle name="Comma 2 2 9 2 2 6" xfId="7693" xr:uid="{00000000-0005-0000-0000-0000624C0000}"/>
    <cellStyle name="Comma 2 2 9 2 2 6 2" xfId="30972" xr:uid="{00000000-0005-0000-0000-0000634C0000}"/>
    <cellStyle name="Comma 2 2 9 2 2 7" xfId="10141" xr:uid="{00000000-0005-0000-0000-0000644C0000}"/>
    <cellStyle name="Comma 2 2 9 2 2 7 2" xfId="33420" xr:uid="{00000000-0005-0000-0000-0000654C0000}"/>
    <cellStyle name="Comma 2 2 9 2 2 8" xfId="12589" xr:uid="{00000000-0005-0000-0000-0000664C0000}"/>
    <cellStyle name="Comma 2 2 9 2 2 8 2" xfId="35868" xr:uid="{00000000-0005-0000-0000-0000674C0000}"/>
    <cellStyle name="Comma 2 2 9 2 2 9" xfId="15060" xr:uid="{00000000-0005-0000-0000-0000684C0000}"/>
    <cellStyle name="Comma 2 2 9 2 2 9 2" xfId="38338" xr:uid="{00000000-0005-0000-0000-0000694C0000}"/>
    <cellStyle name="Comma 2 2 9 2 3" xfId="553" xr:uid="{00000000-0005-0000-0000-00006A4C0000}"/>
    <cellStyle name="Comma 2 2 9 2 3 10" xfId="23832" xr:uid="{00000000-0005-0000-0000-00006B4C0000}"/>
    <cellStyle name="Comma 2 2 9 2 3 11" xfId="44662" xr:uid="{00000000-0005-0000-0000-00006C4C0000}"/>
    <cellStyle name="Comma 2 2 9 2 3 12" xfId="21384" xr:uid="{00000000-0005-0000-0000-00006D4C0000}"/>
    <cellStyle name="Comma 2 2 9 2 3 2" xfId="1165" xr:uid="{00000000-0005-0000-0000-00006E4C0000}"/>
    <cellStyle name="Comma 2 2 9 2 3 2 10" xfId="45274" xr:uid="{00000000-0005-0000-0000-00006F4C0000}"/>
    <cellStyle name="Comma 2 2 9 2 3 2 11" xfId="21996" xr:uid="{00000000-0005-0000-0000-0000704C0000}"/>
    <cellStyle name="Comma 2 2 9 2 3 2 2" xfId="2389" xr:uid="{00000000-0005-0000-0000-0000714C0000}"/>
    <cellStyle name="Comma 2 2 9 2 3 2 2 10" xfId="23220" xr:uid="{00000000-0005-0000-0000-0000724C0000}"/>
    <cellStyle name="Comma 2 2 9 2 3 2 2 2" xfId="4837" xr:uid="{00000000-0005-0000-0000-0000734C0000}"/>
    <cellStyle name="Comma 2 2 9 2 3 2 2 2 2" xfId="20772" xr:uid="{00000000-0005-0000-0000-0000744C0000}"/>
    <cellStyle name="Comma 2 2 9 2 3 2 2 2 2 2" xfId="44050" xr:uid="{00000000-0005-0000-0000-0000754C0000}"/>
    <cellStyle name="Comma 2 2 9 2 3 2 2 2 3" xfId="48946" xr:uid="{00000000-0005-0000-0000-0000764C0000}"/>
    <cellStyle name="Comma 2 2 9 2 3 2 2 2 4" xfId="28116" xr:uid="{00000000-0005-0000-0000-0000774C0000}"/>
    <cellStyle name="Comma 2 2 9 2 3 2 2 3" xfId="7285" xr:uid="{00000000-0005-0000-0000-0000784C0000}"/>
    <cellStyle name="Comma 2 2 9 2 3 2 2 3 2" xfId="30564" xr:uid="{00000000-0005-0000-0000-0000794C0000}"/>
    <cellStyle name="Comma 2 2 9 2 3 2 2 4" xfId="9733" xr:uid="{00000000-0005-0000-0000-00007A4C0000}"/>
    <cellStyle name="Comma 2 2 9 2 3 2 2 4 2" xfId="33012" xr:uid="{00000000-0005-0000-0000-00007B4C0000}"/>
    <cellStyle name="Comma 2 2 9 2 3 2 2 5" xfId="12181" xr:uid="{00000000-0005-0000-0000-00007C4C0000}"/>
    <cellStyle name="Comma 2 2 9 2 3 2 2 5 2" xfId="35460" xr:uid="{00000000-0005-0000-0000-00007D4C0000}"/>
    <cellStyle name="Comma 2 2 9 2 3 2 2 6" xfId="14629" xr:uid="{00000000-0005-0000-0000-00007E4C0000}"/>
    <cellStyle name="Comma 2 2 9 2 3 2 2 6 2" xfId="37908" xr:uid="{00000000-0005-0000-0000-00007F4C0000}"/>
    <cellStyle name="Comma 2 2 9 2 3 2 2 7" xfId="18324" xr:uid="{00000000-0005-0000-0000-0000804C0000}"/>
    <cellStyle name="Comma 2 2 9 2 3 2 2 7 2" xfId="41602" xr:uid="{00000000-0005-0000-0000-0000814C0000}"/>
    <cellStyle name="Comma 2 2 9 2 3 2 2 8" xfId="25668" xr:uid="{00000000-0005-0000-0000-0000824C0000}"/>
    <cellStyle name="Comma 2 2 9 2 3 2 2 9" xfId="46498" xr:uid="{00000000-0005-0000-0000-0000834C0000}"/>
    <cellStyle name="Comma 2 2 9 2 3 2 3" xfId="3613" xr:uid="{00000000-0005-0000-0000-0000844C0000}"/>
    <cellStyle name="Comma 2 2 9 2 3 2 3 2" xfId="17100" xr:uid="{00000000-0005-0000-0000-0000854C0000}"/>
    <cellStyle name="Comma 2 2 9 2 3 2 3 2 2" xfId="40378" xr:uid="{00000000-0005-0000-0000-0000864C0000}"/>
    <cellStyle name="Comma 2 2 9 2 3 2 3 3" xfId="47722" xr:uid="{00000000-0005-0000-0000-0000874C0000}"/>
    <cellStyle name="Comma 2 2 9 2 3 2 3 4" xfId="26892" xr:uid="{00000000-0005-0000-0000-0000884C0000}"/>
    <cellStyle name="Comma 2 2 9 2 3 2 4" xfId="6061" xr:uid="{00000000-0005-0000-0000-0000894C0000}"/>
    <cellStyle name="Comma 2 2 9 2 3 2 4 2" xfId="19548" xr:uid="{00000000-0005-0000-0000-00008A4C0000}"/>
    <cellStyle name="Comma 2 2 9 2 3 2 4 2 2" xfId="42826" xr:uid="{00000000-0005-0000-0000-00008B4C0000}"/>
    <cellStyle name="Comma 2 2 9 2 3 2 4 3" xfId="29340" xr:uid="{00000000-0005-0000-0000-00008C4C0000}"/>
    <cellStyle name="Comma 2 2 9 2 3 2 5" xfId="8509" xr:uid="{00000000-0005-0000-0000-00008D4C0000}"/>
    <cellStyle name="Comma 2 2 9 2 3 2 5 2" xfId="31788" xr:uid="{00000000-0005-0000-0000-00008E4C0000}"/>
    <cellStyle name="Comma 2 2 9 2 3 2 6" xfId="10957" xr:uid="{00000000-0005-0000-0000-00008F4C0000}"/>
    <cellStyle name="Comma 2 2 9 2 3 2 6 2" xfId="34236" xr:uid="{00000000-0005-0000-0000-0000904C0000}"/>
    <cellStyle name="Comma 2 2 9 2 3 2 7" xfId="13405" xr:uid="{00000000-0005-0000-0000-0000914C0000}"/>
    <cellStyle name="Comma 2 2 9 2 3 2 7 2" xfId="36684" xr:uid="{00000000-0005-0000-0000-0000924C0000}"/>
    <cellStyle name="Comma 2 2 9 2 3 2 8" xfId="15876" xr:uid="{00000000-0005-0000-0000-0000934C0000}"/>
    <cellStyle name="Comma 2 2 9 2 3 2 8 2" xfId="39154" xr:uid="{00000000-0005-0000-0000-0000944C0000}"/>
    <cellStyle name="Comma 2 2 9 2 3 2 9" xfId="24444" xr:uid="{00000000-0005-0000-0000-0000954C0000}"/>
    <cellStyle name="Comma 2 2 9 2 3 3" xfId="1777" xr:uid="{00000000-0005-0000-0000-0000964C0000}"/>
    <cellStyle name="Comma 2 2 9 2 3 3 10" xfId="22608" xr:uid="{00000000-0005-0000-0000-0000974C0000}"/>
    <cellStyle name="Comma 2 2 9 2 3 3 2" xfId="4225" xr:uid="{00000000-0005-0000-0000-0000984C0000}"/>
    <cellStyle name="Comma 2 2 9 2 3 3 2 2" xfId="20160" xr:uid="{00000000-0005-0000-0000-0000994C0000}"/>
    <cellStyle name="Comma 2 2 9 2 3 3 2 2 2" xfId="43438" xr:uid="{00000000-0005-0000-0000-00009A4C0000}"/>
    <cellStyle name="Comma 2 2 9 2 3 3 2 3" xfId="48334" xr:uid="{00000000-0005-0000-0000-00009B4C0000}"/>
    <cellStyle name="Comma 2 2 9 2 3 3 2 4" xfId="27504" xr:uid="{00000000-0005-0000-0000-00009C4C0000}"/>
    <cellStyle name="Comma 2 2 9 2 3 3 3" xfId="6673" xr:uid="{00000000-0005-0000-0000-00009D4C0000}"/>
    <cellStyle name="Comma 2 2 9 2 3 3 3 2" xfId="29952" xr:uid="{00000000-0005-0000-0000-00009E4C0000}"/>
    <cellStyle name="Comma 2 2 9 2 3 3 4" xfId="9121" xr:uid="{00000000-0005-0000-0000-00009F4C0000}"/>
    <cellStyle name="Comma 2 2 9 2 3 3 4 2" xfId="32400" xr:uid="{00000000-0005-0000-0000-0000A04C0000}"/>
    <cellStyle name="Comma 2 2 9 2 3 3 5" xfId="11569" xr:uid="{00000000-0005-0000-0000-0000A14C0000}"/>
    <cellStyle name="Comma 2 2 9 2 3 3 5 2" xfId="34848" xr:uid="{00000000-0005-0000-0000-0000A24C0000}"/>
    <cellStyle name="Comma 2 2 9 2 3 3 6" xfId="14017" xr:uid="{00000000-0005-0000-0000-0000A34C0000}"/>
    <cellStyle name="Comma 2 2 9 2 3 3 6 2" xfId="37296" xr:uid="{00000000-0005-0000-0000-0000A44C0000}"/>
    <cellStyle name="Comma 2 2 9 2 3 3 7" xfId="17712" xr:uid="{00000000-0005-0000-0000-0000A54C0000}"/>
    <cellStyle name="Comma 2 2 9 2 3 3 7 2" xfId="40990" xr:uid="{00000000-0005-0000-0000-0000A64C0000}"/>
    <cellStyle name="Comma 2 2 9 2 3 3 8" xfId="25056" xr:uid="{00000000-0005-0000-0000-0000A74C0000}"/>
    <cellStyle name="Comma 2 2 9 2 3 3 9" xfId="45886" xr:uid="{00000000-0005-0000-0000-0000A84C0000}"/>
    <cellStyle name="Comma 2 2 9 2 3 4" xfId="3001" xr:uid="{00000000-0005-0000-0000-0000A94C0000}"/>
    <cellStyle name="Comma 2 2 9 2 3 4 2" xfId="16488" xr:uid="{00000000-0005-0000-0000-0000AA4C0000}"/>
    <cellStyle name="Comma 2 2 9 2 3 4 2 2" xfId="39766" xr:uid="{00000000-0005-0000-0000-0000AB4C0000}"/>
    <cellStyle name="Comma 2 2 9 2 3 4 3" xfId="47110" xr:uid="{00000000-0005-0000-0000-0000AC4C0000}"/>
    <cellStyle name="Comma 2 2 9 2 3 4 4" xfId="26280" xr:uid="{00000000-0005-0000-0000-0000AD4C0000}"/>
    <cellStyle name="Comma 2 2 9 2 3 5" xfId="5449" xr:uid="{00000000-0005-0000-0000-0000AE4C0000}"/>
    <cellStyle name="Comma 2 2 9 2 3 5 2" xfId="18936" xr:uid="{00000000-0005-0000-0000-0000AF4C0000}"/>
    <cellStyle name="Comma 2 2 9 2 3 5 2 2" xfId="42214" xr:uid="{00000000-0005-0000-0000-0000B04C0000}"/>
    <cellStyle name="Comma 2 2 9 2 3 5 3" xfId="28728" xr:uid="{00000000-0005-0000-0000-0000B14C0000}"/>
    <cellStyle name="Comma 2 2 9 2 3 6" xfId="7897" xr:uid="{00000000-0005-0000-0000-0000B24C0000}"/>
    <cellStyle name="Comma 2 2 9 2 3 6 2" xfId="31176" xr:uid="{00000000-0005-0000-0000-0000B34C0000}"/>
    <cellStyle name="Comma 2 2 9 2 3 7" xfId="10345" xr:uid="{00000000-0005-0000-0000-0000B44C0000}"/>
    <cellStyle name="Comma 2 2 9 2 3 7 2" xfId="33624" xr:uid="{00000000-0005-0000-0000-0000B54C0000}"/>
    <cellStyle name="Comma 2 2 9 2 3 8" xfId="12793" xr:uid="{00000000-0005-0000-0000-0000B64C0000}"/>
    <cellStyle name="Comma 2 2 9 2 3 8 2" xfId="36072" xr:uid="{00000000-0005-0000-0000-0000B74C0000}"/>
    <cellStyle name="Comma 2 2 9 2 3 9" xfId="15264" xr:uid="{00000000-0005-0000-0000-0000B84C0000}"/>
    <cellStyle name="Comma 2 2 9 2 3 9 2" xfId="38542" xr:uid="{00000000-0005-0000-0000-0000B94C0000}"/>
    <cellStyle name="Comma 2 2 9 2 4" xfId="757" xr:uid="{00000000-0005-0000-0000-0000BA4C0000}"/>
    <cellStyle name="Comma 2 2 9 2 4 10" xfId="44866" xr:uid="{00000000-0005-0000-0000-0000BB4C0000}"/>
    <cellStyle name="Comma 2 2 9 2 4 11" xfId="21588" xr:uid="{00000000-0005-0000-0000-0000BC4C0000}"/>
    <cellStyle name="Comma 2 2 9 2 4 2" xfId="1981" xr:uid="{00000000-0005-0000-0000-0000BD4C0000}"/>
    <cellStyle name="Comma 2 2 9 2 4 2 10" xfId="22812" xr:uid="{00000000-0005-0000-0000-0000BE4C0000}"/>
    <cellStyle name="Comma 2 2 9 2 4 2 2" xfId="4429" xr:uid="{00000000-0005-0000-0000-0000BF4C0000}"/>
    <cellStyle name="Comma 2 2 9 2 4 2 2 2" xfId="20364" xr:uid="{00000000-0005-0000-0000-0000C04C0000}"/>
    <cellStyle name="Comma 2 2 9 2 4 2 2 2 2" xfId="43642" xr:uid="{00000000-0005-0000-0000-0000C14C0000}"/>
    <cellStyle name="Comma 2 2 9 2 4 2 2 3" xfId="48538" xr:uid="{00000000-0005-0000-0000-0000C24C0000}"/>
    <cellStyle name="Comma 2 2 9 2 4 2 2 4" xfId="27708" xr:uid="{00000000-0005-0000-0000-0000C34C0000}"/>
    <cellStyle name="Comma 2 2 9 2 4 2 3" xfId="6877" xr:uid="{00000000-0005-0000-0000-0000C44C0000}"/>
    <cellStyle name="Comma 2 2 9 2 4 2 3 2" xfId="30156" xr:uid="{00000000-0005-0000-0000-0000C54C0000}"/>
    <cellStyle name="Comma 2 2 9 2 4 2 4" xfId="9325" xr:uid="{00000000-0005-0000-0000-0000C64C0000}"/>
    <cellStyle name="Comma 2 2 9 2 4 2 4 2" xfId="32604" xr:uid="{00000000-0005-0000-0000-0000C74C0000}"/>
    <cellStyle name="Comma 2 2 9 2 4 2 5" xfId="11773" xr:uid="{00000000-0005-0000-0000-0000C84C0000}"/>
    <cellStyle name="Comma 2 2 9 2 4 2 5 2" xfId="35052" xr:uid="{00000000-0005-0000-0000-0000C94C0000}"/>
    <cellStyle name="Comma 2 2 9 2 4 2 6" xfId="14221" xr:uid="{00000000-0005-0000-0000-0000CA4C0000}"/>
    <cellStyle name="Comma 2 2 9 2 4 2 6 2" xfId="37500" xr:uid="{00000000-0005-0000-0000-0000CB4C0000}"/>
    <cellStyle name="Comma 2 2 9 2 4 2 7" xfId="17916" xr:uid="{00000000-0005-0000-0000-0000CC4C0000}"/>
    <cellStyle name="Comma 2 2 9 2 4 2 7 2" xfId="41194" xr:uid="{00000000-0005-0000-0000-0000CD4C0000}"/>
    <cellStyle name="Comma 2 2 9 2 4 2 8" xfId="25260" xr:uid="{00000000-0005-0000-0000-0000CE4C0000}"/>
    <cellStyle name="Comma 2 2 9 2 4 2 9" xfId="46090" xr:uid="{00000000-0005-0000-0000-0000CF4C0000}"/>
    <cellStyle name="Comma 2 2 9 2 4 3" xfId="3205" xr:uid="{00000000-0005-0000-0000-0000D04C0000}"/>
    <cellStyle name="Comma 2 2 9 2 4 3 2" xfId="16692" xr:uid="{00000000-0005-0000-0000-0000D14C0000}"/>
    <cellStyle name="Comma 2 2 9 2 4 3 2 2" xfId="39970" xr:uid="{00000000-0005-0000-0000-0000D24C0000}"/>
    <cellStyle name="Comma 2 2 9 2 4 3 3" xfId="47314" xr:uid="{00000000-0005-0000-0000-0000D34C0000}"/>
    <cellStyle name="Comma 2 2 9 2 4 3 4" xfId="26484" xr:uid="{00000000-0005-0000-0000-0000D44C0000}"/>
    <cellStyle name="Comma 2 2 9 2 4 4" xfId="5653" xr:uid="{00000000-0005-0000-0000-0000D54C0000}"/>
    <cellStyle name="Comma 2 2 9 2 4 4 2" xfId="19140" xr:uid="{00000000-0005-0000-0000-0000D64C0000}"/>
    <cellStyle name="Comma 2 2 9 2 4 4 2 2" xfId="42418" xr:uid="{00000000-0005-0000-0000-0000D74C0000}"/>
    <cellStyle name="Comma 2 2 9 2 4 4 3" xfId="28932" xr:uid="{00000000-0005-0000-0000-0000D84C0000}"/>
    <cellStyle name="Comma 2 2 9 2 4 5" xfId="8101" xr:uid="{00000000-0005-0000-0000-0000D94C0000}"/>
    <cellStyle name="Comma 2 2 9 2 4 5 2" xfId="31380" xr:uid="{00000000-0005-0000-0000-0000DA4C0000}"/>
    <cellStyle name="Comma 2 2 9 2 4 6" xfId="10549" xr:uid="{00000000-0005-0000-0000-0000DB4C0000}"/>
    <cellStyle name="Comma 2 2 9 2 4 6 2" xfId="33828" xr:uid="{00000000-0005-0000-0000-0000DC4C0000}"/>
    <cellStyle name="Comma 2 2 9 2 4 7" xfId="12997" xr:uid="{00000000-0005-0000-0000-0000DD4C0000}"/>
    <cellStyle name="Comma 2 2 9 2 4 7 2" xfId="36276" xr:uid="{00000000-0005-0000-0000-0000DE4C0000}"/>
    <cellStyle name="Comma 2 2 9 2 4 8" xfId="15468" xr:uid="{00000000-0005-0000-0000-0000DF4C0000}"/>
    <cellStyle name="Comma 2 2 9 2 4 8 2" xfId="38746" xr:uid="{00000000-0005-0000-0000-0000E04C0000}"/>
    <cellStyle name="Comma 2 2 9 2 4 9" xfId="24036" xr:uid="{00000000-0005-0000-0000-0000E14C0000}"/>
    <cellStyle name="Comma 2 2 9 2 5" xfId="1369" xr:uid="{00000000-0005-0000-0000-0000E24C0000}"/>
    <cellStyle name="Comma 2 2 9 2 5 10" xfId="22200" xr:uid="{00000000-0005-0000-0000-0000E34C0000}"/>
    <cellStyle name="Comma 2 2 9 2 5 2" xfId="3817" xr:uid="{00000000-0005-0000-0000-0000E44C0000}"/>
    <cellStyle name="Comma 2 2 9 2 5 2 2" xfId="19752" xr:uid="{00000000-0005-0000-0000-0000E54C0000}"/>
    <cellStyle name="Comma 2 2 9 2 5 2 2 2" xfId="43030" xr:uid="{00000000-0005-0000-0000-0000E64C0000}"/>
    <cellStyle name="Comma 2 2 9 2 5 2 3" xfId="47926" xr:uid="{00000000-0005-0000-0000-0000E74C0000}"/>
    <cellStyle name="Comma 2 2 9 2 5 2 4" xfId="27096" xr:uid="{00000000-0005-0000-0000-0000E84C0000}"/>
    <cellStyle name="Comma 2 2 9 2 5 3" xfId="6265" xr:uid="{00000000-0005-0000-0000-0000E94C0000}"/>
    <cellStyle name="Comma 2 2 9 2 5 3 2" xfId="29544" xr:uid="{00000000-0005-0000-0000-0000EA4C0000}"/>
    <cellStyle name="Comma 2 2 9 2 5 4" xfId="8713" xr:uid="{00000000-0005-0000-0000-0000EB4C0000}"/>
    <cellStyle name="Comma 2 2 9 2 5 4 2" xfId="31992" xr:uid="{00000000-0005-0000-0000-0000EC4C0000}"/>
    <cellStyle name="Comma 2 2 9 2 5 5" xfId="11161" xr:uid="{00000000-0005-0000-0000-0000ED4C0000}"/>
    <cellStyle name="Comma 2 2 9 2 5 5 2" xfId="34440" xr:uid="{00000000-0005-0000-0000-0000EE4C0000}"/>
    <cellStyle name="Comma 2 2 9 2 5 6" xfId="13609" xr:uid="{00000000-0005-0000-0000-0000EF4C0000}"/>
    <cellStyle name="Comma 2 2 9 2 5 6 2" xfId="36888" xr:uid="{00000000-0005-0000-0000-0000F04C0000}"/>
    <cellStyle name="Comma 2 2 9 2 5 7" xfId="17304" xr:uid="{00000000-0005-0000-0000-0000F14C0000}"/>
    <cellStyle name="Comma 2 2 9 2 5 7 2" xfId="40582" xr:uid="{00000000-0005-0000-0000-0000F24C0000}"/>
    <cellStyle name="Comma 2 2 9 2 5 8" xfId="24648" xr:uid="{00000000-0005-0000-0000-0000F34C0000}"/>
    <cellStyle name="Comma 2 2 9 2 5 9" xfId="45478" xr:uid="{00000000-0005-0000-0000-0000F44C0000}"/>
    <cellStyle name="Comma 2 2 9 2 6" xfId="2593" xr:uid="{00000000-0005-0000-0000-0000F54C0000}"/>
    <cellStyle name="Comma 2 2 9 2 6 2" xfId="16080" xr:uid="{00000000-0005-0000-0000-0000F64C0000}"/>
    <cellStyle name="Comma 2 2 9 2 6 2 2" xfId="39358" xr:uid="{00000000-0005-0000-0000-0000F74C0000}"/>
    <cellStyle name="Comma 2 2 9 2 6 3" xfId="46702" xr:uid="{00000000-0005-0000-0000-0000F84C0000}"/>
    <cellStyle name="Comma 2 2 9 2 6 4" xfId="25872" xr:uid="{00000000-0005-0000-0000-0000F94C0000}"/>
    <cellStyle name="Comma 2 2 9 2 7" xfId="5041" xr:uid="{00000000-0005-0000-0000-0000FA4C0000}"/>
    <cellStyle name="Comma 2 2 9 2 7 2" xfId="18528" xr:uid="{00000000-0005-0000-0000-0000FB4C0000}"/>
    <cellStyle name="Comma 2 2 9 2 7 2 2" xfId="41806" xr:uid="{00000000-0005-0000-0000-0000FC4C0000}"/>
    <cellStyle name="Comma 2 2 9 2 7 3" xfId="28320" xr:uid="{00000000-0005-0000-0000-0000FD4C0000}"/>
    <cellStyle name="Comma 2 2 9 2 8" xfId="7489" xr:uid="{00000000-0005-0000-0000-0000FE4C0000}"/>
    <cellStyle name="Comma 2 2 9 2 8 2" xfId="30768" xr:uid="{00000000-0005-0000-0000-0000FF4C0000}"/>
    <cellStyle name="Comma 2 2 9 2 9" xfId="9937" xr:uid="{00000000-0005-0000-0000-0000004D0000}"/>
    <cellStyle name="Comma 2 2 9 2 9 2" xfId="33216" xr:uid="{00000000-0005-0000-0000-0000014D0000}"/>
    <cellStyle name="Comma 2 2 9 3" xfId="213" xr:uid="{00000000-0005-0000-0000-0000024D0000}"/>
    <cellStyle name="Comma 2 2 9 3 10" xfId="12453" xr:uid="{00000000-0005-0000-0000-0000034D0000}"/>
    <cellStyle name="Comma 2 2 9 3 10 2" xfId="35732" xr:uid="{00000000-0005-0000-0000-0000044D0000}"/>
    <cellStyle name="Comma 2 2 9 3 11" xfId="14924" xr:uid="{00000000-0005-0000-0000-0000054D0000}"/>
    <cellStyle name="Comma 2 2 9 3 11 2" xfId="38202" xr:uid="{00000000-0005-0000-0000-0000064D0000}"/>
    <cellStyle name="Comma 2 2 9 3 12" xfId="23492" xr:uid="{00000000-0005-0000-0000-0000074D0000}"/>
    <cellStyle name="Comma 2 2 9 3 13" xfId="44322" xr:uid="{00000000-0005-0000-0000-0000084D0000}"/>
    <cellStyle name="Comma 2 2 9 3 14" xfId="21044" xr:uid="{00000000-0005-0000-0000-0000094D0000}"/>
    <cellStyle name="Comma 2 2 9 3 2" xfId="417" xr:uid="{00000000-0005-0000-0000-00000A4D0000}"/>
    <cellStyle name="Comma 2 2 9 3 2 10" xfId="23696" xr:uid="{00000000-0005-0000-0000-00000B4D0000}"/>
    <cellStyle name="Comma 2 2 9 3 2 11" xfId="44526" xr:uid="{00000000-0005-0000-0000-00000C4D0000}"/>
    <cellStyle name="Comma 2 2 9 3 2 12" xfId="21248" xr:uid="{00000000-0005-0000-0000-00000D4D0000}"/>
    <cellStyle name="Comma 2 2 9 3 2 2" xfId="1029" xr:uid="{00000000-0005-0000-0000-00000E4D0000}"/>
    <cellStyle name="Comma 2 2 9 3 2 2 10" xfId="45138" xr:uid="{00000000-0005-0000-0000-00000F4D0000}"/>
    <cellStyle name="Comma 2 2 9 3 2 2 11" xfId="21860" xr:uid="{00000000-0005-0000-0000-0000104D0000}"/>
    <cellStyle name="Comma 2 2 9 3 2 2 2" xfId="2253" xr:uid="{00000000-0005-0000-0000-0000114D0000}"/>
    <cellStyle name="Comma 2 2 9 3 2 2 2 10" xfId="23084" xr:uid="{00000000-0005-0000-0000-0000124D0000}"/>
    <cellStyle name="Comma 2 2 9 3 2 2 2 2" xfId="4701" xr:uid="{00000000-0005-0000-0000-0000134D0000}"/>
    <cellStyle name="Comma 2 2 9 3 2 2 2 2 2" xfId="20636" xr:uid="{00000000-0005-0000-0000-0000144D0000}"/>
    <cellStyle name="Comma 2 2 9 3 2 2 2 2 2 2" xfId="43914" xr:uid="{00000000-0005-0000-0000-0000154D0000}"/>
    <cellStyle name="Comma 2 2 9 3 2 2 2 2 3" xfId="48810" xr:uid="{00000000-0005-0000-0000-0000164D0000}"/>
    <cellStyle name="Comma 2 2 9 3 2 2 2 2 4" xfId="27980" xr:uid="{00000000-0005-0000-0000-0000174D0000}"/>
    <cellStyle name="Comma 2 2 9 3 2 2 2 3" xfId="7149" xr:uid="{00000000-0005-0000-0000-0000184D0000}"/>
    <cellStyle name="Comma 2 2 9 3 2 2 2 3 2" xfId="30428" xr:uid="{00000000-0005-0000-0000-0000194D0000}"/>
    <cellStyle name="Comma 2 2 9 3 2 2 2 4" xfId="9597" xr:uid="{00000000-0005-0000-0000-00001A4D0000}"/>
    <cellStyle name="Comma 2 2 9 3 2 2 2 4 2" xfId="32876" xr:uid="{00000000-0005-0000-0000-00001B4D0000}"/>
    <cellStyle name="Comma 2 2 9 3 2 2 2 5" xfId="12045" xr:uid="{00000000-0005-0000-0000-00001C4D0000}"/>
    <cellStyle name="Comma 2 2 9 3 2 2 2 5 2" xfId="35324" xr:uid="{00000000-0005-0000-0000-00001D4D0000}"/>
    <cellStyle name="Comma 2 2 9 3 2 2 2 6" xfId="14493" xr:uid="{00000000-0005-0000-0000-00001E4D0000}"/>
    <cellStyle name="Comma 2 2 9 3 2 2 2 6 2" xfId="37772" xr:uid="{00000000-0005-0000-0000-00001F4D0000}"/>
    <cellStyle name="Comma 2 2 9 3 2 2 2 7" xfId="18188" xr:uid="{00000000-0005-0000-0000-0000204D0000}"/>
    <cellStyle name="Comma 2 2 9 3 2 2 2 7 2" xfId="41466" xr:uid="{00000000-0005-0000-0000-0000214D0000}"/>
    <cellStyle name="Comma 2 2 9 3 2 2 2 8" xfId="25532" xr:uid="{00000000-0005-0000-0000-0000224D0000}"/>
    <cellStyle name="Comma 2 2 9 3 2 2 2 9" xfId="46362" xr:uid="{00000000-0005-0000-0000-0000234D0000}"/>
    <cellStyle name="Comma 2 2 9 3 2 2 3" xfId="3477" xr:uid="{00000000-0005-0000-0000-0000244D0000}"/>
    <cellStyle name="Comma 2 2 9 3 2 2 3 2" xfId="16964" xr:uid="{00000000-0005-0000-0000-0000254D0000}"/>
    <cellStyle name="Comma 2 2 9 3 2 2 3 2 2" xfId="40242" xr:uid="{00000000-0005-0000-0000-0000264D0000}"/>
    <cellStyle name="Comma 2 2 9 3 2 2 3 3" xfId="47586" xr:uid="{00000000-0005-0000-0000-0000274D0000}"/>
    <cellStyle name="Comma 2 2 9 3 2 2 3 4" xfId="26756" xr:uid="{00000000-0005-0000-0000-0000284D0000}"/>
    <cellStyle name="Comma 2 2 9 3 2 2 4" xfId="5925" xr:uid="{00000000-0005-0000-0000-0000294D0000}"/>
    <cellStyle name="Comma 2 2 9 3 2 2 4 2" xfId="19412" xr:uid="{00000000-0005-0000-0000-00002A4D0000}"/>
    <cellStyle name="Comma 2 2 9 3 2 2 4 2 2" xfId="42690" xr:uid="{00000000-0005-0000-0000-00002B4D0000}"/>
    <cellStyle name="Comma 2 2 9 3 2 2 4 3" xfId="29204" xr:uid="{00000000-0005-0000-0000-00002C4D0000}"/>
    <cellStyle name="Comma 2 2 9 3 2 2 5" xfId="8373" xr:uid="{00000000-0005-0000-0000-00002D4D0000}"/>
    <cellStyle name="Comma 2 2 9 3 2 2 5 2" xfId="31652" xr:uid="{00000000-0005-0000-0000-00002E4D0000}"/>
    <cellStyle name="Comma 2 2 9 3 2 2 6" xfId="10821" xr:uid="{00000000-0005-0000-0000-00002F4D0000}"/>
    <cellStyle name="Comma 2 2 9 3 2 2 6 2" xfId="34100" xr:uid="{00000000-0005-0000-0000-0000304D0000}"/>
    <cellStyle name="Comma 2 2 9 3 2 2 7" xfId="13269" xr:uid="{00000000-0005-0000-0000-0000314D0000}"/>
    <cellStyle name="Comma 2 2 9 3 2 2 7 2" xfId="36548" xr:uid="{00000000-0005-0000-0000-0000324D0000}"/>
    <cellStyle name="Comma 2 2 9 3 2 2 8" xfId="15740" xr:uid="{00000000-0005-0000-0000-0000334D0000}"/>
    <cellStyle name="Comma 2 2 9 3 2 2 8 2" xfId="39018" xr:uid="{00000000-0005-0000-0000-0000344D0000}"/>
    <cellStyle name="Comma 2 2 9 3 2 2 9" xfId="24308" xr:uid="{00000000-0005-0000-0000-0000354D0000}"/>
    <cellStyle name="Comma 2 2 9 3 2 3" xfId="1641" xr:uid="{00000000-0005-0000-0000-0000364D0000}"/>
    <cellStyle name="Comma 2 2 9 3 2 3 10" xfId="22472" xr:uid="{00000000-0005-0000-0000-0000374D0000}"/>
    <cellStyle name="Comma 2 2 9 3 2 3 2" xfId="4089" xr:uid="{00000000-0005-0000-0000-0000384D0000}"/>
    <cellStyle name="Comma 2 2 9 3 2 3 2 2" xfId="20024" xr:uid="{00000000-0005-0000-0000-0000394D0000}"/>
    <cellStyle name="Comma 2 2 9 3 2 3 2 2 2" xfId="43302" xr:uid="{00000000-0005-0000-0000-00003A4D0000}"/>
    <cellStyle name="Comma 2 2 9 3 2 3 2 3" xfId="48198" xr:uid="{00000000-0005-0000-0000-00003B4D0000}"/>
    <cellStyle name="Comma 2 2 9 3 2 3 2 4" xfId="27368" xr:uid="{00000000-0005-0000-0000-00003C4D0000}"/>
    <cellStyle name="Comma 2 2 9 3 2 3 3" xfId="6537" xr:uid="{00000000-0005-0000-0000-00003D4D0000}"/>
    <cellStyle name="Comma 2 2 9 3 2 3 3 2" xfId="29816" xr:uid="{00000000-0005-0000-0000-00003E4D0000}"/>
    <cellStyle name="Comma 2 2 9 3 2 3 4" xfId="8985" xr:uid="{00000000-0005-0000-0000-00003F4D0000}"/>
    <cellStyle name="Comma 2 2 9 3 2 3 4 2" xfId="32264" xr:uid="{00000000-0005-0000-0000-0000404D0000}"/>
    <cellStyle name="Comma 2 2 9 3 2 3 5" xfId="11433" xr:uid="{00000000-0005-0000-0000-0000414D0000}"/>
    <cellStyle name="Comma 2 2 9 3 2 3 5 2" xfId="34712" xr:uid="{00000000-0005-0000-0000-0000424D0000}"/>
    <cellStyle name="Comma 2 2 9 3 2 3 6" xfId="13881" xr:uid="{00000000-0005-0000-0000-0000434D0000}"/>
    <cellStyle name="Comma 2 2 9 3 2 3 6 2" xfId="37160" xr:uid="{00000000-0005-0000-0000-0000444D0000}"/>
    <cellStyle name="Comma 2 2 9 3 2 3 7" xfId="17576" xr:uid="{00000000-0005-0000-0000-0000454D0000}"/>
    <cellStyle name="Comma 2 2 9 3 2 3 7 2" xfId="40854" xr:uid="{00000000-0005-0000-0000-0000464D0000}"/>
    <cellStyle name="Comma 2 2 9 3 2 3 8" xfId="24920" xr:uid="{00000000-0005-0000-0000-0000474D0000}"/>
    <cellStyle name="Comma 2 2 9 3 2 3 9" xfId="45750" xr:uid="{00000000-0005-0000-0000-0000484D0000}"/>
    <cellStyle name="Comma 2 2 9 3 2 4" xfId="2865" xr:uid="{00000000-0005-0000-0000-0000494D0000}"/>
    <cellStyle name="Comma 2 2 9 3 2 4 2" xfId="16352" xr:uid="{00000000-0005-0000-0000-00004A4D0000}"/>
    <cellStyle name="Comma 2 2 9 3 2 4 2 2" xfId="39630" xr:uid="{00000000-0005-0000-0000-00004B4D0000}"/>
    <cellStyle name="Comma 2 2 9 3 2 4 3" xfId="46974" xr:uid="{00000000-0005-0000-0000-00004C4D0000}"/>
    <cellStyle name="Comma 2 2 9 3 2 4 4" xfId="26144" xr:uid="{00000000-0005-0000-0000-00004D4D0000}"/>
    <cellStyle name="Comma 2 2 9 3 2 5" xfId="5313" xr:uid="{00000000-0005-0000-0000-00004E4D0000}"/>
    <cellStyle name="Comma 2 2 9 3 2 5 2" xfId="18800" xr:uid="{00000000-0005-0000-0000-00004F4D0000}"/>
    <cellStyle name="Comma 2 2 9 3 2 5 2 2" xfId="42078" xr:uid="{00000000-0005-0000-0000-0000504D0000}"/>
    <cellStyle name="Comma 2 2 9 3 2 5 3" xfId="28592" xr:uid="{00000000-0005-0000-0000-0000514D0000}"/>
    <cellStyle name="Comma 2 2 9 3 2 6" xfId="7761" xr:uid="{00000000-0005-0000-0000-0000524D0000}"/>
    <cellStyle name="Comma 2 2 9 3 2 6 2" xfId="31040" xr:uid="{00000000-0005-0000-0000-0000534D0000}"/>
    <cellStyle name="Comma 2 2 9 3 2 7" xfId="10209" xr:uid="{00000000-0005-0000-0000-0000544D0000}"/>
    <cellStyle name="Comma 2 2 9 3 2 7 2" xfId="33488" xr:uid="{00000000-0005-0000-0000-0000554D0000}"/>
    <cellStyle name="Comma 2 2 9 3 2 8" xfId="12657" xr:uid="{00000000-0005-0000-0000-0000564D0000}"/>
    <cellStyle name="Comma 2 2 9 3 2 8 2" xfId="35936" xr:uid="{00000000-0005-0000-0000-0000574D0000}"/>
    <cellStyle name="Comma 2 2 9 3 2 9" xfId="15128" xr:uid="{00000000-0005-0000-0000-0000584D0000}"/>
    <cellStyle name="Comma 2 2 9 3 2 9 2" xfId="38406" xr:uid="{00000000-0005-0000-0000-0000594D0000}"/>
    <cellStyle name="Comma 2 2 9 3 3" xfId="621" xr:uid="{00000000-0005-0000-0000-00005A4D0000}"/>
    <cellStyle name="Comma 2 2 9 3 3 10" xfId="23900" xr:uid="{00000000-0005-0000-0000-00005B4D0000}"/>
    <cellStyle name="Comma 2 2 9 3 3 11" xfId="44730" xr:uid="{00000000-0005-0000-0000-00005C4D0000}"/>
    <cellStyle name="Comma 2 2 9 3 3 12" xfId="21452" xr:uid="{00000000-0005-0000-0000-00005D4D0000}"/>
    <cellStyle name="Comma 2 2 9 3 3 2" xfId="1233" xr:uid="{00000000-0005-0000-0000-00005E4D0000}"/>
    <cellStyle name="Comma 2 2 9 3 3 2 10" xfId="45342" xr:uid="{00000000-0005-0000-0000-00005F4D0000}"/>
    <cellStyle name="Comma 2 2 9 3 3 2 11" xfId="22064" xr:uid="{00000000-0005-0000-0000-0000604D0000}"/>
    <cellStyle name="Comma 2 2 9 3 3 2 2" xfId="2457" xr:uid="{00000000-0005-0000-0000-0000614D0000}"/>
    <cellStyle name="Comma 2 2 9 3 3 2 2 10" xfId="23288" xr:uid="{00000000-0005-0000-0000-0000624D0000}"/>
    <cellStyle name="Comma 2 2 9 3 3 2 2 2" xfId="4905" xr:uid="{00000000-0005-0000-0000-0000634D0000}"/>
    <cellStyle name="Comma 2 2 9 3 3 2 2 2 2" xfId="20840" xr:uid="{00000000-0005-0000-0000-0000644D0000}"/>
    <cellStyle name="Comma 2 2 9 3 3 2 2 2 2 2" xfId="44118" xr:uid="{00000000-0005-0000-0000-0000654D0000}"/>
    <cellStyle name="Comma 2 2 9 3 3 2 2 2 3" xfId="49014" xr:uid="{00000000-0005-0000-0000-0000664D0000}"/>
    <cellStyle name="Comma 2 2 9 3 3 2 2 2 4" xfId="28184" xr:uid="{00000000-0005-0000-0000-0000674D0000}"/>
    <cellStyle name="Comma 2 2 9 3 3 2 2 3" xfId="7353" xr:uid="{00000000-0005-0000-0000-0000684D0000}"/>
    <cellStyle name="Comma 2 2 9 3 3 2 2 3 2" xfId="30632" xr:uid="{00000000-0005-0000-0000-0000694D0000}"/>
    <cellStyle name="Comma 2 2 9 3 3 2 2 4" xfId="9801" xr:uid="{00000000-0005-0000-0000-00006A4D0000}"/>
    <cellStyle name="Comma 2 2 9 3 3 2 2 4 2" xfId="33080" xr:uid="{00000000-0005-0000-0000-00006B4D0000}"/>
    <cellStyle name="Comma 2 2 9 3 3 2 2 5" xfId="12249" xr:uid="{00000000-0005-0000-0000-00006C4D0000}"/>
    <cellStyle name="Comma 2 2 9 3 3 2 2 5 2" xfId="35528" xr:uid="{00000000-0005-0000-0000-00006D4D0000}"/>
    <cellStyle name="Comma 2 2 9 3 3 2 2 6" xfId="14697" xr:uid="{00000000-0005-0000-0000-00006E4D0000}"/>
    <cellStyle name="Comma 2 2 9 3 3 2 2 6 2" xfId="37976" xr:uid="{00000000-0005-0000-0000-00006F4D0000}"/>
    <cellStyle name="Comma 2 2 9 3 3 2 2 7" xfId="18392" xr:uid="{00000000-0005-0000-0000-0000704D0000}"/>
    <cellStyle name="Comma 2 2 9 3 3 2 2 7 2" xfId="41670" xr:uid="{00000000-0005-0000-0000-0000714D0000}"/>
    <cellStyle name="Comma 2 2 9 3 3 2 2 8" xfId="25736" xr:uid="{00000000-0005-0000-0000-0000724D0000}"/>
    <cellStyle name="Comma 2 2 9 3 3 2 2 9" xfId="46566" xr:uid="{00000000-0005-0000-0000-0000734D0000}"/>
    <cellStyle name="Comma 2 2 9 3 3 2 3" xfId="3681" xr:uid="{00000000-0005-0000-0000-0000744D0000}"/>
    <cellStyle name="Comma 2 2 9 3 3 2 3 2" xfId="17168" xr:uid="{00000000-0005-0000-0000-0000754D0000}"/>
    <cellStyle name="Comma 2 2 9 3 3 2 3 2 2" xfId="40446" xr:uid="{00000000-0005-0000-0000-0000764D0000}"/>
    <cellStyle name="Comma 2 2 9 3 3 2 3 3" xfId="47790" xr:uid="{00000000-0005-0000-0000-0000774D0000}"/>
    <cellStyle name="Comma 2 2 9 3 3 2 3 4" xfId="26960" xr:uid="{00000000-0005-0000-0000-0000784D0000}"/>
    <cellStyle name="Comma 2 2 9 3 3 2 4" xfId="6129" xr:uid="{00000000-0005-0000-0000-0000794D0000}"/>
    <cellStyle name="Comma 2 2 9 3 3 2 4 2" xfId="19616" xr:uid="{00000000-0005-0000-0000-00007A4D0000}"/>
    <cellStyle name="Comma 2 2 9 3 3 2 4 2 2" xfId="42894" xr:uid="{00000000-0005-0000-0000-00007B4D0000}"/>
    <cellStyle name="Comma 2 2 9 3 3 2 4 3" xfId="29408" xr:uid="{00000000-0005-0000-0000-00007C4D0000}"/>
    <cellStyle name="Comma 2 2 9 3 3 2 5" xfId="8577" xr:uid="{00000000-0005-0000-0000-00007D4D0000}"/>
    <cellStyle name="Comma 2 2 9 3 3 2 5 2" xfId="31856" xr:uid="{00000000-0005-0000-0000-00007E4D0000}"/>
    <cellStyle name="Comma 2 2 9 3 3 2 6" xfId="11025" xr:uid="{00000000-0005-0000-0000-00007F4D0000}"/>
    <cellStyle name="Comma 2 2 9 3 3 2 6 2" xfId="34304" xr:uid="{00000000-0005-0000-0000-0000804D0000}"/>
    <cellStyle name="Comma 2 2 9 3 3 2 7" xfId="13473" xr:uid="{00000000-0005-0000-0000-0000814D0000}"/>
    <cellStyle name="Comma 2 2 9 3 3 2 7 2" xfId="36752" xr:uid="{00000000-0005-0000-0000-0000824D0000}"/>
    <cellStyle name="Comma 2 2 9 3 3 2 8" xfId="15944" xr:uid="{00000000-0005-0000-0000-0000834D0000}"/>
    <cellStyle name="Comma 2 2 9 3 3 2 8 2" xfId="39222" xr:uid="{00000000-0005-0000-0000-0000844D0000}"/>
    <cellStyle name="Comma 2 2 9 3 3 2 9" xfId="24512" xr:uid="{00000000-0005-0000-0000-0000854D0000}"/>
    <cellStyle name="Comma 2 2 9 3 3 3" xfId="1845" xr:uid="{00000000-0005-0000-0000-0000864D0000}"/>
    <cellStyle name="Comma 2 2 9 3 3 3 10" xfId="22676" xr:uid="{00000000-0005-0000-0000-0000874D0000}"/>
    <cellStyle name="Comma 2 2 9 3 3 3 2" xfId="4293" xr:uid="{00000000-0005-0000-0000-0000884D0000}"/>
    <cellStyle name="Comma 2 2 9 3 3 3 2 2" xfId="20228" xr:uid="{00000000-0005-0000-0000-0000894D0000}"/>
    <cellStyle name="Comma 2 2 9 3 3 3 2 2 2" xfId="43506" xr:uid="{00000000-0005-0000-0000-00008A4D0000}"/>
    <cellStyle name="Comma 2 2 9 3 3 3 2 3" xfId="48402" xr:uid="{00000000-0005-0000-0000-00008B4D0000}"/>
    <cellStyle name="Comma 2 2 9 3 3 3 2 4" xfId="27572" xr:uid="{00000000-0005-0000-0000-00008C4D0000}"/>
    <cellStyle name="Comma 2 2 9 3 3 3 3" xfId="6741" xr:uid="{00000000-0005-0000-0000-00008D4D0000}"/>
    <cellStyle name="Comma 2 2 9 3 3 3 3 2" xfId="30020" xr:uid="{00000000-0005-0000-0000-00008E4D0000}"/>
    <cellStyle name="Comma 2 2 9 3 3 3 4" xfId="9189" xr:uid="{00000000-0005-0000-0000-00008F4D0000}"/>
    <cellStyle name="Comma 2 2 9 3 3 3 4 2" xfId="32468" xr:uid="{00000000-0005-0000-0000-0000904D0000}"/>
    <cellStyle name="Comma 2 2 9 3 3 3 5" xfId="11637" xr:uid="{00000000-0005-0000-0000-0000914D0000}"/>
    <cellStyle name="Comma 2 2 9 3 3 3 5 2" xfId="34916" xr:uid="{00000000-0005-0000-0000-0000924D0000}"/>
    <cellStyle name="Comma 2 2 9 3 3 3 6" xfId="14085" xr:uid="{00000000-0005-0000-0000-0000934D0000}"/>
    <cellStyle name="Comma 2 2 9 3 3 3 6 2" xfId="37364" xr:uid="{00000000-0005-0000-0000-0000944D0000}"/>
    <cellStyle name="Comma 2 2 9 3 3 3 7" xfId="17780" xr:uid="{00000000-0005-0000-0000-0000954D0000}"/>
    <cellStyle name="Comma 2 2 9 3 3 3 7 2" xfId="41058" xr:uid="{00000000-0005-0000-0000-0000964D0000}"/>
    <cellStyle name="Comma 2 2 9 3 3 3 8" xfId="25124" xr:uid="{00000000-0005-0000-0000-0000974D0000}"/>
    <cellStyle name="Comma 2 2 9 3 3 3 9" xfId="45954" xr:uid="{00000000-0005-0000-0000-0000984D0000}"/>
    <cellStyle name="Comma 2 2 9 3 3 4" xfId="3069" xr:uid="{00000000-0005-0000-0000-0000994D0000}"/>
    <cellStyle name="Comma 2 2 9 3 3 4 2" xfId="16556" xr:uid="{00000000-0005-0000-0000-00009A4D0000}"/>
    <cellStyle name="Comma 2 2 9 3 3 4 2 2" xfId="39834" xr:uid="{00000000-0005-0000-0000-00009B4D0000}"/>
    <cellStyle name="Comma 2 2 9 3 3 4 3" xfId="47178" xr:uid="{00000000-0005-0000-0000-00009C4D0000}"/>
    <cellStyle name="Comma 2 2 9 3 3 4 4" xfId="26348" xr:uid="{00000000-0005-0000-0000-00009D4D0000}"/>
    <cellStyle name="Comma 2 2 9 3 3 5" xfId="5517" xr:uid="{00000000-0005-0000-0000-00009E4D0000}"/>
    <cellStyle name="Comma 2 2 9 3 3 5 2" xfId="19004" xr:uid="{00000000-0005-0000-0000-00009F4D0000}"/>
    <cellStyle name="Comma 2 2 9 3 3 5 2 2" xfId="42282" xr:uid="{00000000-0005-0000-0000-0000A04D0000}"/>
    <cellStyle name="Comma 2 2 9 3 3 5 3" xfId="28796" xr:uid="{00000000-0005-0000-0000-0000A14D0000}"/>
    <cellStyle name="Comma 2 2 9 3 3 6" xfId="7965" xr:uid="{00000000-0005-0000-0000-0000A24D0000}"/>
    <cellStyle name="Comma 2 2 9 3 3 6 2" xfId="31244" xr:uid="{00000000-0005-0000-0000-0000A34D0000}"/>
    <cellStyle name="Comma 2 2 9 3 3 7" xfId="10413" xr:uid="{00000000-0005-0000-0000-0000A44D0000}"/>
    <cellStyle name="Comma 2 2 9 3 3 7 2" xfId="33692" xr:uid="{00000000-0005-0000-0000-0000A54D0000}"/>
    <cellStyle name="Comma 2 2 9 3 3 8" xfId="12861" xr:uid="{00000000-0005-0000-0000-0000A64D0000}"/>
    <cellStyle name="Comma 2 2 9 3 3 8 2" xfId="36140" xr:uid="{00000000-0005-0000-0000-0000A74D0000}"/>
    <cellStyle name="Comma 2 2 9 3 3 9" xfId="15332" xr:uid="{00000000-0005-0000-0000-0000A84D0000}"/>
    <cellStyle name="Comma 2 2 9 3 3 9 2" xfId="38610" xr:uid="{00000000-0005-0000-0000-0000A94D0000}"/>
    <cellStyle name="Comma 2 2 9 3 4" xfId="825" xr:uid="{00000000-0005-0000-0000-0000AA4D0000}"/>
    <cellStyle name="Comma 2 2 9 3 4 10" xfId="44934" xr:uid="{00000000-0005-0000-0000-0000AB4D0000}"/>
    <cellStyle name="Comma 2 2 9 3 4 11" xfId="21656" xr:uid="{00000000-0005-0000-0000-0000AC4D0000}"/>
    <cellStyle name="Comma 2 2 9 3 4 2" xfId="2049" xr:uid="{00000000-0005-0000-0000-0000AD4D0000}"/>
    <cellStyle name="Comma 2 2 9 3 4 2 10" xfId="22880" xr:uid="{00000000-0005-0000-0000-0000AE4D0000}"/>
    <cellStyle name="Comma 2 2 9 3 4 2 2" xfId="4497" xr:uid="{00000000-0005-0000-0000-0000AF4D0000}"/>
    <cellStyle name="Comma 2 2 9 3 4 2 2 2" xfId="20432" xr:uid="{00000000-0005-0000-0000-0000B04D0000}"/>
    <cellStyle name="Comma 2 2 9 3 4 2 2 2 2" xfId="43710" xr:uid="{00000000-0005-0000-0000-0000B14D0000}"/>
    <cellStyle name="Comma 2 2 9 3 4 2 2 3" xfId="48606" xr:uid="{00000000-0005-0000-0000-0000B24D0000}"/>
    <cellStyle name="Comma 2 2 9 3 4 2 2 4" xfId="27776" xr:uid="{00000000-0005-0000-0000-0000B34D0000}"/>
    <cellStyle name="Comma 2 2 9 3 4 2 3" xfId="6945" xr:uid="{00000000-0005-0000-0000-0000B44D0000}"/>
    <cellStyle name="Comma 2 2 9 3 4 2 3 2" xfId="30224" xr:uid="{00000000-0005-0000-0000-0000B54D0000}"/>
    <cellStyle name="Comma 2 2 9 3 4 2 4" xfId="9393" xr:uid="{00000000-0005-0000-0000-0000B64D0000}"/>
    <cellStyle name="Comma 2 2 9 3 4 2 4 2" xfId="32672" xr:uid="{00000000-0005-0000-0000-0000B74D0000}"/>
    <cellStyle name="Comma 2 2 9 3 4 2 5" xfId="11841" xr:uid="{00000000-0005-0000-0000-0000B84D0000}"/>
    <cellStyle name="Comma 2 2 9 3 4 2 5 2" xfId="35120" xr:uid="{00000000-0005-0000-0000-0000B94D0000}"/>
    <cellStyle name="Comma 2 2 9 3 4 2 6" xfId="14289" xr:uid="{00000000-0005-0000-0000-0000BA4D0000}"/>
    <cellStyle name="Comma 2 2 9 3 4 2 6 2" xfId="37568" xr:uid="{00000000-0005-0000-0000-0000BB4D0000}"/>
    <cellStyle name="Comma 2 2 9 3 4 2 7" xfId="17984" xr:uid="{00000000-0005-0000-0000-0000BC4D0000}"/>
    <cellStyle name="Comma 2 2 9 3 4 2 7 2" xfId="41262" xr:uid="{00000000-0005-0000-0000-0000BD4D0000}"/>
    <cellStyle name="Comma 2 2 9 3 4 2 8" xfId="25328" xr:uid="{00000000-0005-0000-0000-0000BE4D0000}"/>
    <cellStyle name="Comma 2 2 9 3 4 2 9" xfId="46158" xr:uid="{00000000-0005-0000-0000-0000BF4D0000}"/>
    <cellStyle name="Comma 2 2 9 3 4 3" xfId="3273" xr:uid="{00000000-0005-0000-0000-0000C04D0000}"/>
    <cellStyle name="Comma 2 2 9 3 4 3 2" xfId="16760" xr:uid="{00000000-0005-0000-0000-0000C14D0000}"/>
    <cellStyle name="Comma 2 2 9 3 4 3 2 2" xfId="40038" xr:uid="{00000000-0005-0000-0000-0000C24D0000}"/>
    <cellStyle name="Comma 2 2 9 3 4 3 3" xfId="47382" xr:uid="{00000000-0005-0000-0000-0000C34D0000}"/>
    <cellStyle name="Comma 2 2 9 3 4 3 4" xfId="26552" xr:uid="{00000000-0005-0000-0000-0000C44D0000}"/>
    <cellStyle name="Comma 2 2 9 3 4 4" xfId="5721" xr:uid="{00000000-0005-0000-0000-0000C54D0000}"/>
    <cellStyle name="Comma 2 2 9 3 4 4 2" xfId="19208" xr:uid="{00000000-0005-0000-0000-0000C64D0000}"/>
    <cellStyle name="Comma 2 2 9 3 4 4 2 2" xfId="42486" xr:uid="{00000000-0005-0000-0000-0000C74D0000}"/>
    <cellStyle name="Comma 2 2 9 3 4 4 3" xfId="29000" xr:uid="{00000000-0005-0000-0000-0000C84D0000}"/>
    <cellStyle name="Comma 2 2 9 3 4 5" xfId="8169" xr:uid="{00000000-0005-0000-0000-0000C94D0000}"/>
    <cellStyle name="Comma 2 2 9 3 4 5 2" xfId="31448" xr:uid="{00000000-0005-0000-0000-0000CA4D0000}"/>
    <cellStyle name="Comma 2 2 9 3 4 6" xfId="10617" xr:uid="{00000000-0005-0000-0000-0000CB4D0000}"/>
    <cellStyle name="Comma 2 2 9 3 4 6 2" xfId="33896" xr:uid="{00000000-0005-0000-0000-0000CC4D0000}"/>
    <cellStyle name="Comma 2 2 9 3 4 7" xfId="13065" xr:uid="{00000000-0005-0000-0000-0000CD4D0000}"/>
    <cellStyle name="Comma 2 2 9 3 4 7 2" xfId="36344" xr:uid="{00000000-0005-0000-0000-0000CE4D0000}"/>
    <cellStyle name="Comma 2 2 9 3 4 8" xfId="15536" xr:uid="{00000000-0005-0000-0000-0000CF4D0000}"/>
    <cellStyle name="Comma 2 2 9 3 4 8 2" xfId="38814" xr:uid="{00000000-0005-0000-0000-0000D04D0000}"/>
    <cellStyle name="Comma 2 2 9 3 4 9" xfId="24104" xr:uid="{00000000-0005-0000-0000-0000D14D0000}"/>
    <cellStyle name="Comma 2 2 9 3 5" xfId="1437" xr:uid="{00000000-0005-0000-0000-0000D24D0000}"/>
    <cellStyle name="Comma 2 2 9 3 5 10" xfId="22268" xr:uid="{00000000-0005-0000-0000-0000D34D0000}"/>
    <cellStyle name="Comma 2 2 9 3 5 2" xfId="3885" xr:uid="{00000000-0005-0000-0000-0000D44D0000}"/>
    <cellStyle name="Comma 2 2 9 3 5 2 2" xfId="19820" xr:uid="{00000000-0005-0000-0000-0000D54D0000}"/>
    <cellStyle name="Comma 2 2 9 3 5 2 2 2" xfId="43098" xr:uid="{00000000-0005-0000-0000-0000D64D0000}"/>
    <cellStyle name="Comma 2 2 9 3 5 2 3" xfId="47994" xr:uid="{00000000-0005-0000-0000-0000D74D0000}"/>
    <cellStyle name="Comma 2 2 9 3 5 2 4" xfId="27164" xr:uid="{00000000-0005-0000-0000-0000D84D0000}"/>
    <cellStyle name="Comma 2 2 9 3 5 3" xfId="6333" xr:uid="{00000000-0005-0000-0000-0000D94D0000}"/>
    <cellStyle name="Comma 2 2 9 3 5 3 2" xfId="29612" xr:uid="{00000000-0005-0000-0000-0000DA4D0000}"/>
    <cellStyle name="Comma 2 2 9 3 5 4" xfId="8781" xr:uid="{00000000-0005-0000-0000-0000DB4D0000}"/>
    <cellStyle name="Comma 2 2 9 3 5 4 2" xfId="32060" xr:uid="{00000000-0005-0000-0000-0000DC4D0000}"/>
    <cellStyle name="Comma 2 2 9 3 5 5" xfId="11229" xr:uid="{00000000-0005-0000-0000-0000DD4D0000}"/>
    <cellStyle name="Comma 2 2 9 3 5 5 2" xfId="34508" xr:uid="{00000000-0005-0000-0000-0000DE4D0000}"/>
    <cellStyle name="Comma 2 2 9 3 5 6" xfId="13677" xr:uid="{00000000-0005-0000-0000-0000DF4D0000}"/>
    <cellStyle name="Comma 2 2 9 3 5 6 2" xfId="36956" xr:uid="{00000000-0005-0000-0000-0000E04D0000}"/>
    <cellStyle name="Comma 2 2 9 3 5 7" xfId="17372" xr:uid="{00000000-0005-0000-0000-0000E14D0000}"/>
    <cellStyle name="Comma 2 2 9 3 5 7 2" xfId="40650" xr:uid="{00000000-0005-0000-0000-0000E24D0000}"/>
    <cellStyle name="Comma 2 2 9 3 5 8" xfId="24716" xr:uid="{00000000-0005-0000-0000-0000E34D0000}"/>
    <cellStyle name="Comma 2 2 9 3 5 9" xfId="45546" xr:uid="{00000000-0005-0000-0000-0000E44D0000}"/>
    <cellStyle name="Comma 2 2 9 3 6" xfId="2661" xr:uid="{00000000-0005-0000-0000-0000E54D0000}"/>
    <cellStyle name="Comma 2 2 9 3 6 2" xfId="16148" xr:uid="{00000000-0005-0000-0000-0000E64D0000}"/>
    <cellStyle name="Comma 2 2 9 3 6 2 2" xfId="39426" xr:uid="{00000000-0005-0000-0000-0000E74D0000}"/>
    <cellStyle name="Comma 2 2 9 3 6 3" xfId="46770" xr:uid="{00000000-0005-0000-0000-0000E84D0000}"/>
    <cellStyle name="Comma 2 2 9 3 6 4" xfId="25940" xr:uid="{00000000-0005-0000-0000-0000E94D0000}"/>
    <cellStyle name="Comma 2 2 9 3 7" xfId="5109" xr:uid="{00000000-0005-0000-0000-0000EA4D0000}"/>
    <cellStyle name="Comma 2 2 9 3 7 2" xfId="18596" xr:uid="{00000000-0005-0000-0000-0000EB4D0000}"/>
    <cellStyle name="Comma 2 2 9 3 7 2 2" xfId="41874" xr:uid="{00000000-0005-0000-0000-0000EC4D0000}"/>
    <cellStyle name="Comma 2 2 9 3 7 3" xfId="28388" xr:uid="{00000000-0005-0000-0000-0000ED4D0000}"/>
    <cellStyle name="Comma 2 2 9 3 8" xfId="7557" xr:uid="{00000000-0005-0000-0000-0000EE4D0000}"/>
    <cellStyle name="Comma 2 2 9 3 8 2" xfId="30836" xr:uid="{00000000-0005-0000-0000-0000EF4D0000}"/>
    <cellStyle name="Comma 2 2 9 3 9" xfId="10005" xr:uid="{00000000-0005-0000-0000-0000F04D0000}"/>
    <cellStyle name="Comma 2 2 9 3 9 2" xfId="33284" xr:uid="{00000000-0005-0000-0000-0000F14D0000}"/>
    <cellStyle name="Comma 2 2 9 4" xfId="281" xr:uid="{00000000-0005-0000-0000-0000F24D0000}"/>
    <cellStyle name="Comma 2 2 9 4 10" xfId="23560" xr:uid="{00000000-0005-0000-0000-0000F34D0000}"/>
    <cellStyle name="Comma 2 2 9 4 11" xfId="44390" xr:uid="{00000000-0005-0000-0000-0000F44D0000}"/>
    <cellStyle name="Comma 2 2 9 4 12" xfId="21112" xr:uid="{00000000-0005-0000-0000-0000F54D0000}"/>
    <cellStyle name="Comma 2 2 9 4 2" xfId="893" xr:uid="{00000000-0005-0000-0000-0000F64D0000}"/>
    <cellStyle name="Comma 2 2 9 4 2 10" xfId="45002" xr:uid="{00000000-0005-0000-0000-0000F74D0000}"/>
    <cellStyle name="Comma 2 2 9 4 2 11" xfId="21724" xr:uid="{00000000-0005-0000-0000-0000F84D0000}"/>
    <cellStyle name="Comma 2 2 9 4 2 2" xfId="2117" xr:uid="{00000000-0005-0000-0000-0000F94D0000}"/>
    <cellStyle name="Comma 2 2 9 4 2 2 10" xfId="22948" xr:uid="{00000000-0005-0000-0000-0000FA4D0000}"/>
    <cellStyle name="Comma 2 2 9 4 2 2 2" xfId="4565" xr:uid="{00000000-0005-0000-0000-0000FB4D0000}"/>
    <cellStyle name="Comma 2 2 9 4 2 2 2 2" xfId="20500" xr:uid="{00000000-0005-0000-0000-0000FC4D0000}"/>
    <cellStyle name="Comma 2 2 9 4 2 2 2 2 2" xfId="43778" xr:uid="{00000000-0005-0000-0000-0000FD4D0000}"/>
    <cellStyle name="Comma 2 2 9 4 2 2 2 3" xfId="48674" xr:uid="{00000000-0005-0000-0000-0000FE4D0000}"/>
    <cellStyle name="Comma 2 2 9 4 2 2 2 4" xfId="27844" xr:uid="{00000000-0005-0000-0000-0000FF4D0000}"/>
    <cellStyle name="Comma 2 2 9 4 2 2 3" xfId="7013" xr:uid="{00000000-0005-0000-0000-0000004E0000}"/>
    <cellStyle name="Comma 2 2 9 4 2 2 3 2" xfId="30292" xr:uid="{00000000-0005-0000-0000-0000014E0000}"/>
    <cellStyle name="Comma 2 2 9 4 2 2 4" xfId="9461" xr:uid="{00000000-0005-0000-0000-0000024E0000}"/>
    <cellStyle name="Comma 2 2 9 4 2 2 4 2" xfId="32740" xr:uid="{00000000-0005-0000-0000-0000034E0000}"/>
    <cellStyle name="Comma 2 2 9 4 2 2 5" xfId="11909" xr:uid="{00000000-0005-0000-0000-0000044E0000}"/>
    <cellStyle name="Comma 2 2 9 4 2 2 5 2" xfId="35188" xr:uid="{00000000-0005-0000-0000-0000054E0000}"/>
    <cellStyle name="Comma 2 2 9 4 2 2 6" xfId="14357" xr:uid="{00000000-0005-0000-0000-0000064E0000}"/>
    <cellStyle name="Comma 2 2 9 4 2 2 6 2" xfId="37636" xr:uid="{00000000-0005-0000-0000-0000074E0000}"/>
    <cellStyle name="Comma 2 2 9 4 2 2 7" xfId="18052" xr:uid="{00000000-0005-0000-0000-0000084E0000}"/>
    <cellStyle name="Comma 2 2 9 4 2 2 7 2" xfId="41330" xr:uid="{00000000-0005-0000-0000-0000094E0000}"/>
    <cellStyle name="Comma 2 2 9 4 2 2 8" xfId="25396" xr:uid="{00000000-0005-0000-0000-00000A4E0000}"/>
    <cellStyle name="Comma 2 2 9 4 2 2 9" xfId="46226" xr:uid="{00000000-0005-0000-0000-00000B4E0000}"/>
    <cellStyle name="Comma 2 2 9 4 2 3" xfId="3341" xr:uid="{00000000-0005-0000-0000-00000C4E0000}"/>
    <cellStyle name="Comma 2 2 9 4 2 3 2" xfId="16828" xr:uid="{00000000-0005-0000-0000-00000D4E0000}"/>
    <cellStyle name="Comma 2 2 9 4 2 3 2 2" xfId="40106" xr:uid="{00000000-0005-0000-0000-00000E4E0000}"/>
    <cellStyle name="Comma 2 2 9 4 2 3 3" xfId="47450" xr:uid="{00000000-0005-0000-0000-00000F4E0000}"/>
    <cellStyle name="Comma 2 2 9 4 2 3 4" xfId="26620" xr:uid="{00000000-0005-0000-0000-0000104E0000}"/>
    <cellStyle name="Comma 2 2 9 4 2 4" xfId="5789" xr:uid="{00000000-0005-0000-0000-0000114E0000}"/>
    <cellStyle name="Comma 2 2 9 4 2 4 2" xfId="19276" xr:uid="{00000000-0005-0000-0000-0000124E0000}"/>
    <cellStyle name="Comma 2 2 9 4 2 4 2 2" xfId="42554" xr:uid="{00000000-0005-0000-0000-0000134E0000}"/>
    <cellStyle name="Comma 2 2 9 4 2 4 3" xfId="29068" xr:uid="{00000000-0005-0000-0000-0000144E0000}"/>
    <cellStyle name="Comma 2 2 9 4 2 5" xfId="8237" xr:uid="{00000000-0005-0000-0000-0000154E0000}"/>
    <cellStyle name="Comma 2 2 9 4 2 5 2" xfId="31516" xr:uid="{00000000-0005-0000-0000-0000164E0000}"/>
    <cellStyle name="Comma 2 2 9 4 2 6" xfId="10685" xr:uid="{00000000-0005-0000-0000-0000174E0000}"/>
    <cellStyle name="Comma 2 2 9 4 2 6 2" xfId="33964" xr:uid="{00000000-0005-0000-0000-0000184E0000}"/>
    <cellStyle name="Comma 2 2 9 4 2 7" xfId="13133" xr:uid="{00000000-0005-0000-0000-0000194E0000}"/>
    <cellStyle name="Comma 2 2 9 4 2 7 2" xfId="36412" xr:uid="{00000000-0005-0000-0000-00001A4E0000}"/>
    <cellStyle name="Comma 2 2 9 4 2 8" xfId="15604" xr:uid="{00000000-0005-0000-0000-00001B4E0000}"/>
    <cellStyle name="Comma 2 2 9 4 2 8 2" xfId="38882" xr:uid="{00000000-0005-0000-0000-00001C4E0000}"/>
    <cellStyle name="Comma 2 2 9 4 2 9" xfId="24172" xr:uid="{00000000-0005-0000-0000-00001D4E0000}"/>
    <cellStyle name="Comma 2 2 9 4 3" xfId="1505" xr:uid="{00000000-0005-0000-0000-00001E4E0000}"/>
    <cellStyle name="Comma 2 2 9 4 3 10" xfId="22336" xr:uid="{00000000-0005-0000-0000-00001F4E0000}"/>
    <cellStyle name="Comma 2 2 9 4 3 2" xfId="3953" xr:uid="{00000000-0005-0000-0000-0000204E0000}"/>
    <cellStyle name="Comma 2 2 9 4 3 2 2" xfId="19888" xr:uid="{00000000-0005-0000-0000-0000214E0000}"/>
    <cellStyle name="Comma 2 2 9 4 3 2 2 2" xfId="43166" xr:uid="{00000000-0005-0000-0000-0000224E0000}"/>
    <cellStyle name="Comma 2 2 9 4 3 2 3" xfId="48062" xr:uid="{00000000-0005-0000-0000-0000234E0000}"/>
    <cellStyle name="Comma 2 2 9 4 3 2 4" xfId="27232" xr:uid="{00000000-0005-0000-0000-0000244E0000}"/>
    <cellStyle name="Comma 2 2 9 4 3 3" xfId="6401" xr:uid="{00000000-0005-0000-0000-0000254E0000}"/>
    <cellStyle name="Comma 2 2 9 4 3 3 2" xfId="29680" xr:uid="{00000000-0005-0000-0000-0000264E0000}"/>
    <cellStyle name="Comma 2 2 9 4 3 4" xfId="8849" xr:uid="{00000000-0005-0000-0000-0000274E0000}"/>
    <cellStyle name="Comma 2 2 9 4 3 4 2" xfId="32128" xr:uid="{00000000-0005-0000-0000-0000284E0000}"/>
    <cellStyle name="Comma 2 2 9 4 3 5" xfId="11297" xr:uid="{00000000-0005-0000-0000-0000294E0000}"/>
    <cellStyle name="Comma 2 2 9 4 3 5 2" xfId="34576" xr:uid="{00000000-0005-0000-0000-00002A4E0000}"/>
    <cellStyle name="Comma 2 2 9 4 3 6" xfId="13745" xr:uid="{00000000-0005-0000-0000-00002B4E0000}"/>
    <cellStyle name="Comma 2 2 9 4 3 6 2" xfId="37024" xr:uid="{00000000-0005-0000-0000-00002C4E0000}"/>
    <cellStyle name="Comma 2 2 9 4 3 7" xfId="17440" xr:uid="{00000000-0005-0000-0000-00002D4E0000}"/>
    <cellStyle name="Comma 2 2 9 4 3 7 2" xfId="40718" xr:uid="{00000000-0005-0000-0000-00002E4E0000}"/>
    <cellStyle name="Comma 2 2 9 4 3 8" xfId="24784" xr:uid="{00000000-0005-0000-0000-00002F4E0000}"/>
    <cellStyle name="Comma 2 2 9 4 3 9" xfId="45614" xr:uid="{00000000-0005-0000-0000-0000304E0000}"/>
    <cellStyle name="Comma 2 2 9 4 4" xfId="2729" xr:uid="{00000000-0005-0000-0000-0000314E0000}"/>
    <cellStyle name="Comma 2 2 9 4 4 2" xfId="16216" xr:uid="{00000000-0005-0000-0000-0000324E0000}"/>
    <cellStyle name="Comma 2 2 9 4 4 2 2" xfId="39494" xr:uid="{00000000-0005-0000-0000-0000334E0000}"/>
    <cellStyle name="Comma 2 2 9 4 4 3" xfId="46838" xr:uid="{00000000-0005-0000-0000-0000344E0000}"/>
    <cellStyle name="Comma 2 2 9 4 4 4" xfId="26008" xr:uid="{00000000-0005-0000-0000-0000354E0000}"/>
    <cellStyle name="Comma 2 2 9 4 5" xfId="5177" xr:uid="{00000000-0005-0000-0000-0000364E0000}"/>
    <cellStyle name="Comma 2 2 9 4 5 2" xfId="18664" xr:uid="{00000000-0005-0000-0000-0000374E0000}"/>
    <cellStyle name="Comma 2 2 9 4 5 2 2" xfId="41942" xr:uid="{00000000-0005-0000-0000-0000384E0000}"/>
    <cellStyle name="Comma 2 2 9 4 5 3" xfId="28456" xr:uid="{00000000-0005-0000-0000-0000394E0000}"/>
    <cellStyle name="Comma 2 2 9 4 6" xfId="7625" xr:uid="{00000000-0005-0000-0000-00003A4E0000}"/>
    <cellStyle name="Comma 2 2 9 4 6 2" xfId="30904" xr:uid="{00000000-0005-0000-0000-00003B4E0000}"/>
    <cellStyle name="Comma 2 2 9 4 7" xfId="10073" xr:uid="{00000000-0005-0000-0000-00003C4E0000}"/>
    <cellStyle name="Comma 2 2 9 4 7 2" xfId="33352" xr:uid="{00000000-0005-0000-0000-00003D4E0000}"/>
    <cellStyle name="Comma 2 2 9 4 8" xfId="12521" xr:uid="{00000000-0005-0000-0000-00003E4E0000}"/>
    <cellStyle name="Comma 2 2 9 4 8 2" xfId="35800" xr:uid="{00000000-0005-0000-0000-00003F4E0000}"/>
    <cellStyle name="Comma 2 2 9 4 9" xfId="14992" xr:uid="{00000000-0005-0000-0000-0000404E0000}"/>
    <cellStyle name="Comma 2 2 9 4 9 2" xfId="38270" xr:uid="{00000000-0005-0000-0000-0000414E0000}"/>
    <cellStyle name="Comma 2 2 9 5" xfId="485" xr:uid="{00000000-0005-0000-0000-0000424E0000}"/>
    <cellStyle name="Comma 2 2 9 5 10" xfId="23764" xr:uid="{00000000-0005-0000-0000-0000434E0000}"/>
    <cellStyle name="Comma 2 2 9 5 11" xfId="44594" xr:uid="{00000000-0005-0000-0000-0000444E0000}"/>
    <cellStyle name="Comma 2 2 9 5 12" xfId="21316" xr:uid="{00000000-0005-0000-0000-0000454E0000}"/>
    <cellStyle name="Comma 2 2 9 5 2" xfId="1097" xr:uid="{00000000-0005-0000-0000-0000464E0000}"/>
    <cellStyle name="Comma 2 2 9 5 2 10" xfId="45206" xr:uid="{00000000-0005-0000-0000-0000474E0000}"/>
    <cellStyle name="Comma 2 2 9 5 2 11" xfId="21928" xr:uid="{00000000-0005-0000-0000-0000484E0000}"/>
    <cellStyle name="Comma 2 2 9 5 2 2" xfId="2321" xr:uid="{00000000-0005-0000-0000-0000494E0000}"/>
    <cellStyle name="Comma 2 2 9 5 2 2 10" xfId="23152" xr:uid="{00000000-0005-0000-0000-00004A4E0000}"/>
    <cellStyle name="Comma 2 2 9 5 2 2 2" xfId="4769" xr:uid="{00000000-0005-0000-0000-00004B4E0000}"/>
    <cellStyle name="Comma 2 2 9 5 2 2 2 2" xfId="20704" xr:uid="{00000000-0005-0000-0000-00004C4E0000}"/>
    <cellStyle name="Comma 2 2 9 5 2 2 2 2 2" xfId="43982" xr:uid="{00000000-0005-0000-0000-00004D4E0000}"/>
    <cellStyle name="Comma 2 2 9 5 2 2 2 3" xfId="48878" xr:uid="{00000000-0005-0000-0000-00004E4E0000}"/>
    <cellStyle name="Comma 2 2 9 5 2 2 2 4" xfId="28048" xr:uid="{00000000-0005-0000-0000-00004F4E0000}"/>
    <cellStyle name="Comma 2 2 9 5 2 2 3" xfId="7217" xr:uid="{00000000-0005-0000-0000-0000504E0000}"/>
    <cellStyle name="Comma 2 2 9 5 2 2 3 2" xfId="30496" xr:uid="{00000000-0005-0000-0000-0000514E0000}"/>
    <cellStyle name="Comma 2 2 9 5 2 2 4" xfId="9665" xr:uid="{00000000-0005-0000-0000-0000524E0000}"/>
    <cellStyle name="Comma 2 2 9 5 2 2 4 2" xfId="32944" xr:uid="{00000000-0005-0000-0000-0000534E0000}"/>
    <cellStyle name="Comma 2 2 9 5 2 2 5" xfId="12113" xr:uid="{00000000-0005-0000-0000-0000544E0000}"/>
    <cellStyle name="Comma 2 2 9 5 2 2 5 2" xfId="35392" xr:uid="{00000000-0005-0000-0000-0000554E0000}"/>
    <cellStyle name="Comma 2 2 9 5 2 2 6" xfId="14561" xr:uid="{00000000-0005-0000-0000-0000564E0000}"/>
    <cellStyle name="Comma 2 2 9 5 2 2 6 2" xfId="37840" xr:uid="{00000000-0005-0000-0000-0000574E0000}"/>
    <cellStyle name="Comma 2 2 9 5 2 2 7" xfId="18256" xr:uid="{00000000-0005-0000-0000-0000584E0000}"/>
    <cellStyle name="Comma 2 2 9 5 2 2 7 2" xfId="41534" xr:uid="{00000000-0005-0000-0000-0000594E0000}"/>
    <cellStyle name="Comma 2 2 9 5 2 2 8" xfId="25600" xr:uid="{00000000-0005-0000-0000-00005A4E0000}"/>
    <cellStyle name="Comma 2 2 9 5 2 2 9" xfId="46430" xr:uid="{00000000-0005-0000-0000-00005B4E0000}"/>
    <cellStyle name="Comma 2 2 9 5 2 3" xfId="3545" xr:uid="{00000000-0005-0000-0000-00005C4E0000}"/>
    <cellStyle name="Comma 2 2 9 5 2 3 2" xfId="17032" xr:uid="{00000000-0005-0000-0000-00005D4E0000}"/>
    <cellStyle name="Comma 2 2 9 5 2 3 2 2" xfId="40310" xr:uid="{00000000-0005-0000-0000-00005E4E0000}"/>
    <cellStyle name="Comma 2 2 9 5 2 3 3" xfId="47654" xr:uid="{00000000-0005-0000-0000-00005F4E0000}"/>
    <cellStyle name="Comma 2 2 9 5 2 3 4" xfId="26824" xr:uid="{00000000-0005-0000-0000-0000604E0000}"/>
    <cellStyle name="Comma 2 2 9 5 2 4" xfId="5993" xr:uid="{00000000-0005-0000-0000-0000614E0000}"/>
    <cellStyle name="Comma 2 2 9 5 2 4 2" xfId="19480" xr:uid="{00000000-0005-0000-0000-0000624E0000}"/>
    <cellStyle name="Comma 2 2 9 5 2 4 2 2" xfId="42758" xr:uid="{00000000-0005-0000-0000-0000634E0000}"/>
    <cellStyle name="Comma 2 2 9 5 2 4 3" xfId="29272" xr:uid="{00000000-0005-0000-0000-0000644E0000}"/>
    <cellStyle name="Comma 2 2 9 5 2 5" xfId="8441" xr:uid="{00000000-0005-0000-0000-0000654E0000}"/>
    <cellStyle name="Comma 2 2 9 5 2 5 2" xfId="31720" xr:uid="{00000000-0005-0000-0000-0000664E0000}"/>
    <cellStyle name="Comma 2 2 9 5 2 6" xfId="10889" xr:uid="{00000000-0005-0000-0000-0000674E0000}"/>
    <cellStyle name="Comma 2 2 9 5 2 6 2" xfId="34168" xr:uid="{00000000-0005-0000-0000-0000684E0000}"/>
    <cellStyle name="Comma 2 2 9 5 2 7" xfId="13337" xr:uid="{00000000-0005-0000-0000-0000694E0000}"/>
    <cellStyle name="Comma 2 2 9 5 2 7 2" xfId="36616" xr:uid="{00000000-0005-0000-0000-00006A4E0000}"/>
    <cellStyle name="Comma 2 2 9 5 2 8" xfId="15808" xr:uid="{00000000-0005-0000-0000-00006B4E0000}"/>
    <cellStyle name="Comma 2 2 9 5 2 8 2" xfId="39086" xr:uid="{00000000-0005-0000-0000-00006C4E0000}"/>
    <cellStyle name="Comma 2 2 9 5 2 9" xfId="24376" xr:uid="{00000000-0005-0000-0000-00006D4E0000}"/>
    <cellStyle name="Comma 2 2 9 5 3" xfId="1709" xr:uid="{00000000-0005-0000-0000-00006E4E0000}"/>
    <cellStyle name="Comma 2 2 9 5 3 10" xfId="22540" xr:uid="{00000000-0005-0000-0000-00006F4E0000}"/>
    <cellStyle name="Comma 2 2 9 5 3 2" xfId="4157" xr:uid="{00000000-0005-0000-0000-0000704E0000}"/>
    <cellStyle name="Comma 2 2 9 5 3 2 2" xfId="20092" xr:uid="{00000000-0005-0000-0000-0000714E0000}"/>
    <cellStyle name="Comma 2 2 9 5 3 2 2 2" xfId="43370" xr:uid="{00000000-0005-0000-0000-0000724E0000}"/>
    <cellStyle name="Comma 2 2 9 5 3 2 3" xfId="48266" xr:uid="{00000000-0005-0000-0000-0000734E0000}"/>
    <cellStyle name="Comma 2 2 9 5 3 2 4" xfId="27436" xr:uid="{00000000-0005-0000-0000-0000744E0000}"/>
    <cellStyle name="Comma 2 2 9 5 3 3" xfId="6605" xr:uid="{00000000-0005-0000-0000-0000754E0000}"/>
    <cellStyle name="Comma 2 2 9 5 3 3 2" xfId="29884" xr:uid="{00000000-0005-0000-0000-0000764E0000}"/>
    <cellStyle name="Comma 2 2 9 5 3 4" xfId="9053" xr:uid="{00000000-0005-0000-0000-0000774E0000}"/>
    <cellStyle name="Comma 2 2 9 5 3 4 2" xfId="32332" xr:uid="{00000000-0005-0000-0000-0000784E0000}"/>
    <cellStyle name="Comma 2 2 9 5 3 5" xfId="11501" xr:uid="{00000000-0005-0000-0000-0000794E0000}"/>
    <cellStyle name="Comma 2 2 9 5 3 5 2" xfId="34780" xr:uid="{00000000-0005-0000-0000-00007A4E0000}"/>
    <cellStyle name="Comma 2 2 9 5 3 6" xfId="13949" xr:uid="{00000000-0005-0000-0000-00007B4E0000}"/>
    <cellStyle name="Comma 2 2 9 5 3 6 2" xfId="37228" xr:uid="{00000000-0005-0000-0000-00007C4E0000}"/>
    <cellStyle name="Comma 2 2 9 5 3 7" xfId="17644" xr:uid="{00000000-0005-0000-0000-00007D4E0000}"/>
    <cellStyle name="Comma 2 2 9 5 3 7 2" xfId="40922" xr:uid="{00000000-0005-0000-0000-00007E4E0000}"/>
    <cellStyle name="Comma 2 2 9 5 3 8" xfId="24988" xr:uid="{00000000-0005-0000-0000-00007F4E0000}"/>
    <cellStyle name="Comma 2 2 9 5 3 9" xfId="45818" xr:uid="{00000000-0005-0000-0000-0000804E0000}"/>
    <cellStyle name="Comma 2 2 9 5 4" xfId="2933" xr:uid="{00000000-0005-0000-0000-0000814E0000}"/>
    <cellStyle name="Comma 2 2 9 5 4 2" xfId="16420" xr:uid="{00000000-0005-0000-0000-0000824E0000}"/>
    <cellStyle name="Comma 2 2 9 5 4 2 2" xfId="39698" xr:uid="{00000000-0005-0000-0000-0000834E0000}"/>
    <cellStyle name="Comma 2 2 9 5 4 3" xfId="47042" xr:uid="{00000000-0005-0000-0000-0000844E0000}"/>
    <cellStyle name="Comma 2 2 9 5 4 4" xfId="26212" xr:uid="{00000000-0005-0000-0000-0000854E0000}"/>
    <cellStyle name="Comma 2 2 9 5 5" xfId="5381" xr:uid="{00000000-0005-0000-0000-0000864E0000}"/>
    <cellStyle name="Comma 2 2 9 5 5 2" xfId="18868" xr:uid="{00000000-0005-0000-0000-0000874E0000}"/>
    <cellStyle name="Comma 2 2 9 5 5 2 2" xfId="42146" xr:uid="{00000000-0005-0000-0000-0000884E0000}"/>
    <cellStyle name="Comma 2 2 9 5 5 3" xfId="28660" xr:uid="{00000000-0005-0000-0000-0000894E0000}"/>
    <cellStyle name="Comma 2 2 9 5 6" xfId="7829" xr:uid="{00000000-0005-0000-0000-00008A4E0000}"/>
    <cellStyle name="Comma 2 2 9 5 6 2" xfId="31108" xr:uid="{00000000-0005-0000-0000-00008B4E0000}"/>
    <cellStyle name="Comma 2 2 9 5 7" xfId="10277" xr:uid="{00000000-0005-0000-0000-00008C4E0000}"/>
    <cellStyle name="Comma 2 2 9 5 7 2" xfId="33556" xr:uid="{00000000-0005-0000-0000-00008D4E0000}"/>
    <cellStyle name="Comma 2 2 9 5 8" xfId="12725" xr:uid="{00000000-0005-0000-0000-00008E4E0000}"/>
    <cellStyle name="Comma 2 2 9 5 8 2" xfId="36004" xr:uid="{00000000-0005-0000-0000-00008F4E0000}"/>
    <cellStyle name="Comma 2 2 9 5 9" xfId="15196" xr:uid="{00000000-0005-0000-0000-0000904E0000}"/>
    <cellStyle name="Comma 2 2 9 5 9 2" xfId="38474" xr:uid="{00000000-0005-0000-0000-0000914E0000}"/>
    <cellStyle name="Comma 2 2 9 6" xfId="689" xr:uid="{00000000-0005-0000-0000-0000924E0000}"/>
    <cellStyle name="Comma 2 2 9 6 10" xfId="44798" xr:uid="{00000000-0005-0000-0000-0000934E0000}"/>
    <cellStyle name="Comma 2 2 9 6 11" xfId="21520" xr:uid="{00000000-0005-0000-0000-0000944E0000}"/>
    <cellStyle name="Comma 2 2 9 6 2" xfId="1913" xr:uid="{00000000-0005-0000-0000-0000954E0000}"/>
    <cellStyle name="Comma 2 2 9 6 2 10" xfId="22744" xr:uid="{00000000-0005-0000-0000-0000964E0000}"/>
    <cellStyle name="Comma 2 2 9 6 2 2" xfId="4361" xr:uid="{00000000-0005-0000-0000-0000974E0000}"/>
    <cellStyle name="Comma 2 2 9 6 2 2 2" xfId="20296" xr:uid="{00000000-0005-0000-0000-0000984E0000}"/>
    <cellStyle name="Comma 2 2 9 6 2 2 2 2" xfId="43574" xr:uid="{00000000-0005-0000-0000-0000994E0000}"/>
    <cellStyle name="Comma 2 2 9 6 2 2 3" xfId="48470" xr:uid="{00000000-0005-0000-0000-00009A4E0000}"/>
    <cellStyle name="Comma 2 2 9 6 2 2 4" xfId="27640" xr:uid="{00000000-0005-0000-0000-00009B4E0000}"/>
    <cellStyle name="Comma 2 2 9 6 2 3" xfId="6809" xr:uid="{00000000-0005-0000-0000-00009C4E0000}"/>
    <cellStyle name="Comma 2 2 9 6 2 3 2" xfId="30088" xr:uid="{00000000-0005-0000-0000-00009D4E0000}"/>
    <cellStyle name="Comma 2 2 9 6 2 4" xfId="9257" xr:uid="{00000000-0005-0000-0000-00009E4E0000}"/>
    <cellStyle name="Comma 2 2 9 6 2 4 2" xfId="32536" xr:uid="{00000000-0005-0000-0000-00009F4E0000}"/>
    <cellStyle name="Comma 2 2 9 6 2 5" xfId="11705" xr:uid="{00000000-0005-0000-0000-0000A04E0000}"/>
    <cellStyle name="Comma 2 2 9 6 2 5 2" xfId="34984" xr:uid="{00000000-0005-0000-0000-0000A14E0000}"/>
    <cellStyle name="Comma 2 2 9 6 2 6" xfId="14153" xr:uid="{00000000-0005-0000-0000-0000A24E0000}"/>
    <cellStyle name="Comma 2 2 9 6 2 6 2" xfId="37432" xr:uid="{00000000-0005-0000-0000-0000A34E0000}"/>
    <cellStyle name="Comma 2 2 9 6 2 7" xfId="17848" xr:uid="{00000000-0005-0000-0000-0000A44E0000}"/>
    <cellStyle name="Comma 2 2 9 6 2 7 2" xfId="41126" xr:uid="{00000000-0005-0000-0000-0000A54E0000}"/>
    <cellStyle name="Comma 2 2 9 6 2 8" xfId="25192" xr:uid="{00000000-0005-0000-0000-0000A64E0000}"/>
    <cellStyle name="Comma 2 2 9 6 2 9" xfId="46022" xr:uid="{00000000-0005-0000-0000-0000A74E0000}"/>
    <cellStyle name="Comma 2 2 9 6 3" xfId="3137" xr:uid="{00000000-0005-0000-0000-0000A84E0000}"/>
    <cellStyle name="Comma 2 2 9 6 3 2" xfId="16624" xr:uid="{00000000-0005-0000-0000-0000A94E0000}"/>
    <cellStyle name="Comma 2 2 9 6 3 2 2" xfId="39902" xr:uid="{00000000-0005-0000-0000-0000AA4E0000}"/>
    <cellStyle name="Comma 2 2 9 6 3 3" xfId="47246" xr:uid="{00000000-0005-0000-0000-0000AB4E0000}"/>
    <cellStyle name="Comma 2 2 9 6 3 4" xfId="26416" xr:uid="{00000000-0005-0000-0000-0000AC4E0000}"/>
    <cellStyle name="Comma 2 2 9 6 4" xfId="5585" xr:uid="{00000000-0005-0000-0000-0000AD4E0000}"/>
    <cellStyle name="Comma 2 2 9 6 4 2" xfId="19072" xr:uid="{00000000-0005-0000-0000-0000AE4E0000}"/>
    <cellStyle name="Comma 2 2 9 6 4 2 2" xfId="42350" xr:uid="{00000000-0005-0000-0000-0000AF4E0000}"/>
    <cellStyle name="Comma 2 2 9 6 4 3" xfId="28864" xr:uid="{00000000-0005-0000-0000-0000B04E0000}"/>
    <cellStyle name="Comma 2 2 9 6 5" xfId="8033" xr:uid="{00000000-0005-0000-0000-0000B14E0000}"/>
    <cellStyle name="Comma 2 2 9 6 5 2" xfId="31312" xr:uid="{00000000-0005-0000-0000-0000B24E0000}"/>
    <cellStyle name="Comma 2 2 9 6 6" xfId="10481" xr:uid="{00000000-0005-0000-0000-0000B34E0000}"/>
    <cellStyle name="Comma 2 2 9 6 6 2" xfId="33760" xr:uid="{00000000-0005-0000-0000-0000B44E0000}"/>
    <cellStyle name="Comma 2 2 9 6 7" xfId="12929" xr:uid="{00000000-0005-0000-0000-0000B54E0000}"/>
    <cellStyle name="Comma 2 2 9 6 7 2" xfId="36208" xr:uid="{00000000-0005-0000-0000-0000B64E0000}"/>
    <cellStyle name="Comma 2 2 9 6 8" xfId="15400" xr:uid="{00000000-0005-0000-0000-0000B74E0000}"/>
    <cellStyle name="Comma 2 2 9 6 8 2" xfId="38678" xr:uid="{00000000-0005-0000-0000-0000B84E0000}"/>
    <cellStyle name="Comma 2 2 9 6 9" xfId="23968" xr:uid="{00000000-0005-0000-0000-0000B94E0000}"/>
    <cellStyle name="Comma 2 2 9 7" xfId="1301" xr:uid="{00000000-0005-0000-0000-0000BA4E0000}"/>
    <cellStyle name="Comma 2 2 9 7 10" xfId="22132" xr:uid="{00000000-0005-0000-0000-0000BB4E0000}"/>
    <cellStyle name="Comma 2 2 9 7 2" xfId="3749" xr:uid="{00000000-0005-0000-0000-0000BC4E0000}"/>
    <cellStyle name="Comma 2 2 9 7 2 2" xfId="19684" xr:uid="{00000000-0005-0000-0000-0000BD4E0000}"/>
    <cellStyle name="Comma 2 2 9 7 2 2 2" xfId="42962" xr:uid="{00000000-0005-0000-0000-0000BE4E0000}"/>
    <cellStyle name="Comma 2 2 9 7 2 3" xfId="47858" xr:uid="{00000000-0005-0000-0000-0000BF4E0000}"/>
    <cellStyle name="Comma 2 2 9 7 2 4" xfId="27028" xr:uid="{00000000-0005-0000-0000-0000C04E0000}"/>
    <cellStyle name="Comma 2 2 9 7 3" xfId="6197" xr:uid="{00000000-0005-0000-0000-0000C14E0000}"/>
    <cellStyle name="Comma 2 2 9 7 3 2" xfId="29476" xr:uid="{00000000-0005-0000-0000-0000C24E0000}"/>
    <cellStyle name="Comma 2 2 9 7 4" xfId="8645" xr:uid="{00000000-0005-0000-0000-0000C34E0000}"/>
    <cellStyle name="Comma 2 2 9 7 4 2" xfId="31924" xr:uid="{00000000-0005-0000-0000-0000C44E0000}"/>
    <cellStyle name="Comma 2 2 9 7 5" xfId="11093" xr:uid="{00000000-0005-0000-0000-0000C54E0000}"/>
    <cellStyle name="Comma 2 2 9 7 5 2" xfId="34372" xr:uid="{00000000-0005-0000-0000-0000C64E0000}"/>
    <cellStyle name="Comma 2 2 9 7 6" xfId="13541" xr:uid="{00000000-0005-0000-0000-0000C74E0000}"/>
    <cellStyle name="Comma 2 2 9 7 6 2" xfId="36820" xr:uid="{00000000-0005-0000-0000-0000C84E0000}"/>
    <cellStyle name="Comma 2 2 9 7 7" xfId="17236" xr:uid="{00000000-0005-0000-0000-0000C94E0000}"/>
    <cellStyle name="Comma 2 2 9 7 7 2" xfId="40514" xr:uid="{00000000-0005-0000-0000-0000CA4E0000}"/>
    <cellStyle name="Comma 2 2 9 7 8" xfId="24580" xr:uid="{00000000-0005-0000-0000-0000CB4E0000}"/>
    <cellStyle name="Comma 2 2 9 7 9" xfId="45410" xr:uid="{00000000-0005-0000-0000-0000CC4E0000}"/>
    <cellStyle name="Comma 2 2 9 8" xfId="2525" xr:uid="{00000000-0005-0000-0000-0000CD4E0000}"/>
    <cellStyle name="Comma 2 2 9 8 2" xfId="16012" xr:uid="{00000000-0005-0000-0000-0000CE4E0000}"/>
    <cellStyle name="Comma 2 2 9 8 2 2" xfId="39290" xr:uid="{00000000-0005-0000-0000-0000CF4E0000}"/>
    <cellStyle name="Comma 2 2 9 8 3" xfId="46634" xr:uid="{00000000-0005-0000-0000-0000D04E0000}"/>
    <cellStyle name="Comma 2 2 9 8 4" xfId="25804" xr:uid="{00000000-0005-0000-0000-0000D14E0000}"/>
    <cellStyle name="Comma 2 2 9 9" xfId="4973" xr:uid="{00000000-0005-0000-0000-0000D24E0000}"/>
    <cellStyle name="Comma 2 2 9 9 2" xfId="18460" xr:uid="{00000000-0005-0000-0000-0000D34E0000}"/>
    <cellStyle name="Comma 2 2 9 9 2 2" xfId="41738" xr:uid="{00000000-0005-0000-0000-0000D44E0000}"/>
    <cellStyle name="Comma 2 2 9 9 3" xfId="28252" xr:uid="{00000000-0005-0000-0000-0000D54E0000}"/>
    <cellStyle name="Comma 2 3" xfId="21" xr:uid="{00000000-0005-0000-0000-0000D64E0000}"/>
    <cellStyle name="Comma 2 3 2" xfId="48" xr:uid="{00000000-0005-0000-0000-0000D74E0000}"/>
    <cellStyle name="Comma 2 3 2 10" xfId="1272" xr:uid="{00000000-0005-0000-0000-0000D84E0000}"/>
    <cellStyle name="Comma 2 3 2 10 10" xfId="22103" xr:uid="{00000000-0005-0000-0000-0000D94E0000}"/>
    <cellStyle name="Comma 2 3 2 10 2" xfId="3720" xr:uid="{00000000-0005-0000-0000-0000DA4E0000}"/>
    <cellStyle name="Comma 2 3 2 10 2 2" xfId="17207" xr:uid="{00000000-0005-0000-0000-0000DB4E0000}"/>
    <cellStyle name="Comma 2 3 2 10 2 2 2" xfId="40485" xr:uid="{00000000-0005-0000-0000-0000DC4E0000}"/>
    <cellStyle name="Comma 2 3 2 10 2 3" xfId="47829" xr:uid="{00000000-0005-0000-0000-0000DD4E0000}"/>
    <cellStyle name="Comma 2 3 2 10 2 4" xfId="26999" xr:uid="{00000000-0005-0000-0000-0000DE4E0000}"/>
    <cellStyle name="Comma 2 3 2 10 3" xfId="6168" xr:uid="{00000000-0005-0000-0000-0000DF4E0000}"/>
    <cellStyle name="Comma 2 3 2 10 3 2" xfId="19655" xr:uid="{00000000-0005-0000-0000-0000E04E0000}"/>
    <cellStyle name="Comma 2 3 2 10 3 2 2" xfId="42933" xr:uid="{00000000-0005-0000-0000-0000E14E0000}"/>
    <cellStyle name="Comma 2 3 2 10 3 3" xfId="29447" xr:uid="{00000000-0005-0000-0000-0000E24E0000}"/>
    <cellStyle name="Comma 2 3 2 10 4" xfId="8616" xr:uid="{00000000-0005-0000-0000-0000E34E0000}"/>
    <cellStyle name="Comma 2 3 2 10 4 2" xfId="31895" xr:uid="{00000000-0005-0000-0000-0000E44E0000}"/>
    <cellStyle name="Comma 2 3 2 10 5" xfId="11064" xr:uid="{00000000-0005-0000-0000-0000E54E0000}"/>
    <cellStyle name="Comma 2 3 2 10 5 2" xfId="34343" xr:uid="{00000000-0005-0000-0000-0000E64E0000}"/>
    <cellStyle name="Comma 2 3 2 10 6" xfId="13512" xr:uid="{00000000-0005-0000-0000-0000E74E0000}"/>
    <cellStyle name="Comma 2 3 2 10 6 2" xfId="36791" xr:uid="{00000000-0005-0000-0000-0000E84E0000}"/>
    <cellStyle name="Comma 2 3 2 10 7" xfId="14759" xr:uid="{00000000-0005-0000-0000-0000E94E0000}"/>
    <cellStyle name="Comma 2 3 2 10 7 2" xfId="38037" xr:uid="{00000000-0005-0000-0000-0000EA4E0000}"/>
    <cellStyle name="Comma 2 3 2 10 8" xfId="24551" xr:uid="{00000000-0005-0000-0000-0000EB4E0000}"/>
    <cellStyle name="Comma 2 3 2 10 9" xfId="45381" xr:uid="{00000000-0005-0000-0000-0000EC4E0000}"/>
    <cellStyle name="Comma 2 3 2 11" xfId="2496" xr:uid="{00000000-0005-0000-0000-0000ED4E0000}"/>
    <cellStyle name="Comma 2 3 2 11 2" xfId="15983" xr:uid="{00000000-0005-0000-0000-0000EE4E0000}"/>
    <cellStyle name="Comma 2 3 2 11 2 2" xfId="39261" xr:uid="{00000000-0005-0000-0000-0000EF4E0000}"/>
    <cellStyle name="Comma 2 3 2 11 3" xfId="46605" xr:uid="{00000000-0005-0000-0000-0000F04E0000}"/>
    <cellStyle name="Comma 2 3 2 11 4" xfId="25775" xr:uid="{00000000-0005-0000-0000-0000F14E0000}"/>
    <cellStyle name="Comma 2 3 2 12" xfId="4944" xr:uid="{00000000-0005-0000-0000-0000F24E0000}"/>
    <cellStyle name="Comma 2 3 2 12 2" xfId="18431" xr:uid="{00000000-0005-0000-0000-0000F34E0000}"/>
    <cellStyle name="Comma 2 3 2 12 2 2" xfId="41709" xr:uid="{00000000-0005-0000-0000-0000F44E0000}"/>
    <cellStyle name="Comma 2 3 2 12 3" xfId="28223" xr:uid="{00000000-0005-0000-0000-0000F54E0000}"/>
    <cellStyle name="Comma 2 3 2 13" xfId="7392" xr:uid="{00000000-0005-0000-0000-0000F64E0000}"/>
    <cellStyle name="Comma 2 3 2 13 2" xfId="30671" xr:uid="{00000000-0005-0000-0000-0000F74E0000}"/>
    <cellStyle name="Comma 2 3 2 14" xfId="9840" xr:uid="{00000000-0005-0000-0000-0000F84E0000}"/>
    <cellStyle name="Comma 2 3 2 14 2" xfId="33119" xr:uid="{00000000-0005-0000-0000-0000F94E0000}"/>
    <cellStyle name="Comma 2 3 2 15" xfId="12288" xr:uid="{00000000-0005-0000-0000-0000FA4E0000}"/>
    <cellStyle name="Comma 2 3 2 15 2" xfId="35567" xr:uid="{00000000-0005-0000-0000-0000FB4E0000}"/>
    <cellStyle name="Comma 2 3 2 16" xfId="14742" xr:uid="{00000000-0005-0000-0000-0000FC4E0000}"/>
    <cellStyle name="Comma 2 3 2 16 2" xfId="38020" xr:uid="{00000000-0005-0000-0000-0000FD4E0000}"/>
    <cellStyle name="Comma 2 3 2 17" xfId="23327" xr:uid="{00000000-0005-0000-0000-0000FE4E0000}"/>
    <cellStyle name="Comma 2 3 2 18" xfId="44157" xr:uid="{00000000-0005-0000-0000-0000FF4E0000}"/>
    <cellStyle name="Comma 2 3 2 19" xfId="20879" xr:uid="{00000000-0005-0000-0000-0000004F0000}"/>
    <cellStyle name="Comma 2 3 2 2" xfId="65" xr:uid="{00000000-0005-0000-0000-0000014F0000}"/>
    <cellStyle name="Comma 2 3 2 2 10" xfId="7409" xr:uid="{00000000-0005-0000-0000-0000024F0000}"/>
    <cellStyle name="Comma 2 3 2 2 10 2" xfId="30688" xr:uid="{00000000-0005-0000-0000-0000034F0000}"/>
    <cellStyle name="Comma 2 3 2 2 11" xfId="9857" xr:uid="{00000000-0005-0000-0000-0000044F0000}"/>
    <cellStyle name="Comma 2 3 2 2 11 2" xfId="33136" xr:uid="{00000000-0005-0000-0000-0000054F0000}"/>
    <cellStyle name="Comma 2 3 2 2 12" xfId="12305" xr:uid="{00000000-0005-0000-0000-0000064F0000}"/>
    <cellStyle name="Comma 2 3 2 2 12 2" xfId="35584" xr:uid="{00000000-0005-0000-0000-0000074F0000}"/>
    <cellStyle name="Comma 2 3 2 2 13" xfId="14776" xr:uid="{00000000-0005-0000-0000-0000084F0000}"/>
    <cellStyle name="Comma 2 3 2 2 13 2" xfId="38054" xr:uid="{00000000-0005-0000-0000-0000094F0000}"/>
    <cellStyle name="Comma 2 3 2 2 14" xfId="23344" xr:uid="{00000000-0005-0000-0000-00000A4F0000}"/>
    <cellStyle name="Comma 2 3 2 2 15" xfId="44174" xr:uid="{00000000-0005-0000-0000-00000B4F0000}"/>
    <cellStyle name="Comma 2 3 2 2 16" xfId="20896" xr:uid="{00000000-0005-0000-0000-00000C4F0000}"/>
    <cellStyle name="Comma 2 3 2 2 2" xfId="133" xr:uid="{00000000-0005-0000-0000-00000D4F0000}"/>
    <cellStyle name="Comma 2 3 2 2 2 10" xfId="12373" xr:uid="{00000000-0005-0000-0000-00000E4F0000}"/>
    <cellStyle name="Comma 2 3 2 2 2 10 2" xfId="35652" xr:uid="{00000000-0005-0000-0000-00000F4F0000}"/>
    <cellStyle name="Comma 2 3 2 2 2 11" xfId="14844" xr:uid="{00000000-0005-0000-0000-0000104F0000}"/>
    <cellStyle name="Comma 2 3 2 2 2 11 2" xfId="38122" xr:uid="{00000000-0005-0000-0000-0000114F0000}"/>
    <cellStyle name="Comma 2 3 2 2 2 12" xfId="23412" xr:uid="{00000000-0005-0000-0000-0000124F0000}"/>
    <cellStyle name="Comma 2 3 2 2 2 13" xfId="44242" xr:uid="{00000000-0005-0000-0000-0000134F0000}"/>
    <cellStyle name="Comma 2 3 2 2 2 14" xfId="20964" xr:uid="{00000000-0005-0000-0000-0000144F0000}"/>
    <cellStyle name="Comma 2 3 2 2 2 2" xfId="337" xr:uid="{00000000-0005-0000-0000-0000154F0000}"/>
    <cellStyle name="Comma 2 3 2 2 2 2 10" xfId="23616" xr:uid="{00000000-0005-0000-0000-0000164F0000}"/>
    <cellStyle name="Comma 2 3 2 2 2 2 11" xfId="44446" xr:uid="{00000000-0005-0000-0000-0000174F0000}"/>
    <cellStyle name="Comma 2 3 2 2 2 2 12" xfId="21168" xr:uid="{00000000-0005-0000-0000-0000184F0000}"/>
    <cellStyle name="Comma 2 3 2 2 2 2 2" xfId="949" xr:uid="{00000000-0005-0000-0000-0000194F0000}"/>
    <cellStyle name="Comma 2 3 2 2 2 2 2 10" xfId="45058" xr:uid="{00000000-0005-0000-0000-00001A4F0000}"/>
    <cellStyle name="Comma 2 3 2 2 2 2 2 11" xfId="21780" xr:uid="{00000000-0005-0000-0000-00001B4F0000}"/>
    <cellStyle name="Comma 2 3 2 2 2 2 2 2" xfId="2173" xr:uid="{00000000-0005-0000-0000-00001C4F0000}"/>
    <cellStyle name="Comma 2 3 2 2 2 2 2 2 10" xfId="23004" xr:uid="{00000000-0005-0000-0000-00001D4F0000}"/>
    <cellStyle name="Comma 2 3 2 2 2 2 2 2 2" xfId="4621" xr:uid="{00000000-0005-0000-0000-00001E4F0000}"/>
    <cellStyle name="Comma 2 3 2 2 2 2 2 2 2 2" xfId="20556" xr:uid="{00000000-0005-0000-0000-00001F4F0000}"/>
    <cellStyle name="Comma 2 3 2 2 2 2 2 2 2 2 2" xfId="43834" xr:uid="{00000000-0005-0000-0000-0000204F0000}"/>
    <cellStyle name="Comma 2 3 2 2 2 2 2 2 2 3" xfId="48730" xr:uid="{00000000-0005-0000-0000-0000214F0000}"/>
    <cellStyle name="Comma 2 3 2 2 2 2 2 2 2 4" xfId="27900" xr:uid="{00000000-0005-0000-0000-0000224F0000}"/>
    <cellStyle name="Comma 2 3 2 2 2 2 2 2 3" xfId="7069" xr:uid="{00000000-0005-0000-0000-0000234F0000}"/>
    <cellStyle name="Comma 2 3 2 2 2 2 2 2 3 2" xfId="30348" xr:uid="{00000000-0005-0000-0000-0000244F0000}"/>
    <cellStyle name="Comma 2 3 2 2 2 2 2 2 4" xfId="9517" xr:uid="{00000000-0005-0000-0000-0000254F0000}"/>
    <cellStyle name="Comma 2 3 2 2 2 2 2 2 4 2" xfId="32796" xr:uid="{00000000-0005-0000-0000-0000264F0000}"/>
    <cellStyle name="Comma 2 3 2 2 2 2 2 2 5" xfId="11965" xr:uid="{00000000-0005-0000-0000-0000274F0000}"/>
    <cellStyle name="Comma 2 3 2 2 2 2 2 2 5 2" xfId="35244" xr:uid="{00000000-0005-0000-0000-0000284F0000}"/>
    <cellStyle name="Comma 2 3 2 2 2 2 2 2 6" xfId="14413" xr:uid="{00000000-0005-0000-0000-0000294F0000}"/>
    <cellStyle name="Comma 2 3 2 2 2 2 2 2 6 2" xfId="37692" xr:uid="{00000000-0005-0000-0000-00002A4F0000}"/>
    <cellStyle name="Comma 2 3 2 2 2 2 2 2 7" xfId="18108" xr:uid="{00000000-0005-0000-0000-00002B4F0000}"/>
    <cellStyle name="Comma 2 3 2 2 2 2 2 2 7 2" xfId="41386" xr:uid="{00000000-0005-0000-0000-00002C4F0000}"/>
    <cellStyle name="Comma 2 3 2 2 2 2 2 2 8" xfId="25452" xr:uid="{00000000-0005-0000-0000-00002D4F0000}"/>
    <cellStyle name="Comma 2 3 2 2 2 2 2 2 9" xfId="46282" xr:uid="{00000000-0005-0000-0000-00002E4F0000}"/>
    <cellStyle name="Comma 2 3 2 2 2 2 2 3" xfId="3397" xr:uid="{00000000-0005-0000-0000-00002F4F0000}"/>
    <cellStyle name="Comma 2 3 2 2 2 2 2 3 2" xfId="16884" xr:uid="{00000000-0005-0000-0000-0000304F0000}"/>
    <cellStyle name="Comma 2 3 2 2 2 2 2 3 2 2" xfId="40162" xr:uid="{00000000-0005-0000-0000-0000314F0000}"/>
    <cellStyle name="Comma 2 3 2 2 2 2 2 3 3" xfId="47506" xr:uid="{00000000-0005-0000-0000-0000324F0000}"/>
    <cellStyle name="Comma 2 3 2 2 2 2 2 3 4" xfId="26676" xr:uid="{00000000-0005-0000-0000-0000334F0000}"/>
    <cellStyle name="Comma 2 3 2 2 2 2 2 4" xfId="5845" xr:uid="{00000000-0005-0000-0000-0000344F0000}"/>
    <cellStyle name="Comma 2 3 2 2 2 2 2 4 2" xfId="19332" xr:uid="{00000000-0005-0000-0000-0000354F0000}"/>
    <cellStyle name="Comma 2 3 2 2 2 2 2 4 2 2" xfId="42610" xr:uid="{00000000-0005-0000-0000-0000364F0000}"/>
    <cellStyle name="Comma 2 3 2 2 2 2 2 4 3" xfId="29124" xr:uid="{00000000-0005-0000-0000-0000374F0000}"/>
    <cellStyle name="Comma 2 3 2 2 2 2 2 5" xfId="8293" xr:uid="{00000000-0005-0000-0000-0000384F0000}"/>
    <cellStyle name="Comma 2 3 2 2 2 2 2 5 2" xfId="31572" xr:uid="{00000000-0005-0000-0000-0000394F0000}"/>
    <cellStyle name="Comma 2 3 2 2 2 2 2 6" xfId="10741" xr:uid="{00000000-0005-0000-0000-00003A4F0000}"/>
    <cellStyle name="Comma 2 3 2 2 2 2 2 6 2" xfId="34020" xr:uid="{00000000-0005-0000-0000-00003B4F0000}"/>
    <cellStyle name="Comma 2 3 2 2 2 2 2 7" xfId="13189" xr:uid="{00000000-0005-0000-0000-00003C4F0000}"/>
    <cellStyle name="Comma 2 3 2 2 2 2 2 7 2" xfId="36468" xr:uid="{00000000-0005-0000-0000-00003D4F0000}"/>
    <cellStyle name="Comma 2 3 2 2 2 2 2 8" xfId="15660" xr:uid="{00000000-0005-0000-0000-00003E4F0000}"/>
    <cellStyle name="Comma 2 3 2 2 2 2 2 8 2" xfId="38938" xr:uid="{00000000-0005-0000-0000-00003F4F0000}"/>
    <cellStyle name="Comma 2 3 2 2 2 2 2 9" xfId="24228" xr:uid="{00000000-0005-0000-0000-0000404F0000}"/>
    <cellStyle name="Comma 2 3 2 2 2 2 3" xfId="1561" xr:uid="{00000000-0005-0000-0000-0000414F0000}"/>
    <cellStyle name="Comma 2 3 2 2 2 2 3 10" xfId="22392" xr:uid="{00000000-0005-0000-0000-0000424F0000}"/>
    <cellStyle name="Comma 2 3 2 2 2 2 3 2" xfId="4009" xr:uid="{00000000-0005-0000-0000-0000434F0000}"/>
    <cellStyle name="Comma 2 3 2 2 2 2 3 2 2" xfId="19944" xr:uid="{00000000-0005-0000-0000-0000444F0000}"/>
    <cellStyle name="Comma 2 3 2 2 2 2 3 2 2 2" xfId="43222" xr:uid="{00000000-0005-0000-0000-0000454F0000}"/>
    <cellStyle name="Comma 2 3 2 2 2 2 3 2 3" xfId="48118" xr:uid="{00000000-0005-0000-0000-0000464F0000}"/>
    <cellStyle name="Comma 2 3 2 2 2 2 3 2 4" xfId="27288" xr:uid="{00000000-0005-0000-0000-0000474F0000}"/>
    <cellStyle name="Comma 2 3 2 2 2 2 3 3" xfId="6457" xr:uid="{00000000-0005-0000-0000-0000484F0000}"/>
    <cellStyle name="Comma 2 3 2 2 2 2 3 3 2" xfId="29736" xr:uid="{00000000-0005-0000-0000-0000494F0000}"/>
    <cellStyle name="Comma 2 3 2 2 2 2 3 4" xfId="8905" xr:uid="{00000000-0005-0000-0000-00004A4F0000}"/>
    <cellStyle name="Comma 2 3 2 2 2 2 3 4 2" xfId="32184" xr:uid="{00000000-0005-0000-0000-00004B4F0000}"/>
    <cellStyle name="Comma 2 3 2 2 2 2 3 5" xfId="11353" xr:uid="{00000000-0005-0000-0000-00004C4F0000}"/>
    <cellStyle name="Comma 2 3 2 2 2 2 3 5 2" xfId="34632" xr:uid="{00000000-0005-0000-0000-00004D4F0000}"/>
    <cellStyle name="Comma 2 3 2 2 2 2 3 6" xfId="13801" xr:uid="{00000000-0005-0000-0000-00004E4F0000}"/>
    <cellStyle name="Comma 2 3 2 2 2 2 3 6 2" xfId="37080" xr:uid="{00000000-0005-0000-0000-00004F4F0000}"/>
    <cellStyle name="Comma 2 3 2 2 2 2 3 7" xfId="17496" xr:uid="{00000000-0005-0000-0000-0000504F0000}"/>
    <cellStyle name="Comma 2 3 2 2 2 2 3 7 2" xfId="40774" xr:uid="{00000000-0005-0000-0000-0000514F0000}"/>
    <cellStyle name="Comma 2 3 2 2 2 2 3 8" xfId="24840" xr:uid="{00000000-0005-0000-0000-0000524F0000}"/>
    <cellStyle name="Comma 2 3 2 2 2 2 3 9" xfId="45670" xr:uid="{00000000-0005-0000-0000-0000534F0000}"/>
    <cellStyle name="Comma 2 3 2 2 2 2 4" xfId="2785" xr:uid="{00000000-0005-0000-0000-0000544F0000}"/>
    <cellStyle name="Comma 2 3 2 2 2 2 4 2" xfId="16272" xr:uid="{00000000-0005-0000-0000-0000554F0000}"/>
    <cellStyle name="Comma 2 3 2 2 2 2 4 2 2" xfId="39550" xr:uid="{00000000-0005-0000-0000-0000564F0000}"/>
    <cellStyle name="Comma 2 3 2 2 2 2 4 3" xfId="46894" xr:uid="{00000000-0005-0000-0000-0000574F0000}"/>
    <cellStyle name="Comma 2 3 2 2 2 2 4 4" xfId="26064" xr:uid="{00000000-0005-0000-0000-0000584F0000}"/>
    <cellStyle name="Comma 2 3 2 2 2 2 5" xfId="5233" xr:uid="{00000000-0005-0000-0000-0000594F0000}"/>
    <cellStyle name="Comma 2 3 2 2 2 2 5 2" xfId="18720" xr:uid="{00000000-0005-0000-0000-00005A4F0000}"/>
    <cellStyle name="Comma 2 3 2 2 2 2 5 2 2" xfId="41998" xr:uid="{00000000-0005-0000-0000-00005B4F0000}"/>
    <cellStyle name="Comma 2 3 2 2 2 2 5 3" xfId="28512" xr:uid="{00000000-0005-0000-0000-00005C4F0000}"/>
    <cellStyle name="Comma 2 3 2 2 2 2 6" xfId="7681" xr:uid="{00000000-0005-0000-0000-00005D4F0000}"/>
    <cellStyle name="Comma 2 3 2 2 2 2 6 2" xfId="30960" xr:uid="{00000000-0005-0000-0000-00005E4F0000}"/>
    <cellStyle name="Comma 2 3 2 2 2 2 7" xfId="10129" xr:uid="{00000000-0005-0000-0000-00005F4F0000}"/>
    <cellStyle name="Comma 2 3 2 2 2 2 7 2" xfId="33408" xr:uid="{00000000-0005-0000-0000-0000604F0000}"/>
    <cellStyle name="Comma 2 3 2 2 2 2 8" xfId="12577" xr:uid="{00000000-0005-0000-0000-0000614F0000}"/>
    <cellStyle name="Comma 2 3 2 2 2 2 8 2" xfId="35856" xr:uid="{00000000-0005-0000-0000-0000624F0000}"/>
    <cellStyle name="Comma 2 3 2 2 2 2 9" xfId="15048" xr:uid="{00000000-0005-0000-0000-0000634F0000}"/>
    <cellStyle name="Comma 2 3 2 2 2 2 9 2" xfId="38326" xr:uid="{00000000-0005-0000-0000-0000644F0000}"/>
    <cellStyle name="Comma 2 3 2 2 2 3" xfId="541" xr:uid="{00000000-0005-0000-0000-0000654F0000}"/>
    <cellStyle name="Comma 2 3 2 2 2 3 10" xfId="23820" xr:uid="{00000000-0005-0000-0000-0000664F0000}"/>
    <cellStyle name="Comma 2 3 2 2 2 3 11" xfId="44650" xr:uid="{00000000-0005-0000-0000-0000674F0000}"/>
    <cellStyle name="Comma 2 3 2 2 2 3 12" xfId="21372" xr:uid="{00000000-0005-0000-0000-0000684F0000}"/>
    <cellStyle name="Comma 2 3 2 2 2 3 2" xfId="1153" xr:uid="{00000000-0005-0000-0000-0000694F0000}"/>
    <cellStyle name="Comma 2 3 2 2 2 3 2 10" xfId="45262" xr:uid="{00000000-0005-0000-0000-00006A4F0000}"/>
    <cellStyle name="Comma 2 3 2 2 2 3 2 11" xfId="21984" xr:uid="{00000000-0005-0000-0000-00006B4F0000}"/>
    <cellStyle name="Comma 2 3 2 2 2 3 2 2" xfId="2377" xr:uid="{00000000-0005-0000-0000-00006C4F0000}"/>
    <cellStyle name="Comma 2 3 2 2 2 3 2 2 10" xfId="23208" xr:uid="{00000000-0005-0000-0000-00006D4F0000}"/>
    <cellStyle name="Comma 2 3 2 2 2 3 2 2 2" xfId="4825" xr:uid="{00000000-0005-0000-0000-00006E4F0000}"/>
    <cellStyle name="Comma 2 3 2 2 2 3 2 2 2 2" xfId="20760" xr:uid="{00000000-0005-0000-0000-00006F4F0000}"/>
    <cellStyle name="Comma 2 3 2 2 2 3 2 2 2 2 2" xfId="44038" xr:uid="{00000000-0005-0000-0000-0000704F0000}"/>
    <cellStyle name="Comma 2 3 2 2 2 3 2 2 2 3" xfId="48934" xr:uid="{00000000-0005-0000-0000-0000714F0000}"/>
    <cellStyle name="Comma 2 3 2 2 2 3 2 2 2 4" xfId="28104" xr:uid="{00000000-0005-0000-0000-0000724F0000}"/>
    <cellStyle name="Comma 2 3 2 2 2 3 2 2 3" xfId="7273" xr:uid="{00000000-0005-0000-0000-0000734F0000}"/>
    <cellStyle name="Comma 2 3 2 2 2 3 2 2 3 2" xfId="30552" xr:uid="{00000000-0005-0000-0000-0000744F0000}"/>
    <cellStyle name="Comma 2 3 2 2 2 3 2 2 4" xfId="9721" xr:uid="{00000000-0005-0000-0000-0000754F0000}"/>
    <cellStyle name="Comma 2 3 2 2 2 3 2 2 4 2" xfId="33000" xr:uid="{00000000-0005-0000-0000-0000764F0000}"/>
    <cellStyle name="Comma 2 3 2 2 2 3 2 2 5" xfId="12169" xr:uid="{00000000-0005-0000-0000-0000774F0000}"/>
    <cellStyle name="Comma 2 3 2 2 2 3 2 2 5 2" xfId="35448" xr:uid="{00000000-0005-0000-0000-0000784F0000}"/>
    <cellStyle name="Comma 2 3 2 2 2 3 2 2 6" xfId="14617" xr:uid="{00000000-0005-0000-0000-0000794F0000}"/>
    <cellStyle name="Comma 2 3 2 2 2 3 2 2 6 2" xfId="37896" xr:uid="{00000000-0005-0000-0000-00007A4F0000}"/>
    <cellStyle name="Comma 2 3 2 2 2 3 2 2 7" xfId="18312" xr:uid="{00000000-0005-0000-0000-00007B4F0000}"/>
    <cellStyle name="Comma 2 3 2 2 2 3 2 2 7 2" xfId="41590" xr:uid="{00000000-0005-0000-0000-00007C4F0000}"/>
    <cellStyle name="Comma 2 3 2 2 2 3 2 2 8" xfId="25656" xr:uid="{00000000-0005-0000-0000-00007D4F0000}"/>
    <cellStyle name="Comma 2 3 2 2 2 3 2 2 9" xfId="46486" xr:uid="{00000000-0005-0000-0000-00007E4F0000}"/>
    <cellStyle name="Comma 2 3 2 2 2 3 2 3" xfId="3601" xr:uid="{00000000-0005-0000-0000-00007F4F0000}"/>
    <cellStyle name="Comma 2 3 2 2 2 3 2 3 2" xfId="17088" xr:uid="{00000000-0005-0000-0000-0000804F0000}"/>
    <cellStyle name="Comma 2 3 2 2 2 3 2 3 2 2" xfId="40366" xr:uid="{00000000-0005-0000-0000-0000814F0000}"/>
    <cellStyle name="Comma 2 3 2 2 2 3 2 3 3" xfId="47710" xr:uid="{00000000-0005-0000-0000-0000824F0000}"/>
    <cellStyle name="Comma 2 3 2 2 2 3 2 3 4" xfId="26880" xr:uid="{00000000-0005-0000-0000-0000834F0000}"/>
    <cellStyle name="Comma 2 3 2 2 2 3 2 4" xfId="6049" xr:uid="{00000000-0005-0000-0000-0000844F0000}"/>
    <cellStyle name="Comma 2 3 2 2 2 3 2 4 2" xfId="19536" xr:uid="{00000000-0005-0000-0000-0000854F0000}"/>
    <cellStyle name="Comma 2 3 2 2 2 3 2 4 2 2" xfId="42814" xr:uid="{00000000-0005-0000-0000-0000864F0000}"/>
    <cellStyle name="Comma 2 3 2 2 2 3 2 4 3" xfId="29328" xr:uid="{00000000-0005-0000-0000-0000874F0000}"/>
    <cellStyle name="Comma 2 3 2 2 2 3 2 5" xfId="8497" xr:uid="{00000000-0005-0000-0000-0000884F0000}"/>
    <cellStyle name="Comma 2 3 2 2 2 3 2 5 2" xfId="31776" xr:uid="{00000000-0005-0000-0000-0000894F0000}"/>
    <cellStyle name="Comma 2 3 2 2 2 3 2 6" xfId="10945" xr:uid="{00000000-0005-0000-0000-00008A4F0000}"/>
    <cellStyle name="Comma 2 3 2 2 2 3 2 6 2" xfId="34224" xr:uid="{00000000-0005-0000-0000-00008B4F0000}"/>
    <cellStyle name="Comma 2 3 2 2 2 3 2 7" xfId="13393" xr:uid="{00000000-0005-0000-0000-00008C4F0000}"/>
    <cellStyle name="Comma 2 3 2 2 2 3 2 7 2" xfId="36672" xr:uid="{00000000-0005-0000-0000-00008D4F0000}"/>
    <cellStyle name="Comma 2 3 2 2 2 3 2 8" xfId="15864" xr:uid="{00000000-0005-0000-0000-00008E4F0000}"/>
    <cellStyle name="Comma 2 3 2 2 2 3 2 8 2" xfId="39142" xr:uid="{00000000-0005-0000-0000-00008F4F0000}"/>
    <cellStyle name="Comma 2 3 2 2 2 3 2 9" xfId="24432" xr:uid="{00000000-0005-0000-0000-0000904F0000}"/>
    <cellStyle name="Comma 2 3 2 2 2 3 3" xfId="1765" xr:uid="{00000000-0005-0000-0000-0000914F0000}"/>
    <cellStyle name="Comma 2 3 2 2 2 3 3 10" xfId="22596" xr:uid="{00000000-0005-0000-0000-0000924F0000}"/>
    <cellStyle name="Comma 2 3 2 2 2 3 3 2" xfId="4213" xr:uid="{00000000-0005-0000-0000-0000934F0000}"/>
    <cellStyle name="Comma 2 3 2 2 2 3 3 2 2" xfId="20148" xr:uid="{00000000-0005-0000-0000-0000944F0000}"/>
    <cellStyle name="Comma 2 3 2 2 2 3 3 2 2 2" xfId="43426" xr:uid="{00000000-0005-0000-0000-0000954F0000}"/>
    <cellStyle name="Comma 2 3 2 2 2 3 3 2 3" xfId="48322" xr:uid="{00000000-0005-0000-0000-0000964F0000}"/>
    <cellStyle name="Comma 2 3 2 2 2 3 3 2 4" xfId="27492" xr:uid="{00000000-0005-0000-0000-0000974F0000}"/>
    <cellStyle name="Comma 2 3 2 2 2 3 3 3" xfId="6661" xr:uid="{00000000-0005-0000-0000-0000984F0000}"/>
    <cellStyle name="Comma 2 3 2 2 2 3 3 3 2" xfId="29940" xr:uid="{00000000-0005-0000-0000-0000994F0000}"/>
    <cellStyle name="Comma 2 3 2 2 2 3 3 4" xfId="9109" xr:uid="{00000000-0005-0000-0000-00009A4F0000}"/>
    <cellStyle name="Comma 2 3 2 2 2 3 3 4 2" xfId="32388" xr:uid="{00000000-0005-0000-0000-00009B4F0000}"/>
    <cellStyle name="Comma 2 3 2 2 2 3 3 5" xfId="11557" xr:uid="{00000000-0005-0000-0000-00009C4F0000}"/>
    <cellStyle name="Comma 2 3 2 2 2 3 3 5 2" xfId="34836" xr:uid="{00000000-0005-0000-0000-00009D4F0000}"/>
    <cellStyle name="Comma 2 3 2 2 2 3 3 6" xfId="14005" xr:uid="{00000000-0005-0000-0000-00009E4F0000}"/>
    <cellStyle name="Comma 2 3 2 2 2 3 3 6 2" xfId="37284" xr:uid="{00000000-0005-0000-0000-00009F4F0000}"/>
    <cellStyle name="Comma 2 3 2 2 2 3 3 7" xfId="17700" xr:uid="{00000000-0005-0000-0000-0000A04F0000}"/>
    <cellStyle name="Comma 2 3 2 2 2 3 3 7 2" xfId="40978" xr:uid="{00000000-0005-0000-0000-0000A14F0000}"/>
    <cellStyle name="Comma 2 3 2 2 2 3 3 8" xfId="25044" xr:uid="{00000000-0005-0000-0000-0000A24F0000}"/>
    <cellStyle name="Comma 2 3 2 2 2 3 3 9" xfId="45874" xr:uid="{00000000-0005-0000-0000-0000A34F0000}"/>
    <cellStyle name="Comma 2 3 2 2 2 3 4" xfId="2989" xr:uid="{00000000-0005-0000-0000-0000A44F0000}"/>
    <cellStyle name="Comma 2 3 2 2 2 3 4 2" xfId="16476" xr:uid="{00000000-0005-0000-0000-0000A54F0000}"/>
    <cellStyle name="Comma 2 3 2 2 2 3 4 2 2" xfId="39754" xr:uid="{00000000-0005-0000-0000-0000A64F0000}"/>
    <cellStyle name="Comma 2 3 2 2 2 3 4 3" xfId="47098" xr:uid="{00000000-0005-0000-0000-0000A74F0000}"/>
    <cellStyle name="Comma 2 3 2 2 2 3 4 4" xfId="26268" xr:uid="{00000000-0005-0000-0000-0000A84F0000}"/>
    <cellStyle name="Comma 2 3 2 2 2 3 5" xfId="5437" xr:uid="{00000000-0005-0000-0000-0000A94F0000}"/>
    <cellStyle name="Comma 2 3 2 2 2 3 5 2" xfId="18924" xr:uid="{00000000-0005-0000-0000-0000AA4F0000}"/>
    <cellStyle name="Comma 2 3 2 2 2 3 5 2 2" xfId="42202" xr:uid="{00000000-0005-0000-0000-0000AB4F0000}"/>
    <cellStyle name="Comma 2 3 2 2 2 3 5 3" xfId="28716" xr:uid="{00000000-0005-0000-0000-0000AC4F0000}"/>
    <cellStyle name="Comma 2 3 2 2 2 3 6" xfId="7885" xr:uid="{00000000-0005-0000-0000-0000AD4F0000}"/>
    <cellStyle name="Comma 2 3 2 2 2 3 6 2" xfId="31164" xr:uid="{00000000-0005-0000-0000-0000AE4F0000}"/>
    <cellStyle name="Comma 2 3 2 2 2 3 7" xfId="10333" xr:uid="{00000000-0005-0000-0000-0000AF4F0000}"/>
    <cellStyle name="Comma 2 3 2 2 2 3 7 2" xfId="33612" xr:uid="{00000000-0005-0000-0000-0000B04F0000}"/>
    <cellStyle name="Comma 2 3 2 2 2 3 8" xfId="12781" xr:uid="{00000000-0005-0000-0000-0000B14F0000}"/>
    <cellStyle name="Comma 2 3 2 2 2 3 8 2" xfId="36060" xr:uid="{00000000-0005-0000-0000-0000B24F0000}"/>
    <cellStyle name="Comma 2 3 2 2 2 3 9" xfId="15252" xr:uid="{00000000-0005-0000-0000-0000B34F0000}"/>
    <cellStyle name="Comma 2 3 2 2 2 3 9 2" xfId="38530" xr:uid="{00000000-0005-0000-0000-0000B44F0000}"/>
    <cellStyle name="Comma 2 3 2 2 2 4" xfId="745" xr:uid="{00000000-0005-0000-0000-0000B54F0000}"/>
    <cellStyle name="Comma 2 3 2 2 2 4 10" xfId="44854" xr:uid="{00000000-0005-0000-0000-0000B64F0000}"/>
    <cellStyle name="Comma 2 3 2 2 2 4 11" xfId="21576" xr:uid="{00000000-0005-0000-0000-0000B74F0000}"/>
    <cellStyle name="Comma 2 3 2 2 2 4 2" xfId="1969" xr:uid="{00000000-0005-0000-0000-0000B84F0000}"/>
    <cellStyle name="Comma 2 3 2 2 2 4 2 10" xfId="22800" xr:uid="{00000000-0005-0000-0000-0000B94F0000}"/>
    <cellStyle name="Comma 2 3 2 2 2 4 2 2" xfId="4417" xr:uid="{00000000-0005-0000-0000-0000BA4F0000}"/>
    <cellStyle name="Comma 2 3 2 2 2 4 2 2 2" xfId="20352" xr:uid="{00000000-0005-0000-0000-0000BB4F0000}"/>
    <cellStyle name="Comma 2 3 2 2 2 4 2 2 2 2" xfId="43630" xr:uid="{00000000-0005-0000-0000-0000BC4F0000}"/>
    <cellStyle name="Comma 2 3 2 2 2 4 2 2 3" xfId="48526" xr:uid="{00000000-0005-0000-0000-0000BD4F0000}"/>
    <cellStyle name="Comma 2 3 2 2 2 4 2 2 4" xfId="27696" xr:uid="{00000000-0005-0000-0000-0000BE4F0000}"/>
    <cellStyle name="Comma 2 3 2 2 2 4 2 3" xfId="6865" xr:uid="{00000000-0005-0000-0000-0000BF4F0000}"/>
    <cellStyle name="Comma 2 3 2 2 2 4 2 3 2" xfId="30144" xr:uid="{00000000-0005-0000-0000-0000C04F0000}"/>
    <cellStyle name="Comma 2 3 2 2 2 4 2 4" xfId="9313" xr:uid="{00000000-0005-0000-0000-0000C14F0000}"/>
    <cellStyle name="Comma 2 3 2 2 2 4 2 4 2" xfId="32592" xr:uid="{00000000-0005-0000-0000-0000C24F0000}"/>
    <cellStyle name="Comma 2 3 2 2 2 4 2 5" xfId="11761" xr:uid="{00000000-0005-0000-0000-0000C34F0000}"/>
    <cellStyle name="Comma 2 3 2 2 2 4 2 5 2" xfId="35040" xr:uid="{00000000-0005-0000-0000-0000C44F0000}"/>
    <cellStyle name="Comma 2 3 2 2 2 4 2 6" xfId="14209" xr:uid="{00000000-0005-0000-0000-0000C54F0000}"/>
    <cellStyle name="Comma 2 3 2 2 2 4 2 6 2" xfId="37488" xr:uid="{00000000-0005-0000-0000-0000C64F0000}"/>
    <cellStyle name="Comma 2 3 2 2 2 4 2 7" xfId="17904" xr:uid="{00000000-0005-0000-0000-0000C74F0000}"/>
    <cellStyle name="Comma 2 3 2 2 2 4 2 7 2" xfId="41182" xr:uid="{00000000-0005-0000-0000-0000C84F0000}"/>
    <cellStyle name="Comma 2 3 2 2 2 4 2 8" xfId="25248" xr:uid="{00000000-0005-0000-0000-0000C94F0000}"/>
    <cellStyle name="Comma 2 3 2 2 2 4 2 9" xfId="46078" xr:uid="{00000000-0005-0000-0000-0000CA4F0000}"/>
    <cellStyle name="Comma 2 3 2 2 2 4 3" xfId="3193" xr:uid="{00000000-0005-0000-0000-0000CB4F0000}"/>
    <cellStyle name="Comma 2 3 2 2 2 4 3 2" xfId="16680" xr:uid="{00000000-0005-0000-0000-0000CC4F0000}"/>
    <cellStyle name="Comma 2 3 2 2 2 4 3 2 2" xfId="39958" xr:uid="{00000000-0005-0000-0000-0000CD4F0000}"/>
    <cellStyle name="Comma 2 3 2 2 2 4 3 3" xfId="47302" xr:uid="{00000000-0005-0000-0000-0000CE4F0000}"/>
    <cellStyle name="Comma 2 3 2 2 2 4 3 4" xfId="26472" xr:uid="{00000000-0005-0000-0000-0000CF4F0000}"/>
    <cellStyle name="Comma 2 3 2 2 2 4 4" xfId="5641" xr:uid="{00000000-0005-0000-0000-0000D04F0000}"/>
    <cellStyle name="Comma 2 3 2 2 2 4 4 2" xfId="19128" xr:uid="{00000000-0005-0000-0000-0000D14F0000}"/>
    <cellStyle name="Comma 2 3 2 2 2 4 4 2 2" xfId="42406" xr:uid="{00000000-0005-0000-0000-0000D24F0000}"/>
    <cellStyle name="Comma 2 3 2 2 2 4 4 3" xfId="28920" xr:uid="{00000000-0005-0000-0000-0000D34F0000}"/>
    <cellStyle name="Comma 2 3 2 2 2 4 5" xfId="8089" xr:uid="{00000000-0005-0000-0000-0000D44F0000}"/>
    <cellStyle name="Comma 2 3 2 2 2 4 5 2" xfId="31368" xr:uid="{00000000-0005-0000-0000-0000D54F0000}"/>
    <cellStyle name="Comma 2 3 2 2 2 4 6" xfId="10537" xr:uid="{00000000-0005-0000-0000-0000D64F0000}"/>
    <cellStyle name="Comma 2 3 2 2 2 4 6 2" xfId="33816" xr:uid="{00000000-0005-0000-0000-0000D74F0000}"/>
    <cellStyle name="Comma 2 3 2 2 2 4 7" xfId="12985" xr:uid="{00000000-0005-0000-0000-0000D84F0000}"/>
    <cellStyle name="Comma 2 3 2 2 2 4 7 2" xfId="36264" xr:uid="{00000000-0005-0000-0000-0000D94F0000}"/>
    <cellStyle name="Comma 2 3 2 2 2 4 8" xfId="15456" xr:uid="{00000000-0005-0000-0000-0000DA4F0000}"/>
    <cellStyle name="Comma 2 3 2 2 2 4 8 2" xfId="38734" xr:uid="{00000000-0005-0000-0000-0000DB4F0000}"/>
    <cellStyle name="Comma 2 3 2 2 2 4 9" xfId="24024" xr:uid="{00000000-0005-0000-0000-0000DC4F0000}"/>
    <cellStyle name="Comma 2 3 2 2 2 5" xfId="1357" xr:uid="{00000000-0005-0000-0000-0000DD4F0000}"/>
    <cellStyle name="Comma 2 3 2 2 2 5 10" xfId="22188" xr:uid="{00000000-0005-0000-0000-0000DE4F0000}"/>
    <cellStyle name="Comma 2 3 2 2 2 5 2" xfId="3805" xr:uid="{00000000-0005-0000-0000-0000DF4F0000}"/>
    <cellStyle name="Comma 2 3 2 2 2 5 2 2" xfId="19740" xr:uid="{00000000-0005-0000-0000-0000E04F0000}"/>
    <cellStyle name="Comma 2 3 2 2 2 5 2 2 2" xfId="43018" xr:uid="{00000000-0005-0000-0000-0000E14F0000}"/>
    <cellStyle name="Comma 2 3 2 2 2 5 2 3" xfId="47914" xr:uid="{00000000-0005-0000-0000-0000E24F0000}"/>
    <cellStyle name="Comma 2 3 2 2 2 5 2 4" xfId="27084" xr:uid="{00000000-0005-0000-0000-0000E34F0000}"/>
    <cellStyle name="Comma 2 3 2 2 2 5 3" xfId="6253" xr:uid="{00000000-0005-0000-0000-0000E44F0000}"/>
    <cellStyle name="Comma 2 3 2 2 2 5 3 2" xfId="29532" xr:uid="{00000000-0005-0000-0000-0000E54F0000}"/>
    <cellStyle name="Comma 2 3 2 2 2 5 4" xfId="8701" xr:uid="{00000000-0005-0000-0000-0000E64F0000}"/>
    <cellStyle name="Comma 2 3 2 2 2 5 4 2" xfId="31980" xr:uid="{00000000-0005-0000-0000-0000E74F0000}"/>
    <cellStyle name="Comma 2 3 2 2 2 5 5" xfId="11149" xr:uid="{00000000-0005-0000-0000-0000E84F0000}"/>
    <cellStyle name="Comma 2 3 2 2 2 5 5 2" xfId="34428" xr:uid="{00000000-0005-0000-0000-0000E94F0000}"/>
    <cellStyle name="Comma 2 3 2 2 2 5 6" xfId="13597" xr:uid="{00000000-0005-0000-0000-0000EA4F0000}"/>
    <cellStyle name="Comma 2 3 2 2 2 5 6 2" xfId="36876" xr:uid="{00000000-0005-0000-0000-0000EB4F0000}"/>
    <cellStyle name="Comma 2 3 2 2 2 5 7" xfId="17292" xr:uid="{00000000-0005-0000-0000-0000EC4F0000}"/>
    <cellStyle name="Comma 2 3 2 2 2 5 7 2" xfId="40570" xr:uid="{00000000-0005-0000-0000-0000ED4F0000}"/>
    <cellStyle name="Comma 2 3 2 2 2 5 8" xfId="24636" xr:uid="{00000000-0005-0000-0000-0000EE4F0000}"/>
    <cellStyle name="Comma 2 3 2 2 2 5 9" xfId="45466" xr:uid="{00000000-0005-0000-0000-0000EF4F0000}"/>
    <cellStyle name="Comma 2 3 2 2 2 6" xfId="2581" xr:uid="{00000000-0005-0000-0000-0000F04F0000}"/>
    <cellStyle name="Comma 2 3 2 2 2 6 2" xfId="16068" xr:uid="{00000000-0005-0000-0000-0000F14F0000}"/>
    <cellStyle name="Comma 2 3 2 2 2 6 2 2" xfId="39346" xr:uid="{00000000-0005-0000-0000-0000F24F0000}"/>
    <cellStyle name="Comma 2 3 2 2 2 6 3" xfId="46690" xr:uid="{00000000-0005-0000-0000-0000F34F0000}"/>
    <cellStyle name="Comma 2 3 2 2 2 6 4" xfId="25860" xr:uid="{00000000-0005-0000-0000-0000F44F0000}"/>
    <cellStyle name="Comma 2 3 2 2 2 7" xfId="5029" xr:uid="{00000000-0005-0000-0000-0000F54F0000}"/>
    <cellStyle name="Comma 2 3 2 2 2 7 2" xfId="18516" xr:uid="{00000000-0005-0000-0000-0000F64F0000}"/>
    <cellStyle name="Comma 2 3 2 2 2 7 2 2" xfId="41794" xr:uid="{00000000-0005-0000-0000-0000F74F0000}"/>
    <cellStyle name="Comma 2 3 2 2 2 7 3" xfId="28308" xr:uid="{00000000-0005-0000-0000-0000F84F0000}"/>
    <cellStyle name="Comma 2 3 2 2 2 8" xfId="7477" xr:uid="{00000000-0005-0000-0000-0000F94F0000}"/>
    <cellStyle name="Comma 2 3 2 2 2 8 2" xfId="30756" xr:uid="{00000000-0005-0000-0000-0000FA4F0000}"/>
    <cellStyle name="Comma 2 3 2 2 2 9" xfId="9925" xr:uid="{00000000-0005-0000-0000-0000FB4F0000}"/>
    <cellStyle name="Comma 2 3 2 2 2 9 2" xfId="33204" xr:uid="{00000000-0005-0000-0000-0000FC4F0000}"/>
    <cellStyle name="Comma 2 3 2 2 3" xfId="201" xr:uid="{00000000-0005-0000-0000-0000FD4F0000}"/>
    <cellStyle name="Comma 2 3 2 2 3 10" xfId="12441" xr:uid="{00000000-0005-0000-0000-0000FE4F0000}"/>
    <cellStyle name="Comma 2 3 2 2 3 10 2" xfId="35720" xr:uid="{00000000-0005-0000-0000-0000FF4F0000}"/>
    <cellStyle name="Comma 2 3 2 2 3 11" xfId="14912" xr:uid="{00000000-0005-0000-0000-000000500000}"/>
    <cellStyle name="Comma 2 3 2 2 3 11 2" xfId="38190" xr:uid="{00000000-0005-0000-0000-000001500000}"/>
    <cellStyle name="Comma 2 3 2 2 3 12" xfId="23480" xr:uid="{00000000-0005-0000-0000-000002500000}"/>
    <cellStyle name="Comma 2 3 2 2 3 13" xfId="44310" xr:uid="{00000000-0005-0000-0000-000003500000}"/>
    <cellStyle name="Comma 2 3 2 2 3 14" xfId="21032" xr:uid="{00000000-0005-0000-0000-000004500000}"/>
    <cellStyle name="Comma 2 3 2 2 3 2" xfId="405" xr:uid="{00000000-0005-0000-0000-000005500000}"/>
    <cellStyle name="Comma 2 3 2 2 3 2 10" xfId="23684" xr:uid="{00000000-0005-0000-0000-000006500000}"/>
    <cellStyle name="Comma 2 3 2 2 3 2 11" xfId="44514" xr:uid="{00000000-0005-0000-0000-000007500000}"/>
    <cellStyle name="Comma 2 3 2 2 3 2 12" xfId="21236" xr:uid="{00000000-0005-0000-0000-000008500000}"/>
    <cellStyle name="Comma 2 3 2 2 3 2 2" xfId="1017" xr:uid="{00000000-0005-0000-0000-000009500000}"/>
    <cellStyle name="Comma 2 3 2 2 3 2 2 10" xfId="45126" xr:uid="{00000000-0005-0000-0000-00000A500000}"/>
    <cellStyle name="Comma 2 3 2 2 3 2 2 11" xfId="21848" xr:uid="{00000000-0005-0000-0000-00000B500000}"/>
    <cellStyle name="Comma 2 3 2 2 3 2 2 2" xfId="2241" xr:uid="{00000000-0005-0000-0000-00000C500000}"/>
    <cellStyle name="Comma 2 3 2 2 3 2 2 2 10" xfId="23072" xr:uid="{00000000-0005-0000-0000-00000D500000}"/>
    <cellStyle name="Comma 2 3 2 2 3 2 2 2 2" xfId="4689" xr:uid="{00000000-0005-0000-0000-00000E500000}"/>
    <cellStyle name="Comma 2 3 2 2 3 2 2 2 2 2" xfId="20624" xr:uid="{00000000-0005-0000-0000-00000F500000}"/>
    <cellStyle name="Comma 2 3 2 2 3 2 2 2 2 2 2" xfId="43902" xr:uid="{00000000-0005-0000-0000-000010500000}"/>
    <cellStyle name="Comma 2 3 2 2 3 2 2 2 2 3" xfId="48798" xr:uid="{00000000-0005-0000-0000-000011500000}"/>
    <cellStyle name="Comma 2 3 2 2 3 2 2 2 2 4" xfId="27968" xr:uid="{00000000-0005-0000-0000-000012500000}"/>
    <cellStyle name="Comma 2 3 2 2 3 2 2 2 3" xfId="7137" xr:uid="{00000000-0005-0000-0000-000013500000}"/>
    <cellStyle name="Comma 2 3 2 2 3 2 2 2 3 2" xfId="30416" xr:uid="{00000000-0005-0000-0000-000014500000}"/>
    <cellStyle name="Comma 2 3 2 2 3 2 2 2 4" xfId="9585" xr:uid="{00000000-0005-0000-0000-000015500000}"/>
    <cellStyle name="Comma 2 3 2 2 3 2 2 2 4 2" xfId="32864" xr:uid="{00000000-0005-0000-0000-000016500000}"/>
    <cellStyle name="Comma 2 3 2 2 3 2 2 2 5" xfId="12033" xr:uid="{00000000-0005-0000-0000-000017500000}"/>
    <cellStyle name="Comma 2 3 2 2 3 2 2 2 5 2" xfId="35312" xr:uid="{00000000-0005-0000-0000-000018500000}"/>
    <cellStyle name="Comma 2 3 2 2 3 2 2 2 6" xfId="14481" xr:uid="{00000000-0005-0000-0000-000019500000}"/>
    <cellStyle name="Comma 2 3 2 2 3 2 2 2 6 2" xfId="37760" xr:uid="{00000000-0005-0000-0000-00001A500000}"/>
    <cellStyle name="Comma 2 3 2 2 3 2 2 2 7" xfId="18176" xr:uid="{00000000-0005-0000-0000-00001B500000}"/>
    <cellStyle name="Comma 2 3 2 2 3 2 2 2 7 2" xfId="41454" xr:uid="{00000000-0005-0000-0000-00001C500000}"/>
    <cellStyle name="Comma 2 3 2 2 3 2 2 2 8" xfId="25520" xr:uid="{00000000-0005-0000-0000-00001D500000}"/>
    <cellStyle name="Comma 2 3 2 2 3 2 2 2 9" xfId="46350" xr:uid="{00000000-0005-0000-0000-00001E500000}"/>
    <cellStyle name="Comma 2 3 2 2 3 2 2 3" xfId="3465" xr:uid="{00000000-0005-0000-0000-00001F500000}"/>
    <cellStyle name="Comma 2 3 2 2 3 2 2 3 2" xfId="16952" xr:uid="{00000000-0005-0000-0000-000020500000}"/>
    <cellStyle name="Comma 2 3 2 2 3 2 2 3 2 2" xfId="40230" xr:uid="{00000000-0005-0000-0000-000021500000}"/>
    <cellStyle name="Comma 2 3 2 2 3 2 2 3 3" xfId="47574" xr:uid="{00000000-0005-0000-0000-000022500000}"/>
    <cellStyle name="Comma 2 3 2 2 3 2 2 3 4" xfId="26744" xr:uid="{00000000-0005-0000-0000-000023500000}"/>
    <cellStyle name="Comma 2 3 2 2 3 2 2 4" xfId="5913" xr:uid="{00000000-0005-0000-0000-000024500000}"/>
    <cellStyle name="Comma 2 3 2 2 3 2 2 4 2" xfId="19400" xr:uid="{00000000-0005-0000-0000-000025500000}"/>
    <cellStyle name="Comma 2 3 2 2 3 2 2 4 2 2" xfId="42678" xr:uid="{00000000-0005-0000-0000-000026500000}"/>
    <cellStyle name="Comma 2 3 2 2 3 2 2 4 3" xfId="29192" xr:uid="{00000000-0005-0000-0000-000027500000}"/>
    <cellStyle name="Comma 2 3 2 2 3 2 2 5" xfId="8361" xr:uid="{00000000-0005-0000-0000-000028500000}"/>
    <cellStyle name="Comma 2 3 2 2 3 2 2 5 2" xfId="31640" xr:uid="{00000000-0005-0000-0000-000029500000}"/>
    <cellStyle name="Comma 2 3 2 2 3 2 2 6" xfId="10809" xr:uid="{00000000-0005-0000-0000-00002A500000}"/>
    <cellStyle name="Comma 2 3 2 2 3 2 2 6 2" xfId="34088" xr:uid="{00000000-0005-0000-0000-00002B500000}"/>
    <cellStyle name="Comma 2 3 2 2 3 2 2 7" xfId="13257" xr:uid="{00000000-0005-0000-0000-00002C500000}"/>
    <cellStyle name="Comma 2 3 2 2 3 2 2 7 2" xfId="36536" xr:uid="{00000000-0005-0000-0000-00002D500000}"/>
    <cellStyle name="Comma 2 3 2 2 3 2 2 8" xfId="15728" xr:uid="{00000000-0005-0000-0000-00002E500000}"/>
    <cellStyle name="Comma 2 3 2 2 3 2 2 8 2" xfId="39006" xr:uid="{00000000-0005-0000-0000-00002F500000}"/>
    <cellStyle name="Comma 2 3 2 2 3 2 2 9" xfId="24296" xr:uid="{00000000-0005-0000-0000-000030500000}"/>
    <cellStyle name="Comma 2 3 2 2 3 2 3" xfId="1629" xr:uid="{00000000-0005-0000-0000-000031500000}"/>
    <cellStyle name="Comma 2 3 2 2 3 2 3 10" xfId="22460" xr:uid="{00000000-0005-0000-0000-000032500000}"/>
    <cellStyle name="Comma 2 3 2 2 3 2 3 2" xfId="4077" xr:uid="{00000000-0005-0000-0000-000033500000}"/>
    <cellStyle name="Comma 2 3 2 2 3 2 3 2 2" xfId="20012" xr:uid="{00000000-0005-0000-0000-000034500000}"/>
    <cellStyle name="Comma 2 3 2 2 3 2 3 2 2 2" xfId="43290" xr:uid="{00000000-0005-0000-0000-000035500000}"/>
    <cellStyle name="Comma 2 3 2 2 3 2 3 2 3" xfId="48186" xr:uid="{00000000-0005-0000-0000-000036500000}"/>
    <cellStyle name="Comma 2 3 2 2 3 2 3 2 4" xfId="27356" xr:uid="{00000000-0005-0000-0000-000037500000}"/>
    <cellStyle name="Comma 2 3 2 2 3 2 3 3" xfId="6525" xr:uid="{00000000-0005-0000-0000-000038500000}"/>
    <cellStyle name="Comma 2 3 2 2 3 2 3 3 2" xfId="29804" xr:uid="{00000000-0005-0000-0000-000039500000}"/>
    <cellStyle name="Comma 2 3 2 2 3 2 3 4" xfId="8973" xr:uid="{00000000-0005-0000-0000-00003A500000}"/>
    <cellStyle name="Comma 2 3 2 2 3 2 3 4 2" xfId="32252" xr:uid="{00000000-0005-0000-0000-00003B500000}"/>
    <cellStyle name="Comma 2 3 2 2 3 2 3 5" xfId="11421" xr:uid="{00000000-0005-0000-0000-00003C500000}"/>
    <cellStyle name="Comma 2 3 2 2 3 2 3 5 2" xfId="34700" xr:uid="{00000000-0005-0000-0000-00003D500000}"/>
    <cellStyle name="Comma 2 3 2 2 3 2 3 6" xfId="13869" xr:uid="{00000000-0005-0000-0000-00003E500000}"/>
    <cellStyle name="Comma 2 3 2 2 3 2 3 6 2" xfId="37148" xr:uid="{00000000-0005-0000-0000-00003F500000}"/>
    <cellStyle name="Comma 2 3 2 2 3 2 3 7" xfId="17564" xr:uid="{00000000-0005-0000-0000-000040500000}"/>
    <cellStyle name="Comma 2 3 2 2 3 2 3 7 2" xfId="40842" xr:uid="{00000000-0005-0000-0000-000041500000}"/>
    <cellStyle name="Comma 2 3 2 2 3 2 3 8" xfId="24908" xr:uid="{00000000-0005-0000-0000-000042500000}"/>
    <cellStyle name="Comma 2 3 2 2 3 2 3 9" xfId="45738" xr:uid="{00000000-0005-0000-0000-000043500000}"/>
    <cellStyle name="Comma 2 3 2 2 3 2 4" xfId="2853" xr:uid="{00000000-0005-0000-0000-000044500000}"/>
    <cellStyle name="Comma 2 3 2 2 3 2 4 2" xfId="16340" xr:uid="{00000000-0005-0000-0000-000045500000}"/>
    <cellStyle name="Comma 2 3 2 2 3 2 4 2 2" xfId="39618" xr:uid="{00000000-0005-0000-0000-000046500000}"/>
    <cellStyle name="Comma 2 3 2 2 3 2 4 3" xfId="46962" xr:uid="{00000000-0005-0000-0000-000047500000}"/>
    <cellStyle name="Comma 2 3 2 2 3 2 4 4" xfId="26132" xr:uid="{00000000-0005-0000-0000-000048500000}"/>
    <cellStyle name="Comma 2 3 2 2 3 2 5" xfId="5301" xr:uid="{00000000-0005-0000-0000-000049500000}"/>
    <cellStyle name="Comma 2 3 2 2 3 2 5 2" xfId="18788" xr:uid="{00000000-0005-0000-0000-00004A500000}"/>
    <cellStyle name="Comma 2 3 2 2 3 2 5 2 2" xfId="42066" xr:uid="{00000000-0005-0000-0000-00004B500000}"/>
    <cellStyle name="Comma 2 3 2 2 3 2 5 3" xfId="28580" xr:uid="{00000000-0005-0000-0000-00004C500000}"/>
    <cellStyle name="Comma 2 3 2 2 3 2 6" xfId="7749" xr:uid="{00000000-0005-0000-0000-00004D500000}"/>
    <cellStyle name="Comma 2 3 2 2 3 2 6 2" xfId="31028" xr:uid="{00000000-0005-0000-0000-00004E500000}"/>
    <cellStyle name="Comma 2 3 2 2 3 2 7" xfId="10197" xr:uid="{00000000-0005-0000-0000-00004F500000}"/>
    <cellStyle name="Comma 2 3 2 2 3 2 7 2" xfId="33476" xr:uid="{00000000-0005-0000-0000-000050500000}"/>
    <cellStyle name="Comma 2 3 2 2 3 2 8" xfId="12645" xr:uid="{00000000-0005-0000-0000-000051500000}"/>
    <cellStyle name="Comma 2 3 2 2 3 2 8 2" xfId="35924" xr:uid="{00000000-0005-0000-0000-000052500000}"/>
    <cellStyle name="Comma 2 3 2 2 3 2 9" xfId="15116" xr:uid="{00000000-0005-0000-0000-000053500000}"/>
    <cellStyle name="Comma 2 3 2 2 3 2 9 2" xfId="38394" xr:uid="{00000000-0005-0000-0000-000054500000}"/>
    <cellStyle name="Comma 2 3 2 2 3 3" xfId="609" xr:uid="{00000000-0005-0000-0000-000055500000}"/>
    <cellStyle name="Comma 2 3 2 2 3 3 10" xfId="23888" xr:uid="{00000000-0005-0000-0000-000056500000}"/>
    <cellStyle name="Comma 2 3 2 2 3 3 11" xfId="44718" xr:uid="{00000000-0005-0000-0000-000057500000}"/>
    <cellStyle name="Comma 2 3 2 2 3 3 12" xfId="21440" xr:uid="{00000000-0005-0000-0000-000058500000}"/>
    <cellStyle name="Comma 2 3 2 2 3 3 2" xfId="1221" xr:uid="{00000000-0005-0000-0000-000059500000}"/>
    <cellStyle name="Comma 2 3 2 2 3 3 2 10" xfId="45330" xr:uid="{00000000-0005-0000-0000-00005A500000}"/>
    <cellStyle name="Comma 2 3 2 2 3 3 2 11" xfId="22052" xr:uid="{00000000-0005-0000-0000-00005B500000}"/>
    <cellStyle name="Comma 2 3 2 2 3 3 2 2" xfId="2445" xr:uid="{00000000-0005-0000-0000-00005C500000}"/>
    <cellStyle name="Comma 2 3 2 2 3 3 2 2 10" xfId="23276" xr:uid="{00000000-0005-0000-0000-00005D500000}"/>
    <cellStyle name="Comma 2 3 2 2 3 3 2 2 2" xfId="4893" xr:uid="{00000000-0005-0000-0000-00005E500000}"/>
    <cellStyle name="Comma 2 3 2 2 3 3 2 2 2 2" xfId="20828" xr:uid="{00000000-0005-0000-0000-00005F500000}"/>
    <cellStyle name="Comma 2 3 2 2 3 3 2 2 2 2 2" xfId="44106" xr:uid="{00000000-0005-0000-0000-000060500000}"/>
    <cellStyle name="Comma 2 3 2 2 3 3 2 2 2 3" xfId="49002" xr:uid="{00000000-0005-0000-0000-000061500000}"/>
    <cellStyle name="Comma 2 3 2 2 3 3 2 2 2 4" xfId="28172" xr:uid="{00000000-0005-0000-0000-000062500000}"/>
    <cellStyle name="Comma 2 3 2 2 3 3 2 2 3" xfId="7341" xr:uid="{00000000-0005-0000-0000-000063500000}"/>
    <cellStyle name="Comma 2 3 2 2 3 3 2 2 3 2" xfId="30620" xr:uid="{00000000-0005-0000-0000-000064500000}"/>
    <cellStyle name="Comma 2 3 2 2 3 3 2 2 4" xfId="9789" xr:uid="{00000000-0005-0000-0000-000065500000}"/>
    <cellStyle name="Comma 2 3 2 2 3 3 2 2 4 2" xfId="33068" xr:uid="{00000000-0005-0000-0000-000066500000}"/>
    <cellStyle name="Comma 2 3 2 2 3 3 2 2 5" xfId="12237" xr:uid="{00000000-0005-0000-0000-000067500000}"/>
    <cellStyle name="Comma 2 3 2 2 3 3 2 2 5 2" xfId="35516" xr:uid="{00000000-0005-0000-0000-000068500000}"/>
    <cellStyle name="Comma 2 3 2 2 3 3 2 2 6" xfId="14685" xr:uid="{00000000-0005-0000-0000-000069500000}"/>
    <cellStyle name="Comma 2 3 2 2 3 3 2 2 6 2" xfId="37964" xr:uid="{00000000-0005-0000-0000-00006A500000}"/>
    <cellStyle name="Comma 2 3 2 2 3 3 2 2 7" xfId="18380" xr:uid="{00000000-0005-0000-0000-00006B500000}"/>
    <cellStyle name="Comma 2 3 2 2 3 3 2 2 7 2" xfId="41658" xr:uid="{00000000-0005-0000-0000-00006C500000}"/>
    <cellStyle name="Comma 2 3 2 2 3 3 2 2 8" xfId="25724" xr:uid="{00000000-0005-0000-0000-00006D500000}"/>
    <cellStyle name="Comma 2 3 2 2 3 3 2 2 9" xfId="46554" xr:uid="{00000000-0005-0000-0000-00006E500000}"/>
    <cellStyle name="Comma 2 3 2 2 3 3 2 3" xfId="3669" xr:uid="{00000000-0005-0000-0000-00006F500000}"/>
    <cellStyle name="Comma 2 3 2 2 3 3 2 3 2" xfId="17156" xr:uid="{00000000-0005-0000-0000-000070500000}"/>
    <cellStyle name="Comma 2 3 2 2 3 3 2 3 2 2" xfId="40434" xr:uid="{00000000-0005-0000-0000-000071500000}"/>
    <cellStyle name="Comma 2 3 2 2 3 3 2 3 3" xfId="47778" xr:uid="{00000000-0005-0000-0000-000072500000}"/>
    <cellStyle name="Comma 2 3 2 2 3 3 2 3 4" xfId="26948" xr:uid="{00000000-0005-0000-0000-000073500000}"/>
    <cellStyle name="Comma 2 3 2 2 3 3 2 4" xfId="6117" xr:uid="{00000000-0005-0000-0000-000074500000}"/>
    <cellStyle name="Comma 2 3 2 2 3 3 2 4 2" xfId="19604" xr:uid="{00000000-0005-0000-0000-000075500000}"/>
    <cellStyle name="Comma 2 3 2 2 3 3 2 4 2 2" xfId="42882" xr:uid="{00000000-0005-0000-0000-000076500000}"/>
    <cellStyle name="Comma 2 3 2 2 3 3 2 4 3" xfId="29396" xr:uid="{00000000-0005-0000-0000-000077500000}"/>
    <cellStyle name="Comma 2 3 2 2 3 3 2 5" xfId="8565" xr:uid="{00000000-0005-0000-0000-000078500000}"/>
    <cellStyle name="Comma 2 3 2 2 3 3 2 5 2" xfId="31844" xr:uid="{00000000-0005-0000-0000-000079500000}"/>
    <cellStyle name="Comma 2 3 2 2 3 3 2 6" xfId="11013" xr:uid="{00000000-0005-0000-0000-00007A500000}"/>
    <cellStyle name="Comma 2 3 2 2 3 3 2 6 2" xfId="34292" xr:uid="{00000000-0005-0000-0000-00007B500000}"/>
    <cellStyle name="Comma 2 3 2 2 3 3 2 7" xfId="13461" xr:uid="{00000000-0005-0000-0000-00007C500000}"/>
    <cellStyle name="Comma 2 3 2 2 3 3 2 7 2" xfId="36740" xr:uid="{00000000-0005-0000-0000-00007D500000}"/>
    <cellStyle name="Comma 2 3 2 2 3 3 2 8" xfId="15932" xr:uid="{00000000-0005-0000-0000-00007E500000}"/>
    <cellStyle name="Comma 2 3 2 2 3 3 2 8 2" xfId="39210" xr:uid="{00000000-0005-0000-0000-00007F500000}"/>
    <cellStyle name="Comma 2 3 2 2 3 3 2 9" xfId="24500" xr:uid="{00000000-0005-0000-0000-000080500000}"/>
    <cellStyle name="Comma 2 3 2 2 3 3 3" xfId="1833" xr:uid="{00000000-0005-0000-0000-000081500000}"/>
    <cellStyle name="Comma 2 3 2 2 3 3 3 10" xfId="22664" xr:uid="{00000000-0005-0000-0000-000082500000}"/>
    <cellStyle name="Comma 2 3 2 2 3 3 3 2" xfId="4281" xr:uid="{00000000-0005-0000-0000-000083500000}"/>
    <cellStyle name="Comma 2 3 2 2 3 3 3 2 2" xfId="20216" xr:uid="{00000000-0005-0000-0000-000084500000}"/>
    <cellStyle name="Comma 2 3 2 2 3 3 3 2 2 2" xfId="43494" xr:uid="{00000000-0005-0000-0000-000085500000}"/>
    <cellStyle name="Comma 2 3 2 2 3 3 3 2 3" xfId="48390" xr:uid="{00000000-0005-0000-0000-000086500000}"/>
    <cellStyle name="Comma 2 3 2 2 3 3 3 2 4" xfId="27560" xr:uid="{00000000-0005-0000-0000-000087500000}"/>
    <cellStyle name="Comma 2 3 2 2 3 3 3 3" xfId="6729" xr:uid="{00000000-0005-0000-0000-000088500000}"/>
    <cellStyle name="Comma 2 3 2 2 3 3 3 3 2" xfId="30008" xr:uid="{00000000-0005-0000-0000-000089500000}"/>
    <cellStyle name="Comma 2 3 2 2 3 3 3 4" xfId="9177" xr:uid="{00000000-0005-0000-0000-00008A500000}"/>
    <cellStyle name="Comma 2 3 2 2 3 3 3 4 2" xfId="32456" xr:uid="{00000000-0005-0000-0000-00008B500000}"/>
    <cellStyle name="Comma 2 3 2 2 3 3 3 5" xfId="11625" xr:uid="{00000000-0005-0000-0000-00008C500000}"/>
    <cellStyle name="Comma 2 3 2 2 3 3 3 5 2" xfId="34904" xr:uid="{00000000-0005-0000-0000-00008D500000}"/>
    <cellStyle name="Comma 2 3 2 2 3 3 3 6" xfId="14073" xr:uid="{00000000-0005-0000-0000-00008E500000}"/>
    <cellStyle name="Comma 2 3 2 2 3 3 3 6 2" xfId="37352" xr:uid="{00000000-0005-0000-0000-00008F500000}"/>
    <cellStyle name="Comma 2 3 2 2 3 3 3 7" xfId="17768" xr:uid="{00000000-0005-0000-0000-000090500000}"/>
    <cellStyle name="Comma 2 3 2 2 3 3 3 7 2" xfId="41046" xr:uid="{00000000-0005-0000-0000-000091500000}"/>
    <cellStyle name="Comma 2 3 2 2 3 3 3 8" xfId="25112" xr:uid="{00000000-0005-0000-0000-000092500000}"/>
    <cellStyle name="Comma 2 3 2 2 3 3 3 9" xfId="45942" xr:uid="{00000000-0005-0000-0000-000093500000}"/>
    <cellStyle name="Comma 2 3 2 2 3 3 4" xfId="3057" xr:uid="{00000000-0005-0000-0000-000094500000}"/>
    <cellStyle name="Comma 2 3 2 2 3 3 4 2" xfId="16544" xr:uid="{00000000-0005-0000-0000-000095500000}"/>
    <cellStyle name="Comma 2 3 2 2 3 3 4 2 2" xfId="39822" xr:uid="{00000000-0005-0000-0000-000096500000}"/>
    <cellStyle name="Comma 2 3 2 2 3 3 4 3" xfId="47166" xr:uid="{00000000-0005-0000-0000-000097500000}"/>
    <cellStyle name="Comma 2 3 2 2 3 3 4 4" xfId="26336" xr:uid="{00000000-0005-0000-0000-000098500000}"/>
    <cellStyle name="Comma 2 3 2 2 3 3 5" xfId="5505" xr:uid="{00000000-0005-0000-0000-000099500000}"/>
    <cellStyle name="Comma 2 3 2 2 3 3 5 2" xfId="18992" xr:uid="{00000000-0005-0000-0000-00009A500000}"/>
    <cellStyle name="Comma 2 3 2 2 3 3 5 2 2" xfId="42270" xr:uid="{00000000-0005-0000-0000-00009B500000}"/>
    <cellStyle name="Comma 2 3 2 2 3 3 5 3" xfId="28784" xr:uid="{00000000-0005-0000-0000-00009C500000}"/>
    <cellStyle name="Comma 2 3 2 2 3 3 6" xfId="7953" xr:uid="{00000000-0005-0000-0000-00009D500000}"/>
    <cellStyle name="Comma 2 3 2 2 3 3 6 2" xfId="31232" xr:uid="{00000000-0005-0000-0000-00009E500000}"/>
    <cellStyle name="Comma 2 3 2 2 3 3 7" xfId="10401" xr:uid="{00000000-0005-0000-0000-00009F500000}"/>
    <cellStyle name="Comma 2 3 2 2 3 3 7 2" xfId="33680" xr:uid="{00000000-0005-0000-0000-0000A0500000}"/>
    <cellStyle name="Comma 2 3 2 2 3 3 8" xfId="12849" xr:uid="{00000000-0005-0000-0000-0000A1500000}"/>
    <cellStyle name="Comma 2 3 2 2 3 3 8 2" xfId="36128" xr:uid="{00000000-0005-0000-0000-0000A2500000}"/>
    <cellStyle name="Comma 2 3 2 2 3 3 9" xfId="15320" xr:uid="{00000000-0005-0000-0000-0000A3500000}"/>
    <cellStyle name="Comma 2 3 2 2 3 3 9 2" xfId="38598" xr:uid="{00000000-0005-0000-0000-0000A4500000}"/>
    <cellStyle name="Comma 2 3 2 2 3 4" xfId="813" xr:uid="{00000000-0005-0000-0000-0000A5500000}"/>
    <cellStyle name="Comma 2 3 2 2 3 4 10" xfId="44922" xr:uid="{00000000-0005-0000-0000-0000A6500000}"/>
    <cellStyle name="Comma 2 3 2 2 3 4 11" xfId="21644" xr:uid="{00000000-0005-0000-0000-0000A7500000}"/>
    <cellStyle name="Comma 2 3 2 2 3 4 2" xfId="2037" xr:uid="{00000000-0005-0000-0000-0000A8500000}"/>
    <cellStyle name="Comma 2 3 2 2 3 4 2 10" xfId="22868" xr:uid="{00000000-0005-0000-0000-0000A9500000}"/>
    <cellStyle name="Comma 2 3 2 2 3 4 2 2" xfId="4485" xr:uid="{00000000-0005-0000-0000-0000AA500000}"/>
    <cellStyle name="Comma 2 3 2 2 3 4 2 2 2" xfId="20420" xr:uid="{00000000-0005-0000-0000-0000AB500000}"/>
    <cellStyle name="Comma 2 3 2 2 3 4 2 2 2 2" xfId="43698" xr:uid="{00000000-0005-0000-0000-0000AC500000}"/>
    <cellStyle name="Comma 2 3 2 2 3 4 2 2 3" xfId="48594" xr:uid="{00000000-0005-0000-0000-0000AD500000}"/>
    <cellStyle name="Comma 2 3 2 2 3 4 2 2 4" xfId="27764" xr:uid="{00000000-0005-0000-0000-0000AE500000}"/>
    <cellStyle name="Comma 2 3 2 2 3 4 2 3" xfId="6933" xr:uid="{00000000-0005-0000-0000-0000AF500000}"/>
    <cellStyle name="Comma 2 3 2 2 3 4 2 3 2" xfId="30212" xr:uid="{00000000-0005-0000-0000-0000B0500000}"/>
    <cellStyle name="Comma 2 3 2 2 3 4 2 4" xfId="9381" xr:uid="{00000000-0005-0000-0000-0000B1500000}"/>
    <cellStyle name="Comma 2 3 2 2 3 4 2 4 2" xfId="32660" xr:uid="{00000000-0005-0000-0000-0000B2500000}"/>
    <cellStyle name="Comma 2 3 2 2 3 4 2 5" xfId="11829" xr:uid="{00000000-0005-0000-0000-0000B3500000}"/>
    <cellStyle name="Comma 2 3 2 2 3 4 2 5 2" xfId="35108" xr:uid="{00000000-0005-0000-0000-0000B4500000}"/>
    <cellStyle name="Comma 2 3 2 2 3 4 2 6" xfId="14277" xr:uid="{00000000-0005-0000-0000-0000B5500000}"/>
    <cellStyle name="Comma 2 3 2 2 3 4 2 6 2" xfId="37556" xr:uid="{00000000-0005-0000-0000-0000B6500000}"/>
    <cellStyle name="Comma 2 3 2 2 3 4 2 7" xfId="17972" xr:uid="{00000000-0005-0000-0000-0000B7500000}"/>
    <cellStyle name="Comma 2 3 2 2 3 4 2 7 2" xfId="41250" xr:uid="{00000000-0005-0000-0000-0000B8500000}"/>
    <cellStyle name="Comma 2 3 2 2 3 4 2 8" xfId="25316" xr:uid="{00000000-0005-0000-0000-0000B9500000}"/>
    <cellStyle name="Comma 2 3 2 2 3 4 2 9" xfId="46146" xr:uid="{00000000-0005-0000-0000-0000BA500000}"/>
    <cellStyle name="Comma 2 3 2 2 3 4 3" xfId="3261" xr:uid="{00000000-0005-0000-0000-0000BB500000}"/>
    <cellStyle name="Comma 2 3 2 2 3 4 3 2" xfId="16748" xr:uid="{00000000-0005-0000-0000-0000BC500000}"/>
    <cellStyle name="Comma 2 3 2 2 3 4 3 2 2" xfId="40026" xr:uid="{00000000-0005-0000-0000-0000BD500000}"/>
    <cellStyle name="Comma 2 3 2 2 3 4 3 3" xfId="47370" xr:uid="{00000000-0005-0000-0000-0000BE500000}"/>
    <cellStyle name="Comma 2 3 2 2 3 4 3 4" xfId="26540" xr:uid="{00000000-0005-0000-0000-0000BF500000}"/>
    <cellStyle name="Comma 2 3 2 2 3 4 4" xfId="5709" xr:uid="{00000000-0005-0000-0000-0000C0500000}"/>
    <cellStyle name="Comma 2 3 2 2 3 4 4 2" xfId="19196" xr:uid="{00000000-0005-0000-0000-0000C1500000}"/>
    <cellStyle name="Comma 2 3 2 2 3 4 4 2 2" xfId="42474" xr:uid="{00000000-0005-0000-0000-0000C2500000}"/>
    <cellStyle name="Comma 2 3 2 2 3 4 4 3" xfId="28988" xr:uid="{00000000-0005-0000-0000-0000C3500000}"/>
    <cellStyle name="Comma 2 3 2 2 3 4 5" xfId="8157" xr:uid="{00000000-0005-0000-0000-0000C4500000}"/>
    <cellStyle name="Comma 2 3 2 2 3 4 5 2" xfId="31436" xr:uid="{00000000-0005-0000-0000-0000C5500000}"/>
    <cellStyle name="Comma 2 3 2 2 3 4 6" xfId="10605" xr:uid="{00000000-0005-0000-0000-0000C6500000}"/>
    <cellStyle name="Comma 2 3 2 2 3 4 6 2" xfId="33884" xr:uid="{00000000-0005-0000-0000-0000C7500000}"/>
    <cellStyle name="Comma 2 3 2 2 3 4 7" xfId="13053" xr:uid="{00000000-0005-0000-0000-0000C8500000}"/>
    <cellStyle name="Comma 2 3 2 2 3 4 7 2" xfId="36332" xr:uid="{00000000-0005-0000-0000-0000C9500000}"/>
    <cellStyle name="Comma 2 3 2 2 3 4 8" xfId="15524" xr:uid="{00000000-0005-0000-0000-0000CA500000}"/>
    <cellStyle name="Comma 2 3 2 2 3 4 8 2" xfId="38802" xr:uid="{00000000-0005-0000-0000-0000CB500000}"/>
    <cellStyle name="Comma 2 3 2 2 3 4 9" xfId="24092" xr:uid="{00000000-0005-0000-0000-0000CC500000}"/>
    <cellStyle name="Comma 2 3 2 2 3 5" xfId="1425" xr:uid="{00000000-0005-0000-0000-0000CD500000}"/>
    <cellStyle name="Comma 2 3 2 2 3 5 10" xfId="22256" xr:uid="{00000000-0005-0000-0000-0000CE500000}"/>
    <cellStyle name="Comma 2 3 2 2 3 5 2" xfId="3873" xr:uid="{00000000-0005-0000-0000-0000CF500000}"/>
    <cellStyle name="Comma 2 3 2 2 3 5 2 2" xfId="19808" xr:uid="{00000000-0005-0000-0000-0000D0500000}"/>
    <cellStyle name="Comma 2 3 2 2 3 5 2 2 2" xfId="43086" xr:uid="{00000000-0005-0000-0000-0000D1500000}"/>
    <cellStyle name="Comma 2 3 2 2 3 5 2 3" xfId="47982" xr:uid="{00000000-0005-0000-0000-0000D2500000}"/>
    <cellStyle name="Comma 2 3 2 2 3 5 2 4" xfId="27152" xr:uid="{00000000-0005-0000-0000-0000D3500000}"/>
    <cellStyle name="Comma 2 3 2 2 3 5 3" xfId="6321" xr:uid="{00000000-0005-0000-0000-0000D4500000}"/>
    <cellStyle name="Comma 2 3 2 2 3 5 3 2" xfId="29600" xr:uid="{00000000-0005-0000-0000-0000D5500000}"/>
    <cellStyle name="Comma 2 3 2 2 3 5 4" xfId="8769" xr:uid="{00000000-0005-0000-0000-0000D6500000}"/>
    <cellStyle name="Comma 2 3 2 2 3 5 4 2" xfId="32048" xr:uid="{00000000-0005-0000-0000-0000D7500000}"/>
    <cellStyle name="Comma 2 3 2 2 3 5 5" xfId="11217" xr:uid="{00000000-0005-0000-0000-0000D8500000}"/>
    <cellStyle name="Comma 2 3 2 2 3 5 5 2" xfId="34496" xr:uid="{00000000-0005-0000-0000-0000D9500000}"/>
    <cellStyle name="Comma 2 3 2 2 3 5 6" xfId="13665" xr:uid="{00000000-0005-0000-0000-0000DA500000}"/>
    <cellStyle name="Comma 2 3 2 2 3 5 6 2" xfId="36944" xr:uid="{00000000-0005-0000-0000-0000DB500000}"/>
    <cellStyle name="Comma 2 3 2 2 3 5 7" xfId="17360" xr:uid="{00000000-0005-0000-0000-0000DC500000}"/>
    <cellStyle name="Comma 2 3 2 2 3 5 7 2" xfId="40638" xr:uid="{00000000-0005-0000-0000-0000DD500000}"/>
    <cellStyle name="Comma 2 3 2 2 3 5 8" xfId="24704" xr:uid="{00000000-0005-0000-0000-0000DE500000}"/>
    <cellStyle name="Comma 2 3 2 2 3 5 9" xfId="45534" xr:uid="{00000000-0005-0000-0000-0000DF500000}"/>
    <cellStyle name="Comma 2 3 2 2 3 6" xfId="2649" xr:uid="{00000000-0005-0000-0000-0000E0500000}"/>
    <cellStyle name="Comma 2 3 2 2 3 6 2" xfId="16136" xr:uid="{00000000-0005-0000-0000-0000E1500000}"/>
    <cellStyle name="Comma 2 3 2 2 3 6 2 2" xfId="39414" xr:uid="{00000000-0005-0000-0000-0000E2500000}"/>
    <cellStyle name="Comma 2 3 2 2 3 6 3" xfId="46758" xr:uid="{00000000-0005-0000-0000-0000E3500000}"/>
    <cellStyle name="Comma 2 3 2 2 3 6 4" xfId="25928" xr:uid="{00000000-0005-0000-0000-0000E4500000}"/>
    <cellStyle name="Comma 2 3 2 2 3 7" xfId="5097" xr:uid="{00000000-0005-0000-0000-0000E5500000}"/>
    <cellStyle name="Comma 2 3 2 2 3 7 2" xfId="18584" xr:uid="{00000000-0005-0000-0000-0000E6500000}"/>
    <cellStyle name="Comma 2 3 2 2 3 7 2 2" xfId="41862" xr:uid="{00000000-0005-0000-0000-0000E7500000}"/>
    <cellStyle name="Comma 2 3 2 2 3 7 3" xfId="28376" xr:uid="{00000000-0005-0000-0000-0000E8500000}"/>
    <cellStyle name="Comma 2 3 2 2 3 8" xfId="7545" xr:uid="{00000000-0005-0000-0000-0000E9500000}"/>
    <cellStyle name="Comma 2 3 2 2 3 8 2" xfId="30824" xr:uid="{00000000-0005-0000-0000-0000EA500000}"/>
    <cellStyle name="Comma 2 3 2 2 3 9" xfId="9993" xr:uid="{00000000-0005-0000-0000-0000EB500000}"/>
    <cellStyle name="Comma 2 3 2 2 3 9 2" xfId="33272" xr:uid="{00000000-0005-0000-0000-0000EC500000}"/>
    <cellStyle name="Comma 2 3 2 2 4" xfId="269" xr:uid="{00000000-0005-0000-0000-0000ED500000}"/>
    <cellStyle name="Comma 2 3 2 2 4 10" xfId="23548" xr:uid="{00000000-0005-0000-0000-0000EE500000}"/>
    <cellStyle name="Comma 2 3 2 2 4 11" xfId="44378" xr:uid="{00000000-0005-0000-0000-0000EF500000}"/>
    <cellStyle name="Comma 2 3 2 2 4 12" xfId="21100" xr:uid="{00000000-0005-0000-0000-0000F0500000}"/>
    <cellStyle name="Comma 2 3 2 2 4 2" xfId="881" xr:uid="{00000000-0005-0000-0000-0000F1500000}"/>
    <cellStyle name="Comma 2 3 2 2 4 2 10" xfId="44990" xr:uid="{00000000-0005-0000-0000-0000F2500000}"/>
    <cellStyle name="Comma 2 3 2 2 4 2 11" xfId="21712" xr:uid="{00000000-0005-0000-0000-0000F3500000}"/>
    <cellStyle name="Comma 2 3 2 2 4 2 2" xfId="2105" xr:uid="{00000000-0005-0000-0000-0000F4500000}"/>
    <cellStyle name="Comma 2 3 2 2 4 2 2 10" xfId="22936" xr:uid="{00000000-0005-0000-0000-0000F5500000}"/>
    <cellStyle name="Comma 2 3 2 2 4 2 2 2" xfId="4553" xr:uid="{00000000-0005-0000-0000-0000F6500000}"/>
    <cellStyle name="Comma 2 3 2 2 4 2 2 2 2" xfId="20488" xr:uid="{00000000-0005-0000-0000-0000F7500000}"/>
    <cellStyle name="Comma 2 3 2 2 4 2 2 2 2 2" xfId="43766" xr:uid="{00000000-0005-0000-0000-0000F8500000}"/>
    <cellStyle name="Comma 2 3 2 2 4 2 2 2 3" xfId="48662" xr:uid="{00000000-0005-0000-0000-0000F9500000}"/>
    <cellStyle name="Comma 2 3 2 2 4 2 2 2 4" xfId="27832" xr:uid="{00000000-0005-0000-0000-0000FA500000}"/>
    <cellStyle name="Comma 2 3 2 2 4 2 2 3" xfId="7001" xr:uid="{00000000-0005-0000-0000-0000FB500000}"/>
    <cellStyle name="Comma 2 3 2 2 4 2 2 3 2" xfId="30280" xr:uid="{00000000-0005-0000-0000-0000FC500000}"/>
    <cellStyle name="Comma 2 3 2 2 4 2 2 4" xfId="9449" xr:uid="{00000000-0005-0000-0000-0000FD500000}"/>
    <cellStyle name="Comma 2 3 2 2 4 2 2 4 2" xfId="32728" xr:uid="{00000000-0005-0000-0000-0000FE500000}"/>
    <cellStyle name="Comma 2 3 2 2 4 2 2 5" xfId="11897" xr:uid="{00000000-0005-0000-0000-0000FF500000}"/>
    <cellStyle name="Comma 2 3 2 2 4 2 2 5 2" xfId="35176" xr:uid="{00000000-0005-0000-0000-000000510000}"/>
    <cellStyle name="Comma 2 3 2 2 4 2 2 6" xfId="14345" xr:uid="{00000000-0005-0000-0000-000001510000}"/>
    <cellStyle name="Comma 2 3 2 2 4 2 2 6 2" xfId="37624" xr:uid="{00000000-0005-0000-0000-000002510000}"/>
    <cellStyle name="Comma 2 3 2 2 4 2 2 7" xfId="18040" xr:uid="{00000000-0005-0000-0000-000003510000}"/>
    <cellStyle name="Comma 2 3 2 2 4 2 2 7 2" xfId="41318" xr:uid="{00000000-0005-0000-0000-000004510000}"/>
    <cellStyle name="Comma 2 3 2 2 4 2 2 8" xfId="25384" xr:uid="{00000000-0005-0000-0000-000005510000}"/>
    <cellStyle name="Comma 2 3 2 2 4 2 2 9" xfId="46214" xr:uid="{00000000-0005-0000-0000-000006510000}"/>
    <cellStyle name="Comma 2 3 2 2 4 2 3" xfId="3329" xr:uid="{00000000-0005-0000-0000-000007510000}"/>
    <cellStyle name="Comma 2 3 2 2 4 2 3 2" xfId="16816" xr:uid="{00000000-0005-0000-0000-000008510000}"/>
    <cellStyle name="Comma 2 3 2 2 4 2 3 2 2" xfId="40094" xr:uid="{00000000-0005-0000-0000-000009510000}"/>
    <cellStyle name="Comma 2 3 2 2 4 2 3 3" xfId="47438" xr:uid="{00000000-0005-0000-0000-00000A510000}"/>
    <cellStyle name="Comma 2 3 2 2 4 2 3 4" xfId="26608" xr:uid="{00000000-0005-0000-0000-00000B510000}"/>
    <cellStyle name="Comma 2 3 2 2 4 2 4" xfId="5777" xr:uid="{00000000-0005-0000-0000-00000C510000}"/>
    <cellStyle name="Comma 2 3 2 2 4 2 4 2" xfId="19264" xr:uid="{00000000-0005-0000-0000-00000D510000}"/>
    <cellStyle name="Comma 2 3 2 2 4 2 4 2 2" xfId="42542" xr:uid="{00000000-0005-0000-0000-00000E510000}"/>
    <cellStyle name="Comma 2 3 2 2 4 2 4 3" xfId="29056" xr:uid="{00000000-0005-0000-0000-00000F510000}"/>
    <cellStyle name="Comma 2 3 2 2 4 2 5" xfId="8225" xr:uid="{00000000-0005-0000-0000-000010510000}"/>
    <cellStyle name="Comma 2 3 2 2 4 2 5 2" xfId="31504" xr:uid="{00000000-0005-0000-0000-000011510000}"/>
    <cellStyle name="Comma 2 3 2 2 4 2 6" xfId="10673" xr:uid="{00000000-0005-0000-0000-000012510000}"/>
    <cellStyle name="Comma 2 3 2 2 4 2 6 2" xfId="33952" xr:uid="{00000000-0005-0000-0000-000013510000}"/>
    <cellStyle name="Comma 2 3 2 2 4 2 7" xfId="13121" xr:uid="{00000000-0005-0000-0000-000014510000}"/>
    <cellStyle name="Comma 2 3 2 2 4 2 7 2" xfId="36400" xr:uid="{00000000-0005-0000-0000-000015510000}"/>
    <cellStyle name="Comma 2 3 2 2 4 2 8" xfId="15592" xr:uid="{00000000-0005-0000-0000-000016510000}"/>
    <cellStyle name="Comma 2 3 2 2 4 2 8 2" xfId="38870" xr:uid="{00000000-0005-0000-0000-000017510000}"/>
    <cellStyle name="Comma 2 3 2 2 4 2 9" xfId="24160" xr:uid="{00000000-0005-0000-0000-000018510000}"/>
    <cellStyle name="Comma 2 3 2 2 4 3" xfId="1493" xr:uid="{00000000-0005-0000-0000-000019510000}"/>
    <cellStyle name="Comma 2 3 2 2 4 3 10" xfId="22324" xr:uid="{00000000-0005-0000-0000-00001A510000}"/>
    <cellStyle name="Comma 2 3 2 2 4 3 2" xfId="3941" xr:uid="{00000000-0005-0000-0000-00001B510000}"/>
    <cellStyle name="Comma 2 3 2 2 4 3 2 2" xfId="19876" xr:uid="{00000000-0005-0000-0000-00001C510000}"/>
    <cellStyle name="Comma 2 3 2 2 4 3 2 2 2" xfId="43154" xr:uid="{00000000-0005-0000-0000-00001D510000}"/>
    <cellStyle name="Comma 2 3 2 2 4 3 2 3" xfId="48050" xr:uid="{00000000-0005-0000-0000-00001E510000}"/>
    <cellStyle name="Comma 2 3 2 2 4 3 2 4" xfId="27220" xr:uid="{00000000-0005-0000-0000-00001F510000}"/>
    <cellStyle name="Comma 2 3 2 2 4 3 3" xfId="6389" xr:uid="{00000000-0005-0000-0000-000020510000}"/>
    <cellStyle name="Comma 2 3 2 2 4 3 3 2" xfId="29668" xr:uid="{00000000-0005-0000-0000-000021510000}"/>
    <cellStyle name="Comma 2 3 2 2 4 3 4" xfId="8837" xr:uid="{00000000-0005-0000-0000-000022510000}"/>
    <cellStyle name="Comma 2 3 2 2 4 3 4 2" xfId="32116" xr:uid="{00000000-0005-0000-0000-000023510000}"/>
    <cellStyle name="Comma 2 3 2 2 4 3 5" xfId="11285" xr:uid="{00000000-0005-0000-0000-000024510000}"/>
    <cellStyle name="Comma 2 3 2 2 4 3 5 2" xfId="34564" xr:uid="{00000000-0005-0000-0000-000025510000}"/>
    <cellStyle name="Comma 2 3 2 2 4 3 6" xfId="13733" xr:uid="{00000000-0005-0000-0000-000026510000}"/>
    <cellStyle name="Comma 2 3 2 2 4 3 6 2" xfId="37012" xr:uid="{00000000-0005-0000-0000-000027510000}"/>
    <cellStyle name="Comma 2 3 2 2 4 3 7" xfId="17428" xr:uid="{00000000-0005-0000-0000-000028510000}"/>
    <cellStyle name="Comma 2 3 2 2 4 3 7 2" xfId="40706" xr:uid="{00000000-0005-0000-0000-000029510000}"/>
    <cellStyle name="Comma 2 3 2 2 4 3 8" xfId="24772" xr:uid="{00000000-0005-0000-0000-00002A510000}"/>
    <cellStyle name="Comma 2 3 2 2 4 3 9" xfId="45602" xr:uid="{00000000-0005-0000-0000-00002B510000}"/>
    <cellStyle name="Comma 2 3 2 2 4 4" xfId="2717" xr:uid="{00000000-0005-0000-0000-00002C510000}"/>
    <cellStyle name="Comma 2 3 2 2 4 4 2" xfId="16204" xr:uid="{00000000-0005-0000-0000-00002D510000}"/>
    <cellStyle name="Comma 2 3 2 2 4 4 2 2" xfId="39482" xr:uid="{00000000-0005-0000-0000-00002E510000}"/>
    <cellStyle name="Comma 2 3 2 2 4 4 3" xfId="46826" xr:uid="{00000000-0005-0000-0000-00002F510000}"/>
    <cellStyle name="Comma 2 3 2 2 4 4 4" xfId="25996" xr:uid="{00000000-0005-0000-0000-000030510000}"/>
    <cellStyle name="Comma 2 3 2 2 4 5" xfId="5165" xr:uid="{00000000-0005-0000-0000-000031510000}"/>
    <cellStyle name="Comma 2 3 2 2 4 5 2" xfId="18652" xr:uid="{00000000-0005-0000-0000-000032510000}"/>
    <cellStyle name="Comma 2 3 2 2 4 5 2 2" xfId="41930" xr:uid="{00000000-0005-0000-0000-000033510000}"/>
    <cellStyle name="Comma 2 3 2 2 4 5 3" xfId="28444" xr:uid="{00000000-0005-0000-0000-000034510000}"/>
    <cellStyle name="Comma 2 3 2 2 4 6" xfId="7613" xr:uid="{00000000-0005-0000-0000-000035510000}"/>
    <cellStyle name="Comma 2 3 2 2 4 6 2" xfId="30892" xr:uid="{00000000-0005-0000-0000-000036510000}"/>
    <cellStyle name="Comma 2 3 2 2 4 7" xfId="10061" xr:uid="{00000000-0005-0000-0000-000037510000}"/>
    <cellStyle name="Comma 2 3 2 2 4 7 2" xfId="33340" xr:uid="{00000000-0005-0000-0000-000038510000}"/>
    <cellStyle name="Comma 2 3 2 2 4 8" xfId="12509" xr:uid="{00000000-0005-0000-0000-000039510000}"/>
    <cellStyle name="Comma 2 3 2 2 4 8 2" xfId="35788" xr:uid="{00000000-0005-0000-0000-00003A510000}"/>
    <cellStyle name="Comma 2 3 2 2 4 9" xfId="14980" xr:uid="{00000000-0005-0000-0000-00003B510000}"/>
    <cellStyle name="Comma 2 3 2 2 4 9 2" xfId="38258" xr:uid="{00000000-0005-0000-0000-00003C510000}"/>
    <cellStyle name="Comma 2 3 2 2 5" xfId="473" xr:uid="{00000000-0005-0000-0000-00003D510000}"/>
    <cellStyle name="Comma 2 3 2 2 5 10" xfId="23752" xr:uid="{00000000-0005-0000-0000-00003E510000}"/>
    <cellStyle name="Comma 2 3 2 2 5 11" xfId="44582" xr:uid="{00000000-0005-0000-0000-00003F510000}"/>
    <cellStyle name="Comma 2 3 2 2 5 12" xfId="21304" xr:uid="{00000000-0005-0000-0000-000040510000}"/>
    <cellStyle name="Comma 2 3 2 2 5 2" xfId="1085" xr:uid="{00000000-0005-0000-0000-000041510000}"/>
    <cellStyle name="Comma 2 3 2 2 5 2 10" xfId="45194" xr:uid="{00000000-0005-0000-0000-000042510000}"/>
    <cellStyle name="Comma 2 3 2 2 5 2 11" xfId="21916" xr:uid="{00000000-0005-0000-0000-000043510000}"/>
    <cellStyle name="Comma 2 3 2 2 5 2 2" xfId="2309" xr:uid="{00000000-0005-0000-0000-000044510000}"/>
    <cellStyle name="Comma 2 3 2 2 5 2 2 10" xfId="23140" xr:uid="{00000000-0005-0000-0000-000045510000}"/>
    <cellStyle name="Comma 2 3 2 2 5 2 2 2" xfId="4757" xr:uid="{00000000-0005-0000-0000-000046510000}"/>
    <cellStyle name="Comma 2 3 2 2 5 2 2 2 2" xfId="20692" xr:uid="{00000000-0005-0000-0000-000047510000}"/>
    <cellStyle name="Comma 2 3 2 2 5 2 2 2 2 2" xfId="43970" xr:uid="{00000000-0005-0000-0000-000048510000}"/>
    <cellStyle name="Comma 2 3 2 2 5 2 2 2 3" xfId="48866" xr:uid="{00000000-0005-0000-0000-000049510000}"/>
    <cellStyle name="Comma 2 3 2 2 5 2 2 2 4" xfId="28036" xr:uid="{00000000-0005-0000-0000-00004A510000}"/>
    <cellStyle name="Comma 2 3 2 2 5 2 2 3" xfId="7205" xr:uid="{00000000-0005-0000-0000-00004B510000}"/>
    <cellStyle name="Comma 2 3 2 2 5 2 2 3 2" xfId="30484" xr:uid="{00000000-0005-0000-0000-00004C510000}"/>
    <cellStyle name="Comma 2 3 2 2 5 2 2 4" xfId="9653" xr:uid="{00000000-0005-0000-0000-00004D510000}"/>
    <cellStyle name="Comma 2 3 2 2 5 2 2 4 2" xfId="32932" xr:uid="{00000000-0005-0000-0000-00004E510000}"/>
    <cellStyle name="Comma 2 3 2 2 5 2 2 5" xfId="12101" xr:uid="{00000000-0005-0000-0000-00004F510000}"/>
    <cellStyle name="Comma 2 3 2 2 5 2 2 5 2" xfId="35380" xr:uid="{00000000-0005-0000-0000-000050510000}"/>
    <cellStyle name="Comma 2 3 2 2 5 2 2 6" xfId="14549" xr:uid="{00000000-0005-0000-0000-000051510000}"/>
    <cellStyle name="Comma 2 3 2 2 5 2 2 6 2" xfId="37828" xr:uid="{00000000-0005-0000-0000-000052510000}"/>
    <cellStyle name="Comma 2 3 2 2 5 2 2 7" xfId="18244" xr:uid="{00000000-0005-0000-0000-000053510000}"/>
    <cellStyle name="Comma 2 3 2 2 5 2 2 7 2" xfId="41522" xr:uid="{00000000-0005-0000-0000-000054510000}"/>
    <cellStyle name="Comma 2 3 2 2 5 2 2 8" xfId="25588" xr:uid="{00000000-0005-0000-0000-000055510000}"/>
    <cellStyle name="Comma 2 3 2 2 5 2 2 9" xfId="46418" xr:uid="{00000000-0005-0000-0000-000056510000}"/>
    <cellStyle name="Comma 2 3 2 2 5 2 3" xfId="3533" xr:uid="{00000000-0005-0000-0000-000057510000}"/>
    <cellStyle name="Comma 2 3 2 2 5 2 3 2" xfId="17020" xr:uid="{00000000-0005-0000-0000-000058510000}"/>
    <cellStyle name="Comma 2 3 2 2 5 2 3 2 2" xfId="40298" xr:uid="{00000000-0005-0000-0000-000059510000}"/>
    <cellStyle name="Comma 2 3 2 2 5 2 3 3" xfId="47642" xr:uid="{00000000-0005-0000-0000-00005A510000}"/>
    <cellStyle name="Comma 2 3 2 2 5 2 3 4" xfId="26812" xr:uid="{00000000-0005-0000-0000-00005B510000}"/>
    <cellStyle name="Comma 2 3 2 2 5 2 4" xfId="5981" xr:uid="{00000000-0005-0000-0000-00005C510000}"/>
    <cellStyle name="Comma 2 3 2 2 5 2 4 2" xfId="19468" xr:uid="{00000000-0005-0000-0000-00005D510000}"/>
    <cellStyle name="Comma 2 3 2 2 5 2 4 2 2" xfId="42746" xr:uid="{00000000-0005-0000-0000-00005E510000}"/>
    <cellStyle name="Comma 2 3 2 2 5 2 4 3" xfId="29260" xr:uid="{00000000-0005-0000-0000-00005F510000}"/>
    <cellStyle name="Comma 2 3 2 2 5 2 5" xfId="8429" xr:uid="{00000000-0005-0000-0000-000060510000}"/>
    <cellStyle name="Comma 2 3 2 2 5 2 5 2" xfId="31708" xr:uid="{00000000-0005-0000-0000-000061510000}"/>
    <cellStyle name="Comma 2 3 2 2 5 2 6" xfId="10877" xr:uid="{00000000-0005-0000-0000-000062510000}"/>
    <cellStyle name="Comma 2 3 2 2 5 2 6 2" xfId="34156" xr:uid="{00000000-0005-0000-0000-000063510000}"/>
    <cellStyle name="Comma 2 3 2 2 5 2 7" xfId="13325" xr:uid="{00000000-0005-0000-0000-000064510000}"/>
    <cellStyle name="Comma 2 3 2 2 5 2 7 2" xfId="36604" xr:uid="{00000000-0005-0000-0000-000065510000}"/>
    <cellStyle name="Comma 2 3 2 2 5 2 8" xfId="15796" xr:uid="{00000000-0005-0000-0000-000066510000}"/>
    <cellStyle name="Comma 2 3 2 2 5 2 8 2" xfId="39074" xr:uid="{00000000-0005-0000-0000-000067510000}"/>
    <cellStyle name="Comma 2 3 2 2 5 2 9" xfId="24364" xr:uid="{00000000-0005-0000-0000-000068510000}"/>
    <cellStyle name="Comma 2 3 2 2 5 3" xfId="1697" xr:uid="{00000000-0005-0000-0000-000069510000}"/>
    <cellStyle name="Comma 2 3 2 2 5 3 10" xfId="22528" xr:uid="{00000000-0005-0000-0000-00006A510000}"/>
    <cellStyle name="Comma 2 3 2 2 5 3 2" xfId="4145" xr:uid="{00000000-0005-0000-0000-00006B510000}"/>
    <cellStyle name="Comma 2 3 2 2 5 3 2 2" xfId="20080" xr:uid="{00000000-0005-0000-0000-00006C510000}"/>
    <cellStyle name="Comma 2 3 2 2 5 3 2 2 2" xfId="43358" xr:uid="{00000000-0005-0000-0000-00006D510000}"/>
    <cellStyle name="Comma 2 3 2 2 5 3 2 3" xfId="48254" xr:uid="{00000000-0005-0000-0000-00006E510000}"/>
    <cellStyle name="Comma 2 3 2 2 5 3 2 4" xfId="27424" xr:uid="{00000000-0005-0000-0000-00006F510000}"/>
    <cellStyle name="Comma 2 3 2 2 5 3 3" xfId="6593" xr:uid="{00000000-0005-0000-0000-000070510000}"/>
    <cellStyle name="Comma 2 3 2 2 5 3 3 2" xfId="29872" xr:uid="{00000000-0005-0000-0000-000071510000}"/>
    <cellStyle name="Comma 2 3 2 2 5 3 4" xfId="9041" xr:uid="{00000000-0005-0000-0000-000072510000}"/>
    <cellStyle name="Comma 2 3 2 2 5 3 4 2" xfId="32320" xr:uid="{00000000-0005-0000-0000-000073510000}"/>
    <cellStyle name="Comma 2 3 2 2 5 3 5" xfId="11489" xr:uid="{00000000-0005-0000-0000-000074510000}"/>
    <cellStyle name="Comma 2 3 2 2 5 3 5 2" xfId="34768" xr:uid="{00000000-0005-0000-0000-000075510000}"/>
    <cellStyle name="Comma 2 3 2 2 5 3 6" xfId="13937" xr:uid="{00000000-0005-0000-0000-000076510000}"/>
    <cellStyle name="Comma 2 3 2 2 5 3 6 2" xfId="37216" xr:uid="{00000000-0005-0000-0000-000077510000}"/>
    <cellStyle name="Comma 2 3 2 2 5 3 7" xfId="17632" xr:uid="{00000000-0005-0000-0000-000078510000}"/>
    <cellStyle name="Comma 2 3 2 2 5 3 7 2" xfId="40910" xr:uid="{00000000-0005-0000-0000-000079510000}"/>
    <cellStyle name="Comma 2 3 2 2 5 3 8" xfId="24976" xr:uid="{00000000-0005-0000-0000-00007A510000}"/>
    <cellStyle name="Comma 2 3 2 2 5 3 9" xfId="45806" xr:uid="{00000000-0005-0000-0000-00007B510000}"/>
    <cellStyle name="Comma 2 3 2 2 5 4" xfId="2921" xr:uid="{00000000-0005-0000-0000-00007C510000}"/>
    <cellStyle name="Comma 2 3 2 2 5 4 2" xfId="16408" xr:uid="{00000000-0005-0000-0000-00007D510000}"/>
    <cellStyle name="Comma 2 3 2 2 5 4 2 2" xfId="39686" xr:uid="{00000000-0005-0000-0000-00007E510000}"/>
    <cellStyle name="Comma 2 3 2 2 5 4 3" xfId="47030" xr:uid="{00000000-0005-0000-0000-00007F510000}"/>
    <cellStyle name="Comma 2 3 2 2 5 4 4" xfId="26200" xr:uid="{00000000-0005-0000-0000-000080510000}"/>
    <cellStyle name="Comma 2 3 2 2 5 5" xfId="5369" xr:uid="{00000000-0005-0000-0000-000081510000}"/>
    <cellStyle name="Comma 2 3 2 2 5 5 2" xfId="18856" xr:uid="{00000000-0005-0000-0000-000082510000}"/>
    <cellStyle name="Comma 2 3 2 2 5 5 2 2" xfId="42134" xr:uid="{00000000-0005-0000-0000-000083510000}"/>
    <cellStyle name="Comma 2 3 2 2 5 5 3" xfId="28648" xr:uid="{00000000-0005-0000-0000-000084510000}"/>
    <cellStyle name="Comma 2 3 2 2 5 6" xfId="7817" xr:uid="{00000000-0005-0000-0000-000085510000}"/>
    <cellStyle name="Comma 2 3 2 2 5 6 2" xfId="31096" xr:uid="{00000000-0005-0000-0000-000086510000}"/>
    <cellStyle name="Comma 2 3 2 2 5 7" xfId="10265" xr:uid="{00000000-0005-0000-0000-000087510000}"/>
    <cellStyle name="Comma 2 3 2 2 5 7 2" xfId="33544" xr:uid="{00000000-0005-0000-0000-000088510000}"/>
    <cellStyle name="Comma 2 3 2 2 5 8" xfId="12713" xr:uid="{00000000-0005-0000-0000-000089510000}"/>
    <cellStyle name="Comma 2 3 2 2 5 8 2" xfId="35992" xr:uid="{00000000-0005-0000-0000-00008A510000}"/>
    <cellStyle name="Comma 2 3 2 2 5 9" xfId="15184" xr:uid="{00000000-0005-0000-0000-00008B510000}"/>
    <cellStyle name="Comma 2 3 2 2 5 9 2" xfId="38462" xr:uid="{00000000-0005-0000-0000-00008C510000}"/>
    <cellStyle name="Comma 2 3 2 2 6" xfId="677" xr:uid="{00000000-0005-0000-0000-00008D510000}"/>
    <cellStyle name="Comma 2 3 2 2 6 10" xfId="44786" xr:uid="{00000000-0005-0000-0000-00008E510000}"/>
    <cellStyle name="Comma 2 3 2 2 6 11" xfId="21508" xr:uid="{00000000-0005-0000-0000-00008F510000}"/>
    <cellStyle name="Comma 2 3 2 2 6 2" xfId="1901" xr:uid="{00000000-0005-0000-0000-000090510000}"/>
    <cellStyle name="Comma 2 3 2 2 6 2 10" xfId="22732" xr:uid="{00000000-0005-0000-0000-000091510000}"/>
    <cellStyle name="Comma 2 3 2 2 6 2 2" xfId="4349" xr:uid="{00000000-0005-0000-0000-000092510000}"/>
    <cellStyle name="Comma 2 3 2 2 6 2 2 2" xfId="20284" xr:uid="{00000000-0005-0000-0000-000093510000}"/>
    <cellStyle name="Comma 2 3 2 2 6 2 2 2 2" xfId="43562" xr:uid="{00000000-0005-0000-0000-000094510000}"/>
    <cellStyle name="Comma 2 3 2 2 6 2 2 3" xfId="48458" xr:uid="{00000000-0005-0000-0000-000095510000}"/>
    <cellStyle name="Comma 2 3 2 2 6 2 2 4" xfId="27628" xr:uid="{00000000-0005-0000-0000-000096510000}"/>
    <cellStyle name="Comma 2 3 2 2 6 2 3" xfId="6797" xr:uid="{00000000-0005-0000-0000-000097510000}"/>
    <cellStyle name="Comma 2 3 2 2 6 2 3 2" xfId="30076" xr:uid="{00000000-0005-0000-0000-000098510000}"/>
    <cellStyle name="Comma 2 3 2 2 6 2 4" xfId="9245" xr:uid="{00000000-0005-0000-0000-000099510000}"/>
    <cellStyle name="Comma 2 3 2 2 6 2 4 2" xfId="32524" xr:uid="{00000000-0005-0000-0000-00009A510000}"/>
    <cellStyle name="Comma 2 3 2 2 6 2 5" xfId="11693" xr:uid="{00000000-0005-0000-0000-00009B510000}"/>
    <cellStyle name="Comma 2 3 2 2 6 2 5 2" xfId="34972" xr:uid="{00000000-0005-0000-0000-00009C510000}"/>
    <cellStyle name="Comma 2 3 2 2 6 2 6" xfId="14141" xr:uid="{00000000-0005-0000-0000-00009D510000}"/>
    <cellStyle name="Comma 2 3 2 2 6 2 6 2" xfId="37420" xr:uid="{00000000-0005-0000-0000-00009E510000}"/>
    <cellStyle name="Comma 2 3 2 2 6 2 7" xfId="17836" xr:uid="{00000000-0005-0000-0000-00009F510000}"/>
    <cellStyle name="Comma 2 3 2 2 6 2 7 2" xfId="41114" xr:uid="{00000000-0005-0000-0000-0000A0510000}"/>
    <cellStyle name="Comma 2 3 2 2 6 2 8" xfId="25180" xr:uid="{00000000-0005-0000-0000-0000A1510000}"/>
    <cellStyle name="Comma 2 3 2 2 6 2 9" xfId="46010" xr:uid="{00000000-0005-0000-0000-0000A2510000}"/>
    <cellStyle name="Comma 2 3 2 2 6 3" xfId="3125" xr:uid="{00000000-0005-0000-0000-0000A3510000}"/>
    <cellStyle name="Comma 2 3 2 2 6 3 2" xfId="16612" xr:uid="{00000000-0005-0000-0000-0000A4510000}"/>
    <cellStyle name="Comma 2 3 2 2 6 3 2 2" xfId="39890" xr:uid="{00000000-0005-0000-0000-0000A5510000}"/>
    <cellStyle name="Comma 2 3 2 2 6 3 3" xfId="47234" xr:uid="{00000000-0005-0000-0000-0000A6510000}"/>
    <cellStyle name="Comma 2 3 2 2 6 3 4" xfId="26404" xr:uid="{00000000-0005-0000-0000-0000A7510000}"/>
    <cellStyle name="Comma 2 3 2 2 6 4" xfId="5573" xr:uid="{00000000-0005-0000-0000-0000A8510000}"/>
    <cellStyle name="Comma 2 3 2 2 6 4 2" xfId="19060" xr:uid="{00000000-0005-0000-0000-0000A9510000}"/>
    <cellStyle name="Comma 2 3 2 2 6 4 2 2" xfId="42338" xr:uid="{00000000-0005-0000-0000-0000AA510000}"/>
    <cellStyle name="Comma 2 3 2 2 6 4 3" xfId="28852" xr:uid="{00000000-0005-0000-0000-0000AB510000}"/>
    <cellStyle name="Comma 2 3 2 2 6 5" xfId="8021" xr:uid="{00000000-0005-0000-0000-0000AC510000}"/>
    <cellStyle name="Comma 2 3 2 2 6 5 2" xfId="31300" xr:uid="{00000000-0005-0000-0000-0000AD510000}"/>
    <cellStyle name="Comma 2 3 2 2 6 6" xfId="10469" xr:uid="{00000000-0005-0000-0000-0000AE510000}"/>
    <cellStyle name="Comma 2 3 2 2 6 6 2" xfId="33748" xr:uid="{00000000-0005-0000-0000-0000AF510000}"/>
    <cellStyle name="Comma 2 3 2 2 6 7" xfId="12917" xr:uid="{00000000-0005-0000-0000-0000B0510000}"/>
    <cellStyle name="Comma 2 3 2 2 6 7 2" xfId="36196" xr:uid="{00000000-0005-0000-0000-0000B1510000}"/>
    <cellStyle name="Comma 2 3 2 2 6 8" xfId="15388" xr:uid="{00000000-0005-0000-0000-0000B2510000}"/>
    <cellStyle name="Comma 2 3 2 2 6 8 2" xfId="38666" xr:uid="{00000000-0005-0000-0000-0000B3510000}"/>
    <cellStyle name="Comma 2 3 2 2 6 9" xfId="23956" xr:uid="{00000000-0005-0000-0000-0000B4510000}"/>
    <cellStyle name="Comma 2 3 2 2 7" xfId="1289" xr:uid="{00000000-0005-0000-0000-0000B5510000}"/>
    <cellStyle name="Comma 2 3 2 2 7 10" xfId="22120" xr:uid="{00000000-0005-0000-0000-0000B6510000}"/>
    <cellStyle name="Comma 2 3 2 2 7 2" xfId="3737" xr:uid="{00000000-0005-0000-0000-0000B7510000}"/>
    <cellStyle name="Comma 2 3 2 2 7 2 2" xfId="19672" xr:uid="{00000000-0005-0000-0000-0000B8510000}"/>
    <cellStyle name="Comma 2 3 2 2 7 2 2 2" xfId="42950" xr:uid="{00000000-0005-0000-0000-0000B9510000}"/>
    <cellStyle name="Comma 2 3 2 2 7 2 3" xfId="47846" xr:uid="{00000000-0005-0000-0000-0000BA510000}"/>
    <cellStyle name="Comma 2 3 2 2 7 2 4" xfId="27016" xr:uid="{00000000-0005-0000-0000-0000BB510000}"/>
    <cellStyle name="Comma 2 3 2 2 7 3" xfId="6185" xr:uid="{00000000-0005-0000-0000-0000BC510000}"/>
    <cellStyle name="Comma 2 3 2 2 7 3 2" xfId="29464" xr:uid="{00000000-0005-0000-0000-0000BD510000}"/>
    <cellStyle name="Comma 2 3 2 2 7 4" xfId="8633" xr:uid="{00000000-0005-0000-0000-0000BE510000}"/>
    <cellStyle name="Comma 2 3 2 2 7 4 2" xfId="31912" xr:uid="{00000000-0005-0000-0000-0000BF510000}"/>
    <cellStyle name="Comma 2 3 2 2 7 5" xfId="11081" xr:uid="{00000000-0005-0000-0000-0000C0510000}"/>
    <cellStyle name="Comma 2 3 2 2 7 5 2" xfId="34360" xr:uid="{00000000-0005-0000-0000-0000C1510000}"/>
    <cellStyle name="Comma 2 3 2 2 7 6" xfId="13529" xr:uid="{00000000-0005-0000-0000-0000C2510000}"/>
    <cellStyle name="Comma 2 3 2 2 7 6 2" xfId="36808" xr:uid="{00000000-0005-0000-0000-0000C3510000}"/>
    <cellStyle name="Comma 2 3 2 2 7 7" xfId="17224" xr:uid="{00000000-0005-0000-0000-0000C4510000}"/>
    <cellStyle name="Comma 2 3 2 2 7 7 2" xfId="40502" xr:uid="{00000000-0005-0000-0000-0000C5510000}"/>
    <cellStyle name="Comma 2 3 2 2 7 8" xfId="24568" xr:uid="{00000000-0005-0000-0000-0000C6510000}"/>
    <cellStyle name="Comma 2 3 2 2 7 9" xfId="45398" xr:uid="{00000000-0005-0000-0000-0000C7510000}"/>
    <cellStyle name="Comma 2 3 2 2 8" xfId="2513" xr:uid="{00000000-0005-0000-0000-0000C8510000}"/>
    <cellStyle name="Comma 2 3 2 2 8 2" xfId="16000" xr:uid="{00000000-0005-0000-0000-0000C9510000}"/>
    <cellStyle name="Comma 2 3 2 2 8 2 2" xfId="39278" xr:uid="{00000000-0005-0000-0000-0000CA510000}"/>
    <cellStyle name="Comma 2 3 2 2 8 3" xfId="46622" xr:uid="{00000000-0005-0000-0000-0000CB510000}"/>
    <cellStyle name="Comma 2 3 2 2 8 4" xfId="25792" xr:uid="{00000000-0005-0000-0000-0000CC510000}"/>
    <cellStyle name="Comma 2 3 2 2 9" xfId="4961" xr:uid="{00000000-0005-0000-0000-0000CD510000}"/>
    <cellStyle name="Comma 2 3 2 2 9 2" xfId="18448" xr:uid="{00000000-0005-0000-0000-0000CE510000}"/>
    <cellStyle name="Comma 2 3 2 2 9 2 2" xfId="41726" xr:uid="{00000000-0005-0000-0000-0000CF510000}"/>
    <cellStyle name="Comma 2 3 2 2 9 3" xfId="28240" xr:uid="{00000000-0005-0000-0000-0000D0510000}"/>
    <cellStyle name="Comma 2 3 2 3" xfId="82" xr:uid="{00000000-0005-0000-0000-0000D1510000}"/>
    <cellStyle name="Comma 2 3 2 3 10" xfId="7426" xr:uid="{00000000-0005-0000-0000-0000D2510000}"/>
    <cellStyle name="Comma 2 3 2 3 10 2" xfId="30705" xr:uid="{00000000-0005-0000-0000-0000D3510000}"/>
    <cellStyle name="Comma 2 3 2 3 11" xfId="9874" xr:uid="{00000000-0005-0000-0000-0000D4510000}"/>
    <cellStyle name="Comma 2 3 2 3 11 2" xfId="33153" xr:uid="{00000000-0005-0000-0000-0000D5510000}"/>
    <cellStyle name="Comma 2 3 2 3 12" xfId="12322" xr:uid="{00000000-0005-0000-0000-0000D6510000}"/>
    <cellStyle name="Comma 2 3 2 3 12 2" xfId="35601" xr:uid="{00000000-0005-0000-0000-0000D7510000}"/>
    <cellStyle name="Comma 2 3 2 3 13" xfId="14793" xr:uid="{00000000-0005-0000-0000-0000D8510000}"/>
    <cellStyle name="Comma 2 3 2 3 13 2" xfId="38071" xr:uid="{00000000-0005-0000-0000-0000D9510000}"/>
    <cellStyle name="Comma 2 3 2 3 14" xfId="23361" xr:uid="{00000000-0005-0000-0000-0000DA510000}"/>
    <cellStyle name="Comma 2 3 2 3 15" xfId="44191" xr:uid="{00000000-0005-0000-0000-0000DB510000}"/>
    <cellStyle name="Comma 2 3 2 3 16" xfId="20913" xr:uid="{00000000-0005-0000-0000-0000DC510000}"/>
    <cellStyle name="Comma 2 3 2 3 2" xfId="150" xr:uid="{00000000-0005-0000-0000-0000DD510000}"/>
    <cellStyle name="Comma 2 3 2 3 2 10" xfId="12390" xr:uid="{00000000-0005-0000-0000-0000DE510000}"/>
    <cellStyle name="Comma 2 3 2 3 2 10 2" xfId="35669" xr:uid="{00000000-0005-0000-0000-0000DF510000}"/>
    <cellStyle name="Comma 2 3 2 3 2 11" xfId="14861" xr:uid="{00000000-0005-0000-0000-0000E0510000}"/>
    <cellStyle name="Comma 2 3 2 3 2 11 2" xfId="38139" xr:uid="{00000000-0005-0000-0000-0000E1510000}"/>
    <cellStyle name="Comma 2 3 2 3 2 12" xfId="23429" xr:uid="{00000000-0005-0000-0000-0000E2510000}"/>
    <cellStyle name="Comma 2 3 2 3 2 13" xfId="44259" xr:uid="{00000000-0005-0000-0000-0000E3510000}"/>
    <cellStyle name="Comma 2 3 2 3 2 14" xfId="20981" xr:uid="{00000000-0005-0000-0000-0000E4510000}"/>
    <cellStyle name="Comma 2 3 2 3 2 2" xfId="354" xr:uid="{00000000-0005-0000-0000-0000E5510000}"/>
    <cellStyle name="Comma 2 3 2 3 2 2 10" xfId="23633" xr:uid="{00000000-0005-0000-0000-0000E6510000}"/>
    <cellStyle name="Comma 2 3 2 3 2 2 11" xfId="44463" xr:uid="{00000000-0005-0000-0000-0000E7510000}"/>
    <cellStyle name="Comma 2 3 2 3 2 2 12" xfId="21185" xr:uid="{00000000-0005-0000-0000-0000E8510000}"/>
    <cellStyle name="Comma 2 3 2 3 2 2 2" xfId="966" xr:uid="{00000000-0005-0000-0000-0000E9510000}"/>
    <cellStyle name="Comma 2 3 2 3 2 2 2 10" xfId="45075" xr:uid="{00000000-0005-0000-0000-0000EA510000}"/>
    <cellStyle name="Comma 2 3 2 3 2 2 2 11" xfId="21797" xr:uid="{00000000-0005-0000-0000-0000EB510000}"/>
    <cellStyle name="Comma 2 3 2 3 2 2 2 2" xfId="2190" xr:uid="{00000000-0005-0000-0000-0000EC510000}"/>
    <cellStyle name="Comma 2 3 2 3 2 2 2 2 10" xfId="23021" xr:uid="{00000000-0005-0000-0000-0000ED510000}"/>
    <cellStyle name="Comma 2 3 2 3 2 2 2 2 2" xfId="4638" xr:uid="{00000000-0005-0000-0000-0000EE510000}"/>
    <cellStyle name="Comma 2 3 2 3 2 2 2 2 2 2" xfId="20573" xr:uid="{00000000-0005-0000-0000-0000EF510000}"/>
    <cellStyle name="Comma 2 3 2 3 2 2 2 2 2 2 2" xfId="43851" xr:uid="{00000000-0005-0000-0000-0000F0510000}"/>
    <cellStyle name="Comma 2 3 2 3 2 2 2 2 2 3" xfId="48747" xr:uid="{00000000-0005-0000-0000-0000F1510000}"/>
    <cellStyle name="Comma 2 3 2 3 2 2 2 2 2 4" xfId="27917" xr:uid="{00000000-0005-0000-0000-0000F2510000}"/>
    <cellStyle name="Comma 2 3 2 3 2 2 2 2 3" xfId="7086" xr:uid="{00000000-0005-0000-0000-0000F3510000}"/>
    <cellStyle name="Comma 2 3 2 3 2 2 2 2 3 2" xfId="30365" xr:uid="{00000000-0005-0000-0000-0000F4510000}"/>
    <cellStyle name="Comma 2 3 2 3 2 2 2 2 4" xfId="9534" xr:uid="{00000000-0005-0000-0000-0000F5510000}"/>
    <cellStyle name="Comma 2 3 2 3 2 2 2 2 4 2" xfId="32813" xr:uid="{00000000-0005-0000-0000-0000F6510000}"/>
    <cellStyle name="Comma 2 3 2 3 2 2 2 2 5" xfId="11982" xr:uid="{00000000-0005-0000-0000-0000F7510000}"/>
    <cellStyle name="Comma 2 3 2 3 2 2 2 2 5 2" xfId="35261" xr:uid="{00000000-0005-0000-0000-0000F8510000}"/>
    <cellStyle name="Comma 2 3 2 3 2 2 2 2 6" xfId="14430" xr:uid="{00000000-0005-0000-0000-0000F9510000}"/>
    <cellStyle name="Comma 2 3 2 3 2 2 2 2 6 2" xfId="37709" xr:uid="{00000000-0005-0000-0000-0000FA510000}"/>
    <cellStyle name="Comma 2 3 2 3 2 2 2 2 7" xfId="18125" xr:uid="{00000000-0005-0000-0000-0000FB510000}"/>
    <cellStyle name="Comma 2 3 2 3 2 2 2 2 7 2" xfId="41403" xr:uid="{00000000-0005-0000-0000-0000FC510000}"/>
    <cellStyle name="Comma 2 3 2 3 2 2 2 2 8" xfId="25469" xr:uid="{00000000-0005-0000-0000-0000FD510000}"/>
    <cellStyle name="Comma 2 3 2 3 2 2 2 2 9" xfId="46299" xr:uid="{00000000-0005-0000-0000-0000FE510000}"/>
    <cellStyle name="Comma 2 3 2 3 2 2 2 3" xfId="3414" xr:uid="{00000000-0005-0000-0000-0000FF510000}"/>
    <cellStyle name="Comma 2 3 2 3 2 2 2 3 2" xfId="16901" xr:uid="{00000000-0005-0000-0000-000000520000}"/>
    <cellStyle name="Comma 2 3 2 3 2 2 2 3 2 2" xfId="40179" xr:uid="{00000000-0005-0000-0000-000001520000}"/>
    <cellStyle name="Comma 2 3 2 3 2 2 2 3 3" xfId="47523" xr:uid="{00000000-0005-0000-0000-000002520000}"/>
    <cellStyle name="Comma 2 3 2 3 2 2 2 3 4" xfId="26693" xr:uid="{00000000-0005-0000-0000-000003520000}"/>
    <cellStyle name="Comma 2 3 2 3 2 2 2 4" xfId="5862" xr:uid="{00000000-0005-0000-0000-000004520000}"/>
    <cellStyle name="Comma 2 3 2 3 2 2 2 4 2" xfId="19349" xr:uid="{00000000-0005-0000-0000-000005520000}"/>
    <cellStyle name="Comma 2 3 2 3 2 2 2 4 2 2" xfId="42627" xr:uid="{00000000-0005-0000-0000-000006520000}"/>
    <cellStyle name="Comma 2 3 2 3 2 2 2 4 3" xfId="29141" xr:uid="{00000000-0005-0000-0000-000007520000}"/>
    <cellStyle name="Comma 2 3 2 3 2 2 2 5" xfId="8310" xr:uid="{00000000-0005-0000-0000-000008520000}"/>
    <cellStyle name="Comma 2 3 2 3 2 2 2 5 2" xfId="31589" xr:uid="{00000000-0005-0000-0000-000009520000}"/>
    <cellStyle name="Comma 2 3 2 3 2 2 2 6" xfId="10758" xr:uid="{00000000-0005-0000-0000-00000A520000}"/>
    <cellStyle name="Comma 2 3 2 3 2 2 2 6 2" xfId="34037" xr:uid="{00000000-0005-0000-0000-00000B520000}"/>
    <cellStyle name="Comma 2 3 2 3 2 2 2 7" xfId="13206" xr:uid="{00000000-0005-0000-0000-00000C520000}"/>
    <cellStyle name="Comma 2 3 2 3 2 2 2 7 2" xfId="36485" xr:uid="{00000000-0005-0000-0000-00000D520000}"/>
    <cellStyle name="Comma 2 3 2 3 2 2 2 8" xfId="15677" xr:uid="{00000000-0005-0000-0000-00000E520000}"/>
    <cellStyle name="Comma 2 3 2 3 2 2 2 8 2" xfId="38955" xr:uid="{00000000-0005-0000-0000-00000F520000}"/>
    <cellStyle name="Comma 2 3 2 3 2 2 2 9" xfId="24245" xr:uid="{00000000-0005-0000-0000-000010520000}"/>
    <cellStyle name="Comma 2 3 2 3 2 2 3" xfId="1578" xr:uid="{00000000-0005-0000-0000-000011520000}"/>
    <cellStyle name="Comma 2 3 2 3 2 2 3 10" xfId="22409" xr:uid="{00000000-0005-0000-0000-000012520000}"/>
    <cellStyle name="Comma 2 3 2 3 2 2 3 2" xfId="4026" xr:uid="{00000000-0005-0000-0000-000013520000}"/>
    <cellStyle name="Comma 2 3 2 3 2 2 3 2 2" xfId="19961" xr:uid="{00000000-0005-0000-0000-000014520000}"/>
    <cellStyle name="Comma 2 3 2 3 2 2 3 2 2 2" xfId="43239" xr:uid="{00000000-0005-0000-0000-000015520000}"/>
    <cellStyle name="Comma 2 3 2 3 2 2 3 2 3" xfId="48135" xr:uid="{00000000-0005-0000-0000-000016520000}"/>
    <cellStyle name="Comma 2 3 2 3 2 2 3 2 4" xfId="27305" xr:uid="{00000000-0005-0000-0000-000017520000}"/>
    <cellStyle name="Comma 2 3 2 3 2 2 3 3" xfId="6474" xr:uid="{00000000-0005-0000-0000-000018520000}"/>
    <cellStyle name="Comma 2 3 2 3 2 2 3 3 2" xfId="29753" xr:uid="{00000000-0005-0000-0000-000019520000}"/>
    <cellStyle name="Comma 2 3 2 3 2 2 3 4" xfId="8922" xr:uid="{00000000-0005-0000-0000-00001A520000}"/>
    <cellStyle name="Comma 2 3 2 3 2 2 3 4 2" xfId="32201" xr:uid="{00000000-0005-0000-0000-00001B520000}"/>
    <cellStyle name="Comma 2 3 2 3 2 2 3 5" xfId="11370" xr:uid="{00000000-0005-0000-0000-00001C520000}"/>
    <cellStyle name="Comma 2 3 2 3 2 2 3 5 2" xfId="34649" xr:uid="{00000000-0005-0000-0000-00001D520000}"/>
    <cellStyle name="Comma 2 3 2 3 2 2 3 6" xfId="13818" xr:uid="{00000000-0005-0000-0000-00001E520000}"/>
    <cellStyle name="Comma 2 3 2 3 2 2 3 6 2" xfId="37097" xr:uid="{00000000-0005-0000-0000-00001F520000}"/>
    <cellStyle name="Comma 2 3 2 3 2 2 3 7" xfId="17513" xr:uid="{00000000-0005-0000-0000-000020520000}"/>
    <cellStyle name="Comma 2 3 2 3 2 2 3 7 2" xfId="40791" xr:uid="{00000000-0005-0000-0000-000021520000}"/>
    <cellStyle name="Comma 2 3 2 3 2 2 3 8" xfId="24857" xr:uid="{00000000-0005-0000-0000-000022520000}"/>
    <cellStyle name="Comma 2 3 2 3 2 2 3 9" xfId="45687" xr:uid="{00000000-0005-0000-0000-000023520000}"/>
    <cellStyle name="Comma 2 3 2 3 2 2 4" xfId="2802" xr:uid="{00000000-0005-0000-0000-000024520000}"/>
    <cellStyle name="Comma 2 3 2 3 2 2 4 2" xfId="16289" xr:uid="{00000000-0005-0000-0000-000025520000}"/>
    <cellStyle name="Comma 2 3 2 3 2 2 4 2 2" xfId="39567" xr:uid="{00000000-0005-0000-0000-000026520000}"/>
    <cellStyle name="Comma 2 3 2 3 2 2 4 3" xfId="46911" xr:uid="{00000000-0005-0000-0000-000027520000}"/>
    <cellStyle name="Comma 2 3 2 3 2 2 4 4" xfId="26081" xr:uid="{00000000-0005-0000-0000-000028520000}"/>
    <cellStyle name="Comma 2 3 2 3 2 2 5" xfId="5250" xr:uid="{00000000-0005-0000-0000-000029520000}"/>
    <cellStyle name="Comma 2 3 2 3 2 2 5 2" xfId="18737" xr:uid="{00000000-0005-0000-0000-00002A520000}"/>
    <cellStyle name="Comma 2 3 2 3 2 2 5 2 2" xfId="42015" xr:uid="{00000000-0005-0000-0000-00002B520000}"/>
    <cellStyle name="Comma 2 3 2 3 2 2 5 3" xfId="28529" xr:uid="{00000000-0005-0000-0000-00002C520000}"/>
    <cellStyle name="Comma 2 3 2 3 2 2 6" xfId="7698" xr:uid="{00000000-0005-0000-0000-00002D520000}"/>
    <cellStyle name="Comma 2 3 2 3 2 2 6 2" xfId="30977" xr:uid="{00000000-0005-0000-0000-00002E520000}"/>
    <cellStyle name="Comma 2 3 2 3 2 2 7" xfId="10146" xr:uid="{00000000-0005-0000-0000-00002F520000}"/>
    <cellStyle name="Comma 2 3 2 3 2 2 7 2" xfId="33425" xr:uid="{00000000-0005-0000-0000-000030520000}"/>
    <cellStyle name="Comma 2 3 2 3 2 2 8" xfId="12594" xr:uid="{00000000-0005-0000-0000-000031520000}"/>
    <cellStyle name="Comma 2 3 2 3 2 2 8 2" xfId="35873" xr:uid="{00000000-0005-0000-0000-000032520000}"/>
    <cellStyle name="Comma 2 3 2 3 2 2 9" xfId="15065" xr:uid="{00000000-0005-0000-0000-000033520000}"/>
    <cellStyle name="Comma 2 3 2 3 2 2 9 2" xfId="38343" xr:uid="{00000000-0005-0000-0000-000034520000}"/>
    <cellStyle name="Comma 2 3 2 3 2 3" xfId="558" xr:uid="{00000000-0005-0000-0000-000035520000}"/>
    <cellStyle name="Comma 2 3 2 3 2 3 10" xfId="23837" xr:uid="{00000000-0005-0000-0000-000036520000}"/>
    <cellStyle name="Comma 2 3 2 3 2 3 11" xfId="44667" xr:uid="{00000000-0005-0000-0000-000037520000}"/>
    <cellStyle name="Comma 2 3 2 3 2 3 12" xfId="21389" xr:uid="{00000000-0005-0000-0000-000038520000}"/>
    <cellStyle name="Comma 2 3 2 3 2 3 2" xfId="1170" xr:uid="{00000000-0005-0000-0000-000039520000}"/>
    <cellStyle name="Comma 2 3 2 3 2 3 2 10" xfId="45279" xr:uid="{00000000-0005-0000-0000-00003A520000}"/>
    <cellStyle name="Comma 2 3 2 3 2 3 2 11" xfId="22001" xr:uid="{00000000-0005-0000-0000-00003B520000}"/>
    <cellStyle name="Comma 2 3 2 3 2 3 2 2" xfId="2394" xr:uid="{00000000-0005-0000-0000-00003C520000}"/>
    <cellStyle name="Comma 2 3 2 3 2 3 2 2 10" xfId="23225" xr:uid="{00000000-0005-0000-0000-00003D520000}"/>
    <cellStyle name="Comma 2 3 2 3 2 3 2 2 2" xfId="4842" xr:uid="{00000000-0005-0000-0000-00003E520000}"/>
    <cellStyle name="Comma 2 3 2 3 2 3 2 2 2 2" xfId="20777" xr:uid="{00000000-0005-0000-0000-00003F520000}"/>
    <cellStyle name="Comma 2 3 2 3 2 3 2 2 2 2 2" xfId="44055" xr:uid="{00000000-0005-0000-0000-000040520000}"/>
    <cellStyle name="Comma 2 3 2 3 2 3 2 2 2 3" xfId="48951" xr:uid="{00000000-0005-0000-0000-000041520000}"/>
    <cellStyle name="Comma 2 3 2 3 2 3 2 2 2 4" xfId="28121" xr:uid="{00000000-0005-0000-0000-000042520000}"/>
    <cellStyle name="Comma 2 3 2 3 2 3 2 2 3" xfId="7290" xr:uid="{00000000-0005-0000-0000-000043520000}"/>
    <cellStyle name="Comma 2 3 2 3 2 3 2 2 3 2" xfId="30569" xr:uid="{00000000-0005-0000-0000-000044520000}"/>
    <cellStyle name="Comma 2 3 2 3 2 3 2 2 4" xfId="9738" xr:uid="{00000000-0005-0000-0000-000045520000}"/>
    <cellStyle name="Comma 2 3 2 3 2 3 2 2 4 2" xfId="33017" xr:uid="{00000000-0005-0000-0000-000046520000}"/>
    <cellStyle name="Comma 2 3 2 3 2 3 2 2 5" xfId="12186" xr:uid="{00000000-0005-0000-0000-000047520000}"/>
    <cellStyle name="Comma 2 3 2 3 2 3 2 2 5 2" xfId="35465" xr:uid="{00000000-0005-0000-0000-000048520000}"/>
    <cellStyle name="Comma 2 3 2 3 2 3 2 2 6" xfId="14634" xr:uid="{00000000-0005-0000-0000-000049520000}"/>
    <cellStyle name="Comma 2 3 2 3 2 3 2 2 6 2" xfId="37913" xr:uid="{00000000-0005-0000-0000-00004A520000}"/>
    <cellStyle name="Comma 2 3 2 3 2 3 2 2 7" xfId="18329" xr:uid="{00000000-0005-0000-0000-00004B520000}"/>
    <cellStyle name="Comma 2 3 2 3 2 3 2 2 7 2" xfId="41607" xr:uid="{00000000-0005-0000-0000-00004C520000}"/>
    <cellStyle name="Comma 2 3 2 3 2 3 2 2 8" xfId="25673" xr:uid="{00000000-0005-0000-0000-00004D520000}"/>
    <cellStyle name="Comma 2 3 2 3 2 3 2 2 9" xfId="46503" xr:uid="{00000000-0005-0000-0000-00004E520000}"/>
    <cellStyle name="Comma 2 3 2 3 2 3 2 3" xfId="3618" xr:uid="{00000000-0005-0000-0000-00004F520000}"/>
    <cellStyle name="Comma 2 3 2 3 2 3 2 3 2" xfId="17105" xr:uid="{00000000-0005-0000-0000-000050520000}"/>
    <cellStyle name="Comma 2 3 2 3 2 3 2 3 2 2" xfId="40383" xr:uid="{00000000-0005-0000-0000-000051520000}"/>
    <cellStyle name="Comma 2 3 2 3 2 3 2 3 3" xfId="47727" xr:uid="{00000000-0005-0000-0000-000052520000}"/>
    <cellStyle name="Comma 2 3 2 3 2 3 2 3 4" xfId="26897" xr:uid="{00000000-0005-0000-0000-000053520000}"/>
    <cellStyle name="Comma 2 3 2 3 2 3 2 4" xfId="6066" xr:uid="{00000000-0005-0000-0000-000054520000}"/>
    <cellStyle name="Comma 2 3 2 3 2 3 2 4 2" xfId="19553" xr:uid="{00000000-0005-0000-0000-000055520000}"/>
    <cellStyle name="Comma 2 3 2 3 2 3 2 4 2 2" xfId="42831" xr:uid="{00000000-0005-0000-0000-000056520000}"/>
    <cellStyle name="Comma 2 3 2 3 2 3 2 4 3" xfId="29345" xr:uid="{00000000-0005-0000-0000-000057520000}"/>
    <cellStyle name="Comma 2 3 2 3 2 3 2 5" xfId="8514" xr:uid="{00000000-0005-0000-0000-000058520000}"/>
    <cellStyle name="Comma 2 3 2 3 2 3 2 5 2" xfId="31793" xr:uid="{00000000-0005-0000-0000-000059520000}"/>
    <cellStyle name="Comma 2 3 2 3 2 3 2 6" xfId="10962" xr:uid="{00000000-0005-0000-0000-00005A520000}"/>
    <cellStyle name="Comma 2 3 2 3 2 3 2 6 2" xfId="34241" xr:uid="{00000000-0005-0000-0000-00005B520000}"/>
    <cellStyle name="Comma 2 3 2 3 2 3 2 7" xfId="13410" xr:uid="{00000000-0005-0000-0000-00005C520000}"/>
    <cellStyle name="Comma 2 3 2 3 2 3 2 7 2" xfId="36689" xr:uid="{00000000-0005-0000-0000-00005D520000}"/>
    <cellStyle name="Comma 2 3 2 3 2 3 2 8" xfId="15881" xr:uid="{00000000-0005-0000-0000-00005E520000}"/>
    <cellStyle name="Comma 2 3 2 3 2 3 2 8 2" xfId="39159" xr:uid="{00000000-0005-0000-0000-00005F520000}"/>
    <cellStyle name="Comma 2 3 2 3 2 3 2 9" xfId="24449" xr:uid="{00000000-0005-0000-0000-000060520000}"/>
    <cellStyle name="Comma 2 3 2 3 2 3 3" xfId="1782" xr:uid="{00000000-0005-0000-0000-000061520000}"/>
    <cellStyle name="Comma 2 3 2 3 2 3 3 10" xfId="22613" xr:uid="{00000000-0005-0000-0000-000062520000}"/>
    <cellStyle name="Comma 2 3 2 3 2 3 3 2" xfId="4230" xr:uid="{00000000-0005-0000-0000-000063520000}"/>
    <cellStyle name="Comma 2 3 2 3 2 3 3 2 2" xfId="20165" xr:uid="{00000000-0005-0000-0000-000064520000}"/>
    <cellStyle name="Comma 2 3 2 3 2 3 3 2 2 2" xfId="43443" xr:uid="{00000000-0005-0000-0000-000065520000}"/>
    <cellStyle name="Comma 2 3 2 3 2 3 3 2 3" xfId="48339" xr:uid="{00000000-0005-0000-0000-000066520000}"/>
    <cellStyle name="Comma 2 3 2 3 2 3 3 2 4" xfId="27509" xr:uid="{00000000-0005-0000-0000-000067520000}"/>
    <cellStyle name="Comma 2 3 2 3 2 3 3 3" xfId="6678" xr:uid="{00000000-0005-0000-0000-000068520000}"/>
    <cellStyle name="Comma 2 3 2 3 2 3 3 3 2" xfId="29957" xr:uid="{00000000-0005-0000-0000-000069520000}"/>
    <cellStyle name="Comma 2 3 2 3 2 3 3 4" xfId="9126" xr:uid="{00000000-0005-0000-0000-00006A520000}"/>
    <cellStyle name="Comma 2 3 2 3 2 3 3 4 2" xfId="32405" xr:uid="{00000000-0005-0000-0000-00006B520000}"/>
    <cellStyle name="Comma 2 3 2 3 2 3 3 5" xfId="11574" xr:uid="{00000000-0005-0000-0000-00006C520000}"/>
    <cellStyle name="Comma 2 3 2 3 2 3 3 5 2" xfId="34853" xr:uid="{00000000-0005-0000-0000-00006D520000}"/>
    <cellStyle name="Comma 2 3 2 3 2 3 3 6" xfId="14022" xr:uid="{00000000-0005-0000-0000-00006E520000}"/>
    <cellStyle name="Comma 2 3 2 3 2 3 3 6 2" xfId="37301" xr:uid="{00000000-0005-0000-0000-00006F520000}"/>
    <cellStyle name="Comma 2 3 2 3 2 3 3 7" xfId="17717" xr:uid="{00000000-0005-0000-0000-000070520000}"/>
    <cellStyle name="Comma 2 3 2 3 2 3 3 7 2" xfId="40995" xr:uid="{00000000-0005-0000-0000-000071520000}"/>
    <cellStyle name="Comma 2 3 2 3 2 3 3 8" xfId="25061" xr:uid="{00000000-0005-0000-0000-000072520000}"/>
    <cellStyle name="Comma 2 3 2 3 2 3 3 9" xfId="45891" xr:uid="{00000000-0005-0000-0000-000073520000}"/>
    <cellStyle name="Comma 2 3 2 3 2 3 4" xfId="3006" xr:uid="{00000000-0005-0000-0000-000074520000}"/>
    <cellStyle name="Comma 2 3 2 3 2 3 4 2" xfId="16493" xr:uid="{00000000-0005-0000-0000-000075520000}"/>
    <cellStyle name="Comma 2 3 2 3 2 3 4 2 2" xfId="39771" xr:uid="{00000000-0005-0000-0000-000076520000}"/>
    <cellStyle name="Comma 2 3 2 3 2 3 4 3" xfId="47115" xr:uid="{00000000-0005-0000-0000-000077520000}"/>
    <cellStyle name="Comma 2 3 2 3 2 3 4 4" xfId="26285" xr:uid="{00000000-0005-0000-0000-000078520000}"/>
    <cellStyle name="Comma 2 3 2 3 2 3 5" xfId="5454" xr:uid="{00000000-0005-0000-0000-000079520000}"/>
    <cellStyle name="Comma 2 3 2 3 2 3 5 2" xfId="18941" xr:uid="{00000000-0005-0000-0000-00007A520000}"/>
    <cellStyle name="Comma 2 3 2 3 2 3 5 2 2" xfId="42219" xr:uid="{00000000-0005-0000-0000-00007B520000}"/>
    <cellStyle name="Comma 2 3 2 3 2 3 5 3" xfId="28733" xr:uid="{00000000-0005-0000-0000-00007C520000}"/>
    <cellStyle name="Comma 2 3 2 3 2 3 6" xfId="7902" xr:uid="{00000000-0005-0000-0000-00007D520000}"/>
    <cellStyle name="Comma 2 3 2 3 2 3 6 2" xfId="31181" xr:uid="{00000000-0005-0000-0000-00007E520000}"/>
    <cellStyle name="Comma 2 3 2 3 2 3 7" xfId="10350" xr:uid="{00000000-0005-0000-0000-00007F520000}"/>
    <cellStyle name="Comma 2 3 2 3 2 3 7 2" xfId="33629" xr:uid="{00000000-0005-0000-0000-000080520000}"/>
    <cellStyle name="Comma 2 3 2 3 2 3 8" xfId="12798" xr:uid="{00000000-0005-0000-0000-000081520000}"/>
    <cellStyle name="Comma 2 3 2 3 2 3 8 2" xfId="36077" xr:uid="{00000000-0005-0000-0000-000082520000}"/>
    <cellStyle name="Comma 2 3 2 3 2 3 9" xfId="15269" xr:uid="{00000000-0005-0000-0000-000083520000}"/>
    <cellStyle name="Comma 2 3 2 3 2 3 9 2" xfId="38547" xr:uid="{00000000-0005-0000-0000-000084520000}"/>
    <cellStyle name="Comma 2 3 2 3 2 4" xfId="762" xr:uid="{00000000-0005-0000-0000-000085520000}"/>
    <cellStyle name="Comma 2 3 2 3 2 4 10" xfId="44871" xr:uid="{00000000-0005-0000-0000-000086520000}"/>
    <cellStyle name="Comma 2 3 2 3 2 4 11" xfId="21593" xr:uid="{00000000-0005-0000-0000-000087520000}"/>
    <cellStyle name="Comma 2 3 2 3 2 4 2" xfId="1986" xr:uid="{00000000-0005-0000-0000-000088520000}"/>
    <cellStyle name="Comma 2 3 2 3 2 4 2 10" xfId="22817" xr:uid="{00000000-0005-0000-0000-000089520000}"/>
    <cellStyle name="Comma 2 3 2 3 2 4 2 2" xfId="4434" xr:uid="{00000000-0005-0000-0000-00008A520000}"/>
    <cellStyle name="Comma 2 3 2 3 2 4 2 2 2" xfId="20369" xr:uid="{00000000-0005-0000-0000-00008B520000}"/>
    <cellStyle name="Comma 2 3 2 3 2 4 2 2 2 2" xfId="43647" xr:uid="{00000000-0005-0000-0000-00008C520000}"/>
    <cellStyle name="Comma 2 3 2 3 2 4 2 2 3" xfId="48543" xr:uid="{00000000-0005-0000-0000-00008D520000}"/>
    <cellStyle name="Comma 2 3 2 3 2 4 2 2 4" xfId="27713" xr:uid="{00000000-0005-0000-0000-00008E520000}"/>
    <cellStyle name="Comma 2 3 2 3 2 4 2 3" xfId="6882" xr:uid="{00000000-0005-0000-0000-00008F520000}"/>
    <cellStyle name="Comma 2 3 2 3 2 4 2 3 2" xfId="30161" xr:uid="{00000000-0005-0000-0000-000090520000}"/>
    <cellStyle name="Comma 2 3 2 3 2 4 2 4" xfId="9330" xr:uid="{00000000-0005-0000-0000-000091520000}"/>
    <cellStyle name="Comma 2 3 2 3 2 4 2 4 2" xfId="32609" xr:uid="{00000000-0005-0000-0000-000092520000}"/>
    <cellStyle name="Comma 2 3 2 3 2 4 2 5" xfId="11778" xr:uid="{00000000-0005-0000-0000-000093520000}"/>
    <cellStyle name="Comma 2 3 2 3 2 4 2 5 2" xfId="35057" xr:uid="{00000000-0005-0000-0000-000094520000}"/>
    <cellStyle name="Comma 2 3 2 3 2 4 2 6" xfId="14226" xr:uid="{00000000-0005-0000-0000-000095520000}"/>
    <cellStyle name="Comma 2 3 2 3 2 4 2 6 2" xfId="37505" xr:uid="{00000000-0005-0000-0000-000096520000}"/>
    <cellStyle name="Comma 2 3 2 3 2 4 2 7" xfId="17921" xr:uid="{00000000-0005-0000-0000-000097520000}"/>
    <cellStyle name="Comma 2 3 2 3 2 4 2 7 2" xfId="41199" xr:uid="{00000000-0005-0000-0000-000098520000}"/>
    <cellStyle name="Comma 2 3 2 3 2 4 2 8" xfId="25265" xr:uid="{00000000-0005-0000-0000-000099520000}"/>
    <cellStyle name="Comma 2 3 2 3 2 4 2 9" xfId="46095" xr:uid="{00000000-0005-0000-0000-00009A520000}"/>
    <cellStyle name="Comma 2 3 2 3 2 4 3" xfId="3210" xr:uid="{00000000-0005-0000-0000-00009B520000}"/>
    <cellStyle name="Comma 2 3 2 3 2 4 3 2" xfId="16697" xr:uid="{00000000-0005-0000-0000-00009C520000}"/>
    <cellStyle name="Comma 2 3 2 3 2 4 3 2 2" xfId="39975" xr:uid="{00000000-0005-0000-0000-00009D520000}"/>
    <cellStyle name="Comma 2 3 2 3 2 4 3 3" xfId="47319" xr:uid="{00000000-0005-0000-0000-00009E520000}"/>
    <cellStyle name="Comma 2 3 2 3 2 4 3 4" xfId="26489" xr:uid="{00000000-0005-0000-0000-00009F520000}"/>
    <cellStyle name="Comma 2 3 2 3 2 4 4" xfId="5658" xr:uid="{00000000-0005-0000-0000-0000A0520000}"/>
    <cellStyle name="Comma 2 3 2 3 2 4 4 2" xfId="19145" xr:uid="{00000000-0005-0000-0000-0000A1520000}"/>
    <cellStyle name="Comma 2 3 2 3 2 4 4 2 2" xfId="42423" xr:uid="{00000000-0005-0000-0000-0000A2520000}"/>
    <cellStyle name="Comma 2 3 2 3 2 4 4 3" xfId="28937" xr:uid="{00000000-0005-0000-0000-0000A3520000}"/>
    <cellStyle name="Comma 2 3 2 3 2 4 5" xfId="8106" xr:uid="{00000000-0005-0000-0000-0000A4520000}"/>
    <cellStyle name="Comma 2 3 2 3 2 4 5 2" xfId="31385" xr:uid="{00000000-0005-0000-0000-0000A5520000}"/>
    <cellStyle name="Comma 2 3 2 3 2 4 6" xfId="10554" xr:uid="{00000000-0005-0000-0000-0000A6520000}"/>
    <cellStyle name="Comma 2 3 2 3 2 4 6 2" xfId="33833" xr:uid="{00000000-0005-0000-0000-0000A7520000}"/>
    <cellStyle name="Comma 2 3 2 3 2 4 7" xfId="13002" xr:uid="{00000000-0005-0000-0000-0000A8520000}"/>
    <cellStyle name="Comma 2 3 2 3 2 4 7 2" xfId="36281" xr:uid="{00000000-0005-0000-0000-0000A9520000}"/>
    <cellStyle name="Comma 2 3 2 3 2 4 8" xfId="15473" xr:uid="{00000000-0005-0000-0000-0000AA520000}"/>
    <cellStyle name="Comma 2 3 2 3 2 4 8 2" xfId="38751" xr:uid="{00000000-0005-0000-0000-0000AB520000}"/>
    <cellStyle name="Comma 2 3 2 3 2 4 9" xfId="24041" xr:uid="{00000000-0005-0000-0000-0000AC520000}"/>
    <cellStyle name="Comma 2 3 2 3 2 5" xfId="1374" xr:uid="{00000000-0005-0000-0000-0000AD520000}"/>
    <cellStyle name="Comma 2 3 2 3 2 5 10" xfId="22205" xr:uid="{00000000-0005-0000-0000-0000AE520000}"/>
    <cellStyle name="Comma 2 3 2 3 2 5 2" xfId="3822" xr:uid="{00000000-0005-0000-0000-0000AF520000}"/>
    <cellStyle name="Comma 2 3 2 3 2 5 2 2" xfId="19757" xr:uid="{00000000-0005-0000-0000-0000B0520000}"/>
    <cellStyle name="Comma 2 3 2 3 2 5 2 2 2" xfId="43035" xr:uid="{00000000-0005-0000-0000-0000B1520000}"/>
    <cellStyle name="Comma 2 3 2 3 2 5 2 3" xfId="47931" xr:uid="{00000000-0005-0000-0000-0000B2520000}"/>
    <cellStyle name="Comma 2 3 2 3 2 5 2 4" xfId="27101" xr:uid="{00000000-0005-0000-0000-0000B3520000}"/>
    <cellStyle name="Comma 2 3 2 3 2 5 3" xfId="6270" xr:uid="{00000000-0005-0000-0000-0000B4520000}"/>
    <cellStyle name="Comma 2 3 2 3 2 5 3 2" xfId="29549" xr:uid="{00000000-0005-0000-0000-0000B5520000}"/>
    <cellStyle name="Comma 2 3 2 3 2 5 4" xfId="8718" xr:uid="{00000000-0005-0000-0000-0000B6520000}"/>
    <cellStyle name="Comma 2 3 2 3 2 5 4 2" xfId="31997" xr:uid="{00000000-0005-0000-0000-0000B7520000}"/>
    <cellStyle name="Comma 2 3 2 3 2 5 5" xfId="11166" xr:uid="{00000000-0005-0000-0000-0000B8520000}"/>
    <cellStyle name="Comma 2 3 2 3 2 5 5 2" xfId="34445" xr:uid="{00000000-0005-0000-0000-0000B9520000}"/>
    <cellStyle name="Comma 2 3 2 3 2 5 6" xfId="13614" xr:uid="{00000000-0005-0000-0000-0000BA520000}"/>
    <cellStyle name="Comma 2 3 2 3 2 5 6 2" xfId="36893" xr:uid="{00000000-0005-0000-0000-0000BB520000}"/>
    <cellStyle name="Comma 2 3 2 3 2 5 7" xfId="17309" xr:uid="{00000000-0005-0000-0000-0000BC520000}"/>
    <cellStyle name="Comma 2 3 2 3 2 5 7 2" xfId="40587" xr:uid="{00000000-0005-0000-0000-0000BD520000}"/>
    <cellStyle name="Comma 2 3 2 3 2 5 8" xfId="24653" xr:uid="{00000000-0005-0000-0000-0000BE520000}"/>
    <cellStyle name="Comma 2 3 2 3 2 5 9" xfId="45483" xr:uid="{00000000-0005-0000-0000-0000BF520000}"/>
    <cellStyle name="Comma 2 3 2 3 2 6" xfId="2598" xr:uid="{00000000-0005-0000-0000-0000C0520000}"/>
    <cellStyle name="Comma 2 3 2 3 2 6 2" xfId="16085" xr:uid="{00000000-0005-0000-0000-0000C1520000}"/>
    <cellStyle name="Comma 2 3 2 3 2 6 2 2" xfId="39363" xr:uid="{00000000-0005-0000-0000-0000C2520000}"/>
    <cellStyle name="Comma 2 3 2 3 2 6 3" xfId="46707" xr:uid="{00000000-0005-0000-0000-0000C3520000}"/>
    <cellStyle name="Comma 2 3 2 3 2 6 4" xfId="25877" xr:uid="{00000000-0005-0000-0000-0000C4520000}"/>
    <cellStyle name="Comma 2 3 2 3 2 7" xfId="5046" xr:uid="{00000000-0005-0000-0000-0000C5520000}"/>
    <cellStyle name="Comma 2 3 2 3 2 7 2" xfId="18533" xr:uid="{00000000-0005-0000-0000-0000C6520000}"/>
    <cellStyle name="Comma 2 3 2 3 2 7 2 2" xfId="41811" xr:uid="{00000000-0005-0000-0000-0000C7520000}"/>
    <cellStyle name="Comma 2 3 2 3 2 7 3" xfId="28325" xr:uid="{00000000-0005-0000-0000-0000C8520000}"/>
    <cellStyle name="Comma 2 3 2 3 2 8" xfId="7494" xr:uid="{00000000-0005-0000-0000-0000C9520000}"/>
    <cellStyle name="Comma 2 3 2 3 2 8 2" xfId="30773" xr:uid="{00000000-0005-0000-0000-0000CA520000}"/>
    <cellStyle name="Comma 2 3 2 3 2 9" xfId="9942" xr:uid="{00000000-0005-0000-0000-0000CB520000}"/>
    <cellStyle name="Comma 2 3 2 3 2 9 2" xfId="33221" xr:uid="{00000000-0005-0000-0000-0000CC520000}"/>
    <cellStyle name="Comma 2 3 2 3 3" xfId="218" xr:uid="{00000000-0005-0000-0000-0000CD520000}"/>
    <cellStyle name="Comma 2 3 2 3 3 10" xfId="12458" xr:uid="{00000000-0005-0000-0000-0000CE520000}"/>
    <cellStyle name="Comma 2 3 2 3 3 10 2" xfId="35737" xr:uid="{00000000-0005-0000-0000-0000CF520000}"/>
    <cellStyle name="Comma 2 3 2 3 3 11" xfId="14929" xr:uid="{00000000-0005-0000-0000-0000D0520000}"/>
    <cellStyle name="Comma 2 3 2 3 3 11 2" xfId="38207" xr:uid="{00000000-0005-0000-0000-0000D1520000}"/>
    <cellStyle name="Comma 2 3 2 3 3 12" xfId="23497" xr:uid="{00000000-0005-0000-0000-0000D2520000}"/>
    <cellStyle name="Comma 2 3 2 3 3 13" xfId="44327" xr:uid="{00000000-0005-0000-0000-0000D3520000}"/>
    <cellStyle name="Comma 2 3 2 3 3 14" xfId="21049" xr:uid="{00000000-0005-0000-0000-0000D4520000}"/>
    <cellStyle name="Comma 2 3 2 3 3 2" xfId="422" xr:uid="{00000000-0005-0000-0000-0000D5520000}"/>
    <cellStyle name="Comma 2 3 2 3 3 2 10" xfId="23701" xr:uid="{00000000-0005-0000-0000-0000D6520000}"/>
    <cellStyle name="Comma 2 3 2 3 3 2 11" xfId="44531" xr:uid="{00000000-0005-0000-0000-0000D7520000}"/>
    <cellStyle name="Comma 2 3 2 3 3 2 12" xfId="21253" xr:uid="{00000000-0005-0000-0000-0000D8520000}"/>
    <cellStyle name="Comma 2 3 2 3 3 2 2" xfId="1034" xr:uid="{00000000-0005-0000-0000-0000D9520000}"/>
    <cellStyle name="Comma 2 3 2 3 3 2 2 10" xfId="45143" xr:uid="{00000000-0005-0000-0000-0000DA520000}"/>
    <cellStyle name="Comma 2 3 2 3 3 2 2 11" xfId="21865" xr:uid="{00000000-0005-0000-0000-0000DB520000}"/>
    <cellStyle name="Comma 2 3 2 3 3 2 2 2" xfId="2258" xr:uid="{00000000-0005-0000-0000-0000DC520000}"/>
    <cellStyle name="Comma 2 3 2 3 3 2 2 2 10" xfId="23089" xr:uid="{00000000-0005-0000-0000-0000DD520000}"/>
    <cellStyle name="Comma 2 3 2 3 3 2 2 2 2" xfId="4706" xr:uid="{00000000-0005-0000-0000-0000DE520000}"/>
    <cellStyle name="Comma 2 3 2 3 3 2 2 2 2 2" xfId="20641" xr:uid="{00000000-0005-0000-0000-0000DF520000}"/>
    <cellStyle name="Comma 2 3 2 3 3 2 2 2 2 2 2" xfId="43919" xr:uid="{00000000-0005-0000-0000-0000E0520000}"/>
    <cellStyle name="Comma 2 3 2 3 3 2 2 2 2 3" xfId="48815" xr:uid="{00000000-0005-0000-0000-0000E1520000}"/>
    <cellStyle name="Comma 2 3 2 3 3 2 2 2 2 4" xfId="27985" xr:uid="{00000000-0005-0000-0000-0000E2520000}"/>
    <cellStyle name="Comma 2 3 2 3 3 2 2 2 3" xfId="7154" xr:uid="{00000000-0005-0000-0000-0000E3520000}"/>
    <cellStyle name="Comma 2 3 2 3 3 2 2 2 3 2" xfId="30433" xr:uid="{00000000-0005-0000-0000-0000E4520000}"/>
    <cellStyle name="Comma 2 3 2 3 3 2 2 2 4" xfId="9602" xr:uid="{00000000-0005-0000-0000-0000E5520000}"/>
    <cellStyle name="Comma 2 3 2 3 3 2 2 2 4 2" xfId="32881" xr:uid="{00000000-0005-0000-0000-0000E6520000}"/>
    <cellStyle name="Comma 2 3 2 3 3 2 2 2 5" xfId="12050" xr:uid="{00000000-0005-0000-0000-0000E7520000}"/>
    <cellStyle name="Comma 2 3 2 3 3 2 2 2 5 2" xfId="35329" xr:uid="{00000000-0005-0000-0000-0000E8520000}"/>
    <cellStyle name="Comma 2 3 2 3 3 2 2 2 6" xfId="14498" xr:uid="{00000000-0005-0000-0000-0000E9520000}"/>
    <cellStyle name="Comma 2 3 2 3 3 2 2 2 6 2" xfId="37777" xr:uid="{00000000-0005-0000-0000-0000EA520000}"/>
    <cellStyle name="Comma 2 3 2 3 3 2 2 2 7" xfId="18193" xr:uid="{00000000-0005-0000-0000-0000EB520000}"/>
    <cellStyle name="Comma 2 3 2 3 3 2 2 2 7 2" xfId="41471" xr:uid="{00000000-0005-0000-0000-0000EC520000}"/>
    <cellStyle name="Comma 2 3 2 3 3 2 2 2 8" xfId="25537" xr:uid="{00000000-0005-0000-0000-0000ED520000}"/>
    <cellStyle name="Comma 2 3 2 3 3 2 2 2 9" xfId="46367" xr:uid="{00000000-0005-0000-0000-0000EE520000}"/>
    <cellStyle name="Comma 2 3 2 3 3 2 2 3" xfId="3482" xr:uid="{00000000-0005-0000-0000-0000EF520000}"/>
    <cellStyle name="Comma 2 3 2 3 3 2 2 3 2" xfId="16969" xr:uid="{00000000-0005-0000-0000-0000F0520000}"/>
    <cellStyle name="Comma 2 3 2 3 3 2 2 3 2 2" xfId="40247" xr:uid="{00000000-0005-0000-0000-0000F1520000}"/>
    <cellStyle name="Comma 2 3 2 3 3 2 2 3 3" xfId="47591" xr:uid="{00000000-0005-0000-0000-0000F2520000}"/>
    <cellStyle name="Comma 2 3 2 3 3 2 2 3 4" xfId="26761" xr:uid="{00000000-0005-0000-0000-0000F3520000}"/>
    <cellStyle name="Comma 2 3 2 3 3 2 2 4" xfId="5930" xr:uid="{00000000-0005-0000-0000-0000F4520000}"/>
    <cellStyle name="Comma 2 3 2 3 3 2 2 4 2" xfId="19417" xr:uid="{00000000-0005-0000-0000-0000F5520000}"/>
    <cellStyle name="Comma 2 3 2 3 3 2 2 4 2 2" xfId="42695" xr:uid="{00000000-0005-0000-0000-0000F6520000}"/>
    <cellStyle name="Comma 2 3 2 3 3 2 2 4 3" xfId="29209" xr:uid="{00000000-0005-0000-0000-0000F7520000}"/>
    <cellStyle name="Comma 2 3 2 3 3 2 2 5" xfId="8378" xr:uid="{00000000-0005-0000-0000-0000F8520000}"/>
    <cellStyle name="Comma 2 3 2 3 3 2 2 5 2" xfId="31657" xr:uid="{00000000-0005-0000-0000-0000F9520000}"/>
    <cellStyle name="Comma 2 3 2 3 3 2 2 6" xfId="10826" xr:uid="{00000000-0005-0000-0000-0000FA520000}"/>
    <cellStyle name="Comma 2 3 2 3 3 2 2 6 2" xfId="34105" xr:uid="{00000000-0005-0000-0000-0000FB520000}"/>
    <cellStyle name="Comma 2 3 2 3 3 2 2 7" xfId="13274" xr:uid="{00000000-0005-0000-0000-0000FC520000}"/>
    <cellStyle name="Comma 2 3 2 3 3 2 2 7 2" xfId="36553" xr:uid="{00000000-0005-0000-0000-0000FD520000}"/>
    <cellStyle name="Comma 2 3 2 3 3 2 2 8" xfId="15745" xr:uid="{00000000-0005-0000-0000-0000FE520000}"/>
    <cellStyle name="Comma 2 3 2 3 3 2 2 8 2" xfId="39023" xr:uid="{00000000-0005-0000-0000-0000FF520000}"/>
    <cellStyle name="Comma 2 3 2 3 3 2 2 9" xfId="24313" xr:uid="{00000000-0005-0000-0000-000000530000}"/>
    <cellStyle name="Comma 2 3 2 3 3 2 3" xfId="1646" xr:uid="{00000000-0005-0000-0000-000001530000}"/>
    <cellStyle name="Comma 2 3 2 3 3 2 3 10" xfId="22477" xr:uid="{00000000-0005-0000-0000-000002530000}"/>
    <cellStyle name="Comma 2 3 2 3 3 2 3 2" xfId="4094" xr:uid="{00000000-0005-0000-0000-000003530000}"/>
    <cellStyle name="Comma 2 3 2 3 3 2 3 2 2" xfId="20029" xr:uid="{00000000-0005-0000-0000-000004530000}"/>
    <cellStyle name="Comma 2 3 2 3 3 2 3 2 2 2" xfId="43307" xr:uid="{00000000-0005-0000-0000-000005530000}"/>
    <cellStyle name="Comma 2 3 2 3 3 2 3 2 3" xfId="48203" xr:uid="{00000000-0005-0000-0000-000006530000}"/>
    <cellStyle name="Comma 2 3 2 3 3 2 3 2 4" xfId="27373" xr:uid="{00000000-0005-0000-0000-000007530000}"/>
    <cellStyle name="Comma 2 3 2 3 3 2 3 3" xfId="6542" xr:uid="{00000000-0005-0000-0000-000008530000}"/>
    <cellStyle name="Comma 2 3 2 3 3 2 3 3 2" xfId="29821" xr:uid="{00000000-0005-0000-0000-000009530000}"/>
    <cellStyle name="Comma 2 3 2 3 3 2 3 4" xfId="8990" xr:uid="{00000000-0005-0000-0000-00000A530000}"/>
    <cellStyle name="Comma 2 3 2 3 3 2 3 4 2" xfId="32269" xr:uid="{00000000-0005-0000-0000-00000B530000}"/>
    <cellStyle name="Comma 2 3 2 3 3 2 3 5" xfId="11438" xr:uid="{00000000-0005-0000-0000-00000C530000}"/>
    <cellStyle name="Comma 2 3 2 3 3 2 3 5 2" xfId="34717" xr:uid="{00000000-0005-0000-0000-00000D530000}"/>
    <cellStyle name="Comma 2 3 2 3 3 2 3 6" xfId="13886" xr:uid="{00000000-0005-0000-0000-00000E530000}"/>
    <cellStyle name="Comma 2 3 2 3 3 2 3 6 2" xfId="37165" xr:uid="{00000000-0005-0000-0000-00000F530000}"/>
    <cellStyle name="Comma 2 3 2 3 3 2 3 7" xfId="17581" xr:uid="{00000000-0005-0000-0000-000010530000}"/>
    <cellStyle name="Comma 2 3 2 3 3 2 3 7 2" xfId="40859" xr:uid="{00000000-0005-0000-0000-000011530000}"/>
    <cellStyle name="Comma 2 3 2 3 3 2 3 8" xfId="24925" xr:uid="{00000000-0005-0000-0000-000012530000}"/>
    <cellStyle name="Comma 2 3 2 3 3 2 3 9" xfId="45755" xr:uid="{00000000-0005-0000-0000-000013530000}"/>
    <cellStyle name="Comma 2 3 2 3 3 2 4" xfId="2870" xr:uid="{00000000-0005-0000-0000-000014530000}"/>
    <cellStyle name="Comma 2 3 2 3 3 2 4 2" xfId="16357" xr:uid="{00000000-0005-0000-0000-000015530000}"/>
    <cellStyle name="Comma 2 3 2 3 3 2 4 2 2" xfId="39635" xr:uid="{00000000-0005-0000-0000-000016530000}"/>
    <cellStyle name="Comma 2 3 2 3 3 2 4 3" xfId="46979" xr:uid="{00000000-0005-0000-0000-000017530000}"/>
    <cellStyle name="Comma 2 3 2 3 3 2 4 4" xfId="26149" xr:uid="{00000000-0005-0000-0000-000018530000}"/>
    <cellStyle name="Comma 2 3 2 3 3 2 5" xfId="5318" xr:uid="{00000000-0005-0000-0000-000019530000}"/>
    <cellStyle name="Comma 2 3 2 3 3 2 5 2" xfId="18805" xr:uid="{00000000-0005-0000-0000-00001A530000}"/>
    <cellStyle name="Comma 2 3 2 3 3 2 5 2 2" xfId="42083" xr:uid="{00000000-0005-0000-0000-00001B530000}"/>
    <cellStyle name="Comma 2 3 2 3 3 2 5 3" xfId="28597" xr:uid="{00000000-0005-0000-0000-00001C530000}"/>
    <cellStyle name="Comma 2 3 2 3 3 2 6" xfId="7766" xr:uid="{00000000-0005-0000-0000-00001D530000}"/>
    <cellStyle name="Comma 2 3 2 3 3 2 6 2" xfId="31045" xr:uid="{00000000-0005-0000-0000-00001E530000}"/>
    <cellStyle name="Comma 2 3 2 3 3 2 7" xfId="10214" xr:uid="{00000000-0005-0000-0000-00001F530000}"/>
    <cellStyle name="Comma 2 3 2 3 3 2 7 2" xfId="33493" xr:uid="{00000000-0005-0000-0000-000020530000}"/>
    <cellStyle name="Comma 2 3 2 3 3 2 8" xfId="12662" xr:uid="{00000000-0005-0000-0000-000021530000}"/>
    <cellStyle name="Comma 2 3 2 3 3 2 8 2" xfId="35941" xr:uid="{00000000-0005-0000-0000-000022530000}"/>
    <cellStyle name="Comma 2 3 2 3 3 2 9" xfId="15133" xr:uid="{00000000-0005-0000-0000-000023530000}"/>
    <cellStyle name="Comma 2 3 2 3 3 2 9 2" xfId="38411" xr:uid="{00000000-0005-0000-0000-000024530000}"/>
    <cellStyle name="Comma 2 3 2 3 3 3" xfId="626" xr:uid="{00000000-0005-0000-0000-000025530000}"/>
    <cellStyle name="Comma 2 3 2 3 3 3 10" xfId="23905" xr:uid="{00000000-0005-0000-0000-000026530000}"/>
    <cellStyle name="Comma 2 3 2 3 3 3 11" xfId="44735" xr:uid="{00000000-0005-0000-0000-000027530000}"/>
    <cellStyle name="Comma 2 3 2 3 3 3 12" xfId="21457" xr:uid="{00000000-0005-0000-0000-000028530000}"/>
    <cellStyle name="Comma 2 3 2 3 3 3 2" xfId="1238" xr:uid="{00000000-0005-0000-0000-000029530000}"/>
    <cellStyle name="Comma 2 3 2 3 3 3 2 10" xfId="45347" xr:uid="{00000000-0005-0000-0000-00002A530000}"/>
    <cellStyle name="Comma 2 3 2 3 3 3 2 11" xfId="22069" xr:uid="{00000000-0005-0000-0000-00002B530000}"/>
    <cellStyle name="Comma 2 3 2 3 3 3 2 2" xfId="2462" xr:uid="{00000000-0005-0000-0000-00002C530000}"/>
    <cellStyle name="Comma 2 3 2 3 3 3 2 2 10" xfId="23293" xr:uid="{00000000-0005-0000-0000-00002D530000}"/>
    <cellStyle name="Comma 2 3 2 3 3 3 2 2 2" xfId="4910" xr:uid="{00000000-0005-0000-0000-00002E530000}"/>
    <cellStyle name="Comma 2 3 2 3 3 3 2 2 2 2" xfId="20845" xr:uid="{00000000-0005-0000-0000-00002F530000}"/>
    <cellStyle name="Comma 2 3 2 3 3 3 2 2 2 2 2" xfId="44123" xr:uid="{00000000-0005-0000-0000-000030530000}"/>
    <cellStyle name="Comma 2 3 2 3 3 3 2 2 2 3" xfId="49019" xr:uid="{00000000-0005-0000-0000-000031530000}"/>
    <cellStyle name="Comma 2 3 2 3 3 3 2 2 2 4" xfId="28189" xr:uid="{00000000-0005-0000-0000-000032530000}"/>
    <cellStyle name="Comma 2 3 2 3 3 3 2 2 3" xfId="7358" xr:uid="{00000000-0005-0000-0000-000033530000}"/>
    <cellStyle name="Comma 2 3 2 3 3 3 2 2 3 2" xfId="30637" xr:uid="{00000000-0005-0000-0000-000034530000}"/>
    <cellStyle name="Comma 2 3 2 3 3 3 2 2 4" xfId="9806" xr:uid="{00000000-0005-0000-0000-000035530000}"/>
    <cellStyle name="Comma 2 3 2 3 3 3 2 2 4 2" xfId="33085" xr:uid="{00000000-0005-0000-0000-000036530000}"/>
    <cellStyle name="Comma 2 3 2 3 3 3 2 2 5" xfId="12254" xr:uid="{00000000-0005-0000-0000-000037530000}"/>
    <cellStyle name="Comma 2 3 2 3 3 3 2 2 5 2" xfId="35533" xr:uid="{00000000-0005-0000-0000-000038530000}"/>
    <cellStyle name="Comma 2 3 2 3 3 3 2 2 6" xfId="14702" xr:uid="{00000000-0005-0000-0000-000039530000}"/>
    <cellStyle name="Comma 2 3 2 3 3 3 2 2 6 2" xfId="37981" xr:uid="{00000000-0005-0000-0000-00003A530000}"/>
    <cellStyle name="Comma 2 3 2 3 3 3 2 2 7" xfId="18397" xr:uid="{00000000-0005-0000-0000-00003B530000}"/>
    <cellStyle name="Comma 2 3 2 3 3 3 2 2 7 2" xfId="41675" xr:uid="{00000000-0005-0000-0000-00003C530000}"/>
    <cellStyle name="Comma 2 3 2 3 3 3 2 2 8" xfId="25741" xr:uid="{00000000-0005-0000-0000-00003D530000}"/>
    <cellStyle name="Comma 2 3 2 3 3 3 2 2 9" xfId="46571" xr:uid="{00000000-0005-0000-0000-00003E530000}"/>
    <cellStyle name="Comma 2 3 2 3 3 3 2 3" xfId="3686" xr:uid="{00000000-0005-0000-0000-00003F530000}"/>
    <cellStyle name="Comma 2 3 2 3 3 3 2 3 2" xfId="17173" xr:uid="{00000000-0005-0000-0000-000040530000}"/>
    <cellStyle name="Comma 2 3 2 3 3 3 2 3 2 2" xfId="40451" xr:uid="{00000000-0005-0000-0000-000041530000}"/>
    <cellStyle name="Comma 2 3 2 3 3 3 2 3 3" xfId="47795" xr:uid="{00000000-0005-0000-0000-000042530000}"/>
    <cellStyle name="Comma 2 3 2 3 3 3 2 3 4" xfId="26965" xr:uid="{00000000-0005-0000-0000-000043530000}"/>
    <cellStyle name="Comma 2 3 2 3 3 3 2 4" xfId="6134" xr:uid="{00000000-0005-0000-0000-000044530000}"/>
    <cellStyle name="Comma 2 3 2 3 3 3 2 4 2" xfId="19621" xr:uid="{00000000-0005-0000-0000-000045530000}"/>
    <cellStyle name="Comma 2 3 2 3 3 3 2 4 2 2" xfId="42899" xr:uid="{00000000-0005-0000-0000-000046530000}"/>
    <cellStyle name="Comma 2 3 2 3 3 3 2 4 3" xfId="29413" xr:uid="{00000000-0005-0000-0000-000047530000}"/>
    <cellStyle name="Comma 2 3 2 3 3 3 2 5" xfId="8582" xr:uid="{00000000-0005-0000-0000-000048530000}"/>
    <cellStyle name="Comma 2 3 2 3 3 3 2 5 2" xfId="31861" xr:uid="{00000000-0005-0000-0000-000049530000}"/>
    <cellStyle name="Comma 2 3 2 3 3 3 2 6" xfId="11030" xr:uid="{00000000-0005-0000-0000-00004A530000}"/>
    <cellStyle name="Comma 2 3 2 3 3 3 2 6 2" xfId="34309" xr:uid="{00000000-0005-0000-0000-00004B530000}"/>
    <cellStyle name="Comma 2 3 2 3 3 3 2 7" xfId="13478" xr:uid="{00000000-0005-0000-0000-00004C530000}"/>
    <cellStyle name="Comma 2 3 2 3 3 3 2 7 2" xfId="36757" xr:uid="{00000000-0005-0000-0000-00004D530000}"/>
    <cellStyle name="Comma 2 3 2 3 3 3 2 8" xfId="15949" xr:uid="{00000000-0005-0000-0000-00004E530000}"/>
    <cellStyle name="Comma 2 3 2 3 3 3 2 8 2" xfId="39227" xr:uid="{00000000-0005-0000-0000-00004F530000}"/>
    <cellStyle name="Comma 2 3 2 3 3 3 2 9" xfId="24517" xr:uid="{00000000-0005-0000-0000-000050530000}"/>
    <cellStyle name="Comma 2 3 2 3 3 3 3" xfId="1850" xr:uid="{00000000-0005-0000-0000-000051530000}"/>
    <cellStyle name="Comma 2 3 2 3 3 3 3 10" xfId="22681" xr:uid="{00000000-0005-0000-0000-000052530000}"/>
    <cellStyle name="Comma 2 3 2 3 3 3 3 2" xfId="4298" xr:uid="{00000000-0005-0000-0000-000053530000}"/>
    <cellStyle name="Comma 2 3 2 3 3 3 3 2 2" xfId="20233" xr:uid="{00000000-0005-0000-0000-000054530000}"/>
    <cellStyle name="Comma 2 3 2 3 3 3 3 2 2 2" xfId="43511" xr:uid="{00000000-0005-0000-0000-000055530000}"/>
    <cellStyle name="Comma 2 3 2 3 3 3 3 2 3" xfId="48407" xr:uid="{00000000-0005-0000-0000-000056530000}"/>
    <cellStyle name="Comma 2 3 2 3 3 3 3 2 4" xfId="27577" xr:uid="{00000000-0005-0000-0000-000057530000}"/>
    <cellStyle name="Comma 2 3 2 3 3 3 3 3" xfId="6746" xr:uid="{00000000-0005-0000-0000-000058530000}"/>
    <cellStyle name="Comma 2 3 2 3 3 3 3 3 2" xfId="30025" xr:uid="{00000000-0005-0000-0000-000059530000}"/>
    <cellStyle name="Comma 2 3 2 3 3 3 3 4" xfId="9194" xr:uid="{00000000-0005-0000-0000-00005A530000}"/>
    <cellStyle name="Comma 2 3 2 3 3 3 3 4 2" xfId="32473" xr:uid="{00000000-0005-0000-0000-00005B530000}"/>
    <cellStyle name="Comma 2 3 2 3 3 3 3 5" xfId="11642" xr:uid="{00000000-0005-0000-0000-00005C530000}"/>
    <cellStyle name="Comma 2 3 2 3 3 3 3 5 2" xfId="34921" xr:uid="{00000000-0005-0000-0000-00005D530000}"/>
    <cellStyle name="Comma 2 3 2 3 3 3 3 6" xfId="14090" xr:uid="{00000000-0005-0000-0000-00005E530000}"/>
    <cellStyle name="Comma 2 3 2 3 3 3 3 6 2" xfId="37369" xr:uid="{00000000-0005-0000-0000-00005F530000}"/>
    <cellStyle name="Comma 2 3 2 3 3 3 3 7" xfId="17785" xr:uid="{00000000-0005-0000-0000-000060530000}"/>
    <cellStyle name="Comma 2 3 2 3 3 3 3 7 2" xfId="41063" xr:uid="{00000000-0005-0000-0000-000061530000}"/>
    <cellStyle name="Comma 2 3 2 3 3 3 3 8" xfId="25129" xr:uid="{00000000-0005-0000-0000-000062530000}"/>
    <cellStyle name="Comma 2 3 2 3 3 3 3 9" xfId="45959" xr:uid="{00000000-0005-0000-0000-000063530000}"/>
    <cellStyle name="Comma 2 3 2 3 3 3 4" xfId="3074" xr:uid="{00000000-0005-0000-0000-000064530000}"/>
    <cellStyle name="Comma 2 3 2 3 3 3 4 2" xfId="16561" xr:uid="{00000000-0005-0000-0000-000065530000}"/>
    <cellStyle name="Comma 2 3 2 3 3 3 4 2 2" xfId="39839" xr:uid="{00000000-0005-0000-0000-000066530000}"/>
    <cellStyle name="Comma 2 3 2 3 3 3 4 3" xfId="47183" xr:uid="{00000000-0005-0000-0000-000067530000}"/>
    <cellStyle name="Comma 2 3 2 3 3 3 4 4" xfId="26353" xr:uid="{00000000-0005-0000-0000-000068530000}"/>
    <cellStyle name="Comma 2 3 2 3 3 3 5" xfId="5522" xr:uid="{00000000-0005-0000-0000-000069530000}"/>
    <cellStyle name="Comma 2 3 2 3 3 3 5 2" xfId="19009" xr:uid="{00000000-0005-0000-0000-00006A530000}"/>
    <cellStyle name="Comma 2 3 2 3 3 3 5 2 2" xfId="42287" xr:uid="{00000000-0005-0000-0000-00006B530000}"/>
    <cellStyle name="Comma 2 3 2 3 3 3 5 3" xfId="28801" xr:uid="{00000000-0005-0000-0000-00006C530000}"/>
    <cellStyle name="Comma 2 3 2 3 3 3 6" xfId="7970" xr:uid="{00000000-0005-0000-0000-00006D530000}"/>
    <cellStyle name="Comma 2 3 2 3 3 3 6 2" xfId="31249" xr:uid="{00000000-0005-0000-0000-00006E530000}"/>
    <cellStyle name="Comma 2 3 2 3 3 3 7" xfId="10418" xr:uid="{00000000-0005-0000-0000-00006F530000}"/>
    <cellStyle name="Comma 2 3 2 3 3 3 7 2" xfId="33697" xr:uid="{00000000-0005-0000-0000-000070530000}"/>
    <cellStyle name="Comma 2 3 2 3 3 3 8" xfId="12866" xr:uid="{00000000-0005-0000-0000-000071530000}"/>
    <cellStyle name="Comma 2 3 2 3 3 3 8 2" xfId="36145" xr:uid="{00000000-0005-0000-0000-000072530000}"/>
    <cellStyle name="Comma 2 3 2 3 3 3 9" xfId="15337" xr:uid="{00000000-0005-0000-0000-000073530000}"/>
    <cellStyle name="Comma 2 3 2 3 3 3 9 2" xfId="38615" xr:uid="{00000000-0005-0000-0000-000074530000}"/>
    <cellStyle name="Comma 2 3 2 3 3 4" xfId="830" xr:uid="{00000000-0005-0000-0000-000075530000}"/>
    <cellStyle name="Comma 2 3 2 3 3 4 10" xfId="44939" xr:uid="{00000000-0005-0000-0000-000076530000}"/>
    <cellStyle name="Comma 2 3 2 3 3 4 11" xfId="21661" xr:uid="{00000000-0005-0000-0000-000077530000}"/>
    <cellStyle name="Comma 2 3 2 3 3 4 2" xfId="2054" xr:uid="{00000000-0005-0000-0000-000078530000}"/>
    <cellStyle name="Comma 2 3 2 3 3 4 2 10" xfId="22885" xr:uid="{00000000-0005-0000-0000-000079530000}"/>
    <cellStyle name="Comma 2 3 2 3 3 4 2 2" xfId="4502" xr:uid="{00000000-0005-0000-0000-00007A530000}"/>
    <cellStyle name="Comma 2 3 2 3 3 4 2 2 2" xfId="20437" xr:uid="{00000000-0005-0000-0000-00007B530000}"/>
    <cellStyle name="Comma 2 3 2 3 3 4 2 2 2 2" xfId="43715" xr:uid="{00000000-0005-0000-0000-00007C530000}"/>
    <cellStyle name="Comma 2 3 2 3 3 4 2 2 3" xfId="48611" xr:uid="{00000000-0005-0000-0000-00007D530000}"/>
    <cellStyle name="Comma 2 3 2 3 3 4 2 2 4" xfId="27781" xr:uid="{00000000-0005-0000-0000-00007E530000}"/>
    <cellStyle name="Comma 2 3 2 3 3 4 2 3" xfId="6950" xr:uid="{00000000-0005-0000-0000-00007F530000}"/>
    <cellStyle name="Comma 2 3 2 3 3 4 2 3 2" xfId="30229" xr:uid="{00000000-0005-0000-0000-000080530000}"/>
    <cellStyle name="Comma 2 3 2 3 3 4 2 4" xfId="9398" xr:uid="{00000000-0005-0000-0000-000081530000}"/>
    <cellStyle name="Comma 2 3 2 3 3 4 2 4 2" xfId="32677" xr:uid="{00000000-0005-0000-0000-000082530000}"/>
    <cellStyle name="Comma 2 3 2 3 3 4 2 5" xfId="11846" xr:uid="{00000000-0005-0000-0000-000083530000}"/>
    <cellStyle name="Comma 2 3 2 3 3 4 2 5 2" xfId="35125" xr:uid="{00000000-0005-0000-0000-000084530000}"/>
    <cellStyle name="Comma 2 3 2 3 3 4 2 6" xfId="14294" xr:uid="{00000000-0005-0000-0000-000085530000}"/>
    <cellStyle name="Comma 2 3 2 3 3 4 2 6 2" xfId="37573" xr:uid="{00000000-0005-0000-0000-000086530000}"/>
    <cellStyle name="Comma 2 3 2 3 3 4 2 7" xfId="17989" xr:uid="{00000000-0005-0000-0000-000087530000}"/>
    <cellStyle name="Comma 2 3 2 3 3 4 2 7 2" xfId="41267" xr:uid="{00000000-0005-0000-0000-000088530000}"/>
    <cellStyle name="Comma 2 3 2 3 3 4 2 8" xfId="25333" xr:uid="{00000000-0005-0000-0000-000089530000}"/>
    <cellStyle name="Comma 2 3 2 3 3 4 2 9" xfId="46163" xr:uid="{00000000-0005-0000-0000-00008A530000}"/>
    <cellStyle name="Comma 2 3 2 3 3 4 3" xfId="3278" xr:uid="{00000000-0005-0000-0000-00008B530000}"/>
    <cellStyle name="Comma 2 3 2 3 3 4 3 2" xfId="16765" xr:uid="{00000000-0005-0000-0000-00008C530000}"/>
    <cellStyle name="Comma 2 3 2 3 3 4 3 2 2" xfId="40043" xr:uid="{00000000-0005-0000-0000-00008D530000}"/>
    <cellStyle name="Comma 2 3 2 3 3 4 3 3" xfId="47387" xr:uid="{00000000-0005-0000-0000-00008E530000}"/>
    <cellStyle name="Comma 2 3 2 3 3 4 3 4" xfId="26557" xr:uid="{00000000-0005-0000-0000-00008F530000}"/>
    <cellStyle name="Comma 2 3 2 3 3 4 4" xfId="5726" xr:uid="{00000000-0005-0000-0000-000090530000}"/>
    <cellStyle name="Comma 2 3 2 3 3 4 4 2" xfId="19213" xr:uid="{00000000-0005-0000-0000-000091530000}"/>
    <cellStyle name="Comma 2 3 2 3 3 4 4 2 2" xfId="42491" xr:uid="{00000000-0005-0000-0000-000092530000}"/>
    <cellStyle name="Comma 2 3 2 3 3 4 4 3" xfId="29005" xr:uid="{00000000-0005-0000-0000-000093530000}"/>
    <cellStyle name="Comma 2 3 2 3 3 4 5" xfId="8174" xr:uid="{00000000-0005-0000-0000-000094530000}"/>
    <cellStyle name="Comma 2 3 2 3 3 4 5 2" xfId="31453" xr:uid="{00000000-0005-0000-0000-000095530000}"/>
    <cellStyle name="Comma 2 3 2 3 3 4 6" xfId="10622" xr:uid="{00000000-0005-0000-0000-000096530000}"/>
    <cellStyle name="Comma 2 3 2 3 3 4 6 2" xfId="33901" xr:uid="{00000000-0005-0000-0000-000097530000}"/>
    <cellStyle name="Comma 2 3 2 3 3 4 7" xfId="13070" xr:uid="{00000000-0005-0000-0000-000098530000}"/>
    <cellStyle name="Comma 2 3 2 3 3 4 7 2" xfId="36349" xr:uid="{00000000-0005-0000-0000-000099530000}"/>
    <cellStyle name="Comma 2 3 2 3 3 4 8" xfId="15541" xr:uid="{00000000-0005-0000-0000-00009A530000}"/>
    <cellStyle name="Comma 2 3 2 3 3 4 8 2" xfId="38819" xr:uid="{00000000-0005-0000-0000-00009B530000}"/>
    <cellStyle name="Comma 2 3 2 3 3 4 9" xfId="24109" xr:uid="{00000000-0005-0000-0000-00009C530000}"/>
    <cellStyle name="Comma 2 3 2 3 3 5" xfId="1442" xr:uid="{00000000-0005-0000-0000-00009D530000}"/>
    <cellStyle name="Comma 2 3 2 3 3 5 10" xfId="22273" xr:uid="{00000000-0005-0000-0000-00009E530000}"/>
    <cellStyle name="Comma 2 3 2 3 3 5 2" xfId="3890" xr:uid="{00000000-0005-0000-0000-00009F530000}"/>
    <cellStyle name="Comma 2 3 2 3 3 5 2 2" xfId="19825" xr:uid="{00000000-0005-0000-0000-0000A0530000}"/>
    <cellStyle name="Comma 2 3 2 3 3 5 2 2 2" xfId="43103" xr:uid="{00000000-0005-0000-0000-0000A1530000}"/>
    <cellStyle name="Comma 2 3 2 3 3 5 2 3" xfId="47999" xr:uid="{00000000-0005-0000-0000-0000A2530000}"/>
    <cellStyle name="Comma 2 3 2 3 3 5 2 4" xfId="27169" xr:uid="{00000000-0005-0000-0000-0000A3530000}"/>
    <cellStyle name="Comma 2 3 2 3 3 5 3" xfId="6338" xr:uid="{00000000-0005-0000-0000-0000A4530000}"/>
    <cellStyle name="Comma 2 3 2 3 3 5 3 2" xfId="29617" xr:uid="{00000000-0005-0000-0000-0000A5530000}"/>
    <cellStyle name="Comma 2 3 2 3 3 5 4" xfId="8786" xr:uid="{00000000-0005-0000-0000-0000A6530000}"/>
    <cellStyle name="Comma 2 3 2 3 3 5 4 2" xfId="32065" xr:uid="{00000000-0005-0000-0000-0000A7530000}"/>
    <cellStyle name="Comma 2 3 2 3 3 5 5" xfId="11234" xr:uid="{00000000-0005-0000-0000-0000A8530000}"/>
    <cellStyle name="Comma 2 3 2 3 3 5 5 2" xfId="34513" xr:uid="{00000000-0005-0000-0000-0000A9530000}"/>
    <cellStyle name="Comma 2 3 2 3 3 5 6" xfId="13682" xr:uid="{00000000-0005-0000-0000-0000AA530000}"/>
    <cellStyle name="Comma 2 3 2 3 3 5 6 2" xfId="36961" xr:uid="{00000000-0005-0000-0000-0000AB530000}"/>
    <cellStyle name="Comma 2 3 2 3 3 5 7" xfId="17377" xr:uid="{00000000-0005-0000-0000-0000AC530000}"/>
    <cellStyle name="Comma 2 3 2 3 3 5 7 2" xfId="40655" xr:uid="{00000000-0005-0000-0000-0000AD530000}"/>
    <cellStyle name="Comma 2 3 2 3 3 5 8" xfId="24721" xr:uid="{00000000-0005-0000-0000-0000AE530000}"/>
    <cellStyle name="Comma 2 3 2 3 3 5 9" xfId="45551" xr:uid="{00000000-0005-0000-0000-0000AF530000}"/>
    <cellStyle name="Comma 2 3 2 3 3 6" xfId="2666" xr:uid="{00000000-0005-0000-0000-0000B0530000}"/>
    <cellStyle name="Comma 2 3 2 3 3 6 2" xfId="16153" xr:uid="{00000000-0005-0000-0000-0000B1530000}"/>
    <cellStyle name="Comma 2 3 2 3 3 6 2 2" xfId="39431" xr:uid="{00000000-0005-0000-0000-0000B2530000}"/>
    <cellStyle name="Comma 2 3 2 3 3 6 3" xfId="46775" xr:uid="{00000000-0005-0000-0000-0000B3530000}"/>
    <cellStyle name="Comma 2 3 2 3 3 6 4" xfId="25945" xr:uid="{00000000-0005-0000-0000-0000B4530000}"/>
    <cellStyle name="Comma 2 3 2 3 3 7" xfId="5114" xr:uid="{00000000-0005-0000-0000-0000B5530000}"/>
    <cellStyle name="Comma 2 3 2 3 3 7 2" xfId="18601" xr:uid="{00000000-0005-0000-0000-0000B6530000}"/>
    <cellStyle name="Comma 2 3 2 3 3 7 2 2" xfId="41879" xr:uid="{00000000-0005-0000-0000-0000B7530000}"/>
    <cellStyle name="Comma 2 3 2 3 3 7 3" xfId="28393" xr:uid="{00000000-0005-0000-0000-0000B8530000}"/>
    <cellStyle name="Comma 2 3 2 3 3 8" xfId="7562" xr:uid="{00000000-0005-0000-0000-0000B9530000}"/>
    <cellStyle name="Comma 2 3 2 3 3 8 2" xfId="30841" xr:uid="{00000000-0005-0000-0000-0000BA530000}"/>
    <cellStyle name="Comma 2 3 2 3 3 9" xfId="10010" xr:uid="{00000000-0005-0000-0000-0000BB530000}"/>
    <cellStyle name="Comma 2 3 2 3 3 9 2" xfId="33289" xr:uid="{00000000-0005-0000-0000-0000BC530000}"/>
    <cellStyle name="Comma 2 3 2 3 4" xfId="286" xr:uid="{00000000-0005-0000-0000-0000BD530000}"/>
    <cellStyle name="Comma 2 3 2 3 4 10" xfId="23565" xr:uid="{00000000-0005-0000-0000-0000BE530000}"/>
    <cellStyle name="Comma 2 3 2 3 4 11" xfId="44395" xr:uid="{00000000-0005-0000-0000-0000BF530000}"/>
    <cellStyle name="Comma 2 3 2 3 4 12" xfId="21117" xr:uid="{00000000-0005-0000-0000-0000C0530000}"/>
    <cellStyle name="Comma 2 3 2 3 4 2" xfId="898" xr:uid="{00000000-0005-0000-0000-0000C1530000}"/>
    <cellStyle name="Comma 2 3 2 3 4 2 10" xfId="45007" xr:uid="{00000000-0005-0000-0000-0000C2530000}"/>
    <cellStyle name="Comma 2 3 2 3 4 2 11" xfId="21729" xr:uid="{00000000-0005-0000-0000-0000C3530000}"/>
    <cellStyle name="Comma 2 3 2 3 4 2 2" xfId="2122" xr:uid="{00000000-0005-0000-0000-0000C4530000}"/>
    <cellStyle name="Comma 2 3 2 3 4 2 2 10" xfId="22953" xr:uid="{00000000-0005-0000-0000-0000C5530000}"/>
    <cellStyle name="Comma 2 3 2 3 4 2 2 2" xfId="4570" xr:uid="{00000000-0005-0000-0000-0000C6530000}"/>
    <cellStyle name="Comma 2 3 2 3 4 2 2 2 2" xfId="20505" xr:uid="{00000000-0005-0000-0000-0000C7530000}"/>
    <cellStyle name="Comma 2 3 2 3 4 2 2 2 2 2" xfId="43783" xr:uid="{00000000-0005-0000-0000-0000C8530000}"/>
    <cellStyle name="Comma 2 3 2 3 4 2 2 2 3" xfId="48679" xr:uid="{00000000-0005-0000-0000-0000C9530000}"/>
    <cellStyle name="Comma 2 3 2 3 4 2 2 2 4" xfId="27849" xr:uid="{00000000-0005-0000-0000-0000CA530000}"/>
    <cellStyle name="Comma 2 3 2 3 4 2 2 3" xfId="7018" xr:uid="{00000000-0005-0000-0000-0000CB530000}"/>
    <cellStyle name="Comma 2 3 2 3 4 2 2 3 2" xfId="30297" xr:uid="{00000000-0005-0000-0000-0000CC530000}"/>
    <cellStyle name="Comma 2 3 2 3 4 2 2 4" xfId="9466" xr:uid="{00000000-0005-0000-0000-0000CD530000}"/>
    <cellStyle name="Comma 2 3 2 3 4 2 2 4 2" xfId="32745" xr:uid="{00000000-0005-0000-0000-0000CE530000}"/>
    <cellStyle name="Comma 2 3 2 3 4 2 2 5" xfId="11914" xr:uid="{00000000-0005-0000-0000-0000CF530000}"/>
    <cellStyle name="Comma 2 3 2 3 4 2 2 5 2" xfId="35193" xr:uid="{00000000-0005-0000-0000-0000D0530000}"/>
    <cellStyle name="Comma 2 3 2 3 4 2 2 6" xfId="14362" xr:uid="{00000000-0005-0000-0000-0000D1530000}"/>
    <cellStyle name="Comma 2 3 2 3 4 2 2 6 2" xfId="37641" xr:uid="{00000000-0005-0000-0000-0000D2530000}"/>
    <cellStyle name="Comma 2 3 2 3 4 2 2 7" xfId="18057" xr:uid="{00000000-0005-0000-0000-0000D3530000}"/>
    <cellStyle name="Comma 2 3 2 3 4 2 2 7 2" xfId="41335" xr:uid="{00000000-0005-0000-0000-0000D4530000}"/>
    <cellStyle name="Comma 2 3 2 3 4 2 2 8" xfId="25401" xr:uid="{00000000-0005-0000-0000-0000D5530000}"/>
    <cellStyle name="Comma 2 3 2 3 4 2 2 9" xfId="46231" xr:uid="{00000000-0005-0000-0000-0000D6530000}"/>
    <cellStyle name="Comma 2 3 2 3 4 2 3" xfId="3346" xr:uid="{00000000-0005-0000-0000-0000D7530000}"/>
    <cellStyle name="Comma 2 3 2 3 4 2 3 2" xfId="16833" xr:uid="{00000000-0005-0000-0000-0000D8530000}"/>
    <cellStyle name="Comma 2 3 2 3 4 2 3 2 2" xfId="40111" xr:uid="{00000000-0005-0000-0000-0000D9530000}"/>
    <cellStyle name="Comma 2 3 2 3 4 2 3 3" xfId="47455" xr:uid="{00000000-0005-0000-0000-0000DA530000}"/>
    <cellStyle name="Comma 2 3 2 3 4 2 3 4" xfId="26625" xr:uid="{00000000-0005-0000-0000-0000DB530000}"/>
    <cellStyle name="Comma 2 3 2 3 4 2 4" xfId="5794" xr:uid="{00000000-0005-0000-0000-0000DC530000}"/>
    <cellStyle name="Comma 2 3 2 3 4 2 4 2" xfId="19281" xr:uid="{00000000-0005-0000-0000-0000DD530000}"/>
    <cellStyle name="Comma 2 3 2 3 4 2 4 2 2" xfId="42559" xr:uid="{00000000-0005-0000-0000-0000DE530000}"/>
    <cellStyle name="Comma 2 3 2 3 4 2 4 3" xfId="29073" xr:uid="{00000000-0005-0000-0000-0000DF530000}"/>
    <cellStyle name="Comma 2 3 2 3 4 2 5" xfId="8242" xr:uid="{00000000-0005-0000-0000-0000E0530000}"/>
    <cellStyle name="Comma 2 3 2 3 4 2 5 2" xfId="31521" xr:uid="{00000000-0005-0000-0000-0000E1530000}"/>
    <cellStyle name="Comma 2 3 2 3 4 2 6" xfId="10690" xr:uid="{00000000-0005-0000-0000-0000E2530000}"/>
    <cellStyle name="Comma 2 3 2 3 4 2 6 2" xfId="33969" xr:uid="{00000000-0005-0000-0000-0000E3530000}"/>
    <cellStyle name="Comma 2 3 2 3 4 2 7" xfId="13138" xr:uid="{00000000-0005-0000-0000-0000E4530000}"/>
    <cellStyle name="Comma 2 3 2 3 4 2 7 2" xfId="36417" xr:uid="{00000000-0005-0000-0000-0000E5530000}"/>
    <cellStyle name="Comma 2 3 2 3 4 2 8" xfId="15609" xr:uid="{00000000-0005-0000-0000-0000E6530000}"/>
    <cellStyle name="Comma 2 3 2 3 4 2 8 2" xfId="38887" xr:uid="{00000000-0005-0000-0000-0000E7530000}"/>
    <cellStyle name="Comma 2 3 2 3 4 2 9" xfId="24177" xr:uid="{00000000-0005-0000-0000-0000E8530000}"/>
    <cellStyle name="Comma 2 3 2 3 4 3" xfId="1510" xr:uid="{00000000-0005-0000-0000-0000E9530000}"/>
    <cellStyle name="Comma 2 3 2 3 4 3 10" xfId="22341" xr:uid="{00000000-0005-0000-0000-0000EA530000}"/>
    <cellStyle name="Comma 2 3 2 3 4 3 2" xfId="3958" xr:uid="{00000000-0005-0000-0000-0000EB530000}"/>
    <cellStyle name="Comma 2 3 2 3 4 3 2 2" xfId="19893" xr:uid="{00000000-0005-0000-0000-0000EC530000}"/>
    <cellStyle name="Comma 2 3 2 3 4 3 2 2 2" xfId="43171" xr:uid="{00000000-0005-0000-0000-0000ED530000}"/>
    <cellStyle name="Comma 2 3 2 3 4 3 2 3" xfId="48067" xr:uid="{00000000-0005-0000-0000-0000EE530000}"/>
    <cellStyle name="Comma 2 3 2 3 4 3 2 4" xfId="27237" xr:uid="{00000000-0005-0000-0000-0000EF530000}"/>
    <cellStyle name="Comma 2 3 2 3 4 3 3" xfId="6406" xr:uid="{00000000-0005-0000-0000-0000F0530000}"/>
    <cellStyle name="Comma 2 3 2 3 4 3 3 2" xfId="29685" xr:uid="{00000000-0005-0000-0000-0000F1530000}"/>
    <cellStyle name="Comma 2 3 2 3 4 3 4" xfId="8854" xr:uid="{00000000-0005-0000-0000-0000F2530000}"/>
    <cellStyle name="Comma 2 3 2 3 4 3 4 2" xfId="32133" xr:uid="{00000000-0005-0000-0000-0000F3530000}"/>
    <cellStyle name="Comma 2 3 2 3 4 3 5" xfId="11302" xr:uid="{00000000-0005-0000-0000-0000F4530000}"/>
    <cellStyle name="Comma 2 3 2 3 4 3 5 2" xfId="34581" xr:uid="{00000000-0005-0000-0000-0000F5530000}"/>
    <cellStyle name="Comma 2 3 2 3 4 3 6" xfId="13750" xr:uid="{00000000-0005-0000-0000-0000F6530000}"/>
    <cellStyle name="Comma 2 3 2 3 4 3 6 2" xfId="37029" xr:uid="{00000000-0005-0000-0000-0000F7530000}"/>
    <cellStyle name="Comma 2 3 2 3 4 3 7" xfId="17445" xr:uid="{00000000-0005-0000-0000-0000F8530000}"/>
    <cellStyle name="Comma 2 3 2 3 4 3 7 2" xfId="40723" xr:uid="{00000000-0005-0000-0000-0000F9530000}"/>
    <cellStyle name="Comma 2 3 2 3 4 3 8" xfId="24789" xr:uid="{00000000-0005-0000-0000-0000FA530000}"/>
    <cellStyle name="Comma 2 3 2 3 4 3 9" xfId="45619" xr:uid="{00000000-0005-0000-0000-0000FB530000}"/>
    <cellStyle name="Comma 2 3 2 3 4 4" xfId="2734" xr:uid="{00000000-0005-0000-0000-0000FC530000}"/>
    <cellStyle name="Comma 2 3 2 3 4 4 2" xfId="16221" xr:uid="{00000000-0005-0000-0000-0000FD530000}"/>
    <cellStyle name="Comma 2 3 2 3 4 4 2 2" xfId="39499" xr:uid="{00000000-0005-0000-0000-0000FE530000}"/>
    <cellStyle name="Comma 2 3 2 3 4 4 3" xfId="46843" xr:uid="{00000000-0005-0000-0000-0000FF530000}"/>
    <cellStyle name="Comma 2 3 2 3 4 4 4" xfId="26013" xr:uid="{00000000-0005-0000-0000-000000540000}"/>
    <cellStyle name="Comma 2 3 2 3 4 5" xfId="5182" xr:uid="{00000000-0005-0000-0000-000001540000}"/>
    <cellStyle name="Comma 2 3 2 3 4 5 2" xfId="18669" xr:uid="{00000000-0005-0000-0000-000002540000}"/>
    <cellStyle name="Comma 2 3 2 3 4 5 2 2" xfId="41947" xr:uid="{00000000-0005-0000-0000-000003540000}"/>
    <cellStyle name="Comma 2 3 2 3 4 5 3" xfId="28461" xr:uid="{00000000-0005-0000-0000-000004540000}"/>
    <cellStyle name="Comma 2 3 2 3 4 6" xfId="7630" xr:uid="{00000000-0005-0000-0000-000005540000}"/>
    <cellStyle name="Comma 2 3 2 3 4 6 2" xfId="30909" xr:uid="{00000000-0005-0000-0000-000006540000}"/>
    <cellStyle name="Comma 2 3 2 3 4 7" xfId="10078" xr:uid="{00000000-0005-0000-0000-000007540000}"/>
    <cellStyle name="Comma 2 3 2 3 4 7 2" xfId="33357" xr:uid="{00000000-0005-0000-0000-000008540000}"/>
    <cellStyle name="Comma 2 3 2 3 4 8" xfId="12526" xr:uid="{00000000-0005-0000-0000-000009540000}"/>
    <cellStyle name="Comma 2 3 2 3 4 8 2" xfId="35805" xr:uid="{00000000-0005-0000-0000-00000A540000}"/>
    <cellStyle name="Comma 2 3 2 3 4 9" xfId="14997" xr:uid="{00000000-0005-0000-0000-00000B540000}"/>
    <cellStyle name="Comma 2 3 2 3 4 9 2" xfId="38275" xr:uid="{00000000-0005-0000-0000-00000C540000}"/>
    <cellStyle name="Comma 2 3 2 3 5" xfId="490" xr:uid="{00000000-0005-0000-0000-00000D540000}"/>
    <cellStyle name="Comma 2 3 2 3 5 10" xfId="23769" xr:uid="{00000000-0005-0000-0000-00000E540000}"/>
    <cellStyle name="Comma 2 3 2 3 5 11" xfId="44599" xr:uid="{00000000-0005-0000-0000-00000F540000}"/>
    <cellStyle name="Comma 2 3 2 3 5 12" xfId="21321" xr:uid="{00000000-0005-0000-0000-000010540000}"/>
    <cellStyle name="Comma 2 3 2 3 5 2" xfId="1102" xr:uid="{00000000-0005-0000-0000-000011540000}"/>
    <cellStyle name="Comma 2 3 2 3 5 2 10" xfId="45211" xr:uid="{00000000-0005-0000-0000-000012540000}"/>
    <cellStyle name="Comma 2 3 2 3 5 2 11" xfId="21933" xr:uid="{00000000-0005-0000-0000-000013540000}"/>
    <cellStyle name="Comma 2 3 2 3 5 2 2" xfId="2326" xr:uid="{00000000-0005-0000-0000-000014540000}"/>
    <cellStyle name="Comma 2 3 2 3 5 2 2 10" xfId="23157" xr:uid="{00000000-0005-0000-0000-000015540000}"/>
    <cellStyle name="Comma 2 3 2 3 5 2 2 2" xfId="4774" xr:uid="{00000000-0005-0000-0000-000016540000}"/>
    <cellStyle name="Comma 2 3 2 3 5 2 2 2 2" xfId="20709" xr:uid="{00000000-0005-0000-0000-000017540000}"/>
    <cellStyle name="Comma 2 3 2 3 5 2 2 2 2 2" xfId="43987" xr:uid="{00000000-0005-0000-0000-000018540000}"/>
    <cellStyle name="Comma 2 3 2 3 5 2 2 2 3" xfId="48883" xr:uid="{00000000-0005-0000-0000-000019540000}"/>
    <cellStyle name="Comma 2 3 2 3 5 2 2 2 4" xfId="28053" xr:uid="{00000000-0005-0000-0000-00001A540000}"/>
    <cellStyle name="Comma 2 3 2 3 5 2 2 3" xfId="7222" xr:uid="{00000000-0005-0000-0000-00001B540000}"/>
    <cellStyle name="Comma 2 3 2 3 5 2 2 3 2" xfId="30501" xr:uid="{00000000-0005-0000-0000-00001C540000}"/>
    <cellStyle name="Comma 2 3 2 3 5 2 2 4" xfId="9670" xr:uid="{00000000-0005-0000-0000-00001D540000}"/>
    <cellStyle name="Comma 2 3 2 3 5 2 2 4 2" xfId="32949" xr:uid="{00000000-0005-0000-0000-00001E540000}"/>
    <cellStyle name="Comma 2 3 2 3 5 2 2 5" xfId="12118" xr:uid="{00000000-0005-0000-0000-00001F540000}"/>
    <cellStyle name="Comma 2 3 2 3 5 2 2 5 2" xfId="35397" xr:uid="{00000000-0005-0000-0000-000020540000}"/>
    <cellStyle name="Comma 2 3 2 3 5 2 2 6" xfId="14566" xr:uid="{00000000-0005-0000-0000-000021540000}"/>
    <cellStyle name="Comma 2 3 2 3 5 2 2 6 2" xfId="37845" xr:uid="{00000000-0005-0000-0000-000022540000}"/>
    <cellStyle name="Comma 2 3 2 3 5 2 2 7" xfId="18261" xr:uid="{00000000-0005-0000-0000-000023540000}"/>
    <cellStyle name="Comma 2 3 2 3 5 2 2 7 2" xfId="41539" xr:uid="{00000000-0005-0000-0000-000024540000}"/>
    <cellStyle name="Comma 2 3 2 3 5 2 2 8" xfId="25605" xr:uid="{00000000-0005-0000-0000-000025540000}"/>
    <cellStyle name="Comma 2 3 2 3 5 2 2 9" xfId="46435" xr:uid="{00000000-0005-0000-0000-000026540000}"/>
    <cellStyle name="Comma 2 3 2 3 5 2 3" xfId="3550" xr:uid="{00000000-0005-0000-0000-000027540000}"/>
    <cellStyle name="Comma 2 3 2 3 5 2 3 2" xfId="17037" xr:uid="{00000000-0005-0000-0000-000028540000}"/>
    <cellStyle name="Comma 2 3 2 3 5 2 3 2 2" xfId="40315" xr:uid="{00000000-0005-0000-0000-000029540000}"/>
    <cellStyle name="Comma 2 3 2 3 5 2 3 3" xfId="47659" xr:uid="{00000000-0005-0000-0000-00002A540000}"/>
    <cellStyle name="Comma 2 3 2 3 5 2 3 4" xfId="26829" xr:uid="{00000000-0005-0000-0000-00002B540000}"/>
    <cellStyle name="Comma 2 3 2 3 5 2 4" xfId="5998" xr:uid="{00000000-0005-0000-0000-00002C540000}"/>
    <cellStyle name="Comma 2 3 2 3 5 2 4 2" xfId="19485" xr:uid="{00000000-0005-0000-0000-00002D540000}"/>
    <cellStyle name="Comma 2 3 2 3 5 2 4 2 2" xfId="42763" xr:uid="{00000000-0005-0000-0000-00002E540000}"/>
    <cellStyle name="Comma 2 3 2 3 5 2 4 3" xfId="29277" xr:uid="{00000000-0005-0000-0000-00002F540000}"/>
    <cellStyle name="Comma 2 3 2 3 5 2 5" xfId="8446" xr:uid="{00000000-0005-0000-0000-000030540000}"/>
    <cellStyle name="Comma 2 3 2 3 5 2 5 2" xfId="31725" xr:uid="{00000000-0005-0000-0000-000031540000}"/>
    <cellStyle name="Comma 2 3 2 3 5 2 6" xfId="10894" xr:uid="{00000000-0005-0000-0000-000032540000}"/>
    <cellStyle name="Comma 2 3 2 3 5 2 6 2" xfId="34173" xr:uid="{00000000-0005-0000-0000-000033540000}"/>
    <cellStyle name="Comma 2 3 2 3 5 2 7" xfId="13342" xr:uid="{00000000-0005-0000-0000-000034540000}"/>
    <cellStyle name="Comma 2 3 2 3 5 2 7 2" xfId="36621" xr:uid="{00000000-0005-0000-0000-000035540000}"/>
    <cellStyle name="Comma 2 3 2 3 5 2 8" xfId="15813" xr:uid="{00000000-0005-0000-0000-000036540000}"/>
    <cellStyle name="Comma 2 3 2 3 5 2 8 2" xfId="39091" xr:uid="{00000000-0005-0000-0000-000037540000}"/>
    <cellStyle name="Comma 2 3 2 3 5 2 9" xfId="24381" xr:uid="{00000000-0005-0000-0000-000038540000}"/>
    <cellStyle name="Comma 2 3 2 3 5 3" xfId="1714" xr:uid="{00000000-0005-0000-0000-000039540000}"/>
    <cellStyle name="Comma 2 3 2 3 5 3 10" xfId="22545" xr:uid="{00000000-0005-0000-0000-00003A540000}"/>
    <cellStyle name="Comma 2 3 2 3 5 3 2" xfId="4162" xr:uid="{00000000-0005-0000-0000-00003B540000}"/>
    <cellStyle name="Comma 2 3 2 3 5 3 2 2" xfId="20097" xr:uid="{00000000-0005-0000-0000-00003C540000}"/>
    <cellStyle name="Comma 2 3 2 3 5 3 2 2 2" xfId="43375" xr:uid="{00000000-0005-0000-0000-00003D540000}"/>
    <cellStyle name="Comma 2 3 2 3 5 3 2 3" xfId="48271" xr:uid="{00000000-0005-0000-0000-00003E540000}"/>
    <cellStyle name="Comma 2 3 2 3 5 3 2 4" xfId="27441" xr:uid="{00000000-0005-0000-0000-00003F540000}"/>
    <cellStyle name="Comma 2 3 2 3 5 3 3" xfId="6610" xr:uid="{00000000-0005-0000-0000-000040540000}"/>
    <cellStyle name="Comma 2 3 2 3 5 3 3 2" xfId="29889" xr:uid="{00000000-0005-0000-0000-000041540000}"/>
    <cellStyle name="Comma 2 3 2 3 5 3 4" xfId="9058" xr:uid="{00000000-0005-0000-0000-000042540000}"/>
    <cellStyle name="Comma 2 3 2 3 5 3 4 2" xfId="32337" xr:uid="{00000000-0005-0000-0000-000043540000}"/>
    <cellStyle name="Comma 2 3 2 3 5 3 5" xfId="11506" xr:uid="{00000000-0005-0000-0000-000044540000}"/>
    <cellStyle name="Comma 2 3 2 3 5 3 5 2" xfId="34785" xr:uid="{00000000-0005-0000-0000-000045540000}"/>
    <cellStyle name="Comma 2 3 2 3 5 3 6" xfId="13954" xr:uid="{00000000-0005-0000-0000-000046540000}"/>
    <cellStyle name="Comma 2 3 2 3 5 3 6 2" xfId="37233" xr:uid="{00000000-0005-0000-0000-000047540000}"/>
    <cellStyle name="Comma 2 3 2 3 5 3 7" xfId="17649" xr:uid="{00000000-0005-0000-0000-000048540000}"/>
    <cellStyle name="Comma 2 3 2 3 5 3 7 2" xfId="40927" xr:uid="{00000000-0005-0000-0000-000049540000}"/>
    <cellStyle name="Comma 2 3 2 3 5 3 8" xfId="24993" xr:uid="{00000000-0005-0000-0000-00004A540000}"/>
    <cellStyle name="Comma 2 3 2 3 5 3 9" xfId="45823" xr:uid="{00000000-0005-0000-0000-00004B540000}"/>
    <cellStyle name="Comma 2 3 2 3 5 4" xfId="2938" xr:uid="{00000000-0005-0000-0000-00004C540000}"/>
    <cellStyle name="Comma 2 3 2 3 5 4 2" xfId="16425" xr:uid="{00000000-0005-0000-0000-00004D540000}"/>
    <cellStyle name="Comma 2 3 2 3 5 4 2 2" xfId="39703" xr:uid="{00000000-0005-0000-0000-00004E540000}"/>
    <cellStyle name="Comma 2 3 2 3 5 4 3" xfId="47047" xr:uid="{00000000-0005-0000-0000-00004F540000}"/>
    <cellStyle name="Comma 2 3 2 3 5 4 4" xfId="26217" xr:uid="{00000000-0005-0000-0000-000050540000}"/>
    <cellStyle name="Comma 2 3 2 3 5 5" xfId="5386" xr:uid="{00000000-0005-0000-0000-000051540000}"/>
    <cellStyle name="Comma 2 3 2 3 5 5 2" xfId="18873" xr:uid="{00000000-0005-0000-0000-000052540000}"/>
    <cellStyle name="Comma 2 3 2 3 5 5 2 2" xfId="42151" xr:uid="{00000000-0005-0000-0000-000053540000}"/>
    <cellStyle name="Comma 2 3 2 3 5 5 3" xfId="28665" xr:uid="{00000000-0005-0000-0000-000054540000}"/>
    <cellStyle name="Comma 2 3 2 3 5 6" xfId="7834" xr:uid="{00000000-0005-0000-0000-000055540000}"/>
    <cellStyle name="Comma 2 3 2 3 5 6 2" xfId="31113" xr:uid="{00000000-0005-0000-0000-000056540000}"/>
    <cellStyle name="Comma 2 3 2 3 5 7" xfId="10282" xr:uid="{00000000-0005-0000-0000-000057540000}"/>
    <cellStyle name="Comma 2 3 2 3 5 7 2" xfId="33561" xr:uid="{00000000-0005-0000-0000-000058540000}"/>
    <cellStyle name="Comma 2 3 2 3 5 8" xfId="12730" xr:uid="{00000000-0005-0000-0000-000059540000}"/>
    <cellStyle name="Comma 2 3 2 3 5 8 2" xfId="36009" xr:uid="{00000000-0005-0000-0000-00005A540000}"/>
    <cellStyle name="Comma 2 3 2 3 5 9" xfId="15201" xr:uid="{00000000-0005-0000-0000-00005B540000}"/>
    <cellStyle name="Comma 2 3 2 3 5 9 2" xfId="38479" xr:uid="{00000000-0005-0000-0000-00005C540000}"/>
    <cellStyle name="Comma 2 3 2 3 6" xfId="694" xr:uid="{00000000-0005-0000-0000-00005D540000}"/>
    <cellStyle name="Comma 2 3 2 3 6 10" xfId="44803" xr:uid="{00000000-0005-0000-0000-00005E540000}"/>
    <cellStyle name="Comma 2 3 2 3 6 11" xfId="21525" xr:uid="{00000000-0005-0000-0000-00005F540000}"/>
    <cellStyle name="Comma 2 3 2 3 6 2" xfId="1918" xr:uid="{00000000-0005-0000-0000-000060540000}"/>
    <cellStyle name="Comma 2 3 2 3 6 2 10" xfId="22749" xr:uid="{00000000-0005-0000-0000-000061540000}"/>
    <cellStyle name="Comma 2 3 2 3 6 2 2" xfId="4366" xr:uid="{00000000-0005-0000-0000-000062540000}"/>
    <cellStyle name="Comma 2 3 2 3 6 2 2 2" xfId="20301" xr:uid="{00000000-0005-0000-0000-000063540000}"/>
    <cellStyle name="Comma 2 3 2 3 6 2 2 2 2" xfId="43579" xr:uid="{00000000-0005-0000-0000-000064540000}"/>
    <cellStyle name="Comma 2 3 2 3 6 2 2 3" xfId="48475" xr:uid="{00000000-0005-0000-0000-000065540000}"/>
    <cellStyle name="Comma 2 3 2 3 6 2 2 4" xfId="27645" xr:uid="{00000000-0005-0000-0000-000066540000}"/>
    <cellStyle name="Comma 2 3 2 3 6 2 3" xfId="6814" xr:uid="{00000000-0005-0000-0000-000067540000}"/>
    <cellStyle name="Comma 2 3 2 3 6 2 3 2" xfId="30093" xr:uid="{00000000-0005-0000-0000-000068540000}"/>
    <cellStyle name="Comma 2 3 2 3 6 2 4" xfId="9262" xr:uid="{00000000-0005-0000-0000-000069540000}"/>
    <cellStyle name="Comma 2 3 2 3 6 2 4 2" xfId="32541" xr:uid="{00000000-0005-0000-0000-00006A540000}"/>
    <cellStyle name="Comma 2 3 2 3 6 2 5" xfId="11710" xr:uid="{00000000-0005-0000-0000-00006B540000}"/>
    <cellStyle name="Comma 2 3 2 3 6 2 5 2" xfId="34989" xr:uid="{00000000-0005-0000-0000-00006C540000}"/>
    <cellStyle name="Comma 2 3 2 3 6 2 6" xfId="14158" xr:uid="{00000000-0005-0000-0000-00006D540000}"/>
    <cellStyle name="Comma 2 3 2 3 6 2 6 2" xfId="37437" xr:uid="{00000000-0005-0000-0000-00006E540000}"/>
    <cellStyle name="Comma 2 3 2 3 6 2 7" xfId="17853" xr:uid="{00000000-0005-0000-0000-00006F540000}"/>
    <cellStyle name="Comma 2 3 2 3 6 2 7 2" xfId="41131" xr:uid="{00000000-0005-0000-0000-000070540000}"/>
    <cellStyle name="Comma 2 3 2 3 6 2 8" xfId="25197" xr:uid="{00000000-0005-0000-0000-000071540000}"/>
    <cellStyle name="Comma 2 3 2 3 6 2 9" xfId="46027" xr:uid="{00000000-0005-0000-0000-000072540000}"/>
    <cellStyle name="Comma 2 3 2 3 6 3" xfId="3142" xr:uid="{00000000-0005-0000-0000-000073540000}"/>
    <cellStyle name="Comma 2 3 2 3 6 3 2" xfId="16629" xr:uid="{00000000-0005-0000-0000-000074540000}"/>
    <cellStyle name="Comma 2 3 2 3 6 3 2 2" xfId="39907" xr:uid="{00000000-0005-0000-0000-000075540000}"/>
    <cellStyle name="Comma 2 3 2 3 6 3 3" xfId="47251" xr:uid="{00000000-0005-0000-0000-000076540000}"/>
    <cellStyle name="Comma 2 3 2 3 6 3 4" xfId="26421" xr:uid="{00000000-0005-0000-0000-000077540000}"/>
    <cellStyle name="Comma 2 3 2 3 6 4" xfId="5590" xr:uid="{00000000-0005-0000-0000-000078540000}"/>
    <cellStyle name="Comma 2 3 2 3 6 4 2" xfId="19077" xr:uid="{00000000-0005-0000-0000-000079540000}"/>
    <cellStyle name="Comma 2 3 2 3 6 4 2 2" xfId="42355" xr:uid="{00000000-0005-0000-0000-00007A540000}"/>
    <cellStyle name="Comma 2 3 2 3 6 4 3" xfId="28869" xr:uid="{00000000-0005-0000-0000-00007B540000}"/>
    <cellStyle name="Comma 2 3 2 3 6 5" xfId="8038" xr:uid="{00000000-0005-0000-0000-00007C540000}"/>
    <cellStyle name="Comma 2 3 2 3 6 5 2" xfId="31317" xr:uid="{00000000-0005-0000-0000-00007D540000}"/>
    <cellStyle name="Comma 2 3 2 3 6 6" xfId="10486" xr:uid="{00000000-0005-0000-0000-00007E540000}"/>
    <cellStyle name="Comma 2 3 2 3 6 6 2" xfId="33765" xr:uid="{00000000-0005-0000-0000-00007F540000}"/>
    <cellStyle name="Comma 2 3 2 3 6 7" xfId="12934" xr:uid="{00000000-0005-0000-0000-000080540000}"/>
    <cellStyle name="Comma 2 3 2 3 6 7 2" xfId="36213" xr:uid="{00000000-0005-0000-0000-000081540000}"/>
    <cellStyle name="Comma 2 3 2 3 6 8" xfId="15405" xr:uid="{00000000-0005-0000-0000-000082540000}"/>
    <cellStyle name="Comma 2 3 2 3 6 8 2" xfId="38683" xr:uid="{00000000-0005-0000-0000-000083540000}"/>
    <cellStyle name="Comma 2 3 2 3 6 9" xfId="23973" xr:uid="{00000000-0005-0000-0000-000084540000}"/>
    <cellStyle name="Comma 2 3 2 3 7" xfId="1306" xr:uid="{00000000-0005-0000-0000-000085540000}"/>
    <cellStyle name="Comma 2 3 2 3 7 10" xfId="22137" xr:uid="{00000000-0005-0000-0000-000086540000}"/>
    <cellStyle name="Comma 2 3 2 3 7 2" xfId="3754" xr:uid="{00000000-0005-0000-0000-000087540000}"/>
    <cellStyle name="Comma 2 3 2 3 7 2 2" xfId="19689" xr:uid="{00000000-0005-0000-0000-000088540000}"/>
    <cellStyle name="Comma 2 3 2 3 7 2 2 2" xfId="42967" xr:uid="{00000000-0005-0000-0000-000089540000}"/>
    <cellStyle name="Comma 2 3 2 3 7 2 3" xfId="47863" xr:uid="{00000000-0005-0000-0000-00008A540000}"/>
    <cellStyle name="Comma 2 3 2 3 7 2 4" xfId="27033" xr:uid="{00000000-0005-0000-0000-00008B540000}"/>
    <cellStyle name="Comma 2 3 2 3 7 3" xfId="6202" xr:uid="{00000000-0005-0000-0000-00008C540000}"/>
    <cellStyle name="Comma 2 3 2 3 7 3 2" xfId="29481" xr:uid="{00000000-0005-0000-0000-00008D540000}"/>
    <cellStyle name="Comma 2 3 2 3 7 4" xfId="8650" xr:uid="{00000000-0005-0000-0000-00008E540000}"/>
    <cellStyle name="Comma 2 3 2 3 7 4 2" xfId="31929" xr:uid="{00000000-0005-0000-0000-00008F540000}"/>
    <cellStyle name="Comma 2 3 2 3 7 5" xfId="11098" xr:uid="{00000000-0005-0000-0000-000090540000}"/>
    <cellStyle name="Comma 2 3 2 3 7 5 2" xfId="34377" xr:uid="{00000000-0005-0000-0000-000091540000}"/>
    <cellStyle name="Comma 2 3 2 3 7 6" xfId="13546" xr:uid="{00000000-0005-0000-0000-000092540000}"/>
    <cellStyle name="Comma 2 3 2 3 7 6 2" xfId="36825" xr:uid="{00000000-0005-0000-0000-000093540000}"/>
    <cellStyle name="Comma 2 3 2 3 7 7" xfId="17241" xr:uid="{00000000-0005-0000-0000-000094540000}"/>
    <cellStyle name="Comma 2 3 2 3 7 7 2" xfId="40519" xr:uid="{00000000-0005-0000-0000-000095540000}"/>
    <cellStyle name="Comma 2 3 2 3 7 8" xfId="24585" xr:uid="{00000000-0005-0000-0000-000096540000}"/>
    <cellStyle name="Comma 2 3 2 3 7 9" xfId="45415" xr:uid="{00000000-0005-0000-0000-000097540000}"/>
    <cellStyle name="Comma 2 3 2 3 8" xfId="2530" xr:uid="{00000000-0005-0000-0000-000098540000}"/>
    <cellStyle name="Comma 2 3 2 3 8 2" xfId="16017" xr:uid="{00000000-0005-0000-0000-000099540000}"/>
    <cellStyle name="Comma 2 3 2 3 8 2 2" xfId="39295" xr:uid="{00000000-0005-0000-0000-00009A540000}"/>
    <cellStyle name="Comma 2 3 2 3 8 3" xfId="46639" xr:uid="{00000000-0005-0000-0000-00009B540000}"/>
    <cellStyle name="Comma 2 3 2 3 8 4" xfId="25809" xr:uid="{00000000-0005-0000-0000-00009C540000}"/>
    <cellStyle name="Comma 2 3 2 3 9" xfId="4978" xr:uid="{00000000-0005-0000-0000-00009D540000}"/>
    <cellStyle name="Comma 2 3 2 3 9 2" xfId="18465" xr:uid="{00000000-0005-0000-0000-00009E540000}"/>
    <cellStyle name="Comma 2 3 2 3 9 2 2" xfId="41743" xr:uid="{00000000-0005-0000-0000-00009F540000}"/>
    <cellStyle name="Comma 2 3 2 3 9 3" xfId="28257" xr:uid="{00000000-0005-0000-0000-0000A0540000}"/>
    <cellStyle name="Comma 2 3 2 4" xfId="99" xr:uid="{00000000-0005-0000-0000-0000A1540000}"/>
    <cellStyle name="Comma 2 3 2 4 10" xfId="7443" xr:uid="{00000000-0005-0000-0000-0000A2540000}"/>
    <cellStyle name="Comma 2 3 2 4 10 2" xfId="30722" xr:uid="{00000000-0005-0000-0000-0000A3540000}"/>
    <cellStyle name="Comma 2 3 2 4 11" xfId="9891" xr:uid="{00000000-0005-0000-0000-0000A4540000}"/>
    <cellStyle name="Comma 2 3 2 4 11 2" xfId="33170" xr:uid="{00000000-0005-0000-0000-0000A5540000}"/>
    <cellStyle name="Comma 2 3 2 4 12" xfId="12339" xr:uid="{00000000-0005-0000-0000-0000A6540000}"/>
    <cellStyle name="Comma 2 3 2 4 12 2" xfId="35618" xr:uid="{00000000-0005-0000-0000-0000A7540000}"/>
    <cellStyle name="Comma 2 3 2 4 13" xfId="14810" xr:uid="{00000000-0005-0000-0000-0000A8540000}"/>
    <cellStyle name="Comma 2 3 2 4 13 2" xfId="38088" xr:uid="{00000000-0005-0000-0000-0000A9540000}"/>
    <cellStyle name="Comma 2 3 2 4 14" xfId="23378" xr:uid="{00000000-0005-0000-0000-0000AA540000}"/>
    <cellStyle name="Comma 2 3 2 4 15" xfId="44208" xr:uid="{00000000-0005-0000-0000-0000AB540000}"/>
    <cellStyle name="Comma 2 3 2 4 16" xfId="20930" xr:uid="{00000000-0005-0000-0000-0000AC540000}"/>
    <cellStyle name="Comma 2 3 2 4 2" xfId="167" xr:uid="{00000000-0005-0000-0000-0000AD540000}"/>
    <cellStyle name="Comma 2 3 2 4 2 10" xfId="12407" xr:uid="{00000000-0005-0000-0000-0000AE540000}"/>
    <cellStyle name="Comma 2 3 2 4 2 10 2" xfId="35686" xr:uid="{00000000-0005-0000-0000-0000AF540000}"/>
    <cellStyle name="Comma 2 3 2 4 2 11" xfId="14878" xr:uid="{00000000-0005-0000-0000-0000B0540000}"/>
    <cellStyle name="Comma 2 3 2 4 2 11 2" xfId="38156" xr:uid="{00000000-0005-0000-0000-0000B1540000}"/>
    <cellStyle name="Comma 2 3 2 4 2 12" xfId="23446" xr:uid="{00000000-0005-0000-0000-0000B2540000}"/>
    <cellStyle name="Comma 2 3 2 4 2 13" xfId="44276" xr:uid="{00000000-0005-0000-0000-0000B3540000}"/>
    <cellStyle name="Comma 2 3 2 4 2 14" xfId="20998" xr:uid="{00000000-0005-0000-0000-0000B4540000}"/>
    <cellStyle name="Comma 2 3 2 4 2 2" xfId="371" xr:uid="{00000000-0005-0000-0000-0000B5540000}"/>
    <cellStyle name="Comma 2 3 2 4 2 2 10" xfId="23650" xr:uid="{00000000-0005-0000-0000-0000B6540000}"/>
    <cellStyle name="Comma 2 3 2 4 2 2 11" xfId="44480" xr:uid="{00000000-0005-0000-0000-0000B7540000}"/>
    <cellStyle name="Comma 2 3 2 4 2 2 12" xfId="21202" xr:uid="{00000000-0005-0000-0000-0000B8540000}"/>
    <cellStyle name="Comma 2 3 2 4 2 2 2" xfId="983" xr:uid="{00000000-0005-0000-0000-0000B9540000}"/>
    <cellStyle name="Comma 2 3 2 4 2 2 2 10" xfId="45092" xr:uid="{00000000-0005-0000-0000-0000BA540000}"/>
    <cellStyle name="Comma 2 3 2 4 2 2 2 11" xfId="21814" xr:uid="{00000000-0005-0000-0000-0000BB540000}"/>
    <cellStyle name="Comma 2 3 2 4 2 2 2 2" xfId="2207" xr:uid="{00000000-0005-0000-0000-0000BC540000}"/>
    <cellStyle name="Comma 2 3 2 4 2 2 2 2 10" xfId="23038" xr:uid="{00000000-0005-0000-0000-0000BD540000}"/>
    <cellStyle name="Comma 2 3 2 4 2 2 2 2 2" xfId="4655" xr:uid="{00000000-0005-0000-0000-0000BE540000}"/>
    <cellStyle name="Comma 2 3 2 4 2 2 2 2 2 2" xfId="20590" xr:uid="{00000000-0005-0000-0000-0000BF540000}"/>
    <cellStyle name="Comma 2 3 2 4 2 2 2 2 2 2 2" xfId="43868" xr:uid="{00000000-0005-0000-0000-0000C0540000}"/>
    <cellStyle name="Comma 2 3 2 4 2 2 2 2 2 3" xfId="48764" xr:uid="{00000000-0005-0000-0000-0000C1540000}"/>
    <cellStyle name="Comma 2 3 2 4 2 2 2 2 2 4" xfId="27934" xr:uid="{00000000-0005-0000-0000-0000C2540000}"/>
    <cellStyle name="Comma 2 3 2 4 2 2 2 2 3" xfId="7103" xr:uid="{00000000-0005-0000-0000-0000C3540000}"/>
    <cellStyle name="Comma 2 3 2 4 2 2 2 2 3 2" xfId="30382" xr:uid="{00000000-0005-0000-0000-0000C4540000}"/>
    <cellStyle name="Comma 2 3 2 4 2 2 2 2 4" xfId="9551" xr:uid="{00000000-0005-0000-0000-0000C5540000}"/>
    <cellStyle name="Comma 2 3 2 4 2 2 2 2 4 2" xfId="32830" xr:uid="{00000000-0005-0000-0000-0000C6540000}"/>
    <cellStyle name="Comma 2 3 2 4 2 2 2 2 5" xfId="11999" xr:uid="{00000000-0005-0000-0000-0000C7540000}"/>
    <cellStyle name="Comma 2 3 2 4 2 2 2 2 5 2" xfId="35278" xr:uid="{00000000-0005-0000-0000-0000C8540000}"/>
    <cellStyle name="Comma 2 3 2 4 2 2 2 2 6" xfId="14447" xr:uid="{00000000-0005-0000-0000-0000C9540000}"/>
    <cellStyle name="Comma 2 3 2 4 2 2 2 2 6 2" xfId="37726" xr:uid="{00000000-0005-0000-0000-0000CA540000}"/>
    <cellStyle name="Comma 2 3 2 4 2 2 2 2 7" xfId="18142" xr:uid="{00000000-0005-0000-0000-0000CB540000}"/>
    <cellStyle name="Comma 2 3 2 4 2 2 2 2 7 2" xfId="41420" xr:uid="{00000000-0005-0000-0000-0000CC540000}"/>
    <cellStyle name="Comma 2 3 2 4 2 2 2 2 8" xfId="25486" xr:uid="{00000000-0005-0000-0000-0000CD540000}"/>
    <cellStyle name="Comma 2 3 2 4 2 2 2 2 9" xfId="46316" xr:uid="{00000000-0005-0000-0000-0000CE540000}"/>
    <cellStyle name="Comma 2 3 2 4 2 2 2 3" xfId="3431" xr:uid="{00000000-0005-0000-0000-0000CF540000}"/>
    <cellStyle name="Comma 2 3 2 4 2 2 2 3 2" xfId="16918" xr:uid="{00000000-0005-0000-0000-0000D0540000}"/>
    <cellStyle name="Comma 2 3 2 4 2 2 2 3 2 2" xfId="40196" xr:uid="{00000000-0005-0000-0000-0000D1540000}"/>
    <cellStyle name="Comma 2 3 2 4 2 2 2 3 3" xfId="47540" xr:uid="{00000000-0005-0000-0000-0000D2540000}"/>
    <cellStyle name="Comma 2 3 2 4 2 2 2 3 4" xfId="26710" xr:uid="{00000000-0005-0000-0000-0000D3540000}"/>
    <cellStyle name="Comma 2 3 2 4 2 2 2 4" xfId="5879" xr:uid="{00000000-0005-0000-0000-0000D4540000}"/>
    <cellStyle name="Comma 2 3 2 4 2 2 2 4 2" xfId="19366" xr:uid="{00000000-0005-0000-0000-0000D5540000}"/>
    <cellStyle name="Comma 2 3 2 4 2 2 2 4 2 2" xfId="42644" xr:uid="{00000000-0005-0000-0000-0000D6540000}"/>
    <cellStyle name="Comma 2 3 2 4 2 2 2 4 3" xfId="29158" xr:uid="{00000000-0005-0000-0000-0000D7540000}"/>
    <cellStyle name="Comma 2 3 2 4 2 2 2 5" xfId="8327" xr:uid="{00000000-0005-0000-0000-0000D8540000}"/>
    <cellStyle name="Comma 2 3 2 4 2 2 2 5 2" xfId="31606" xr:uid="{00000000-0005-0000-0000-0000D9540000}"/>
    <cellStyle name="Comma 2 3 2 4 2 2 2 6" xfId="10775" xr:uid="{00000000-0005-0000-0000-0000DA540000}"/>
    <cellStyle name="Comma 2 3 2 4 2 2 2 6 2" xfId="34054" xr:uid="{00000000-0005-0000-0000-0000DB540000}"/>
    <cellStyle name="Comma 2 3 2 4 2 2 2 7" xfId="13223" xr:uid="{00000000-0005-0000-0000-0000DC540000}"/>
    <cellStyle name="Comma 2 3 2 4 2 2 2 7 2" xfId="36502" xr:uid="{00000000-0005-0000-0000-0000DD540000}"/>
    <cellStyle name="Comma 2 3 2 4 2 2 2 8" xfId="15694" xr:uid="{00000000-0005-0000-0000-0000DE540000}"/>
    <cellStyle name="Comma 2 3 2 4 2 2 2 8 2" xfId="38972" xr:uid="{00000000-0005-0000-0000-0000DF540000}"/>
    <cellStyle name="Comma 2 3 2 4 2 2 2 9" xfId="24262" xr:uid="{00000000-0005-0000-0000-0000E0540000}"/>
    <cellStyle name="Comma 2 3 2 4 2 2 3" xfId="1595" xr:uid="{00000000-0005-0000-0000-0000E1540000}"/>
    <cellStyle name="Comma 2 3 2 4 2 2 3 10" xfId="22426" xr:uid="{00000000-0005-0000-0000-0000E2540000}"/>
    <cellStyle name="Comma 2 3 2 4 2 2 3 2" xfId="4043" xr:uid="{00000000-0005-0000-0000-0000E3540000}"/>
    <cellStyle name="Comma 2 3 2 4 2 2 3 2 2" xfId="19978" xr:uid="{00000000-0005-0000-0000-0000E4540000}"/>
    <cellStyle name="Comma 2 3 2 4 2 2 3 2 2 2" xfId="43256" xr:uid="{00000000-0005-0000-0000-0000E5540000}"/>
    <cellStyle name="Comma 2 3 2 4 2 2 3 2 3" xfId="48152" xr:uid="{00000000-0005-0000-0000-0000E6540000}"/>
    <cellStyle name="Comma 2 3 2 4 2 2 3 2 4" xfId="27322" xr:uid="{00000000-0005-0000-0000-0000E7540000}"/>
    <cellStyle name="Comma 2 3 2 4 2 2 3 3" xfId="6491" xr:uid="{00000000-0005-0000-0000-0000E8540000}"/>
    <cellStyle name="Comma 2 3 2 4 2 2 3 3 2" xfId="29770" xr:uid="{00000000-0005-0000-0000-0000E9540000}"/>
    <cellStyle name="Comma 2 3 2 4 2 2 3 4" xfId="8939" xr:uid="{00000000-0005-0000-0000-0000EA540000}"/>
    <cellStyle name="Comma 2 3 2 4 2 2 3 4 2" xfId="32218" xr:uid="{00000000-0005-0000-0000-0000EB540000}"/>
    <cellStyle name="Comma 2 3 2 4 2 2 3 5" xfId="11387" xr:uid="{00000000-0005-0000-0000-0000EC540000}"/>
    <cellStyle name="Comma 2 3 2 4 2 2 3 5 2" xfId="34666" xr:uid="{00000000-0005-0000-0000-0000ED540000}"/>
    <cellStyle name="Comma 2 3 2 4 2 2 3 6" xfId="13835" xr:uid="{00000000-0005-0000-0000-0000EE540000}"/>
    <cellStyle name="Comma 2 3 2 4 2 2 3 6 2" xfId="37114" xr:uid="{00000000-0005-0000-0000-0000EF540000}"/>
    <cellStyle name="Comma 2 3 2 4 2 2 3 7" xfId="17530" xr:uid="{00000000-0005-0000-0000-0000F0540000}"/>
    <cellStyle name="Comma 2 3 2 4 2 2 3 7 2" xfId="40808" xr:uid="{00000000-0005-0000-0000-0000F1540000}"/>
    <cellStyle name="Comma 2 3 2 4 2 2 3 8" xfId="24874" xr:uid="{00000000-0005-0000-0000-0000F2540000}"/>
    <cellStyle name="Comma 2 3 2 4 2 2 3 9" xfId="45704" xr:uid="{00000000-0005-0000-0000-0000F3540000}"/>
    <cellStyle name="Comma 2 3 2 4 2 2 4" xfId="2819" xr:uid="{00000000-0005-0000-0000-0000F4540000}"/>
    <cellStyle name="Comma 2 3 2 4 2 2 4 2" xfId="16306" xr:uid="{00000000-0005-0000-0000-0000F5540000}"/>
    <cellStyle name="Comma 2 3 2 4 2 2 4 2 2" xfId="39584" xr:uid="{00000000-0005-0000-0000-0000F6540000}"/>
    <cellStyle name="Comma 2 3 2 4 2 2 4 3" xfId="46928" xr:uid="{00000000-0005-0000-0000-0000F7540000}"/>
    <cellStyle name="Comma 2 3 2 4 2 2 4 4" xfId="26098" xr:uid="{00000000-0005-0000-0000-0000F8540000}"/>
    <cellStyle name="Comma 2 3 2 4 2 2 5" xfId="5267" xr:uid="{00000000-0005-0000-0000-0000F9540000}"/>
    <cellStyle name="Comma 2 3 2 4 2 2 5 2" xfId="18754" xr:uid="{00000000-0005-0000-0000-0000FA540000}"/>
    <cellStyle name="Comma 2 3 2 4 2 2 5 2 2" xfId="42032" xr:uid="{00000000-0005-0000-0000-0000FB540000}"/>
    <cellStyle name="Comma 2 3 2 4 2 2 5 3" xfId="28546" xr:uid="{00000000-0005-0000-0000-0000FC540000}"/>
    <cellStyle name="Comma 2 3 2 4 2 2 6" xfId="7715" xr:uid="{00000000-0005-0000-0000-0000FD540000}"/>
    <cellStyle name="Comma 2 3 2 4 2 2 6 2" xfId="30994" xr:uid="{00000000-0005-0000-0000-0000FE540000}"/>
    <cellStyle name="Comma 2 3 2 4 2 2 7" xfId="10163" xr:uid="{00000000-0005-0000-0000-0000FF540000}"/>
    <cellStyle name="Comma 2 3 2 4 2 2 7 2" xfId="33442" xr:uid="{00000000-0005-0000-0000-000000550000}"/>
    <cellStyle name="Comma 2 3 2 4 2 2 8" xfId="12611" xr:uid="{00000000-0005-0000-0000-000001550000}"/>
    <cellStyle name="Comma 2 3 2 4 2 2 8 2" xfId="35890" xr:uid="{00000000-0005-0000-0000-000002550000}"/>
    <cellStyle name="Comma 2 3 2 4 2 2 9" xfId="15082" xr:uid="{00000000-0005-0000-0000-000003550000}"/>
    <cellStyle name="Comma 2 3 2 4 2 2 9 2" xfId="38360" xr:uid="{00000000-0005-0000-0000-000004550000}"/>
    <cellStyle name="Comma 2 3 2 4 2 3" xfId="575" xr:uid="{00000000-0005-0000-0000-000005550000}"/>
    <cellStyle name="Comma 2 3 2 4 2 3 10" xfId="23854" xr:uid="{00000000-0005-0000-0000-000006550000}"/>
    <cellStyle name="Comma 2 3 2 4 2 3 11" xfId="44684" xr:uid="{00000000-0005-0000-0000-000007550000}"/>
    <cellStyle name="Comma 2 3 2 4 2 3 12" xfId="21406" xr:uid="{00000000-0005-0000-0000-000008550000}"/>
    <cellStyle name="Comma 2 3 2 4 2 3 2" xfId="1187" xr:uid="{00000000-0005-0000-0000-000009550000}"/>
    <cellStyle name="Comma 2 3 2 4 2 3 2 10" xfId="45296" xr:uid="{00000000-0005-0000-0000-00000A550000}"/>
    <cellStyle name="Comma 2 3 2 4 2 3 2 11" xfId="22018" xr:uid="{00000000-0005-0000-0000-00000B550000}"/>
    <cellStyle name="Comma 2 3 2 4 2 3 2 2" xfId="2411" xr:uid="{00000000-0005-0000-0000-00000C550000}"/>
    <cellStyle name="Comma 2 3 2 4 2 3 2 2 10" xfId="23242" xr:uid="{00000000-0005-0000-0000-00000D550000}"/>
    <cellStyle name="Comma 2 3 2 4 2 3 2 2 2" xfId="4859" xr:uid="{00000000-0005-0000-0000-00000E550000}"/>
    <cellStyle name="Comma 2 3 2 4 2 3 2 2 2 2" xfId="20794" xr:uid="{00000000-0005-0000-0000-00000F550000}"/>
    <cellStyle name="Comma 2 3 2 4 2 3 2 2 2 2 2" xfId="44072" xr:uid="{00000000-0005-0000-0000-000010550000}"/>
    <cellStyle name="Comma 2 3 2 4 2 3 2 2 2 3" xfId="48968" xr:uid="{00000000-0005-0000-0000-000011550000}"/>
    <cellStyle name="Comma 2 3 2 4 2 3 2 2 2 4" xfId="28138" xr:uid="{00000000-0005-0000-0000-000012550000}"/>
    <cellStyle name="Comma 2 3 2 4 2 3 2 2 3" xfId="7307" xr:uid="{00000000-0005-0000-0000-000013550000}"/>
    <cellStyle name="Comma 2 3 2 4 2 3 2 2 3 2" xfId="30586" xr:uid="{00000000-0005-0000-0000-000014550000}"/>
    <cellStyle name="Comma 2 3 2 4 2 3 2 2 4" xfId="9755" xr:uid="{00000000-0005-0000-0000-000015550000}"/>
    <cellStyle name="Comma 2 3 2 4 2 3 2 2 4 2" xfId="33034" xr:uid="{00000000-0005-0000-0000-000016550000}"/>
    <cellStyle name="Comma 2 3 2 4 2 3 2 2 5" xfId="12203" xr:uid="{00000000-0005-0000-0000-000017550000}"/>
    <cellStyle name="Comma 2 3 2 4 2 3 2 2 5 2" xfId="35482" xr:uid="{00000000-0005-0000-0000-000018550000}"/>
    <cellStyle name="Comma 2 3 2 4 2 3 2 2 6" xfId="14651" xr:uid="{00000000-0005-0000-0000-000019550000}"/>
    <cellStyle name="Comma 2 3 2 4 2 3 2 2 6 2" xfId="37930" xr:uid="{00000000-0005-0000-0000-00001A550000}"/>
    <cellStyle name="Comma 2 3 2 4 2 3 2 2 7" xfId="18346" xr:uid="{00000000-0005-0000-0000-00001B550000}"/>
    <cellStyle name="Comma 2 3 2 4 2 3 2 2 7 2" xfId="41624" xr:uid="{00000000-0005-0000-0000-00001C550000}"/>
    <cellStyle name="Comma 2 3 2 4 2 3 2 2 8" xfId="25690" xr:uid="{00000000-0005-0000-0000-00001D550000}"/>
    <cellStyle name="Comma 2 3 2 4 2 3 2 2 9" xfId="46520" xr:uid="{00000000-0005-0000-0000-00001E550000}"/>
    <cellStyle name="Comma 2 3 2 4 2 3 2 3" xfId="3635" xr:uid="{00000000-0005-0000-0000-00001F550000}"/>
    <cellStyle name="Comma 2 3 2 4 2 3 2 3 2" xfId="17122" xr:uid="{00000000-0005-0000-0000-000020550000}"/>
    <cellStyle name="Comma 2 3 2 4 2 3 2 3 2 2" xfId="40400" xr:uid="{00000000-0005-0000-0000-000021550000}"/>
    <cellStyle name="Comma 2 3 2 4 2 3 2 3 3" xfId="47744" xr:uid="{00000000-0005-0000-0000-000022550000}"/>
    <cellStyle name="Comma 2 3 2 4 2 3 2 3 4" xfId="26914" xr:uid="{00000000-0005-0000-0000-000023550000}"/>
    <cellStyle name="Comma 2 3 2 4 2 3 2 4" xfId="6083" xr:uid="{00000000-0005-0000-0000-000024550000}"/>
    <cellStyle name="Comma 2 3 2 4 2 3 2 4 2" xfId="19570" xr:uid="{00000000-0005-0000-0000-000025550000}"/>
    <cellStyle name="Comma 2 3 2 4 2 3 2 4 2 2" xfId="42848" xr:uid="{00000000-0005-0000-0000-000026550000}"/>
    <cellStyle name="Comma 2 3 2 4 2 3 2 4 3" xfId="29362" xr:uid="{00000000-0005-0000-0000-000027550000}"/>
    <cellStyle name="Comma 2 3 2 4 2 3 2 5" xfId="8531" xr:uid="{00000000-0005-0000-0000-000028550000}"/>
    <cellStyle name="Comma 2 3 2 4 2 3 2 5 2" xfId="31810" xr:uid="{00000000-0005-0000-0000-000029550000}"/>
    <cellStyle name="Comma 2 3 2 4 2 3 2 6" xfId="10979" xr:uid="{00000000-0005-0000-0000-00002A550000}"/>
    <cellStyle name="Comma 2 3 2 4 2 3 2 6 2" xfId="34258" xr:uid="{00000000-0005-0000-0000-00002B550000}"/>
    <cellStyle name="Comma 2 3 2 4 2 3 2 7" xfId="13427" xr:uid="{00000000-0005-0000-0000-00002C550000}"/>
    <cellStyle name="Comma 2 3 2 4 2 3 2 7 2" xfId="36706" xr:uid="{00000000-0005-0000-0000-00002D550000}"/>
    <cellStyle name="Comma 2 3 2 4 2 3 2 8" xfId="15898" xr:uid="{00000000-0005-0000-0000-00002E550000}"/>
    <cellStyle name="Comma 2 3 2 4 2 3 2 8 2" xfId="39176" xr:uid="{00000000-0005-0000-0000-00002F550000}"/>
    <cellStyle name="Comma 2 3 2 4 2 3 2 9" xfId="24466" xr:uid="{00000000-0005-0000-0000-000030550000}"/>
    <cellStyle name="Comma 2 3 2 4 2 3 3" xfId="1799" xr:uid="{00000000-0005-0000-0000-000031550000}"/>
    <cellStyle name="Comma 2 3 2 4 2 3 3 10" xfId="22630" xr:uid="{00000000-0005-0000-0000-000032550000}"/>
    <cellStyle name="Comma 2 3 2 4 2 3 3 2" xfId="4247" xr:uid="{00000000-0005-0000-0000-000033550000}"/>
    <cellStyle name="Comma 2 3 2 4 2 3 3 2 2" xfId="20182" xr:uid="{00000000-0005-0000-0000-000034550000}"/>
    <cellStyle name="Comma 2 3 2 4 2 3 3 2 2 2" xfId="43460" xr:uid="{00000000-0005-0000-0000-000035550000}"/>
    <cellStyle name="Comma 2 3 2 4 2 3 3 2 3" xfId="48356" xr:uid="{00000000-0005-0000-0000-000036550000}"/>
    <cellStyle name="Comma 2 3 2 4 2 3 3 2 4" xfId="27526" xr:uid="{00000000-0005-0000-0000-000037550000}"/>
    <cellStyle name="Comma 2 3 2 4 2 3 3 3" xfId="6695" xr:uid="{00000000-0005-0000-0000-000038550000}"/>
    <cellStyle name="Comma 2 3 2 4 2 3 3 3 2" xfId="29974" xr:uid="{00000000-0005-0000-0000-000039550000}"/>
    <cellStyle name="Comma 2 3 2 4 2 3 3 4" xfId="9143" xr:uid="{00000000-0005-0000-0000-00003A550000}"/>
    <cellStyle name="Comma 2 3 2 4 2 3 3 4 2" xfId="32422" xr:uid="{00000000-0005-0000-0000-00003B550000}"/>
    <cellStyle name="Comma 2 3 2 4 2 3 3 5" xfId="11591" xr:uid="{00000000-0005-0000-0000-00003C550000}"/>
    <cellStyle name="Comma 2 3 2 4 2 3 3 5 2" xfId="34870" xr:uid="{00000000-0005-0000-0000-00003D550000}"/>
    <cellStyle name="Comma 2 3 2 4 2 3 3 6" xfId="14039" xr:uid="{00000000-0005-0000-0000-00003E550000}"/>
    <cellStyle name="Comma 2 3 2 4 2 3 3 6 2" xfId="37318" xr:uid="{00000000-0005-0000-0000-00003F550000}"/>
    <cellStyle name="Comma 2 3 2 4 2 3 3 7" xfId="17734" xr:uid="{00000000-0005-0000-0000-000040550000}"/>
    <cellStyle name="Comma 2 3 2 4 2 3 3 7 2" xfId="41012" xr:uid="{00000000-0005-0000-0000-000041550000}"/>
    <cellStyle name="Comma 2 3 2 4 2 3 3 8" xfId="25078" xr:uid="{00000000-0005-0000-0000-000042550000}"/>
    <cellStyle name="Comma 2 3 2 4 2 3 3 9" xfId="45908" xr:uid="{00000000-0005-0000-0000-000043550000}"/>
    <cellStyle name="Comma 2 3 2 4 2 3 4" xfId="3023" xr:uid="{00000000-0005-0000-0000-000044550000}"/>
    <cellStyle name="Comma 2 3 2 4 2 3 4 2" xfId="16510" xr:uid="{00000000-0005-0000-0000-000045550000}"/>
    <cellStyle name="Comma 2 3 2 4 2 3 4 2 2" xfId="39788" xr:uid="{00000000-0005-0000-0000-000046550000}"/>
    <cellStyle name="Comma 2 3 2 4 2 3 4 3" xfId="47132" xr:uid="{00000000-0005-0000-0000-000047550000}"/>
    <cellStyle name="Comma 2 3 2 4 2 3 4 4" xfId="26302" xr:uid="{00000000-0005-0000-0000-000048550000}"/>
    <cellStyle name="Comma 2 3 2 4 2 3 5" xfId="5471" xr:uid="{00000000-0005-0000-0000-000049550000}"/>
    <cellStyle name="Comma 2 3 2 4 2 3 5 2" xfId="18958" xr:uid="{00000000-0005-0000-0000-00004A550000}"/>
    <cellStyle name="Comma 2 3 2 4 2 3 5 2 2" xfId="42236" xr:uid="{00000000-0005-0000-0000-00004B550000}"/>
    <cellStyle name="Comma 2 3 2 4 2 3 5 3" xfId="28750" xr:uid="{00000000-0005-0000-0000-00004C550000}"/>
    <cellStyle name="Comma 2 3 2 4 2 3 6" xfId="7919" xr:uid="{00000000-0005-0000-0000-00004D550000}"/>
    <cellStyle name="Comma 2 3 2 4 2 3 6 2" xfId="31198" xr:uid="{00000000-0005-0000-0000-00004E550000}"/>
    <cellStyle name="Comma 2 3 2 4 2 3 7" xfId="10367" xr:uid="{00000000-0005-0000-0000-00004F550000}"/>
    <cellStyle name="Comma 2 3 2 4 2 3 7 2" xfId="33646" xr:uid="{00000000-0005-0000-0000-000050550000}"/>
    <cellStyle name="Comma 2 3 2 4 2 3 8" xfId="12815" xr:uid="{00000000-0005-0000-0000-000051550000}"/>
    <cellStyle name="Comma 2 3 2 4 2 3 8 2" xfId="36094" xr:uid="{00000000-0005-0000-0000-000052550000}"/>
    <cellStyle name="Comma 2 3 2 4 2 3 9" xfId="15286" xr:uid="{00000000-0005-0000-0000-000053550000}"/>
    <cellStyle name="Comma 2 3 2 4 2 3 9 2" xfId="38564" xr:uid="{00000000-0005-0000-0000-000054550000}"/>
    <cellStyle name="Comma 2 3 2 4 2 4" xfId="779" xr:uid="{00000000-0005-0000-0000-000055550000}"/>
    <cellStyle name="Comma 2 3 2 4 2 4 10" xfId="44888" xr:uid="{00000000-0005-0000-0000-000056550000}"/>
    <cellStyle name="Comma 2 3 2 4 2 4 11" xfId="21610" xr:uid="{00000000-0005-0000-0000-000057550000}"/>
    <cellStyle name="Comma 2 3 2 4 2 4 2" xfId="2003" xr:uid="{00000000-0005-0000-0000-000058550000}"/>
    <cellStyle name="Comma 2 3 2 4 2 4 2 10" xfId="22834" xr:uid="{00000000-0005-0000-0000-000059550000}"/>
    <cellStyle name="Comma 2 3 2 4 2 4 2 2" xfId="4451" xr:uid="{00000000-0005-0000-0000-00005A550000}"/>
    <cellStyle name="Comma 2 3 2 4 2 4 2 2 2" xfId="20386" xr:uid="{00000000-0005-0000-0000-00005B550000}"/>
    <cellStyle name="Comma 2 3 2 4 2 4 2 2 2 2" xfId="43664" xr:uid="{00000000-0005-0000-0000-00005C550000}"/>
    <cellStyle name="Comma 2 3 2 4 2 4 2 2 3" xfId="48560" xr:uid="{00000000-0005-0000-0000-00005D550000}"/>
    <cellStyle name="Comma 2 3 2 4 2 4 2 2 4" xfId="27730" xr:uid="{00000000-0005-0000-0000-00005E550000}"/>
    <cellStyle name="Comma 2 3 2 4 2 4 2 3" xfId="6899" xr:uid="{00000000-0005-0000-0000-00005F550000}"/>
    <cellStyle name="Comma 2 3 2 4 2 4 2 3 2" xfId="30178" xr:uid="{00000000-0005-0000-0000-000060550000}"/>
    <cellStyle name="Comma 2 3 2 4 2 4 2 4" xfId="9347" xr:uid="{00000000-0005-0000-0000-000061550000}"/>
    <cellStyle name="Comma 2 3 2 4 2 4 2 4 2" xfId="32626" xr:uid="{00000000-0005-0000-0000-000062550000}"/>
    <cellStyle name="Comma 2 3 2 4 2 4 2 5" xfId="11795" xr:uid="{00000000-0005-0000-0000-000063550000}"/>
    <cellStyle name="Comma 2 3 2 4 2 4 2 5 2" xfId="35074" xr:uid="{00000000-0005-0000-0000-000064550000}"/>
    <cellStyle name="Comma 2 3 2 4 2 4 2 6" xfId="14243" xr:uid="{00000000-0005-0000-0000-000065550000}"/>
    <cellStyle name="Comma 2 3 2 4 2 4 2 6 2" xfId="37522" xr:uid="{00000000-0005-0000-0000-000066550000}"/>
    <cellStyle name="Comma 2 3 2 4 2 4 2 7" xfId="17938" xr:uid="{00000000-0005-0000-0000-000067550000}"/>
    <cellStyle name="Comma 2 3 2 4 2 4 2 7 2" xfId="41216" xr:uid="{00000000-0005-0000-0000-000068550000}"/>
    <cellStyle name="Comma 2 3 2 4 2 4 2 8" xfId="25282" xr:uid="{00000000-0005-0000-0000-000069550000}"/>
    <cellStyle name="Comma 2 3 2 4 2 4 2 9" xfId="46112" xr:uid="{00000000-0005-0000-0000-00006A550000}"/>
    <cellStyle name="Comma 2 3 2 4 2 4 3" xfId="3227" xr:uid="{00000000-0005-0000-0000-00006B550000}"/>
    <cellStyle name="Comma 2 3 2 4 2 4 3 2" xfId="16714" xr:uid="{00000000-0005-0000-0000-00006C550000}"/>
    <cellStyle name="Comma 2 3 2 4 2 4 3 2 2" xfId="39992" xr:uid="{00000000-0005-0000-0000-00006D550000}"/>
    <cellStyle name="Comma 2 3 2 4 2 4 3 3" xfId="47336" xr:uid="{00000000-0005-0000-0000-00006E550000}"/>
    <cellStyle name="Comma 2 3 2 4 2 4 3 4" xfId="26506" xr:uid="{00000000-0005-0000-0000-00006F550000}"/>
    <cellStyle name="Comma 2 3 2 4 2 4 4" xfId="5675" xr:uid="{00000000-0005-0000-0000-000070550000}"/>
    <cellStyle name="Comma 2 3 2 4 2 4 4 2" xfId="19162" xr:uid="{00000000-0005-0000-0000-000071550000}"/>
    <cellStyle name="Comma 2 3 2 4 2 4 4 2 2" xfId="42440" xr:uid="{00000000-0005-0000-0000-000072550000}"/>
    <cellStyle name="Comma 2 3 2 4 2 4 4 3" xfId="28954" xr:uid="{00000000-0005-0000-0000-000073550000}"/>
    <cellStyle name="Comma 2 3 2 4 2 4 5" xfId="8123" xr:uid="{00000000-0005-0000-0000-000074550000}"/>
    <cellStyle name="Comma 2 3 2 4 2 4 5 2" xfId="31402" xr:uid="{00000000-0005-0000-0000-000075550000}"/>
    <cellStyle name="Comma 2 3 2 4 2 4 6" xfId="10571" xr:uid="{00000000-0005-0000-0000-000076550000}"/>
    <cellStyle name="Comma 2 3 2 4 2 4 6 2" xfId="33850" xr:uid="{00000000-0005-0000-0000-000077550000}"/>
    <cellStyle name="Comma 2 3 2 4 2 4 7" xfId="13019" xr:uid="{00000000-0005-0000-0000-000078550000}"/>
    <cellStyle name="Comma 2 3 2 4 2 4 7 2" xfId="36298" xr:uid="{00000000-0005-0000-0000-000079550000}"/>
    <cellStyle name="Comma 2 3 2 4 2 4 8" xfId="15490" xr:uid="{00000000-0005-0000-0000-00007A550000}"/>
    <cellStyle name="Comma 2 3 2 4 2 4 8 2" xfId="38768" xr:uid="{00000000-0005-0000-0000-00007B550000}"/>
    <cellStyle name="Comma 2 3 2 4 2 4 9" xfId="24058" xr:uid="{00000000-0005-0000-0000-00007C550000}"/>
    <cellStyle name="Comma 2 3 2 4 2 5" xfId="1391" xr:uid="{00000000-0005-0000-0000-00007D550000}"/>
    <cellStyle name="Comma 2 3 2 4 2 5 10" xfId="22222" xr:uid="{00000000-0005-0000-0000-00007E550000}"/>
    <cellStyle name="Comma 2 3 2 4 2 5 2" xfId="3839" xr:uid="{00000000-0005-0000-0000-00007F550000}"/>
    <cellStyle name="Comma 2 3 2 4 2 5 2 2" xfId="19774" xr:uid="{00000000-0005-0000-0000-000080550000}"/>
    <cellStyle name="Comma 2 3 2 4 2 5 2 2 2" xfId="43052" xr:uid="{00000000-0005-0000-0000-000081550000}"/>
    <cellStyle name="Comma 2 3 2 4 2 5 2 3" xfId="47948" xr:uid="{00000000-0005-0000-0000-000082550000}"/>
    <cellStyle name="Comma 2 3 2 4 2 5 2 4" xfId="27118" xr:uid="{00000000-0005-0000-0000-000083550000}"/>
    <cellStyle name="Comma 2 3 2 4 2 5 3" xfId="6287" xr:uid="{00000000-0005-0000-0000-000084550000}"/>
    <cellStyle name="Comma 2 3 2 4 2 5 3 2" xfId="29566" xr:uid="{00000000-0005-0000-0000-000085550000}"/>
    <cellStyle name="Comma 2 3 2 4 2 5 4" xfId="8735" xr:uid="{00000000-0005-0000-0000-000086550000}"/>
    <cellStyle name="Comma 2 3 2 4 2 5 4 2" xfId="32014" xr:uid="{00000000-0005-0000-0000-000087550000}"/>
    <cellStyle name="Comma 2 3 2 4 2 5 5" xfId="11183" xr:uid="{00000000-0005-0000-0000-000088550000}"/>
    <cellStyle name="Comma 2 3 2 4 2 5 5 2" xfId="34462" xr:uid="{00000000-0005-0000-0000-000089550000}"/>
    <cellStyle name="Comma 2 3 2 4 2 5 6" xfId="13631" xr:uid="{00000000-0005-0000-0000-00008A550000}"/>
    <cellStyle name="Comma 2 3 2 4 2 5 6 2" xfId="36910" xr:uid="{00000000-0005-0000-0000-00008B550000}"/>
    <cellStyle name="Comma 2 3 2 4 2 5 7" xfId="17326" xr:uid="{00000000-0005-0000-0000-00008C550000}"/>
    <cellStyle name="Comma 2 3 2 4 2 5 7 2" xfId="40604" xr:uid="{00000000-0005-0000-0000-00008D550000}"/>
    <cellStyle name="Comma 2 3 2 4 2 5 8" xfId="24670" xr:uid="{00000000-0005-0000-0000-00008E550000}"/>
    <cellStyle name="Comma 2 3 2 4 2 5 9" xfId="45500" xr:uid="{00000000-0005-0000-0000-00008F550000}"/>
    <cellStyle name="Comma 2 3 2 4 2 6" xfId="2615" xr:uid="{00000000-0005-0000-0000-000090550000}"/>
    <cellStyle name="Comma 2 3 2 4 2 6 2" xfId="16102" xr:uid="{00000000-0005-0000-0000-000091550000}"/>
    <cellStyle name="Comma 2 3 2 4 2 6 2 2" xfId="39380" xr:uid="{00000000-0005-0000-0000-000092550000}"/>
    <cellStyle name="Comma 2 3 2 4 2 6 3" xfId="46724" xr:uid="{00000000-0005-0000-0000-000093550000}"/>
    <cellStyle name="Comma 2 3 2 4 2 6 4" xfId="25894" xr:uid="{00000000-0005-0000-0000-000094550000}"/>
    <cellStyle name="Comma 2 3 2 4 2 7" xfId="5063" xr:uid="{00000000-0005-0000-0000-000095550000}"/>
    <cellStyle name="Comma 2 3 2 4 2 7 2" xfId="18550" xr:uid="{00000000-0005-0000-0000-000096550000}"/>
    <cellStyle name="Comma 2 3 2 4 2 7 2 2" xfId="41828" xr:uid="{00000000-0005-0000-0000-000097550000}"/>
    <cellStyle name="Comma 2 3 2 4 2 7 3" xfId="28342" xr:uid="{00000000-0005-0000-0000-000098550000}"/>
    <cellStyle name="Comma 2 3 2 4 2 8" xfId="7511" xr:uid="{00000000-0005-0000-0000-000099550000}"/>
    <cellStyle name="Comma 2 3 2 4 2 8 2" xfId="30790" xr:uid="{00000000-0005-0000-0000-00009A550000}"/>
    <cellStyle name="Comma 2 3 2 4 2 9" xfId="9959" xr:uid="{00000000-0005-0000-0000-00009B550000}"/>
    <cellStyle name="Comma 2 3 2 4 2 9 2" xfId="33238" xr:uid="{00000000-0005-0000-0000-00009C550000}"/>
    <cellStyle name="Comma 2 3 2 4 3" xfId="235" xr:uid="{00000000-0005-0000-0000-00009D550000}"/>
    <cellStyle name="Comma 2 3 2 4 3 10" xfId="12475" xr:uid="{00000000-0005-0000-0000-00009E550000}"/>
    <cellStyle name="Comma 2 3 2 4 3 10 2" xfId="35754" xr:uid="{00000000-0005-0000-0000-00009F550000}"/>
    <cellStyle name="Comma 2 3 2 4 3 11" xfId="14946" xr:uid="{00000000-0005-0000-0000-0000A0550000}"/>
    <cellStyle name="Comma 2 3 2 4 3 11 2" xfId="38224" xr:uid="{00000000-0005-0000-0000-0000A1550000}"/>
    <cellStyle name="Comma 2 3 2 4 3 12" xfId="23514" xr:uid="{00000000-0005-0000-0000-0000A2550000}"/>
    <cellStyle name="Comma 2 3 2 4 3 13" xfId="44344" xr:uid="{00000000-0005-0000-0000-0000A3550000}"/>
    <cellStyle name="Comma 2 3 2 4 3 14" xfId="21066" xr:uid="{00000000-0005-0000-0000-0000A4550000}"/>
    <cellStyle name="Comma 2 3 2 4 3 2" xfId="439" xr:uid="{00000000-0005-0000-0000-0000A5550000}"/>
    <cellStyle name="Comma 2 3 2 4 3 2 10" xfId="23718" xr:uid="{00000000-0005-0000-0000-0000A6550000}"/>
    <cellStyle name="Comma 2 3 2 4 3 2 11" xfId="44548" xr:uid="{00000000-0005-0000-0000-0000A7550000}"/>
    <cellStyle name="Comma 2 3 2 4 3 2 12" xfId="21270" xr:uid="{00000000-0005-0000-0000-0000A8550000}"/>
    <cellStyle name="Comma 2 3 2 4 3 2 2" xfId="1051" xr:uid="{00000000-0005-0000-0000-0000A9550000}"/>
    <cellStyle name="Comma 2 3 2 4 3 2 2 10" xfId="45160" xr:uid="{00000000-0005-0000-0000-0000AA550000}"/>
    <cellStyle name="Comma 2 3 2 4 3 2 2 11" xfId="21882" xr:uid="{00000000-0005-0000-0000-0000AB550000}"/>
    <cellStyle name="Comma 2 3 2 4 3 2 2 2" xfId="2275" xr:uid="{00000000-0005-0000-0000-0000AC550000}"/>
    <cellStyle name="Comma 2 3 2 4 3 2 2 2 10" xfId="23106" xr:uid="{00000000-0005-0000-0000-0000AD550000}"/>
    <cellStyle name="Comma 2 3 2 4 3 2 2 2 2" xfId="4723" xr:uid="{00000000-0005-0000-0000-0000AE550000}"/>
    <cellStyle name="Comma 2 3 2 4 3 2 2 2 2 2" xfId="20658" xr:uid="{00000000-0005-0000-0000-0000AF550000}"/>
    <cellStyle name="Comma 2 3 2 4 3 2 2 2 2 2 2" xfId="43936" xr:uid="{00000000-0005-0000-0000-0000B0550000}"/>
    <cellStyle name="Comma 2 3 2 4 3 2 2 2 2 3" xfId="48832" xr:uid="{00000000-0005-0000-0000-0000B1550000}"/>
    <cellStyle name="Comma 2 3 2 4 3 2 2 2 2 4" xfId="28002" xr:uid="{00000000-0005-0000-0000-0000B2550000}"/>
    <cellStyle name="Comma 2 3 2 4 3 2 2 2 3" xfId="7171" xr:uid="{00000000-0005-0000-0000-0000B3550000}"/>
    <cellStyle name="Comma 2 3 2 4 3 2 2 2 3 2" xfId="30450" xr:uid="{00000000-0005-0000-0000-0000B4550000}"/>
    <cellStyle name="Comma 2 3 2 4 3 2 2 2 4" xfId="9619" xr:uid="{00000000-0005-0000-0000-0000B5550000}"/>
    <cellStyle name="Comma 2 3 2 4 3 2 2 2 4 2" xfId="32898" xr:uid="{00000000-0005-0000-0000-0000B6550000}"/>
    <cellStyle name="Comma 2 3 2 4 3 2 2 2 5" xfId="12067" xr:uid="{00000000-0005-0000-0000-0000B7550000}"/>
    <cellStyle name="Comma 2 3 2 4 3 2 2 2 5 2" xfId="35346" xr:uid="{00000000-0005-0000-0000-0000B8550000}"/>
    <cellStyle name="Comma 2 3 2 4 3 2 2 2 6" xfId="14515" xr:uid="{00000000-0005-0000-0000-0000B9550000}"/>
    <cellStyle name="Comma 2 3 2 4 3 2 2 2 6 2" xfId="37794" xr:uid="{00000000-0005-0000-0000-0000BA550000}"/>
    <cellStyle name="Comma 2 3 2 4 3 2 2 2 7" xfId="18210" xr:uid="{00000000-0005-0000-0000-0000BB550000}"/>
    <cellStyle name="Comma 2 3 2 4 3 2 2 2 7 2" xfId="41488" xr:uid="{00000000-0005-0000-0000-0000BC550000}"/>
    <cellStyle name="Comma 2 3 2 4 3 2 2 2 8" xfId="25554" xr:uid="{00000000-0005-0000-0000-0000BD550000}"/>
    <cellStyle name="Comma 2 3 2 4 3 2 2 2 9" xfId="46384" xr:uid="{00000000-0005-0000-0000-0000BE550000}"/>
    <cellStyle name="Comma 2 3 2 4 3 2 2 3" xfId="3499" xr:uid="{00000000-0005-0000-0000-0000BF550000}"/>
    <cellStyle name="Comma 2 3 2 4 3 2 2 3 2" xfId="16986" xr:uid="{00000000-0005-0000-0000-0000C0550000}"/>
    <cellStyle name="Comma 2 3 2 4 3 2 2 3 2 2" xfId="40264" xr:uid="{00000000-0005-0000-0000-0000C1550000}"/>
    <cellStyle name="Comma 2 3 2 4 3 2 2 3 3" xfId="47608" xr:uid="{00000000-0005-0000-0000-0000C2550000}"/>
    <cellStyle name="Comma 2 3 2 4 3 2 2 3 4" xfId="26778" xr:uid="{00000000-0005-0000-0000-0000C3550000}"/>
    <cellStyle name="Comma 2 3 2 4 3 2 2 4" xfId="5947" xr:uid="{00000000-0005-0000-0000-0000C4550000}"/>
    <cellStyle name="Comma 2 3 2 4 3 2 2 4 2" xfId="19434" xr:uid="{00000000-0005-0000-0000-0000C5550000}"/>
    <cellStyle name="Comma 2 3 2 4 3 2 2 4 2 2" xfId="42712" xr:uid="{00000000-0005-0000-0000-0000C6550000}"/>
    <cellStyle name="Comma 2 3 2 4 3 2 2 4 3" xfId="29226" xr:uid="{00000000-0005-0000-0000-0000C7550000}"/>
    <cellStyle name="Comma 2 3 2 4 3 2 2 5" xfId="8395" xr:uid="{00000000-0005-0000-0000-0000C8550000}"/>
    <cellStyle name="Comma 2 3 2 4 3 2 2 5 2" xfId="31674" xr:uid="{00000000-0005-0000-0000-0000C9550000}"/>
    <cellStyle name="Comma 2 3 2 4 3 2 2 6" xfId="10843" xr:uid="{00000000-0005-0000-0000-0000CA550000}"/>
    <cellStyle name="Comma 2 3 2 4 3 2 2 6 2" xfId="34122" xr:uid="{00000000-0005-0000-0000-0000CB550000}"/>
    <cellStyle name="Comma 2 3 2 4 3 2 2 7" xfId="13291" xr:uid="{00000000-0005-0000-0000-0000CC550000}"/>
    <cellStyle name="Comma 2 3 2 4 3 2 2 7 2" xfId="36570" xr:uid="{00000000-0005-0000-0000-0000CD550000}"/>
    <cellStyle name="Comma 2 3 2 4 3 2 2 8" xfId="15762" xr:uid="{00000000-0005-0000-0000-0000CE550000}"/>
    <cellStyle name="Comma 2 3 2 4 3 2 2 8 2" xfId="39040" xr:uid="{00000000-0005-0000-0000-0000CF550000}"/>
    <cellStyle name="Comma 2 3 2 4 3 2 2 9" xfId="24330" xr:uid="{00000000-0005-0000-0000-0000D0550000}"/>
    <cellStyle name="Comma 2 3 2 4 3 2 3" xfId="1663" xr:uid="{00000000-0005-0000-0000-0000D1550000}"/>
    <cellStyle name="Comma 2 3 2 4 3 2 3 10" xfId="22494" xr:uid="{00000000-0005-0000-0000-0000D2550000}"/>
    <cellStyle name="Comma 2 3 2 4 3 2 3 2" xfId="4111" xr:uid="{00000000-0005-0000-0000-0000D3550000}"/>
    <cellStyle name="Comma 2 3 2 4 3 2 3 2 2" xfId="20046" xr:uid="{00000000-0005-0000-0000-0000D4550000}"/>
    <cellStyle name="Comma 2 3 2 4 3 2 3 2 2 2" xfId="43324" xr:uid="{00000000-0005-0000-0000-0000D5550000}"/>
    <cellStyle name="Comma 2 3 2 4 3 2 3 2 3" xfId="48220" xr:uid="{00000000-0005-0000-0000-0000D6550000}"/>
    <cellStyle name="Comma 2 3 2 4 3 2 3 2 4" xfId="27390" xr:uid="{00000000-0005-0000-0000-0000D7550000}"/>
    <cellStyle name="Comma 2 3 2 4 3 2 3 3" xfId="6559" xr:uid="{00000000-0005-0000-0000-0000D8550000}"/>
    <cellStyle name="Comma 2 3 2 4 3 2 3 3 2" xfId="29838" xr:uid="{00000000-0005-0000-0000-0000D9550000}"/>
    <cellStyle name="Comma 2 3 2 4 3 2 3 4" xfId="9007" xr:uid="{00000000-0005-0000-0000-0000DA550000}"/>
    <cellStyle name="Comma 2 3 2 4 3 2 3 4 2" xfId="32286" xr:uid="{00000000-0005-0000-0000-0000DB550000}"/>
    <cellStyle name="Comma 2 3 2 4 3 2 3 5" xfId="11455" xr:uid="{00000000-0005-0000-0000-0000DC550000}"/>
    <cellStyle name="Comma 2 3 2 4 3 2 3 5 2" xfId="34734" xr:uid="{00000000-0005-0000-0000-0000DD550000}"/>
    <cellStyle name="Comma 2 3 2 4 3 2 3 6" xfId="13903" xr:uid="{00000000-0005-0000-0000-0000DE550000}"/>
    <cellStyle name="Comma 2 3 2 4 3 2 3 6 2" xfId="37182" xr:uid="{00000000-0005-0000-0000-0000DF550000}"/>
    <cellStyle name="Comma 2 3 2 4 3 2 3 7" xfId="17598" xr:uid="{00000000-0005-0000-0000-0000E0550000}"/>
    <cellStyle name="Comma 2 3 2 4 3 2 3 7 2" xfId="40876" xr:uid="{00000000-0005-0000-0000-0000E1550000}"/>
    <cellStyle name="Comma 2 3 2 4 3 2 3 8" xfId="24942" xr:uid="{00000000-0005-0000-0000-0000E2550000}"/>
    <cellStyle name="Comma 2 3 2 4 3 2 3 9" xfId="45772" xr:uid="{00000000-0005-0000-0000-0000E3550000}"/>
    <cellStyle name="Comma 2 3 2 4 3 2 4" xfId="2887" xr:uid="{00000000-0005-0000-0000-0000E4550000}"/>
    <cellStyle name="Comma 2 3 2 4 3 2 4 2" xfId="16374" xr:uid="{00000000-0005-0000-0000-0000E5550000}"/>
    <cellStyle name="Comma 2 3 2 4 3 2 4 2 2" xfId="39652" xr:uid="{00000000-0005-0000-0000-0000E6550000}"/>
    <cellStyle name="Comma 2 3 2 4 3 2 4 3" xfId="46996" xr:uid="{00000000-0005-0000-0000-0000E7550000}"/>
    <cellStyle name="Comma 2 3 2 4 3 2 4 4" xfId="26166" xr:uid="{00000000-0005-0000-0000-0000E8550000}"/>
    <cellStyle name="Comma 2 3 2 4 3 2 5" xfId="5335" xr:uid="{00000000-0005-0000-0000-0000E9550000}"/>
    <cellStyle name="Comma 2 3 2 4 3 2 5 2" xfId="18822" xr:uid="{00000000-0005-0000-0000-0000EA550000}"/>
    <cellStyle name="Comma 2 3 2 4 3 2 5 2 2" xfId="42100" xr:uid="{00000000-0005-0000-0000-0000EB550000}"/>
    <cellStyle name="Comma 2 3 2 4 3 2 5 3" xfId="28614" xr:uid="{00000000-0005-0000-0000-0000EC550000}"/>
    <cellStyle name="Comma 2 3 2 4 3 2 6" xfId="7783" xr:uid="{00000000-0005-0000-0000-0000ED550000}"/>
    <cellStyle name="Comma 2 3 2 4 3 2 6 2" xfId="31062" xr:uid="{00000000-0005-0000-0000-0000EE550000}"/>
    <cellStyle name="Comma 2 3 2 4 3 2 7" xfId="10231" xr:uid="{00000000-0005-0000-0000-0000EF550000}"/>
    <cellStyle name="Comma 2 3 2 4 3 2 7 2" xfId="33510" xr:uid="{00000000-0005-0000-0000-0000F0550000}"/>
    <cellStyle name="Comma 2 3 2 4 3 2 8" xfId="12679" xr:uid="{00000000-0005-0000-0000-0000F1550000}"/>
    <cellStyle name="Comma 2 3 2 4 3 2 8 2" xfId="35958" xr:uid="{00000000-0005-0000-0000-0000F2550000}"/>
    <cellStyle name="Comma 2 3 2 4 3 2 9" xfId="15150" xr:uid="{00000000-0005-0000-0000-0000F3550000}"/>
    <cellStyle name="Comma 2 3 2 4 3 2 9 2" xfId="38428" xr:uid="{00000000-0005-0000-0000-0000F4550000}"/>
    <cellStyle name="Comma 2 3 2 4 3 3" xfId="643" xr:uid="{00000000-0005-0000-0000-0000F5550000}"/>
    <cellStyle name="Comma 2 3 2 4 3 3 10" xfId="23922" xr:uid="{00000000-0005-0000-0000-0000F6550000}"/>
    <cellStyle name="Comma 2 3 2 4 3 3 11" xfId="44752" xr:uid="{00000000-0005-0000-0000-0000F7550000}"/>
    <cellStyle name="Comma 2 3 2 4 3 3 12" xfId="21474" xr:uid="{00000000-0005-0000-0000-0000F8550000}"/>
    <cellStyle name="Comma 2 3 2 4 3 3 2" xfId="1255" xr:uid="{00000000-0005-0000-0000-0000F9550000}"/>
    <cellStyle name="Comma 2 3 2 4 3 3 2 10" xfId="45364" xr:uid="{00000000-0005-0000-0000-0000FA550000}"/>
    <cellStyle name="Comma 2 3 2 4 3 3 2 11" xfId="22086" xr:uid="{00000000-0005-0000-0000-0000FB550000}"/>
    <cellStyle name="Comma 2 3 2 4 3 3 2 2" xfId="2479" xr:uid="{00000000-0005-0000-0000-0000FC550000}"/>
    <cellStyle name="Comma 2 3 2 4 3 3 2 2 10" xfId="23310" xr:uid="{00000000-0005-0000-0000-0000FD550000}"/>
    <cellStyle name="Comma 2 3 2 4 3 3 2 2 2" xfId="4927" xr:uid="{00000000-0005-0000-0000-0000FE550000}"/>
    <cellStyle name="Comma 2 3 2 4 3 3 2 2 2 2" xfId="20862" xr:uid="{00000000-0005-0000-0000-0000FF550000}"/>
    <cellStyle name="Comma 2 3 2 4 3 3 2 2 2 2 2" xfId="44140" xr:uid="{00000000-0005-0000-0000-000000560000}"/>
    <cellStyle name="Comma 2 3 2 4 3 3 2 2 2 3" xfId="49036" xr:uid="{00000000-0005-0000-0000-000001560000}"/>
    <cellStyle name="Comma 2 3 2 4 3 3 2 2 2 4" xfId="28206" xr:uid="{00000000-0005-0000-0000-000002560000}"/>
    <cellStyle name="Comma 2 3 2 4 3 3 2 2 3" xfId="7375" xr:uid="{00000000-0005-0000-0000-000003560000}"/>
    <cellStyle name="Comma 2 3 2 4 3 3 2 2 3 2" xfId="30654" xr:uid="{00000000-0005-0000-0000-000004560000}"/>
    <cellStyle name="Comma 2 3 2 4 3 3 2 2 4" xfId="9823" xr:uid="{00000000-0005-0000-0000-000005560000}"/>
    <cellStyle name="Comma 2 3 2 4 3 3 2 2 4 2" xfId="33102" xr:uid="{00000000-0005-0000-0000-000006560000}"/>
    <cellStyle name="Comma 2 3 2 4 3 3 2 2 5" xfId="12271" xr:uid="{00000000-0005-0000-0000-000007560000}"/>
    <cellStyle name="Comma 2 3 2 4 3 3 2 2 5 2" xfId="35550" xr:uid="{00000000-0005-0000-0000-000008560000}"/>
    <cellStyle name="Comma 2 3 2 4 3 3 2 2 6" xfId="14719" xr:uid="{00000000-0005-0000-0000-000009560000}"/>
    <cellStyle name="Comma 2 3 2 4 3 3 2 2 6 2" xfId="37998" xr:uid="{00000000-0005-0000-0000-00000A560000}"/>
    <cellStyle name="Comma 2 3 2 4 3 3 2 2 7" xfId="18414" xr:uid="{00000000-0005-0000-0000-00000B560000}"/>
    <cellStyle name="Comma 2 3 2 4 3 3 2 2 7 2" xfId="41692" xr:uid="{00000000-0005-0000-0000-00000C560000}"/>
    <cellStyle name="Comma 2 3 2 4 3 3 2 2 8" xfId="25758" xr:uid="{00000000-0005-0000-0000-00000D560000}"/>
    <cellStyle name="Comma 2 3 2 4 3 3 2 2 9" xfId="46588" xr:uid="{00000000-0005-0000-0000-00000E560000}"/>
    <cellStyle name="Comma 2 3 2 4 3 3 2 3" xfId="3703" xr:uid="{00000000-0005-0000-0000-00000F560000}"/>
    <cellStyle name="Comma 2 3 2 4 3 3 2 3 2" xfId="17190" xr:uid="{00000000-0005-0000-0000-000010560000}"/>
    <cellStyle name="Comma 2 3 2 4 3 3 2 3 2 2" xfId="40468" xr:uid="{00000000-0005-0000-0000-000011560000}"/>
    <cellStyle name="Comma 2 3 2 4 3 3 2 3 3" xfId="47812" xr:uid="{00000000-0005-0000-0000-000012560000}"/>
    <cellStyle name="Comma 2 3 2 4 3 3 2 3 4" xfId="26982" xr:uid="{00000000-0005-0000-0000-000013560000}"/>
    <cellStyle name="Comma 2 3 2 4 3 3 2 4" xfId="6151" xr:uid="{00000000-0005-0000-0000-000014560000}"/>
    <cellStyle name="Comma 2 3 2 4 3 3 2 4 2" xfId="19638" xr:uid="{00000000-0005-0000-0000-000015560000}"/>
    <cellStyle name="Comma 2 3 2 4 3 3 2 4 2 2" xfId="42916" xr:uid="{00000000-0005-0000-0000-000016560000}"/>
    <cellStyle name="Comma 2 3 2 4 3 3 2 4 3" xfId="29430" xr:uid="{00000000-0005-0000-0000-000017560000}"/>
    <cellStyle name="Comma 2 3 2 4 3 3 2 5" xfId="8599" xr:uid="{00000000-0005-0000-0000-000018560000}"/>
    <cellStyle name="Comma 2 3 2 4 3 3 2 5 2" xfId="31878" xr:uid="{00000000-0005-0000-0000-000019560000}"/>
    <cellStyle name="Comma 2 3 2 4 3 3 2 6" xfId="11047" xr:uid="{00000000-0005-0000-0000-00001A560000}"/>
    <cellStyle name="Comma 2 3 2 4 3 3 2 6 2" xfId="34326" xr:uid="{00000000-0005-0000-0000-00001B560000}"/>
    <cellStyle name="Comma 2 3 2 4 3 3 2 7" xfId="13495" xr:uid="{00000000-0005-0000-0000-00001C560000}"/>
    <cellStyle name="Comma 2 3 2 4 3 3 2 7 2" xfId="36774" xr:uid="{00000000-0005-0000-0000-00001D560000}"/>
    <cellStyle name="Comma 2 3 2 4 3 3 2 8" xfId="15966" xr:uid="{00000000-0005-0000-0000-00001E560000}"/>
    <cellStyle name="Comma 2 3 2 4 3 3 2 8 2" xfId="39244" xr:uid="{00000000-0005-0000-0000-00001F560000}"/>
    <cellStyle name="Comma 2 3 2 4 3 3 2 9" xfId="24534" xr:uid="{00000000-0005-0000-0000-000020560000}"/>
    <cellStyle name="Comma 2 3 2 4 3 3 3" xfId="1867" xr:uid="{00000000-0005-0000-0000-000021560000}"/>
    <cellStyle name="Comma 2 3 2 4 3 3 3 10" xfId="22698" xr:uid="{00000000-0005-0000-0000-000022560000}"/>
    <cellStyle name="Comma 2 3 2 4 3 3 3 2" xfId="4315" xr:uid="{00000000-0005-0000-0000-000023560000}"/>
    <cellStyle name="Comma 2 3 2 4 3 3 3 2 2" xfId="20250" xr:uid="{00000000-0005-0000-0000-000024560000}"/>
    <cellStyle name="Comma 2 3 2 4 3 3 3 2 2 2" xfId="43528" xr:uid="{00000000-0005-0000-0000-000025560000}"/>
    <cellStyle name="Comma 2 3 2 4 3 3 3 2 3" xfId="48424" xr:uid="{00000000-0005-0000-0000-000026560000}"/>
    <cellStyle name="Comma 2 3 2 4 3 3 3 2 4" xfId="27594" xr:uid="{00000000-0005-0000-0000-000027560000}"/>
    <cellStyle name="Comma 2 3 2 4 3 3 3 3" xfId="6763" xr:uid="{00000000-0005-0000-0000-000028560000}"/>
    <cellStyle name="Comma 2 3 2 4 3 3 3 3 2" xfId="30042" xr:uid="{00000000-0005-0000-0000-000029560000}"/>
    <cellStyle name="Comma 2 3 2 4 3 3 3 4" xfId="9211" xr:uid="{00000000-0005-0000-0000-00002A560000}"/>
    <cellStyle name="Comma 2 3 2 4 3 3 3 4 2" xfId="32490" xr:uid="{00000000-0005-0000-0000-00002B560000}"/>
    <cellStyle name="Comma 2 3 2 4 3 3 3 5" xfId="11659" xr:uid="{00000000-0005-0000-0000-00002C560000}"/>
    <cellStyle name="Comma 2 3 2 4 3 3 3 5 2" xfId="34938" xr:uid="{00000000-0005-0000-0000-00002D560000}"/>
    <cellStyle name="Comma 2 3 2 4 3 3 3 6" xfId="14107" xr:uid="{00000000-0005-0000-0000-00002E560000}"/>
    <cellStyle name="Comma 2 3 2 4 3 3 3 6 2" xfId="37386" xr:uid="{00000000-0005-0000-0000-00002F560000}"/>
    <cellStyle name="Comma 2 3 2 4 3 3 3 7" xfId="17802" xr:uid="{00000000-0005-0000-0000-000030560000}"/>
    <cellStyle name="Comma 2 3 2 4 3 3 3 7 2" xfId="41080" xr:uid="{00000000-0005-0000-0000-000031560000}"/>
    <cellStyle name="Comma 2 3 2 4 3 3 3 8" xfId="25146" xr:uid="{00000000-0005-0000-0000-000032560000}"/>
    <cellStyle name="Comma 2 3 2 4 3 3 3 9" xfId="45976" xr:uid="{00000000-0005-0000-0000-000033560000}"/>
    <cellStyle name="Comma 2 3 2 4 3 3 4" xfId="3091" xr:uid="{00000000-0005-0000-0000-000034560000}"/>
    <cellStyle name="Comma 2 3 2 4 3 3 4 2" xfId="16578" xr:uid="{00000000-0005-0000-0000-000035560000}"/>
    <cellStyle name="Comma 2 3 2 4 3 3 4 2 2" xfId="39856" xr:uid="{00000000-0005-0000-0000-000036560000}"/>
    <cellStyle name="Comma 2 3 2 4 3 3 4 3" xfId="47200" xr:uid="{00000000-0005-0000-0000-000037560000}"/>
    <cellStyle name="Comma 2 3 2 4 3 3 4 4" xfId="26370" xr:uid="{00000000-0005-0000-0000-000038560000}"/>
    <cellStyle name="Comma 2 3 2 4 3 3 5" xfId="5539" xr:uid="{00000000-0005-0000-0000-000039560000}"/>
    <cellStyle name="Comma 2 3 2 4 3 3 5 2" xfId="19026" xr:uid="{00000000-0005-0000-0000-00003A560000}"/>
    <cellStyle name="Comma 2 3 2 4 3 3 5 2 2" xfId="42304" xr:uid="{00000000-0005-0000-0000-00003B560000}"/>
    <cellStyle name="Comma 2 3 2 4 3 3 5 3" xfId="28818" xr:uid="{00000000-0005-0000-0000-00003C560000}"/>
    <cellStyle name="Comma 2 3 2 4 3 3 6" xfId="7987" xr:uid="{00000000-0005-0000-0000-00003D560000}"/>
    <cellStyle name="Comma 2 3 2 4 3 3 6 2" xfId="31266" xr:uid="{00000000-0005-0000-0000-00003E560000}"/>
    <cellStyle name="Comma 2 3 2 4 3 3 7" xfId="10435" xr:uid="{00000000-0005-0000-0000-00003F560000}"/>
    <cellStyle name="Comma 2 3 2 4 3 3 7 2" xfId="33714" xr:uid="{00000000-0005-0000-0000-000040560000}"/>
    <cellStyle name="Comma 2 3 2 4 3 3 8" xfId="12883" xr:uid="{00000000-0005-0000-0000-000041560000}"/>
    <cellStyle name="Comma 2 3 2 4 3 3 8 2" xfId="36162" xr:uid="{00000000-0005-0000-0000-000042560000}"/>
    <cellStyle name="Comma 2 3 2 4 3 3 9" xfId="15354" xr:uid="{00000000-0005-0000-0000-000043560000}"/>
    <cellStyle name="Comma 2 3 2 4 3 3 9 2" xfId="38632" xr:uid="{00000000-0005-0000-0000-000044560000}"/>
    <cellStyle name="Comma 2 3 2 4 3 4" xfId="847" xr:uid="{00000000-0005-0000-0000-000045560000}"/>
    <cellStyle name="Comma 2 3 2 4 3 4 10" xfId="44956" xr:uid="{00000000-0005-0000-0000-000046560000}"/>
    <cellStyle name="Comma 2 3 2 4 3 4 11" xfId="21678" xr:uid="{00000000-0005-0000-0000-000047560000}"/>
    <cellStyle name="Comma 2 3 2 4 3 4 2" xfId="2071" xr:uid="{00000000-0005-0000-0000-000048560000}"/>
    <cellStyle name="Comma 2 3 2 4 3 4 2 10" xfId="22902" xr:uid="{00000000-0005-0000-0000-000049560000}"/>
    <cellStyle name="Comma 2 3 2 4 3 4 2 2" xfId="4519" xr:uid="{00000000-0005-0000-0000-00004A560000}"/>
    <cellStyle name="Comma 2 3 2 4 3 4 2 2 2" xfId="20454" xr:uid="{00000000-0005-0000-0000-00004B560000}"/>
    <cellStyle name="Comma 2 3 2 4 3 4 2 2 2 2" xfId="43732" xr:uid="{00000000-0005-0000-0000-00004C560000}"/>
    <cellStyle name="Comma 2 3 2 4 3 4 2 2 3" xfId="48628" xr:uid="{00000000-0005-0000-0000-00004D560000}"/>
    <cellStyle name="Comma 2 3 2 4 3 4 2 2 4" xfId="27798" xr:uid="{00000000-0005-0000-0000-00004E560000}"/>
    <cellStyle name="Comma 2 3 2 4 3 4 2 3" xfId="6967" xr:uid="{00000000-0005-0000-0000-00004F560000}"/>
    <cellStyle name="Comma 2 3 2 4 3 4 2 3 2" xfId="30246" xr:uid="{00000000-0005-0000-0000-000050560000}"/>
    <cellStyle name="Comma 2 3 2 4 3 4 2 4" xfId="9415" xr:uid="{00000000-0005-0000-0000-000051560000}"/>
    <cellStyle name="Comma 2 3 2 4 3 4 2 4 2" xfId="32694" xr:uid="{00000000-0005-0000-0000-000052560000}"/>
    <cellStyle name="Comma 2 3 2 4 3 4 2 5" xfId="11863" xr:uid="{00000000-0005-0000-0000-000053560000}"/>
    <cellStyle name="Comma 2 3 2 4 3 4 2 5 2" xfId="35142" xr:uid="{00000000-0005-0000-0000-000054560000}"/>
    <cellStyle name="Comma 2 3 2 4 3 4 2 6" xfId="14311" xr:uid="{00000000-0005-0000-0000-000055560000}"/>
    <cellStyle name="Comma 2 3 2 4 3 4 2 6 2" xfId="37590" xr:uid="{00000000-0005-0000-0000-000056560000}"/>
    <cellStyle name="Comma 2 3 2 4 3 4 2 7" xfId="18006" xr:uid="{00000000-0005-0000-0000-000057560000}"/>
    <cellStyle name="Comma 2 3 2 4 3 4 2 7 2" xfId="41284" xr:uid="{00000000-0005-0000-0000-000058560000}"/>
    <cellStyle name="Comma 2 3 2 4 3 4 2 8" xfId="25350" xr:uid="{00000000-0005-0000-0000-000059560000}"/>
    <cellStyle name="Comma 2 3 2 4 3 4 2 9" xfId="46180" xr:uid="{00000000-0005-0000-0000-00005A560000}"/>
    <cellStyle name="Comma 2 3 2 4 3 4 3" xfId="3295" xr:uid="{00000000-0005-0000-0000-00005B560000}"/>
    <cellStyle name="Comma 2 3 2 4 3 4 3 2" xfId="16782" xr:uid="{00000000-0005-0000-0000-00005C560000}"/>
    <cellStyle name="Comma 2 3 2 4 3 4 3 2 2" xfId="40060" xr:uid="{00000000-0005-0000-0000-00005D560000}"/>
    <cellStyle name="Comma 2 3 2 4 3 4 3 3" xfId="47404" xr:uid="{00000000-0005-0000-0000-00005E560000}"/>
    <cellStyle name="Comma 2 3 2 4 3 4 3 4" xfId="26574" xr:uid="{00000000-0005-0000-0000-00005F560000}"/>
    <cellStyle name="Comma 2 3 2 4 3 4 4" xfId="5743" xr:uid="{00000000-0005-0000-0000-000060560000}"/>
    <cellStyle name="Comma 2 3 2 4 3 4 4 2" xfId="19230" xr:uid="{00000000-0005-0000-0000-000061560000}"/>
    <cellStyle name="Comma 2 3 2 4 3 4 4 2 2" xfId="42508" xr:uid="{00000000-0005-0000-0000-000062560000}"/>
    <cellStyle name="Comma 2 3 2 4 3 4 4 3" xfId="29022" xr:uid="{00000000-0005-0000-0000-000063560000}"/>
    <cellStyle name="Comma 2 3 2 4 3 4 5" xfId="8191" xr:uid="{00000000-0005-0000-0000-000064560000}"/>
    <cellStyle name="Comma 2 3 2 4 3 4 5 2" xfId="31470" xr:uid="{00000000-0005-0000-0000-000065560000}"/>
    <cellStyle name="Comma 2 3 2 4 3 4 6" xfId="10639" xr:uid="{00000000-0005-0000-0000-000066560000}"/>
    <cellStyle name="Comma 2 3 2 4 3 4 6 2" xfId="33918" xr:uid="{00000000-0005-0000-0000-000067560000}"/>
    <cellStyle name="Comma 2 3 2 4 3 4 7" xfId="13087" xr:uid="{00000000-0005-0000-0000-000068560000}"/>
    <cellStyle name="Comma 2 3 2 4 3 4 7 2" xfId="36366" xr:uid="{00000000-0005-0000-0000-000069560000}"/>
    <cellStyle name="Comma 2 3 2 4 3 4 8" xfId="15558" xr:uid="{00000000-0005-0000-0000-00006A560000}"/>
    <cellStyle name="Comma 2 3 2 4 3 4 8 2" xfId="38836" xr:uid="{00000000-0005-0000-0000-00006B560000}"/>
    <cellStyle name="Comma 2 3 2 4 3 4 9" xfId="24126" xr:uid="{00000000-0005-0000-0000-00006C560000}"/>
    <cellStyle name="Comma 2 3 2 4 3 5" xfId="1459" xr:uid="{00000000-0005-0000-0000-00006D560000}"/>
    <cellStyle name="Comma 2 3 2 4 3 5 10" xfId="22290" xr:uid="{00000000-0005-0000-0000-00006E560000}"/>
    <cellStyle name="Comma 2 3 2 4 3 5 2" xfId="3907" xr:uid="{00000000-0005-0000-0000-00006F560000}"/>
    <cellStyle name="Comma 2 3 2 4 3 5 2 2" xfId="19842" xr:uid="{00000000-0005-0000-0000-000070560000}"/>
    <cellStyle name="Comma 2 3 2 4 3 5 2 2 2" xfId="43120" xr:uid="{00000000-0005-0000-0000-000071560000}"/>
    <cellStyle name="Comma 2 3 2 4 3 5 2 3" xfId="48016" xr:uid="{00000000-0005-0000-0000-000072560000}"/>
    <cellStyle name="Comma 2 3 2 4 3 5 2 4" xfId="27186" xr:uid="{00000000-0005-0000-0000-000073560000}"/>
    <cellStyle name="Comma 2 3 2 4 3 5 3" xfId="6355" xr:uid="{00000000-0005-0000-0000-000074560000}"/>
    <cellStyle name="Comma 2 3 2 4 3 5 3 2" xfId="29634" xr:uid="{00000000-0005-0000-0000-000075560000}"/>
    <cellStyle name="Comma 2 3 2 4 3 5 4" xfId="8803" xr:uid="{00000000-0005-0000-0000-000076560000}"/>
    <cellStyle name="Comma 2 3 2 4 3 5 4 2" xfId="32082" xr:uid="{00000000-0005-0000-0000-000077560000}"/>
    <cellStyle name="Comma 2 3 2 4 3 5 5" xfId="11251" xr:uid="{00000000-0005-0000-0000-000078560000}"/>
    <cellStyle name="Comma 2 3 2 4 3 5 5 2" xfId="34530" xr:uid="{00000000-0005-0000-0000-000079560000}"/>
    <cellStyle name="Comma 2 3 2 4 3 5 6" xfId="13699" xr:uid="{00000000-0005-0000-0000-00007A560000}"/>
    <cellStyle name="Comma 2 3 2 4 3 5 6 2" xfId="36978" xr:uid="{00000000-0005-0000-0000-00007B560000}"/>
    <cellStyle name="Comma 2 3 2 4 3 5 7" xfId="17394" xr:uid="{00000000-0005-0000-0000-00007C560000}"/>
    <cellStyle name="Comma 2 3 2 4 3 5 7 2" xfId="40672" xr:uid="{00000000-0005-0000-0000-00007D560000}"/>
    <cellStyle name="Comma 2 3 2 4 3 5 8" xfId="24738" xr:uid="{00000000-0005-0000-0000-00007E560000}"/>
    <cellStyle name="Comma 2 3 2 4 3 5 9" xfId="45568" xr:uid="{00000000-0005-0000-0000-00007F560000}"/>
    <cellStyle name="Comma 2 3 2 4 3 6" xfId="2683" xr:uid="{00000000-0005-0000-0000-000080560000}"/>
    <cellStyle name="Comma 2 3 2 4 3 6 2" xfId="16170" xr:uid="{00000000-0005-0000-0000-000081560000}"/>
    <cellStyle name="Comma 2 3 2 4 3 6 2 2" xfId="39448" xr:uid="{00000000-0005-0000-0000-000082560000}"/>
    <cellStyle name="Comma 2 3 2 4 3 6 3" xfId="46792" xr:uid="{00000000-0005-0000-0000-000083560000}"/>
    <cellStyle name="Comma 2 3 2 4 3 6 4" xfId="25962" xr:uid="{00000000-0005-0000-0000-000084560000}"/>
    <cellStyle name="Comma 2 3 2 4 3 7" xfId="5131" xr:uid="{00000000-0005-0000-0000-000085560000}"/>
    <cellStyle name="Comma 2 3 2 4 3 7 2" xfId="18618" xr:uid="{00000000-0005-0000-0000-000086560000}"/>
    <cellStyle name="Comma 2 3 2 4 3 7 2 2" xfId="41896" xr:uid="{00000000-0005-0000-0000-000087560000}"/>
    <cellStyle name="Comma 2 3 2 4 3 7 3" xfId="28410" xr:uid="{00000000-0005-0000-0000-000088560000}"/>
    <cellStyle name="Comma 2 3 2 4 3 8" xfId="7579" xr:uid="{00000000-0005-0000-0000-000089560000}"/>
    <cellStyle name="Comma 2 3 2 4 3 8 2" xfId="30858" xr:uid="{00000000-0005-0000-0000-00008A560000}"/>
    <cellStyle name="Comma 2 3 2 4 3 9" xfId="10027" xr:uid="{00000000-0005-0000-0000-00008B560000}"/>
    <cellStyle name="Comma 2 3 2 4 3 9 2" xfId="33306" xr:uid="{00000000-0005-0000-0000-00008C560000}"/>
    <cellStyle name="Comma 2 3 2 4 4" xfId="303" xr:uid="{00000000-0005-0000-0000-00008D560000}"/>
    <cellStyle name="Comma 2 3 2 4 4 10" xfId="23582" xr:uid="{00000000-0005-0000-0000-00008E560000}"/>
    <cellStyle name="Comma 2 3 2 4 4 11" xfId="44412" xr:uid="{00000000-0005-0000-0000-00008F560000}"/>
    <cellStyle name="Comma 2 3 2 4 4 12" xfId="21134" xr:uid="{00000000-0005-0000-0000-000090560000}"/>
    <cellStyle name="Comma 2 3 2 4 4 2" xfId="915" xr:uid="{00000000-0005-0000-0000-000091560000}"/>
    <cellStyle name="Comma 2 3 2 4 4 2 10" xfId="45024" xr:uid="{00000000-0005-0000-0000-000092560000}"/>
    <cellStyle name="Comma 2 3 2 4 4 2 11" xfId="21746" xr:uid="{00000000-0005-0000-0000-000093560000}"/>
    <cellStyle name="Comma 2 3 2 4 4 2 2" xfId="2139" xr:uid="{00000000-0005-0000-0000-000094560000}"/>
    <cellStyle name="Comma 2 3 2 4 4 2 2 10" xfId="22970" xr:uid="{00000000-0005-0000-0000-000095560000}"/>
    <cellStyle name="Comma 2 3 2 4 4 2 2 2" xfId="4587" xr:uid="{00000000-0005-0000-0000-000096560000}"/>
    <cellStyle name="Comma 2 3 2 4 4 2 2 2 2" xfId="20522" xr:uid="{00000000-0005-0000-0000-000097560000}"/>
    <cellStyle name="Comma 2 3 2 4 4 2 2 2 2 2" xfId="43800" xr:uid="{00000000-0005-0000-0000-000098560000}"/>
    <cellStyle name="Comma 2 3 2 4 4 2 2 2 3" xfId="48696" xr:uid="{00000000-0005-0000-0000-000099560000}"/>
    <cellStyle name="Comma 2 3 2 4 4 2 2 2 4" xfId="27866" xr:uid="{00000000-0005-0000-0000-00009A560000}"/>
    <cellStyle name="Comma 2 3 2 4 4 2 2 3" xfId="7035" xr:uid="{00000000-0005-0000-0000-00009B560000}"/>
    <cellStyle name="Comma 2 3 2 4 4 2 2 3 2" xfId="30314" xr:uid="{00000000-0005-0000-0000-00009C560000}"/>
    <cellStyle name="Comma 2 3 2 4 4 2 2 4" xfId="9483" xr:uid="{00000000-0005-0000-0000-00009D560000}"/>
    <cellStyle name="Comma 2 3 2 4 4 2 2 4 2" xfId="32762" xr:uid="{00000000-0005-0000-0000-00009E560000}"/>
    <cellStyle name="Comma 2 3 2 4 4 2 2 5" xfId="11931" xr:uid="{00000000-0005-0000-0000-00009F560000}"/>
    <cellStyle name="Comma 2 3 2 4 4 2 2 5 2" xfId="35210" xr:uid="{00000000-0005-0000-0000-0000A0560000}"/>
    <cellStyle name="Comma 2 3 2 4 4 2 2 6" xfId="14379" xr:uid="{00000000-0005-0000-0000-0000A1560000}"/>
    <cellStyle name="Comma 2 3 2 4 4 2 2 6 2" xfId="37658" xr:uid="{00000000-0005-0000-0000-0000A2560000}"/>
    <cellStyle name="Comma 2 3 2 4 4 2 2 7" xfId="18074" xr:uid="{00000000-0005-0000-0000-0000A3560000}"/>
    <cellStyle name="Comma 2 3 2 4 4 2 2 7 2" xfId="41352" xr:uid="{00000000-0005-0000-0000-0000A4560000}"/>
    <cellStyle name="Comma 2 3 2 4 4 2 2 8" xfId="25418" xr:uid="{00000000-0005-0000-0000-0000A5560000}"/>
    <cellStyle name="Comma 2 3 2 4 4 2 2 9" xfId="46248" xr:uid="{00000000-0005-0000-0000-0000A6560000}"/>
    <cellStyle name="Comma 2 3 2 4 4 2 3" xfId="3363" xr:uid="{00000000-0005-0000-0000-0000A7560000}"/>
    <cellStyle name="Comma 2 3 2 4 4 2 3 2" xfId="16850" xr:uid="{00000000-0005-0000-0000-0000A8560000}"/>
    <cellStyle name="Comma 2 3 2 4 4 2 3 2 2" xfId="40128" xr:uid="{00000000-0005-0000-0000-0000A9560000}"/>
    <cellStyle name="Comma 2 3 2 4 4 2 3 3" xfId="47472" xr:uid="{00000000-0005-0000-0000-0000AA560000}"/>
    <cellStyle name="Comma 2 3 2 4 4 2 3 4" xfId="26642" xr:uid="{00000000-0005-0000-0000-0000AB560000}"/>
    <cellStyle name="Comma 2 3 2 4 4 2 4" xfId="5811" xr:uid="{00000000-0005-0000-0000-0000AC560000}"/>
    <cellStyle name="Comma 2 3 2 4 4 2 4 2" xfId="19298" xr:uid="{00000000-0005-0000-0000-0000AD560000}"/>
    <cellStyle name="Comma 2 3 2 4 4 2 4 2 2" xfId="42576" xr:uid="{00000000-0005-0000-0000-0000AE560000}"/>
    <cellStyle name="Comma 2 3 2 4 4 2 4 3" xfId="29090" xr:uid="{00000000-0005-0000-0000-0000AF560000}"/>
    <cellStyle name="Comma 2 3 2 4 4 2 5" xfId="8259" xr:uid="{00000000-0005-0000-0000-0000B0560000}"/>
    <cellStyle name="Comma 2 3 2 4 4 2 5 2" xfId="31538" xr:uid="{00000000-0005-0000-0000-0000B1560000}"/>
    <cellStyle name="Comma 2 3 2 4 4 2 6" xfId="10707" xr:uid="{00000000-0005-0000-0000-0000B2560000}"/>
    <cellStyle name="Comma 2 3 2 4 4 2 6 2" xfId="33986" xr:uid="{00000000-0005-0000-0000-0000B3560000}"/>
    <cellStyle name="Comma 2 3 2 4 4 2 7" xfId="13155" xr:uid="{00000000-0005-0000-0000-0000B4560000}"/>
    <cellStyle name="Comma 2 3 2 4 4 2 7 2" xfId="36434" xr:uid="{00000000-0005-0000-0000-0000B5560000}"/>
    <cellStyle name="Comma 2 3 2 4 4 2 8" xfId="15626" xr:uid="{00000000-0005-0000-0000-0000B6560000}"/>
    <cellStyle name="Comma 2 3 2 4 4 2 8 2" xfId="38904" xr:uid="{00000000-0005-0000-0000-0000B7560000}"/>
    <cellStyle name="Comma 2 3 2 4 4 2 9" xfId="24194" xr:uid="{00000000-0005-0000-0000-0000B8560000}"/>
    <cellStyle name="Comma 2 3 2 4 4 3" xfId="1527" xr:uid="{00000000-0005-0000-0000-0000B9560000}"/>
    <cellStyle name="Comma 2 3 2 4 4 3 10" xfId="22358" xr:uid="{00000000-0005-0000-0000-0000BA560000}"/>
    <cellStyle name="Comma 2 3 2 4 4 3 2" xfId="3975" xr:uid="{00000000-0005-0000-0000-0000BB560000}"/>
    <cellStyle name="Comma 2 3 2 4 4 3 2 2" xfId="19910" xr:uid="{00000000-0005-0000-0000-0000BC560000}"/>
    <cellStyle name="Comma 2 3 2 4 4 3 2 2 2" xfId="43188" xr:uid="{00000000-0005-0000-0000-0000BD560000}"/>
    <cellStyle name="Comma 2 3 2 4 4 3 2 3" xfId="48084" xr:uid="{00000000-0005-0000-0000-0000BE560000}"/>
    <cellStyle name="Comma 2 3 2 4 4 3 2 4" xfId="27254" xr:uid="{00000000-0005-0000-0000-0000BF560000}"/>
    <cellStyle name="Comma 2 3 2 4 4 3 3" xfId="6423" xr:uid="{00000000-0005-0000-0000-0000C0560000}"/>
    <cellStyle name="Comma 2 3 2 4 4 3 3 2" xfId="29702" xr:uid="{00000000-0005-0000-0000-0000C1560000}"/>
    <cellStyle name="Comma 2 3 2 4 4 3 4" xfId="8871" xr:uid="{00000000-0005-0000-0000-0000C2560000}"/>
    <cellStyle name="Comma 2 3 2 4 4 3 4 2" xfId="32150" xr:uid="{00000000-0005-0000-0000-0000C3560000}"/>
    <cellStyle name="Comma 2 3 2 4 4 3 5" xfId="11319" xr:uid="{00000000-0005-0000-0000-0000C4560000}"/>
    <cellStyle name="Comma 2 3 2 4 4 3 5 2" xfId="34598" xr:uid="{00000000-0005-0000-0000-0000C5560000}"/>
    <cellStyle name="Comma 2 3 2 4 4 3 6" xfId="13767" xr:uid="{00000000-0005-0000-0000-0000C6560000}"/>
    <cellStyle name="Comma 2 3 2 4 4 3 6 2" xfId="37046" xr:uid="{00000000-0005-0000-0000-0000C7560000}"/>
    <cellStyle name="Comma 2 3 2 4 4 3 7" xfId="17462" xr:uid="{00000000-0005-0000-0000-0000C8560000}"/>
    <cellStyle name="Comma 2 3 2 4 4 3 7 2" xfId="40740" xr:uid="{00000000-0005-0000-0000-0000C9560000}"/>
    <cellStyle name="Comma 2 3 2 4 4 3 8" xfId="24806" xr:uid="{00000000-0005-0000-0000-0000CA560000}"/>
    <cellStyle name="Comma 2 3 2 4 4 3 9" xfId="45636" xr:uid="{00000000-0005-0000-0000-0000CB560000}"/>
    <cellStyle name="Comma 2 3 2 4 4 4" xfId="2751" xr:uid="{00000000-0005-0000-0000-0000CC560000}"/>
    <cellStyle name="Comma 2 3 2 4 4 4 2" xfId="16238" xr:uid="{00000000-0005-0000-0000-0000CD560000}"/>
    <cellStyle name="Comma 2 3 2 4 4 4 2 2" xfId="39516" xr:uid="{00000000-0005-0000-0000-0000CE560000}"/>
    <cellStyle name="Comma 2 3 2 4 4 4 3" xfId="46860" xr:uid="{00000000-0005-0000-0000-0000CF560000}"/>
    <cellStyle name="Comma 2 3 2 4 4 4 4" xfId="26030" xr:uid="{00000000-0005-0000-0000-0000D0560000}"/>
    <cellStyle name="Comma 2 3 2 4 4 5" xfId="5199" xr:uid="{00000000-0005-0000-0000-0000D1560000}"/>
    <cellStyle name="Comma 2 3 2 4 4 5 2" xfId="18686" xr:uid="{00000000-0005-0000-0000-0000D2560000}"/>
    <cellStyle name="Comma 2 3 2 4 4 5 2 2" xfId="41964" xr:uid="{00000000-0005-0000-0000-0000D3560000}"/>
    <cellStyle name="Comma 2 3 2 4 4 5 3" xfId="28478" xr:uid="{00000000-0005-0000-0000-0000D4560000}"/>
    <cellStyle name="Comma 2 3 2 4 4 6" xfId="7647" xr:uid="{00000000-0005-0000-0000-0000D5560000}"/>
    <cellStyle name="Comma 2 3 2 4 4 6 2" xfId="30926" xr:uid="{00000000-0005-0000-0000-0000D6560000}"/>
    <cellStyle name="Comma 2 3 2 4 4 7" xfId="10095" xr:uid="{00000000-0005-0000-0000-0000D7560000}"/>
    <cellStyle name="Comma 2 3 2 4 4 7 2" xfId="33374" xr:uid="{00000000-0005-0000-0000-0000D8560000}"/>
    <cellStyle name="Comma 2 3 2 4 4 8" xfId="12543" xr:uid="{00000000-0005-0000-0000-0000D9560000}"/>
    <cellStyle name="Comma 2 3 2 4 4 8 2" xfId="35822" xr:uid="{00000000-0005-0000-0000-0000DA560000}"/>
    <cellStyle name="Comma 2 3 2 4 4 9" xfId="15014" xr:uid="{00000000-0005-0000-0000-0000DB560000}"/>
    <cellStyle name="Comma 2 3 2 4 4 9 2" xfId="38292" xr:uid="{00000000-0005-0000-0000-0000DC560000}"/>
    <cellStyle name="Comma 2 3 2 4 5" xfId="507" xr:uid="{00000000-0005-0000-0000-0000DD560000}"/>
    <cellStyle name="Comma 2 3 2 4 5 10" xfId="23786" xr:uid="{00000000-0005-0000-0000-0000DE560000}"/>
    <cellStyle name="Comma 2 3 2 4 5 11" xfId="44616" xr:uid="{00000000-0005-0000-0000-0000DF560000}"/>
    <cellStyle name="Comma 2 3 2 4 5 12" xfId="21338" xr:uid="{00000000-0005-0000-0000-0000E0560000}"/>
    <cellStyle name="Comma 2 3 2 4 5 2" xfId="1119" xr:uid="{00000000-0005-0000-0000-0000E1560000}"/>
    <cellStyle name="Comma 2 3 2 4 5 2 10" xfId="45228" xr:uid="{00000000-0005-0000-0000-0000E2560000}"/>
    <cellStyle name="Comma 2 3 2 4 5 2 11" xfId="21950" xr:uid="{00000000-0005-0000-0000-0000E3560000}"/>
    <cellStyle name="Comma 2 3 2 4 5 2 2" xfId="2343" xr:uid="{00000000-0005-0000-0000-0000E4560000}"/>
    <cellStyle name="Comma 2 3 2 4 5 2 2 10" xfId="23174" xr:uid="{00000000-0005-0000-0000-0000E5560000}"/>
    <cellStyle name="Comma 2 3 2 4 5 2 2 2" xfId="4791" xr:uid="{00000000-0005-0000-0000-0000E6560000}"/>
    <cellStyle name="Comma 2 3 2 4 5 2 2 2 2" xfId="20726" xr:uid="{00000000-0005-0000-0000-0000E7560000}"/>
    <cellStyle name="Comma 2 3 2 4 5 2 2 2 2 2" xfId="44004" xr:uid="{00000000-0005-0000-0000-0000E8560000}"/>
    <cellStyle name="Comma 2 3 2 4 5 2 2 2 3" xfId="48900" xr:uid="{00000000-0005-0000-0000-0000E9560000}"/>
    <cellStyle name="Comma 2 3 2 4 5 2 2 2 4" xfId="28070" xr:uid="{00000000-0005-0000-0000-0000EA560000}"/>
    <cellStyle name="Comma 2 3 2 4 5 2 2 3" xfId="7239" xr:uid="{00000000-0005-0000-0000-0000EB560000}"/>
    <cellStyle name="Comma 2 3 2 4 5 2 2 3 2" xfId="30518" xr:uid="{00000000-0005-0000-0000-0000EC560000}"/>
    <cellStyle name="Comma 2 3 2 4 5 2 2 4" xfId="9687" xr:uid="{00000000-0005-0000-0000-0000ED560000}"/>
    <cellStyle name="Comma 2 3 2 4 5 2 2 4 2" xfId="32966" xr:uid="{00000000-0005-0000-0000-0000EE560000}"/>
    <cellStyle name="Comma 2 3 2 4 5 2 2 5" xfId="12135" xr:uid="{00000000-0005-0000-0000-0000EF560000}"/>
    <cellStyle name="Comma 2 3 2 4 5 2 2 5 2" xfId="35414" xr:uid="{00000000-0005-0000-0000-0000F0560000}"/>
    <cellStyle name="Comma 2 3 2 4 5 2 2 6" xfId="14583" xr:uid="{00000000-0005-0000-0000-0000F1560000}"/>
    <cellStyle name="Comma 2 3 2 4 5 2 2 6 2" xfId="37862" xr:uid="{00000000-0005-0000-0000-0000F2560000}"/>
    <cellStyle name="Comma 2 3 2 4 5 2 2 7" xfId="18278" xr:uid="{00000000-0005-0000-0000-0000F3560000}"/>
    <cellStyle name="Comma 2 3 2 4 5 2 2 7 2" xfId="41556" xr:uid="{00000000-0005-0000-0000-0000F4560000}"/>
    <cellStyle name="Comma 2 3 2 4 5 2 2 8" xfId="25622" xr:uid="{00000000-0005-0000-0000-0000F5560000}"/>
    <cellStyle name="Comma 2 3 2 4 5 2 2 9" xfId="46452" xr:uid="{00000000-0005-0000-0000-0000F6560000}"/>
    <cellStyle name="Comma 2 3 2 4 5 2 3" xfId="3567" xr:uid="{00000000-0005-0000-0000-0000F7560000}"/>
    <cellStyle name="Comma 2 3 2 4 5 2 3 2" xfId="17054" xr:uid="{00000000-0005-0000-0000-0000F8560000}"/>
    <cellStyle name="Comma 2 3 2 4 5 2 3 2 2" xfId="40332" xr:uid="{00000000-0005-0000-0000-0000F9560000}"/>
    <cellStyle name="Comma 2 3 2 4 5 2 3 3" xfId="47676" xr:uid="{00000000-0005-0000-0000-0000FA560000}"/>
    <cellStyle name="Comma 2 3 2 4 5 2 3 4" xfId="26846" xr:uid="{00000000-0005-0000-0000-0000FB560000}"/>
    <cellStyle name="Comma 2 3 2 4 5 2 4" xfId="6015" xr:uid="{00000000-0005-0000-0000-0000FC560000}"/>
    <cellStyle name="Comma 2 3 2 4 5 2 4 2" xfId="19502" xr:uid="{00000000-0005-0000-0000-0000FD560000}"/>
    <cellStyle name="Comma 2 3 2 4 5 2 4 2 2" xfId="42780" xr:uid="{00000000-0005-0000-0000-0000FE560000}"/>
    <cellStyle name="Comma 2 3 2 4 5 2 4 3" xfId="29294" xr:uid="{00000000-0005-0000-0000-0000FF560000}"/>
    <cellStyle name="Comma 2 3 2 4 5 2 5" xfId="8463" xr:uid="{00000000-0005-0000-0000-000000570000}"/>
    <cellStyle name="Comma 2 3 2 4 5 2 5 2" xfId="31742" xr:uid="{00000000-0005-0000-0000-000001570000}"/>
    <cellStyle name="Comma 2 3 2 4 5 2 6" xfId="10911" xr:uid="{00000000-0005-0000-0000-000002570000}"/>
    <cellStyle name="Comma 2 3 2 4 5 2 6 2" xfId="34190" xr:uid="{00000000-0005-0000-0000-000003570000}"/>
    <cellStyle name="Comma 2 3 2 4 5 2 7" xfId="13359" xr:uid="{00000000-0005-0000-0000-000004570000}"/>
    <cellStyle name="Comma 2 3 2 4 5 2 7 2" xfId="36638" xr:uid="{00000000-0005-0000-0000-000005570000}"/>
    <cellStyle name="Comma 2 3 2 4 5 2 8" xfId="15830" xr:uid="{00000000-0005-0000-0000-000006570000}"/>
    <cellStyle name="Comma 2 3 2 4 5 2 8 2" xfId="39108" xr:uid="{00000000-0005-0000-0000-000007570000}"/>
    <cellStyle name="Comma 2 3 2 4 5 2 9" xfId="24398" xr:uid="{00000000-0005-0000-0000-000008570000}"/>
    <cellStyle name="Comma 2 3 2 4 5 3" xfId="1731" xr:uid="{00000000-0005-0000-0000-000009570000}"/>
    <cellStyle name="Comma 2 3 2 4 5 3 10" xfId="22562" xr:uid="{00000000-0005-0000-0000-00000A570000}"/>
    <cellStyle name="Comma 2 3 2 4 5 3 2" xfId="4179" xr:uid="{00000000-0005-0000-0000-00000B570000}"/>
    <cellStyle name="Comma 2 3 2 4 5 3 2 2" xfId="20114" xr:uid="{00000000-0005-0000-0000-00000C570000}"/>
    <cellStyle name="Comma 2 3 2 4 5 3 2 2 2" xfId="43392" xr:uid="{00000000-0005-0000-0000-00000D570000}"/>
    <cellStyle name="Comma 2 3 2 4 5 3 2 3" xfId="48288" xr:uid="{00000000-0005-0000-0000-00000E570000}"/>
    <cellStyle name="Comma 2 3 2 4 5 3 2 4" xfId="27458" xr:uid="{00000000-0005-0000-0000-00000F570000}"/>
    <cellStyle name="Comma 2 3 2 4 5 3 3" xfId="6627" xr:uid="{00000000-0005-0000-0000-000010570000}"/>
    <cellStyle name="Comma 2 3 2 4 5 3 3 2" xfId="29906" xr:uid="{00000000-0005-0000-0000-000011570000}"/>
    <cellStyle name="Comma 2 3 2 4 5 3 4" xfId="9075" xr:uid="{00000000-0005-0000-0000-000012570000}"/>
    <cellStyle name="Comma 2 3 2 4 5 3 4 2" xfId="32354" xr:uid="{00000000-0005-0000-0000-000013570000}"/>
    <cellStyle name="Comma 2 3 2 4 5 3 5" xfId="11523" xr:uid="{00000000-0005-0000-0000-000014570000}"/>
    <cellStyle name="Comma 2 3 2 4 5 3 5 2" xfId="34802" xr:uid="{00000000-0005-0000-0000-000015570000}"/>
    <cellStyle name="Comma 2 3 2 4 5 3 6" xfId="13971" xr:uid="{00000000-0005-0000-0000-000016570000}"/>
    <cellStyle name="Comma 2 3 2 4 5 3 6 2" xfId="37250" xr:uid="{00000000-0005-0000-0000-000017570000}"/>
    <cellStyle name="Comma 2 3 2 4 5 3 7" xfId="17666" xr:uid="{00000000-0005-0000-0000-000018570000}"/>
    <cellStyle name="Comma 2 3 2 4 5 3 7 2" xfId="40944" xr:uid="{00000000-0005-0000-0000-000019570000}"/>
    <cellStyle name="Comma 2 3 2 4 5 3 8" xfId="25010" xr:uid="{00000000-0005-0000-0000-00001A570000}"/>
    <cellStyle name="Comma 2 3 2 4 5 3 9" xfId="45840" xr:uid="{00000000-0005-0000-0000-00001B570000}"/>
    <cellStyle name="Comma 2 3 2 4 5 4" xfId="2955" xr:uid="{00000000-0005-0000-0000-00001C570000}"/>
    <cellStyle name="Comma 2 3 2 4 5 4 2" xfId="16442" xr:uid="{00000000-0005-0000-0000-00001D570000}"/>
    <cellStyle name="Comma 2 3 2 4 5 4 2 2" xfId="39720" xr:uid="{00000000-0005-0000-0000-00001E570000}"/>
    <cellStyle name="Comma 2 3 2 4 5 4 3" xfId="47064" xr:uid="{00000000-0005-0000-0000-00001F570000}"/>
    <cellStyle name="Comma 2 3 2 4 5 4 4" xfId="26234" xr:uid="{00000000-0005-0000-0000-000020570000}"/>
    <cellStyle name="Comma 2 3 2 4 5 5" xfId="5403" xr:uid="{00000000-0005-0000-0000-000021570000}"/>
    <cellStyle name="Comma 2 3 2 4 5 5 2" xfId="18890" xr:uid="{00000000-0005-0000-0000-000022570000}"/>
    <cellStyle name="Comma 2 3 2 4 5 5 2 2" xfId="42168" xr:uid="{00000000-0005-0000-0000-000023570000}"/>
    <cellStyle name="Comma 2 3 2 4 5 5 3" xfId="28682" xr:uid="{00000000-0005-0000-0000-000024570000}"/>
    <cellStyle name="Comma 2 3 2 4 5 6" xfId="7851" xr:uid="{00000000-0005-0000-0000-000025570000}"/>
    <cellStyle name="Comma 2 3 2 4 5 6 2" xfId="31130" xr:uid="{00000000-0005-0000-0000-000026570000}"/>
    <cellStyle name="Comma 2 3 2 4 5 7" xfId="10299" xr:uid="{00000000-0005-0000-0000-000027570000}"/>
    <cellStyle name="Comma 2 3 2 4 5 7 2" xfId="33578" xr:uid="{00000000-0005-0000-0000-000028570000}"/>
    <cellStyle name="Comma 2 3 2 4 5 8" xfId="12747" xr:uid="{00000000-0005-0000-0000-000029570000}"/>
    <cellStyle name="Comma 2 3 2 4 5 8 2" xfId="36026" xr:uid="{00000000-0005-0000-0000-00002A570000}"/>
    <cellStyle name="Comma 2 3 2 4 5 9" xfId="15218" xr:uid="{00000000-0005-0000-0000-00002B570000}"/>
    <cellStyle name="Comma 2 3 2 4 5 9 2" xfId="38496" xr:uid="{00000000-0005-0000-0000-00002C570000}"/>
    <cellStyle name="Comma 2 3 2 4 6" xfId="711" xr:uid="{00000000-0005-0000-0000-00002D570000}"/>
    <cellStyle name="Comma 2 3 2 4 6 10" xfId="44820" xr:uid="{00000000-0005-0000-0000-00002E570000}"/>
    <cellStyle name="Comma 2 3 2 4 6 11" xfId="21542" xr:uid="{00000000-0005-0000-0000-00002F570000}"/>
    <cellStyle name="Comma 2 3 2 4 6 2" xfId="1935" xr:uid="{00000000-0005-0000-0000-000030570000}"/>
    <cellStyle name="Comma 2 3 2 4 6 2 10" xfId="22766" xr:uid="{00000000-0005-0000-0000-000031570000}"/>
    <cellStyle name="Comma 2 3 2 4 6 2 2" xfId="4383" xr:uid="{00000000-0005-0000-0000-000032570000}"/>
    <cellStyle name="Comma 2 3 2 4 6 2 2 2" xfId="20318" xr:uid="{00000000-0005-0000-0000-000033570000}"/>
    <cellStyle name="Comma 2 3 2 4 6 2 2 2 2" xfId="43596" xr:uid="{00000000-0005-0000-0000-000034570000}"/>
    <cellStyle name="Comma 2 3 2 4 6 2 2 3" xfId="48492" xr:uid="{00000000-0005-0000-0000-000035570000}"/>
    <cellStyle name="Comma 2 3 2 4 6 2 2 4" xfId="27662" xr:uid="{00000000-0005-0000-0000-000036570000}"/>
    <cellStyle name="Comma 2 3 2 4 6 2 3" xfId="6831" xr:uid="{00000000-0005-0000-0000-000037570000}"/>
    <cellStyle name="Comma 2 3 2 4 6 2 3 2" xfId="30110" xr:uid="{00000000-0005-0000-0000-000038570000}"/>
    <cellStyle name="Comma 2 3 2 4 6 2 4" xfId="9279" xr:uid="{00000000-0005-0000-0000-000039570000}"/>
    <cellStyle name="Comma 2 3 2 4 6 2 4 2" xfId="32558" xr:uid="{00000000-0005-0000-0000-00003A570000}"/>
    <cellStyle name="Comma 2 3 2 4 6 2 5" xfId="11727" xr:uid="{00000000-0005-0000-0000-00003B570000}"/>
    <cellStyle name="Comma 2 3 2 4 6 2 5 2" xfId="35006" xr:uid="{00000000-0005-0000-0000-00003C570000}"/>
    <cellStyle name="Comma 2 3 2 4 6 2 6" xfId="14175" xr:uid="{00000000-0005-0000-0000-00003D570000}"/>
    <cellStyle name="Comma 2 3 2 4 6 2 6 2" xfId="37454" xr:uid="{00000000-0005-0000-0000-00003E570000}"/>
    <cellStyle name="Comma 2 3 2 4 6 2 7" xfId="17870" xr:uid="{00000000-0005-0000-0000-00003F570000}"/>
    <cellStyle name="Comma 2 3 2 4 6 2 7 2" xfId="41148" xr:uid="{00000000-0005-0000-0000-000040570000}"/>
    <cellStyle name="Comma 2 3 2 4 6 2 8" xfId="25214" xr:uid="{00000000-0005-0000-0000-000041570000}"/>
    <cellStyle name="Comma 2 3 2 4 6 2 9" xfId="46044" xr:uid="{00000000-0005-0000-0000-000042570000}"/>
    <cellStyle name="Comma 2 3 2 4 6 3" xfId="3159" xr:uid="{00000000-0005-0000-0000-000043570000}"/>
    <cellStyle name="Comma 2 3 2 4 6 3 2" xfId="16646" xr:uid="{00000000-0005-0000-0000-000044570000}"/>
    <cellStyle name="Comma 2 3 2 4 6 3 2 2" xfId="39924" xr:uid="{00000000-0005-0000-0000-000045570000}"/>
    <cellStyle name="Comma 2 3 2 4 6 3 3" xfId="47268" xr:uid="{00000000-0005-0000-0000-000046570000}"/>
    <cellStyle name="Comma 2 3 2 4 6 3 4" xfId="26438" xr:uid="{00000000-0005-0000-0000-000047570000}"/>
    <cellStyle name="Comma 2 3 2 4 6 4" xfId="5607" xr:uid="{00000000-0005-0000-0000-000048570000}"/>
    <cellStyle name="Comma 2 3 2 4 6 4 2" xfId="19094" xr:uid="{00000000-0005-0000-0000-000049570000}"/>
    <cellStyle name="Comma 2 3 2 4 6 4 2 2" xfId="42372" xr:uid="{00000000-0005-0000-0000-00004A570000}"/>
    <cellStyle name="Comma 2 3 2 4 6 4 3" xfId="28886" xr:uid="{00000000-0005-0000-0000-00004B570000}"/>
    <cellStyle name="Comma 2 3 2 4 6 5" xfId="8055" xr:uid="{00000000-0005-0000-0000-00004C570000}"/>
    <cellStyle name="Comma 2 3 2 4 6 5 2" xfId="31334" xr:uid="{00000000-0005-0000-0000-00004D570000}"/>
    <cellStyle name="Comma 2 3 2 4 6 6" xfId="10503" xr:uid="{00000000-0005-0000-0000-00004E570000}"/>
    <cellStyle name="Comma 2 3 2 4 6 6 2" xfId="33782" xr:uid="{00000000-0005-0000-0000-00004F570000}"/>
    <cellStyle name="Comma 2 3 2 4 6 7" xfId="12951" xr:uid="{00000000-0005-0000-0000-000050570000}"/>
    <cellStyle name="Comma 2 3 2 4 6 7 2" xfId="36230" xr:uid="{00000000-0005-0000-0000-000051570000}"/>
    <cellStyle name="Comma 2 3 2 4 6 8" xfId="15422" xr:uid="{00000000-0005-0000-0000-000052570000}"/>
    <cellStyle name="Comma 2 3 2 4 6 8 2" xfId="38700" xr:uid="{00000000-0005-0000-0000-000053570000}"/>
    <cellStyle name="Comma 2 3 2 4 6 9" xfId="23990" xr:uid="{00000000-0005-0000-0000-000054570000}"/>
    <cellStyle name="Comma 2 3 2 4 7" xfId="1323" xr:uid="{00000000-0005-0000-0000-000055570000}"/>
    <cellStyle name="Comma 2 3 2 4 7 10" xfId="22154" xr:uid="{00000000-0005-0000-0000-000056570000}"/>
    <cellStyle name="Comma 2 3 2 4 7 2" xfId="3771" xr:uid="{00000000-0005-0000-0000-000057570000}"/>
    <cellStyle name="Comma 2 3 2 4 7 2 2" xfId="19706" xr:uid="{00000000-0005-0000-0000-000058570000}"/>
    <cellStyle name="Comma 2 3 2 4 7 2 2 2" xfId="42984" xr:uid="{00000000-0005-0000-0000-000059570000}"/>
    <cellStyle name="Comma 2 3 2 4 7 2 3" xfId="47880" xr:uid="{00000000-0005-0000-0000-00005A570000}"/>
    <cellStyle name="Comma 2 3 2 4 7 2 4" xfId="27050" xr:uid="{00000000-0005-0000-0000-00005B570000}"/>
    <cellStyle name="Comma 2 3 2 4 7 3" xfId="6219" xr:uid="{00000000-0005-0000-0000-00005C570000}"/>
    <cellStyle name="Comma 2 3 2 4 7 3 2" xfId="29498" xr:uid="{00000000-0005-0000-0000-00005D570000}"/>
    <cellStyle name="Comma 2 3 2 4 7 4" xfId="8667" xr:uid="{00000000-0005-0000-0000-00005E570000}"/>
    <cellStyle name="Comma 2 3 2 4 7 4 2" xfId="31946" xr:uid="{00000000-0005-0000-0000-00005F570000}"/>
    <cellStyle name="Comma 2 3 2 4 7 5" xfId="11115" xr:uid="{00000000-0005-0000-0000-000060570000}"/>
    <cellStyle name="Comma 2 3 2 4 7 5 2" xfId="34394" xr:uid="{00000000-0005-0000-0000-000061570000}"/>
    <cellStyle name="Comma 2 3 2 4 7 6" xfId="13563" xr:uid="{00000000-0005-0000-0000-000062570000}"/>
    <cellStyle name="Comma 2 3 2 4 7 6 2" xfId="36842" xr:uid="{00000000-0005-0000-0000-000063570000}"/>
    <cellStyle name="Comma 2 3 2 4 7 7" xfId="17258" xr:uid="{00000000-0005-0000-0000-000064570000}"/>
    <cellStyle name="Comma 2 3 2 4 7 7 2" xfId="40536" xr:uid="{00000000-0005-0000-0000-000065570000}"/>
    <cellStyle name="Comma 2 3 2 4 7 8" xfId="24602" xr:uid="{00000000-0005-0000-0000-000066570000}"/>
    <cellStyle name="Comma 2 3 2 4 7 9" xfId="45432" xr:uid="{00000000-0005-0000-0000-000067570000}"/>
    <cellStyle name="Comma 2 3 2 4 8" xfId="2547" xr:uid="{00000000-0005-0000-0000-000068570000}"/>
    <cellStyle name="Comma 2 3 2 4 8 2" xfId="16034" xr:uid="{00000000-0005-0000-0000-000069570000}"/>
    <cellStyle name="Comma 2 3 2 4 8 2 2" xfId="39312" xr:uid="{00000000-0005-0000-0000-00006A570000}"/>
    <cellStyle name="Comma 2 3 2 4 8 3" xfId="46656" xr:uid="{00000000-0005-0000-0000-00006B570000}"/>
    <cellStyle name="Comma 2 3 2 4 8 4" xfId="25826" xr:uid="{00000000-0005-0000-0000-00006C570000}"/>
    <cellStyle name="Comma 2 3 2 4 9" xfId="4995" xr:uid="{00000000-0005-0000-0000-00006D570000}"/>
    <cellStyle name="Comma 2 3 2 4 9 2" xfId="18482" xr:uid="{00000000-0005-0000-0000-00006E570000}"/>
    <cellStyle name="Comma 2 3 2 4 9 2 2" xfId="41760" xr:uid="{00000000-0005-0000-0000-00006F570000}"/>
    <cellStyle name="Comma 2 3 2 4 9 3" xfId="28274" xr:uid="{00000000-0005-0000-0000-000070570000}"/>
    <cellStyle name="Comma 2 3 2 5" xfId="116" xr:uid="{00000000-0005-0000-0000-000071570000}"/>
    <cellStyle name="Comma 2 3 2 5 10" xfId="12356" xr:uid="{00000000-0005-0000-0000-000072570000}"/>
    <cellStyle name="Comma 2 3 2 5 10 2" xfId="35635" xr:uid="{00000000-0005-0000-0000-000073570000}"/>
    <cellStyle name="Comma 2 3 2 5 11" xfId="14827" xr:uid="{00000000-0005-0000-0000-000074570000}"/>
    <cellStyle name="Comma 2 3 2 5 11 2" xfId="38105" xr:uid="{00000000-0005-0000-0000-000075570000}"/>
    <cellStyle name="Comma 2 3 2 5 12" xfId="23395" xr:uid="{00000000-0005-0000-0000-000076570000}"/>
    <cellStyle name="Comma 2 3 2 5 13" xfId="44225" xr:uid="{00000000-0005-0000-0000-000077570000}"/>
    <cellStyle name="Comma 2 3 2 5 14" xfId="20947" xr:uid="{00000000-0005-0000-0000-000078570000}"/>
    <cellStyle name="Comma 2 3 2 5 2" xfId="320" xr:uid="{00000000-0005-0000-0000-000079570000}"/>
    <cellStyle name="Comma 2 3 2 5 2 10" xfId="23599" xr:uid="{00000000-0005-0000-0000-00007A570000}"/>
    <cellStyle name="Comma 2 3 2 5 2 11" xfId="44429" xr:uid="{00000000-0005-0000-0000-00007B570000}"/>
    <cellStyle name="Comma 2 3 2 5 2 12" xfId="21151" xr:uid="{00000000-0005-0000-0000-00007C570000}"/>
    <cellStyle name="Comma 2 3 2 5 2 2" xfId="932" xr:uid="{00000000-0005-0000-0000-00007D570000}"/>
    <cellStyle name="Comma 2 3 2 5 2 2 10" xfId="45041" xr:uid="{00000000-0005-0000-0000-00007E570000}"/>
    <cellStyle name="Comma 2 3 2 5 2 2 11" xfId="21763" xr:uid="{00000000-0005-0000-0000-00007F570000}"/>
    <cellStyle name="Comma 2 3 2 5 2 2 2" xfId="2156" xr:uid="{00000000-0005-0000-0000-000080570000}"/>
    <cellStyle name="Comma 2 3 2 5 2 2 2 10" xfId="22987" xr:uid="{00000000-0005-0000-0000-000081570000}"/>
    <cellStyle name="Comma 2 3 2 5 2 2 2 2" xfId="4604" xr:uid="{00000000-0005-0000-0000-000082570000}"/>
    <cellStyle name="Comma 2 3 2 5 2 2 2 2 2" xfId="20539" xr:uid="{00000000-0005-0000-0000-000083570000}"/>
    <cellStyle name="Comma 2 3 2 5 2 2 2 2 2 2" xfId="43817" xr:uid="{00000000-0005-0000-0000-000084570000}"/>
    <cellStyle name="Comma 2 3 2 5 2 2 2 2 3" xfId="48713" xr:uid="{00000000-0005-0000-0000-000085570000}"/>
    <cellStyle name="Comma 2 3 2 5 2 2 2 2 4" xfId="27883" xr:uid="{00000000-0005-0000-0000-000086570000}"/>
    <cellStyle name="Comma 2 3 2 5 2 2 2 3" xfId="7052" xr:uid="{00000000-0005-0000-0000-000087570000}"/>
    <cellStyle name="Comma 2 3 2 5 2 2 2 3 2" xfId="30331" xr:uid="{00000000-0005-0000-0000-000088570000}"/>
    <cellStyle name="Comma 2 3 2 5 2 2 2 4" xfId="9500" xr:uid="{00000000-0005-0000-0000-000089570000}"/>
    <cellStyle name="Comma 2 3 2 5 2 2 2 4 2" xfId="32779" xr:uid="{00000000-0005-0000-0000-00008A570000}"/>
    <cellStyle name="Comma 2 3 2 5 2 2 2 5" xfId="11948" xr:uid="{00000000-0005-0000-0000-00008B570000}"/>
    <cellStyle name="Comma 2 3 2 5 2 2 2 5 2" xfId="35227" xr:uid="{00000000-0005-0000-0000-00008C570000}"/>
    <cellStyle name="Comma 2 3 2 5 2 2 2 6" xfId="14396" xr:uid="{00000000-0005-0000-0000-00008D570000}"/>
    <cellStyle name="Comma 2 3 2 5 2 2 2 6 2" xfId="37675" xr:uid="{00000000-0005-0000-0000-00008E570000}"/>
    <cellStyle name="Comma 2 3 2 5 2 2 2 7" xfId="18091" xr:uid="{00000000-0005-0000-0000-00008F570000}"/>
    <cellStyle name="Comma 2 3 2 5 2 2 2 7 2" xfId="41369" xr:uid="{00000000-0005-0000-0000-000090570000}"/>
    <cellStyle name="Comma 2 3 2 5 2 2 2 8" xfId="25435" xr:uid="{00000000-0005-0000-0000-000091570000}"/>
    <cellStyle name="Comma 2 3 2 5 2 2 2 9" xfId="46265" xr:uid="{00000000-0005-0000-0000-000092570000}"/>
    <cellStyle name="Comma 2 3 2 5 2 2 3" xfId="3380" xr:uid="{00000000-0005-0000-0000-000093570000}"/>
    <cellStyle name="Comma 2 3 2 5 2 2 3 2" xfId="16867" xr:uid="{00000000-0005-0000-0000-000094570000}"/>
    <cellStyle name="Comma 2 3 2 5 2 2 3 2 2" xfId="40145" xr:uid="{00000000-0005-0000-0000-000095570000}"/>
    <cellStyle name="Comma 2 3 2 5 2 2 3 3" xfId="47489" xr:uid="{00000000-0005-0000-0000-000096570000}"/>
    <cellStyle name="Comma 2 3 2 5 2 2 3 4" xfId="26659" xr:uid="{00000000-0005-0000-0000-000097570000}"/>
    <cellStyle name="Comma 2 3 2 5 2 2 4" xfId="5828" xr:uid="{00000000-0005-0000-0000-000098570000}"/>
    <cellStyle name="Comma 2 3 2 5 2 2 4 2" xfId="19315" xr:uid="{00000000-0005-0000-0000-000099570000}"/>
    <cellStyle name="Comma 2 3 2 5 2 2 4 2 2" xfId="42593" xr:uid="{00000000-0005-0000-0000-00009A570000}"/>
    <cellStyle name="Comma 2 3 2 5 2 2 4 3" xfId="29107" xr:uid="{00000000-0005-0000-0000-00009B570000}"/>
    <cellStyle name="Comma 2 3 2 5 2 2 5" xfId="8276" xr:uid="{00000000-0005-0000-0000-00009C570000}"/>
    <cellStyle name="Comma 2 3 2 5 2 2 5 2" xfId="31555" xr:uid="{00000000-0005-0000-0000-00009D570000}"/>
    <cellStyle name="Comma 2 3 2 5 2 2 6" xfId="10724" xr:uid="{00000000-0005-0000-0000-00009E570000}"/>
    <cellStyle name="Comma 2 3 2 5 2 2 6 2" xfId="34003" xr:uid="{00000000-0005-0000-0000-00009F570000}"/>
    <cellStyle name="Comma 2 3 2 5 2 2 7" xfId="13172" xr:uid="{00000000-0005-0000-0000-0000A0570000}"/>
    <cellStyle name="Comma 2 3 2 5 2 2 7 2" xfId="36451" xr:uid="{00000000-0005-0000-0000-0000A1570000}"/>
    <cellStyle name="Comma 2 3 2 5 2 2 8" xfId="15643" xr:uid="{00000000-0005-0000-0000-0000A2570000}"/>
    <cellStyle name="Comma 2 3 2 5 2 2 8 2" xfId="38921" xr:uid="{00000000-0005-0000-0000-0000A3570000}"/>
    <cellStyle name="Comma 2 3 2 5 2 2 9" xfId="24211" xr:uid="{00000000-0005-0000-0000-0000A4570000}"/>
    <cellStyle name="Comma 2 3 2 5 2 3" xfId="1544" xr:uid="{00000000-0005-0000-0000-0000A5570000}"/>
    <cellStyle name="Comma 2 3 2 5 2 3 10" xfId="22375" xr:uid="{00000000-0005-0000-0000-0000A6570000}"/>
    <cellStyle name="Comma 2 3 2 5 2 3 2" xfId="3992" xr:uid="{00000000-0005-0000-0000-0000A7570000}"/>
    <cellStyle name="Comma 2 3 2 5 2 3 2 2" xfId="19927" xr:uid="{00000000-0005-0000-0000-0000A8570000}"/>
    <cellStyle name="Comma 2 3 2 5 2 3 2 2 2" xfId="43205" xr:uid="{00000000-0005-0000-0000-0000A9570000}"/>
    <cellStyle name="Comma 2 3 2 5 2 3 2 3" xfId="48101" xr:uid="{00000000-0005-0000-0000-0000AA570000}"/>
    <cellStyle name="Comma 2 3 2 5 2 3 2 4" xfId="27271" xr:uid="{00000000-0005-0000-0000-0000AB570000}"/>
    <cellStyle name="Comma 2 3 2 5 2 3 3" xfId="6440" xr:uid="{00000000-0005-0000-0000-0000AC570000}"/>
    <cellStyle name="Comma 2 3 2 5 2 3 3 2" xfId="29719" xr:uid="{00000000-0005-0000-0000-0000AD570000}"/>
    <cellStyle name="Comma 2 3 2 5 2 3 4" xfId="8888" xr:uid="{00000000-0005-0000-0000-0000AE570000}"/>
    <cellStyle name="Comma 2 3 2 5 2 3 4 2" xfId="32167" xr:uid="{00000000-0005-0000-0000-0000AF570000}"/>
    <cellStyle name="Comma 2 3 2 5 2 3 5" xfId="11336" xr:uid="{00000000-0005-0000-0000-0000B0570000}"/>
    <cellStyle name="Comma 2 3 2 5 2 3 5 2" xfId="34615" xr:uid="{00000000-0005-0000-0000-0000B1570000}"/>
    <cellStyle name="Comma 2 3 2 5 2 3 6" xfId="13784" xr:uid="{00000000-0005-0000-0000-0000B2570000}"/>
    <cellStyle name="Comma 2 3 2 5 2 3 6 2" xfId="37063" xr:uid="{00000000-0005-0000-0000-0000B3570000}"/>
    <cellStyle name="Comma 2 3 2 5 2 3 7" xfId="17479" xr:uid="{00000000-0005-0000-0000-0000B4570000}"/>
    <cellStyle name="Comma 2 3 2 5 2 3 7 2" xfId="40757" xr:uid="{00000000-0005-0000-0000-0000B5570000}"/>
    <cellStyle name="Comma 2 3 2 5 2 3 8" xfId="24823" xr:uid="{00000000-0005-0000-0000-0000B6570000}"/>
    <cellStyle name="Comma 2 3 2 5 2 3 9" xfId="45653" xr:uid="{00000000-0005-0000-0000-0000B7570000}"/>
    <cellStyle name="Comma 2 3 2 5 2 4" xfId="2768" xr:uid="{00000000-0005-0000-0000-0000B8570000}"/>
    <cellStyle name="Comma 2 3 2 5 2 4 2" xfId="16255" xr:uid="{00000000-0005-0000-0000-0000B9570000}"/>
    <cellStyle name="Comma 2 3 2 5 2 4 2 2" xfId="39533" xr:uid="{00000000-0005-0000-0000-0000BA570000}"/>
    <cellStyle name="Comma 2 3 2 5 2 4 3" xfId="46877" xr:uid="{00000000-0005-0000-0000-0000BB570000}"/>
    <cellStyle name="Comma 2 3 2 5 2 4 4" xfId="26047" xr:uid="{00000000-0005-0000-0000-0000BC570000}"/>
    <cellStyle name="Comma 2 3 2 5 2 5" xfId="5216" xr:uid="{00000000-0005-0000-0000-0000BD570000}"/>
    <cellStyle name="Comma 2 3 2 5 2 5 2" xfId="18703" xr:uid="{00000000-0005-0000-0000-0000BE570000}"/>
    <cellStyle name="Comma 2 3 2 5 2 5 2 2" xfId="41981" xr:uid="{00000000-0005-0000-0000-0000BF570000}"/>
    <cellStyle name="Comma 2 3 2 5 2 5 3" xfId="28495" xr:uid="{00000000-0005-0000-0000-0000C0570000}"/>
    <cellStyle name="Comma 2 3 2 5 2 6" xfId="7664" xr:uid="{00000000-0005-0000-0000-0000C1570000}"/>
    <cellStyle name="Comma 2 3 2 5 2 6 2" xfId="30943" xr:uid="{00000000-0005-0000-0000-0000C2570000}"/>
    <cellStyle name="Comma 2 3 2 5 2 7" xfId="10112" xr:uid="{00000000-0005-0000-0000-0000C3570000}"/>
    <cellStyle name="Comma 2 3 2 5 2 7 2" xfId="33391" xr:uid="{00000000-0005-0000-0000-0000C4570000}"/>
    <cellStyle name="Comma 2 3 2 5 2 8" xfId="12560" xr:uid="{00000000-0005-0000-0000-0000C5570000}"/>
    <cellStyle name="Comma 2 3 2 5 2 8 2" xfId="35839" xr:uid="{00000000-0005-0000-0000-0000C6570000}"/>
    <cellStyle name="Comma 2 3 2 5 2 9" xfId="15031" xr:uid="{00000000-0005-0000-0000-0000C7570000}"/>
    <cellStyle name="Comma 2 3 2 5 2 9 2" xfId="38309" xr:uid="{00000000-0005-0000-0000-0000C8570000}"/>
    <cellStyle name="Comma 2 3 2 5 3" xfId="524" xr:uid="{00000000-0005-0000-0000-0000C9570000}"/>
    <cellStyle name="Comma 2 3 2 5 3 10" xfId="23803" xr:uid="{00000000-0005-0000-0000-0000CA570000}"/>
    <cellStyle name="Comma 2 3 2 5 3 11" xfId="44633" xr:uid="{00000000-0005-0000-0000-0000CB570000}"/>
    <cellStyle name="Comma 2 3 2 5 3 12" xfId="21355" xr:uid="{00000000-0005-0000-0000-0000CC570000}"/>
    <cellStyle name="Comma 2 3 2 5 3 2" xfId="1136" xr:uid="{00000000-0005-0000-0000-0000CD570000}"/>
    <cellStyle name="Comma 2 3 2 5 3 2 10" xfId="45245" xr:uid="{00000000-0005-0000-0000-0000CE570000}"/>
    <cellStyle name="Comma 2 3 2 5 3 2 11" xfId="21967" xr:uid="{00000000-0005-0000-0000-0000CF570000}"/>
    <cellStyle name="Comma 2 3 2 5 3 2 2" xfId="2360" xr:uid="{00000000-0005-0000-0000-0000D0570000}"/>
    <cellStyle name="Comma 2 3 2 5 3 2 2 10" xfId="23191" xr:uid="{00000000-0005-0000-0000-0000D1570000}"/>
    <cellStyle name="Comma 2 3 2 5 3 2 2 2" xfId="4808" xr:uid="{00000000-0005-0000-0000-0000D2570000}"/>
    <cellStyle name="Comma 2 3 2 5 3 2 2 2 2" xfId="20743" xr:uid="{00000000-0005-0000-0000-0000D3570000}"/>
    <cellStyle name="Comma 2 3 2 5 3 2 2 2 2 2" xfId="44021" xr:uid="{00000000-0005-0000-0000-0000D4570000}"/>
    <cellStyle name="Comma 2 3 2 5 3 2 2 2 3" xfId="48917" xr:uid="{00000000-0005-0000-0000-0000D5570000}"/>
    <cellStyle name="Comma 2 3 2 5 3 2 2 2 4" xfId="28087" xr:uid="{00000000-0005-0000-0000-0000D6570000}"/>
    <cellStyle name="Comma 2 3 2 5 3 2 2 3" xfId="7256" xr:uid="{00000000-0005-0000-0000-0000D7570000}"/>
    <cellStyle name="Comma 2 3 2 5 3 2 2 3 2" xfId="30535" xr:uid="{00000000-0005-0000-0000-0000D8570000}"/>
    <cellStyle name="Comma 2 3 2 5 3 2 2 4" xfId="9704" xr:uid="{00000000-0005-0000-0000-0000D9570000}"/>
    <cellStyle name="Comma 2 3 2 5 3 2 2 4 2" xfId="32983" xr:uid="{00000000-0005-0000-0000-0000DA570000}"/>
    <cellStyle name="Comma 2 3 2 5 3 2 2 5" xfId="12152" xr:uid="{00000000-0005-0000-0000-0000DB570000}"/>
    <cellStyle name="Comma 2 3 2 5 3 2 2 5 2" xfId="35431" xr:uid="{00000000-0005-0000-0000-0000DC570000}"/>
    <cellStyle name="Comma 2 3 2 5 3 2 2 6" xfId="14600" xr:uid="{00000000-0005-0000-0000-0000DD570000}"/>
    <cellStyle name="Comma 2 3 2 5 3 2 2 6 2" xfId="37879" xr:uid="{00000000-0005-0000-0000-0000DE570000}"/>
    <cellStyle name="Comma 2 3 2 5 3 2 2 7" xfId="18295" xr:uid="{00000000-0005-0000-0000-0000DF570000}"/>
    <cellStyle name="Comma 2 3 2 5 3 2 2 7 2" xfId="41573" xr:uid="{00000000-0005-0000-0000-0000E0570000}"/>
    <cellStyle name="Comma 2 3 2 5 3 2 2 8" xfId="25639" xr:uid="{00000000-0005-0000-0000-0000E1570000}"/>
    <cellStyle name="Comma 2 3 2 5 3 2 2 9" xfId="46469" xr:uid="{00000000-0005-0000-0000-0000E2570000}"/>
    <cellStyle name="Comma 2 3 2 5 3 2 3" xfId="3584" xr:uid="{00000000-0005-0000-0000-0000E3570000}"/>
    <cellStyle name="Comma 2 3 2 5 3 2 3 2" xfId="17071" xr:uid="{00000000-0005-0000-0000-0000E4570000}"/>
    <cellStyle name="Comma 2 3 2 5 3 2 3 2 2" xfId="40349" xr:uid="{00000000-0005-0000-0000-0000E5570000}"/>
    <cellStyle name="Comma 2 3 2 5 3 2 3 3" xfId="47693" xr:uid="{00000000-0005-0000-0000-0000E6570000}"/>
    <cellStyle name="Comma 2 3 2 5 3 2 3 4" xfId="26863" xr:uid="{00000000-0005-0000-0000-0000E7570000}"/>
    <cellStyle name="Comma 2 3 2 5 3 2 4" xfId="6032" xr:uid="{00000000-0005-0000-0000-0000E8570000}"/>
    <cellStyle name="Comma 2 3 2 5 3 2 4 2" xfId="19519" xr:uid="{00000000-0005-0000-0000-0000E9570000}"/>
    <cellStyle name="Comma 2 3 2 5 3 2 4 2 2" xfId="42797" xr:uid="{00000000-0005-0000-0000-0000EA570000}"/>
    <cellStyle name="Comma 2 3 2 5 3 2 4 3" xfId="29311" xr:uid="{00000000-0005-0000-0000-0000EB570000}"/>
    <cellStyle name="Comma 2 3 2 5 3 2 5" xfId="8480" xr:uid="{00000000-0005-0000-0000-0000EC570000}"/>
    <cellStyle name="Comma 2 3 2 5 3 2 5 2" xfId="31759" xr:uid="{00000000-0005-0000-0000-0000ED570000}"/>
    <cellStyle name="Comma 2 3 2 5 3 2 6" xfId="10928" xr:uid="{00000000-0005-0000-0000-0000EE570000}"/>
    <cellStyle name="Comma 2 3 2 5 3 2 6 2" xfId="34207" xr:uid="{00000000-0005-0000-0000-0000EF570000}"/>
    <cellStyle name="Comma 2 3 2 5 3 2 7" xfId="13376" xr:uid="{00000000-0005-0000-0000-0000F0570000}"/>
    <cellStyle name="Comma 2 3 2 5 3 2 7 2" xfId="36655" xr:uid="{00000000-0005-0000-0000-0000F1570000}"/>
    <cellStyle name="Comma 2 3 2 5 3 2 8" xfId="15847" xr:uid="{00000000-0005-0000-0000-0000F2570000}"/>
    <cellStyle name="Comma 2 3 2 5 3 2 8 2" xfId="39125" xr:uid="{00000000-0005-0000-0000-0000F3570000}"/>
    <cellStyle name="Comma 2 3 2 5 3 2 9" xfId="24415" xr:uid="{00000000-0005-0000-0000-0000F4570000}"/>
    <cellStyle name="Comma 2 3 2 5 3 3" xfId="1748" xr:uid="{00000000-0005-0000-0000-0000F5570000}"/>
    <cellStyle name="Comma 2 3 2 5 3 3 10" xfId="22579" xr:uid="{00000000-0005-0000-0000-0000F6570000}"/>
    <cellStyle name="Comma 2 3 2 5 3 3 2" xfId="4196" xr:uid="{00000000-0005-0000-0000-0000F7570000}"/>
    <cellStyle name="Comma 2 3 2 5 3 3 2 2" xfId="20131" xr:uid="{00000000-0005-0000-0000-0000F8570000}"/>
    <cellStyle name="Comma 2 3 2 5 3 3 2 2 2" xfId="43409" xr:uid="{00000000-0005-0000-0000-0000F9570000}"/>
    <cellStyle name="Comma 2 3 2 5 3 3 2 3" xfId="48305" xr:uid="{00000000-0005-0000-0000-0000FA570000}"/>
    <cellStyle name="Comma 2 3 2 5 3 3 2 4" xfId="27475" xr:uid="{00000000-0005-0000-0000-0000FB570000}"/>
    <cellStyle name="Comma 2 3 2 5 3 3 3" xfId="6644" xr:uid="{00000000-0005-0000-0000-0000FC570000}"/>
    <cellStyle name="Comma 2 3 2 5 3 3 3 2" xfId="29923" xr:uid="{00000000-0005-0000-0000-0000FD570000}"/>
    <cellStyle name="Comma 2 3 2 5 3 3 4" xfId="9092" xr:uid="{00000000-0005-0000-0000-0000FE570000}"/>
    <cellStyle name="Comma 2 3 2 5 3 3 4 2" xfId="32371" xr:uid="{00000000-0005-0000-0000-0000FF570000}"/>
    <cellStyle name="Comma 2 3 2 5 3 3 5" xfId="11540" xr:uid="{00000000-0005-0000-0000-000000580000}"/>
    <cellStyle name="Comma 2 3 2 5 3 3 5 2" xfId="34819" xr:uid="{00000000-0005-0000-0000-000001580000}"/>
    <cellStyle name="Comma 2 3 2 5 3 3 6" xfId="13988" xr:uid="{00000000-0005-0000-0000-000002580000}"/>
    <cellStyle name="Comma 2 3 2 5 3 3 6 2" xfId="37267" xr:uid="{00000000-0005-0000-0000-000003580000}"/>
    <cellStyle name="Comma 2 3 2 5 3 3 7" xfId="17683" xr:uid="{00000000-0005-0000-0000-000004580000}"/>
    <cellStyle name="Comma 2 3 2 5 3 3 7 2" xfId="40961" xr:uid="{00000000-0005-0000-0000-000005580000}"/>
    <cellStyle name="Comma 2 3 2 5 3 3 8" xfId="25027" xr:uid="{00000000-0005-0000-0000-000006580000}"/>
    <cellStyle name="Comma 2 3 2 5 3 3 9" xfId="45857" xr:uid="{00000000-0005-0000-0000-000007580000}"/>
    <cellStyle name="Comma 2 3 2 5 3 4" xfId="2972" xr:uid="{00000000-0005-0000-0000-000008580000}"/>
    <cellStyle name="Comma 2 3 2 5 3 4 2" xfId="16459" xr:uid="{00000000-0005-0000-0000-000009580000}"/>
    <cellStyle name="Comma 2 3 2 5 3 4 2 2" xfId="39737" xr:uid="{00000000-0005-0000-0000-00000A580000}"/>
    <cellStyle name="Comma 2 3 2 5 3 4 3" xfId="47081" xr:uid="{00000000-0005-0000-0000-00000B580000}"/>
    <cellStyle name="Comma 2 3 2 5 3 4 4" xfId="26251" xr:uid="{00000000-0005-0000-0000-00000C580000}"/>
    <cellStyle name="Comma 2 3 2 5 3 5" xfId="5420" xr:uid="{00000000-0005-0000-0000-00000D580000}"/>
    <cellStyle name="Comma 2 3 2 5 3 5 2" xfId="18907" xr:uid="{00000000-0005-0000-0000-00000E580000}"/>
    <cellStyle name="Comma 2 3 2 5 3 5 2 2" xfId="42185" xr:uid="{00000000-0005-0000-0000-00000F580000}"/>
    <cellStyle name="Comma 2 3 2 5 3 5 3" xfId="28699" xr:uid="{00000000-0005-0000-0000-000010580000}"/>
    <cellStyle name="Comma 2 3 2 5 3 6" xfId="7868" xr:uid="{00000000-0005-0000-0000-000011580000}"/>
    <cellStyle name="Comma 2 3 2 5 3 6 2" xfId="31147" xr:uid="{00000000-0005-0000-0000-000012580000}"/>
    <cellStyle name="Comma 2 3 2 5 3 7" xfId="10316" xr:uid="{00000000-0005-0000-0000-000013580000}"/>
    <cellStyle name="Comma 2 3 2 5 3 7 2" xfId="33595" xr:uid="{00000000-0005-0000-0000-000014580000}"/>
    <cellStyle name="Comma 2 3 2 5 3 8" xfId="12764" xr:uid="{00000000-0005-0000-0000-000015580000}"/>
    <cellStyle name="Comma 2 3 2 5 3 8 2" xfId="36043" xr:uid="{00000000-0005-0000-0000-000016580000}"/>
    <cellStyle name="Comma 2 3 2 5 3 9" xfId="15235" xr:uid="{00000000-0005-0000-0000-000017580000}"/>
    <cellStyle name="Comma 2 3 2 5 3 9 2" xfId="38513" xr:uid="{00000000-0005-0000-0000-000018580000}"/>
    <cellStyle name="Comma 2 3 2 5 4" xfId="728" xr:uid="{00000000-0005-0000-0000-000019580000}"/>
    <cellStyle name="Comma 2 3 2 5 4 10" xfId="44837" xr:uid="{00000000-0005-0000-0000-00001A580000}"/>
    <cellStyle name="Comma 2 3 2 5 4 11" xfId="21559" xr:uid="{00000000-0005-0000-0000-00001B580000}"/>
    <cellStyle name="Comma 2 3 2 5 4 2" xfId="1952" xr:uid="{00000000-0005-0000-0000-00001C580000}"/>
    <cellStyle name="Comma 2 3 2 5 4 2 10" xfId="22783" xr:uid="{00000000-0005-0000-0000-00001D580000}"/>
    <cellStyle name="Comma 2 3 2 5 4 2 2" xfId="4400" xr:uid="{00000000-0005-0000-0000-00001E580000}"/>
    <cellStyle name="Comma 2 3 2 5 4 2 2 2" xfId="20335" xr:uid="{00000000-0005-0000-0000-00001F580000}"/>
    <cellStyle name="Comma 2 3 2 5 4 2 2 2 2" xfId="43613" xr:uid="{00000000-0005-0000-0000-000020580000}"/>
    <cellStyle name="Comma 2 3 2 5 4 2 2 3" xfId="48509" xr:uid="{00000000-0005-0000-0000-000021580000}"/>
    <cellStyle name="Comma 2 3 2 5 4 2 2 4" xfId="27679" xr:uid="{00000000-0005-0000-0000-000022580000}"/>
    <cellStyle name="Comma 2 3 2 5 4 2 3" xfId="6848" xr:uid="{00000000-0005-0000-0000-000023580000}"/>
    <cellStyle name="Comma 2 3 2 5 4 2 3 2" xfId="30127" xr:uid="{00000000-0005-0000-0000-000024580000}"/>
    <cellStyle name="Comma 2 3 2 5 4 2 4" xfId="9296" xr:uid="{00000000-0005-0000-0000-000025580000}"/>
    <cellStyle name="Comma 2 3 2 5 4 2 4 2" xfId="32575" xr:uid="{00000000-0005-0000-0000-000026580000}"/>
    <cellStyle name="Comma 2 3 2 5 4 2 5" xfId="11744" xr:uid="{00000000-0005-0000-0000-000027580000}"/>
    <cellStyle name="Comma 2 3 2 5 4 2 5 2" xfId="35023" xr:uid="{00000000-0005-0000-0000-000028580000}"/>
    <cellStyle name="Comma 2 3 2 5 4 2 6" xfId="14192" xr:uid="{00000000-0005-0000-0000-000029580000}"/>
    <cellStyle name="Comma 2 3 2 5 4 2 6 2" xfId="37471" xr:uid="{00000000-0005-0000-0000-00002A580000}"/>
    <cellStyle name="Comma 2 3 2 5 4 2 7" xfId="17887" xr:uid="{00000000-0005-0000-0000-00002B580000}"/>
    <cellStyle name="Comma 2 3 2 5 4 2 7 2" xfId="41165" xr:uid="{00000000-0005-0000-0000-00002C580000}"/>
    <cellStyle name="Comma 2 3 2 5 4 2 8" xfId="25231" xr:uid="{00000000-0005-0000-0000-00002D580000}"/>
    <cellStyle name="Comma 2 3 2 5 4 2 9" xfId="46061" xr:uid="{00000000-0005-0000-0000-00002E580000}"/>
    <cellStyle name="Comma 2 3 2 5 4 3" xfId="3176" xr:uid="{00000000-0005-0000-0000-00002F580000}"/>
    <cellStyle name="Comma 2 3 2 5 4 3 2" xfId="16663" xr:uid="{00000000-0005-0000-0000-000030580000}"/>
    <cellStyle name="Comma 2 3 2 5 4 3 2 2" xfId="39941" xr:uid="{00000000-0005-0000-0000-000031580000}"/>
    <cellStyle name="Comma 2 3 2 5 4 3 3" xfId="47285" xr:uid="{00000000-0005-0000-0000-000032580000}"/>
    <cellStyle name="Comma 2 3 2 5 4 3 4" xfId="26455" xr:uid="{00000000-0005-0000-0000-000033580000}"/>
    <cellStyle name="Comma 2 3 2 5 4 4" xfId="5624" xr:uid="{00000000-0005-0000-0000-000034580000}"/>
    <cellStyle name="Comma 2 3 2 5 4 4 2" xfId="19111" xr:uid="{00000000-0005-0000-0000-000035580000}"/>
    <cellStyle name="Comma 2 3 2 5 4 4 2 2" xfId="42389" xr:uid="{00000000-0005-0000-0000-000036580000}"/>
    <cellStyle name="Comma 2 3 2 5 4 4 3" xfId="28903" xr:uid="{00000000-0005-0000-0000-000037580000}"/>
    <cellStyle name="Comma 2 3 2 5 4 5" xfId="8072" xr:uid="{00000000-0005-0000-0000-000038580000}"/>
    <cellStyle name="Comma 2 3 2 5 4 5 2" xfId="31351" xr:uid="{00000000-0005-0000-0000-000039580000}"/>
    <cellStyle name="Comma 2 3 2 5 4 6" xfId="10520" xr:uid="{00000000-0005-0000-0000-00003A580000}"/>
    <cellStyle name="Comma 2 3 2 5 4 6 2" xfId="33799" xr:uid="{00000000-0005-0000-0000-00003B580000}"/>
    <cellStyle name="Comma 2 3 2 5 4 7" xfId="12968" xr:uid="{00000000-0005-0000-0000-00003C580000}"/>
    <cellStyle name="Comma 2 3 2 5 4 7 2" xfId="36247" xr:uid="{00000000-0005-0000-0000-00003D580000}"/>
    <cellStyle name="Comma 2 3 2 5 4 8" xfId="15439" xr:uid="{00000000-0005-0000-0000-00003E580000}"/>
    <cellStyle name="Comma 2 3 2 5 4 8 2" xfId="38717" xr:uid="{00000000-0005-0000-0000-00003F580000}"/>
    <cellStyle name="Comma 2 3 2 5 4 9" xfId="24007" xr:uid="{00000000-0005-0000-0000-000040580000}"/>
    <cellStyle name="Comma 2 3 2 5 5" xfId="1340" xr:uid="{00000000-0005-0000-0000-000041580000}"/>
    <cellStyle name="Comma 2 3 2 5 5 10" xfId="22171" xr:uid="{00000000-0005-0000-0000-000042580000}"/>
    <cellStyle name="Comma 2 3 2 5 5 2" xfId="3788" xr:uid="{00000000-0005-0000-0000-000043580000}"/>
    <cellStyle name="Comma 2 3 2 5 5 2 2" xfId="19723" xr:uid="{00000000-0005-0000-0000-000044580000}"/>
    <cellStyle name="Comma 2 3 2 5 5 2 2 2" xfId="43001" xr:uid="{00000000-0005-0000-0000-000045580000}"/>
    <cellStyle name="Comma 2 3 2 5 5 2 3" xfId="47897" xr:uid="{00000000-0005-0000-0000-000046580000}"/>
    <cellStyle name="Comma 2 3 2 5 5 2 4" xfId="27067" xr:uid="{00000000-0005-0000-0000-000047580000}"/>
    <cellStyle name="Comma 2 3 2 5 5 3" xfId="6236" xr:uid="{00000000-0005-0000-0000-000048580000}"/>
    <cellStyle name="Comma 2 3 2 5 5 3 2" xfId="29515" xr:uid="{00000000-0005-0000-0000-000049580000}"/>
    <cellStyle name="Comma 2 3 2 5 5 4" xfId="8684" xr:uid="{00000000-0005-0000-0000-00004A580000}"/>
    <cellStyle name="Comma 2 3 2 5 5 4 2" xfId="31963" xr:uid="{00000000-0005-0000-0000-00004B580000}"/>
    <cellStyle name="Comma 2 3 2 5 5 5" xfId="11132" xr:uid="{00000000-0005-0000-0000-00004C580000}"/>
    <cellStyle name="Comma 2 3 2 5 5 5 2" xfId="34411" xr:uid="{00000000-0005-0000-0000-00004D580000}"/>
    <cellStyle name="Comma 2 3 2 5 5 6" xfId="13580" xr:uid="{00000000-0005-0000-0000-00004E580000}"/>
    <cellStyle name="Comma 2 3 2 5 5 6 2" xfId="36859" xr:uid="{00000000-0005-0000-0000-00004F580000}"/>
    <cellStyle name="Comma 2 3 2 5 5 7" xfId="17275" xr:uid="{00000000-0005-0000-0000-000050580000}"/>
    <cellStyle name="Comma 2 3 2 5 5 7 2" xfId="40553" xr:uid="{00000000-0005-0000-0000-000051580000}"/>
    <cellStyle name="Comma 2 3 2 5 5 8" xfId="24619" xr:uid="{00000000-0005-0000-0000-000052580000}"/>
    <cellStyle name="Comma 2 3 2 5 5 9" xfId="45449" xr:uid="{00000000-0005-0000-0000-000053580000}"/>
    <cellStyle name="Comma 2 3 2 5 6" xfId="2564" xr:uid="{00000000-0005-0000-0000-000054580000}"/>
    <cellStyle name="Comma 2 3 2 5 6 2" xfId="16051" xr:uid="{00000000-0005-0000-0000-000055580000}"/>
    <cellStyle name="Comma 2 3 2 5 6 2 2" xfId="39329" xr:uid="{00000000-0005-0000-0000-000056580000}"/>
    <cellStyle name="Comma 2 3 2 5 6 3" xfId="46673" xr:uid="{00000000-0005-0000-0000-000057580000}"/>
    <cellStyle name="Comma 2 3 2 5 6 4" xfId="25843" xr:uid="{00000000-0005-0000-0000-000058580000}"/>
    <cellStyle name="Comma 2 3 2 5 7" xfId="5012" xr:uid="{00000000-0005-0000-0000-000059580000}"/>
    <cellStyle name="Comma 2 3 2 5 7 2" xfId="18499" xr:uid="{00000000-0005-0000-0000-00005A580000}"/>
    <cellStyle name="Comma 2 3 2 5 7 2 2" xfId="41777" xr:uid="{00000000-0005-0000-0000-00005B580000}"/>
    <cellStyle name="Comma 2 3 2 5 7 3" xfId="28291" xr:uid="{00000000-0005-0000-0000-00005C580000}"/>
    <cellStyle name="Comma 2 3 2 5 8" xfId="7460" xr:uid="{00000000-0005-0000-0000-00005D580000}"/>
    <cellStyle name="Comma 2 3 2 5 8 2" xfId="30739" xr:uid="{00000000-0005-0000-0000-00005E580000}"/>
    <cellStyle name="Comma 2 3 2 5 9" xfId="9908" xr:uid="{00000000-0005-0000-0000-00005F580000}"/>
    <cellStyle name="Comma 2 3 2 5 9 2" xfId="33187" xr:uid="{00000000-0005-0000-0000-000060580000}"/>
    <cellStyle name="Comma 2 3 2 6" xfId="184" xr:uid="{00000000-0005-0000-0000-000061580000}"/>
    <cellStyle name="Comma 2 3 2 6 10" xfId="12424" xr:uid="{00000000-0005-0000-0000-000062580000}"/>
    <cellStyle name="Comma 2 3 2 6 10 2" xfId="35703" xr:uid="{00000000-0005-0000-0000-000063580000}"/>
    <cellStyle name="Comma 2 3 2 6 11" xfId="14895" xr:uid="{00000000-0005-0000-0000-000064580000}"/>
    <cellStyle name="Comma 2 3 2 6 11 2" xfId="38173" xr:uid="{00000000-0005-0000-0000-000065580000}"/>
    <cellStyle name="Comma 2 3 2 6 12" xfId="23463" xr:uid="{00000000-0005-0000-0000-000066580000}"/>
    <cellStyle name="Comma 2 3 2 6 13" xfId="44293" xr:uid="{00000000-0005-0000-0000-000067580000}"/>
    <cellStyle name="Comma 2 3 2 6 14" xfId="21015" xr:uid="{00000000-0005-0000-0000-000068580000}"/>
    <cellStyle name="Comma 2 3 2 6 2" xfId="388" xr:uid="{00000000-0005-0000-0000-000069580000}"/>
    <cellStyle name="Comma 2 3 2 6 2 10" xfId="23667" xr:uid="{00000000-0005-0000-0000-00006A580000}"/>
    <cellStyle name="Comma 2 3 2 6 2 11" xfId="44497" xr:uid="{00000000-0005-0000-0000-00006B580000}"/>
    <cellStyle name="Comma 2 3 2 6 2 12" xfId="21219" xr:uid="{00000000-0005-0000-0000-00006C580000}"/>
    <cellStyle name="Comma 2 3 2 6 2 2" xfId="1000" xr:uid="{00000000-0005-0000-0000-00006D580000}"/>
    <cellStyle name="Comma 2 3 2 6 2 2 10" xfId="45109" xr:uid="{00000000-0005-0000-0000-00006E580000}"/>
    <cellStyle name="Comma 2 3 2 6 2 2 11" xfId="21831" xr:uid="{00000000-0005-0000-0000-00006F580000}"/>
    <cellStyle name="Comma 2 3 2 6 2 2 2" xfId="2224" xr:uid="{00000000-0005-0000-0000-000070580000}"/>
    <cellStyle name="Comma 2 3 2 6 2 2 2 10" xfId="23055" xr:uid="{00000000-0005-0000-0000-000071580000}"/>
    <cellStyle name="Comma 2 3 2 6 2 2 2 2" xfId="4672" xr:uid="{00000000-0005-0000-0000-000072580000}"/>
    <cellStyle name="Comma 2 3 2 6 2 2 2 2 2" xfId="20607" xr:uid="{00000000-0005-0000-0000-000073580000}"/>
    <cellStyle name="Comma 2 3 2 6 2 2 2 2 2 2" xfId="43885" xr:uid="{00000000-0005-0000-0000-000074580000}"/>
    <cellStyle name="Comma 2 3 2 6 2 2 2 2 3" xfId="48781" xr:uid="{00000000-0005-0000-0000-000075580000}"/>
    <cellStyle name="Comma 2 3 2 6 2 2 2 2 4" xfId="27951" xr:uid="{00000000-0005-0000-0000-000076580000}"/>
    <cellStyle name="Comma 2 3 2 6 2 2 2 3" xfId="7120" xr:uid="{00000000-0005-0000-0000-000077580000}"/>
    <cellStyle name="Comma 2 3 2 6 2 2 2 3 2" xfId="30399" xr:uid="{00000000-0005-0000-0000-000078580000}"/>
    <cellStyle name="Comma 2 3 2 6 2 2 2 4" xfId="9568" xr:uid="{00000000-0005-0000-0000-000079580000}"/>
    <cellStyle name="Comma 2 3 2 6 2 2 2 4 2" xfId="32847" xr:uid="{00000000-0005-0000-0000-00007A580000}"/>
    <cellStyle name="Comma 2 3 2 6 2 2 2 5" xfId="12016" xr:uid="{00000000-0005-0000-0000-00007B580000}"/>
    <cellStyle name="Comma 2 3 2 6 2 2 2 5 2" xfId="35295" xr:uid="{00000000-0005-0000-0000-00007C580000}"/>
    <cellStyle name="Comma 2 3 2 6 2 2 2 6" xfId="14464" xr:uid="{00000000-0005-0000-0000-00007D580000}"/>
    <cellStyle name="Comma 2 3 2 6 2 2 2 6 2" xfId="37743" xr:uid="{00000000-0005-0000-0000-00007E580000}"/>
    <cellStyle name="Comma 2 3 2 6 2 2 2 7" xfId="18159" xr:uid="{00000000-0005-0000-0000-00007F580000}"/>
    <cellStyle name="Comma 2 3 2 6 2 2 2 7 2" xfId="41437" xr:uid="{00000000-0005-0000-0000-000080580000}"/>
    <cellStyle name="Comma 2 3 2 6 2 2 2 8" xfId="25503" xr:uid="{00000000-0005-0000-0000-000081580000}"/>
    <cellStyle name="Comma 2 3 2 6 2 2 2 9" xfId="46333" xr:uid="{00000000-0005-0000-0000-000082580000}"/>
    <cellStyle name="Comma 2 3 2 6 2 2 3" xfId="3448" xr:uid="{00000000-0005-0000-0000-000083580000}"/>
    <cellStyle name="Comma 2 3 2 6 2 2 3 2" xfId="16935" xr:uid="{00000000-0005-0000-0000-000084580000}"/>
    <cellStyle name="Comma 2 3 2 6 2 2 3 2 2" xfId="40213" xr:uid="{00000000-0005-0000-0000-000085580000}"/>
    <cellStyle name="Comma 2 3 2 6 2 2 3 3" xfId="47557" xr:uid="{00000000-0005-0000-0000-000086580000}"/>
    <cellStyle name="Comma 2 3 2 6 2 2 3 4" xfId="26727" xr:uid="{00000000-0005-0000-0000-000087580000}"/>
    <cellStyle name="Comma 2 3 2 6 2 2 4" xfId="5896" xr:uid="{00000000-0005-0000-0000-000088580000}"/>
    <cellStyle name="Comma 2 3 2 6 2 2 4 2" xfId="19383" xr:uid="{00000000-0005-0000-0000-000089580000}"/>
    <cellStyle name="Comma 2 3 2 6 2 2 4 2 2" xfId="42661" xr:uid="{00000000-0005-0000-0000-00008A580000}"/>
    <cellStyle name="Comma 2 3 2 6 2 2 4 3" xfId="29175" xr:uid="{00000000-0005-0000-0000-00008B580000}"/>
    <cellStyle name="Comma 2 3 2 6 2 2 5" xfId="8344" xr:uid="{00000000-0005-0000-0000-00008C580000}"/>
    <cellStyle name="Comma 2 3 2 6 2 2 5 2" xfId="31623" xr:uid="{00000000-0005-0000-0000-00008D580000}"/>
    <cellStyle name="Comma 2 3 2 6 2 2 6" xfId="10792" xr:uid="{00000000-0005-0000-0000-00008E580000}"/>
    <cellStyle name="Comma 2 3 2 6 2 2 6 2" xfId="34071" xr:uid="{00000000-0005-0000-0000-00008F580000}"/>
    <cellStyle name="Comma 2 3 2 6 2 2 7" xfId="13240" xr:uid="{00000000-0005-0000-0000-000090580000}"/>
    <cellStyle name="Comma 2 3 2 6 2 2 7 2" xfId="36519" xr:uid="{00000000-0005-0000-0000-000091580000}"/>
    <cellStyle name="Comma 2 3 2 6 2 2 8" xfId="15711" xr:uid="{00000000-0005-0000-0000-000092580000}"/>
    <cellStyle name="Comma 2 3 2 6 2 2 8 2" xfId="38989" xr:uid="{00000000-0005-0000-0000-000093580000}"/>
    <cellStyle name="Comma 2 3 2 6 2 2 9" xfId="24279" xr:uid="{00000000-0005-0000-0000-000094580000}"/>
    <cellStyle name="Comma 2 3 2 6 2 3" xfId="1612" xr:uid="{00000000-0005-0000-0000-000095580000}"/>
    <cellStyle name="Comma 2 3 2 6 2 3 10" xfId="22443" xr:uid="{00000000-0005-0000-0000-000096580000}"/>
    <cellStyle name="Comma 2 3 2 6 2 3 2" xfId="4060" xr:uid="{00000000-0005-0000-0000-000097580000}"/>
    <cellStyle name="Comma 2 3 2 6 2 3 2 2" xfId="19995" xr:uid="{00000000-0005-0000-0000-000098580000}"/>
    <cellStyle name="Comma 2 3 2 6 2 3 2 2 2" xfId="43273" xr:uid="{00000000-0005-0000-0000-000099580000}"/>
    <cellStyle name="Comma 2 3 2 6 2 3 2 3" xfId="48169" xr:uid="{00000000-0005-0000-0000-00009A580000}"/>
    <cellStyle name="Comma 2 3 2 6 2 3 2 4" xfId="27339" xr:uid="{00000000-0005-0000-0000-00009B580000}"/>
    <cellStyle name="Comma 2 3 2 6 2 3 3" xfId="6508" xr:uid="{00000000-0005-0000-0000-00009C580000}"/>
    <cellStyle name="Comma 2 3 2 6 2 3 3 2" xfId="29787" xr:uid="{00000000-0005-0000-0000-00009D580000}"/>
    <cellStyle name="Comma 2 3 2 6 2 3 4" xfId="8956" xr:uid="{00000000-0005-0000-0000-00009E580000}"/>
    <cellStyle name="Comma 2 3 2 6 2 3 4 2" xfId="32235" xr:uid="{00000000-0005-0000-0000-00009F580000}"/>
    <cellStyle name="Comma 2 3 2 6 2 3 5" xfId="11404" xr:uid="{00000000-0005-0000-0000-0000A0580000}"/>
    <cellStyle name="Comma 2 3 2 6 2 3 5 2" xfId="34683" xr:uid="{00000000-0005-0000-0000-0000A1580000}"/>
    <cellStyle name="Comma 2 3 2 6 2 3 6" xfId="13852" xr:uid="{00000000-0005-0000-0000-0000A2580000}"/>
    <cellStyle name="Comma 2 3 2 6 2 3 6 2" xfId="37131" xr:uid="{00000000-0005-0000-0000-0000A3580000}"/>
    <cellStyle name="Comma 2 3 2 6 2 3 7" xfId="17547" xr:uid="{00000000-0005-0000-0000-0000A4580000}"/>
    <cellStyle name="Comma 2 3 2 6 2 3 7 2" xfId="40825" xr:uid="{00000000-0005-0000-0000-0000A5580000}"/>
    <cellStyle name="Comma 2 3 2 6 2 3 8" xfId="24891" xr:uid="{00000000-0005-0000-0000-0000A6580000}"/>
    <cellStyle name="Comma 2 3 2 6 2 3 9" xfId="45721" xr:uid="{00000000-0005-0000-0000-0000A7580000}"/>
    <cellStyle name="Comma 2 3 2 6 2 4" xfId="2836" xr:uid="{00000000-0005-0000-0000-0000A8580000}"/>
    <cellStyle name="Comma 2 3 2 6 2 4 2" xfId="16323" xr:uid="{00000000-0005-0000-0000-0000A9580000}"/>
    <cellStyle name="Comma 2 3 2 6 2 4 2 2" xfId="39601" xr:uid="{00000000-0005-0000-0000-0000AA580000}"/>
    <cellStyle name="Comma 2 3 2 6 2 4 3" xfId="46945" xr:uid="{00000000-0005-0000-0000-0000AB580000}"/>
    <cellStyle name="Comma 2 3 2 6 2 4 4" xfId="26115" xr:uid="{00000000-0005-0000-0000-0000AC580000}"/>
    <cellStyle name="Comma 2 3 2 6 2 5" xfId="5284" xr:uid="{00000000-0005-0000-0000-0000AD580000}"/>
    <cellStyle name="Comma 2 3 2 6 2 5 2" xfId="18771" xr:uid="{00000000-0005-0000-0000-0000AE580000}"/>
    <cellStyle name="Comma 2 3 2 6 2 5 2 2" xfId="42049" xr:uid="{00000000-0005-0000-0000-0000AF580000}"/>
    <cellStyle name="Comma 2 3 2 6 2 5 3" xfId="28563" xr:uid="{00000000-0005-0000-0000-0000B0580000}"/>
    <cellStyle name="Comma 2 3 2 6 2 6" xfId="7732" xr:uid="{00000000-0005-0000-0000-0000B1580000}"/>
    <cellStyle name="Comma 2 3 2 6 2 6 2" xfId="31011" xr:uid="{00000000-0005-0000-0000-0000B2580000}"/>
    <cellStyle name="Comma 2 3 2 6 2 7" xfId="10180" xr:uid="{00000000-0005-0000-0000-0000B3580000}"/>
    <cellStyle name="Comma 2 3 2 6 2 7 2" xfId="33459" xr:uid="{00000000-0005-0000-0000-0000B4580000}"/>
    <cellStyle name="Comma 2 3 2 6 2 8" xfId="12628" xr:uid="{00000000-0005-0000-0000-0000B5580000}"/>
    <cellStyle name="Comma 2 3 2 6 2 8 2" xfId="35907" xr:uid="{00000000-0005-0000-0000-0000B6580000}"/>
    <cellStyle name="Comma 2 3 2 6 2 9" xfId="15099" xr:uid="{00000000-0005-0000-0000-0000B7580000}"/>
    <cellStyle name="Comma 2 3 2 6 2 9 2" xfId="38377" xr:uid="{00000000-0005-0000-0000-0000B8580000}"/>
    <cellStyle name="Comma 2 3 2 6 3" xfId="592" xr:uid="{00000000-0005-0000-0000-0000B9580000}"/>
    <cellStyle name="Comma 2 3 2 6 3 10" xfId="23871" xr:uid="{00000000-0005-0000-0000-0000BA580000}"/>
    <cellStyle name="Comma 2 3 2 6 3 11" xfId="44701" xr:uid="{00000000-0005-0000-0000-0000BB580000}"/>
    <cellStyle name="Comma 2 3 2 6 3 12" xfId="21423" xr:uid="{00000000-0005-0000-0000-0000BC580000}"/>
    <cellStyle name="Comma 2 3 2 6 3 2" xfId="1204" xr:uid="{00000000-0005-0000-0000-0000BD580000}"/>
    <cellStyle name="Comma 2 3 2 6 3 2 10" xfId="45313" xr:uid="{00000000-0005-0000-0000-0000BE580000}"/>
    <cellStyle name="Comma 2 3 2 6 3 2 11" xfId="22035" xr:uid="{00000000-0005-0000-0000-0000BF580000}"/>
    <cellStyle name="Comma 2 3 2 6 3 2 2" xfId="2428" xr:uid="{00000000-0005-0000-0000-0000C0580000}"/>
    <cellStyle name="Comma 2 3 2 6 3 2 2 10" xfId="23259" xr:uid="{00000000-0005-0000-0000-0000C1580000}"/>
    <cellStyle name="Comma 2 3 2 6 3 2 2 2" xfId="4876" xr:uid="{00000000-0005-0000-0000-0000C2580000}"/>
    <cellStyle name="Comma 2 3 2 6 3 2 2 2 2" xfId="20811" xr:uid="{00000000-0005-0000-0000-0000C3580000}"/>
    <cellStyle name="Comma 2 3 2 6 3 2 2 2 2 2" xfId="44089" xr:uid="{00000000-0005-0000-0000-0000C4580000}"/>
    <cellStyle name="Comma 2 3 2 6 3 2 2 2 3" xfId="48985" xr:uid="{00000000-0005-0000-0000-0000C5580000}"/>
    <cellStyle name="Comma 2 3 2 6 3 2 2 2 4" xfId="28155" xr:uid="{00000000-0005-0000-0000-0000C6580000}"/>
    <cellStyle name="Comma 2 3 2 6 3 2 2 3" xfId="7324" xr:uid="{00000000-0005-0000-0000-0000C7580000}"/>
    <cellStyle name="Comma 2 3 2 6 3 2 2 3 2" xfId="30603" xr:uid="{00000000-0005-0000-0000-0000C8580000}"/>
    <cellStyle name="Comma 2 3 2 6 3 2 2 4" xfId="9772" xr:uid="{00000000-0005-0000-0000-0000C9580000}"/>
    <cellStyle name="Comma 2 3 2 6 3 2 2 4 2" xfId="33051" xr:uid="{00000000-0005-0000-0000-0000CA580000}"/>
    <cellStyle name="Comma 2 3 2 6 3 2 2 5" xfId="12220" xr:uid="{00000000-0005-0000-0000-0000CB580000}"/>
    <cellStyle name="Comma 2 3 2 6 3 2 2 5 2" xfId="35499" xr:uid="{00000000-0005-0000-0000-0000CC580000}"/>
    <cellStyle name="Comma 2 3 2 6 3 2 2 6" xfId="14668" xr:uid="{00000000-0005-0000-0000-0000CD580000}"/>
    <cellStyle name="Comma 2 3 2 6 3 2 2 6 2" xfId="37947" xr:uid="{00000000-0005-0000-0000-0000CE580000}"/>
    <cellStyle name="Comma 2 3 2 6 3 2 2 7" xfId="18363" xr:uid="{00000000-0005-0000-0000-0000CF580000}"/>
    <cellStyle name="Comma 2 3 2 6 3 2 2 7 2" xfId="41641" xr:uid="{00000000-0005-0000-0000-0000D0580000}"/>
    <cellStyle name="Comma 2 3 2 6 3 2 2 8" xfId="25707" xr:uid="{00000000-0005-0000-0000-0000D1580000}"/>
    <cellStyle name="Comma 2 3 2 6 3 2 2 9" xfId="46537" xr:uid="{00000000-0005-0000-0000-0000D2580000}"/>
    <cellStyle name="Comma 2 3 2 6 3 2 3" xfId="3652" xr:uid="{00000000-0005-0000-0000-0000D3580000}"/>
    <cellStyle name="Comma 2 3 2 6 3 2 3 2" xfId="17139" xr:uid="{00000000-0005-0000-0000-0000D4580000}"/>
    <cellStyle name="Comma 2 3 2 6 3 2 3 2 2" xfId="40417" xr:uid="{00000000-0005-0000-0000-0000D5580000}"/>
    <cellStyle name="Comma 2 3 2 6 3 2 3 3" xfId="47761" xr:uid="{00000000-0005-0000-0000-0000D6580000}"/>
    <cellStyle name="Comma 2 3 2 6 3 2 3 4" xfId="26931" xr:uid="{00000000-0005-0000-0000-0000D7580000}"/>
    <cellStyle name="Comma 2 3 2 6 3 2 4" xfId="6100" xr:uid="{00000000-0005-0000-0000-0000D8580000}"/>
    <cellStyle name="Comma 2 3 2 6 3 2 4 2" xfId="19587" xr:uid="{00000000-0005-0000-0000-0000D9580000}"/>
    <cellStyle name="Comma 2 3 2 6 3 2 4 2 2" xfId="42865" xr:uid="{00000000-0005-0000-0000-0000DA580000}"/>
    <cellStyle name="Comma 2 3 2 6 3 2 4 3" xfId="29379" xr:uid="{00000000-0005-0000-0000-0000DB580000}"/>
    <cellStyle name="Comma 2 3 2 6 3 2 5" xfId="8548" xr:uid="{00000000-0005-0000-0000-0000DC580000}"/>
    <cellStyle name="Comma 2 3 2 6 3 2 5 2" xfId="31827" xr:uid="{00000000-0005-0000-0000-0000DD580000}"/>
    <cellStyle name="Comma 2 3 2 6 3 2 6" xfId="10996" xr:uid="{00000000-0005-0000-0000-0000DE580000}"/>
    <cellStyle name="Comma 2 3 2 6 3 2 6 2" xfId="34275" xr:uid="{00000000-0005-0000-0000-0000DF580000}"/>
    <cellStyle name="Comma 2 3 2 6 3 2 7" xfId="13444" xr:uid="{00000000-0005-0000-0000-0000E0580000}"/>
    <cellStyle name="Comma 2 3 2 6 3 2 7 2" xfId="36723" xr:uid="{00000000-0005-0000-0000-0000E1580000}"/>
    <cellStyle name="Comma 2 3 2 6 3 2 8" xfId="15915" xr:uid="{00000000-0005-0000-0000-0000E2580000}"/>
    <cellStyle name="Comma 2 3 2 6 3 2 8 2" xfId="39193" xr:uid="{00000000-0005-0000-0000-0000E3580000}"/>
    <cellStyle name="Comma 2 3 2 6 3 2 9" xfId="24483" xr:uid="{00000000-0005-0000-0000-0000E4580000}"/>
    <cellStyle name="Comma 2 3 2 6 3 3" xfId="1816" xr:uid="{00000000-0005-0000-0000-0000E5580000}"/>
    <cellStyle name="Comma 2 3 2 6 3 3 10" xfId="22647" xr:uid="{00000000-0005-0000-0000-0000E6580000}"/>
    <cellStyle name="Comma 2 3 2 6 3 3 2" xfId="4264" xr:uid="{00000000-0005-0000-0000-0000E7580000}"/>
    <cellStyle name="Comma 2 3 2 6 3 3 2 2" xfId="20199" xr:uid="{00000000-0005-0000-0000-0000E8580000}"/>
    <cellStyle name="Comma 2 3 2 6 3 3 2 2 2" xfId="43477" xr:uid="{00000000-0005-0000-0000-0000E9580000}"/>
    <cellStyle name="Comma 2 3 2 6 3 3 2 3" xfId="48373" xr:uid="{00000000-0005-0000-0000-0000EA580000}"/>
    <cellStyle name="Comma 2 3 2 6 3 3 2 4" xfId="27543" xr:uid="{00000000-0005-0000-0000-0000EB580000}"/>
    <cellStyle name="Comma 2 3 2 6 3 3 3" xfId="6712" xr:uid="{00000000-0005-0000-0000-0000EC580000}"/>
    <cellStyle name="Comma 2 3 2 6 3 3 3 2" xfId="29991" xr:uid="{00000000-0005-0000-0000-0000ED580000}"/>
    <cellStyle name="Comma 2 3 2 6 3 3 4" xfId="9160" xr:uid="{00000000-0005-0000-0000-0000EE580000}"/>
    <cellStyle name="Comma 2 3 2 6 3 3 4 2" xfId="32439" xr:uid="{00000000-0005-0000-0000-0000EF580000}"/>
    <cellStyle name="Comma 2 3 2 6 3 3 5" xfId="11608" xr:uid="{00000000-0005-0000-0000-0000F0580000}"/>
    <cellStyle name="Comma 2 3 2 6 3 3 5 2" xfId="34887" xr:uid="{00000000-0005-0000-0000-0000F1580000}"/>
    <cellStyle name="Comma 2 3 2 6 3 3 6" xfId="14056" xr:uid="{00000000-0005-0000-0000-0000F2580000}"/>
    <cellStyle name="Comma 2 3 2 6 3 3 6 2" xfId="37335" xr:uid="{00000000-0005-0000-0000-0000F3580000}"/>
    <cellStyle name="Comma 2 3 2 6 3 3 7" xfId="17751" xr:uid="{00000000-0005-0000-0000-0000F4580000}"/>
    <cellStyle name="Comma 2 3 2 6 3 3 7 2" xfId="41029" xr:uid="{00000000-0005-0000-0000-0000F5580000}"/>
    <cellStyle name="Comma 2 3 2 6 3 3 8" xfId="25095" xr:uid="{00000000-0005-0000-0000-0000F6580000}"/>
    <cellStyle name="Comma 2 3 2 6 3 3 9" xfId="45925" xr:uid="{00000000-0005-0000-0000-0000F7580000}"/>
    <cellStyle name="Comma 2 3 2 6 3 4" xfId="3040" xr:uid="{00000000-0005-0000-0000-0000F8580000}"/>
    <cellStyle name="Comma 2 3 2 6 3 4 2" xfId="16527" xr:uid="{00000000-0005-0000-0000-0000F9580000}"/>
    <cellStyle name="Comma 2 3 2 6 3 4 2 2" xfId="39805" xr:uid="{00000000-0005-0000-0000-0000FA580000}"/>
    <cellStyle name="Comma 2 3 2 6 3 4 3" xfId="47149" xr:uid="{00000000-0005-0000-0000-0000FB580000}"/>
    <cellStyle name="Comma 2 3 2 6 3 4 4" xfId="26319" xr:uid="{00000000-0005-0000-0000-0000FC580000}"/>
    <cellStyle name="Comma 2 3 2 6 3 5" xfId="5488" xr:uid="{00000000-0005-0000-0000-0000FD580000}"/>
    <cellStyle name="Comma 2 3 2 6 3 5 2" xfId="18975" xr:uid="{00000000-0005-0000-0000-0000FE580000}"/>
    <cellStyle name="Comma 2 3 2 6 3 5 2 2" xfId="42253" xr:uid="{00000000-0005-0000-0000-0000FF580000}"/>
    <cellStyle name="Comma 2 3 2 6 3 5 3" xfId="28767" xr:uid="{00000000-0005-0000-0000-000000590000}"/>
    <cellStyle name="Comma 2 3 2 6 3 6" xfId="7936" xr:uid="{00000000-0005-0000-0000-000001590000}"/>
    <cellStyle name="Comma 2 3 2 6 3 6 2" xfId="31215" xr:uid="{00000000-0005-0000-0000-000002590000}"/>
    <cellStyle name="Comma 2 3 2 6 3 7" xfId="10384" xr:uid="{00000000-0005-0000-0000-000003590000}"/>
    <cellStyle name="Comma 2 3 2 6 3 7 2" xfId="33663" xr:uid="{00000000-0005-0000-0000-000004590000}"/>
    <cellStyle name="Comma 2 3 2 6 3 8" xfId="12832" xr:uid="{00000000-0005-0000-0000-000005590000}"/>
    <cellStyle name="Comma 2 3 2 6 3 8 2" xfId="36111" xr:uid="{00000000-0005-0000-0000-000006590000}"/>
    <cellStyle name="Comma 2 3 2 6 3 9" xfId="15303" xr:uid="{00000000-0005-0000-0000-000007590000}"/>
    <cellStyle name="Comma 2 3 2 6 3 9 2" xfId="38581" xr:uid="{00000000-0005-0000-0000-000008590000}"/>
    <cellStyle name="Comma 2 3 2 6 4" xfId="796" xr:uid="{00000000-0005-0000-0000-000009590000}"/>
    <cellStyle name="Comma 2 3 2 6 4 10" xfId="44905" xr:uid="{00000000-0005-0000-0000-00000A590000}"/>
    <cellStyle name="Comma 2 3 2 6 4 11" xfId="21627" xr:uid="{00000000-0005-0000-0000-00000B590000}"/>
    <cellStyle name="Comma 2 3 2 6 4 2" xfId="2020" xr:uid="{00000000-0005-0000-0000-00000C590000}"/>
    <cellStyle name="Comma 2 3 2 6 4 2 10" xfId="22851" xr:uid="{00000000-0005-0000-0000-00000D590000}"/>
    <cellStyle name="Comma 2 3 2 6 4 2 2" xfId="4468" xr:uid="{00000000-0005-0000-0000-00000E590000}"/>
    <cellStyle name="Comma 2 3 2 6 4 2 2 2" xfId="20403" xr:uid="{00000000-0005-0000-0000-00000F590000}"/>
    <cellStyle name="Comma 2 3 2 6 4 2 2 2 2" xfId="43681" xr:uid="{00000000-0005-0000-0000-000010590000}"/>
    <cellStyle name="Comma 2 3 2 6 4 2 2 3" xfId="48577" xr:uid="{00000000-0005-0000-0000-000011590000}"/>
    <cellStyle name="Comma 2 3 2 6 4 2 2 4" xfId="27747" xr:uid="{00000000-0005-0000-0000-000012590000}"/>
    <cellStyle name="Comma 2 3 2 6 4 2 3" xfId="6916" xr:uid="{00000000-0005-0000-0000-000013590000}"/>
    <cellStyle name="Comma 2 3 2 6 4 2 3 2" xfId="30195" xr:uid="{00000000-0005-0000-0000-000014590000}"/>
    <cellStyle name="Comma 2 3 2 6 4 2 4" xfId="9364" xr:uid="{00000000-0005-0000-0000-000015590000}"/>
    <cellStyle name="Comma 2 3 2 6 4 2 4 2" xfId="32643" xr:uid="{00000000-0005-0000-0000-000016590000}"/>
    <cellStyle name="Comma 2 3 2 6 4 2 5" xfId="11812" xr:uid="{00000000-0005-0000-0000-000017590000}"/>
    <cellStyle name="Comma 2 3 2 6 4 2 5 2" xfId="35091" xr:uid="{00000000-0005-0000-0000-000018590000}"/>
    <cellStyle name="Comma 2 3 2 6 4 2 6" xfId="14260" xr:uid="{00000000-0005-0000-0000-000019590000}"/>
    <cellStyle name="Comma 2 3 2 6 4 2 6 2" xfId="37539" xr:uid="{00000000-0005-0000-0000-00001A590000}"/>
    <cellStyle name="Comma 2 3 2 6 4 2 7" xfId="17955" xr:uid="{00000000-0005-0000-0000-00001B590000}"/>
    <cellStyle name="Comma 2 3 2 6 4 2 7 2" xfId="41233" xr:uid="{00000000-0005-0000-0000-00001C590000}"/>
    <cellStyle name="Comma 2 3 2 6 4 2 8" xfId="25299" xr:uid="{00000000-0005-0000-0000-00001D590000}"/>
    <cellStyle name="Comma 2 3 2 6 4 2 9" xfId="46129" xr:uid="{00000000-0005-0000-0000-00001E590000}"/>
    <cellStyle name="Comma 2 3 2 6 4 3" xfId="3244" xr:uid="{00000000-0005-0000-0000-00001F590000}"/>
    <cellStyle name="Comma 2 3 2 6 4 3 2" xfId="16731" xr:uid="{00000000-0005-0000-0000-000020590000}"/>
    <cellStyle name="Comma 2 3 2 6 4 3 2 2" xfId="40009" xr:uid="{00000000-0005-0000-0000-000021590000}"/>
    <cellStyle name="Comma 2 3 2 6 4 3 3" xfId="47353" xr:uid="{00000000-0005-0000-0000-000022590000}"/>
    <cellStyle name="Comma 2 3 2 6 4 3 4" xfId="26523" xr:uid="{00000000-0005-0000-0000-000023590000}"/>
    <cellStyle name="Comma 2 3 2 6 4 4" xfId="5692" xr:uid="{00000000-0005-0000-0000-000024590000}"/>
    <cellStyle name="Comma 2 3 2 6 4 4 2" xfId="19179" xr:uid="{00000000-0005-0000-0000-000025590000}"/>
    <cellStyle name="Comma 2 3 2 6 4 4 2 2" xfId="42457" xr:uid="{00000000-0005-0000-0000-000026590000}"/>
    <cellStyle name="Comma 2 3 2 6 4 4 3" xfId="28971" xr:uid="{00000000-0005-0000-0000-000027590000}"/>
    <cellStyle name="Comma 2 3 2 6 4 5" xfId="8140" xr:uid="{00000000-0005-0000-0000-000028590000}"/>
    <cellStyle name="Comma 2 3 2 6 4 5 2" xfId="31419" xr:uid="{00000000-0005-0000-0000-000029590000}"/>
    <cellStyle name="Comma 2 3 2 6 4 6" xfId="10588" xr:uid="{00000000-0005-0000-0000-00002A590000}"/>
    <cellStyle name="Comma 2 3 2 6 4 6 2" xfId="33867" xr:uid="{00000000-0005-0000-0000-00002B590000}"/>
    <cellStyle name="Comma 2 3 2 6 4 7" xfId="13036" xr:uid="{00000000-0005-0000-0000-00002C590000}"/>
    <cellStyle name="Comma 2 3 2 6 4 7 2" xfId="36315" xr:uid="{00000000-0005-0000-0000-00002D590000}"/>
    <cellStyle name="Comma 2 3 2 6 4 8" xfId="15507" xr:uid="{00000000-0005-0000-0000-00002E590000}"/>
    <cellStyle name="Comma 2 3 2 6 4 8 2" xfId="38785" xr:uid="{00000000-0005-0000-0000-00002F590000}"/>
    <cellStyle name="Comma 2 3 2 6 4 9" xfId="24075" xr:uid="{00000000-0005-0000-0000-000030590000}"/>
    <cellStyle name="Comma 2 3 2 6 5" xfId="1408" xr:uid="{00000000-0005-0000-0000-000031590000}"/>
    <cellStyle name="Comma 2 3 2 6 5 10" xfId="22239" xr:uid="{00000000-0005-0000-0000-000032590000}"/>
    <cellStyle name="Comma 2 3 2 6 5 2" xfId="3856" xr:uid="{00000000-0005-0000-0000-000033590000}"/>
    <cellStyle name="Comma 2 3 2 6 5 2 2" xfId="19791" xr:uid="{00000000-0005-0000-0000-000034590000}"/>
    <cellStyle name="Comma 2 3 2 6 5 2 2 2" xfId="43069" xr:uid="{00000000-0005-0000-0000-000035590000}"/>
    <cellStyle name="Comma 2 3 2 6 5 2 3" xfId="47965" xr:uid="{00000000-0005-0000-0000-000036590000}"/>
    <cellStyle name="Comma 2 3 2 6 5 2 4" xfId="27135" xr:uid="{00000000-0005-0000-0000-000037590000}"/>
    <cellStyle name="Comma 2 3 2 6 5 3" xfId="6304" xr:uid="{00000000-0005-0000-0000-000038590000}"/>
    <cellStyle name="Comma 2 3 2 6 5 3 2" xfId="29583" xr:uid="{00000000-0005-0000-0000-000039590000}"/>
    <cellStyle name="Comma 2 3 2 6 5 4" xfId="8752" xr:uid="{00000000-0005-0000-0000-00003A590000}"/>
    <cellStyle name="Comma 2 3 2 6 5 4 2" xfId="32031" xr:uid="{00000000-0005-0000-0000-00003B590000}"/>
    <cellStyle name="Comma 2 3 2 6 5 5" xfId="11200" xr:uid="{00000000-0005-0000-0000-00003C590000}"/>
    <cellStyle name="Comma 2 3 2 6 5 5 2" xfId="34479" xr:uid="{00000000-0005-0000-0000-00003D590000}"/>
    <cellStyle name="Comma 2 3 2 6 5 6" xfId="13648" xr:uid="{00000000-0005-0000-0000-00003E590000}"/>
    <cellStyle name="Comma 2 3 2 6 5 6 2" xfId="36927" xr:uid="{00000000-0005-0000-0000-00003F590000}"/>
    <cellStyle name="Comma 2 3 2 6 5 7" xfId="17343" xr:uid="{00000000-0005-0000-0000-000040590000}"/>
    <cellStyle name="Comma 2 3 2 6 5 7 2" xfId="40621" xr:uid="{00000000-0005-0000-0000-000041590000}"/>
    <cellStyle name="Comma 2 3 2 6 5 8" xfId="24687" xr:uid="{00000000-0005-0000-0000-000042590000}"/>
    <cellStyle name="Comma 2 3 2 6 5 9" xfId="45517" xr:uid="{00000000-0005-0000-0000-000043590000}"/>
    <cellStyle name="Comma 2 3 2 6 6" xfId="2632" xr:uid="{00000000-0005-0000-0000-000044590000}"/>
    <cellStyle name="Comma 2 3 2 6 6 2" xfId="16119" xr:uid="{00000000-0005-0000-0000-000045590000}"/>
    <cellStyle name="Comma 2 3 2 6 6 2 2" xfId="39397" xr:uid="{00000000-0005-0000-0000-000046590000}"/>
    <cellStyle name="Comma 2 3 2 6 6 3" xfId="46741" xr:uid="{00000000-0005-0000-0000-000047590000}"/>
    <cellStyle name="Comma 2 3 2 6 6 4" xfId="25911" xr:uid="{00000000-0005-0000-0000-000048590000}"/>
    <cellStyle name="Comma 2 3 2 6 7" xfId="5080" xr:uid="{00000000-0005-0000-0000-000049590000}"/>
    <cellStyle name="Comma 2 3 2 6 7 2" xfId="18567" xr:uid="{00000000-0005-0000-0000-00004A590000}"/>
    <cellStyle name="Comma 2 3 2 6 7 2 2" xfId="41845" xr:uid="{00000000-0005-0000-0000-00004B590000}"/>
    <cellStyle name="Comma 2 3 2 6 7 3" xfId="28359" xr:uid="{00000000-0005-0000-0000-00004C590000}"/>
    <cellStyle name="Comma 2 3 2 6 8" xfId="7528" xr:uid="{00000000-0005-0000-0000-00004D590000}"/>
    <cellStyle name="Comma 2 3 2 6 8 2" xfId="30807" xr:uid="{00000000-0005-0000-0000-00004E590000}"/>
    <cellStyle name="Comma 2 3 2 6 9" xfId="9976" xr:uid="{00000000-0005-0000-0000-00004F590000}"/>
    <cellStyle name="Comma 2 3 2 6 9 2" xfId="33255" xr:uid="{00000000-0005-0000-0000-000050590000}"/>
    <cellStyle name="Comma 2 3 2 7" xfId="252" xr:uid="{00000000-0005-0000-0000-000051590000}"/>
    <cellStyle name="Comma 2 3 2 7 10" xfId="23531" xr:uid="{00000000-0005-0000-0000-000052590000}"/>
    <cellStyle name="Comma 2 3 2 7 11" xfId="44361" xr:uid="{00000000-0005-0000-0000-000053590000}"/>
    <cellStyle name="Comma 2 3 2 7 12" xfId="21083" xr:uid="{00000000-0005-0000-0000-000054590000}"/>
    <cellStyle name="Comma 2 3 2 7 2" xfId="864" xr:uid="{00000000-0005-0000-0000-000055590000}"/>
    <cellStyle name="Comma 2 3 2 7 2 10" xfId="44973" xr:uid="{00000000-0005-0000-0000-000056590000}"/>
    <cellStyle name="Comma 2 3 2 7 2 11" xfId="21695" xr:uid="{00000000-0005-0000-0000-000057590000}"/>
    <cellStyle name="Comma 2 3 2 7 2 2" xfId="2088" xr:uid="{00000000-0005-0000-0000-000058590000}"/>
    <cellStyle name="Comma 2 3 2 7 2 2 10" xfId="22919" xr:uid="{00000000-0005-0000-0000-000059590000}"/>
    <cellStyle name="Comma 2 3 2 7 2 2 2" xfId="4536" xr:uid="{00000000-0005-0000-0000-00005A590000}"/>
    <cellStyle name="Comma 2 3 2 7 2 2 2 2" xfId="20471" xr:uid="{00000000-0005-0000-0000-00005B590000}"/>
    <cellStyle name="Comma 2 3 2 7 2 2 2 2 2" xfId="43749" xr:uid="{00000000-0005-0000-0000-00005C590000}"/>
    <cellStyle name="Comma 2 3 2 7 2 2 2 3" xfId="48645" xr:uid="{00000000-0005-0000-0000-00005D590000}"/>
    <cellStyle name="Comma 2 3 2 7 2 2 2 4" xfId="27815" xr:uid="{00000000-0005-0000-0000-00005E590000}"/>
    <cellStyle name="Comma 2 3 2 7 2 2 3" xfId="6984" xr:uid="{00000000-0005-0000-0000-00005F590000}"/>
    <cellStyle name="Comma 2 3 2 7 2 2 3 2" xfId="30263" xr:uid="{00000000-0005-0000-0000-000060590000}"/>
    <cellStyle name="Comma 2 3 2 7 2 2 4" xfId="9432" xr:uid="{00000000-0005-0000-0000-000061590000}"/>
    <cellStyle name="Comma 2 3 2 7 2 2 4 2" xfId="32711" xr:uid="{00000000-0005-0000-0000-000062590000}"/>
    <cellStyle name="Comma 2 3 2 7 2 2 5" xfId="11880" xr:uid="{00000000-0005-0000-0000-000063590000}"/>
    <cellStyle name="Comma 2 3 2 7 2 2 5 2" xfId="35159" xr:uid="{00000000-0005-0000-0000-000064590000}"/>
    <cellStyle name="Comma 2 3 2 7 2 2 6" xfId="14328" xr:uid="{00000000-0005-0000-0000-000065590000}"/>
    <cellStyle name="Comma 2 3 2 7 2 2 6 2" xfId="37607" xr:uid="{00000000-0005-0000-0000-000066590000}"/>
    <cellStyle name="Comma 2 3 2 7 2 2 7" xfId="18023" xr:uid="{00000000-0005-0000-0000-000067590000}"/>
    <cellStyle name="Comma 2 3 2 7 2 2 7 2" xfId="41301" xr:uid="{00000000-0005-0000-0000-000068590000}"/>
    <cellStyle name="Comma 2 3 2 7 2 2 8" xfId="25367" xr:uid="{00000000-0005-0000-0000-000069590000}"/>
    <cellStyle name="Comma 2 3 2 7 2 2 9" xfId="46197" xr:uid="{00000000-0005-0000-0000-00006A590000}"/>
    <cellStyle name="Comma 2 3 2 7 2 3" xfId="3312" xr:uid="{00000000-0005-0000-0000-00006B590000}"/>
    <cellStyle name="Comma 2 3 2 7 2 3 2" xfId="16799" xr:uid="{00000000-0005-0000-0000-00006C590000}"/>
    <cellStyle name="Comma 2 3 2 7 2 3 2 2" xfId="40077" xr:uid="{00000000-0005-0000-0000-00006D590000}"/>
    <cellStyle name="Comma 2 3 2 7 2 3 3" xfId="47421" xr:uid="{00000000-0005-0000-0000-00006E590000}"/>
    <cellStyle name="Comma 2 3 2 7 2 3 4" xfId="26591" xr:uid="{00000000-0005-0000-0000-00006F590000}"/>
    <cellStyle name="Comma 2 3 2 7 2 4" xfId="5760" xr:uid="{00000000-0005-0000-0000-000070590000}"/>
    <cellStyle name="Comma 2 3 2 7 2 4 2" xfId="19247" xr:uid="{00000000-0005-0000-0000-000071590000}"/>
    <cellStyle name="Comma 2 3 2 7 2 4 2 2" xfId="42525" xr:uid="{00000000-0005-0000-0000-000072590000}"/>
    <cellStyle name="Comma 2 3 2 7 2 4 3" xfId="29039" xr:uid="{00000000-0005-0000-0000-000073590000}"/>
    <cellStyle name="Comma 2 3 2 7 2 5" xfId="8208" xr:uid="{00000000-0005-0000-0000-000074590000}"/>
    <cellStyle name="Comma 2 3 2 7 2 5 2" xfId="31487" xr:uid="{00000000-0005-0000-0000-000075590000}"/>
    <cellStyle name="Comma 2 3 2 7 2 6" xfId="10656" xr:uid="{00000000-0005-0000-0000-000076590000}"/>
    <cellStyle name="Comma 2 3 2 7 2 6 2" xfId="33935" xr:uid="{00000000-0005-0000-0000-000077590000}"/>
    <cellStyle name="Comma 2 3 2 7 2 7" xfId="13104" xr:uid="{00000000-0005-0000-0000-000078590000}"/>
    <cellStyle name="Comma 2 3 2 7 2 7 2" xfId="36383" xr:uid="{00000000-0005-0000-0000-000079590000}"/>
    <cellStyle name="Comma 2 3 2 7 2 8" xfId="15575" xr:uid="{00000000-0005-0000-0000-00007A590000}"/>
    <cellStyle name="Comma 2 3 2 7 2 8 2" xfId="38853" xr:uid="{00000000-0005-0000-0000-00007B590000}"/>
    <cellStyle name="Comma 2 3 2 7 2 9" xfId="24143" xr:uid="{00000000-0005-0000-0000-00007C590000}"/>
    <cellStyle name="Comma 2 3 2 7 3" xfId="1476" xr:uid="{00000000-0005-0000-0000-00007D590000}"/>
    <cellStyle name="Comma 2 3 2 7 3 10" xfId="22307" xr:uid="{00000000-0005-0000-0000-00007E590000}"/>
    <cellStyle name="Comma 2 3 2 7 3 2" xfId="3924" xr:uid="{00000000-0005-0000-0000-00007F590000}"/>
    <cellStyle name="Comma 2 3 2 7 3 2 2" xfId="19859" xr:uid="{00000000-0005-0000-0000-000080590000}"/>
    <cellStyle name="Comma 2 3 2 7 3 2 2 2" xfId="43137" xr:uid="{00000000-0005-0000-0000-000081590000}"/>
    <cellStyle name="Comma 2 3 2 7 3 2 3" xfId="48033" xr:uid="{00000000-0005-0000-0000-000082590000}"/>
    <cellStyle name="Comma 2 3 2 7 3 2 4" xfId="27203" xr:uid="{00000000-0005-0000-0000-000083590000}"/>
    <cellStyle name="Comma 2 3 2 7 3 3" xfId="6372" xr:uid="{00000000-0005-0000-0000-000084590000}"/>
    <cellStyle name="Comma 2 3 2 7 3 3 2" xfId="29651" xr:uid="{00000000-0005-0000-0000-000085590000}"/>
    <cellStyle name="Comma 2 3 2 7 3 4" xfId="8820" xr:uid="{00000000-0005-0000-0000-000086590000}"/>
    <cellStyle name="Comma 2 3 2 7 3 4 2" xfId="32099" xr:uid="{00000000-0005-0000-0000-000087590000}"/>
    <cellStyle name="Comma 2 3 2 7 3 5" xfId="11268" xr:uid="{00000000-0005-0000-0000-000088590000}"/>
    <cellStyle name="Comma 2 3 2 7 3 5 2" xfId="34547" xr:uid="{00000000-0005-0000-0000-000089590000}"/>
    <cellStyle name="Comma 2 3 2 7 3 6" xfId="13716" xr:uid="{00000000-0005-0000-0000-00008A590000}"/>
    <cellStyle name="Comma 2 3 2 7 3 6 2" xfId="36995" xr:uid="{00000000-0005-0000-0000-00008B590000}"/>
    <cellStyle name="Comma 2 3 2 7 3 7" xfId="17411" xr:uid="{00000000-0005-0000-0000-00008C590000}"/>
    <cellStyle name="Comma 2 3 2 7 3 7 2" xfId="40689" xr:uid="{00000000-0005-0000-0000-00008D590000}"/>
    <cellStyle name="Comma 2 3 2 7 3 8" xfId="24755" xr:uid="{00000000-0005-0000-0000-00008E590000}"/>
    <cellStyle name="Comma 2 3 2 7 3 9" xfId="45585" xr:uid="{00000000-0005-0000-0000-00008F590000}"/>
    <cellStyle name="Comma 2 3 2 7 4" xfId="2700" xr:uid="{00000000-0005-0000-0000-000090590000}"/>
    <cellStyle name="Comma 2 3 2 7 4 2" xfId="16187" xr:uid="{00000000-0005-0000-0000-000091590000}"/>
    <cellStyle name="Comma 2 3 2 7 4 2 2" xfId="39465" xr:uid="{00000000-0005-0000-0000-000092590000}"/>
    <cellStyle name="Comma 2 3 2 7 4 3" xfId="46809" xr:uid="{00000000-0005-0000-0000-000093590000}"/>
    <cellStyle name="Comma 2 3 2 7 4 4" xfId="25979" xr:uid="{00000000-0005-0000-0000-000094590000}"/>
    <cellStyle name="Comma 2 3 2 7 5" xfId="5148" xr:uid="{00000000-0005-0000-0000-000095590000}"/>
    <cellStyle name="Comma 2 3 2 7 5 2" xfId="18635" xr:uid="{00000000-0005-0000-0000-000096590000}"/>
    <cellStyle name="Comma 2 3 2 7 5 2 2" xfId="41913" xr:uid="{00000000-0005-0000-0000-000097590000}"/>
    <cellStyle name="Comma 2 3 2 7 5 3" xfId="28427" xr:uid="{00000000-0005-0000-0000-000098590000}"/>
    <cellStyle name="Comma 2 3 2 7 6" xfId="7596" xr:uid="{00000000-0005-0000-0000-000099590000}"/>
    <cellStyle name="Comma 2 3 2 7 6 2" xfId="30875" xr:uid="{00000000-0005-0000-0000-00009A590000}"/>
    <cellStyle name="Comma 2 3 2 7 7" xfId="10044" xr:uid="{00000000-0005-0000-0000-00009B590000}"/>
    <cellStyle name="Comma 2 3 2 7 7 2" xfId="33323" xr:uid="{00000000-0005-0000-0000-00009C590000}"/>
    <cellStyle name="Comma 2 3 2 7 8" xfId="12492" xr:uid="{00000000-0005-0000-0000-00009D590000}"/>
    <cellStyle name="Comma 2 3 2 7 8 2" xfId="35771" xr:uid="{00000000-0005-0000-0000-00009E590000}"/>
    <cellStyle name="Comma 2 3 2 7 9" xfId="14963" xr:uid="{00000000-0005-0000-0000-00009F590000}"/>
    <cellStyle name="Comma 2 3 2 7 9 2" xfId="38241" xr:uid="{00000000-0005-0000-0000-0000A0590000}"/>
    <cellStyle name="Comma 2 3 2 8" xfId="456" xr:uid="{00000000-0005-0000-0000-0000A1590000}"/>
    <cellStyle name="Comma 2 3 2 8 10" xfId="23735" xr:uid="{00000000-0005-0000-0000-0000A2590000}"/>
    <cellStyle name="Comma 2 3 2 8 11" xfId="44565" xr:uid="{00000000-0005-0000-0000-0000A3590000}"/>
    <cellStyle name="Comma 2 3 2 8 12" xfId="21287" xr:uid="{00000000-0005-0000-0000-0000A4590000}"/>
    <cellStyle name="Comma 2 3 2 8 2" xfId="1068" xr:uid="{00000000-0005-0000-0000-0000A5590000}"/>
    <cellStyle name="Comma 2 3 2 8 2 10" xfId="45177" xr:uid="{00000000-0005-0000-0000-0000A6590000}"/>
    <cellStyle name="Comma 2 3 2 8 2 11" xfId="21899" xr:uid="{00000000-0005-0000-0000-0000A7590000}"/>
    <cellStyle name="Comma 2 3 2 8 2 2" xfId="2292" xr:uid="{00000000-0005-0000-0000-0000A8590000}"/>
    <cellStyle name="Comma 2 3 2 8 2 2 10" xfId="23123" xr:uid="{00000000-0005-0000-0000-0000A9590000}"/>
    <cellStyle name="Comma 2 3 2 8 2 2 2" xfId="4740" xr:uid="{00000000-0005-0000-0000-0000AA590000}"/>
    <cellStyle name="Comma 2 3 2 8 2 2 2 2" xfId="20675" xr:uid="{00000000-0005-0000-0000-0000AB590000}"/>
    <cellStyle name="Comma 2 3 2 8 2 2 2 2 2" xfId="43953" xr:uid="{00000000-0005-0000-0000-0000AC590000}"/>
    <cellStyle name="Comma 2 3 2 8 2 2 2 3" xfId="48849" xr:uid="{00000000-0005-0000-0000-0000AD590000}"/>
    <cellStyle name="Comma 2 3 2 8 2 2 2 4" xfId="28019" xr:uid="{00000000-0005-0000-0000-0000AE590000}"/>
    <cellStyle name="Comma 2 3 2 8 2 2 3" xfId="7188" xr:uid="{00000000-0005-0000-0000-0000AF590000}"/>
    <cellStyle name="Comma 2 3 2 8 2 2 3 2" xfId="30467" xr:uid="{00000000-0005-0000-0000-0000B0590000}"/>
    <cellStyle name="Comma 2 3 2 8 2 2 4" xfId="9636" xr:uid="{00000000-0005-0000-0000-0000B1590000}"/>
    <cellStyle name="Comma 2 3 2 8 2 2 4 2" xfId="32915" xr:uid="{00000000-0005-0000-0000-0000B2590000}"/>
    <cellStyle name="Comma 2 3 2 8 2 2 5" xfId="12084" xr:uid="{00000000-0005-0000-0000-0000B3590000}"/>
    <cellStyle name="Comma 2 3 2 8 2 2 5 2" xfId="35363" xr:uid="{00000000-0005-0000-0000-0000B4590000}"/>
    <cellStyle name="Comma 2 3 2 8 2 2 6" xfId="14532" xr:uid="{00000000-0005-0000-0000-0000B5590000}"/>
    <cellStyle name="Comma 2 3 2 8 2 2 6 2" xfId="37811" xr:uid="{00000000-0005-0000-0000-0000B6590000}"/>
    <cellStyle name="Comma 2 3 2 8 2 2 7" xfId="18227" xr:uid="{00000000-0005-0000-0000-0000B7590000}"/>
    <cellStyle name="Comma 2 3 2 8 2 2 7 2" xfId="41505" xr:uid="{00000000-0005-0000-0000-0000B8590000}"/>
    <cellStyle name="Comma 2 3 2 8 2 2 8" xfId="25571" xr:uid="{00000000-0005-0000-0000-0000B9590000}"/>
    <cellStyle name="Comma 2 3 2 8 2 2 9" xfId="46401" xr:uid="{00000000-0005-0000-0000-0000BA590000}"/>
    <cellStyle name="Comma 2 3 2 8 2 3" xfId="3516" xr:uid="{00000000-0005-0000-0000-0000BB590000}"/>
    <cellStyle name="Comma 2 3 2 8 2 3 2" xfId="17003" xr:uid="{00000000-0005-0000-0000-0000BC590000}"/>
    <cellStyle name="Comma 2 3 2 8 2 3 2 2" xfId="40281" xr:uid="{00000000-0005-0000-0000-0000BD590000}"/>
    <cellStyle name="Comma 2 3 2 8 2 3 3" xfId="47625" xr:uid="{00000000-0005-0000-0000-0000BE590000}"/>
    <cellStyle name="Comma 2 3 2 8 2 3 4" xfId="26795" xr:uid="{00000000-0005-0000-0000-0000BF590000}"/>
    <cellStyle name="Comma 2 3 2 8 2 4" xfId="5964" xr:uid="{00000000-0005-0000-0000-0000C0590000}"/>
    <cellStyle name="Comma 2 3 2 8 2 4 2" xfId="19451" xr:uid="{00000000-0005-0000-0000-0000C1590000}"/>
    <cellStyle name="Comma 2 3 2 8 2 4 2 2" xfId="42729" xr:uid="{00000000-0005-0000-0000-0000C2590000}"/>
    <cellStyle name="Comma 2 3 2 8 2 4 3" xfId="29243" xr:uid="{00000000-0005-0000-0000-0000C3590000}"/>
    <cellStyle name="Comma 2 3 2 8 2 5" xfId="8412" xr:uid="{00000000-0005-0000-0000-0000C4590000}"/>
    <cellStyle name="Comma 2 3 2 8 2 5 2" xfId="31691" xr:uid="{00000000-0005-0000-0000-0000C5590000}"/>
    <cellStyle name="Comma 2 3 2 8 2 6" xfId="10860" xr:uid="{00000000-0005-0000-0000-0000C6590000}"/>
    <cellStyle name="Comma 2 3 2 8 2 6 2" xfId="34139" xr:uid="{00000000-0005-0000-0000-0000C7590000}"/>
    <cellStyle name="Comma 2 3 2 8 2 7" xfId="13308" xr:uid="{00000000-0005-0000-0000-0000C8590000}"/>
    <cellStyle name="Comma 2 3 2 8 2 7 2" xfId="36587" xr:uid="{00000000-0005-0000-0000-0000C9590000}"/>
    <cellStyle name="Comma 2 3 2 8 2 8" xfId="15779" xr:uid="{00000000-0005-0000-0000-0000CA590000}"/>
    <cellStyle name="Comma 2 3 2 8 2 8 2" xfId="39057" xr:uid="{00000000-0005-0000-0000-0000CB590000}"/>
    <cellStyle name="Comma 2 3 2 8 2 9" xfId="24347" xr:uid="{00000000-0005-0000-0000-0000CC590000}"/>
    <cellStyle name="Comma 2 3 2 8 3" xfId="1680" xr:uid="{00000000-0005-0000-0000-0000CD590000}"/>
    <cellStyle name="Comma 2 3 2 8 3 10" xfId="22511" xr:uid="{00000000-0005-0000-0000-0000CE590000}"/>
    <cellStyle name="Comma 2 3 2 8 3 2" xfId="4128" xr:uid="{00000000-0005-0000-0000-0000CF590000}"/>
    <cellStyle name="Comma 2 3 2 8 3 2 2" xfId="20063" xr:uid="{00000000-0005-0000-0000-0000D0590000}"/>
    <cellStyle name="Comma 2 3 2 8 3 2 2 2" xfId="43341" xr:uid="{00000000-0005-0000-0000-0000D1590000}"/>
    <cellStyle name="Comma 2 3 2 8 3 2 3" xfId="48237" xr:uid="{00000000-0005-0000-0000-0000D2590000}"/>
    <cellStyle name="Comma 2 3 2 8 3 2 4" xfId="27407" xr:uid="{00000000-0005-0000-0000-0000D3590000}"/>
    <cellStyle name="Comma 2 3 2 8 3 3" xfId="6576" xr:uid="{00000000-0005-0000-0000-0000D4590000}"/>
    <cellStyle name="Comma 2 3 2 8 3 3 2" xfId="29855" xr:uid="{00000000-0005-0000-0000-0000D5590000}"/>
    <cellStyle name="Comma 2 3 2 8 3 4" xfId="9024" xr:uid="{00000000-0005-0000-0000-0000D6590000}"/>
    <cellStyle name="Comma 2 3 2 8 3 4 2" xfId="32303" xr:uid="{00000000-0005-0000-0000-0000D7590000}"/>
    <cellStyle name="Comma 2 3 2 8 3 5" xfId="11472" xr:uid="{00000000-0005-0000-0000-0000D8590000}"/>
    <cellStyle name="Comma 2 3 2 8 3 5 2" xfId="34751" xr:uid="{00000000-0005-0000-0000-0000D9590000}"/>
    <cellStyle name="Comma 2 3 2 8 3 6" xfId="13920" xr:uid="{00000000-0005-0000-0000-0000DA590000}"/>
    <cellStyle name="Comma 2 3 2 8 3 6 2" xfId="37199" xr:uid="{00000000-0005-0000-0000-0000DB590000}"/>
    <cellStyle name="Comma 2 3 2 8 3 7" xfId="17615" xr:uid="{00000000-0005-0000-0000-0000DC590000}"/>
    <cellStyle name="Comma 2 3 2 8 3 7 2" xfId="40893" xr:uid="{00000000-0005-0000-0000-0000DD590000}"/>
    <cellStyle name="Comma 2 3 2 8 3 8" xfId="24959" xr:uid="{00000000-0005-0000-0000-0000DE590000}"/>
    <cellStyle name="Comma 2 3 2 8 3 9" xfId="45789" xr:uid="{00000000-0005-0000-0000-0000DF590000}"/>
    <cellStyle name="Comma 2 3 2 8 4" xfId="2904" xr:uid="{00000000-0005-0000-0000-0000E0590000}"/>
    <cellStyle name="Comma 2 3 2 8 4 2" xfId="16391" xr:uid="{00000000-0005-0000-0000-0000E1590000}"/>
    <cellStyle name="Comma 2 3 2 8 4 2 2" xfId="39669" xr:uid="{00000000-0005-0000-0000-0000E2590000}"/>
    <cellStyle name="Comma 2 3 2 8 4 3" xfId="47013" xr:uid="{00000000-0005-0000-0000-0000E3590000}"/>
    <cellStyle name="Comma 2 3 2 8 4 4" xfId="26183" xr:uid="{00000000-0005-0000-0000-0000E4590000}"/>
    <cellStyle name="Comma 2 3 2 8 5" xfId="5352" xr:uid="{00000000-0005-0000-0000-0000E5590000}"/>
    <cellStyle name="Comma 2 3 2 8 5 2" xfId="18839" xr:uid="{00000000-0005-0000-0000-0000E6590000}"/>
    <cellStyle name="Comma 2 3 2 8 5 2 2" xfId="42117" xr:uid="{00000000-0005-0000-0000-0000E7590000}"/>
    <cellStyle name="Comma 2 3 2 8 5 3" xfId="28631" xr:uid="{00000000-0005-0000-0000-0000E8590000}"/>
    <cellStyle name="Comma 2 3 2 8 6" xfId="7800" xr:uid="{00000000-0005-0000-0000-0000E9590000}"/>
    <cellStyle name="Comma 2 3 2 8 6 2" xfId="31079" xr:uid="{00000000-0005-0000-0000-0000EA590000}"/>
    <cellStyle name="Comma 2 3 2 8 7" xfId="10248" xr:uid="{00000000-0005-0000-0000-0000EB590000}"/>
    <cellStyle name="Comma 2 3 2 8 7 2" xfId="33527" xr:uid="{00000000-0005-0000-0000-0000EC590000}"/>
    <cellStyle name="Comma 2 3 2 8 8" xfId="12696" xr:uid="{00000000-0005-0000-0000-0000ED590000}"/>
    <cellStyle name="Comma 2 3 2 8 8 2" xfId="35975" xr:uid="{00000000-0005-0000-0000-0000EE590000}"/>
    <cellStyle name="Comma 2 3 2 8 9" xfId="15167" xr:uid="{00000000-0005-0000-0000-0000EF590000}"/>
    <cellStyle name="Comma 2 3 2 8 9 2" xfId="38445" xr:uid="{00000000-0005-0000-0000-0000F0590000}"/>
    <cellStyle name="Comma 2 3 2 9" xfId="660" xr:uid="{00000000-0005-0000-0000-0000F1590000}"/>
    <cellStyle name="Comma 2 3 2 9 10" xfId="44769" xr:uid="{00000000-0005-0000-0000-0000F2590000}"/>
    <cellStyle name="Comma 2 3 2 9 11" xfId="21491" xr:uid="{00000000-0005-0000-0000-0000F3590000}"/>
    <cellStyle name="Comma 2 3 2 9 2" xfId="1884" xr:uid="{00000000-0005-0000-0000-0000F4590000}"/>
    <cellStyle name="Comma 2 3 2 9 2 10" xfId="22715" xr:uid="{00000000-0005-0000-0000-0000F5590000}"/>
    <cellStyle name="Comma 2 3 2 9 2 2" xfId="4332" xr:uid="{00000000-0005-0000-0000-0000F6590000}"/>
    <cellStyle name="Comma 2 3 2 9 2 2 2" xfId="20267" xr:uid="{00000000-0005-0000-0000-0000F7590000}"/>
    <cellStyle name="Comma 2 3 2 9 2 2 2 2" xfId="43545" xr:uid="{00000000-0005-0000-0000-0000F8590000}"/>
    <cellStyle name="Comma 2 3 2 9 2 2 3" xfId="48441" xr:uid="{00000000-0005-0000-0000-0000F9590000}"/>
    <cellStyle name="Comma 2 3 2 9 2 2 4" xfId="27611" xr:uid="{00000000-0005-0000-0000-0000FA590000}"/>
    <cellStyle name="Comma 2 3 2 9 2 3" xfId="6780" xr:uid="{00000000-0005-0000-0000-0000FB590000}"/>
    <cellStyle name="Comma 2 3 2 9 2 3 2" xfId="30059" xr:uid="{00000000-0005-0000-0000-0000FC590000}"/>
    <cellStyle name="Comma 2 3 2 9 2 4" xfId="9228" xr:uid="{00000000-0005-0000-0000-0000FD590000}"/>
    <cellStyle name="Comma 2 3 2 9 2 4 2" xfId="32507" xr:uid="{00000000-0005-0000-0000-0000FE590000}"/>
    <cellStyle name="Comma 2 3 2 9 2 5" xfId="11676" xr:uid="{00000000-0005-0000-0000-0000FF590000}"/>
    <cellStyle name="Comma 2 3 2 9 2 5 2" xfId="34955" xr:uid="{00000000-0005-0000-0000-0000005A0000}"/>
    <cellStyle name="Comma 2 3 2 9 2 6" xfId="14124" xr:uid="{00000000-0005-0000-0000-0000015A0000}"/>
    <cellStyle name="Comma 2 3 2 9 2 6 2" xfId="37403" xr:uid="{00000000-0005-0000-0000-0000025A0000}"/>
    <cellStyle name="Comma 2 3 2 9 2 7" xfId="17819" xr:uid="{00000000-0005-0000-0000-0000035A0000}"/>
    <cellStyle name="Comma 2 3 2 9 2 7 2" xfId="41097" xr:uid="{00000000-0005-0000-0000-0000045A0000}"/>
    <cellStyle name="Comma 2 3 2 9 2 8" xfId="25163" xr:uid="{00000000-0005-0000-0000-0000055A0000}"/>
    <cellStyle name="Comma 2 3 2 9 2 9" xfId="45993" xr:uid="{00000000-0005-0000-0000-0000065A0000}"/>
    <cellStyle name="Comma 2 3 2 9 3" xfId="3108" xr:uid="{00000000-0005-0000-0000-0000075A0000}"/>
    <cellStyle name="Comma 2 3 2 9 3 2" xfId="16595" xr:uid="{00000000-0005-0000-0000-0000085A0000}"/>
    <cellStyle name="Comma 2 3 2 9 3 2 2" xfId="39873" xr:uid="{00000000-0005-0000-0000-0000095A0000}"/>
    <cellStyle name="Comma 2 3 2 9 3 3" xfId="47217" xr:uid="{00000000-0005-0000-0000-00000A5A0000}"/>
    <cellStyle name="Comma 2 3 2 9 3 4" xfId="26387" xr:uid="{00000000-0005-0000-0000-00000B5A0000}"/>
    <cellStyle name="Comma 2 3 2 9 4" xfId="5556" xr:uid="{00000000-0005-0000-0000-00000C5A0000}"/>
    <cellStyle name="Comma 2 3 2 9 4 2" xfId="19043" xr:uid="{00000000-0005-0000-0000-00000D5A0000}"/>
    <cellStyle name="Comma 2 3 2 9 4 2 2" xfId="42321" xr:uid="{00000000-0005-0000-0000-00000E5A0000}"/>
    <cellStyle name="Comma 2 3 2 9 4 3" xfId="28835" xr:uid="{00000000-0005-0000-0000-00000F5A0000}"/>
    <cellStyle name="Comma 2 3 2 9 5" xfId="8004" xr:uid="{00000000-0005-0000-0000-0000105A0000}"/>
    <cellStyle name="Comma 2 3 2 9 5 2" xfId="31283" xr:uid="{00000000-0005-0000-0000-0000115A0000}"/>
    <cellStyle name="Comma 2 3 2 9 6" xfId="10452" xr:uid="{00000000-0005-0000-0000-0000125A0000}"/>
    <cellStyle name="Comma 2 3 2 9 6 2" xfId="33731" xr:uid="{00000000-0005-0000-0000-0000135A0000}"/>
    <cellStyle name="Comma 2 3 2 9 7" xfId="12900" xr:uid="{00000000-0005-0000-0000-0000145A0000}"/>
    <cellStyle name="Comma 2 3 2 9 7 2" xfId="36179" xr:uid="{00000000-0005-0000-0000-0000155A0000}"/>
    <cellStyle name="Comma 2 3 2 9 8" xfId="15371" xr:uid="{00000000-0005-0000-0000-0000165A0000}"/>
    <cellStyle name="Comma 2 3 2 9 8 2" xfId="38649" xr:uid="{00000000-0005-0000-0000-0000175A0000}"/>
    <cellStyle name="Comma 2 3 2 9 9" xfId="23939" xr:uid="{00000000-0005-0000-0000-0000185A0000}"/>
    <cellStyle name="Comma 2 3 3" xfId="14736" xr:uid="{00000000-0005-0000-0000-0000195A0000}"/>
    <cellStyle name="Comma 2 3 3 2" xfId="38015" xr:uid="{00000000-0005-0000-0000-00001A5A0000}"/>
    <cellStyle name="Comma 2 4" xfId="49051" xr:uid="{00000000-0005-0000-0000-00001B5A0000}"/>
    <cellStyle name="Comma 2 4 2" xfId="49065" xr:uid="{00000000-0005-0000-0000-00001C5A0000}"/>
    <cellStyle name="Comma 2 5" xfId="49057" xr:uid="{00000000-0005-0000-0000-00001D5A0000}"/>
    <cellStyle name="Comma 3" xfId="14" xr:uid="{00000000-0005-0000-0000-00001E5A0000}"/>
    <cellStyle name="Comma 3 10" xfId="93" xr:uid="{00000000-0005-0000-0000-00001F5A0000}"/>
    <cellStyle name="Comma 3 10 10" xfId="7437" xr:uid="{00000000-0005-0000-0000-0000205A0000}"/>
    <cellStyle name="Comma 3 10 10 2" xfId="30716" xr:uid="{00000000-0005-0000-0000-0000215A0000}"/>
    <cellStyle name="Comma 3 10 11" xfId="9885" xr:uid="{00000000-0005-0000-0000-0000225A0000}"/>
    <cellStyle name="Comma 3 10 11 2" xfId="33164" xr:uid="{00000000-0005-0000-0000-0000235A0000}"/>
    <cellStyle name="Comma 3 10 12" xfId="12333" xr:uid="{00000000-0005-0000-0000-0000245A0000}"/>
    <cellStyle name="Comma 3 10 12 2" xfId="35612" xr:uid="{00000000-0005-0000-0000-0000255A0000}"/>
    <cellStyle name="Comma 3 10 13" xfId="14804" xr:uid="{00000000-0005-0000-0000-0000265A0000}"/>
    <cellStyle name="Comma 3 10 13 2" xfId="38082" xr:uid="{00000000-0005-0000-0000-0000275A0000}"/>
    <cellStyle name="Comma 3 10 14" xfId="23372" xr:uid="{00000000-0005-0000-0000-0000285A0000}"/>
    <cellStyle name="Comma 3 10 15" xfId="44202" xr:uid="{00000000-0005-0000-0000-0000295A0000}"/>
    <cellStyle name="Comma 3 10 16" xfId="20924" xr:uid="{00000000-0005-0000-0000-00002A5A0000}"/>
    <cellStyle name="Comma 3 10 2" xfId="161" xr:uid="{00000000-0005-0000-0000-00002B5A0000}"/>
    <cellStyle name="Comma 3 10 2 10" xfId="12401" xr:uid="{00000000-0005-0000-0000-00002C5A0000}"/>
    <cellStyle name="Comma 3 10 2 10 2" xfId="35680" xr:uid="{00000000-0005-0000-0000-00002D5A0000}"/>
    <cellStyle name="Comma 3 10 2 11" xfId="14872" xr:uid="{00000000-0005-0000-0000-00002E5A0000}"/>
    <cellStyle name="Comma 3 10 2 11 2" xfId="38150" xr:uid="{00000000-0005-0000-0000-00002F5A0000}"/>
    <cellStyle name="Comma 3 10 2 12" xfId="23440" xr:uid="{00000000-0005-0000-0000-0000305A0000}"/>
    <cellStyle name="Comma 3 10 2 13" xfId="44270" xr:uid="{00000000-0005-0000-0000-0000315A0000}"/>
    <cellStyle name="Comma 3 10 2 14" xfId="20992" xr:uid="{00000000-0005-0000-0000-0000325A0000}"/>
    <cellStyle name="Comma 3 10 2 2" xfId="365" xr:uid="{00000000-0005-0000-0000-0000335A0000}"/>
    <cellStyle name="Comma 3 10 2 2 10" xfId="23644" xr:uid="{00000000-0005-0000-0000-0000345A0000}"/>
    <cellStyle name="Comma 3 10 2 2 11" xfId="44474" xr:uid="{00000000-0005-0000-0000-0000355A0000}"/>
    <cellStyle name="Comma 3 10 2 2 12" xfId="21196" xr:uid="{00000000-0005-0000-0000-0000365A0000}"/>
    <cellStyle name="Comma 3 10 2 2 2" xfId="977" xr:uid="{00000000-0005-0000-0000-0000375A0000}"/>
    <cellStyle name="Comma 3 10 2 2 2 10" xfId="45086" xr:uid="{00000000-0005-0000-0000-0000385A0000}"/>
    <cellStyle name="Comma 3 10 2 2 2 11" xfId="21808" xr:uid="{00000000-0005-0000-0000-0000395A0000}"/>
    <cellStyle name="Comma 3 10 2 2 2 2" xfId="2201" xr:uid="{00000000-0005-0000-0000-00003A5A0000}"/>
    <cellStyle name="Comma 3 10 2 2 2 2 10" xfId="23032" xr:uid="{00000000-0005-0000-0000-00003B5A0000}"/>
    <cellStyle name="Comma 3 10 2 2 2 2 2" xfId="4649" xr:uid="{00000000-0005-0000-0000-00003C5A0000}"/>
    <cellStyle name="Comma 3 10 2 2 2 2 2 2" xfId="20584" xr:uid="{00000000-0005-0000-0000-00003D5A0000}"/>
    <cellStyle name="Comma 3 10 2 2 2 2 2 2 2" xfId="43862" xr:uid="{00000000-0005-0000-0000-00003E5A0000}"/>
    <cellStyle name="Comma 3 10 2 2 2 2 2 3" xfId="48758" xr:uid="{00000000-0005-0000-0000-00003F5A0000}"/>
    <cellStyle name="Comma 3 10 2 2 2 2 2 4" xfId="27928" xr:uid="{00000000-0005-0000-0000-0000405A0000}"/>
    <cellStyle name="Comma 3 10 2 2 2 2 3" xfId="7097" xr:uid="{00000000-0005-0000-0000-0000415A0000}"/>
    <cellStyle name="Comma 3 10 2 2 2 2 3 2" xfId="30376" xr:uid="{00000000-0005-0000-0000-0000425A0000}"/>
    <cellStyle name="Comma 3 10 2 2 2 2 4" xfId="9545" xr:uid="{00000000-0005-0000-0000-0000435A0000}"/>
    <cellStyle name="Comma 3 10 2 2 2 2 4 2" xfId="32824" xr:uid="{00000000-0005-0000-0000-0000445A0000}"/>
    <cellStyle name="Comma 3 10 2 2 2 2 5" xfId="11993" xr:uid="{00000000-0005-0000-0000-0000455A0000}"/>
    <cellStyle name="Comma 3 10 2 2 2 2 5 2" xfId="35272" xr:uid="{00000000-0005-0000-0000-0000465A0000}"/>
    <cellStyle name="Comma 3 10 2 2 2 2 6" xfId="14441" xr:uid="{00000000-0005-0000-0000-0000475A0000}"/>
    <cellStyle name="Comma 3 10 2 2 2 2 6 2" xfId="37720" xr:uid="{00000000-0005-0000-0000-0000485A0000}"/>
    <cellStyle name="Comma 3 10 2 2 2 2 7" xfId="18136" xr:uid="{00000000-0005-0000-0000-0000495A0000}"/>
    <cellStyle name="Comma 3 10 2 2 2 2 7 2" xfId="41414" xr:uid="{00000000-0005-0000-0000-00004A5A0000}"/>
    <cellStyle name="Comma 3 10 2 2 2 2 8" xfId="25480" xr:uid="{00000000-0005-0000-0000-00004B5A0000}"/>
    <cellStyle name="Comma 3 10 2 2 2 2 9" xfId="46310" xr:uid="{00000000-0005-0000-0000-00004C5A0000}"/>
    <cellStyle name="Comma 3 10 2 2 2 3" xfId="3425" xr:uid="{00000000-0005-0000-0000-00004D5A0000}"/>
    <cellStyle name="Comma 3 10 2 2 2 3 2" xfId="16912" xr:uid="{00000000-0005-0000-0000-00004E5A0000}"/>
    <cellStyle name="Comma 3 10 2 2 2 3 2 2" xfId="40190" xr:uid="{00000000-0005-0000-0000-00004F5A0000}"/>
    <cellStyle name="Comma 3 10 2 2 2 3 3" xfId="47534" xr:uid="{00000000-0005-0000-0000-0000505A0000}"/>
    <cellStyle name="Comma 3 10 2 2 2 3 4" xfId="26704" xr:uid="{00000000-0005-0000-0000-0000515A0000}"/>
    <cellStyle name="Comma 3 10 2 2 2 4" xfId="5873" xr:uid="{00000000-0005-0000-0000-0000525A0000}"/>
    <cellStyle name="Comma 3 10 2 2 2 4 2" xfId="19360" xr:uid="{00000000-0005-0000-0000-0000535A0000}"/>
    <cellStyle name="Comma 3 10 2 2 2 4 2 2" xfId="42638" xr:uid="{00000000-0005-0000-0000-0000545A0000}"/>
    <cellStyle name="Comma 3 10 2 2 2 4 3" xfId="29152" xr:uid="{00000000-0005-0000-0000-0000555A0000}"/>
    <cellStyle name="Comma 3 10 2 2 2 5" xfId="8321" xr:uid="{00000000-0005-0000-0000-0000565A0000}"/>
    <cellStyle name="Comma 3 10 2 2 2 5 2" xfId="31600" xr:uid="{00000000-0005-0000-0000-0000575A0000}"/>
    <cellStyle name="Comma 3 10 2 2 2 6" xfId="10769" xr:uid="{00000000-0005-0000-0000-0000585A0000}"/>
    <cellStyle name="Comma 3 10 2 2 2 6 2" xfId="34048" xr:uid="{00000000-0005-0000-0000-0000595A0000}"/>
    <cellStyle name="Comma 3 10 2 2 2 7" xfId="13217" xr:uid="{00000000-0005-0000-0000-00005A5A0000}"/>
    <cellStyle name="Comma 3 10 2 2 2 7 2" xfId="36496" xr:uid="{00000000-0005-0000-0000-00005B5A0000}"/>
    <cellStyle name="Comma 3 10 2 2 2 8" xfId="15688" xr:uid="{00000000-0005-0000-0000-00005C5A0000}"/>
    <cellStyle name="Comma 3 10 2 2 2 8 2" xfId="38966" xr:uid="{00000000-0005-0000-0000-00005D5A0000}"/>
    <cellStyle name="Comma 3 10 2 2 2 9" xfId="24256" xr:uid="{00000000-0005-0000-0000-00005E5A0000}"/>
    <cellStyle name="Comma 3 10 2 2 3" xfId="1589" xr:uid="{00000000-0005-0000-0000-00005F5A0000}"/>
    <cellStyle name="Comma 3 10 2 2 3 10" xfId="22420" xr:uid="{00000000-0005-0000-0000-0000605A0000}"/>
    <cellStyle name="Comma 3 10 2 2 3 2" xfId="4037" xr:uid="{00000000-0005-0000-0000-0000615A0000}"/>
    <cellStyle name="Comma 3 10 2 2 3 2 2" xfId="19972" xr:uid="{00000000-0005-0000-0000-0000625A0000}"/>
    <cellStyle name="Comma 3 10 2 2 3 2 2 2" xfId="43250" xr:uid="{00000000-0005-0000-0000-0000635A0000}"/>
    <cellStyle name="Comma 3 10 2 2 3 2 3" xfId="48146" xr:uid="{00000000-0005-0000-0000-0000645A0000}"/>
    <cellStyle name="Comma 3 10 2 2 3 2 4" xfId="27316" xr:uid="{00000000-0005-0000-0000-0000655A0000}"/>
    <cellStyle name="Comma 3 10 2 2 3 3" xfId="6485" xr:uid="{00000000-0005-0000-0000-0000665A0000}"/>
    <cellStyle name="Comma 3 10 2 2 3 3 2" xfId="29764" xr:uid="{00000000-0005-0000-0000-0000675A0000}"/>
    <cellStyle name="Comma 3 10 2 2 3 4" xfId="8933" xr:uid="{00000000-0005-0000-0000-0000685A0000}"/>
    <cellStyle name="Comma 3 10 2 2 3 4 2" xfId="32212" xr:uid="{00000000-0005-0000-0000-0000695A0000}"/>
    <cellStyle name="Comma 3 10 2 2 3 5" xfId="11381" xr:uid="{00000000-0005-0000-0000-00006A5A0000}"/>
    <cellStyle name="Comma 3 10 2 2 3 5 2" xfId="34660" xr:uid="{00000000-0005-0000-0000-00006B5A0000}"/>
    <cellStyle name="Comma 3 10 2 2 3 6" xfId="13829" xr:uid="{00000000-0005-0000-0000-00006C5A0000}"/>
    <cellStyle name="Comma 3 10 2 2 3 6 2" xfId="37108" xr:uid="{00000000-0005-0000-0000-00006D5A0000}"/>
    <cellStyle name="Comma 3 10 2 2 3 7" xfId="17524" xr:uid="{00000000-0005-0000-0000-00006E5A0000}"/>
    <cellStyle name="Comma 3 10 2 2 3 7 2" xfId="40802" xr:uid="{00000000-0005-0000-0000-00006F5A0000}"/>
    <cellStyle name="Comma 3 10 2 2 3 8" xfId="24868" xr:uid="{00000000-0005-0000-0000-0000705A0000}"/>
    <cellStyle name="Comma 3 10 2 2 3 9" xfId="45698" xr:uid="{00000000-0005-0000-0000-0000715A0000}"/>
    <cellStyle name="Comma 3 10 2 2 4" xfId="2813" xr:uid="{00000000-0005-0000-0000-0000725A0000}"/>
    <cellStyle name="Comma 3 10 2 2 4 2" xfId="16300" xr:uid="{00000000-0005-0000-0000-0000735A0000}"/>
    <cellStyle name="Comma 3 10 2 2 4 2 2" xfId="39578" xr:uid="{00000000-0005-0000-0000-0000745A0000}"/>
    <cellStyle name="Comma 3 10 2 2 4 3" xfId="46922" xr:uid="{00000000-0005-0000-0000-0000755A0000}"/>
    <cellStyle name="Comma 3 10 2 2 4 4" xfId="26092" xr:uid="{00000000-0005-0000-0000-0000765A0000}"/>
    <cellStyle name="Comma 3 10 2 2 5" xfId="5261" xr:uid="{00000000-0005-0000-0000-0000775A0000}"/>
    <cellStyle name="Comma 3 10 2 2 5 2" xfId="18748" xr:uid="{00000000-0005-0000-0000-0000785A0000}"/>
    <cellStyle name="Comma 3 10 2 2 5 2 2" xfId="42026" xr:uid="{00000000-0005-0000-0000-0000795A0000}"/>
    <cellStyle name="Comma 3 10 2 2 5 3" xfId="28540" xr:uid="{00000000-0005-0000-0000-00007A5A0000}"/>
    <cellStyle name="Comma 3 10 2 2 6" xfId="7709" xr:uid="{00000000-0005-0000-0000-00007B5A0000}"/>
    <cellStyle name="Comma 3 10 2 2 6 2" xfId="30988" xr:uid="{00000000-0005-0000-0000-00007C5A0000}"/>
    <cellStyle name="Comma 3 10 2 2 7" xfId="10157" xr:uid="{00000000-0005-0000-0000-00007D5A0000}"/>
    <cellStyle name="Comma 3 10 2 2 7 2" xfId="33436" xr:uid="{00000000-0005-0000-0000-00007E5A0000}"/>
    <cellStyle name="Comma 3 10 2 2 8" xfId="12605" xr:uid="{00000000-0005-0000-0000-00007F5A0000}"/>
    <cellStyle name="Comma 3 10 2 2 8 2" xfId="35884" xr:uid="{00000000-0005-0000-0000-0000805A0000}"/>
    <cellStyle name="Comma 3 10 2 2 9" xfId="15076" xr:uid="{00000000-0005-0000-0000-0000815A0000}"/>
    <cellStyle name="Comma 3 10 2 2 9 2" xfId="38354" xr:uid="{00000000-0005-0000-0000-0000825A0000}"/>
    <cellStyle name="Comma 3 10 2 3" xfId="569" xr:uid="{00000000-0005-0000-0000-0000835A0000}"/>
    <cellStyle name="Comma 3 10 2 3 10" xfId="23848" xr:uid="{00000000-0005-0000-0000-0000845A0000}"/>
    <cellStyle name="Comma 3 10 2 3 11" xfId="44678" xr:uid="{00000000-0005-0000-0000-0000855A0000}"/>
    <cellStyle name="Comma 3 10 2 3 12" xfId="21400" xr:uid="{00000000-0005-0000-0000-0000865A0000}"/>
    <cellStyle name="Comma 3 10 2 3 2" xfId="1181" xr:uid="{00000000-0005-0000-0000-0000875A0000}"/>
    <cellStyle name="Comma 3 10 2 3 2 10" xfId="45290" xr:uid="{00000000-0005-0000-0000-0000885A0000}"/>
    <cellStyle name="Comma 3 10 2 3 2 11" xfId="22012" xr:uid="{00000000-0005-0000-0000-0000895A0000}"/>
    <cellStyle name="Comma 3 10 2 3 2 2" xfId="2405" xr:uid="{00000000-0005-0000-0000-00008A5A0000}"/>
    <cellStyle name="Comma 3 10 2 3 2 2 10" xfId="23236" xr:uid="{00000000-0005-0000-0000-00008B5A0000}"/>
    <cellStyle name="Comma 3 10 2 3 2 2 2" xfId="4853" xr:uid="{00000000-0005-0000-0000-00008C5A0000}"/>
    <cellStyle name="Comma 3 10 2 3 2 2 2 2" xfId="20788" xr:uid="{00000000-0005-0000-0000-00008D5A0000}"/>
    <cellStyle name="Comma 3 10 2 3 2 2 2 2 2" xfId="44066" xr:uid="{00000000-0005-0000-0000-00008E5A0000}"/>
    <cellStyle name="Comma 3 10 2 3 2 2 2 3" xfId="48962" xr:uid="{00000000-0005-0000-0000-00008F5A0000}"/>
    <cellStyle name="Comma 3 10 2 3 2 2 2 4" xfId="28132" xr:uid="{00000000-0005-0000-0000-0000905A0000}"/>
    <cellStyle name="Comma 3 10 2 3 2 2 3" xfId="7301" xr:uid="{00000000-0005-0000-0000-0000915A0000}"/>
    <cellStyle name="Comma 3 10 2 3 2 2 3 2" xfId="30580" xr:uid="{00000000-0005-0000-0000-0000925A0000}"/>
    <cellStyle name="Comma 3 10 2 3 2 2 4" xfId="9749" xr:uid="{00000000-0005-0000-0000-0000935A0000}"/>
    <cellStyle name="Comma 3 10 2 3 2 2 4 2" xfId="33028" xr:uid="{00000000-0005-0000-0000-0000945A0000}"/>
    <cellStyle name="Comma 3 10 2 3 2 2 5" xfId="12197" xr:uid="{00000000-0005-0000-0000-0000955A0000}"/>
    <cellStyle name="Comma 3 10 2 3 2 2 5 2" xfId="35476" xr:uid="{00000000-0005-0000-0000-0000965A0000}"/>
    <cellStyle name="Comma 3 10 2 3 2 2 6" xfId="14645" xr:uid="{00000000-0005-0000-0000-0000975A0000}"/>
    <cellStyle name="Comma 3 10 2 3 2 2 6 2" xfId="37924" xr:uid="{00000000-0005-0000-0000-0000985A0000}"/>
    <cellStyle name="Comma 3 10 2 3 2 2 7" xfId="18340" xr:uid="{00000000-0005-0000-0000-0000995A0000}"/>
    <cellStyle name="Comma 3 10 2 3 2 2 7 2" xfId="41618" xr:uid="{00000000-0005-0000-0000-00009A5A0000}"/>
    <cellStyle name="Comma 3 10 2 3 2 2 8" xfId="25684" xr:uid="{00000000-0005-0000-0000-00009B5A0000}"/>
    <cellStyle name="Comma 3 10 2 3 2 2 9" xfId="46514" xr:uid="{00000000-0005-0000-0000-00009C5A0000}"/>
    <cellStyle name="Comma 3 10 2 3 2 3" xfId="3629" xr:uid="{00000000-0005-0000-0000-00009D5A0000}"/>
    <cellStyle name="Comma 3 10 2 3 2 3 2" xfId="17116" xr:uid="{00000000-0005-0000-0000-00009E5A0000}"/>
    <cellStyle name="Comma 3 10 2 3 2 3 2 2" xfId="40394" xr:uid="{00000000-0005-0000-0000-00009F5A0000}"/>
    <cellStyle name="Comma 3 10 2 3 2 3 3" xfId="47738" xr:uid="{00000000-0005-0000-0000-0000A05A0000}"/>
    <cellStyle name="Comma 3 10 2 3 2 3 4" xfId="26908" xr:uid="{00000000-0005-0000-0000-0000A15A0000}"/>
    <cellStyle name="Comma 3 10 2 3 2 4" xfId="6077" xr:uid="{00000000-0005-0000-0000-0000A25A0000}"/>
    <cellStyle name="Comma 3 10 2 3 2 4 2" xfId="19564" xr:uid="{00000000-0005-0000-0000-0000A35A0000}"/>
    <cellStyle name="Comma 3 10 2 3 2 4 2 2" xfId="42842" xr:uid="{00000000-0005-0000-0000-0000A45A0000}"/>
    <cellStyle name="Comma 3 10 2 3 2 4 3" xfId="29356" xr:uid="{00000000-0005-0000-0000-0000A55A0000}"/>
    <cellStyle name="Comma 3 10 2 3 2 5" xfId="8525" xr:uid="{00000000-0005-0000-0000-0000A65A0000}"/>
    <cellStyle name="Comma 3 10 2 3 2 5 2" xfId="31804" xr:uid="{00000000-0005-0000-0000-0000A75A0000}"/>
    <cellStyle name="Comma 3 10 2 3 2 6" xfId="10973" xr:uid="{00000000-0005-0000-0000-0000A85A0000}"/>
    <cellStyle name="Comma 3 10 2 3 2 6 2" xfId="34252" xr:uid="{00000000-0005-0000-0000-0000A95A0000}"/>
    <cellStyle name="Comma 3 10 2 3 2 7" xfId="13421" xr:uid="{00000000-0005-0000-0000-0000AA5A0000}"/>
    <cellStyle name="Comma 3 10 2 3 2 7 2" xfId="36700" xr:uid="{00000000-0005-0000-0000-0000AB5A0000}"/>
    <cellStyle name="Comma 3 10 2 3 2 8" xfId="15892" xr:uid="{00000000-0005-0000-0000-0000AC5A0000}"/>
    <cellStyle name="Comma 3 10 2 3 2 8 2" xfId="39170" xr:uid="{00000000-0005-0000-0000-0000AD5A0000}"/>
    <cellStyle name="Comma 3 10 2 3 2 9" xfId="24460" xr:uid="{00000000-0005-0000-0000-0000AE5A0000}"/>
    <cellStyle name="Comma 3 10 2 3 3" xfId="1793" xr:uid="{00000000-0005-0000-0000-0000AF5A0000}"/>
    <cellStyle name="Comma 3 10 2 3 3 10" xfId="22624" xr:uid="{00000000-0005-0000-0000-0000B05A0000}"/>
    <cellStyle name="Comma 3 10 2 3 3 2" xfId="4241" xr:uid="{00000000-0005-0000-0000-0000B15A0000}"/>
    <cellStyle name="Comma 3 10 2 3 3 2 2" xfId="20176" xr:uid="{00000000-0005-0000-0000-0000B25A0000}"/>
    <cellStyle name="Comma 3 10 2 3 3 2 2 2" xfId="43454" xr:uid="{00000000-0005-0000-0000-0000B35A0000}"/>
    <cellStyle name="Comma 3 10 2 3 3 2 3" xfId="48350" xr:uid="{00000000-0005-0000-0000-0000B45A0000}"/>
    <cellStyle name="Comma 3 10 2 3 3 2 4" xfId="27520" xr:uid="{00000000-0005-0000-0000-0000B55A0000}"/>
    <cellStyle name="Comma 3 10 2 3 3 3" xfId="6689" xr:uid="{00000000-0005-0000-0000-0000B65A0000}"/>
    <cellStyle name="Comma 3 10 2 3 3 3 2" xfId="29968" xr:uid="{00000000-0005-0000-0000-0000B75A0000}"/>
    <cellStyle name="Comma 3 10 2 3 3 4" xfId="9137" xr:uid="{00000000-0005-0000-0000-0000B85A0000}"/>
    <cellStyle name="Comma 3 10 2 3 3 4 2" xfId="32416" xr:uid="{00000000-0005-0000-0000-0000B95A0000}"/>
    <cellStyle name="Comma 3 10 2 3 3 5" xfId="11585" xr:uid="{00000000-0005-0000-0000-0000BA5A0000}"/>
    <cellStyle name="Comma 3 10 2 3 3 5 2" xfId="34864" xr:uid="{00000000-0005-0000-0000-0000BB5A0000}"/>
    <cellStyle name="Comma 3 10 2 3 3 6" xfId="14033" xr:uid="{00000000-0005-0000-0000-0000BC5A0000}"/>
    <cellStyle name="Comma 3 10 2 3 3 6 2" xfId="37312" xr:uid="{00000000-0005-0000-0000-0000BD5A0000}"/>
    <cellStyle name="Comma 3 10 2 3 3 7" xfId="17728" xr:uid="{00000000-0005-0000-0000-0000BE5A0000}"/>
    <cellStyle name="Comma 3 10 2 3 3 7 2" xfId="41006" xr:uid="{00000000-0005-0000-0000-0000BF5A0000}"/>
    <cellStyle name="Comma 3 10 2 3 3 8" xfId="25072" xr:uid="{00000000-0005-0000-0000-0000C05A0000}"/>
    <cellStyle name="Comma 3 10 2 3 3 9" xfId="45902" xr:uid="{00000000-0005-0000-0000-0000C15A0000}"/>
    <cellStyle name="Comma 3 10 2 3 4" xfId="3017" xr:uid="{00000000-0005-0000-0000-0000C25A0000}"/>
    <cellStyle name="Comma 3 10 2 3 4 2" xfId="16504" xr:uid="{00000000-0005-0000-0000-0000C35A0000}"/>
    <cellStyle name="Comma 3 10 2 3 4 2 2" xfId="39782" xr:uid="{00000000-0005-0000-0000-0000C45A0000}"/>
    <cellStyle name="Comma 3 10 2 3 4 3" xfId="47126" xr:uid="{00000000-0005-0000-0000-0000C55A0000}"/>
    <cellStyle name="Comma 3 10 2 3 4 4" xfId="26296" xr:uid="{00000000-0005-0000-0000-0000C65A0000}"/>
    <cellStyle name="Comma 3 10 2 3 5" xfId="5465" xr:uid="{00000000-0005-0000-0000-0000C75A0000}"/>
    <cellStyle name="Comma 3 10 2 3 5 2" xfId="18952" xr:uid="{00000000-0005-0000-0000-0000C85A0000}"/>
    <cellStyle name="Comma 3 10 2 3 5 2 2" xfId="42230" xr:uid="{00000000-0005-0000-0000-0000C95A0000}"/>
    <cellStyle name="Comma 3 10 2 3 5 3" xfId="28744" xr:uid="{00000000-0005-0000-0000-0000CA5A0000}"/>
    <cellStyle name="Comma 3 10 2 3 6" xfId="7913" xr:uid="{00000000-0005-0000-0000-0000CB5A0000}"/>
    <cellStyle name="Comma 3 10 2 3 6 2" xfId="31192" xr:uid="{00000000-0005-0000-0000-0000CC5A0000}"/>
    <cellStyle name="Comma 3 10 2 3 7" xfId="10361" xr:uid="{00000000-0005-0000-0000-0000CD5A0000}"/>
    <cellStyle name="Comma 3 10 2 3 7 2" xfId="33640" xr:uid="{00000000-0005-0000-0000-0000CE5A0000}"/>
    <cellStyle name="Comma 3 10 2 3 8" xfId="12809" xr:uid="{00000000-0005-0000-0000-0000CF5A0000}"/>
    <cellStyle name="Comma 3 10 2 3 8 2" xfId="36088" xr:uid="{00000000-0005-0000-0000-0000D05A0000}"/>
    <cellStyle name="Comma 3 10 2 3 9" xfId="15280" xr:uid="{00000000-0005-0000-0000-0000D15A0000}"/>
    <cellStyle name="Comma 3 10 2 3 9 2" xfId="38558" xr:uid="{00000000-0005-0000-0000-0000D25A0000}"/>
    <cellStyle name="Comma 3 10 2 4" xfId="773" xr:uid="{00000000-0005-0000-0000-0000D35A0000}"/>
    <cellStyle name="Comma 3 10 2 4 10" xfId="44882" xr:uid="{00000000-0005-0000-0000-0000D45A0000}"/>
    <cellStyle name="Comma 3 10 2 4 11" xfId="21604" xr:uid="{00000000-0005-0000-0000-0000D55A0000}"/>
    <cellStyle name="Comma 3 10 2 4 2" xfId="1997" xr:uid="{00000000-0005-0000-0000-0000D65A0000}"/>
    <cellStyle name="Comma 3 10 2 4 2 10" xfId="22828" xr:uid="{00000000-0005-0000-0000-0000D75A0000}"/>
    <cellStyle name="Comma 3 10 2 4 2 2" xfId="4445" xr:uid="{00000000-0005-0000-0000-0000D85A0000}"/>
    <cellStyle name="Comma 3 10 2 4 2 2 2" xfId="20380" xr:uid="{00000000-0005-0000-0000-0000D95A0000}"/>
    <cellStyle name="Comma 3 10 2 4 2 2 2 2" xfId="43658" xr:uid="{00000000-0005-0000-0000-0000DA5A0000}"/>
    <cellStyle name="Comma 3 10 2 4 2 2 3" xfId="48554" xr:uid="{00000000-0005-0000-0000-0000DB5A0000}"/>
    <cellStyle name="Comma 3 10 2 4 2 2 4" xfId="27724" xr:uid="{00000000-0005-0000-0000-0000DC5A0000}"/>
    <cellStyle name="Comma 3 10 2 4 2 3" xfId="6893" xr:uid="{00000000-0005-0000-0000-0000DD5A0000}"/>
    <cellStyle name="Comma 3 10 2 4 2 3 2" xfId="30172" xr:uid="{00000000-0005-0000-0000-0000DE5A0000}"/>
    <cellStyle name="Comma 3 10 2 4 2 4" xfId="9341" xr:uid="{00000000-0005-0000-0000-0000DF5A0000}"/>
    <cellStyle name="Comma 3 10 2 4 2 4 2" xfId="32620" xr:uid="{00000000-0005-0000-0000-0000E05A0000}"/>
    <cellStyle name="Comma 3 10 2 4 2 5" xfId="11789" xr:uid="{00000000-0005-0000-0000-0000E15A0000}"/>
    <cellStyle name="Comma 3 10 2 4 2 5 2" xfId="35068" xr:uid="{00000000-0005-0000-0000-0000E25A0000}"/>
    <cellStyle name="Comma 3 10 2 4 2 6" xfId="14237" xr:uid="{00000000-0005-0000-0000-0000E35A0000}"/>
    <cellStyle name="Comma 3 10 2 4 2 6 2" xfId="37516" xr:uid="{00000000-0005-0000-0000-0000E45A0000}"/>
    <cellStyle name="Comma 3 10 2 4 2 7" xfId="17932" xr:uid="{00000000-0005-0000-0000-0000E55A0000}"/>
    <cellStyle name="Comma 3 10 2 4 2 7 2" xfId="41210" xr:uid="{00000000-0005-0000-0000-0000E65A0000}"/>
    <cellStyle name="Comma 3 10 2 4 2 8" xfId="25276" xr:uid="{00000000-0005-0000-0000-0000E75A0000}"/>
    <cellStyle name="Comma 3 10 2 4 2 9" xfId="46106" xr:uid="{00000000-0005-0000-0000-0000E85A0000}"/>
    <cellStyle name="Comma 3 10 2 4 3" xfId="3221" xr:uid="{00000000-0005-0000-0000-0000E95A0000}"/>
    <cellStyle name="Comma 3 10 2 4 3 2" xfId="16708" xr:uid="{00000000-0005-0000-0000-0000EA5A0000}"/>
    <cellStyle name="Comma 3 10 2 4 3 2 2" xfId="39986" xr:uid="{00000000-0005-0000-0000-0000EB5A0000}"/>
    <cellStyle name="Comma 3 10 2 4 3 3" xfId="47330" xr:uid="{00000000-0005-0000-0000-0000EC5A0000}"/>
    <cellStyle name="Comma 3 10 2 4 3 4" xfId="26500" xr:uid="{00000000-0005-0000-0000-0000ED5A0000}"/>
    <cellStyle name="Comma 3 10 2 4 4" xfId="5669" xr:uid="{00000000-0005-0000-0000-0000EE5A0000}"/>
    <cellStyle name="Comma 3 10 2 4 4 2" xfId="19156" xr:uid="{00000000-0005-0000-0000-0000EF5A0000}"/>
    <cellStyle name="Comma 3 10 2 4 4 2 2" xfId="42434" xr:uid="{00000000-0005-0000-0000-0000F05A0000}"/>
    <cellStyle name="Comma 3 10 2 4 4 3" xfId="28948" xr:uid="{00000000-0005-0000-0000-0000F15A0000}"/>
    <cellStyle name="Comma 3 10 2 4 5" xfId="8117" xr:uid="{00000000-0005-0000-0000-0000F25A0000}"/>
    <cellStyle name="Comma 3 10 2 4 5 2" xfId="31396" xr:uid="{00000000-0005-0000-0000-0000F35A0000}"/>
    <cellStyle name="Comma 3 10 2 4 6" xfId="10565" xr:uid="{00000000-0005-0000-0000-0000F45A0000}"/>
    <cellStyle name="Comma 3 10 2 4 6 2" xfId="33844" xr:uid="{00000000-0005-0000-0000-0000F55A0000}"/>
    <cellStyle name="Comma 3 10 2 4 7" xfId="13013" xr:uid="{00000000-0005-0000-0000-0000F65A0000}"/>
    <cellStyle name="Comma 3 10 2 4 7 2" xfId="36292" xr:uid="{00000000-0005-0000-0000-0000F75A0000}"/>
    <cellStyle name="Comma 3 10 2 4 8" xfId="15484" xr:uid="{00000000-0005-0000-0000-0000F85A0000}"/>
    <cellStyle name="Comma 3 10 2 4 8 2" xfId="38762" xr:uid="{00000000-0005-0000-0000-0000F95A0000}"/>
    <cellStyle name="Comma 3 10 2 4 9" xfId="24052" xr:uid="{00000000-0005-0000-0000-0000FA5A0000}"/>
    <cellStyle name="Comma 3 10 2 5" xfId="1385" xr:uid="{00000000-0005-0000-0000-0000FB5A0000}"/>
    <cellStyle name="Comma 3 10 2 5 10" xfId="22216" xr:uid="{00000000-0005-0000-0000-0000FC5A0000}"/>
    <cellStyle name="Comma 3 10 2 5 2" xfId="3833" xr:uid="{00000000-0005-0000-0000-0000FD5A0000}"/>
    <cellStyle name="Comma 3 10 2 5 2 2" xfId="19768" xr:uid="{00000000-0005-0000-0000-0000FE5A0000}"/>
    <cellStyle name="Comma 3 10 2 5 2 2 2" xfId="43046" xr:uid="{00000000-0005-0000-0000-0000FF5A0000}"/>
    <cellStyle name="Comma 3 10 2 5 2 3" xfId="47942" xr:uid="{00000000-0005-0000-0000-0000005B0000}"/>
    <cellStyle name="Comma 3 10 2 5 2 4" xfId="27112" xr:uid="{00000000-0005-0000-0000-0000015B0000}"/>
    <cellStyle name="Comma 3 10 2 5 3" xfId="6281" xr:uid="{00000000-0005-0000-0000-0000025B0000}"/>
    <cellStyle name="Comma 3 10 2 5 3 2" xfId="29560" xr:uid="{00000000-0005-0000-0000-0000035B0000}"/>
    <cellStyle name="Comma 3 10 2 5 4" xfId="8729" xr:uid="{00000000-0005-0000-0000-0000045B0000}"/>
    <cellStyle name="Comma 3 10 2 5 4 2" xfId="32008" xr:uid="{00000000-0005-0000-0000-0000055B0000}"/>
    <cellStyle name="Comma 3 10 2 5 5" xfId="11177" xr:uid="{00000000-0005-0000-0000-0000065B0000}"/>
    <cellStyle name="Comma 3 10 2 5 5 2" xfId="34456" xr:uid="{00000000-0005-0000-0000-0000075B0000}"/>
    <cellStyle name="Comma 3 10 2 5 6" xfId="13625" xr:uid="{00000000-0005-0000-0000-0000085B0000}"/>
    <cellStyle name="Comma 3 10 2 5 6 2" xfId="36904" xr:uid="{00000000-0005-0000-0000-0000095B0000}"/>
    <cellStyle name="Comma 3 10 2 5 7" xfId="17320" xr:uid="{00000000-0005-0000-0000-00000A5B0000}"/>
    <cellStyle name="Comma 3 10 2 5 7 2" xfId="40598" xr:uid="{00000000-0005-0000-0000-00000B5B0000}"/>
    <cellStyle name="Comma 3 10 2 5 8" xfId="24664" xr:uid="{00000000-0005-0000-0000-00000C5B0000}"/>
    <cellStyle name="Comma 3 10 2 5 9" xfId="45494" xr:uid="{00000000-0005-0000-0000-00000D5B0000}"/>
    <cellStyle name="Comma 3 10 2 6" xfId="2609" xr:uid="{00000000-0005-0000-0000-00000E5B0000}"/>
    <cellStyle name="Comma 3 10 2 6 2" xfId="16096" xr:uid="{00000000-0005-0000-0000-00000F5B0000}"/>
    <cellStyle name="Comma 3 10 2 6 2 2" xfId="39374" xr:uid="{00000000-0005-0000-0000-0000105B0000}"/>
    <cellStyle name="Comma 3 10 2 6 3" xfId="46718" xr:uid="{00000000-0005-0000-0000-0000115B0000}"/>
    <cellStyle name="Comma 3 10 2 6 4" xfId="25888" xr:uid="{00000000-0005-0000-0000-0000125B0000}"/>
    <cellStyle name="Comma 3 10 2 7" xfId="5057" xr:uid="{00000000-0005-0000-0000-0000135B0000}"/>
    <cellStyle name="Comma 3 10 2 7 2" xfId="18544" xr:uid="{00000000-0005-0000-0000-0000145B0000}"/>
    <cellStyle name="Comma 3 10 2 7 2 2" xfId="41822" xr:uid="{00000000-0005-0000-0000-0000155B0000}"/>
    <cellStyle name="Comma 3 10 2 7 3" xfId="28336" xr:uid="{00000000-0005-0000-0000-0000165B0000}"/>
    <cellStyle name="Comma 3 10 2 8" xfId="7505" xr:uid="{00000000-0005-0000-0000-0000175B0000}"/>
    <cellStyle name="Comma 3 10 2 8 2" xfId="30784" xr:uid="{00000000-0005-0000-0000-0000185B0000}"/>
    <cellStyle name="Comma 3 10 2 9" xfId="9953" xr:uid="{00000000-0005-0000-0000-0000195B0000}"/>
    <cellStyle name="Comma 3 10 2 9 2" xfId="33232" xr:uid="{00000000-0005-0000-0000-00001A5B0000}"/>
    <cellStyle name="Comma 3 10 3" xfId="229" xr:uid="{00000000-0005-0000-0000-00001B5B0000}"/>
    <cellStyle name="Comma 3 10 3 10" xfId="12469" xr:uid="{00000000-0005-0000-0000-00001C5B0000}"/>
    <cellStyle name="Comma 3 10 3 10 2" xfId="35748" xr:uid="{00000000-0005-0000-0000-00001D5B0000}"/>
    <cellStyle name="Comma 3 10 3 11" xfId="14940" xr:uid="{00000000-0005-0000-0000-00001E5B0000}"/>
    <cellStyle name="Comma 3 10 3 11 2" xfId="38218" xr:uid="{00000000-0005-0000-0000-00001F5B0000}"/>
    <cellStyle name="Comma 3 10 3 12" xfId="23508" xr:uid="{00000000-0005-0000-0000-0000205B0000}"/>
    <cellStyle name="Comma 3 10 3 13" xfId="44338" xr:uid="{00000000-0005-0000-0000-0000215B0000}"/>
    <cellStyle name="Comma 3 10 3 14" xfId="21060" xr:uid="{00000000-0005-0000-0000-0000225B0000}"/>
    <cellStyle name="Comma 3 10 3 2" xfId="433" xr:uid="{00000000-0005-0000-0000-0000235B0000}"/>
    <cellStyle name="Comma 3 10 3 2 10" xfId="23712" xr:uid="{00000000-0005-0000-0000-0000245B0000}"/>
    <cellStyle name="Comma 3 10 3 2 11" xfId="44542" xr:uid="{00000000-0005-0000-0000-0000255B0000}"/>
    <cellStyle name="Comma 3 10 3 2 12" xfId="21264" xr:uid="{00000000-0005-0000-0000-0000265B0000}"/>
    <cellStyle name="Comma 3 10 3 2 2" xfId="1045" xr:uid="{00000000-0005-0000-0000-0000275B0000}"/>
    <cellStyle name="Comma 3 10 3 2 2 10" xfId="45154" xr:uid="{00000000-0005-0000-0000-0000285B0000}"/>
    <cellStyle name="Comma 3 10 3 2 2 11" xfId="21876" xr:uid="{00000000-0005-0000-0000-0000295B0000}"/>
    <cellStyle name="Comma 3 10 3 2 2 2" xfId="2269" xr:uid="{00000000-0005-0000-0000-00002A5B0000}"/>
    <cellStyle name="Comma 3 10 3 2 2 2 10" xfId="23100" xr:uid="{00000000-0005-0000-0000-00002B5B0000}"/>
    <cellStyle name="Comma 3 10 3 2 2 2 2" xfId="4717" xr:uid="{00000000-0005-0000-0000-00002C5B0000}"/>
    <cellStyle name="Comma 3 10 3 2 2 2 2 2" xfId="20652" xr:uid="{00000000-0005-0000-0000-00002D5B0000}"/>
    <cellStyle name="Comma 3 10 3 2 2 2 2 2 2" xfId="43930" xr:uid="{00000000-0005-0000-0000-00002E5B0000}"/>
    <cellStyle name="Comma 3 10 3 2 2 2 2 3" xfId="48826" xr:uid="{00000000-0005-0000-0000-00002F5B0000}"/>
    <cellStyle name="Comma 3 10 3 2 2 2 2 4" xfId="27996" xr:uid="{00000000-0005-0000-0000-0000305B0000}"/>
    <cellStyle name="Comma 3 10 3 2 2 2 3" xfId="7165" xr:uid="{00000000-0005-0000-0000-0000315B0000}"/>
    <cellStyle name="Comma 3 10 3 2 2 2 3 2" xfId="30444" xr:uid="{00000000-0005-0000-0000-0000325B0000}"/>
    <cellStyle name="Comma 3 10 3 2 2 2 4" xfId="9613" xr:uid="{00000000-0005-0000-0000-0000335B0000}"/>
    <cellStyle name="Comma 3 10 3 2 2 2 4 2" xfId="32892" xr:uid="{00000000-0005-0000-0000-0000345B0000}"/>
    <cellStyle name="Comma 3 10 3 2 2 2 5" xfId="12061" xr:uid="{00000000-0005-0000-0000-0000355B0000}"/>
    <cellStyle name="Comma 3 10 3 2 2 2 5 2" xfId="35340" xr:uid="{00000000-0005-0000-0000-0000365B0000}"/>
    <cellStyle name="Comma 3 10 3 2 2 2 6" xfId="14509" xr:uid="{00000000-0005-0000-0000-0000375B0000}"/>
    <cellStyle name="Comma 3 10 3 2 2 2 6 2" xfId="37788" xr:uid="{00000000-0005-0000-0000-0000385B0000}"/>
    <cellStyle name="Comma 3 10 3 2 2 2 7" xfId="18204" xr:uid="{00000000-0005-0000-0000-0000395B0000}"/>
    <cellStyle name="Comma 3 10 3 2 2 2 7 2" xfId="41482" xr:uid="{00000000-0005-0000-0000-00003A5B0000}"/>
    <cellStyle name="Comma 3 10 3 2 2 2 8" xfId="25548" xr:uid="{00000000-0005-0000-0000-00003B5B0000}"/>
    <cellStyle name="Comma 3 10 3 2 2 2 9" xfId="46378" xr:uid="{00000000-0005-0000-0000-00003C5B0000}"/>
    <cellStyle name="Comma 3 10 3 2 2 3" xfId="3493" xr:uid="{00000000-0005-0000-0000-00003D5B0000}"/>
    <cellStyle name="Comma 3 10 3 2 2 3 2" xfId="16980" xr:uid="{00000000-0005-0000-0000-00003E5B0000}"/>
    <cellStyle name="Comma 3 10 3 2 2 3 2 2" xfId="40258" xr:uid="{00000000-0005-0000-0000-00003F5B0000}"/>
    <cellStyle name="Comma 3 10 3 2 2 3 3" xfId="47602" xr:uid="{00000000-0005-0000-0000-0000405B0000}"/>
    <cellStyle name="Comma 3 10 3 2 2 3 4" xfId="26772" xr:uid="{00000000-0005-0000-0000-0000415B0000}"/>
    <cellStyle name="Comma 3 10 3 2 2 4" xfId="5941" xr:uid="{00000000-0005-0000-0000-0000425B0000}"/>
    <cellStyle name="Comma 3 10 3 2 2 4 2" xfId="19428" xr:uid="{00000000-0005-0000-0000-0000435B0000}"/>
    <cellStyle name="Comma 3 10 3 2 2 4 2 2" xfId="42706" xr:uid="{00000000-0005-0000-0000-0000445B0000}"/>
    <cellStyle name="Comma 3 10 3 2 2 4 3" xfId="29220" xr:uid="{00000000-0005-0000-0000-0000455B0000}"/>
    <cellStyle name="Comma 3 10 3 2 2 5" xfId="8389" xr:uid="{00000000-0005-0000-0000-0000465B0000}"/>
    <cellStyle name="Comma 3 10 3 2 2 5 2" xfId="31668" xr:uid="{00000000-0005-0000-0000-0000475B0000}"/>
    <cellStyle name="Comma 3 10 3 2 2 6" xfId="10837" xr:uid="{00000000-0005-0000-0000-0000485B0000}"/>
    <cellStyle name="Comma 3 10 3 2 2 6 2" xfId="34116" xr:uid="{00000000-0005-0000-0000-0000495B0000}"/>
    <cellStyle name="Comma 3 10 3 2 2 7" xfId="13285" xr:uid="{00000000-0005-0000-0000-00004A5B0000}"/>
    <cellStyle name="Comma 3 10 3 2 2 7 2" xfId="36564" xr:uid="{00000000-0005-0000-0000-00004B5B0000}"/>
    <cellStyle name="Comma 3 10 3 2 2 8" xfId="15756" xr:uid="{00000000-0005-0000-0000-00004C5B0000}"/>
    <cellStyle name="Comma 3 10 3 2 2 8 2" xfId="39034" xr:uid="{00000000-0005-0000-0000-00004D5B0000}"/>
    <cellStyle name="Comma 3 10 3 2 2 9" xfId="24324" xr:uid="{00000000-0005-0000-0000-00004E5B0000}"/>
    <cellStyle name="Comma 3 10 3 2 3" xfId="1657" xr:uid="{00000000-0005-0000-0000-00004F5B0000}"/>
    <cellStyle name="Comma 3 10 3 2 3 10" xfId="22488" xr:uid="{00000000-0005-0000-0000-0000505B0000}"/>
    <cellStyle name="Comma 3 10 3 2 3 2" xfId="4105" xr:uid="{00000000-0005-0000-0000-0000515B0000}"/>
    <cellStyle name="Comma 3 10 3 2 3 2 2" xfId="20040" xr:uid="{00000000-0005-0000-0000-0000525B0000}"/>
    <cellStyle name="Comma 3 10 3 2 3 2 2 2" xfId="43318" xr:uid="{00000000-0005-0000-0000-0000535B0000}"/>
    <cellStyle name="Comma 3 10 3 2 3 2 3" xfId="48214" xr:uid="{00000000-0005-0000-0000-0000545B0000}"/>
    <cellStyle name="Comma 3 10 3 2 3 2 4" xfId="27384" xr:uid="{00000000-0005-0000-0000-0000555B0000}"/>
    <cellStyle name="Comma 3 10 3 2 3 3" xfId="6553" xr:uid="{00000000-0005-0000-0000-0000565B0000}"/>
    <cellStyle name="Comma 3 10 3 2 3 3 2" xfId="29832" xr:uid="{00000000-0005-0000-0000-0000575B0000}"/>
    <cellStyle name="Comma 3 10 3 2 3 4" xfId="9001" xr:uid="{00000000-0005-0000-0000-0000585B0000}"/>
    <cellStyle name="Comma 3 10 3 2 3 4 2" xfId="32280" xr:uid="{00000000-0005-0000-0000-0000595B0000}"/>
    <cellStyle name="Comma 3 10 3 2 3 5" xfId="11449" xr:uid="{00000000-0005-0000-0000-00005A5B0000}"/>
    <cellStyle name="Comma 3 10 3 2 3 5 2" xfId="34728" xr:uid="{00000000-0005-0000-0000-00005B5B0000}"/>
    <cellStyle name="Comma 3 10 3 2 3 6" xfId="13897" xr:uid="{00000000-0005-0000-0000-00005C5B0000}"/>
    <cellStyle name="Comma 3 10 3 2 3 6 2" xfId="37176" xr:uid="{00000000-0005-0000-0000-00005D5B0000}"/>
    <cellStyle name="Comma 3 10 3 2 3 7" xfId="17592" xr:uid="{00000000-0005-0000-0000-00005E5B0000}"/>
    <cellStyle name="Comma 3 10 3 2 3 7 2" xfId="40870" xr:uid="{00000000-0005-0000-0000-00005F5B0000}"/>
    <cellStyle name="Comma 3 10 3 2 3 8" xfId="24936" xr:uid="{00000000-0005-0000-0000-0000605B0000}"/>
    <cellStyle name="Comma 3 10 3 2 3 9" xfId="45766" xr:uid="{00000000-0005-0000-0000-0000615B0000}"/>
    <cellStyle name="Comma 3 10 3 2 4" xfId="2881" xr:uid="{00000000-0005-0000-0000-0000625B0000}"/>
    <cellStyle name="Comma 3 10 3 2 4 2" xfId="16368" xr:uid="{00000000-0005-0000-0000-0000635B0000}"/>
    <cellStyle name="Comma 3 10 3 2 4 2 2" xfId="39646" xr:uid="{00000000-0005-0000-0000-0000645B0000}"/>
    <cellStyle name="Comma 3 10 3 2 4 3" xfId="46990" xr:uid="{00000000-0005-0000-0000-0000655B0000}"/>
    <cellStyle name="Comma 3 10 3 2 4 4" xfId="26160" xr:uid="{00000000-0005-0000-0000-0000665B0000}"/>
    <cellStyle name="Comma 3 10 3 2 5" xfId="5329" xr:uid="{00000000-0005-0000-0000-0000675B0000}"/>
    <cellStyle name="Comma 3 10 3 2 5 2" xfId="18816" xr:uid="{00000000-0005-0000-0000-0000685B0000}"/>
    <cellStyle name="Comma 3 10 3 2 5 2 2" xfId="42094" xr:uid="{00000000-0005-0000-0000-0000695B0000}"/>
    <cellStyle name="Comma 3 10 3 2 5 3" xfId="28608" xr:uid="{00000000-0005-0000-0000-00006A5B0000}"/>
    <cellStyle name="Comma 3 10 3 2 6" xfId="7777" xr:uid="{00000000-0005-0000-0000-00006B5B0000}"/>
    <cellStyle name="Comma 3 10 3 2 6 2" xfId="31056" xr:uid="{00000000-0005-0000-0000-00006C5B0000}"/>
    <cellStyle name="Comma 3 10 3 2 7" xfId="10225" xr:uid="{00000000-0005-0000-0000-00006D5B0000}"/>
    <cellStyle name="Comma 3 10 3 2 7 2" xfId="33504" xr:uid="{00000000-0005-0000-0000-00006E5B0000}"/>
    <cellStyle name="Comma 3 10 3 2 8" xfId="12673" xr:uid="{00000000-0005-0000-0000-00006F5B0000}"/>
    <cellStyle name="Comma 3 10 3 2 8 2" xfId="35952" xr:uid="{00000000-0005-0000-0000-0000705B0000}"/>
    <cellStyle name="Comma 3 10 3 2 9" xfId="15144" xr:uid="{00000000-0005-0000-0000-0000715B0000}"/>
    <cellStyle name="Comma 3 10 3 2 9 2" xfId="38422" xr:uid="{00000000-0005-0000-0000-0000725B0000}"/>
    <cellStyle name="Comma 3 10 3 3" xfId="637" xr:uid="{00000000-0005-0000-0000-0000735B0000}"/>
    <cellStyle name="Comma 3 10 3 3 10" xfId="23916" xr:uid="{00000000-0005-0000-0000-0000745B0000}"/>
    <cellStyle name="Comma 3 10 3 3 11" xfId="44746" xr:uid="{00000000-0005-0000-0000-0000755B0000}"/>
    <cellStyle name="Comma 3 10 3 3 12" xfId="21468" xr:uid="{00000000-0005-0000-0000-0000765B0000}"/>
    <cellStyle name="Comma 3 10 3 3 2" xfId="1249" xr:uid="{00000000-0005-0000-0000-0000775B0000}"/>
    <cellStyle name="Comma 3 10 3 3 2 10" xfId="45358" xr:uid="{00000000-0005-0000-0000-0000785B0000}"/>
    <cellStyle name="Comma 3 10 3 3 2 11" xfId="22080" xr:uid="{00000000-0005-0000-0000-0000795B0000}"/>
    <cellStyle name="Comma 3 10 3 3 2 2" xfId="2473" xr:uid="{00000000-0005-0000-0000-00007A5B0000}"/>
    <cellStyle name="Comma 3 10 3 3 2 2 10" xfId="23304" xr:uid="{00000000-0005-0000-0000-00007B5B0000}"/>
    <cellStyle name="Comma 3 10 3 3 2 2 2" xfId="4921" xr:uid="{00000000-0005-0000-0000-00007C5B0000}"/>
    <cellStyle name="Comma 3 10 3 3 2 2 2 2" xfId="20856" xr:uid="{00000000-0005-0000-0000-00007D5B0000}"/>
    <cellStyle name="Comma 3 10 3 3 2 2 2 2 2" xfId="44134" xr:uid="{00000000-0005-0000-0000-00007E5B0000}"/>
    <cellStyle name="Comma 3 10 3 3 2 2 2 3" xfId="49030" xr:uid="{00000000-0005-0000-0000-00007F5B0000}"/>
    <cellStyle name="Comma 3 10 3 3 2 2 2 4" xfId="28200" xr:uid="{00000000-0005-0000-0000-0000805B0000}"/>
    <cellStyle name="Comma 3 10 3 3 2 2 3" xfId="7369" xr:uid="{00000000-0005-0000-0000-0000815B0000}"/>
    <cellStyle name="Comma 3 10 3 3 2 2 3 2" xfId="30648" xr:uid="{00000000-0005-0000-0000-0000825B0000}"/>
    <cellStyle name="Comma 3 10 3 3 2 2 4" xfId="9817" xr:uid="{00000000-0005-0000-0000-0000835B0000}"/>
    <cellStyle name="Comma 3 10 3 3 2 2 4 2" xfId="33096" xr:uid="{00000000-0005-0000-0000-0000845B0000}"/>
    <cellStyle name="Comma 3 10 3 3 2 2 5" xfId="12265" xr:uid="{00000000-0005-0000-0000-0000855B0000}"/>
    <cellStyle name="Comma 3 10 3 3 2 2 5 2" xfId="35544" xr:uid="{00000000-0005-0000-0000-0000865B0000}"/>
    <cellStyle name="Comma 3 10 3 3 2 2 6" xfId="14713" xr:uid="{00000000-0005-0000-0000-0000875B0000}"/>
    <cellStyle name="Comma 3 10 3 3 2 2 6 2" xfId="37992" xr:uid="{00000000-0005-0000-0000-0000885B0000}"/>
    <cellStyle name="Comma 3 10 3 3 2 2 7" xfId="18408" xr:uid="{00000000-0005-0000-0000-0000895B0000}"/>
    <cellStyle name="Comma 3 10 3 3 2 2 7 2" xfId="41686" xr:uid="{00000000-0005-0000-0000-00008A5B0000}"/>
    <cellStyle name="Comma 3 10 3 3 2 2 8" xfId="25752" xr:uid="{00000000-0005-0000-0000-00008B5B0000}"/>
    <cellStyle name="Comma 3 10 3 3 2 2 9" xfId="46582" xr:uid="{00000000-0005-0000-0000-00008C5B0000}"/>
    <cellStyle name="Comma 3 10 3 3 2 3" xfId="3697" xr:uid="{00000000-0005-0000-0000-00008D5B0000}"/>
    <cellStyle name="Comma 3 10 3 3 2 3 2" xfId="17184" xr:uid="{00000000-0005-0000-0000-00008E5B0000}"/>
    <cellStyle name="Comma 3 10 3 3 2 3 2 2" xfId="40462" xr:uid="{00000000-0005-0000-0000-00008F5B0000}"/>
    <cellStyle name="Comma 3 10 3 3 2 3 3" xfId="47806" xr:uid="{00000000-0005-0000-0000-0000905B0000}"/>
    <cellStyle name="Comma 3 10 3 3 2 3 4" xfId="26976" xr:uid="{00000000-0005-0000-0000-0000915B0000}"/>
    <cellStyle name="Comma 3 10 3 3 2 4" xfId="6145" xr:uid="{00000000-0005-0000-0000-0000925B0000}"/>
    <cellStyle name="Comma 3 10 3 3 2 4 2" xfId="19632" xr:uid="{00000000-0005-0000-0000-0000935B0000}"/>
    <cellStyle name="Comma 3 10 3 3 2 4 2 2" xfId="42910" xr:uid="{00000000-0005-0000-0000-0000945B0000}"/>
    <cellStyle name="Comma 3 10 3 3 2 4 3" xfId="29424" xr:uid="{00000000-0005-0000-0000-0000955B0000}"/>
    <cellStyle name="Comma 3 10 3 3 2 5" xfId="8593" xr:uid="{00000000-0005-0000-0000-0000965B0000}"/>
    <cellStyle name="Comma 3 10 3 3 2 5 2" xfId="31872" xr:uid="{00000000-0005-0000-0000-0000975B0000}"/>
    <cellStyle name="Comma 3 10 3 3 2 6" xfId="11041" xr:uid="{00000000-0005-0000-0000-0000985B0000}"/>
    <cellStyle name="Comma 3 10 3 3 2 6 2" xfId="34320" xr:uid="{00000000-0005-0000-0000-0000995B0000}"/>
    <cellStyle name="Comma 3 10 3 3 2 7" xfId="13489" xr:uid="{00000000-0005-0000-0000-00009A5B0000}"/>
    <cellStyle name="Comma 3 10 3 3 2 7 2" xfId="36768" xr:uid="{00000000-0005-0000-0000-00009B5B0000}"/>
    <cellStyle name="Comma 3 10 3 3 2 8" xfId="15960" xr:uid="{00000000-0005-0000-0000-00009C5B0000}"/>
    <cellStyle name="Comma 3 10 3 3 2 8 2" xfId="39238" xr:uid="{00000000-0005-0000-0000-00009D5B0000}"/>
    <cellStyle name="Comma 3 10 3 3 2 9" xfId="24528" xr:uid="{00000000-0005-0000-0000-00009E5B0000}"/>
    <cellStyle name="Comma 3 10 3 3 3" xfId="1861" xr:uid="{00000000-0005-0000-0000-00009F5B0000}"/>
    <cellStyle name="Comma 3 10 3 3 3 10" xfId="22692" xr:uid="{00000000-0005-0000-0000-0000A05B0000}"/>
    <cellStyle name="Comma 3 10 3 3 3 2" xfId="4309" xr:uid="{00000000-0005-0000-0000-0000A15B0000}"/>
    <cellStyle name="Comma 3 10 3 3 3 2 2" xfId="20244" xr:uid="{00000000-0005-0000-0000-0000A25B0000}"/>
    <cellStyle name="Comma 3 10 3 3 3 2 2 2" xfId="43522" xr:uid="{00000000-0005-0000-0000-0000A35B0000}"/>
    <cellStyle name="Comma 3 10 3 3 3 2 3" xfId="48418" xr:uid="{00000000-0005-0000-0000-0000A45B0000}"/>
    <cellStyle name="Comma 3 10 3 3 3 2 4" xfId="27588" xr:uid="{00000000-0005-0000-0000-0000A55B0000}"/>
    <cellStyle name="Comma 3 10 3 3 3 3" xfId="6757" xr:uid="{00000000-0005-0000-0000-0000A65B0000}"/>
    <cellStyle name="Comma 3 10 3 3 3 3 2" xfId="30036" xr:uid="{00000000-0005-0000-0000-0000A75B0000}"/>
    <cellStyle name="Comma 3 10 3 3 3 4" xfId="9205" xr:uid="{00000000-0005-0000-0000-0000A85B0000}"/>
    <cellStyle name="Comma 3 10 3 3 3 4 2" xfId="32484" xr:uid="{00000000-0005-0000-0000-0000A95B0000}"/>
    <cellStyle name="Comma 3 10 3 3 3 5" xfId="11653" xr:uid="{00000000-0005-0000-0000-0000AA5B0000}"/>
    <cellStyle name="Comma 3 10 3 3 3 5 2" xfId="34932" xr:uid="{00000000-0005-0000-0000-0000AB5B0000}"/>
    <cellStyle name="Comma 3 10 3 3 3 6" xfId="14101" xr:uid="{00000000-0005-0000-0000-0000AC5B0000}"/>
    <cellStyle name="Comma 3 10 3 3 3 6 2" xfId="37380" xr:uid="{00000000-0005-0000-0000-0000AD5B0000}"/>
    <cellStyle name="Comma 3 10 3 3 3 7" xfId="17796" xr:uid="{00000000-0005-0000-0000-0000AE5B0000}"/>
    <cellStyle name="Comma 3 10 3 3 3 7 2" xfId="41074" xr:uid="{00000000-0005-0000-0000-0000AF5B0000}"/>
    <cellStyle name="Comma 3 10 3 3 3 8" xfId="25140" xr:uid="{00000000-0005-0000-0000-0000B05B0000}"/>
    <cellStyle name="Comma 3 10 3 3 3 9" xfId="45970" xr:uid="{00000000-0005-0000-0000-0000B15B0000}"/>
    <cellStyle name="Comma 3 10 3 3 4" xfId="3085" xr:uid="{00000000-0005-0000-0000-0000B25B0000}"/>
    <cellStyle name="Comma 3 10 3 3 4 2" xfId="16572" xr:uid="{00000000-0005-0000-0000-0000B35B0000}"/>
    <cellStyle name="Comma 3 10 3 3 4 2 2" xfId="39850" xr:uid="{00000000-0005-0000-0000-0000B45B0000}"/>
    <cellStyle name="Comma 3 10 3 3 4 3" xfId="47194" xr:uid="{00000000-0005-0000-0000-0000B55B0000}"/>
    <cellStyle name="Comma 3 10 3 3 4 4" xfId="26364" xr:uid="{00000000-0005-0000-0000-0000B65B0000}"/>
    <cellStyle name="Comma 3 10 3 3 5" xfId="5533" xr:uid="{00000000-0005-0000-0000-0000B75B0000}"/>
    <cellStyle name="Comma 3 10 3 3 5 2" xfId="19020" xr:uid="{00000000-0005-0000-0000-0000B85B0000}"/>
    <cellStyle name="Comma 3 10 3 3 5 2 2" xfId="42298" xr:uid="{00000000-0005-0000-0000-0000B95B0000}"/>
    <cellStyle name="Comma 3 10 3 3 5 3" xfId="28812" xr:uid="{00000000-0005-0000-0000-0000BA5B0000}"/>
    <cellStyle name="Comma 3 10 3 3 6" xfId="7981" xr:uid="{00000000-0005-0000-0000-0000BB5B0000}"/>
    <cellStyle name="Comma 3 10 3 3 6 2" xfId="31260" xr:uid="{00000000-0005-0000-0000-0000BC5B0000}"/>
    <cellStyle name="Comma 3 10 3 3 7" xfId="10429" xr:uid="{00000000-0005-0000-0000-0000BD5B0000}"/>
    <cellStyle name="Comma 3 10 3 3 7 2" xfId="33708" xr:uid="{00000000-0005-0000-0000-0000BE5B0000}"/>
    <cellStyle name="Comma 3 10 3 3 8" xfId="12877" xr:uid="{00000000-0005-0000-0000-0000BF5B0000}"/>
    <cellStyle name="Comma 3 10 3 3 8 2" xfId="36156" xr:uid="{00000000-0005-0000-0000-0000C05B0000}"/>
    <cellStyle name="Comma 3 10 3 3 9" xfId="15348" xr:uid="{00000000-0005-0000-0000-0000C15B0000}"/>
    <cellStyle name="Comma 3 10 3 3 9 2" xfId="38626" xr:uid="{00000000-0005-0000-0000-0000C25B0000}"/>
    <cellStyle name="Comma 3 10 3 4" xfId="841" xr:uid="{00000000-0005-0000-0000-0000C35B0000}"/>
    <cellStyle name="Comma 3 10 3 4 10" xfId="44950" xr:uid="{00000000-0005-0000-0000-0000C45B0000}"/>
    <cellStyle name="Comma 3 10 3 4 11" xfId="21672" xr:uid="{00000000-0005-0000-0000-0000C55B0000}"/>
    <cellStyle name="Comma 3 10 3 4 2" xfId="2065" xr:uid="{00000000-0005-0000-0000-0000C65B0000}"/>
    <cellStyle name="Comma 3 10 3 4 2 10" xfId="22896" xr:uid="{00000000-0005-0000-0000-0000C75B0000}"/>
    <cellStyle name="Comma 3 10 3 4 2 2" xfId="4513" xr:uid="{00000000-0005-0000-0000-0000C85B0000}"/>
    <cellStyle name="Comma 3 10 3 4 2 2 2" xfId="20448" xr:uid="{00000000-0005-0000-0000-0000C95B0000}"/>
    <cellStyle name="Comma 3 10 3 4 2 2 2 2" xfId="43726" xr:uid="{00000000-0005-0000-0000-0000CA5B0000}"/>
    <cellStyle name="Comma 3 10 3 4 2 2 3" xfId="48622" xr:uid="{00000000-0005-0000-0000-0000CB5B0000}"/>
    <cellStyle name="Comma 3 10 3 4 2 2 4" xfId="27792" xr:uid="{00000000-0005-0000-0000-0000CC5B0000}"/>
    <cellStyle name="Comma 3 10 3 4 2 3" xfId="6961" xr:uid="{00000000-0005-0000-0000-0000CD5B0000}"/>
    <cellStyle name="Comma 3 10 3 4 2 3 2" xfId="30240" xr:uid="{00000000-0005-0000-0000-0000CE5B0000}"/>
    <cellStyle name="Comma 3 10 3 4 2 4" xfId="9409" xr:uid="{00000000-0005-0000-0000-0000CF5B0000}"/>
    <cellStyle name="Comma 3 10 3 4 2 4 2" xfId="32688" xr:uid="{00000000-0005-0000-0000-0000D05B0000}"/>
    <cellStyle name="Comma 3 10 3 4 2 5" xfId="11857" xr:uid="{00000000-0005-0000-0000-0000D15B0000}"/>
    <cellStyle name="Comma 3 10 3 4 2 5 2" xfId="35136" xr:uid="{00000000-0005-0000-0000-0000D25B0000}"/>
    <cellStyle name="Comma 3 10 3 4 2 6" xfId="14305" xr:uid="{00000000-0005-0000-0000-0000D35B0000}"/>
    <cellStyle name="Comma 3 10 3 4 2 6 2" xfId="37584" xr:uid="{00000000-0005-0000-0000-0000D45B0000}"/>
    <cellStyle name="Comma 3 10 3 4 2 7" xfId="18000" xr:uid="{00000000-0005-0000-0000-0000D55B0000}"/>
    <cellStyle name="Comma 3 10 3 4 2 7 2" xfId="41278" xr:uid="{00000000-0005-0000-0000-0000D65B0000}"/>
    <cellStyle name="Comma 3 10 3 4 2 8" xfId="25344" xr:uid="{00000000-0005-0000-0000-0000D75B0000}"/>
    <cellStyle name="Comma 3 10 3 4 2 9" xfId="46174" xr:uid="{00000000-0005-0000-0000-0000D85B0000}"/>
    <cellStyle name="Comma 3 10 3 4 3" xfId="3289" xr:uid="{00000000-0005-0000-0000-0000D95B0000}"/>
    <cellStyle name="Comma 3 10 3 4 3 2" xfId="16776" xr:uid="{00000000-0005-0000-0000-0000DA5B0000}"/>
    <cellStyle name="Comma 3 10 3 4 3 2 2" xfId="40054" xr:uid="{00000000-0005-0000-0000-0000DB5B0000}"/>
    <cellStyle name="Comma 3 10 3 4 3 3" xfId="47398" xr:uid="{00000000-0005-0000-0000-0000DC5B0000}"/>
    <cellStyle name="Comma 3 10 3 4 3 4" xfId="26568" xr:uid="{00000000-0005-0000-0000-0000DD5B0000}"/>
    <cellStyle name="Comma 3 10 3 4 4" xfId="5737" xr:uid="{00000000-0005-0000-0000-0000DE5B0000}"/>
    <cellStyle name="Comma 3 10 3 4 4 2" xfId="19224" xr:uid="{00000000-0005-0000-0000-0000DF5B0000}"/>
    <cellStyle name="Comma 3 10 3 4 4 2 2" xfId="42502" xr:uid="{00000000-0005-0000-0000-0000E05B0000}"/>
    <cellStyle name="Comma 3 10 3 4 4 3" xfId="29016" xr:uid="{00000000-0005-0000-0000-0000E15B0000}"/>
    <cellStyle name="Comma 3 10 3 4 5" xfId="8185" xr:uid="{00000000-0005-0000-0000-0000E25B0000}"/>
    <cellStyle name="Comma 3 10 3 4 5 2" xfId="31464" xr:uid="{00000000-0005-0000-0000-0000E35B0000}"/>
    <cellStyle name="Comma 3 10 3 4 6" xfId="10633" xr:uid="{00000000-0005-0000-0000-0000E45B0000}"/>
    <cellStyle name="Comma 3 10 3 4 6 2" xfId="33912" xr:uid="{00000000-0005-0000-0000-0000E55B0000}"/>
    <cellStyle name="Comma 3 10 3 4 7" xfId="13081" xr:uid="{00000000-0005-0000-0000-0000E65B0000}"/>
    <cellStyle name="Comma 3 10 3 4 7 2" xfId="36360" xr:uid="{00000000-0005-0000-0000-0000E75B0000}"/>
    <cellStyle name="Comma 3 10 3 4 8" xfId="15552" xr:uid="{00000000-0005-0000-0000-0000E85B0000}"/>
    <cellStyle name="Comma 3 10 3 4 8 2" xfId="38830" xr:uid="{00000000-0005-0000-0000-0000E95B0000}"/>
    <cellStyle name="Comma 3 10 3 4 9" xfId="24120" xr:uid="{00000000-0005-0000-0000-0000EA5B0000}"/>
    <cellStyle name="Comma 3 10 3 5" xfId="1453" xr:uid="{00000000-0005-0000-0000-0000EB5B0000}"/>
    <cellStyle name="Comma 3 10 3 5 10" xfId="22284" xr:uid="{00000000-0005-0000-0000-0000EC5B0000}"/>
    <cellStyle name="Comma 3 10 3 5 2" xfId="3901" xr:uid="{00000000-0005-0000-0000-0000ED5B0000}"/>
    <cellStyle name="Comma 3 10 3 5 2 2" xfId="19836" xr:uid="{00000000-0005-0000-0000-0000EE5B0000}"/>
    <cellStyle name="Comma 3 10 3 5 2 2 2" xfId="43114" xr:uid="{00000000-0005-0000-0000-0000EF5B0000}"/>
    <cellStyle name="Comma 3 10 3 5 2 3" xfId="48010" xr:uid="{00000000-0005-0000-0000-0000F05B0000}"/>
    <cellStyle name="Comma 3 10 3 5 2 4" xfId="27180" xr:uid="{00000000-0005-0000-0000-0000F15B0000}"/>
    <cellStyle name="Comma 3 10 3 5 3" xfId="6349" xr:uid="{00000000-0005-0000-0000-0000F25B0000}"/>
    <cellStyle name="Comma 3 10 3 5 3 2" xfId="29628" xr:uid="{00000000-0005-0000-0000-0000F35B0000}"/>
    <cellStyle name="Comma 3 10 3 5 4" xfId="8797" xr:uid="{00000000-0005-0000-0000-0000F45B0000}"/>
    <cellStyle name="Comma 3 10 3 5 4 2" xfId="32076" xr:uid="{00000000-0005-0000-0000-0000F55B0000}"/>
    <cellStyle name="Comma 3 10 3 5 5" xfId="11245" xr:uid="{00000000-0005-0000-0000-0000F65B0000}"/>
    <cellStyle name="Comma 3 10 3 5 5 2" xfId="34524" xr:uid="{00000000-0005-0000-0000-0000F75B0000}"/>
    <cellStyle name="Comma 3 10 3 5 6" xfId="13693" xr:uid="{00000000-0005-0000-0000-0000F85B0000}"/>
    <cellStyle name="Comma 3 10 3 5 6 2" xfId="36972" xr:uid="{00000000-0005-0000-0000-0000F95B0000}"/>
    <cellStyle name="Comma 3 10 3 5 7" xfId="17388" xr:uid="{00000000-0005-0000-0000-0000FA5B0000}"/>
    <cellStyle name="Comma 3 10 3 5 7 2" xfId="40666" xr:uid="{00000000-0005-0000-0000-0000FB5B0000}"/>
    <cellStyle name="Comma 3 10 3 5 8" xfId="24732" xr:uid="{00000000-0005-0000-0000-0000FC5B0000}"/>
    <cellStyle name="Comma 3 10 3 5 9" xfId="45562" xr:uid="{00000000-0005-0000-0000-0000FD5B0000}"/>
    <cellStyle name="Comma 3 10 3 6" xfId="2677" xr:uid="{00000000-0005-0000-0000-0000FE5B0000}"/>
    <cellStyle name="Comma 3 10 3 6 2" xfId="16164" xr:uid="{00000000-0005-0000-0000-0000FF5B0000}"/>
    <cellStyle name="Comma 3 10 3 6 2 2" xfId="39442" xr:uid="{00000000-0005-0000-0000-0000005C0000}"/>
    <cellStyle name="Comma 3 10 3 6 3" xfId="46786" xr:uid="{00000000-0005-0000-0000-0000015C0000}"/>
    <cellStyle name="Comma 3 10 3 6 4" xfId="25956" xr:uid="{00000000-0005-0000-0000-0000025C0000}"/>
    <cellStyle name="Comma 3 10 3 7" xfId="5125" xr:uid="{00000000-0005-0000-0000-0000035C0000}"/>
    <cellStyle name="Comma 3 10 3 7 2" xfId="18612" xr:uid="{00000000-0005-0000-0000-0000045C0000}"/>
    <cellStyle name="Comma 3 10 3 7 2 2" xfId="41890" xr:uid="{00000000-0005-0000-0000-0000055C0000}"/>
    <cellStyle name="Comma 3 10 3 7 3" xfId="28404" xr:uid="{00000000-0005-0000-0000-0000065C0000}"/>
    <cellStyle name="Comma 3 10 3 8" xfId="7573" xr:uid="{00000000-0005-0000-0000-0000075C0000}"/>
    <cellStyle name="Comma 3 10 3 8 2" xfId="30852" xr:uid="{00000000-0005-0000-0000-0000085C0000}"/>
    <cellStyle name="Comma 3 10 3 9" xfId="10021" xr:uid="{00000000-0005-0000-0000-0000095C0000}"/>
    <cellStyle name="Comma 3 10 3 9 2" xfId="33300" xr:uid="{00000000-0005-0000-0000-00000A5C0000}"/>
    <cellStyle name="Comma 3 10 4" xfId="297" xr:uid="{00000000-0005-0000-0000-00000B5C0000}"/>
    <cellStyle name="Comma 3 10 4 10" xfId="23576" xr:uid="{00000000-0005-0000-0000-00000C5C0000}"/>
    <cellStyle name="Comma 3 10 4 11" xfId="44406" xr:uid="{00000000-0005-0000-0000-00000D5C0000}"/>
    <cellStyle name="Comma 3 10 4 12" xfId="21128" xr:uid="{00000000-0005-0000-0000-00000E5C0000}"/>
    <cellStyle name="Comma 3 10 4 2" xfId="909" xr:uid="{00000000-0005-0000-0000-00000F5C0000}"/>
    <cellStyle name="Comma 3 10 4 2 10" xfId="45018" xr:uid="{00000000-0005-0000-0000-0000105C0000}"/>
    <cellStyle name="Comma 3 10 4 2 11" xfId="21740" xr:uid="{00000000-0005-0000-0000-0000115C0000}"/>
    <cellStyle name="Comma 3 10 4 2 2" xfId="2133" xr:uid="{00000000-0005-0000-0000-0000125C0000}"/>
    <cellStyle name="Comma 3 10 4 2 2 10" xfId="22964" xr:uid="{00000000-0005-0000-0000-0000135C0000}"/>
    <cellStyle name="Comma 3 10 4 2 2 2" xfId="4581" xr:uid="{00000000-0005-0000-0000-0000145C0000}"/>
    <cellStyle name="Comma 3 10 4 2 2 2 2" xfId="20516" xr:uid="{00000000-0005-0000-0000-0000155C0000}"/>
    <cellStyle name="Comma 3 10 4 2 2 2 2 2" xfId="43794" xr:uid="{00000000-0005-0000-0000-0000165C0000}"/>
    <cellStyle name="Comma 3 10 4 2 2 2 3" xfId="48690" xr:uid="{00000000-0005-0000-0000-0000175C0000}"/>
    <cellStyle name="Comma 3 10 4 2 2 2 4" xfId="27860" xr:uid="{00000000-0005-0000-0000-0000185C0000}"/>
    <cellStyle name="Comma 3 10 4 2 2 3" xfId="7029" xr:uid="{00000000-0005-0000-0000-0000195C0000}"/>
    <cellStyle name="Comma 3 10 4 2 2 3 2" xfId="30308" xr:uid="{00000000-0005-0000-0000-00001A5C0000}"/>
    <cellStyle name="Comma 3 10 4 2 2 4" xfId="9477" xr:uid="{00000000-0005-0000-0000-00001B5C0000}"/>
    <cellStyle name="Comma 3 10 4 2 2 4 2" xfId="32756" xr:uid="{00000000-0005-0000-0000-00001C5C0000}"/>
    <cellStyle name="Comma 3 10 4 2 2 5" xfId="11925" xr:uid="{00000000-0005-0000-0000-00001D5C0000}"/>
    <cellStyle name="Comma 3 10 4 2 2 5 2" xfId="35204" xr:uid="{00000000-0005-0000-0000-00001E5C0000}"/>
    <cellStyle name="Comma 3 10 4 2 2 6" xfId="14373" xr:uid="{00000000-0005-0000-0000-00001F5C0000}"/>
    <cellStyle name="Comma 3 10 4 2 2 6 2" xfId="37652" xr:uid="{00000000-0005-0000-0000-0000205C0000}"/>
    <cellStyle name="Comma 3 10 4 2 2 7" xfId="18068" xr:uid="{00000000-0005-0000-0000-0000215C0000}"/>
    <cellStyle name="Comma 3 10 4 2 2 7 2" xfId="41346" xr:uid="{00000000-0005-0000-0000-0000225C0000}"/>
    <cellStyle name="Comma 3 10 4 2 2 8" xfId="25412" xr:uid="{00000000-0005-0000-0000-0000235C0000}"/>
    <cellStyle name="Comma 3 10 4 2 2 9" xfId="46242" xr:uid="{00000000-0005-0000-0000-0000245C0000}"/>
    <cellStyle name="Comma 3 10 4 2 3" xfId="3357" xr:uid="{00000000-0005-0000-0000-0000255C0000}"/>
    <cellStyle name="Comma 3 10 4 2 3 2" xfId="16844" xr:uid="{00000000-0005-0000-0000-0000265C0000}"/>
    <cellStyle name="Comma 3 10 4 2 3 2 2" xfId="40122" xr:uid="{00000000-0005-0000-0000-0000275C0000}"/>
    <cellStyle name="Comma 3 10 4 2 3 3" xfId="47466" xr:uid="{00000000-0005-0000-0000-0000285C0000}"/>
    <cellStyle name="Comma 3 10 4 2 3 4" xfId="26636" xr:uid="{00000000-0005-0000-0000-0000295C0000}"/>
    <cellStyle name="Comma 3 10 4 2 4" xfId="5805" xr:uid="{00000000-0005-0000-0000-00002A5C0000}"/>
    <cellStyle name="Comma 3 10 4 2 4 2" xfId="19292" xr:uid="{00000000-0005-0000-0000-00002B5C0000}"/>
    <cellStyle name="Comma 3 10 4 2 4 2 2" xfId="42570" xr:uid="{00000000-0005-0000-0000-00002C5C0000}"/>
    <cellStyle name="Comma 3 10 4 2 4 3" xfId="29084" xr:uid="{00000000-0005-0000-0000-00002D5C0000}"/>
    <cellStyle name="Comma 3 10 4 2 5" xfId="8253" xr:uid="{00000000-0005-0000-0000-00002E5C0000}"/>
    <cellStyle name="Comma 3 10 4 2 5 2" xfId="31532" xr:uid="{00000000-0005-0000-0000-00002F5C0000}"/>
    <cellStyle name="Comma 3 10 4 2 6" xfId="10701" xr:uid="{00000000-0005-0000-0000-0000305C0000}"/>
    <cellStyle name="Comma 3 10 4 2 6 2" xfId="33980" xr:uid="{00000000-0005-0000-0000-0000315C0000}"/>
    <cellStyle name="Comma 3 10 4 2 7" xfId="13149" xr:uid="{00000000-0005-0000-0000-0000325C0000}"/>
    <cellStyle name="Comma 3 10 4 2 7 2" xfId="36428" xr:uid="{00000000-0005-0000-0000-0000335C0000}"/>
    <cellStyle name="Comma 3 10 4 2 8" xfId="15620" xr:uid="{00000000-0005-0000-0000-0000345C0000}"/>
    <cellStyle name="Comma 3 10 4 2 8 2" xfId="38898" xr:uid="{00000000-0005-0000-0000-0000355C0000}"/>
    <cellStyle name="Comma 3 10 4 2 9" xfId="24188" xr:uid="{00000000-0005-0000-0000-0000365C0000}"/>
    <cellStyle name="Comma 3 10 4 3" xfId="1521" xr:uid="{00000000-0005-0000-0000-0000375C0000}"/>
    <cellStyle name="Comma 3 10 4 3 10" xfId="22352" xr:uid="{00000000-0005-0000-0000-0000385C0000}"/>
    <cellStyle name="Comma 3 10 4 3 2" xfId="3969" xr:uid="{00000000-0005-0000-0000-0000395C0000}"/>
    <cellStyle name="Comma 3 10 4 3 2 2" xfId="19904" xr:uid="{00000000-0005-0000-0000-00003A5C0000}"/>
    <cellStyle name="Comma 3 10 4 3 2 2 2" xfId="43182" xr:uid="{00000000-0005-0000-0000-00003B5C0000}"/>
    <cellStyle name="Comma 3 10 4 3 2 3" xfId="48078" xr:uid="{00000000-0005-0000-0000-00003C5C0000}"/>
    <cellStyle name="Comma 3 10 4 3 2 4" xfId="27248" xr:uid="{00000000-0005-0000-0000-00003D5C0000}"/>
    <cellStyle name="Comma 3 10 4 3 3" xfId="6417" xr:uid="{00000000-0005-0000-0000-00003E5C0000}"/>
    <cellStyle name="Comma 3 10 4 3 3 2" xfId="29696" xr:uid="{00000000-0005-0000-0000-00003F5C0000}"/>
    <cellStyle name="Comma 3 10 4 3 4" xfId="8865" xr:uid="{00000000-0005-0000-0000-0000405C0000}"/>
    <cellStyle name="Comma 3 10 4 3 4 2" xfId="32144" xr:uid="{00000000-0005-0000-0000-0000415C0000}"/>
    <cellStyle name="Comma 3 10 4 3 5" xfId="11313" xr:uid="{00000000-0005-0000-0000-0000425C0000}"/>
    <cellStyle name="Comma 3 10 4 3 5 2" xfId="34592" xr:uid="{00000000-0005-0000-0000-0000435C0000}"/>
    <cellStyle name="Comma 3 10 4 3 6" xfId="13761" xr:uid="{00000000-0005-0000-0000-0000445C0000}"/>
    <cellStyle name="Comma 3 10 4 3 6 2" xfId="37040" xr:uid="{00000000-0005-0000-0000-0000455C0000}"/>
    <cellStyle name="Comma 3 10 4 3 7" xfId="17456" xr:uid="{00000000-0005-0000-0000-0000465C0000}"/>
    <cellStyle name="Comma 3 10 4 3 7 2" xfId="40734" xr:uid="{00000000-0005-0000-0000-0000475C0000}"/>
    <cellStyle name="Comma 3 10 4 3 8" xfId="24800" xr:uid="{00000000-0005-0000-0000-0000485C0000}"/>
    <cellStyle name="Comma 3 10 4 3 9" xfId="45630" xr:uid="{00000000-0005-0000-0000-0000495C0000}"/>
    <cellStyle name="Comma 3 10 4 4" xfId="2745" xr:uid="{00000000-0005-0000-0000-00004A5C0000}"/>
    <cellStyle name="Comma 3 10 4 4 2" xfId="16232" xr:uid="{00000000-0005-0000-0000-00004B5C0000}"/>
    <cellStyle name="Comma 3 10 4 4 2 2" xfId="39510" xr:uid="{00000000-0005-0000-0000-00004C5C0000}"/>
    <cellStyle name="Comma 3 10 4 4 3" xfId="46854" xr:uid="{00000000-0005-0000-0000-00004D5C0000}"/>
    <cellStyle name="Comma 3 10 4 4 4" xfId="26024" xr:uid="{00000000-0005-0000-0000-00004E5C0000}"/>
    <cellStyle name="Comma 3 10 4 5" xfId="5193" xr:uid="{00000000-0005-0000-0000-00004F5C0000}"/>
    <cellStyle name="Comma 3 10 4 5 2" xfId="18680" xr:uid="{00000000-0005-0000-0000-0000505C0000}"/>
    <cellStyle name="Comma 3 10 4 5 2 2" xfId="41958" xr:uid="{00000000-0005-0000-0000-0000515C0000}"/>
    <cellStyle name="Comma 3 10 4 5 3" xfId="28472" xr:uid="{00000000-0005-0000-0000-0000525C0000}"/>
    <cellStyle name="Comma 3 10 4 6" xfId="7641" xr:uid="{00000000-0005-0000-0000-0000535C0000}"/>
    <cellStyle name="Comma 3 10 4 6 2" xfId="30920" xr:uid="{00000000-0005-0000-0000-0000545C0000}"/>
    <cellStyle name="Comma 3 10 4 7" xfId="10089" xr:uid="{00000000-0005-0000-0000-0000555C0000}"/>
    <cellStyle name="Comma 3 10 4 7 2" xfId="33368" xr:uid="{00000000-0005-0000-0000-0000565C0000}"/>
    <cellStyle name="Comma 3 10 4 8" xfId="12537" xr:uid="{00000000-0005-0000-0000-0000575C0000}"/>
    <cellStyle name="Comma 3 10 4 8 2" xfId="35816" xr:uid="{00000000-0005-0000-0000-0000585C0000}"/>
    <cellStyle name="Comma 3 10 4 9" xfId="15008" xr:uid="{00000000-0005-0000-0000-0000595C0000}"/>
    <cellStyle name="Comma 3 10 4 9 2" xfId="38286" xr:uid="{00000000-0005-0000-0000-00005A5C0000}"/>
    <cellStyle name="Comma 3 10 5" xfId="501" xr:uid="{00000000-0005-0000-0000-00005B5C0000}"/>
    <cellStyle name="Comma 3 10 5 10" xfId="23780" xr:uid="{00000000-0005-0000-0000-00005C5C0000}"/>
    <cellStyle name="Comma 3 10 5 11" xfId="44610" xr:uid="{00000000-0005-0000-0000-00005D5C0000}"/>
    <cellStyle name="Comma 3 10 5 12" xfId="21332" xr:uid="{00000000-0005-0000-0000-00005E5C0000}"/>
    <cellStyle name="Comma 3 10 5 2" xfId="1113" xr:uid="{00000000-0005-0000-0000-00005F5C0000}"/>
    <cellStyle name="Comma 3 10 5 2 10" xfId="45222" xr:uid="{00000000-0005-0000-0000-0000605C0000}"/>
    <cellStyle name="Comma 3 10 5 2 11" xfId="21944" xr:uid="{00000000-0005-0000-0000-0000615C0000}"/>
    <cellStyle name="Comma 3 10 5 2 2" xfId="2337" xr:uid="{00000000-0005-0000-0000-0000625C0000}"/>
    <cellStyle name="Comma 3 10 5 2 2 10" xfId="23168" xr:uid="{00000000-0005-0000-0000-0000635C0000}"/>
    <cellStyle name="Comma 3 10 5 2 2 2" xfId="4785" xr:uid="{00000000-0005-0000-0000-0000645C0000}"/>
    <cellStyle name="Comma 3 10 5 2 2 2 2" xfId="20720" xr:uid="{00000000-0005-0000-0000-0000655C0000}"/>
    <cellStyle name="Comma 3 10 5 2 2 2 2 2" xfId="43998" xr:uid="{00000000-0005-0000-0000-0000665C0000}"/>
    <cellStyle name="Comma 3 10 5 2 2 2 3" xfId="48894" xr:uid="{00000000-0005-0000-0000-0000675C0000}"/>
    <cellStyle name="Comma 3 10 5 2 2 2 4" xfId="28064" xr:uid="{00000000-0005-0000-0000-0000685C0000}"/>
    <cellStyle name="Comma 3 10 5 2 2 3" xfId="7233" xr:uid="{00000000-0005-0000-0000-0000695C0000}"/>
    <cellStyle name="Comma 3 10 5 2 2 3 2" xfId="30512" xr:uid="{00000000-0005-0000-0000-00006A5C0000}"/>
    <cellStyle name="Comma 3 10 5 2 2 4" xfId="9681" xr:uid="{00000000-0005-0000-0000-00006B5C0000}"/>
    <cellStyle name="Comma 3 10 5 2 2 4 2" xfId="32960" xr:uid="{00000000-0005-0000-0000-00006C5C0000}"/>
    <cellStyle name="Comma 3 10 5 2 2 5" xfId="12129" xr:uid="{00000000-0005-0000-0000-00006D5C0000}"/>
    <cellStyle name="Comma 3 10 5 2 2 5 2" xfId="35408" xr:uid="{00000000-0005-0000-0000-00006E5C0000}"/>
    <cellStyle name="Comma 3 10 5 2 2 6" xfId="14577" xr:uid="{00000000-0005-0000-0000-00006F5C0000}"/>
    <cellStyle name="Comma 3 10 5 2 2 6 2" xfId="37856" xr:uid="{00000000-0005-0000-0000-0000705C0000}"/>
    <cellStyle name="Comma 3 10 5 2 2 7" xfId="18272" xr:uid="{00000000-0005-0000-0000-0000715C0000}"/>
    <cellStyle name="Comma 3 10 5 2 2 7 2" xfId="41550" xr:uid="{00000000-0005-0000-0000-0000725C0000}"/>
    <cellStyle name="Comma 3 10 5 2 2 8" xfId="25616" xr:uid="{00000000-0005-0000-0000-0000735C0000}"/>
    <cellStyle name="Comma 3 10 5 2 2 9" xfId="46446" xr:uid="{00000000-0005-0000-0000-0000745C0000}"/>
    <cellStyle name="Comma 3 10 5 2 3" xfId="3561" xr:uid="{00000000-0005-0000-0000-0000755C0000}"/>
    <cellStyle name="Comma 3 10 5 2 3 2" xfId="17048" xr:uid="{00000000-0005-0000-0000-0000765C0000}"/>
    <cellStyle name="Comma 3 10 5 2 3 2 2" xfId="40326" xr:uid="{00000000-0005-0000-0000-0000775C0000}"/>
    <cellStyle name="Comma 3 10 5 2 3 3" xfId="47670" xr:uid="{00000000-0005-0000-0000-0000785C0000}"/>
    <cellStyle name="Comma 3 10 5 2 3 4" xfId="26840" xr:uid="{00000000-0005-0000-0000-0000795C0000}"/>
    <cellStyle name="Comma 3 10 5 2 4" xfId="6009" xr:uid="{00000000-0005-0000-0000-00007A5C0000}"/>
    <cellStyle name="Comma 3 10 5 2 4 2" xfId="19496" xr:uid="{00000000-0005-0000-0000-00007B5C0000}"/>
    <cellStyle name="Comma 3 10 5 2 4 2 2" xfId="42774" xr:uid="{00000000-0005-0000-0000-00007C5C0000}"/>
    <cellStyle name="Comma 3 10 5 2 4 3" xfId="29288" xr:uid="{00000000-0005-0000-0000-00007D5C0000}"/>
    <cellStyle name="Comma 3 10 5 2 5" xfId="8457" xr:uid="{00000000-0005-0000-0000-00007E5C0000}"/>
    <cellStyle name="Comma 3 10 5 2 5 2" xfId="31736" xr:uid="{00000000-0005-0000-0000-00007F5C0000}"/>
    <cellStyle name="Comma 3 10 5 2 6" xfId="10905" xr:uid="{00000000-0005-0000-0000-0000805C0000}"/>
    <cellStyle name="Comma 3 10 5 2 6 2" xfId="34184" xr:uid="{00000000-0005-0000-0000-0000815C0000}"/>
    <cellStyle name="Comma 3 10 5 2 7" xfId="13353" xr:uid="{00000000-0005-0000-0000-0000825C0000}"/>
    <cellStyle name="Comma 3 10 5 2 7 2" xfId="36632" xr:uid="{00000000-0005-0000-0000-0000835C0000}"/>
    <cellStyle name="Comma 3 10 5 2 8" xfId="15824" xr:uid="{00000000-0005-0000-0000-0000845C0000}"/>
    <cellStyle name="Comma 3 10 5 2 8 2" xfId="39102" xr:uid="{00000000-0005-0000-0000-0000855C0000}"/>
    <cellStyle name="Comma 3 10 5 2 9" xfId="24392" xr:uid="{00000000-0005-0000-0000-0000865C0000}"/>
    <cellStyle name="Comma 3 10 5 3" xfId="1725" xr:uid="{00000000-0005-0000-0000-0000875C0000}"/>
    <cellStyle name="Comma 3 10 5 3 10" xfId="22556" xr:uid="{00000000-0005-0000-0000-0000885C0000}"/>
    <cellStyle name="Comma 3 10 5 3 2" xfId="4173" xr:uid="{00000000-0005-0000-0000-0000895C0000}"/>
    <cellStyle name="Comma 3 10 5 3 2 2" xfId="20108" xr:uid="{00000000-0005-0000-0000-00008A5C0000}"/>
    <cellStyle name="Comma 3 10 5 3 2 2 2" xfId="43386" xr:uid="{00000000-0005-0000-0000-00008B5C0000}"/>
    <cellStyle name="Comma 3 10 5 3 2 3" xfId="48282" xr:uid="{00000000-0005-0000-0000-00008C5C0000}"/>
    <cellStyle name="Comma 3 10 5 3 2 4" xfId="27452" xr:uid="{00000000-0005-0000-0000-00008D5C0000}"/>
    <cellStyle name="Comma 3 10 5 3 3" xfId="6621" xr:uid="{00000000-0005-0000-0000-00008E5C0000}"/>
    <cellStyle name="Comma 3 10 5 3 3 2" xfId="29900" xr:uid="{00000000-0005-0000-0000-00008F5C0000}"/>
    <cellStyle name="Comma 3 10 5 3 4" xfId="9069" xr:uid="{00000000-0005-0000-0000-0000905C0000}"/>
    <cellStyle name="Comma 3 10 5 3 4 2" xfId="32348" xr:uid="{00000000-0005-0000-0000-0000915C0000}"/>
    <cellStyle name="Comma 3 10 5 3 5" xfId="11517" xr:uid="{00000000-0005-0000-0000-0000925C0000}"/>
    <cellStyle name="Comma 3 10 5 3 5 2" xfId="34796" xr:uid="{00000000-0005-0000-0000-0000935C0000}"/>
    <cellStyle name="Comma 3 10 5 3 6" xfId="13965" xr:uid="{00000000-0005-0000-0000-0000945C0000}"/>
    <cellStyle name="Comma 3 10 5 3 6 2" xfId="37244" xr:uid="{00000000-0005-0000-0000-0000955C0000}"/>
    <cellStyle name="Comma 3 10 5 3 7" xfId="17660" xr:uid="{00000000-0005-0000-0000-0000965C0000}"/>
    <cellStyle name="Comma 3 10 5 3 7 2" xfId="40938" xr:uid="{00000000-0005-0000-0000-0000975C0000}"/>
    <cellStyle name="Comma 3 10 5 3 8" xfId="25004" xr:uid="{00000000-0005-0000-0000-0000985C0000}"/>
    <cellStyle name="Comma 3 10 5 3 9" xfId="45834" xr:uid="{00000000-0005-0000-0000-0000995C0000}"/>
    <cellStyle name="Comma 3 10 5 4" xfId="2949" xr:uid="{00000000-0005-0000-0000-00009A5C0000}"/>
    <cellStyle name="Comma 3 10 5 4 2" xfId="16436" xr:uid="{00000000-0005-0000-0000-00009B5C0000}"/>
    <cellStyle name="Comma 3 10 5 4 2 2" xfId="39714" xr:uid="{00000000-0005-0000-0000-00009C5C0000}"/>
    <cellStyle name="Comma 3 10 5 4 3" xfId="47058" xr:uid="{00000000-0005-0000-0000-00009D5C0000}"/>
    <cellStyle name="Comma 3 10 5 4 4" xfId="26228" xr:uid="{00000000-0005-0000-0000-00009E5C0000}"/>
    <cellStyle name="Comma 3 10 5 5" xfId="5397" xr:uid="{00000000-0005-0000-0000-00009F5C0000}"/>
    <cellStyle name="Comma 3 10 5 5 2" xfId="18884" xr:uid="{00000000-0005-0000-0000-0000A05C0000}"/>
    <cellStyle name="Comma 3 10 5 5 2 2" xfId="42162" xr:uid="{00000000-0005-0000-0000-0000A15C0000}"/>
    <cellStyle name="Comma 3 10 5 5 3" xfId="28676" xr:uid="{00000000-0005-0000-0000-0000A25C0000}"/>
    <cellStyle name="Comma 3 10 5 6" xfId="7845" xr:uid="{00000000-0005-0000-0000-0000A35C0000}"/>
    <cellStyle name="Comma 3 10 5 6 2" xfId="31124" xr:uid="{00000000-0005-0000-0000-0000A45C0000}"/>
    <cellStyle name="Comma 3 10 5 7" xfId="10293" xr:uid="{00000000-0005-0000-0000-0000A55C0000}"/>
    <cellStyle name="Comma 3 10 5 7 2" xfId="33572" xr:uid="{00000000-0005-0000-0000-0000A65C0000}"/>
    <cellStyle name="Comma 3 10 5 8" xfId="12741" xr:uid="{00000000-0005-0000-0000-0000A75C0000}"/>
    <cellStyle name="Comma 3 10 5 8 2" xfId="36020" xr:uid="{00000000-0005-0000-0000-0000A85C0000}"/>
    <cellStyle name="Comma 3 10 5 9" xfId="15212" xr:uid="{00000000-0005-0000-0000-0000A95C0000}"/>
    <cellStyle name="Comma 3 10 5 9 2" xfId="38490" xr:uid="{00000000-0005-0000-0000-0000AA5C0000}"/>
    <cellStyle name="Comma 3 10 6" xfId="705" xr:uid="{00000000-0005-0000-0000-0000AB5C0000}"/>
    <cellStyle name="Comma 3 10 6 10" xfId="44814" xr:uid="{00000000-0005-0000-0000-0000AC5C0000}"/>
    <cellStyle name="Comma 3 10 6 11" xfId="21536" xr:uid="{00000000-0005-0000-0000-0000AD5C0000}"/>
    <cellStyle name="Comma 3 10 6 2" xfId="1929" xr:uid="{00000000-0005-0000-0000-0000AE5C0000}"/>
    <cellStyle name="Comma 3 10 6 2 10" xfId="22760" xr:uid="{00000000-0005-0000-0000-0000AF5C0000}"/>
    <cellStyle name="Comma 3 10 6 2 2" xfId="4377" xr:uid="{00000000-0005-0000-0000-0000B05C0000}"/>
    <cellStyle name="Comma 3 10 6 2 2 2" xfId="20312" xr:uid="{00000000-0005-0000-0000-0000B15C0000}"/>
    <cellStyle name="Comma 3 10 6 2 2 2 2" xfId="43590" xr:uid="{00000000-0005-0000-0000-0000B25C0000}"/>
    <cellStyle name="Comma 3 10 6 2 2 3" xfId="48486" xr:uid="{00000000-0005-0000-0000-0000B35C0000}"/>
    <cellStyle name="Comma 3 10 6 2 2 4" xfId="27656" xr:uid="{00000000-0005-0000-0000-0000B45C0000}"/>
    <cellStyle name="Comma 3 10 6 2 3" xfId="6825" xr:uid="{00000000-0005-0000-0000-0000B55C0000}"/>
    <cellStyle name="Comma 3 10 6 2 3 2" xfId="30104" xr:uid="{00000000-0005-0000-0000-0000B65C0000}"/>
    <cellStyle name="Comma 3 10 6 2 4" xfId="9273" xr:uid="{00000000-0005-0000-0000-0000B75C0000}"/>
    <cellStyle name="Comma 3 10 6 2 4 2" xfId="32552" xr:uid="{00000000-0005-0000-0000-0000B85C0000}"/>
    <cellStyle name="Comma 3 10 6 2 5" xfId="11721" xr:uid="{00000000-0005-0000-0000-0000B95C0000}"/>
    <cellStyle name="Comma 3 10 6 2 5 2" xfId="35000" xr:uid="{00000000-0005-0000-0000-0000BA5C0000}"/>
    <cellStyle name="Comma 3 10 6 2 6" xfId="14169" xr:uid="{00000000-0005-0000-0000-0000BB5C0000}"/>
    <cellStyle name="Comma 3 10 6 2 6 2" xfId="37448" xr:uid="{00000000-0005-0000-0000-0000BC5C0000}"/>
    <cellStyle name="Comma 3 10 6 2 7" xfId="17864" xr:uid="{00000000-0005-0000-0000-0000BD5C0000}"/>
    <cellStyle name="Comma 3 10 6 2 7 2" xfId="41142" xr:uid="{00000000-0005-0000-0000-0000BE5C0000}"/>
    <cellStyle name="Comma 3 10 6 2 8" xfId="25208" xr:uid="{00000000-0005-0000-0000-0000BF5C0000}"/>
    <cellStyle name="Comma 3 10 6 2 9" xfId="46038" xr:uid="{00000000-0005-0000-0000-0000C05C0000}"/>
    <cellStyle name="Comma 3 10 6 3" xfId="3153" xr:uid="{00000000-0005-0000-0000-0000C15C0000}"/>
    <cellStyle name="Comma 3 10 6 3 2" xfId="16640" xr:uid="{00000000-0005-0000-0000-0000C25C0000}"/>
    <cellStyle name="Comma 3 10 6 3 2 2" xfId="39918" xr:uid="{00000000-0005-0000-0000-0000C35C0000}"/>
    <cellStyle name="Comma 3 10 6 3 3" xfId="47262" xr:uid="{00000000-0005-0000-0000-0000C45C0000}"/>
    <cellStyle name="Comma 3 10 6 3 4" xfId="26432" xr:uid="{00000000-0005-0000-0000-0000C55C0000}"/>
    <cellStyle name="Comma 3 10 6 4" xfId="5601" xr:uid="{00000000-0005-0000-0000-0000C65C0000}"/>
    <cellStyle name="Comma 3 10 6 4 2" xfId="19088" xr:uid="{00000000-0005-0000-0000-0000C75C0000}"/>
    <cellStyle name="Comma 3 10 6 4 2 2" xfId="42366" xr:uid="{00000000-0005-0000-0000-0000C85C0000}"/>
    <cellStyle name="Comma 3 10 6 4 3" xfId="28880" xr:uid="{00000000-0005-0000-0000-0000C95C0000}"/>
    <cellStyle name="Comma 3 10 6 5" xfId="8049" xr:uid="{00000000-0005-0000-0000-0000CA5C0000}"/>
    <cellStyle name="Comma 3 10 6 5 2" xfId="31328" xr:uid="{00000000-0005-0000-0000-0000CB5C0000}"/>
    <cellStyle name="Comma 3 10 6 6" xfId="10497" xr:uid="{00000000-0005-0000-0000-0000CC5C0000}"/>
    <cellStyle name="Comma 3 10 6 6 2" xfId="33776" xr:uid="{00000000-0005-0000-0000-0000CD5C0000}"/>
    <cellStyle name="Comma 3 10 6 7" xfId="12945" xr:uid="{00000000-0005-0000-0000-0000CE5C0000}"/>
    <cellStyle name="Comma 3 10 6 7 2" xfId="36224" xr:uid="{00000000-0005-0000-0000-0000CF5C0000}"/>
    <cellStyle name="Comma 3 10 6 8" xfId="15416" xr:uid="{00000000-0005-0000-0000-0000D05C0000}"/>
    <cellStyle name="Comma 3 10 6 8 2" xfId="38694" xr:uid="{00000000-0005-0000-0000-0000D15C0000}"/>
    <cellStyle name="Comma 3 10 6 9" xfId="23984" xr:uid="{00000000-0005-0000-0000-0000D25C0000}"/>
    <cellStyle name="Comma 3 10 7" xfId="1317" xr:uid="{00000000-0005-0000-0000-0000D35C0000}"/>
    <cellStyle name="Comma 3 10 7 10" xfId="22148" xr:uid="{00000000-0005-0000-0000-0000D45C0000}"/>
    <cellStyle name="Comma 3 10 7 2" xfId="3765" xr:uid="{00000000-0005-0000-0000-0000D55C0000}"/>
    <cellStyle name="Comma 3 10 7 2 2" xfId="19700" xr:uid="{00000000-0005-0000-0000-0000D65C0000}"/>
    <cellStyle name="Comma 3 10 7 2 2 2" xfId="42978" xr:uid="{00000000-0005-0000-0000-0000D75C0000}"/>
    <cellStyle name="Comma 3 10 7 2 3" xfId="47874" xr:uid="{00000000-0005-0000-0000-0000D85C0000}"/>
    <cellStyle name="Comma 3 10 7 2 4" xfId="27044" xr:uid="{00000000-0005-0000-0000-0000D95C0000}"/>
    <cellStyle name="Comma 3 10 7 3" xfId="6213" xr:uid="{00000000-0005-0000-0000-0000DA5C0000}"/>
    <cellStyle name="Comma 3 10 7 3 2" xfId="29492" xr:uid="{00000000-0005-0000-0000-0000DB5C0000}"/>
    <cellStyle name="Comma 3 10 7 4" xfId="8661" xr:uid="{00000000-0005-0000-0000-0000DC5C0000}"/>
    <cellStyle name="Comma 3 10 7 4 2" xfId="31940" xr:uid="{00000000-0005-0000-0000-0000DD5C0000}"/>
    <cellStyle name="Comma 3 10 7 5" xfId="11109" xr:uid="{00000000-0005-0000-0000-0000DE5C0000}"/>
    <cellStyle name="Comma 3 10 7 5 2" xfId="34388" xr:uid="{00000000-0005-0000-0000-0000DF5C0000}"/>
    <cellStyle name="Comma 3 10 7 6" xfId="13557" xr:uid="{00000000-0005-0000-0000-0000E05C0000}"/>
    <cellStyle name="Comma 3 10 7 6 2" xfId="36836" xr:uid="{00000000-0005-0000-0000-0000E15C0000}"/>
    <cellStyle name="Comma 3 10 7 7" xfId="17252" xr:uid="{00000000-0005-0000-0000-0000E25C0000}"/>
    <cellStyle name="Comma 3 10 7 7 2" xfId="40530" xr:uid="{00000000-0005-0000-0000-0000E35C0000}"/>
    <cellStyle name="Comma 3 10 7 8" xfId="24596" xr:uid="{00000000-0005-0000-0000-0000E45C0000}"/>
    <cellStyle name="Comma 3 10 7 9" xfId="45426" xr:uid="{00000000-0005-0000-0000-0000E55C0000}"/>
    <cellStyle name="Comma 3 10 8" xfId="2541" xr:uid="{00000000-0005-0000-0000-0000E65C0000}"/>
    <cellStyle name="Comma 3 10 8 2" xfId="16028" xr:uid="{00000000-0005-0000-0000-0000E75C0000}"/>
    <cellStyle name="Comma 3 10 8 2 2" xfId="39306" xr:uid="{00000000-0005-0000-0000-0000E85C0000}"/>
    <cellStyle name="Comma 3 10 8 3" xfId="46650" xr:uid="{00000000-0005-0000-0000-0000E95C0000}"/>
    <cellStyle name="Comma 3 10 8 4" xfId="25820" xr:uid="{00000000-0005-0000-0000-0000EA5C0000}"/>
    <cellStyle name="Comma 3 10 9" xfId="4989" xr:uid="{00000000-0005-0000-0000-0000EB5C0000}"/>
    <cellStyle name="Comma 3 10 9 2" xfId="18476" xr:uid="{00000000-0005-0000-0000-0000EC5C0000}"/>
    <cellStyle name="Comma 3 10 9 2 2" xfId="41754" xr:uid="{00000000-0005-0000-0000-0000ED5C0000}"/>
    <cellStyle name="Comma 3 10 9 3" xfId="28268" xr:uid="{00000000-0005-0000-0000-0000EE5C0000}"/>
    <cellStyle name="Comma 3 11" xfId="110" xr:uid="{00000000-0005-0000-0000-0000EF5C0000}"/>
    <cellStyle name="Comma 3 11 10" xfId="12350" xr:uid="{00000000-0005-0000-0000-0000F05C0000}"/>
    <cellStyle name="Comma 3 11 10 2" xfId="35629" xr:uid="{00000000-0005-0000-0000-0000F15C0000}"/>
    <cellStyle name="Comma 3 11 11" xfId="14821" xr:uid="{00000000-0005-0000-0000-0000F25C0000}"/>
    <cellStyle name="Comma 3 11 11 2" xfId="38099" xr:uid="{00000000-0005-0000-0000-0000F35C0000}"/>
    <cellStyle name="Comma 3 11 12" xfId="23389" xr:uid="{00000000-0005-0000-0000-0000F45C0000}"/>
    <cellStyle name="Comma 3 11 13" xfId="44219" xr:uid="{00000000-0005-0000-0000-0000F55C0000}"/>
    <cellStyle name="Comma 3 11 14" xfId="20941" xr:uid="{00000000-0005-0000-0000-0000F65C0000}"/>
    <cellStyle name="Comma 3 11 2" xfId="314" xr:uid="{00000000-0005-0000-0000-0000F75C0000}"/>
    <cellStyle name="Comma 3 11 2 10" xfId="23593" xr:uid="{00000000-0005-0000-0000-0000F85C0000}"/>
    <cellStyle name="Comma 3 11 2 11" xfId="44423" xr:uid="{00000000-0005-0000-0000-0000F95C0000}"/>
    <cellStyle name="Comma 3 11 2 12" xfId="21145" xr:uid="{00000000-0005-0000-0000-0000FA5C0000}"/>
    <cellStyle name="Comma 3 11 2 2" xfId="926" xr:uid="{00000000-0005-0000-0000-0000FB5C0000}"/>
    <cellStyle name="Comma 3 11 2 2 10" xfId="45035" xr:uid="{00000000-0005-0000-0000-0000FC5C0000}"/>
    <cellStyle name="Comma 3 11 2 2 11" xfId="21757" xr:uid="{00000000-0005-0000-0000-0000FD5C0000}"/>
    <cellStyle name="Comma 3 11 2 2 2" xfId="2150" xr:uid="{00000000-0005-0000-0000-0000FE5C0000}"/>
    <cellStyle name="Comma 3 11 2 2 2 10" xfId="22981" xr:uid="{00000000-0005-0000-0000-0000FF5C0000}"/>
    <cellStyle name="Comma 3 11 2 2 2 2" xfId="4598" xr:uid="{00000000-0005-0000-0000-0000005D0000}"/>
    <cellStyle name="Comma 3 11 2 2 2 2 2" xfId="20533" xr:uid="{00000000-0005-0000-0000-0000015D0000}"/>
    <cellStyle name="Comma 3 11 2 2 2 2 2 2" xfId="43811" xr:uid="{00000000-0005-0000-0000-0000025D0000}"/>
    <cellStyle name="Comma 3 11 2 2 2 2 3" xfId="48707" xr:uid="{00000000-0005-0000-0000-0000035D0000}"/>
    <cellStyle name="Comma 3 11 2 2 2 2 4" xfId="27877" xr:uid="{00000000-0005-0000-0000-0000045D0000}"/>
    <cellStyle name="Comma 3 11 2 2 2 3" xfId="7046" xr:uid="{00000000-0005-0000-0000-0000055D0000}"/>
    <cellStyle name="Comma 3 11 2 2 2 3 2" xfId="30325" xr:uid="{00000000-0005-0000-0000-0000065D0000}"/>
    <cellStyle name="Comma 3 11 2 2 2 4" xfId="9494" xr:uid="{00000000-0005-0000-0000-0000075D0000}"/>
    <cellStyle name="Comma 3 11 2 2 2 4 2" xfId="32773" xr:uid="{00000000-0005-0000-0000-0000085D0000}"/>
    <cellStyle name="Comma 3 11 2 2 2 5" xfId="11942" xr:uid="{00000000-0005-0000-0000-0000095D0000}"/>
    <cellStyle name="Comma 3 11 2 2 2 5 2" xfId="35221" xr:uid="{00000000-0005-0000-0000-00000A5D0000}"/>
    <cellStyle name="Comma 3 11 2 2 2 6" xfId="14390" xr:uid="{00000000-0005-0000-0000-00000B5D0000}"/>
    <cellStyle name="Comma 3 11 2 2 2 6 2" xfId="37669" xr:uid="{00000000-0005-0000-0000-00000C5D0000}"/>
    <cellStyle name="Comma 3 11 2 2 2 7" xfId="18085" xr:uid="{00000000-0005-0000-0000-00000D5D0000}"/>
    <cellStyle name="Comma 3 11 2 2 2 7 2" xfId="41363" xr:uid="{00000000-0005-0000-0000-00000E5D0000}"/>
    <cellStyle name="Comma 3 11 2 2 2 8" xfId="25429" xr:uid="{00000000-0005-0000-0000-00000F5D0000}"/>
    <cellStyle name="Comma 3 11 2 2 2 9" xfId="46259" xr:uid="{00000000-0005-0000-0000-0000105D0000}"/>
    <cellStyle name="Comma 3 11 2 2 3" xfId="3374" xr:uid="{00000000-0005-0000-0000-0000115D0000}"/>
    <cellStyle name="Comma 3 11 2 2 3 2" xfId="16861" xr:uid="{00000000-0005-0000-0000-0000125D0000}"/>
    <cellStyle name="Comma 3 11 2 2 3 2 2" xfId="40139" xr:uid="{00000000-0005-0000-0000-0000135D0000}"/>
    <cellStyle name="Comma 3 11 2 2 3 3" xfId="47483" xr:uid="{00000000-0005-0000-0000-0000145D0000}"/>
    <cellStyle name="Comma 3 11 2 2 3 4" xfId="26653" xr:uid="{00000000-0005-0000-0000-0000155D0000}"/>
    <cellStyle name="Comma 3 11 2 2 4" xfId="5822" xr:uid="{00000000-0005-0000-0000-0000165D0000}"/>
    <cellStyle name="Comma 3 11 2 2 4 2" xfId="19309" xr:uid="{00000000-0005-0000-0000-0000175D0000}"/>
    <cellStyle name="Comma 3 11 2 2 4 2 2" xfId="42587" xr:uid="{00000000-0005-0000-0000-0000185D0000}"/>
    <cellStyle name="Comma 3 11 2 2 4 3" xfId="29101" xr:uid="{00000000-0005-0000-0000-0000195D0000}"/>
    <cellStyle name="Comma 3 11 2 2 5" xfId="8270" xr:uid="{00000000-0005-0000-0000-00001A5D0000}"/>
    <cellStyle name="Comma 3 11 2 2 5 2" xfId="31549" xr:uid="{00000000-0005-0000-0000-00001B5D0000}"/>
    <cellStyle name="Comma 3 11 2 2 6" xfId="10718" xr:uid="{00000000-0005-0000-0000-00001C5D0000}"/>
    <cellStyle name="Comma 3 11 2 2 6 2" xfId="33997" xr:uid="{00000000-0005-0000-0000-00001D5D0000}"/>
    <cellStyle name="Comma 3 11 2 2 7" xfId="13166" xr:uid="{00000000-0005-0000-0000-00001E5D0000}"/>
    <cellStyle name="Comma 3 11 2 2 7 2" xfId="36445" xr:uid="{00000000-0005-0000-0000-00001F5D0000}"/>
    <cellStyle name="Comma 3 11 2 2 8" xfId="15637" xr:uid="{00000000-0005-0000-0000-0000205D0000}"/>
    <cellStyle name="Comma 3 11 2 2 8 2" xfId="38915" xr:uid="{00000000-0005-0000-0000-0000215D0000}"/>
    <cellStyle name="Comma 3 11 2 2 9" xfId="24205" xr:uid="{00000000-0005-0000-0000-0000225D0000}"/>
    <cellStyle name="Comma 3 11 2 3" xfId="1538" xr:uid="{00000000-0005-0000-0000-0000235D0000}"/>
    <cellStyle name="Comma 3 11 2 3 10" xfId="22369" xr:uid="{00000000-0005-0000-0000-0000245D0000}"/>
    <cellStyle name="Comma 3 11 2 3 2" xfId="3986" xr:uid="{00000000-0005-0000-0000-0000255D0000}"/>
    <cellStyle name="Comma 3 11 2 3 2 2" xfId="19921" xr:uid="{00000000-0005-0000-0000-0000265D0000}"/>
    <cellStyle name="Comma 3 11 2 3 2 2 2" xfId="43199" xr:uid="{00000000-0005-0000-0000-0000275D0000}"/>
    <cellStyle name="Comma 3 11 2 3 2 3" xfId="48095" xr:uid="{00000000-0005-0000-0000-0000285D0000}"/>
    <cellStyle name="Comma 3 11 2 3 2 4" xfId="27265" xr:uid="{00000000-0005-0000-0000-0000295D0000}"/>
    <cellStyle name="Comma 3 11 2 3 3" xfId="6434" xr:uid="{00000000-0005-0000-0000-00002A5D0000}"/>
    <cellStyle name="Comma 3 11 2 3 3 2" xfId="29713" xr:uid="{00000000-0005-0000-0000-00002B5D0000}"/>
    <cellStyle name="Comma 3 11 2 3 4" xfId="8882" xr:uid="{00000000-0005-0000-0000-00002C5D0000}"/>
    <cellStyle name="Comma 3 11 2 3 4 2" xfId="32161" xr:uid="{00000000-0005-0000-0000-00002D5D0000}"/>
    <cellStyle name="Comma 3 11 2 3 5" xfId="11330" xr:uid="{00000000-0005-0000-0000-00002E5D0000}"/>
    <cellStyle name="Comma 3 11 2 3 5 2" xfId="34609" xr:uid="{00000000-0005-0000-0000-00002F5D0000}"/>
    <cellStyle name="Comma 3 11 2 3 6" xfId="13778" xr:uid="{00000000-0005-0000-0000-0000305D0000}"/>
    <cellStyle name="Comma 3 11 2 3 6 2" xfId="37057" xr:uid="{00000000-0005-0000-0000-0000315D0000}"/>
    <cellStyle name="Comma 3 11 2 3 7" xfId="17473" xr:uid="{00000000-0005-0000-0000-0000325D0000}"/>
    <cellStyle name="Comma 3 11 2 3 7 2" xfId="40751" xr:uid="{00000000-0005-0000-0000-0000335D0000}"/>
    <cellStyle name="Comma 3 11 2 3 8" xfId="24817" xr:uid="{00000000-0005-0000-0000-0000345D0000}"/>
    <cellStyle name="Comma 3 11 2 3 9" xfId="45647" xr:uid="{00000000-0005-0000-0000-0000355D0000}"/>
    <cellStyle name="Comma 3 11 2 4" xfId="2762" xr:uid="{00000000-0005-0000-0000-0000365D0000}"/>
    <cellStyle name="Comma 3 11 2 4 2" xfId="16249" xr:uid="{00000000-0005-0000-0000-0000375D0000}"/>
    <cellStyle name="Comma 3 11 2 4 2 2" xfId="39527" xr:uid="{00000000-0005-0000-0000-0000385D0000}"/>
    <cellStyle name="Comma 3 11 2 4 3" xfId="46871" xr:uid="{00000000-0005-0000-0000-0000395D0000}"/>
    <cellStyle name="Comma 3 11 2 4 4" xfId="26041" xr:uid="{00000000-0005-0000-0000-00003A5D0000}"/>
    <cellStyle name="Comma 3 11 2 5" xfId="5210" xr:uid="{00000000-0005-0000-0000-00003B5D0000}"/>
    <cellStyle name="Comma 3 11 2 5 2" xfId="18697" xr:uid="{00000000-0005-0000-0000-00003C5D0000}"/>
    <cellStyle name="Comma 3 11 2 5 2 2" xfId="41975" xr:uid="{00000000-0005-0000-0000-00003D5D0000}"/>
    <cellStyle name="Comma 3 11 2 5 3" xfId="28489" xr:uid="{00000000-0005-0000-0000-00003E5D0000}"/>
    <cellStyle name="Comma 3 11 2 6" xfId="7658" xr:uid="{00000000-0005-0000-0000-00003F5D0000}"/>
    <cellStyle name="Comma 3 11 2 6 2" xfId="30937" xr:uid="{00000000-0005-0000-0000-0000405D0000}"/>
    <cellStyle name="Comma 3 11 2 7" xfId="10106" xr:uid="{00000000-0005-0000-0000-0000415D0000}"/>
    <cellStyle name="Comma 3 11 2 7 2" xfId="33385" xr:uid="{00000000-0005-0000-0000-0000425D0000}"/>
    <cellStyle name="Comma 3 11 2 8" xfId="12554" xr:uid="{00000000-0005-0000-0000-0000435D0000}"/>
    <cellStyle name="Comma 3 11 2 8 2" xfId="35833" xr:uid="{00000000-0005-0000-0000-0000445D0000}"/>
    <cellStyle name="Comma 3 11 2 9" xfId="15025" xr:uid="{00000000-0005-0000-0000-0000455D0000}"/>
    <cellStyle name="Comma 3 11 2 9 2" xfId="38303" xr:uid="{00000000-0005-0000-0000-0000465D0000}"/>
    <cellStyle name="Comma 3 11 3" xfId="518" xr:uid="{00000000-0005-0000-0000-0000475D0000}"/>
    <cellStyle name="Comma 3 11 3 10" xfId="23797" xr:uid="{00000000-0005-0000-0000-0000485D0000}"/>
    <cellStyle name="Comma 3 11 3 11" xfId="44627" xr:uid="{00000000-0005-0000-0000-0000495D0000}"/>
    <cellStyle name="Comma 3 11 3 12" xfId="21349" xr:uid="{00000000-0005-0000-0000-00004A5D0000}"/>
    <cellStyle name="Comma 3 11 3 2" xfId="1130" xr:uid="{00000000-0005-0000-0000-00004B5D0000}"/>
    <cellStyle name="Comma 3 11 3 2 10" xfId="45239" xr:uid="{00000000-0005-0000-0000-00004C5D0000}"/>
    <cellStyle name="Comma 3 11 3 2 11" xfId="21961" xr:uid="{00000000-0005-0000-0000-00004D5D0000}"/>
    <cellStyle name="Comma 3 11 3 2 2" xfId="2354" xr:uid="{00000000-0005-0000-0000-00004E5D0000}"/>
    <cellStyle name="Comma 3 11 3 2 2 10" xfId="23185" xr:uid="{00000000-0005-0000-0000-00004F5D0000}"/>
    <cellStyle name="Comma 3 11 3 2 2 2" xfId="4802" xr:uid="{00000000-0005-0000-0000-0000505D0000}"/>
    <cellStyle name="Comma 3 11 3 2 2 2 2" xfId="20737" xr:uid="{00000000-0005-0000-0000-0000515D0000}"/>
    <cellStyle name="Comma 3 11 3 2 2 2 2 2" xfId="44015" xr:uid="{00000000-0005-0000-0000-0000525D0000}"/>
    <cellStyle name="Comma 3 11 3 2 2 2 3" xfId="48911" xr:uid="{00000000-0005-0000-0000-0000535D0000}"/>
    <cellStyle name="Comma 3 11 3 2 2 2 4" xfId="28081" xr:uid="{00000000-0005-0000-0000-0000545D0000}"/>
    <cellStyle name="Comma 3 11 3 2 2 3" xfId="7250" xr:uid="{00000000-0005-0000-0000-0000555D0000}"/>
    <cellStyle name="Comma 3 11 3 2 2 3 2" xfId="30529" xr:uid="{00000000-0005-0000-0000-0000565D0000}"/>
    <cellStyle name="Comma 3 11 3 2 2 4" xfId="9698" xr:uid="{00000000-0005-0000-0000-0000575D0000}"/>
    <cellStyle name="Comma 3 11 3 2 2 4 2" xfId="32977" xr:uid="{00000000-0005-0000-0000-0000585D0000}"/>
    <cellStyle name="Comma 3 11 3 2 2 5" xfId="12146" xr:uid="{00000000-0005-0000-0000-0000595D0000}"/>
    <cellStyle name="Comma 3 11 3 2 2 5 2" xfId="35425" xr:uid="{00000000-0005-0000-0000-00005A5D0000}"/>
    <cellStyle name="Comma 3 11 3 2 2 6" xfId="14594" xr:uid="{00000000-0005-0000-0000-00005B5D0000}"/>
    <cellStyle name="Comma 3 11 3 2 2 6 2" xfId="37873" xr:uid="{00000000-0005-0000-0000-00005C5D0000}"/>
    <cellStyle name="Comma 3 11 3 2 2 7" xfId="18289" xr:uid="{00000000-0005-0000-0000-00005D5D0000}"/>
    <cellStyle name="Comma 3 11 3 2 2 7 2" xfId="41567" xr:uid="{00000000-0005-0000-0000-00005E5D0000}"/>
    <cellStyle name="Comma 3 11 3 2 2 8" xfId="25633" xr:uid="{00000000-0005-0000-0000-00005F5D0000}"/>
    <cellStyle name="Comma 3 11 3 2 2 9" xfId="46463" xr:uid="{00000000-0005-0000-0000-0000605D0000}"/>
    <cellStyle name="Comma 3 11 3 2 3" xfId="3578" xr:uid="{00000000-0005-0000-0000-0000615D0000}"/>
    <cellStyle name="Comma 3 11 3 2 3 2" xfId="17065" xr:uid="{00000000-0005-0000-0000-0000625D0000}"/>
    <cellStyle name="Comma 3 11 3 2 3 2 2" xfId="40343" xr:uid="{00000000-0005-0000-0000-0000635D0000}"/>
    <cellStyle name="Comma 3 11 3 2 3 3" xfId="47687" xr:uid="{00000000-0005-0000-0000-0000645D0000}"/>
    <cellStyle name="Comma 3 11 3 2 3 4" xfId="26857" xr:uid="{00000000-0005-0000-0000-0000655D0000}"/>
    <cellStyle name="Comma 3 11 3 2 4" xfId="6026" xr:uid="{00000000-0005-0000-0000-0000665D0000}"/>
    <cellStyle name="Comma 3 11 3 2 4 2" xfId="19513" xr:uid="{00000000-0005-0000-0000-0000675D0000}"/>
    <cellStyle name="Comma 3 11 3 2 4 2 2" xfId="42791" xr:uid="{00000000-0005-0000-0000-0000685D0000}"/>
    <cellStyle name="Comma 3 11 3 2 4 3" xfId="29305" xr:uid="{00000000-0005-0000-0000-0000695D0000}"/>
    <cellStyle name="Comma 3 11 3 2 5" xfId="8474" xr:uid="{00000000-0005-0000-0000-00006A5D0000}"/>
    <cellStyle name="Comma 3 11 3 2 5 2" xfId="31753" xr:uid="{00000000-0005-0000-0000-00006B5D0000}"/>
    <cellStyle name="Comma 3 11 3 2 6" xfId="10922" xr:uid="{00000000-0005-0000-0000-00006C5D0000}"/>
    <cellStyle name="Comma 3 11 3 2 6 2" xfId="34201" xr:uid="{00000000-0005-0000-0000-00006D5D0000}"/>
    <cellStyle name="Comma 3 11 3 2 7" xfId="13370" xr:uid="{00000000-0005-0000-0000-00006E5D0000}"/>
    <cellStyle name="Comma 3 11 3 2 7 2" xfId="36649" xr:uid="{00000000-0005-0000-0000-00006F5D0000}"/>
    <cellStyle name="Comma 3 11 3 2 8" xfId="15841" xr:uid="{00000000-0005-0000-0000-0000705D0000}"/>
    <cellStyle name="Comma 3 11 3 2 8 2" xfId="39119" xr:uid="{00000000-0005-0000-0000-0000715D0000}"/>
    <cellStyle name="Comma 3 11 3 2 9" xfId="24409" xr:uid="{00000000-0005-0000-0000-0000725D0000}"/>
    <cellStyle name="Comma 3 11 3 3" xfId="1742" xr:uid="{00000000-0005-0000-0000-0000735D0000}"/>
    <cellStyle name="Comma 3 11 3 3 10" xfId="22573" xr:uid="{00000000-0005-0000-0000-0000745D0000}"/>
    <cellStyle name="Comma 3 11 3 3 2" xfId="4190" xr:uid="{00000000-0005-0000-0000-0000755D0000}"/>
    <cellStyle name="Comma 3 11 3 3 2 2" xfId="20125" xr:uid="{00000000-0005-0000-0000-0000765D0000}"/>
    <cellStyle name="Comma 3 11 3 3 2 2 2" xfId="43403" xr:uid="{00000000-0005-0000-0000-0000775D0000}"/>
    <cellStyle name="Comma 3 11 3 3 2 3" xfId="48299" xr:uid="{00000000-0005-0000-0000-0000785D0000}"/>
    <cellStyle name="Comma 3 11 3 3 2 4" xfId="27469" xr:uid="{00000000-0005-0000-0000-0000795D0000}"/>
    <cellStyle name="Comma 3 11 3 3 3" xfId="6638" xr:uid="{00000000-0005-0000-0000-00007A5D0000}"/>
    <cellStyle name="Comma 3 11 3 3 3 2" xfId="29917" xr:uid="{00000000-0005-0000-0000-00007B5D0000}"/>
    <cellStyle name="Comma 3 11 3 3 4" xfId="9086" xr:uid="{00000000-0005-0000-0000-00007C5D0000}"/>
    <cellStyle name="Comma 3 11 3 3 4 2" xfId="32365" xr:uid="{00000000-0005-0000-0000-00007D5D0000}"/>
    <cellStyle name="Comma 3 11 3 3 5" xfId="11534" xr:uid="{00000000-0005-0000-0000-00007E5D0000}"/>
    <cellStyle name="Comma 3 11 3 3 5 2" xfId="34813" xr:uid="{00000000-0005-0000-0000-00007F5D0000}"/>
    <cellStyle name="Comma 3 11 3 3 6" xfId="13982" xr:uid="{00000000-0005-0000-0000-0000805D0000}"/>
    <cellStyle name="Comma 3 11 3 3 6 2" xfId="37261" xr:uid="{00000000-0005-0000-0000-0000815D0000}"/>
    <cellStyle name="Comma 3 11 3 3 7" xfId="17677" xr:uid="{00000000-0005-0000-0000-0000825D0000}"/>
    <cellStyle name="Comma 3 11 3 3 7 2" xfId="40955" xr:uid="{00000000-0005-0000-0000-0000835D0000}"/>
    <cellStyle name="Comma 3 11 3 3 8" xfId="25021" xr:uid="{00000000-0005-0000-0000-0000845D0000}"/>
    <cellStyle name="Comma 3 11 3 3 9" xfId="45851" xr:uid="{00000000-0005-0000-0000-0000855D0000}"/>
    <cellStyle name="Comma 3 11 3 4" xfId="2966" xr:uid="{00000000-0005-0000-0000-0000865D0000}"/>
    <cellStyle name="Comma 3 11 3 4 2" xfId="16453" xr:uid="{00000000-0005-0000-0000-0000875D0000}"/>
    <cellStyle name="Comma 3 11 3 4 2 2" xfId="39731" xr:uid="{00000000-0005-0000-0000-0000885D0000}"/>
    <cellStyle name="Comma 3 11 3 4 3" xfId="47075" xr:uid="{00000000-0005-0000-0000-0000895D0000}"/>
    <cellStyle name="Comma 3 11 3 4 4" xfId="26245" xr:uid="{00000000-0005-0000-0000-00008A5D0000}"/>
    <cellStyle name="Comma 3 11 3 5" xfId="5414" xr:uid="{00000000-0005-0000-0000-00008B5D0000}"/>
    <cellStyle name="Comma 3 11 3 5 2" xfId="18901" xr:uid="{00000000-0005-0000-0000-00008C5D0000}"/>
    <cellStyle name="Comma 3 11 3 5 2 2" xfId="42179" xr:uid="{00000000-0005-0000-0000-00008D5D0000}"/>
    <cellStyle name="Comma 3 11 3 5 3" xfId="28693" xr:uid="{00000000-0005-0000-0000-00008E5D0000}"/>
    <cellStyle name="Comma 3 11 3 6" xfId="7862" xr:uid="{00000000-0005-0000-0000-00008F5D0000}"/>
    <cellStyle name="Comma 3 11 3 6 2" xfId="31141" xr:uid="{00000000-0005-0000-0000-0000905D0000}"/>
    <cellStyle name="Comma 3 11 3 7" xfId="10310" xr:uid="{00000000-0005-0000-0000-0000915D0000}"/>
    <cellStyle name="Comma 3 11 3 7 2" xfId="33589" xr:uid="{00000000-0005-0000-0000-0000925D0000}"/>
    <cellStyle name="Comma 3 11 3 8" xfId="12758" xr:uid="{00000000-0005-0000-0000-0000935D0000}"/>
    <cellStyle name="Comma 3 11 3 8 2" xfId="36037" xr:uid="{00000000-0005-0000-0000-0000945D0000}"/>
    <cellStyle name="Comma 3 11 3 9" xfId="15229" xr:uid="{00000000-0005-0000-0000-0000955D0000}"/>
    <cellStyle name="Comma 3 11 3 9 2" xfId="38507" xr:uid="{00000000-0005-0000-0000-0000965D0000}"/>
    <cellStyle name="Comma 3 11 4" xfId="722" xr:uid="{00000000-0005-0000-0000-0000975D0000}"/>
    <cellStyle name="Comma 3 11 4 10" xfId="44831" xr:uid="{00000000-0005-0000-0000-0000985D0000}"/>
    <cellStyle name="Comma 3 11 4 11" xfId="21553" xr:uid="{00000000-0005-0000-0000-0000995D0000}"/>
    <cellStyle name="Comma 3 11 4 2" xfId="1946" xr:uid="{00000000-0005-0000-0000-00009A5D0000}"/>
    <cellStyle name="Comma 3 11 4 2 10" xfId="22777" xr:uid="{00000000-0005-0000-0000-00009B5D0000}"/>
    <cellStyle name="Comma 3 11 4 2 2" xfId="4394" xr:uid="{00000000-0005-0000-0000-00009C5D0000}"/>
    <cellStyle name="Comma 3 11 4 2 2 2" xfId="20329" xr:uid="{00000000-0005-0000-0000-00009D5D0000}"/>
    <cellStyle name="Comma 3 11 4 2 2 2 2" xfId="43607" xr:uid="{00000000-0005-0000-0000-00009E5D0000}"/>
    <cellStyle name="Comma 3 11 4 2 2 3" xfId="48503" xr:uid="{00000000-0005-0000-0000-00009F5D0000}"/>
    <cellStyle name="Comma 3 11 4 2 2 4" xfId="27673" xr:uid="{00000000-0005-0000-0000-0000A05D0000}"/>
    <cellStyle name="Comma 3 11 4 2 3" xfId="6842" xr:uid="{00000000-0005-0000-0000-0000A15D0000}"/>
    <cellStyle name="Comma 3 11 4 2 3 2" xfId="30121" xr:uid="{00000000-0005-0000-0000-0000A25D0000}"/>
    <cellStyle name="Comma 3 11 4 2 4" xfId="9290" xr:uid="{00000000-0005-0000-0000-0000A35D0000}"/>
    <cellStyle name="Comma 3 11 4 2 4 2" xfId="32569" xr:uid="{00000000-0005-0000-0000-0000A45D0000}"/>
    <cellStyle name="Comma 3 11 4 2 5" xfId="11738" xr:uid="{00000000-0005-0000-0000-0000A55D0000}"/>
    <cellStyle name="Comma 3 11 4 2 5 2" xfId="35017" xr:uid="{00000000-0005-0000-0000-0000A65D0000}"/>
    <cellStyle name="Comma 3 11 4 2 6" xfId="14186" xr:uid="{00000000-0005-0000-0000-0000A75D0000}"/>
    <cellStyle name="Comma 3 11 4 2 6 2" xfId="37465" xr:uid="{00000000-0005-0000-0000-0000A85D0000}"/>
    <cellStyle name="Comma 3 11 4 2 7" xfId="17881" xr:uid="{00000000-0005-0000-0000-0000A95D0000}"/>
    <cellStyle name="Comma 3 11 4 2 7 2" xfId="41159" xr:uid="{00000000-0005-0000-0000-0000AA5D0000}"/>
    <cellStyle name="Comma 3 11 4 2 8" xfId="25225" xr:uid="{00000000-0005-0000-0000-0000AB5D0000}"/>
    <cellStyle name="Comma 3 11 4 2 9" xfId="46055" xr:uid="{00000000-0005-0000-0000-0000AC5D0000}"/>
    <cellStyle name="Comma 3 11 4 3" xfId="3170" xr:uid="{00000000-0005-0000-0000-0000AD5D0000}"/>
    <cellStyle name="Comma 3 11 4 3 2" xfId="16657" xr:uid="{00000000-0005-0000-0000-0000AE5D0000}"/>
    <cellStyle name="Comma 3 11 4 3 2 2" xfId="39935" xr:uid="{00000000-0005-0000-0000-0000AF5D0000}"/>
    <cellStyle name="Comma 3 11 4 3 3" xfId="47279" xr:uid="{00000000-0005-0000-0000-0000B05D0000}"/>
    <cellStyle name="Comma 3 11 4 3 4" xfId="26449" xr:uid="{00000000-0005-0000-0000-0000B15D0000}"/>
    <cellStyle name="Comma 3 11 4 4" xfId="5618" xr:uid="{00000000-0005-0000-0000-0000B25D0000}"/>
    <cellStyle name="Comma 3 11 4 4 2" xfId="19105" xr:uid="{00000000-0005-0000-0000-0000B35D0000}"/>
    <cellStyle name="Comma 3 11 4 4 2 2" xfId="42383" xr:uid="{00000000-0005-0000-0000-0000B45D0000}"/>
    <cellStyle name="Comma 3 11 4 4 3" xfId="28897" xr:uid="{00000000-0005-0000-0000-0000B55D0000}"/>
    <cellStyle name="Comma 3 11 4 5" xfId="8066" xr:uid="{00000000-0005-0000-0000-0000B65D0000}"/>
    <cellStyle name="Comma 3 11 4 5 2" xfId="31345" xr:uid="{00000000-0005-0000-0000-0000B75D0000}"/>
    <cellStyle name="Comma 3 11 4 6" xfId="10514" xr:uid="{00000000-0005-0000-0000-0000B85D0000}"/>
    <cellStyle name="Comma 3 11 4 6 2" xfId="33793" xr:uid="{00000000-0005-0000-0000-0000B95D0000}"/>
    <cellStyle name="Comma 3 11 4 7" xfId="12962" xr:uid="{00000000-0005-0000-0000-0000BA5D0000}"/>
    <cellStyle name="Comma 3 11 4 7 2" xfId="36241" xr:uid="{00000000-0005-0000-0000-0000BB5D0000}"/>
    <cellStyle name="Comma 3 11 4 8" xfId="15433" xr:uid="{00000000-0005-0000-0000-0000BC5D0000}"/>
    <cellStyle name="Comma 3 11 4 8 2" xfId="38711" xr:uid="{00000000-0005-0000-0000-0000BD5D0000}"/>
    <cellStyle name="Comma 3 11 4 9" xfId="24001" xr:uid="{00000000-0005-0000-0000-0000BE5D0000}"/>
    <cellStyle name="Comma 3 11 5" xfId="1334" xr:uid="{00000000-0005-0000-0000-0000BF5D0000}"/>
    <cellStyle name="Comma 3 11 5 10" xfId="22165" xr:uid="{00000000-0005-0000-0000-0000C05D0000}"/>
    <cellStyle name="Comma 3 11 5 2" xfId="3782" xr:uid="{00000000-0005-0000-0000-0000C15D0000}"/>
    <cellStyle name="Comma 3 11 5 2 2" xfId="19717" xr:uid="{00000000-0005-0000-0000-0000C25D0000}"/>
    <cellStyle name="Comma 3 11 5 2 2 2" xfId="42995" xr:uid="{00000000-0005-0000-0000-0000C35D0000}"/>
    <cellStyle name="Comma 3 11 5 2 3" xfId="47891" xr:uid="{00000000-0005-0000-0000-0000C45D0000}"/>
    <cellStyle name="Comma 3 11 5 2 4" xfId="27061" xr:uid="{00000000-0005-0000-0000-0000C55D0000}"/>
    <cellStyle name="Comma 3 11 5 3" xfId="6230" xr:uid="{00000000-0005-0000-0000-0000C65D0000}"/>
    <cellStyle name="Comma 3 11 5 3 2" xfId="29509" xr:uid="{00000000-0005-0000-0000-0000C75D0000}"/>
    <cellStyle name="Comma 3 11 5 4" xfId="8678" xr:uid="{00000000-0005-0000-0000-0000C85D0000}"/>
    <cellStyle name="Comma 3 11 5 4 2" xfId="31957" xr:uid="{00000000-0005-0000-0000-0000C95D0000}"/>
    <cellStyle name="Comma 3 11 5 5" xfId="11126" xr:uid="{00000000-0005-0000-0000-0000CA5D0000}"/>
    <cellStyle name="Comma 3 11 5 5 2" xfId="34405" xr:uid="{00000000-0005-0000-0000-0000CB5D0000}"/>
    <cellStyle name="Comma 3 11 5 6" xfId="13574" xr:uid="{00000000-0005-0000-0000-0000CC5D0000}"/>
    <cellStyle name="Comma 3 11 5 6 2" xfId="36853" xr:uid="{00000000-0005-0000-0000-0000CD5D0000}"/>
    <cellStyle name="Comma 3 11 5 7" xfId="17269" xr:uid="{00000000-0005-0000-0000-0000CE5D0000}"/>
    <cellStyle name="Comma 3 11 5 7 2" xfId="40547" xr:uid="{00000000-0005-0000-0000-0000CF5D0000}"/>
    <cellStyle name="Comma 3 11 5 8" xfId="24613" xr:uid="{00000000-0005-0000-0000-0000D05D0000}"/>
    <cellStyle name="Comma 3 11 5 9" xfId="45443" xr:uid="{00000000-0005-0000-0000-0000D15D0000}"/>
    <cellStyle name="Comma 3 11 6" xfId="2558" xr:uid="{00000000-0005-0000-0000-0000D25D0000}"/>
    <cellStyle name="Comma 3 11 6 2" xfId="16045" xr:uid="{00000000-0005-0000-0000-0000D35D0000}"/>
    <cellStyle name="Comma 3 11 6 2 2" xfId="39323" xr:uid="{00000000-0005-0000-0000-0000D45D0000}"/>
    <cellStyle name="Comma 3 11 6 3" xfId="46667" xr:uid="{00000000-0005-0000-0000-0000D55D0000}"/>
    <cellStyle name="Comma 3 11 6 4" xfId="25837" xr:uid="{00000000-0005-0000-0000-0000D65D0000}"/>
    <cellStyle name="Comma 3 11 7" xfId="5006" xr:uid="{00000000-0005-0000-0000-0000D75D0000}"/>
    <cellStyle name="Comma 3 11 7 2" xfId="18493" xr:uid="{00000000-0005-0000-0000-0000D85D0000}"/>
    <cellStyle name="Comma 3 11 7 2 2" xfId="41771" xr:uid="{00000000-0005-0000-0000-0000D95D0000}"/>
    <cellStyle name="Comma 3 11 7 3" xfId="28285" xr:uid="{00000000-0005-0000-0000-0000DA5D0000}"/>
    <cellStyle name="Comma 3 11 8" xfId="7454" xr:uid="{00000000-0005-0000-0000-0000DB5D0000}"/>
    <cellStyle name="Comma 3 11 8 2" xfId="30733" xr:uid="{00000000-0005-0000-0000-0000DC5D0000}"/>
    <cellStyle name="Comma 3 11 9" xfId="9902" xr:uid="{00000000-0005-0000-0000-0000DD5D0000}"/>
    <cellStyle name="Comma 3 11 9 2" xfId="33181" xr:uid="{00000000-0005-0000-0000-0000DE5D0000}"/>
    <cellStyle name="Comma 3 12" xfId="178" xr:uid="{00000000-0005-0000-0000-0000DF5D0000}"/>
    <cellStyle name="Comma 3 12 10" xfId="12418" xr:uid="{00000000-0005-0000-0000-0000E05D0000}"/>
    <cellStyle name="Comma 3 12 10 2" xfId="35697" xr:uid="{00000000-0005-0000-0000-0000E15D0000}"/>
    <cellStyle name="Comma 3 12 11" xfId="14889" xr:uid="{00000000-0005-0000-0000-0000E25D0000}"/>
    <cellStyle name="Comma 3 12 11 2" xfId="38167" xr:uid="{00000000-0005-0000-0000-0000E35D0000}"/>
    <cellStyle name="Comma 3 12 12" xfId="23457" xr:uid="{00000000-0005-0000-0000-0000E45D0000}"/>
    <cellStyle name="Comma 3 12 13" xfId="44287" xr:uid="{00000000-0005-0000-0000-0000E55D0000}"/>
    <cellStyle name="Comma 3 12 14" xfId="21009" xr:uid="{00000000-0005-0000-0000-0000E65D0000}"/>
    <cellStyle name="Comma 3 12 2" xfId="382" xr:uid="{00000000-0005-0000-0000-0000E75D0000}"/>
    <cellStyle name="Comma 3 12 2 10" xfId="23661" xr:uid="{00000000-0005-0000-0000-0000E85D0000}"/>
    <cellStyle name="Comma 3 12 2 11" xfId="44491" xr:uid="{00000000-0005-0000-0000-0000E95D0000}"/>
    <cellStyle name="Comma 3 12 2 12" xfId="21213" xr:uid="{00000000-0005-0000-0000-0000EA5D0000}"/>
    <cellStyle name="Comma 3 12 2 2" xfId="994" xr:uid="{00000000-0005-0000-0000-0000EB5D0000}"/>
    <cellStyle name="Comma 3 12 2 2 10" xfId="45103" xr:uid="{00000000-0005-0000-0000-0000EC5D0000}"/>
    <cellStyle name="Comma 3 12 2 2 11" xfId="21825" xr:uid="{00000000-0005-0000-0000-0000ED5D0000}"/>
    <cellStyle name="Comma 3 12 2 2 2" xfId="2218" xr:uid="{00000000-0005-0000-0000-0000EE5D0000}"/>
    <cellStyle name="Comma 3 12 2 2 2 10" xfId="23049" xr:uid="{00000000-0005-0000-0000-0000EF5D0000}"/>
    <cellStyle name="Comma 3 12 2 2 2 2" xfId="4666" xr:uid="{00000000-0005-0000-0000-0000F05D0000}"/>
    <cellStyle name="Comma 3 12 2 2 2 2 2" xfId="20601" xr:uid="{00000000-0005-0000-0000-0000F15D0000}"/>
    <cellStyle name="Comma 3 12 2 2 2 2 2 2" xfId="43879" xr:uid="{00000000-0005-0000-0000-0000F25D0000}"/>
    <cellStyle name="Comma 3 12 2 2 2 2 3" xfId="48775" xr:uid="{00000000-0005-0000-0000-0000F35D0000}"/>
    <cellStyle name="Comma 3 12 2 2 2 2 4" xfId="27945" xr:uid="{00000000-0005-0000-0000-0000F45D0000}"/>
    <cellStyle name="Comma 3 12 2 2 2 3" xfId="7114" xr:uid="{00000000-0005-0000-0000-0000F55D0000}"/>
    <cellStyle name="Comma 3 12 2 2 2 3 2" xfId="30393" xr:uid="{00000000-0005-0000-0000-0000F65D0000}"/>
    <cellStyle name="Comma 3 12 2 2 2 4" xfId="9562" xr:uid="{00000000-0005-0000-0000-0000F75D0000}"/>
    <cellStyle name="Comma 3 12 2 2 2 4 2" xfId="32841" xr:uid="{00000000-0005-0000-0000-0000F85D0000}"/>
    <cellStyle name="Comma 3 12 2 2 2 5" xfId="12010" xr:uid="{00000000-0005-0000-0000-0000F95D0000}"/>
    <cellStyle name="Comma 3 12 2 2 2 5 2" xfId="35289" xr:uid="{00000000-0005-0000-0000-0000FA5D0000}"/>
    <cellStyle name="Comma 3 12 2 2 2 6" xfId="14458" xr:uid="{00000000-0005-0000-0000-0000FB5D0000}"/>
    <cellStyle name="Comma 3 12 2 2 2 6 2" xfId="37737" xr:uid="{00000000-0005-0000-0000-0000FC5D0000}"/>
    <cellStyle name="Comma 3 12 2 2 2 7" xfId="18153" xr:uid="{00000000-0005-0000-0000-0000FD5D0000}"/>
    <cellStyle name="Comma 3 12 2 2 2 7 2" xfId="41431" xr:uid="{00000000-0005-0000-0000-0000FE5D0000}"/>
    <cellStyle name="Comma 3 12 2 2 2 8" xfId="25497" xr:uid="{00000000-0005-0000-0000-0000FF5D0000}"/>
    <cellStyle name="Comma 3 12 2 2 2 9" xfId="46327" xr:uid="{00000000-0005-0000-0000-0000005E0000}"/>
    <cellStyle name="Comma 3 12 2 2 3" xfId="3442" xr:uid="{00000000-0005-0000-0000-0000015E0000}"/>
    <cellStyle name="Comma 3 12 2 2 3 2" xfId="16929" xr:uid="{00000000-0005-0000-0000-0000025E0000}"/>
    <cellStyle name="Comma 3 12 2 2 3 2 2" xfId="40207" xr:uid="{00000000-0005-0000-0000-0000035E0000}"/>
    <cellStyle name="Comma 3 12 2 2 3 3" xfId="47551" xr:uid="{00000000-0005-0000-0000-0000045E0000}"/>
    <cellStyle name="Comma 3 12 2 2 3 4" xfId="26721" xr:uid="{00000000-0005-0000-0000-0000055E0000}"/>
    <cellStyle name="Comma 3 12 2 2 4" xfId="5890" xr:uid="{00000000-0005-0000-0000-0000065E0000}"/>
    <cellStyle name="Comma 3 12 2 2 4 2" xfId="19377" xr:uid="{00000000-0005-0000-0000-0000075E0000}"/>
    <cellStyle name="Comma 3 12 2 2 4 2 2" xfId="42655" xr:uid="{00000000-0005-0000-0000-0000085E0000}"/>
    <cellStyle name="Comma 3 12 2 2 4 3" xfId="29169" xr:uid="{00000000-0005-0000-0000-0000095E0000}"/>
    <cellStyle name="Comma 3 12 2 2 5" xfId="8338" xr:uid="{00000000-0005-0000-0000-00000A5E0000}"/>
    <cellStyle name="Comma 3 12 2 2 5 2" xfId="31617" xr:uid="{00000000-0005-0000-0000-00000B5E0000}"/>
    <cellStyle name="Comma 3 12 2 2 6" xfId="10786" xr:uid="{00000000-0005-0000-0000-00000C5E0000}"/>
    <cellStyle name="Comma 3 12 2 2 6 2" xfId="34065" xr:uid="{00000000-0005-0000-0000-00000D5E0000}"/>
    <cellStyle name="Comma 3 12 2 2 7" xfId="13234" xr:uid="{00000000-0005-0000-0000-00000E5E0000}"/>
    <cellStyle name="Comma 3 12 2 2 7 2" xfId="36513" xr:uid="{00000000-0005-0000-0000-00000F5E0000}"/>
    <cellStyle name="Comma 3 12 2 2 8" xfId="15705" xr:uid="{00000000-0005-0000-0000-0000105E0000}"/>
    <cellStyle name="Comma 3 12 2 2 8 2" xfId="38983" xr:uid="{00000000-0005-0000-0000-0000115E0000}"/>
    <cellStyle name="Comma 3 12 2 2 9" xfId="24273" xr:uid="{00000000-0005-0000-0000-0000125E0000}"/>
    <cellStyle name="Comma 3 12 2 3" xfId="1606" xr:uid="{00000000-0005-0000-0000-0000135E0000}"/>
    <cellStyle name="Comma 3 12 2 3 10" xfId="22437" xr:uid="{00000000-0005-0000-0000-0000145E0000}"/>
    <cellStyle name="Comma 3 12 2 3 2" xfId="4054" xr:uid="{00000000-0005-0000-0000-0000155E0000}"/>
    <cellStyle name="Comma 3 12 2 3 2 2" xfId="19989" xr:uid="{00000000-0005-0000-0000-0000165E0000}"/>
    <cellStyle name="Comma 3 12 2 3 2 2 2" xfId="43267" xr:uid="{00000000-0005-0000-0000-0000175E0000}"/>
    <cellStyle name="Comma 3 12 2 3 2 3" xfId="48163" xr:uid="{00000000-0005-0000-0000-0000185E0000}"/>
    <cellStyle name="Comma 3 12 2 3 2 4" xfId="27333" xr:uid="{00000000-0005-0000-0000-0000195E0000}"/>
    <cellStyle name="Comma 3 12 2 3 3" xfId="6502" xr:uid="{00000000-0005-0000-0000-00001A5E0000}"/>
    <cellStyle name="Comma 3 12 2 3 3 2" xfId="29781" xr:uid="{00000000-0005-0000-0000-00001B5E0000}"/>
    <cellStyle name="Comma 3 12 2 3 4" xfId="8950" xr:uid="{00000000-0005-0000-0000-00001C5E0000}"/>
    <cellStyle name="Comma 3 12 2 3 4 2" xfId="32229" xr:uid="{00000000-0005-0000-0000-00001D5E0000}"/>
    <cellStyle name="Comma 3 12 2 3 5" xfId="11398" xr:uid="{00000000-0005-0000-0000-00001E5E0000}"/>
    <cellStyle name="Comma 3 12 2 3 5 2" xfId="34677" xr:uid="{00000000-0005-0000-0000-00001F5E0000}"/>
    <cellStyle name="Comma 3 12 2 3 6" xfId="13846" xr:uid="{00000000-0005-0000-0000-0000205E0000}"/>
    <cellStyle name="Comma 3 12 2 3 6 2" xfId="37125" xr:uid="{00000000-0005-0000-0000-0000215E0000}"/>
    <cellStyle name="Comma 3 12 2 3 7" xfId="17541" xr:uid="{00000000-0005-0000-0000-0000225E0000}"/>
    <cellStyle name="Comma 3 12 2 3 7 2" xfId="40819" xr:uid="{00000000-0005-0000-0000-0000235E0000}"/>
    <cellStyle name="Comma 3 12 2 3 8" xfId="24885" xr:uid="{00000000-0005-0000-0000-0000245E0000}"/>
    <cellStyle name="Comma 3 12 2 3 9" xfId="45715" xr:uid="{00000000-0005-0000-0000-0000255E0000}"/>
    <cellStyle name="Comma 3 12 2 4" xfId="2830" xr:uid="{00000000-0005-0000-0000-0000265E0000}"/>
    <cellStyle name="Comma 3 12 2 4 2" xfId="16317" xr:uid="{00000000-0005-0000-0000-0000275E0000}"/>
    <cellStyle name="Comma 3 12 2 4 2 2" xfId="39595" xr:uid="{00000000-0005-0000-0000-0000285E0000}"/>
    <cellStyle name="Comma 3 12 2 4 3" xfId="46939" xr:uid="{00000000-0005-0000-0000-0000295E0000}"/>
    <cellStyle name="Comma 3 12 2 4 4" xfId="26109" xr:uid="{00000000-0005-0000-0000-00002A5E0000}"/>
    <cellStyle name="Comma 3 12 2 5" xfId="5278" xr:uid="{00000000-0005-0000-0000-00002B5E0000}"/>
    <cellStyle name="Comma 3 12 2 5 2" xfId="18765" xr:uid="{00000000-0005-0000-0000-00002C5E0000}"/>
    <cellStyle name="Comma 3 12 2 5 2 2" xfId="42043" xr:uid="{00000000-0005-0000-0000-00002D5E0000}"/>
    <cellStyle name="Comma 3 12 2 5 3" xfId="28557" xr:uid="{00000000-0005-0000-0000-00002E5E0000}"/>
    <cellStyle name="Comma 3 12 2 6" xfId="7726" xr:uid="{00000000-0005-0000-0000-00002F5E0000}"/>
    <cellStyle name="Comma 3 12 2 6 2" xfId="31005" xr:uid="{00000000-0005-0000-0000-0000305E0000}"/>
    <cellStyle name="Comma 3 12 2 7" xfId="10174" xr:uid="{00000000-0005-0000-0000-0000315E0000}"/>
    <cellStyle name="Comma 3 12 2 7 2" xfId="33453" xr:uid="{00000000-0005-0000-0000-0000325E0000}"/>
    <cellStyle name="Comma 3 12 2 8" xfId="12622" xr:uid="{00000000-0005-0000-0000-0000335E0000}"/>
    <cellStyle name="Comma 3 12 2 8 2" xfId="35901" xr:uid="{00000000-0005-0000-0000-0000345E0000}"/>
    <cellStyle name="Comma 3 12 2 9" xfId="15093" xr:uid="{00000000-0005-0000-0000-0000355E0000}"/>
    <cellStyle name="Comma 3 12 2 9 2" xfId="38371" xr:uid="{00000000-0005-0000-0000-0000365E0000}"/>
    <cellStyle name="Comma 3 12 3" xfId="586" xr:uid="{00000000-0005-0000-0000-0000375E0000}"/>
    <cellStyle name="Comma 3 12 3 10" xfId="23865" xr:uid="{00000000-0005-0000-0000-0000385E0000}"/>
    <cellStyle name="Comma 3 12 3 11" xfId="44695" xr:uid="{00000000-0005-0000-0000-0000395E0000}"/>
    <cellStyle name="Comma 3 12 3 12" xfId="21417" xr:uid="{00000000-0005-0000-0000-00003A5E0000}"/>
    <cellStyle name="Comma 3 12 3 2" xfId="1198" xr:uid="{00000000-0005-0000-0000-00003B5E0000}"/>
    <cellStyle name="Comma 3 12 3 2 10" xfId="45307" xr:uid="{00000000-0005-0000-0000-00003C5E0000}"/>
    <cellStyle name="Comma 3 12 3 2 11" xfId="22029" xr:uid="{00000000-0005-0000-0000-00003D5E0000}"/>
    <cellStyle name="Comma 3 12 3 2 2" xfId="2422" xr:uid="{00000000-0005-0000-0000-00003E5E0000}"/>
    <cellStyle name="Comma 3 12 3 2 2 10" xfId="23253" xr:uid="{00000000-0005-0000-0000-00003F5E0000}"/>
    <cellStyle name="Comma 3 12 3 2 2 2" xfId="4870" xr:uid="{00000000-0005-0000-0000-0000405E0000}"/>
    <cellStyle name="Comma 3 12 3 2 2 2 2" xfId="20805" xr:uid="{00000000-0005-0000-0000-0000415E0000}"/>
    <cellStyle name="Comma 3 12 3 2 2 2 2 2" xfId="44083" xr:uid="{00000000-0005-0000-0000-0000425E0000}"/>
    <cellStyle name="Comma 3 12 3 2 2 2 3" xfId="48979" xr:uid="{00000000-0005-0000-0000-0000435E0000}"/>
    <cellStyle name="Comma 3 12 3 2 2 2 4" xfId="28149" xr:uid="{00000000-0005-0000-0000-0000445E0000}"/>
    <cellStyle name="Comma 3 12 3 2 2 3" xfId="7318" xr:uid="{00000000-0005-0000-0000-0000455E0000}"/>
    <cellStyle name="Comma 3 12 3 2 2 3 2" xfId="30597" xr:uid="{00000000-0005-0000-0000-0000465E0000}"/>
    <cellStyle name="Comma 3 12 3 2 2 4" xfId="9766" xr:uid="{00000000-0005-0000-0000-0000475E0000}"/>
    <cellStyle name="Comma 3 12 3 2 2 4 2" xfId="33045" xr:uid="{00000000-0005-0000-0000-0000485E0000}"/>
    <cellStyle name="Comma 3 12 3 2 2 5" xfId="12214" xr:uid="{00000000-0005-0000-0000-0000495E0000}"/>
    <cellStyle name="Comma 3 12 3 2 2 5 2" xfId="35493" xr:uid="{00000000-0005-0000-0000-00004A5E0000}"/>
    <cellStyle name="Comma 3 12 3 2 2 6" xfId="14662" xr:uid="{00000000-0005-0000-0000-00004B5E0000}"/>
    <cellStyle name="Comma 3 12 3 2 2 6 2" xfId="37941" xr:uid="{00000000-0005-0000-0000-00004C5E0000}"/>
    <cellStyle name="Comma 3 12 3 2 2 7" xfId="18357" xr:uid="{00000000-0005-0000-0000-00004D5E0000}"/>
    <cellStyle name="Comma 3 12 3 2 2 7 2" xfId="41635" xr:uid="{00000000-0005-0000-0000-00004E5E0000}"/>
    <cellStyle name="Comma 3 12 3 2 2 8" xfId="25701" xr:uid="{00000000-0005-0000-0000-00004F5E0000}"/>
    <cellStyle name="Comma 3 12 3 2 2 9" xfId="46531" xr:uid="{00000000-0005-0000-0000-0000505E0000}"/>
    <cellStyle name="Comma 3 12 3 2 3" xfId="3646" xr:uid="{00000000-0005-0000-0000-0000515E0000}"/>
    <cellStyle name="Comma 3 12 3 2 3 2" xfId="17133" xr:uid="{00000000-0005-0000-0000-0000525E0000}"/>
    <cellStyle name="Comma 3 12 3 2 3 2 2" xfId="40411" xr:uid="{00000000-0005-0000-0000-0000535E0000}"/>
    <cellStyle name="Comma 3 12 3 2 3 3" xfId="47755" xr:uid="{00000000-0005-0000-0000-0000545E0000}"/>
    <cellStyle name="Comma 3 12 3 2 3 4" xfId="26925" xr:uid="{00000000-0005-0000-0000-0000555E0000}"/>
    <cellStyle name="Comma 3 12 3 2 4" xfId="6094" xr:uid="{00000000-0005-0000-0000-0000565E0000}"/>
    <cellStyle name="Comma 3 12 3 2 4 2" xfId="19581" xr:uid="{00000000-0005-0000-0000-0000575E0000}"/>
    <cellStyle name="Comma 3 12 3 2 4 2 2" xfId="42859" xr:uid="{00000000-0005-0000-0000-0000585E0000}"/>
    <cellStyle name="Comma 3 12 3 2 4 3" xfId="29373" xr:uid="{00000000-0005-0000-0000-0000595E0000}"/>
    <cellStyle name="Comma 3 12 3 2 5" xfId="8542" xr:uid="{00000000-0005-0000-0000-00005A5E0000}"/>
    <cellStyle name="Comma 3 12 3 2 5 2" xfId="31821" xr:uid="{00000000-0005-0000-0000-00005B5E0000}"/>
    <cellStyle name="Comma 3 12 3 2 6" xfId="10990" xr:uid="{00000000-0005-0000-0000-00005C5E0000}"/>
    <cellStyle name="Comma 3 12 3 2 6 2" xfId="34269" xr:uid="{00000000-0005-0000-0000-00005D5E0000}"/>
    <cellStyle name="Comma 3 12 3 2 7" xfId="13438" xr:uid="{00000000-0005-0000-0000-00005E5E0000}"/>
    <cellStyle name="Comma 3 12 3 2 7 2" xfId="36717" xr:uid="{00000000-0005-0000-0000-00005F5E0000}"/>
    <cellStyle name="Comma 3 12 3 2 8" xfId="15909" xr:uid="{00000000-0005-0000-0000-0000605E0000}"/>
    <cellStyle name="Comma 3 12 3 2 8 2" xfId="39187" xr:uid="{00000000-0005-0000-0000-0000615E0000}"/>
    <cellStyle name="Comma 3 12 3 2 9" xfId="24477" xr:uid="{00000000-0005-0000-0000-0000625E0000}"/>
    <cellStyle name="Comma 3 12 3 3" xfId="1810" xr:uid="{00000000-0005-0000-0000-0000635E0000}"/>
    <cellStyle name="Comma 3 12 3 3 10" xfId="22641" xr:uid="{00000000-0005-0000-0000-0000645E0000}"/>
    <cellStyle name="Comma 3 12 3 3 2" xfId="4258" xr:uid="{00000000-0005-0000-0000-0000655E0000}"/>
    <cellStyle name="Comma 3 12 3 3 2 2" xfId="20193" xr:uid="{00000000-0005-0000-0000-0000665E0000}"/>
    <cellStyle name="Comma 3 12 3 3 2 2 2" xfId="43471" xr:uid="{00000000-0005-0000-0000-0000675E0000}"/>
    <cellStyle name="Comma 3 12 3 3 2 3" xfId="48367" xr:uid="{00000000-0005-0000-0000-0000685E0000}"/>
    <cellStyle name="Comma 3 12 3 3 2 4" xfId="27537" xr:uid="{00000000-0005-0000-0000-0000695E0000}"/>
    <cellStyle name="Comma 3 12 3 3 3" xfId="6706" xr:uid="{00000000-0005-0000-0000-00006A5E0000}"/>
    <cellStyle name="Comma 3 12 3 3 3 2" xfId="29985" xr:uid="{00000000-0005-0000-0000-00006B5E0000}"/>
    <cellStyle name="Comma 3 12 3 3 4" xfId="9154" xr:uid="{00000000-0005-0000-0000-00006C5E0000}"/>
    <cellStyle name="Comma 3 12 3 3 4 2" xfId="32433" xr:uid="{00000000-0005-0000-0000-00006D5E0000}"/>
    <cellStyle name="Comma 3 12 3 3 5" xfId="11602" xr:uid="{00000000-0005-0000-0000-00006E5E0000}"/>
    <cellStyle name="Comma 3 12 3 3 5 2" xfId="34881" xr:uid="{00000000-0005-0000-0000-00006F5E0000}"/>
    <cellStyle name="Comma 3 12 3 3 6" xfId="14050" xr:uid="{00000000-0005-0000-0000-0000705E0000}"/>
    <cellStyle name="Comma 3 12 3 3 6 2" xfId="37329" xr:uid="{00000000-0005-0000-0000-0000715E0000}"/>
    <cellStyle name="Comma 3 12 3 3 7" xfId="17745" xr:uid="{00000000-0005-0000-0000-0000725E0000}"/>
    <cellStyle name="Comma 3 12 3 3 7 2" xfId="41023" xr:uid="{00000000-0005-0000-0000-0000735E0000}"/>
    <cellStyle name="Comma 3 12 3 3 8" xfId="25089" xr:uid="{00000000-0005-0000-0000-0000745E0000}"/>
    <cellStyle name="Comma 3 12 3 3 9" xfId="45919" xr:uid="{00000000-0005-0000-0000-0000755E0000}"/>
    <cellStyle name="Comma 3 12 3 4" xfId="3034" xr:uid="{00000000-0005-0000-0000-0000765E0000}"/>
    <cellStyle name="Comma 3 12 3 4 2" xfId="16521" xr:uid="{00000000-0005-0000-0000-0000775E0000}"/>
    <cellStyle name="Comma 3 12 3 4 2 2" xfId="39799" xr:uid="{00000000-0005-0000-0000-0000785E0000}"/>
    <cellStyle name="Comma 3 12 3 4 3" xfId="47143" xr:uid="{00000000-0005-0000-0000-0000795E0000}"/>
    <cellStyle name="Comma 3 12 3 4 4" xfId="26313" xr:uid="{00000000-0005-0000-0000-00007A5E0000}"/>
    <cellStyle name="Comma 3 12 3 5" xfId="5482" xr:uid="{00000000-0005-0000-0000-00007B5E0000}"/>
    <cellStyle name="Comma 3 12 3 5 2" xfId="18969" xr:uid="{00000000-0005-0000-0000-00007C5E0000}"/>
    <cellStyle name="Comma 3 12 3 5 2 2" xfId="42247" xr:uid="{00000000-0005-0000-0000-00007D5E0000}"/>
    <cellStyle name="Comma 3 12 3 5 3" xfId="28761" xr:uid="{00000000-0005-0000-0000-00007E5E0000}"/>
    <cellStyle name="Comma 3 12 3 6" xfId="7930" xr:uid="{00000000-0005-0000-0000-00007F5E0000}"/>
    <cellStyle name="Comma 3 12 3 6 2" xfId="31209" xr:uid="{00000000-0005-0000-0000-0000805E0000}"/>
    <cellStyle name="Comma 3 12 3 7" xfId="10378" xr:uid="{00000000-0005-0000-0000-0000815E0000}"/>
    <cellStyle name="Comma 3 12 3 7 2" xfId="33657" xr:uid="{00000000-0005-0000-0000-0000825E0000}"/>
    <cellStyle name="Comma 3 12 3 8" xfId="12826" xr:uid="{00000000-0005-0000-0000-0000835E0000}"/>
    <cellStyle name="Comma 3 12 3 8 2" xfId="36105" xr:uid="{00000000-0005-0000-0000-0000845E0000}"/>
    <cellStyle name="Comma 3 12 3 9" xfId="15297" xr:uid="{00000000-0005-0000-0000-0000855E0000}"/>
    <cellStyle name="Comma 3 12 3 9 2" xfId="38575" xr:uid="{00000000-0005-0000-0000-0000865E0000}"/>
    <cellStyle name="Comma 3 12 4" xfId="790" xr:uid="{00000000-0005-0000-0000-0000875E0000}"/>
    <cellStyle name="Comma 3 12 4 10" xfId="44899" xr:uid="{00000000-0005-0000-0000-0000885E0000}"/>
    <cellStyle name="Comma 3 12 4 11" xfId="21621" xr:uid="{00000000-0005-0000-0000-0000895E0000}"/>
    <cellStyle name="Comma 3 12 4 2" xfId="2014" xr:uid="{00000000-0005-0000-0000-00008A5E0000}"/>
    <cellStyle name="Comma 3 12 4 2 10" xfId="22845" xr:uid="{00000000-0005-0000-0000-00008B5E0000}"/>
    <cellStyle name="Comma 3 12 4 2 2" xfId="4462" xr:uid="{00000000-0005-0000-0000-00008C5E0000}"/>
    <cellStyle name="Comma 3 12 4 2 2 2" xfId="20397" xr:uid="{00000000-0005-0000-0000-00008D5E0000}"/>
    <cellStyle name="Comma 3 12 4 2 2 2 2" xfId="43675" xr:uid="{00000000-0005-0000-0000-00008E5E0000}"/>
    <cellStyle name="Comma 3 12 4 2 2 3" xfId="48571" xr:uid="{00000000-0005-0000-0000-00008F5E0000}"/>
    <cellStyle name="Comma 3 12 4 2 2 4" xfId="27741" xr:uid="{00000000-0005-0000-0000-0000905E0000}"/>
    <cellStyle name="Comma 3 12 4 2 3" xfId="6910" xr:uid="{00000000-0005-0000-0000-0000915E0000}"/>
    <cellStyle name="Comma 3 12 4 2 3 2" xfId="30189" xr:uid="{00000000-0005-0000-0000-0000925E0000}"/>
    <cellStyle name="Comma 3 12 4 2 4" xfId="9358" xr:uid="{00000000-0005-0000-0000-0000935E0000}"/>
    <cellStyle name="Comma 3 12 4 2 4 2" xfId="32637" xr:uid="{00000000-0005-0000-0000-0000945E0000}"/>
    <cellStyle name="Comma 3 12 4 2 5" xfId="11806" xr:uid="{00000000-0005-0000-0000-0000955E0000}"/>
    <cellStyle name="Comma 3 12 4 2 5 2" xfId="35085" xr:uid="{00000000-0005-0000-0000-0000965E0000}"/>
    <cellStyle name="Comma 3 12 4 2 6" xfId="14254" xr:uid="{00000000-0005-0000-0000-0000975E0000}"/>
    <cellStyle name="Comma 3 12 4 2 6 2" xfId="37533" xr:uid="{00000000-0005-0000-0000-0000985E0000}"/>
    <cellStyle name="Comma 3 12 4 2 7" xfId="17949" xr:uid="{00000000-0005-0000-0000-0000995E0000}"/>
    <cellStyle name="Comma 3 12 4 2 7 2" xfId="41227" xr:uid="{00000000-0005-0000-0000-00009A5E0000}"/>
    <cellStyle name="Comma 3 12 4 2 8" xfId="25293" xr:uid="{00000000-0005-0000-0000-00009B5E0000}"/>
    <cellStyle name="Comma 3 12 4 2 9" xfId="46123" xr:uid="{00000000-0005-0000-0000-00009C5E0000}"/>
    <cellStyle name="Comma 3 12 4 3" xfId="3238" xr:uid="{00000000-0005-0000-0000-00009D5E0000}"/>
    <cellStyle name="Comma 3 12 4 3 2" xfId="16725" xr:uid="{00000000-0005-0000-0000-00009E5E0000}"/>
    <cellStyle name="Comma 3 12 4 3 2 2" xfId="40003" xr:uid="{00000000-0005-0000-0000-00009F5E0000}"/>
    <cellStyle name="Comma 3 12 4 3 3" xfId="47347" xr:uid="{00000000-0005-0000-0000-0000A05E0000}"/>
    <cellStyle name="Comma 3 12 4 3 4" xfId="26517" xr:uid="{00000000-0005-0000-0000-0000A15E0000}"/>
    <cellStyle name="Comma 3 12 4 4" xfId="5686" xr:uid="{00000000-0005-0000-0000-0000A25E0000}"/>
    <cellStyle name="Comma 3 12 4 4 2" xfId="19173" xr:uid="{00000000-0005-0000-0000-0000A35E0000}"/>
    <cellStyle name="Comma 3 12 4 4 2 2" xfId="42451" xr:uid="{00000000-0005-0000-0000-0000A45E0000}"/>
    <cellStyle name="Comma 3 12 4 4 3" xfId="28965" xr:uid="{00000000-0005-0000-0000-0000A55E0000}"/>
    <cellStyle name="Comma 3 12 4 5" xfId="8134" xr:uid="{00000000-0005-0000-0000-0000A65E0000}"/>
    <cellStyle name="Comma 3 12 4 5 2" xfId="31413" xr:uid="{00000000-0005-0000-0000-0000A75E0000}"/>
    <cellStyle name="Comma 3 12 4 6" xfId="10582" xr:uid="{00000000-0005-0000-0000-0000A85E0000}"/>
    <cellStyle name="Comma 3 12 4 6 2" xfId="33861" xr:uid="{00000000-0005-0000-0000-0000A95E0000}"/>
    <cellStyle name="Comma 3 12 4 7" xfId="13030" xr:uid="{00000000-0005-0000-0000-0000AA5E0000}"/>
    <cellStyle name="Comma 3 12 4 7 2" xfId="36309" xr:uid="{00000000-0005-0000-0000-0000AB5E0000}"/>
    <cellStyle name="Comma 3 12 4 8" xfId="15501" xr:uid="{00000000-0005-0000-0000-0000AC5E0000}"/>
    <cellStyle name="Comma 3 12 4 8 2" xfId="38779" xr:uid="{00000000-0005-0000-0000-0000AD5E0000}"/>
    <cellStyle name="Comma 3 12 4 9" xfId="24069" xr:uid="{00000000-0005-0000-0000-0000AE5E0000}"/>
    <cellStyle name="Comma 3 12 5" xfId="1402" xr:uid="{00000000-0005-0000-0000-0000AF5E0000}"/>
    <cellStyle name="Comma 3 12 5 10" xfId="22233" xr:uid="{00000000-0005-0000-0000-0000B05E0000}"/>
    <cellStyle name="Comma 3 12 5 2" xfId="3850" xr:uid="{00000000-0005-0000-0000-0000B15E0000}"/>
    <cellStyle name="Comma 3 12 5 2 2" xfId="19785" xr:uid="{00000000-0005-0000-0000-0000B25E0000}"/>
    <cellStyle name="Comma 3 12 5 2 2 2" xfId="43063" xr:uid="{00000000-0005-0000-0000-0000B35E0000}"/>
    <cellStyle name="Comma 3 12 5 2 3" xfId="47959" xr:uid="{00000000-0005-0000-0000-0000B45E0000}"/>
    <cellStyle name="Comma 3 12 5 2 4" xfId="27129" xr:uid="{00000000-0005-0000-0000-0000B55E0000}"/>
    <cellStyle name="Comma 3 12 5 3" xfId="6298" xr:uid="{00000000-0005-0000-0000-0000B65E0000}"/>
    <cellStyle name="Comma 3 12 5 3 2" xfId="29577" xr:uid="{00000000-0005-0000-0000-0000B75E0000}"/>
    <cellStyle name="Comma 3 12 5 4" xfId="8746" xr:uid="{00000000-0005-0000-0000-0000B85E0000}"/>
    <cellStyle name="Comma 3 12 5 4 2" xfId="32025" xr:uid="{00000000-0005-0000-0000-0000B95E0000}"/>
    <cellStyle name="Comma 3 12 5 5" xfId="11194" xr:uid="{00000000-0005-0000-0000-0000BA5E0000}"/>
    <cellStyle name="Comma 3 12 5 5 2" xfId="34473" xr:uid="{00000000-0005-0000-0000-0000BB5E0000}"/>
    <cellStyle name="Comma 3 12 5 6" xfId="13642" xr:uid="{00000000-0005-0000-0000-0000BC5E0000}"/>
    <cellStyle name="Comma 3 12 5 6 2" xfId="36921" xr:uid="{00000000-0005-0000-0000-0000BD5E0000}"/>
    <cellStyle name="Comma 3 12 5 7" xfId="17337" xr:uid="{00000000-0005-0000-0000-0000BE5E0000}"/>
    <cellStyle name="Comma 3 12 5 7 2" xfId="40615" xr:uid="{00000000-0005-0000-0000-0000BF5E0000}"/>
    <cellStyle name="Comma 3 12 5 8" xfId="24681" xr:uid="{00000000-0005-0000-0000-0000C05E0000}"/>
    <cellStyle name="Comma 3 12 5 9" xfId="45511" xr:uid="{00000000-0005-0000-0000-0000C15E0000}"/>
    <cellStyle name="Comma 3 12 6" xfId="2626" xr:uid="{00000000-0005-0000-0000-0000C25E0000}"/>
    <cellStyle name="Comma 3 12 6 2" xfId="16113" xr:uid="{00000000-0005-0000-0000-0000C35E0000}"/>
    <cellStyle name="Comma 3 12 6 2 2" xfId="39391" xr:uid="{00000000-0005-0000-0000-0000C45E0000}"/>
    <cellStyle name="Comma 3 12 6 3" xfId="46735" xr:uid="{00000000-0005-0000-0000-0000C55E0000}"/>
    <cellStyle name="Comma 3 12 6 4" xfId="25905" xr:uid="{00000000-0005-0000-0000-0000C65E0000}"/>
    <cellStyle name="Comma 3 12 7" xfId="5074" xr:uid="{00000000-0005-0000-0000-0000C75E0000}"/>
    <cellStyle name="Comma 3 12 7 2" xfId="18561" xr:uid="{00000000-0005-0000-0000-0000C85E0000}"/>
    <cellStyle name="Comma 3 12 7 2 2" xfId="41839" xr:uid="{00000000-0005-0000-0000-0000C95E0000}"/>
    <cellStyle name="Comma 3 12 7 3" xfId="28353" xr:uid="{00000000-0005-0000-0000-0000CA5E0000}"/>
    <cellStyle name="Comma 3 12 8" xfId="7522" xr:uid="{00000000-0005-0000-0000-0000CB5E0000}"/>
    <cellStyle name="Comma 3 12 8 2" xfId="30801" xr:uid="{00000000-0005-0000-0000-0000CC5E0000}"/>
    <cellStyle name="Comma 3 12 9" xfId="9970" xr:uid="{00000000-0005-0000-0000-0000CD5E0000}"/>
    <cellStyle name="Comma 3 12 9 2" xfId="33249" xr:uid="{00000000-0005-0000-0000-0000CE5E0000}"/>
    <cellStyle name="Comma 3 13" xfId="246" xr:uid="{00000000-0005-0000-0000-0000CF5E0000}"/>
    <cellStyle name="Comma 3 13 10" xfId="23525" xr:uid="{00000000-0005-0000-0000-0000D05E0000}"/>
    <cellStyle name="Comma 3 13 11" xfId="44355" xr:uid="{00000000-0005-0000-0000-0000D15E0000}"/>
    <cellStyle name="Comma 3 13 12" xfId="21077" xr:uid="{00000000-0005-0000-0000-0000D25E0000}"/>
    <cellStyle name="Comma 3 13 2" xfId="858" xr:uid="{00000000-0005-0000-0000-0000D35E0000}"/>
    <cellStyle name="Comma 3 13 2 10" xfId="44967" xr:uid="{00000000-0005-0000-0000-0000D45E0000}"/>
    <cellStyle name="Comma 3 13 2 11" xfId="21689" xr:uid="{00000000-0005-0000-0000-0000D55E0000}"/>
    <cellStyle name="Comma 3 13 2 2" xfId="2082" xr:uid="{00000000-0005-0000-0000-0000D65E0000}"/>
    <cellStyle name="Comma 3 13 2 2 10" xfId="22913" xr:uid="{00000000-0005-0000-0000-0000D75E0000}"/>
    <cellStyle name="Comma 3 13 2 2 2" xfId="4530" xr:uid="{00000000-0005-0000-0000-0000D85E0000}"/>
    <cellStyle name="Comma 3 13 2 2 2 2" xfId="20465" xr:uid="{00000000-0005-0000-0000-0000D95E0000}"/>
    <cellStyle name="Comma 3 13 2 2 2 2 2" xfId="43743" xr:uid="{00000000-0005-0000-0000-0000DA5E0000}"/>
    <cellStyle name="Comma 3 13 2 2 2 3" xfId="48639" xr:uid="{00000000-0005-0000-0000-0000DB5E0000}"/>
    <cellStyle name="Comma 3 13 2 2 2 4" xfId="27809" xr:uid="{00000000-0005-0000-0000-0000DC5E0000}"/>
    <cellStyle name="Comma 3 13 2 2 3" xfId="6978" xr:uid="{00000000-0005-0000-0000-0000DD5E0000}"/>
    <cellStyle name="Comma 3 13 2 2 3 2" xfId="30257" xr:uid="{00000000-0005-0000-0000-0000DE5E0000}"/>
    <cellStyle name="Comma 3 13 2 2 4" xfId="9426" xr:uid="{00000000-0005-0000-0000-0000DF5E0000}"/>
    <cellStyle name="Comma 3 13 2 2 4 2" xfId="32705" xr:uid="{00000000-0005-0000-0000-0000E05E0000}"/>
    <cellStyle name="Comma 3 13 2 2 5" xfId="11874" xr:uid="{00000000-0005-0000-0000-0000E15E0000}"/>
    <cellStyle name="Comma 3 13 2 2 5 2" xfId="35153" xr:uid="{00000000-0005-0000-0000-0000E25E0000}"/>
    <cellStyle name="Comma 3 13 2 2 6" xfId="14322" xr:uid="{00000000-0005-0000-0000-0000E35E0000}"/>
    <cellStyle name="Comma 3 13 2 2 6 2" xfId="37601" xr:uid="{00000000-0005-0000-0000-0000E45E0000}"/>
    <cellStyle name="Comma 3 13 2 2 7" xfId="18017" xr:uid="{00000000-0005-0000-0000-0000E55E0000}"/>
    <cellStyle name="Comma 3 13 2 2 7 2" xfId="41295" xr:uid="{00000000-0005-0000-0000-0000E65E0000}"/>
    <cellStyle name="Comma 3 13 2 2 8" xfId="25361" xr:uid="{00000000-0005-0000-0000-0000E75E0000}"/>
    <cellStyle name="Comma 3 13 2 2 9" xfId="46191" xr:uid="{00000000-0005-0000-0000-0000E85E0000}"/>
    <cellStyle name="Comma 3 13 2 3" xfId="3306" xr:uid="{00000000-0005-0000-0000-0000E95E0000}"/>
    <cellStyle name="Comma 3 13 2 3 2" xfId="16793" xr:uid="{00000000-0005-0000-0000-0000EA5E0000}"/>
    <cellStyle name="Comma 3 13 2 3 2 2" xfId="40071" xr:uid="{00000000-0005-0000-0000-0000EB5E0000}"/>
    <cellStyle name="Comma 3 13 2 3 3" xfId="47415" xr:uid="{00000000-0005-0000-0000-0000EC5E0000}"/>
    <cellStyle name="Comma 3 13 2 3 4" xfId="26585" xr:uid="{00000000-0005-0000-0000-0000ED5E0000}"/>
    <cellStyle name="Comma 3 13 2 4" xfId="5754" xr:uid="{00000000-0005-0000-0000-0000EE5E0000}"/>
    <cellStyle name="Comma 3 13 2 4 2" xfId="19241" xr:uid="{00000000-0005-0000-0000-0000EF5E0000}"/>
    <cellStyle name="Comma 3 13 2 4 2 2" xfId="42519" xr:uid="{00000000-0005-0000-0000-0000F05E0000}"/>
    <cellStyle name="Comma 3 13 2 4 3" xfId="29033" xr:uid="{00000000-0005-0000-0000-0000F15E0000}"/>
    <cellStyle name="Comma 3 13 2 5" xfId="8202" xr:uid="{00000000-0005-0000-0000-0000F25E0000}"/>
    <cellStyle name="Comma 3 13 2 5 2" xfId="31481" xr:uid="{00000000-0005-0000-0000-0000F35E0000}"/>
    <cellStyle name="Comma 3 13 2 6" xfId="10650" xr:uid="{00000000-0005-0000-0000-0000F45E0000}"/>
    <cellStyle name="Comma 3 13 2 6 2" xfId="33929" xr:uid="{00000000-0005-0000-0000-0000F55E0000}"/>
    <cellStyle name="Comma 3 13 2 7" xfId="13098" xr:uid="{00000000-0005-0000-0000-0000F65E0000}"/>
    <cellStyle name="Comma 3 13 2 7 2" xfId="36377" xr:uid="{00000000-0005-0000-0000-0000F75E0000}"/>
    <cellStyle name="Comma 3 13 2 8" xfId="15569" xr:uid="{00000000-0005-0000-0000-0000F85E0000}"/>
    <cellStyle name="Comma 3 13 2 8 2" xfId="38847" xr:uid="{00000000-0005-0000-0000-0000F95E0000}"/>
    <cellStyle name="Comma 3 13 2 9" xfId="24137" xr:uid="{00000000-0005-0000-0000-0000FA5E0000}"/>
    <cellStyle name="Comma 3 13 3" xfId="1470" xr:uid="{00000000-0005-0000-0000-0000FB5E0000}"/>
    <cellStyle name="Comma 3 13 3 10" xfId="22301" xr:uid="{00000000-0005-0000-0000-0000FC5E0000}"/>
    <cellStyle name="Comma 3 13 3 2" xfId="3918" xr:uid="{00000000-0005-0000-0000-0000FD5E0000}"/>
    <cellStyle name="Comma 3 13 3 2 2" xfId="19853" xr:uid="{00000000-0005-0000-0000-0000FE5E0000}"/>
    <cellStyle name="Comma 3 13 3 2 2 2" xfId="43131" xr:uid="{00000000-0005-0000-0000-0000FF5E0000}"/>
    <cellStyle name="Comma 3 13 3 2 3" xfId="48027" xr:uid="{00000000-0005-0000-0000-0000005F0000}"/>
    <cellStyle name="Comma 3 13 3 2 4" xfId="27197" xr:uid="{00000000-0005-0000-0000-0000015F0000}"/>
    <cellStyle name="Comma 3 13 3 3" xfId="6366" xr:uid="{00000000-0005-0000-0000-0000025F0000}"/>
    <cellStyle name="Comma 3 13 3 3 2" xfId="29645" xr:uid="{00000000-0005-0000-0000-0000035F0000}"/>
    <cellStyle name="Comma 3 13 3 4" xfId="8814" xr:uid="{00000000-0005-0000-0000-0000045F0000}"/>
    <cellStyle name="Comma 3 13 3 4 2" xfId="32093" xr:uid="{00000000-0005-0000-0000-0000055F0000}"/>
    <cellStyle name="Comma 3 13 3 5" xfId="11262" xr:uid="{00000000-0005-0000-0000-0000065F0000}"/>
    <cellStyle name="Comma 3 13 3 5 2" xfId="34541" xr:uid="{00000000-0005-0000-0000-0000075F0000}"/>
    <cellStyle name="Comma 3 13 3 6" xfId="13710" xr:uid="{00000000-0005-0000-0000-0000085F0000}"/>
    <cellStyle name="Comma 3 13 3 6 2" xfId="36989" xr:uid="{00000000-0005-0000-0000-0000095F0000}"/>
    <cellStyle name="Comma 3 13 3 7" xfId="17405" xr:uid="{00000000-0005-0000-0000-00000A5F0000}"/>
    <cellStyle name="Comma 3 13 3 7 2" xfId="40683" xr:uid="{00000000-0005-0000-0000-00000B5F0000}"/>
    <cellStyle name="Comma 3 13 3 8" xfId="24749" xr:uid="{00000000-0005-0000-0000-00000C5F0000}"/>
    <cellStyle name="Comma 3 13 3 9" xfId="45579" xr:uid="{00000000-0005-0000-0000-00000D5F0000}"/>
    <cellStyle name="Comma 3 13 4" xfId="2694" xr:uid="{00000000-0005-0000-0000-00000E5F0000}"/>
    <cellStyle name="Comma 3 13 4 2" xfId="16181" xr:uid="{00000000-0005-0000-0000-00000F5F0000}"/>
    <cellStyle name="Comma 3 13 4 2 2" xfId="39459" xr:uid="{00000000-0005-0000-0000-0000105F0000}"/>
    <cellStyle name="Comma 3 13 4 3" xfId="46803" xr:uid="{00000000-0005-0000-0000-0000115F0000}"/>
    <cellStyle name="Comma 3 13 4 4" xfId="25973" xr:uid="{00000000-0005-0000-0000-0000125F0000}"/>
    <cellStyle name="Comma 3 13 5" xfId="5142" xr:uid="{00000000-0005-0000-0000-0000135F0000}"/>
    <cellStyle name="Comma 3 13 5 2" xfId="18629" xr:uid="{00000000-0005-0000-0000-0000145F0000}"/>
    <cellStyle name="Comma 3 13 5 2 2" xfId="41907" xr:uid="{00000000-0005-0000-0000-0000155F0000}"/>
    <cellStyle name="Comma 3 13 5 3" xfId="28421" xr:uid="{00000000-0005-0000-0000-0000165F0000}"/>
    <cellStyle name="Comma 3 13 6" xfId="7590" xr:uid="{00000000-0005-0000-0000-0000175F0000}"/>
    <cellStyle name="Comma 3 13 6 2" xfId="30869" xr:uid="{00000000-0005-0000-0000-0000185F0000}"/>
    <cellStyle name="Comma 3 13 7" xfId="10038" xr:uid="{00000000-0005-0000-0000-0000195F0000}"/>
    <cellStyle name="Comma 3 13 7 2" xfId="33317" xr:uid="{00000000-0005-0000-0000-00001A5F0000}"/>
    <cellStyle name="Comma 3 13 8" xfId="12486" xr:uid="{00000000-0005-0000-0000-00001B5F0000}"/>
    <cellStyle name="Comma 3 13 8 2" xfId="35765" xr:uid="{00000000-0005-0000-0000-00001C5F0000}"/>
    <cellStyle name="Comma 3 13 9" xfId="14957" xr:uid="{00000000-0005-0000-0000-00001D5F0000}"/>
    <cellStyle name="Comma 3 13 9 2" xfId="38235" xr:uid="{00000000-0005-0000-0000-00001E5F0000}"/>
    <cellStyle name="Comma 3 14" xfId="450" xr:uid="{00000000-0005-0000-0000-00001F5F0000}"/>
    <cellStyle name="Comma 3 14 10" xfId="23729" xr:uid="{00000000-0005-0000-0000-0000205F0000}"/>
    <cellStyle name="Comma 3 14 11" xfId="44559" xr:uid="{00000000-0005-0000-0000-0000215F0000}"/>
    <cellStyle name="Comma 3 14 12" xfId="21281" xr:uid="{00000000-0005-0000-0000-0000225F0000}"/>
    <cellStyle name="Comma 3 14 2" xfId="1062" xr:uid="{00000000-0005-0000-0000-0000235F0000}"/>
    <cellStyle name="Comma 3 14 2 10" xfId="45171" xr:uid="{00000000-0005-0000-0000-0000245F0000}"/>
    <cellStyle name="Comma 3 14 2 11" xfId="21893" xr:uid="{00000000-0005-0000-0000-0000255F0000}"/>
    <cellStyle name="Comma 3 14 2 2" xfId="2286" xr:uid="{00000000-0005-0000-0000-0000265F0000}"/>
    <cellStyle name="Comma 3 14 2 2 10" xfId="23117" xr:uid="{00000000-0005-0000-0000-0000275F0000}"/>
    <cellStyle name="Comma 3 14 2 2 2" xfId="4734" xr:uid="{00000000-0005-0000-0000-0000285F0000}"/>
    <cellStyle name="Comma 3 14 2 2 2 2" xfId="20669" xr:uid="{00000000-0005-0000-0000-0000295F0000}"/>
    <cellStyle name="Comma 3 14 2 2 2 2 2" xfId="43947" xr:uid="{00000000-0005-0000-0000-00002A5F0000}"/>
    <cellStyle name="Comma 3 14 2 2 2 3" xfId="48843" xr:uid="{00000000-0005-0000-0000-00002B5F0000}"/>
    <cellStyle name="Comma 3 14 2 2 2 4" xfId="28013" xr:uid="{00000000-0005-0000-0000-00002C5F0000}"/>
    <cellStyle name="Comma 3 14 2 2 3" xfId="7182" xr:uid="{00000000-0005-0000-0000-00002D5F0000}"/>
    <cellStyle name="Comma 3 14 2 2 3 2" xfId="30461" xr:uid="{00000000-0005-0000-0000-00002E5F0000}"/>
    <cellStyle name="Comma 3 14 2 2 4" xfId="9630" xr:uid="{00000000-0005-0000-0000-00002F5F0000}"/>
    <cellStyle name="Comma 3 14 2 2 4 2" xfId="32909" xr:uid="{00000000-0005-0000-0000-0000305F0000}"/>
    <cellStyle name="Comma 3 14 2 2 5" xfId="12078" xr:uid="{00000000-0005-0000-0000-0000315F0000}"/>
    <cellStyle name="Comma 3 14 2 2 5 2" xfId="35357" xr:uid="{00000000-0005-0000-0000-0000325F0000}"/>
    <cellStyle name="Comma 3 14 2 2 6" xfId="14526" xr:uid="{00000000-0005-0000-0000-0000335F0000}"/>
    <cellStyle name="Comma 3 14 2 2 6 2" xfId="37805" xr:uid="{00000000-0005-0000-0000-0000345F0000}"/>
    <cellStyle name="Comma 3 14 2 2 7" xfId="18221" xr:uid="{00000000-0005-0000-0000-0000355F0000}"/>
    <cellStyle name="Comma 3 14 2 2 7 2" xfId="41499" xr:uid="{00000000-0005-0000-0000-0000365F0000}"/>
    <cellStyle name="Comma 3 14 2 2 8" xfId="25565" xr:uid="{00000000-0005-0000-0000-0000375F0000}"/>
    <cellStyle name="Comma 3 14 2 2 9" xfId="46395" xr:uid="{00000000-0005-0000-0000-0000385F0000}"/>
    <cellStyle name="Comma 3 14 2 3" xfId="3510" xr:uid="{00000000-0005-0000-0000-0000395F0000}"/>
    <cellStyle name="Comma 3 14 2 3 2" xfId="16997" xr:uid="{00000000-0005-0000-0000-00003A5F0000}"/>
    <cellStyle name="Comma 3 14 2 3 2 2" xfId="40275" xr:uid="{00000000-0005-0000-0000-00003B5F0000}"/>
    <cellStyle name="Comma 3 14 2 3 3" xfId="47619" xr:uid="{00000000-0005-0000-0000-00003C5F0000}"/>
    <cellStyle name="Comma 3 14 2 3 4" xfId="26789" xr:uid="{00000000-0005-0000-0000-00003D5F0000}"/>
    <cellStyle name="Comma 3 14 2 4" xfId="5958" xr:uid="{00000000-0005-0000-0000-00003E5F0000}"/>
    <cellStyle name="Comma 3 14 2 4 2" xfId="19445" xr:uid="{00000000-0005-0000-0000-00003F5F0000}"/>
    <cellStyle name="Comma 3 14 2 4 2 2" xfId="42723" xr:uid="{00000000-0005-0000-0000-0000405F0000}"/>
    <cellStyle name="Comma 3 14 2 4 3" xfId="29237" xr:uid="{00000000-0005-0000-0000-0000415F0000}"/>
    <cellStyle name="Comma 3 14 2 5" xfId="8406" xr:uid="{00000000-0005-0000-0000-0000425F0000}"/>
    <cellStyle name="Comma 3 14 2 5 2" xfId="31685" xr:uid="{00000000-0005-0000-0000-0000435F0000}"/>
    <cellStyle name="Comma 3 14 2 6" xfId="10854" xr:uid="{00000000-0005-0000-0000-0000445F0000}"/>
    <cellStyle name="Comma 3 14 2 6 2" xfId="34133" xr:uid="{00000000-0005-0000-0000-0000455F0000}"/>
    <cellStyle name="Comma 3 14 2 7" xfId="13302" xr:uid="{00000000-0005-0000-0000-0000465F0000}"/>
    <cellStyle name="Comma 3 14 2 7 2" xfId="36581" xr:uid="{00000000-0005-0000-0000-0000475F0000}"/>
    <cellStyle name="Comma 3 14 2 8" xfId="15773" xr:uid="{00000000-0005-0000-0000-0000485F0000}"/>
    <cellStyle name="Comma 3 14 2 8 2" xfId="39051" xr:uid="{00000000-0005-0000-0000-0000495F0000}"/>
    <cellStyle name="Comma 3 14 2 9" xfId="24341" xr:uid="{00000000-0005-0000-0000-00004A5F0000}"/>
    <cellStyle name="Comma 3 14 3" xfId="1674" xr:uid="{00000000-0005-0000-0000-00004B5F0000}"/>
    <cellStyle name="Comma 3 14 3 10" xfId="22505" xr:uid="{00000000-0005-0000-0000-00004C5F0000}"/>
    <cellStyle name="Comma 3 14 3 2" xfId="4122" xr:uid="{00000000-0005-0000-0000-00004D5F0000}"/>
    <cellStyle name="Comma 3 14 3 2 2" xfId="20057" xr:uid="{00000000-0005-0000-0000-00004E5F0000}"/>
    <cellStyle name="Comma 3 14 3 2 2 2" xfId="43335" xr:uid="{00000000-0005-0000-0000-00004F5F0000}"/>
    <cellStyle name="Comma 3 14 3 2 3" xfId="48231" xr:uid="{00000000-0005-0000-0000-0000505F0000}"/>
    <cellStyle name="Comma 3 14 3 2 4" xfId="27401" xr:uid="{00000000-0005-0000-0000-0000515F0000}"/>
    <cellStyle name="Comma 3 14 3 3" xfId="6570" xr:uid="{00000000-0005-0000-0000-0000525F0000}"/>
    <cellStyle name="Comma 3 14 3 3 2" xfId="29849" xr:uid="{00000000-0005-0000-0000-0000535F0000}"/>
    <cellStyle name="Comma 3 14 3 4" xfId="9018" xr:uid="{00000000-0005-0000-0000-0000545F0000}"/>
    <cellStyle name="Comma 3 14 3 4 2" xfId="32297" xr:uid="{00000000-0005-0000-0000-0000555F0000}"/>
    <cellStyle name="Comma 3 14 3 5" xfId="11466" xr:uid="{00000000-0005-0000-0000-0000565F0000}"/>
    <cellStyle name="Comma 3 14 3 5 2" xfId="34745" xr:uid="{00000000-0005-0000-0000-0000575F0000}"/>
    <cellStyle name="Comma 3 14 3 6" xfId="13914" xr:uid="{00000000-0005-0000-0000-0000585F0000}"/>
    <cellStyle name="Comma 3 14 3 6 2" xfId="37193" xr:uid="{00000000-0005-0000-0000-0000595F0000}"/>
    <cellStyle name="Comma 3 14 3 7" xfId="17609" xr:uid="{00000000-0005-0000-0000-00005A5F0000}"/>
    <cellStyle name="Comma 3 14 3 7 2" xfId="40887" xr:uid="{00000000-0005-0000-0000-00005B5F0000}"/>
    <cellStyle name="Comma 3 14 3 8" xfId="24953" xr:uid="{00000000-0005-0000-0000-00005C5F0000}"/>
    <cellStyle name="Comma 3 14 3 9" xfId="45783" xr:uid="{00000000-0005-0000-0000-00005D5F0000}"/>
    <cellStyle name="Comma 3 14 4" xfId="2898" xr:uid="{00000000-0005-0000-0000-00005E5F0000}"/>
    <cellStyle name="Comma 3 14 4 2" xfId="16385" xr:uid="{00000000-0005-0000-0000-00005F5F0000}"/>
    <cellStyle name="Comma 3 14 4 2 2" xfId="39663" xr:uid="{00000000-0005-0000-0000-0000605F0000}"/>
    <cellStyle name="Comma 3 14 4 3" xfId="47007" xr:uid="{00000000-0005-0000-0000-0000615F0000}"/>
    <cellStyle name="Comma 3 14 4 4" xfId="26177" xr:uid="{00000000-0005-0000-0000-0000625F0000}"/>
    <cellStyle name="Comma 3 14 5" xfId="5346" xr:uid="{00000000-0005-0000-0000-0000635F0000}"/>
    <cellStyle name="Comma 3 14 5 2" xfId="18833" xr:uid="{00000000-0005-0000-0000-0000645F0000}"/>
    <cellStyle name="Comma 3 14 5 2 2" xfId="42111" xr:uid="{00000000-0005-0000-0000-0000655F0000}"/>
    <cellStyle name="Comma 3 14 5 3" xfId="28625" xr:uid="{00000000-0005-0000-0000-0000665F0000}"/>
    <cellStyle name="Comma 3 14 6" xfId="7794" xr:uid="{00000000-0005-0000-0000-0000675F0000}"/>
    <cellStyle name="Comma 3 14 6 2" xfId="31073" xr:uid="{00000000-0005-0000-0000-0000685F0000}"/>
    <cellStyle name="Comma 3 14 7" xfId="10242" xr:uid="{00000000-0005-0000-0000-0000695F0000}"/>
    <cellStyle name="Comma 3 14 7 2" xfId="33521" xr:uid="{00000000-0005-0000-0000-00006A5F0000}"/>
    <cellStyle name="Comma 3 14 8" xfId="12690" xr:uid="{00000000-0005-0000-0000-00006B5F0000}"/>
    <cellStyle name="Comma 3 14 8 2" xfId="35969" xr:uid="{00000000-0005-0000-0000-00006C5F0000}"/>
    <cellStyle name="Comma 3 14 9" xfId="15161" xr:uid="{00000000-0005-0000-0000-00006D5F0000}"/>
    <cellStyle name="Comma 3 14 9 2" xfId="38439" xr:uid="{00000000-0005-0000-0000-00006E5F0000}"/>
    <cellStyle name="Comma 3 15" xfId="654" xr:uid="{00000000-0005-0000-0000-00006F5F0000}"/>
    <cellStyle name="Comma 3 15 10" xfId="44763" xr:uid="{00000000-0005-0000-0000-0000705F0000}"/>
    <cellStyle name="Comma 3 15 11" xfId="21485" xr:uid="{00000000-0005-0000-0000-0000715F0000}"/>
    <cellStyle name="Comma 3 15 2" xfId="1878" xr:uid="{00000000-0005-0000-0000-0000725F0000}"/>
    <cellStyle name="Comma 3 15 2 10" xfId="22709" xr:uid="{00000000-0005-0000-0000-0000735F0000}"/>
    <cellStyle name="Comma 3 15 2 2" xfId="4326" xr:uid="{00000000-0005-0000-0000-0000745F0000}"/>
    <cellStyle name="Comma 3 15 2 2 2" xfId="20261" xr:uid="{00000000-0005-0000-0000-0000755F0000}"/>
    <cellStyle name="Comma 3 15 2 2 2 2" xfId="43539" xr:uid="{00000000-0005-0000-0000-0000765F0000}"/>
    <cellStyle name="Comma 3 15 2 2 3" xfId="48435" xr:uid="{00000000-0005-0000-0000-0000775F0000}"/>
    <cellStyle name="Comma 3 15 2 2 4" xfId="27605" xr:uid="{00000000-0005-0000-0000-0000785F0000}"/>
    <cellStyle name="Comma 3 15 2 3" xfId="6774" xr:uid="{00000000-0005-0000-0000-0000795F0000}"/>
    <cellStyle name="Comma 3 15 2 3 2" xfId="30053" xr:uid="{00000000-0005-0000-0000-00007A5F0000}"/>
    <cellStyle name="Comma 3 15 2 4" xfId="9222" xr:uid="{00000000-0005-0000-0000-00007B5F0000}"/>
    <cellStyle name="Comma 3 15 2 4 2" xfId="32501" xr:uid="{00000000-0005-0000-0000-00007C5F0000}"/>
    <cellStyle name="Comma 3 15 2 5" xfId="11670" xr:uid="{00000000-0005-0000-0000-00007D5F0000}"/>
    <cellStyle name="Comma 3 15 2 5 2" xfId="34949" xr:uid="{00000000-0005-0000-0000-00007E5F0000}"/>
    <cellStyle name="Comma 3 15 2 6" xfId="14118" xr:uid="{00000000-0005-0000-0000-00007F5F0000}"/>
    <cellStyle name="Comma 3 15 2 6 2" xfId="37397" xr:uid="{00000000-0005-0000-0000-0000805F0000}"/>
    <cellStyle name="Comma 3 15 2 7" xfId="17813" xr:uid="{00000000-0005-0000-0000-0000815F0000}"/>
    <cellStyle name="Comma 3 15 2 7 2" xfId="41091" xr:uid="{00000000-0005-0000-0000-0000825F0000}"/>
    <cellStyle name="Comma 3 15 2 8" xfId="25157" xr:uid="{00000000-0005-0000-0000-0000835F0000}"/>
    <cellStyle name="Comma 3 15 2 9" xfId="45987" xr:uid="{00000000-0005-0000-0000-0000845F0000}"/>
    <cellStyle name="Comma 3 15 3" xfId="3102" xr:uid="{00000000-0005-0000-0000-0000855F0000}"/>
    <cellStyle name="Comma 3 15 3 2" xfId="16589" xr:uid="{00000000-0005-0000-0000-0000865F0000}"/>
    <cellStyle name="Comma 3 15 3 2 2" xfId="39867" xr:uid="{00000000-0005-0000-0000-0000875F0000}"/>
    <cellStyle name="Comma 3 15 3 3" xfId="47211" xr:uid="{00000000-0005-0000-0000-0000885F0000}"/>
    <cellStyle name="Comma 3 15 3 4" xfId="26381" xr:uid="{00000000-0005-0000-0000-0000895F0000}"/>
    <cellStyle name="Comma 3 15 4" xfId="5550" xr:uid="{00000000-0005-0000-0000-00008A5F0000}"/>
    <cellStyle name="Comma 3 15 4 2" xfId="19037" xr:uid="{00000000-0005-0000-0000-00008B5F0000}"/>
    <cellStyle name="Comma 3 15 4 2 2" xfId="42315" xr:uid="{00000000-0005-0000-0000-00008C5F0000}"/>
    <cellStyle name="Comma 3 15 4 3" xfId="28829" xr:uid="{00000000-0005-0000-0000-00008D5F0000}"/>
    <cellStyle name="Comma 3 15 5" xfId="7998" xr:uid="{00000000-0005-0000-0000-00008E5F0000}"/>
    <cellStyle name="Comma 3 15 5 2" xfId="31277" xr:uid="{00000000-0005-0000-0000-00008F5F0000}"/>
    <cellStyle name="Comma 3 15 6" xfId="10446" xr:uid="{00000000-0005-0000-0000-0000905F0000}"/>
    <cellStyle name="Comma 3 15 6 2" xfId="33725" xr:uid="{00000000-0005-0000-0000-0000915F0000}"/>
    <cellStyle name="Comma 3 15 7" xfId="12894" xr:uid="{00000000-0005-0000-0000-0000925F0000}"/>
    <cellStyle name="Comma 3 15 7 2" xfId="36173" xr:uid="{00000000-0005-0000-0000-0000935F0000}"/>
    <cellStyle name="Comma 3 15 8" xfId="15365" xr:uid="{00000000-0005-0000-0000-0000945F0000}"/>
    <cellStyle name="Comma 3 15 8 2" xfId="38643" xr:uid="{00000000-0005-0000-0000-0000955F0000}"/>
    <cellStyle name="Comma 3 15 9" xfId="23933" xr:uid="{00000000-0005-0000-0000-0000965F0000}"/>
    <cellStyle name="Comma 3 16" xfId="1266" xr:uid="{00000000-0005-0000-0000-0000975F0000}"/>
    <cellStyle name="Comma 3 16 10" xfId="22097" xr:uid="{00000000-0005-0000-0000-0000985F0000}"/>
    <cellStyle name="Comma 3 16 2" xfId="3714" xr:uid="{00000000-0005-0000-0000-0000995F0000}"/>
    <cellStyle name="Comma 3 16 2 2" xfId="17201" xr:uid="{00000000-0005-0000-0000-00009A5F0000}"/>
    <cellStyle name="Comma 3 16 2 2 2" xfId="40479" xr:uid="{00000000-0005-0000-0000-00009B5F0000}"/>
    <cellStyle name="Comma 3 16 2 3" xfId="47823" xr:uid="{00000000-0005-0000-0000-00009C5F0000}"/>
    <cellStyle name="Comma 3 16 2 4" xfId="26993" xr:uid="{00000000-0005-0000-0000-00009D5F0000}"/>
    <cellStyle name="Comma 3 16 3" xfId="6162" xr:uid="{00000000-0005-0000-0000-00009E5F0000}"/>
    <cellStyle name="Comma 3 16 3 2" xfId="19649" xr:uid="{00000000-0005-0000-0000-00009F5F0000}"/>
    <cellStyle name="Comma 3 16 3 2 2" xfId="42927" xr:uid="{00000000-0005-0000-0000-0000A05F0000}"/>
    <cellStyle name="Comma 3 16 3 3" xfId="29441" xr:uid="{00000000-0005-0000-0000-0000A15F0000}"/>
    <cellStyle name="Comma 3 16 4" xfId="8610" xr:uid="{00000000-0005-0000-0000-0000A25F0000}"/>
    <cellStyle name="Comma 3 16 4 2" xfId="31889" xr:uid="{00000000-0005-0000-0000-0000A35F0000}"/>
    <cellStyle name="Comma 3 16 5" xfId="11058" xr:uid="{00000000-0005-0000-0000-0000A45F0000}"/>
    <cellStyle name="Comma 3 16 5 2" xfId="34337" xr:uid="{00000000-0005-0000-0000-0000A55F0000}"/>
    <cellStyle name="Comma 3 16 6" xfId="13506" xr:uid="{00000000-0005-0000-0000-0000A65F0000}"/>
    <cellStyle name="Comma 3 16 6 2" xfId="36785" xr:uid="{00000000-0005-0000-0000-0000A75F0000}"/>
    <cellStyle name="Comma 3 16 7" xfId="14753" xr:uid="{00000000-0005-0000-0000-0000A85F0000}"/>
    <cellStyle name="Comma 3 16 7 2" xfId="38031" xr:uid="{00000000-0005-0000-0000-0000A95F0000}"/>
    <cellStyle name="Comma 3 16 8" xfId="24545" xr:uid="{00000000-0005-0000-0000-0000AA5F0000}"/>
    <cellStyle name="Comma 3 16 9" xfId="45375" xr:uid="{00000000-0005-0000-0000-0000AB5F0000}"/>
    <cellStyle name="Comma 3 17" xfId="2490" xr:uid="{00000000-0005-0000-0000-0000AC5F0000}"/>
    <cellStyle name="Comma 3 17 2" xfId="15977" xr:uid="{00000000-0005-0000-0000-0000AD5F0000}"/>
    <cellStyle name="Comma 3 17 2 2" xfId="39255" xr:uid="{00000000-0005-0000-0000-0000AE5F0000}"/>
    <cellStyle name="Comma 3 17 3" xfId="46599" xr:uid="{00000000-0005-0000-0000-0000AF5F0000}"/>
    <cellStyle name="Comma 3 17 4" xfId="25769" xr:uid="{00000000-0005-0000-0000-0000B05F0000}"/>
    <cellStyle name="Comma 3 18" xfId="4938" xr:uid="{00000000-0005-0000-0000-0000B15F0000}"/>
    <cellStyle name="Comma 3 18 2" xfId="18425" xr:uid="{00000000-0005-0000-0000-0000B25F0000}"/>
    <cellStyle name="Comma 3 18 2 2" xfId="41703" xr:uid="{00000000-0005-0000-0000-0000B35F0000}"/>
    <cellStyle name="Comma 3 18 3" xfId="28217" xr:uid="{00000000-0005-0000-0000-0000B45F0000}"/>
    <cellStyle name="Comma 3 19" xfId="7386" xr:uid="{00000000-0005-0000-0000-0000B55F0000}"/>
    <cellStyle name="Comma 3 19 2" xfId="30665" xr:uid="{00000000-0005-0000-0000-0000B65F0000}"/>
    <cellStyle name="Comma 3 2" xfId="45" xr:uid="{00000000-0005-0000-0000-0000B75F0000}"/>
    <cellStyle name="Comma 3 2 10" xfId="1269" xr:uid="{00000000-0005-0000-0000-0000B85F0000}"/>
    <cellStyle name="Comma 3 2 10 10" xfId="22100" xr:uid="{00000000-0005-0000-0000-0000B95F0000}"/>
    <cellStyle name="Comma 3 2 10 2" xfId="3717" xr:uid="{00000000-0005-0000-0000-0000BA5F0000}"/>
    <cellStyle name="Comma 3 2 10 2 2" xfId="17204" xr:uid="{00000000-0005-0000-0000-0000BB5F0000}"/>
    <cellStyle name="Comma 3 2 10 2 2 2" xfId="40482" xr:uid="{00000000-0005-0000-0000-0000BC5F0000}"/>
    <cellStyle name="Comma 3 2 10 2 3" xfId="47826" xr:uid="{00000000-0005-0000-0000-0000BD5F0000}"/>
    <cellStyle name="Comma 3 2 10 2 4" xfId="26996" xr:uid="{00000000-0005-0000-0000-0000BE5F0000}"/>
    <cellStyle name="Comma 3 2 10 3" xfId="6165" xr:uid="{00000000-0005-0000-0000-0000BF5F0000}"/>
    <cellStyle name="Comma 3 2 10 3 2" xfId="19652" xr:uid="{00000000-0005-0000-0000-0000C05F0000}"/>
    <cellStyle name="Comma 3 2 10 3 2 2" xfId="42930" xr:uid="{00000000-0005-0000-0000-0000C15F0000}"/>
    <cellStyle name="Comma 3 2 10 3 3" xfId="29444" xr:uid="{00000000-0005-0000-0000-0000C25F0000}"/>
    <cellStyle name="Comma 3 2 10 4" xfId="8613" xr:uid="{00000000-0005-0000-0000-0000C35F0000}"/>
    <cellStyle name="Comma 3 2 10 4 2" xfId="31892" xr:uid="{00000000-0005-0000-0000-0000C45F0000}"/>
    <cellStyle name="Comma 3 2 10 5" xfId="11061" xr:uid="{00000000-0005-0000-0000-0000C55F0000}"/>
    <cellStyle name="Comma 3 2 10 5 2" xfId="34340" xr:uid="{00000000-0005-0000-0000-0000C65F0000}"/>
    <cellStyle name="Comma 3 2 10 6" xfId="13509" xr:uid="{00000000-0005-0000-0000-0000C75F0000}"/>
    <cellStyle name="Comma 3 2 10 6 2" xfId="36788" xr:uid="{00000000-0005-0000-0000-0000C85F0000}"/>
    <cellStyle name="Comma 3 2 10 7" xfId="14756" xr:uid="{00000000-0005-0000-0000-0000C95F0000}"/>
    <cellStyle name="Comma 3 2 10 7 2" xfId="38034" xr:uid="{00000000-0005-0000-0000-0000CA5F0000}"/>
    <cellStyle name="Comma 3 2 10 8" xfId="24548" xr:uid="{00000000-0005-0000-0000-0000CB5F0000}"/>
    <cellStyle name="Comma 3 2 10 9" xfId="45378" xr:uid="{00000000-0005-0000-0000-0000CC5F0000}"/>
    <cellStyle name="Comma 3 2 11" xfId="2493" xr:uid="{00000000-0005-0000-0000-0000CD5F0000}"/>
    <cellStyle name="Comma 3 2 11 2" xfId="15980" xr:uid="{00000000-0005-0000-0000-0000CE5F0000}"/>
    <cellStyle name="Comma 3 2 11 2 2" xfId="39258" xr:uid="{00000000-0005-0000-0000-0000CF5F0000}"/>
    <cellStyle name="Comma 3 2 11 3" xfId="46602" xr:uid="{00000000-0005-0000-0000-0000D05F0000}"/>
    <cellStyle name="Comma 3 2 11 4" xfId="25772" xr:uid="{00000000-0005-0000-0000-0000D15F0000}"/>
    <cellStyle name="Comma 3 2 12" xfId="4941" xr:uid="{00000000-0005-0000-0000-0000D25F0000}"/>
    <cellStyle name="Comma 3 2 12 2" xfId="18428" xr:uid="{00000000-0005-0000-0000-0000D35F0000}"/>
    <cellStyle name="Comma 3 2 12 2 2" xfId="41706" xr:uid="{00000000-0005-0000-0000-0000D45F0000}"/>
    <cellStyle name="Comma 3 2 12 3" xfId="28220" xr:uid="{00000000-0005-0000-0000-0000D55F0000}"/>
    <cellStyle name="Comma 3 2 13" xfId="7389" xr:uid="{00000000-0005-0000-0000-0000D65F0000}"/>
    <cellStyle name="Comma 3 2 13 2" xfId="30668" xr:uid="{00000000-0005-0000-0000-0000D75F0000}"/>
    <cellStyle name="Comma 3 2 14" xfId="9837" xr:uid="{00000000-0005-0000-0000-0000D85F0000}"/>
    <cellStyle name="Comma 3 2 14 2" xfId="33116" xr:uid="{00000000-0005-0000-0000-0000D95F0000}"/>
    <cellStyle name="Comma 3 2 15" xfId="12285" xr:uid="{00000000-0005-0000-0000-0000DA5F0000}"/>
    <cellStyle name="Comma 3 2 15 2" xfId="35564" xr:uid="{00000000-0005-0000-0000-0000DB5F0000}"/>
    <cellStyle name="Comma 3 2 16" xfId="14739" xr:uid="{00000000-0005-0000-0000-0000DC5F0000}"/>
    <cellStyle name="Comma 3 2 16 2" xfId="38017" xr:uid="{00000000-0005-0000-0000-0000DD5F0000}"/>
    <cellStyle name="Comma 3 2 17" xfId="23324" xr:uid="{00000000-0005-0000-0000-0000DE5F0000}"/>
    <cellStyle name="Comma 3 2 18" xfId="44154" xr:uid="{00000000-0005-0000-0000-0000DF5F0000}"/>
    <cellStyle name="Comma 3 2 19" xfId="20876" xr:uid="{00000000-0005-0000-0000-0000E05F0000}"/>
    <cellStyle name="Comma 3 2 2" xfId="62" xr:uid="{00000000-0005-0000-0000-0000E15F0000}"/>
    <cellStyle name="Comma 3 2 2 10" xfId="7406" xr:uid="{00000000-0005-0000-0000-0000E25F0000}"/>
    <cellStyle name="Comma 3 2 2 10 2" xfId="30685" xr:uid="{00000000-0005-0000-0000-0000E35F0000}"/>
    <cellStyle name="Comma 3 2 2 11" xfId="9854" xr:uid="{00000000-0005-0000-0000-0000E45F0000}"/>
    <cellStyle name="Comma 3 2 2 11 2" xfId="33133" xr:uid="{00000000-0005-0000-0000-0000E55F0000}"/>
    <cellStyle name="Comma 3 2 2 12" xfId="12302" xr:uid="{00000000-0005-0000-0000-0000E65F0000}"/>
    <cellStyle name="Comma 3 2 2 12 2" xfId="35581" xr:uid="{00000000-0005-0000-0000-0000E75F0000}"/>
    <cellStyle name="Comma 3 2 2 13" xfId="14773" xr:uid="{00000000-0005-0000-0000-0000E85F0000}"/>
    <cellStyle name="Comma 3 2 2 13 2" xfId="38051" xr:uid="{00000000-0005-0000-0000-0000E95F0000}"/>
    <cellStyle name="Comma 3 2 2 14" xfId="23341" xr:uid="{00000000-0005-0000-0000-0000EA5F0000}"/>
    <cellStyle name="Comma 3 2 2 15" xfId="44171" xr:uid="{00000000-0005-0000-0000-0000EB5F0000}"/>
    <cellStyle name="Comma 3 2 2 16" xfId="20893" xr:uid="{00000000-0005-0000-0000-0000EC5F0000}"/>
    <cellStyle name="Comma 3 2 2 2" xfId="130" xr:uid="{00000000-0005-0000-0000-0000ED5F0000}"/>
    <cellStyle name="Comma 3 2 2 2 10" xfId="12370" xr:uid="{00000000-0005-0000-0000-0000EE5F0000}"/>
    <cellStyle name="Comma 3 2 2 2 10 2" xfId="35649" xr:uid="{00000000-0005-0000-0000-0000EF5F0000}"/>
    <cellStyle name="Comma 3 2 2 2 11" xfId="14841" xr:uid="{00000000-0005-0000-0000-0000F05F0000}"/>
    <cellStyle name="Comma 3 2 2 2 11 2" xfId="38119" xr:uid="{00000000-0005-0000-0000-0000F15F0000}"/>
    <cellStyle name="Comma 3 2 2 2 12" xfId="23409" xr:uid="{00000000-0005-0000-0000-0000F25F0000}"/>
    <cellStyle name="Comma 3 2 2 2 13" xfId="44239" xr:uid="{00000000-0005-0000-0000-0000F35F0000}"/>
    <cellStyle name="Comma 3 2 2 2 14" xfId="20961" xr:uid="{00000000-0005-0000-0000-0000F45F0000}"/>
    <cellStyle name="Comma 3 2 2 2 2" xfId="334" xr:uid="{00000000-0005-0000-0000-0000F55F0000}"/>
    <cellStyle name="Comma 3 2 2 2 2 10" xfId="23613" xr:uid="{00000000-0005-0000-0000-0000F65F0000}"/>
    <cellStyle name="Comma 3 2 2 2 2 11" xfId="44443" xr:uid="{00000000-0005-0000-0000-0000F75F0000}"/>
    <cellStyle name="Comma 3 2 2 2 2 12" xfId="21165" xr:uid="{00000000-0005-0000-0000-0000F85F0000}"/>
    <cellStyle name="Comma 3 2 2 2 2 2" xfId="946" xr:uid="{00000000-0005-0000-0000-0000F95F0000}"/>
    <cellStyle name="Comma 3 2 2 2 2 2 10" xfId="45055" xr:uid="{00000000-0005-0000-0000-0000FA5F0000}"/>
    <cellStyle name="Comma 3 2 2 2 2 2 11" xfId="21777" xr:uid="{00000000-0005-0000-0000-0000FB5F0000}"/>
    <cellStyle name="Comma 3 2 2 2 2 2 2" xfId="2170" xr:uid="{00000000-0005-0000-0000-0000FC5F0000}"/>
    <cellStyle name="Comma 3 2 2 2 2 2 2 10" xfId="23001" xr:uid="{00000000-0005-0000-0000-0000FD5F0000}"/>
    <cellStyle name="Comma 3 2 2 2 2 2 2 2" xfId="4618" xr:uid="{00000000-0005-0000-0000-0000FE5F0000}"/>
    <cellStyle name="Comma 3 2 2 2 2 2 2 2 2" xfId="20553" xr:uid="{00000000-0005-0000-0000-0000FF5F0000}"/>
    <cellStyle name="Comma 3 2 2 2 2 2 2 2 2 2" xfId="43831" xr:uid="{00000000-0005-0000-0000-000000600000}"/>
    <cellStyle name="Comma 3 2 2 2 2 2 2 2 3" xfId="48727" xr:uid="{00000000-0005-0000-0000-000001600000}"/>
    <cellStyle name="Comma 3 2 2 2 2 2 2 2 4" xfId="27897" xr:uid="{00000000-0005-0000-0000-000002600000}"/>
    <cellStyle name="Comma 3 2 2 2 2 2 2 3" xfId="7066" xr:uid="{00000000-0005-0000-0000-000003600000}"/>
    <cellStyle name="Comma 3 2 2 2 2 2 2 3 2" xfId="30345" xr:uid="{00000000-0005-0000-0000-000004600000}"/>
    <cellStyle name="Comma 3 2 2 2 2 2 2 4" xfId="9514" xr:uid="{00000000-0005-0000-0000-000005600000}"/>
    <cellStyle name="Comma 3 2 2 2 2 2 2 4 2" xfId="32793" xr:uid="{00000000-0005-0000-0000-000006600000}"/>
    <cellStyle name="Comma 3 2 2 2 2 2 2 5" xfId="11962" xr:uid="{00000000-0005-0000-0000-000007600000}"/>
    <cellStyle name="Comma 3 2 2 2 2 2 2 5 2" xfId="35241" xr:uid="{00000000-0005-0000-0000-000008600000}"/>
    <cellStyle name="Comma 3 2 2 2 2 2 2 6" xfId="14410" xr:uid="{00000000-0005-0000-0000-000009600000}"/>
    <cellStyle name="Comma 3 2 2 2 2 2 2 6 2" xfId="37689" xr:uid="{00000000-0005-0000-0000-00000A600000}"/>
    <cellStyle name="Comma 3 2 2 2 2 2 2 7" xfId="18105" xr:uid="{00000000-0005-0000-0000-00000B600000}"/>
    <cellStyle name="Comma 3 2 2 2 2 2 2 7 2" xfId="41383" xr:uid="{00000000-0005-0000-0000-00000C600000}"/>
    <cellStyle name="Comma 3 2 2 2 2 2 2 8" xfId="25449" xr:uid="{00000000-0005-0000-0000-00000D600000}"/>
    <cellStyle name="Comma 3 2 2 2 2 2 2 9" xfId="46279" xr:uid="{00000000-0005-0000-0000-00000E600000}"/>
    <cellStyle name="Comma 3 2 2 2 2 2 3" xfId="3394" xr:uid="{00000000-0005-0000-0000-00000F600000}"/>
    <cellStyle name="Comma 3 2 2 2 2 2 3 2" xfId="16881" xr:uid="{00000000-0005-0000-0000-000010600000}"/>
    <cellStyle name="Comma 3 2 2 2 2 2 3 2 2" xfId="40159" xr:uid="{00000000-0005-0000-0000-000011600000}"/>
    <cellStyle name="Comma 3 2 2 2 2 2 3 3" xfId="47503" xr:uid="{00000000-0005-0000-0000-000012600000}"/>
    <cellStyle name="Comma 3 2 2 2 2 2 3 4" xfId="26673" xr:uid="{00000000-0005-0000-0000-000013600000}"/>
    <cellStyle name="Comma 3 2 2 2 2 2 4" xfId="5842" xr:uid="{00000000-0005-0000-0000-000014600000}"/>
    <cellStyle name="Comma 3 2 2 2 2 2 4 2" xfId="19329" xr:uid="{00000000-0005-0000-0000-000015600000}"/>
    <cellStyle name="Comma 3 2 2 2 2 2 4 2 2" xfId="42607" xr:uid="{00000000-0005-0000-0000-000016600000}"/>
    <cellStyle name="Comma 3 2 2 2 2 2 4 3" xfId="29121" xr:uid="{00000000-0005-0000-0000-000017600000}"/>
    <cellStyle name="Comma 3 2 2 2 2 2 5" xfId="8290" xr:uid="{00000000-0005-0000-0000-000018600000}"/>
    <cellStyle name="Comma 3 2 2 2 2 2 5 2" xfId="31569" xr:uid="{00000000-0005-0000-0000-000019600000}"/>
    <cellStyle name="Comma 3 2 2 2 2 2 6" xfId="10738" xr:uid="{00000000-0005-0000-0000-00001A600000}"/>
    <cellStyle name="Comma 3 2 2 2 2 2 6 2" xfId="34017" xr:uid="{00000000-0005-0000-0000-00001B600000}"/>
    <cellStyle name="Comma 3 2 2 2 2 2 7" xfId="13186" xr:uid="{00000000-0005-0000-0000-00001C600000}"/>
    <cellStyle name="Comma 3 2 2 2 2 2 7 2" xfId="36465" xr:uid="{00000000-0005-0000-0000-00001D600000}"/>
    <cellStyle name="Comma 3 2 2 2 2 2 8" xfId="15657" xr:uid="{00000000-0005-0000-0000-00001E600000}"/>
    <cellStyle name="Comma 3 2 2 2 2 2 8 2" xfId="38935" xr:uid="{00000000-0005-0000-0000-00001F600000}"/>
    <cellStyle name="Comma 3 2 2 2 2 2 9" xfId="24225" xr:uid="{00000000-0005-0000-0000-000020600000}"/>
    <cellStyle name="Comma 3 2 2 2 2 3" xfId="1558" xr:uid="{00000000-0005-0000-0000-000021600000}"/>
    <cellStyle name="Comma 3 2 2 2 2 3 10" xfId="22389" xr:uid="{00000000-0005-0000-0000-000022600000}"/>
    <cellStyle name="Comma 3 2 2 2 2 3 2" xfId="4006" xr:uid="{00000000-0005-0000-0000-000023600000}"/>
    <cellStyle name="Comma 3 2 2 2 2 3 2 2" xfId="19941" xr:uid="{00000000-0005-0000-0000-000024600000}"/>
    <cellStyle name="Comma 3 2 2 2 2 3 2 2 2" xfId="43219" xr:uid="{00000000-0005-0000-0000-000025600000}"/>
    <cellStyle name="Comma 3 2 2 2 2 3 2 3" xfId="48115" xr:uid="{00000000-0005-0000-0000-000026600000}"/>
    <cellStyle name="Comma 3 2 2 2 2 3 2 4" xfId="27285" xr:uid="{00000000-0005-0000-0000-000027600000}"/>
    <cellStyle name="Comma 3 2 2 2 2 3 3" xfId="6454" xr:uid="{00000000-0005-0000-0000-000028600000}"/>
    <cellStyle name="Comma 3 2 2 2 2 3 3 2" xfId="29733" xr:uid="{00000000-0005-0000-0000-000029600000}"/>
    <cellStyle name="Comma 3 2 2 2 2 3 4" xfId="8902" xr:uid="{00000000-0005-0000-0000-00002A600000}"/>
    <cellStyle name="Comma 3 2 2 2 2 3 4 2" xfId="32181" xr:uid="{00000000-0005-0000-0000-00002B600000}"/>
    <cellStyle name="Comma 3 2 2 2 2 3 5" xfId="11350" xr:uid="{00000000-0005-0000-0000-00002C600000}"/>
    <cellStyle name="Comma 3 2 2 2 2 3 5 2" xfId="34629" xr:uid="{00000000-0005-0000-0000-00002D600000}"/>
    <cellStyle name="Comma 3 2 2 2 2 3 6" xfId="13798" xr:uid="{00000000-0005-0000-0000-00002E600000}"/>
    <cellStyle name="Comma 3 2 2 2 2 3 6 2" xfId="37077" xr:uid="{00000000-0005-0000-0000-00002F600000}"/>
    <cellStyle name="Comma 3 2 2 2 2 3 7" xfId="17493" xr:uid="{00000000-0005-0000-0000-000030600000}"/>
    <cellStyle name="Comma 3 2 2 2 2 3 7 2" xfId="40771" xr:uid="{00000000-0005-0000-0000-000031600000}"/>
    <cellStyle name="Comma 3 2 2 2 2 3 8" xfId="24837" xr:uid="{00000000-0005-0000-0000-000032600000}"/>
    <cellStyle name="Comma 3 2 2 2 2 3 9" xfId="45667" xr:uid="{00000000-0005-0000-0000-000033600000}"/>
    <cellStyle name="Comma 3 2 2 2 2 4" xfId="2782" xr:uid="{00000000-0005-0000-0000-000034600000}"/>
    <cellStyle name="Comma 3 2 2 2 2 4 2" xfId="16269" xr:uid="{00000000-0005-0000-0000-000035600000}"/>
    <cellStyle name="Comma 3 2 2 2 2 4 2 2" xfId="39547" xr:uid="{00000000-0005-0000-0000-000036600000}"/>
    <cellStyle name="Comma 3 2 2 2 2 4 3" xfId="46891" xr:uid="{00000000-0005-0000-0000-000037600000}"/>
    <cellStyle name="Comma 3 2 2 2 2 4 4" xfId="26061" xr:uid="{00000000-0005-0000-0000-000038600000}"/>
    <cellStyle name="Comma 3 2 2 2 2 5" xfId="5230" xr:uid="{00000000-0005-0000-0000-000039600000}"/>
    <cellStyle name="Comma 3 2 2 2 2 5 2" xfId="18717" xr:uid="{00000000-0005-0000-0000-00003A600000}"/>
    <cellStyle name="Comma 3 2 2 2 2 5 2 2" xfId="41995" xr:uid="{00000000-0005-0000-0000-00003B600000}"/>
    <cellStyle name="Comma 3 2 2 2 2 5 3" xfId="28509" xr:uid="{00000000-0005-0000-0000-00003C600000}"/>
    <cellStyle name="Comma 3 2 2 2 2 6" xfId="7678" xr:uid="{00000000-0005-0000-0000-00003D600000}"/>
    <cellStyle name="Comma 3 2 2 2 2 6 2" xfId="30957" xr:uid="{00000000-0005-0000-0000-00003E600000}"/>
    <cellStyle name="Comma 3 2 2 2 2 7" xfId="10126" xr:uid="{00000000-0005-0000-0000-00003F600000}"/>
    <cellStyle name="Comma 3 2 2 2 2 7 2" xfId="33405" xr:uid="{00000000-0005-0000-0000-000040600000}"/>
    <cellStyle name="Comma 3 2 2 2 2 8" xfId="12574" xr:uid="{00000000-0005-0000-0000-000041600000}"/>
    <cellStyle name="Comma 3 2 2 2 2 8 2" xfId="35853" xr:uid="{00000000-0005-0000-0000-000042600000}"/>
    <cellStyle name="Comma 3 2 2 2 2 9" xfId="15045" xr:uid="{00000000-0005-0000-0000-000043600000}"/>
    <cellStyle name="Comma 3 2 2 2 2 9 2" xfId="38323" xr:uid="{00000000-0005-0000-0000-000044600000}"/>
    <cellStyle name="Comma 3 2 2 2 3" xfId="538" xr:uid="{00000000-0005-0000-0000-000045600000}"/>
    <cellStyle name="Comma 3 2 2 2 3 10" xfId="23817" xr:uid="{00000000-0005-0000-0000-000046600000}"/>
    <cellStyle name="Comma 3 2 2 2 3 11" xfId="44647" xr:uid="{00000000-0005-0000-0000-000047600000}"/>
    <cellStyle name="Comma 3 2 2 2 3 12" xfId="21369" xr:uid="{00000000-0005-0000-0000-000048600000}"/>
    <cellStyle name="Comma 3 2 2 2 3 2" xfId="1150" xr:uid="{00000000-0005-0000-0000-000049600000}"/>
    <cellStyle name="Comma 3 2 2 2 3 2 10" xfId="45259" xr:uid="{00000000-0005-0000-0000-00004A600000}"/>
    <cellStyle name="Comma 3 2 2 2 3 2 11" xfId="21981" xr:uid="{00000000-0005-0000-0000-00004B600000}"/>
    <cellStyle name="Comma 3 2 2 2 3 2 2" xfId="2374" xr:uid="{00000000-0005-0000-0000-00004C600000}"/>
    <cellStyle name="Comma 3 2 2 2 3 2 2 10" xfId="23205" xr:uid="{00000000-0005-0000-0000-00004D600000}"/>
    <cellStyle name="Comma 3 2 2 2 3 2 2 2" xfId="4822" xr:uid="{00000000-0005-0000-0000-00004E600000}"/>
    <cellStyle name="Comma 3 2 2 2 3 2 2 2 2" xfId="20757" xr:uid="{00000000-0005-0000-0000-00004F600000}"/>
    <cellStyle name="Comma 3 2 2 2 3 2 2 2 2 2" xfId="44035" xr:uid="{00000000-0005-0000-0000-000050600000}"/>
    <cellStyle name="Comma 3 2 2 2 3 2 2 2 3" xfId="48931" xr:uid="{00000000-0005-0000-0000-000051600000}"/>
    <cellStyle name="Comma 3 2 2 2 3 2 2 2 4" xfId="28101" xr:uid="{00000000-0005-0000-0000-000052600000}"/>
    <cellStyle name="Comma 3 2 2 2 3 2 2 3" xfId="7270" xr:uid="{00000000-0005-0000-0000-000053600000}"/>
    <cellStyle name="Comma 3 2 2 2 3 2 2 3 2" xfId="30549" xr:uid="{00000000-0005-0000-0000-000054600000}"/>
    <cellStyle name="Comma 3 2 2 2 3 2 2 4" xfId="9718" xr:uid="{00000000-0005-0000-0000-000055600000}"/>
    <cellStyle name="Comma 3 2 2 2 3 2 2 4 2" xfId="32997" xr:uid="{00000000-0005-0000-0000-000056600000}"/>
    <cellStyle name="Comma 3 2 2 2 3 2 2 5" xfId="12166" xr:uid="{00000000-0005-0000-0000-000057600000}"/>
    <cellStyle name="Comma 3 2 2 2 3 2 2 5 2" xfId="35445" xr:uid="{00000000-0005-0000-0000-000058600000}"/>
    <cellStyle name="Comma 3 2 2 2 3 2 2 6" xfId="14614" xr:uid="{00000000-0005-0000-0000-000059600000}"/>
    <cellStyle name="Comma 3 2 2 2 3 2 2 6 2" xfId="37893" xr:uid="{00000000-0005-0000-0000-00005A600000}"/>
    <cellStyle name="Comma 3 2 2 2 3 2 2 7" xfId="18309" xr:uid="{00000000-0005-0000-0000-00005B600000}"/>
    <cellStyle name="Comma 3 2 2 2 3 2 2 7 2" xfId="41587" xr:uid="{00000000-0005-0000-0000-00005C600000}"/>
    <cellStyle name="Comma 3 2 2 2 3 2 2 8" xfId="25653" xr:uid="{00000000-0005-0000-0000-00005D600000}"/>
    <cellStyle name="Comma 3 2 2 2 3 2 2 9" xfId="46483" xr:uid="{00000000-0005-0000-0000-00005E600000}"/>
    <cellStyle name="Comma 3 2 2 2 3 2 3" xfId="3598" xr:uid="{00000000-0005-0000-0000-00005F600000}"/>
    <cellStyle name="Comma 3 2 2 2 3 2 3 2" xfId="17085" xr:uid="{00000000-0005-0000-0000-000060600000}"/>
    <cellStyle name="Comma 3 2 2 2 3 2 3 2 2" xfId="40363" xr:uid="{00000000-0005-0000-0000-000061600000}"/>
    <cellStyle name="Comma 3 2 2 2 3 2 3 3" xfId="47707" xr:uid="{00000000-0005-0000-0000-000062600000}"/>
    <cellStyle name="Comma 3 2 2 2 3 2 3 4" xfId="26877" xr:uid="{00000000-0005-0000-0000-000063600000}"/>
    <cellStyle name="Comma 3 2 2 2 3 2 4" xfId="6046" xr:uid="{00000000-0005-0000-0000-000064600000}"/>
    <cellStyle name="Comma 3 2 2 2 3 2 4 2" xfId="19533" xr:uid="{00000000-0005-0000-0000-000065600000}"/>
    <cellStyle name="Comma 3 2 2 2 3 2 4 2 2" xfId="42811" xr:uid="{00000000-0005-0000-0000-000066600000}"/>
    <cellStyle name="Comma 3 2 2 2 3 2 4 3" xfId="29325" xr:uid="{00000000-0005-0000-0000-000067600000}"/>
    <cellStyle name="Comma 3 2 2 2 3 2 5" xfId="8494" xr:uid="{00000000-0005-0000-0000-000068600000}"/>
    <cellStyle name="Comma 3 2 2 2 3 2 5 2" xfId="31773" xr:uid="{00000000-0005-0000-0000-000069600000}"/>
    <cellStyle name="Comma 3 2 2 2 3 2 6" xfId="10942" xr:uid="{00000000-0005-0000-0000-00006A600000}"/>
    <cellStyle name="Comma 3 2 2 2 3 2 6 2" xfId="34221" xr:uid="{00000000-0005-0000-0000-00006B600000}"/>
    <cellStyle name="Comma 3 2 2 2 3 2 7" xfId="13390" xr:uid="{00000000-0005-0000-0000-00006C600000}"/>
    <cellStyle name="Comma 3 2 2 2 3 2 7 2" xfId="36669" xr:uid="{00000000-0005-0000-0000-00006D600000}"/>
    <cellStyle name="Comma 3 2 2 2 3 2 8" xfId="15861" xr:uid="{00000000-0005-0000-0000-00006E600000}"/>
    <cellStyle name="Comma 3 2 2 2 3 2 8 2" xfId="39139" xr:uid="{00000000-0005-0000-0000-00006F600000}"/>
    <cellStyle name="Comma 3 2 2 2 3 2 9" xfId="24429" xr:uid="{00000000-0005-0000-0000-000070600000}"/>
    <cellStyle name="Comma 3 2 2 2 3 3" xfId="1762" xr:uid="{00000000-0005-0000-0000-000071600000}"/>
    <cellStyle name="Comma 3 2 2 2 3 3 10" xfId="22593" xr:uid="{00000000-0005-0000-0000-000072600000}"/>
    <cellStyle name="Comma 3 2 2 2 3 3 2" xfId="4210" xr:uid="{00000000-0005-0000-0000-000073600000}"/>
    <cellStyle name="Comma 3 2 2 2 3 3 2 2" xfId="20145" xr:uid="{00000000-0005-0000-0000-000074600000}"/>
    <cellStyle name="Comma 3 2 2 2 3 3 2 2 2" xfId="43423" xr:uid="{00000000-0005-0000-0000-000075600000}"/>
    <cellStyle name="Comma 3 2 2 2 3 3 2 3" xfId="48319" xr:uid="{00000000-0005-0000-0000-000076600000}"/>
    <cellStyle name="Comma 3 2 2 2 3 3 2 4" xfId="27489" xr:uid="{00000000-0005-0000-0000-000077600000}"/>
    <cellStyle name="Comma 3 2 2 2 3 3 3" xfId="6658" xr:uid="{00000000-0005-0000-0000-000078600000}"/>
    <cellStyle name="Comma 3 2 2 2 3 3 3 2" xfId="29937" xr:uid="{00000000-0005-0000-0000-000079600000}"/>
    <cellStyle name="Comma 3 2 2 2 3 3 4" xfId="9106" xr:uid="{00000000-0005-0000-0000-00007A600000}"/>
    <cellStyle name="Comma 3 2 2 2 3 3 4 2" xfId="32385" xr:uid="{00000000-0005-0000-0000-00007B600000}"/>
    <cellStyle name="Comma 3 2 2 2 3 3 5" xfId="11554" xr:uid="{00000000-0005-0000-0000-00007C600000}"/>
    <cellStyle name="Comma 3 2 2 2 3 3 5 2" xfId="34833" xr:uid="{00000000-0005-0000-0000-00007D600000}"/>
    <cellStyle name="Comma 3 2 2 2 3 3 6" xfId="14002" xr:uid="{00000000-0005-0000-0000-00007E600000}"/>
    <cellStyle name="Comma 3 2 2 2 3 3 6 2" xfId="37281" xr:uid="{00000000-0005-0000-0000-00007F600000}"/>
    <cellStyle name="Comma 3 2 2 2 3 3 7" xfId="17697" xr:uid="{00000000-0005-0000-0000-000080600000}"/>
    <cellStyle name="Comma 3 2 2 2 3 3 7 2" xfId="40975" xr:uid="{00000000-0005-0000-0000-000081600000}"/>
    <cellStyle name="Comma 3 2 2 2 3 3 8" xfId="25041" xr:uid="{00000000-0005-0000-0000-000082600000}"/>
    <cellStyle name="Comma 3 2 2 2 3 3 9" xfId="45871" xr:uid="{00000000-0005-0000-0000-000083600000}"/>
    <cellStyle name="Comma 3 2 2 2 3 4" xfId="2986" xr:uid="{00000000-0005-0000-0000-000084600000}"/>
    <cellStyle name="Comma 3 2 2 2 3 4 2" xfId="16473" xr:uid="{00000000-0005-0000-0000-000085600000}"/>
    <cellStyle name="Comma 3 2 2 2 3 4 2 2" xfId="39751" xr:uid="{00000000-0005-0000-0000-000086600000}"/>
    <cellStyle name="Comma 3 2 2 2 3 4 3" xfId="47095" xr:uid="{00000000-0005-0000-0000-000087600000}"/>
    <cellStyle name="Comma 3 2 2 2 3 4 4" xfId="26265" xr:uid="{00000000-0005-0000-0000-000088600000}"/>
    <cellStyle name="Comma 3 2 2 2 3 5" xfId="5434" xr:uid="{00000000-0005-0000-0000-000089600000}"/>
    <cellStyle name="Comma 3 2 2 2 3 5 2" xfId="18921" xr:uid="{00000000-0005-0000-0000-00008A600000}"/>
    <cellStyle name="Comma 3 2 2 2 3 5 2 2" xfId="42199" xr:uid="{00000000-0005-0000-0000-00008B600000}"/>
    <cellStyle name="Comma 3 2 2 2 3 5 3" xfId="28713" xr:uid="{00000000-0005-0000-0000-00008C600000}"/>
    <cellStyle name="Comma 3 2 2 2 3 6" xfId="7882" xr:uid="{00000000-0005-0000-0000-00008D600000}"/>
    <cellStyle name="Comma 3 2 2 2 3 6 2" xfId="31161" xr:uid="{00000000-0005-0000-0000-00008E600000}"/>
    <cellStyle name="Comma 3 2 2 2 3 7" xfId="10330" xr:uid="{00000000-0005-0000-0000-00008F600000}"/>
    <cellStyle name="Comma 3 2 2 2 3 7 2" xfId="33609" xr:uid="{00000000-0005-0000-0000-000090600000}"/>
    <cellStyle name="Comma 3 2 2 2 3 8" xfId="12778" xr:uid="{00000000-0005-0000-0000-000091600000}"/>
    <cellStyle name="Comma 3 2 2 2 3 8 2" xfId="36057" xr:uid="{00000000-0005-0000-0000-000092600000}"/>
    <cellStyle name="Comma 3 2 2 2 3 9" xfId="15249" xr:uid="{00000000-0005-0000-0000-000093600000}"/>
    <cellStyle name="Comma 3 2 2 2 3 9 2" xfId="38527" xr:uid="{00000000-0005-0000-0000-000094600000}"/>
    <cellStyle name="Comma 3 2 2 2 4" xfId="742" xr:uid="{00000000-0005-0000-0000-000095600000}"/>
    <cellStyle name="Comma 3 2 2 2 4 10" xfId="44851" xr:uid="{00000000-0005-0000-0000-000096600000}"/>
    <cellStyle name="Comma 3 2 2 2 4 11" xfId="21573" xr:uid="{00000000-0005-0000-0000-000097600000}"/>
    <cellStyle name="Comma 3 2 2 2 4 2" xfId="1966" xr:uid="{00000000-0005-0000-0000-000098600000}"/>
    <cellStyle name="Comma 3 2 2 2 4 2 10" xfId="22797" xr:uid="{00000000-0005-0000-0000-000099600000}"/>
    <cellStyle name="Comma 3 2 2 2 4 2 2" xfId="4414" xr:uid="{00000000-0005-0000-0000-00009A600000}"/>
    <cellStyle name="Comma 3 2 2 2 4 2 2 2" xfId="20349" xr:uid="{00000000-0005-0000-0000-00009B600000}"/>
    <cellStyle name="Comma 3 2 2 2 4 2 2 2 2" xfId="43627" xr:uid="{00000000-0005-0000-0000-00009C600000}"/>
    <cellStyle name="Comma 3 2 2 2 4 2 2 3" xfId="48523" xr:uid="{00000000-0005-0000-0000-00009D600000}"/>
    <cellStyle name="Comma 3 2 2 2 4 2 2 4" xfId="27693" xr:uid="{00000000-0005-0000-0000-00009E600000}"/>
    <cellStyle name="Comma 3 2 2 2 4 2 3" xfId="6862" xr:uid="{00000000-0005-0000-0000-00009F600000}"/>
    <cellStyle name="Comma 3 2 2 2 4 2 3 2" xfId="30141" xr:uid="{00000000-0005-0000-0000-0000A0600000}"/>
    <cellStyle name="Comma 3 2 2 2 4 2 4" xfId="9310" xr:uid="{00000000-0005-0000-0000-0000A1600000}"/>
    <cellStyle name="Comma 3 2 2 2 4 2 4 2" xfId="32589" xr:uid="{00000000-0005-0000-0000-0000A2600000}"/>
    <cellStyle name="Comma 3 2 2 2 4 2 5" xfId="11758" xr:uid="{00000000-0005-0000-0000-0000A3600000}"/>
    <cellStyle name="Comma 3 2 2 2 4 2 5 2" xfId="35037" xr:uid="{00000000-0005-0000-0000-0000A4600000}"/>
    <cellStyle name="Comma 3 2 2 2 4 2 6" xfId="14206" xr:uid="{00000000-0005-0000-0000-0000A5600000}"/>
    <cellStyle name="Comma 3 2 2 2 4 2 6 2" xfId="37485" xr:uid="{00000000-0005-0000-0000-0000A6600000}"/>
    <cellStyle name="Comma 3 2 2 2 4 2 7" xfId="17901" xr:uid="{00000000-0005-0000-0000-0000A7600000}"/>
    <cellStyle name="Comma 3 2 2 2 4 2 7 2" xfId="41179" xr:uid="{00000000-0005-0000-0000-0000A8600000}"/>
    <cellStyle name="Comma 3 2 2 2 4 2 8" xfId="25245" xr:uid="{00000000-0005-0000-0000-0000A9600000}"/>
    <cellStyle name="Comma 3 2 2 2 4 2 9" xfId="46075" xr:uid="{00000000-0005-0000-0000-0000AA600000}"/>
    <cellStyle name="Comma 3 2 2 2 4 3" xfId="3190" xr:uid="{00000000-0005-0000-0000-0000AB600000}"/>
    <cellStyle name="Comma 3 2 2 2 4 3 2" xfId="16677" xr:uid="{00000000-0005-0000-0000-0000AC600000}"/>
    <cellStyle name="Comma 3 2 2 2 4 3 2 2" xfId="39955" xr:uid="{00000000-0005-0000-0000-0000AD600000}"/>
    <cellStyle name="Comma 3 2 2 2 4 3 3" xfId="47299" xr:uid="{00000000-0005-0000-0000-0000AE600000}"/>
    <cellStyle name="Comma 3 2 2 2 4 3 4" xfId="26469" xr:uid="{00000000-0005-0000-0000-0000AF600000}"/>
    <cellStyle name="Comma 3 2 2 2 4 4" xfId="5638" xr:uid="{00000000-0005-0000-0000-0000B0600000}"/>
    <cellStyle name="Comma 3 2 2 2 4 4 2" xfId="19125" xr:uid="{00000000-0005-0000-0000-0000B1600000}"/>
    <cellStyle name="Comma 3 2 2 2 4 4 2 2" xfId="42403" xr:uid="{00000000-0005-0000-0000-0000B2600000}"/>
    <cellStyle name="Comma 3 2 2 2 4 4 3" xfId="28917" xr:uid="{00000000-0005-0000-0000-0000B3600000}"/>
    <cellStyle name="Comma 3 2 2 2 4 5" xfId="8086" xr:uid="{00000000-0005-0000-0000-0000B4600000}"/>
    <cellStyle name="Comma 3 2 2 2 4 5 2" xfId="31365" xr:uid="{00000000-0005-0000-0000-0000B5600000}"/>
    <cellStyle name="Comma 3 2 2 2 4 6" xfId="10534" xr:uid="{00000000-0005-0000-0000-0000B6600000}"/>
    <cellStyle name="Comma 3 2 2 2 4 6 2" xfId="33813" xr:uid="{00000000-0005-0000-0000-0000B7600000}"/>
    <cellStyle name="Comma 3 2 2 2 4 7" xfId="12982" xr:uid="{00000000-0005-0000-0000-0000B8600000}"/>
    <cellStyle name="Comma 3 2 2 2 4 7 2" xfId="36261" xr:uid="{00000000-0005-0000-0000-0000B9600000}"/>
    <cellStyle name="Comma 3 2 2 2 4 8" xfId="15453" xr:uid="{00000000-0005-0000-0000-0000BA600000}"/>
    <cellStyle name="Comma 3 2 2 2 4 8 2" xfId="38731" xr:uid="{00000000-0005-0000-0000-0000BB600000}"/>
    <cellStyle name="Comma 3 2 2 2 4 9" xfId="24021" xr:uid="{00000000-0005-0000-0000-0000BC600000}"/>
    <cellStyle name="Comma 3 2 2 2 5" xfId="1354" xr:uid="{00000000-0005-0000-0000-0000BD600000}"/>
    <cellStyle name="Comma 3 2 2 2 5 10" xfId="22185" xr:uid="{00000000-0005-0000-0000-0000BE600000}"/>
    <cellStyle name="Comma 3 2 2 2 5 2" xfId="3802" xr:uid="{00000000-0005-0000-0000-0000BF600000}"/>
    <cellStyle name="Comma 3 2 2 2 5 2 2" xfId="19737" xr:uid="{00000000-0005-0000-0000-0000C0600000}"/>
    <cellStyle name="Comma 3 2 2 2 5 2 2 2" xfId="43015" xr:uid="{00000000-0005-0000-0000-0000C1600000}"/>
    <cellStyle name="Comma 3 2 2 2 5 2 3" xfId="47911" xr:uid="{00000000-0005-0000-0000-0000C2600000}"/>
    <cellStyle name="Comma 3 2 2 2 5 2 4" xfId="27081" xr:uid="{00000000-0005-0000-0000-0000C3600000}"/>
    <cellStyle name="Comma 3 2 2 2 5 3" xfId="6250" xr:uid="{00000000-0005-0000-0000-0000C4600000}"/>
    <cellStyle name="Comma 3 2 2 2 5 3 2" xfId="29529" xr:uid="{00000000-0005-0000-0000-0000C5600000}"/>
    <cellStyle name="Comma 3 2 2 2 5 4" xfId="8698" xr:uid="{00000000-0005-0000-0000-0000C6600000}"/>
    <cellStyle name="Comma 3 2 2 2 5 4 2" xfId="31977" xr:uid="{00000000-0005-0000-0000-0000C7600000}"/>
    <cellStyle name="Comma 3 2 2 2 5 5" xfId="11146" xr:uid="{00000000-0005-0000-0000-0000C8600000}"/>
    <cellStyle name="Comma 3 2 2 2 5 5 2" xfId="34425" xr:uid="{00000000-0005-0000-0000-0000C9600000}"/>
    <cellStyle name="Comma 3 2 2 2 5 6" xfId="13594" xr:uid="{00000000-0005-0000-0000-0000CA600000}"/>
    <cellStyle name="Comma 3 2 2 2 5 6 2" xfId="36873" xr:uid="{00000000-0005-0000-0000-0000CB600000}"/>
    <cellStyle name="Comma 3 2 2 2 5 7" xfId="17289" xr:uid="{00000000-0005-0000-0000-0000CC600000}"/>
    <cellStyle name="Comma 3 2 2 2 5 7 2" xfId="40567" xr:uid="{00000000-0005-0000-0000-0000CD600000}"/>
    <cellStyle name="Comma 3 2 2 2 5 8" xfId="24633" xr:uid="{00000000-0005-0000-0000-0000CE600000}"/>
    <cellStyle name="Comma 3 2 2 2 5 9" xfId="45463" xr:uid="{00000000-0005-0000-0000-0000CF600000}"/>
    <cellStyle name="Comma 3 2 2 2 6" xfId="2578" xr:uid="{00000000-0005-0000-0000-0000D0600000}"/>
    <cellStyle name="Comma 3 2 2 2 6 2" xfId="16065" xr:uid="{00000000-0005-0000-0000-0000D1600000}"/>
    <cellStyle name="Comma 3 2 2 2 6 2 2" xfId="39343" xr:uid="{00000000-0005-0000-0000-0000D2600000}"/>
    <cellStyle name="Comma 3 2 2 2 6 3" xfId="46687" xr:uid="{00000000-0005-0000-0000-0000D3600000}"/>
    <cellStyle name="Comma 3 2 2 2 6 4" xfId="25857" xr:uid="{00000000-0005-0000-0000-0000D4600000}"/>
    <cellStyle name="Comma 3 2 2 2 7" xfId="5026" xr:uid="{00000000-0005-0000-0000-0000D5600000}"/>
    <cellStyle name="Comma 3 2 2 2 7 2" xfId="18513" xr:uid="{00000000-0005-0000-0000-0000D6600000}"/>
    <cellStyle name="Comma 3 2 2 2 7 2 2" xfId="41791" xr:uid="{00000000-0005-0000-0000-0000D7600000}"/>
    <cellStyle name="Comma 3 2 2 2 7 3" xfId="28305" xr:uid="{00000000-0005-0000-0000-0000D8600000}"/>
    <cellStyle name="Comma 3 2 2 2 8" xfId="7474" xr:uid="{00000000-0005-0000-0000-0000D9600000}"/>
    <cellStyle name="Comma 3 2 2 2 8 2" xfId="30753" xr:uid="{00000000-0005-0000-0000-0000DA600000}"/>
    <cellStyle name="Comma 3 2 2 2 9" xfId="9922" xr:uid="{00000000-0005-0000-0000-0000DB600000}"/>
    <cellStyle name="Comma 3 2 2 2 9 2" xfId="33201" xr:uid="{00000000-0005-0000-0000-0000DC600000}"/>
    <cellStyle name="Comma 3 2 2 3" xfId="198" xr:uid="{00000000-0005-0000-0000-0000DD600000}"/>
    <cellStyle name="Comma 3 2 2 3 10" xfId="12438" xr:uid="{00000000-0005-0000-0000-0000DE600000}"/>
    <cellStyle name="Comma 3 2 2 3 10 2" xfId="35717" xr:uid="{00000000-0005-0000-0000-0000DF600000}"/>
    <cellStyle name="Comma 3 2 2 3 11" xfId="14909" xr:uid="{00000000-0005-0000-0000-0000E0600000}"/>
    <cellStyle name="Comma 3 2 2 3 11 2" xfId="38187" xr:uid="{00000000-0005-0000-0000-0000E1600000}"/>
    <cellStyle name="Comma 3 2 2 3 12" xfId="23477" xr:uid="{00000000-0005-0000-0000-0000E2600000}"/>
    <cellStyle name="Comma 3 2 2 3 13" xfId="44307" xr:uid="{00000000-0005-0000-0000-0000E3600000}"/>
    <cellStyle name="Comma 3 2 2 3 14" xfId="21029" xr:uid="{00000000-0005-0000-0000-0000E4600000}"/>
    <cellStyle name="Comma 3 2 2 3 2" xfId="402" xr:uid="{00000000-0005-0000-0000-0000E5600000}"/>
    <cellStyle name="Comma 3 2 2 3 2 10" xfId="23681" xr:uid="{00000000-0005-0000-0000-0000E6600000}"/>
    <cellStyle name="Comma 3 2 2 3 2 11" xfId="44511" xr:uid="{00000000-0005-0000-0000-0000E7600000}"/>
    <cellStyle name="Comma 3 2 2 3 2 12" xfId="21233" xr:uid="{00000000-0005-0000-0000-0000E8600000}"/>
    <cellStyle name="Comma 3 2 2 3 2 2" xfId="1014" xr:uid="{00000000-0005-0000-0000-0000E9600000}"/>
    <cellStyle name="Comma 3 2 2 3 2 2 10" xfId="45123" xr:uid="{00000000-0005-0000-0000-0000EA600000}"/>
    <cellStyle name="Comma 3 2 2 3 2 2 11" xfId="21845" xr:uid="{00000000-0005-0000-0000-0000EB600000}"/>
    <cellStyle name="Comma 3 2 2 3 2 2 2" xfId="2238" xr:uid="{00000000-0005-0000-0000-0000EC600000}"/>
    <cellStyle name="Comma 3 2 2 3 2 2 2 10" xfId="23069" xr:uid="{00000000-0005-0000-0000-0000ED600000}"/>
    <cellStyle name="Comma 3 2 2 3 2 2 2 2" xfId="4686" xr:uid="{00000000-0005-0000-0000-0000EE600000}"/>
    <cellStyle name="Comma 3 2 2 3 2 2 2 2 2" xfId="20621" xr:uid="{00000000-0005-0000-0000-0000EF600000}"/>
    <cellStyle name="Comma 3 2 2 3 2 2 2 2 2 2" xfId="43899" xr:uid="{00000000-0005-0000-0000-0000F0600000}"/>
    <cellStyle name="Comma 3 2 2 3 2 2 2 2 3" xfId="48795" xr:uid="{00000000-0005-0000-0000-0000F1600000}"/>
    <cellStyle name="Comma 3 2 2 3 2 2 2 2 4" xfId="27965" xr:uid="{00000000-0005-0000-0000-0000F2600000}"/>
    <cellStyle name="Comma 3 2 2 3 2 2 2 3" xfId="7134" xr:uid="{00000000-0005-0000-0000-0000F3600000}"/>
    <cellStyle name="Comma 3 2 2 3 2 2 2 3 2" xfId="30413" xr:uid="{00000000-0005-0000-0000-0000F4600000}"/>
    <cellStyle name="Comma 3 2 2 3 2 2 2 4" xfId="9582" xr:uid="{00000000-0005-0000-0000-0000F5600000}"/>
    <cellStyle name="Comma 3 2 2 3 2 2 2 4 2" xfId="32861" xr:uid="{00000000-0005-0000-0000-0000F6600000}"/>
    <cellStyle name="Comma 3 2 2 3 2 2 2 5" xfId="12030" xr:uid="{00000000-0005-0000-0000-0000F7600000}"/>
    <cellStyle name="Comma 3 2 2 3 2 2 2 5 2" xfId="35309" xr:uid="{00000000-0005-0000-0000-0000F8600000}"/>
    <cellStyle name="Comma 3 2 2 3 2 2 2 6" xfId="14478" xr:uid="{00000000-0005-0000-0000-0000F9600000}"/>
    <cellStyle name="Comma 3 2 2 3 2 2 2 6 2" xfId="37757" xr:uid="{00000000-0005-0000-0000-0000FA600000}"/>
    <cellStyle name="Comma 3 2 2 3 2 2 2 7" xfId="18173" xr:uid="{00000000-0005-0000-0000-0000FB600000}"/>
    <cellStyle name="Comma 3 2 2 3 2 2 2 7 2" xfId="41451" xr:uid="{00000000-0005-0000-0000-0000FC600000}"/>
    <cellStyle name="Comma 3 2 2 3 2 2 2 8" xfId="25517" xr:uid="{00000000-0005-0000-0000-0000FD600000}"/>
    <cellStyle name="Comma 3 2 2 3 2 2 2 9" xfId="46347" xr:uid="{00000000-0005-0000-0000-0000FE600000}"/>
    <cellStyle name="Comma 3 2 2 3 2 2 3" xfId="3462" xr:uid="{00000000-0005-0000-0000-0000FF600000}"/>
    <cellStyle name="Comma 3 2 2 3 2 2 3 2" xfId="16949" xr:uid="{00000000-0005-0000-0000-000000610000}"/>
    <cellStyle name="Comma 3 2 2 3 2 2 3 2 2" xfId="40227" xr:uid="{00000000-0005-0000-0000-000001610000}"/>
    <cellStyle name="Comma 3 2 2 3 2 2 3 3" xfId="47571" xr:uid="{00000000-0005-0000-0000-000002610000}"/>
    <cellStyle name="Comma 3 2 2 3 2 2 3 4" xfId="26741" xr:uid="{00000000-0005-0000-0000-000003610000}"/>
    <cellStyle name="Comma 3 2 2 3 2 2 4" xfId="5910" xr:uid="{00000000-0005-0000-0000-000004610000}"/>
    <cellStyle name="Comma 3 2 2 3 2 2 4 2" xfId="19397" xr:uid="{00000000-0005-0000-0000-000005610000}"/>
    <cellStyle name="Comma 3 2 2 3 2 2 4 2 2" xfId="42675" xr:uid="{00000000-0005-0000-0000-000006610000}"/>
    <cellStyle name="Comma 3 2 2 3 2 2 4 3" xfId="29189" xr:uid="{00000000-0005-0000-0000-000007610000}"/>
    <cellStyle name="Comma 3 2 2 3 2 2 5" xfId="8358" xr:uid="{00000000-0005-0000-0000-000008610000}"/>
    <cellStyle name="Comma 3 2 2 3 2 2 5 2" xfId="31637" xr:uid="{00000000-0005-0000-0000-000009610000}"/>
    <cellStyle name="Comma 3 2 2 3 2 2 6" xfId="10806" xr:uid="{00000000-0005-0000-0000-00000A610000}"/>
    <cellStyle name="Comma 3 2 2 3 2 2 6 2" xfId="34085" xr:uid="{00000000-0005-0000-0000-00000B610000}"/>
    <cellStyle name="Comma 3 2 2 3 2 2 7" xfId="13254" xr:uid="{00000000-0005-0000-0000-00000C610000}"/>
    <cellStyle name="Comma 3 2 2 3 2 2 7 2" xfId="36533" xr:uid="{00000000-0005-0000-0000-00000D610000}"/>
    <cellStyle name="Comma 3 2 2 3 2 2 8" xfId="15725" xr:uid="{00000000-0005-0000-0000-00000E610000}"/>
    <cellStyle name="Comma 3 2 2 3 2 2 8 2" xfId="39003" xr:uid="{00000000-0005-0000-0000-00000F610000}"/>
    <cellStyle name="Comma 3 2 2 3 2 2 9" xfId="24293" xr:uid="{00000000-0005-0000-0000-000010610000}"/>
    <cellStyle name="Comma 3 2 2 3 2 3" xfId="1626" xr:uid="{00000000-0005-0000-0000-000011610000}"/>
    <cellStyle name="Comma 3 2 2 3 2 3 10" xfId="22457" xr:uid="{00000000-0005-0000-0000-000012610000}"/>
    <cellStyle name="Comma 3 2 2 3 2 3 2" xfId="4074" xr:uid="{00000000-0005-0000-0000-000013610000}"/>
    <cellStyle name="Comma 3 2 2 3 2 3 2 2" xfId="20009" xr:uid="{00000000-0005-0000-0000-000014610000}"/>
    <cellStyle name="Comma 3 2 2 3 2 3 2 2 2" xfId="43287" xr:uid="{00000000-0005-0000-0000-000015610000}"/>
    <cellStyle name="Comma 3 2 2 3 2 3 2 3" xfId="48183" xr:uid="{00000000-0005-0000-0000-000016610000}"/>
    <cellStyle name="Comma 3 2 2 3 2 3 2 4" xfId="27353" xr:uid="{00000000-0005-0000-0000-000017610000}"/>
    <cellStyle name="Comma 3 2 2 3 2 3 3" xfId="6522" xr:uid="{00000000-0005-0000-0000-000018610000}"/>
    <cellStyle name="Comma 3 2 2 3 2 3 3 2" xfId="29801" xr:uid="{00000000-0005-0000-0000-000019610000}"/>
    <cellStyle name="Comma 3 2 2 3 2 3 4" xfId="8970" xr:uid="{00000000-0005-0000-0000-00001A610000}"/>
    <cellStyle name="Comma 3 2 2 3 2 3 4 2" xfId="32249" xr:uid="{00000000-0005-0000-0000-00001B610000}"/>
    <cellStyle name="Comma 3 2 2 3 2 3 5" xfId="11418" xr:uid="{00000000-0005-0000-0000-00001C610000}"/>
    <cellStyle name="Comma 3 2 2 3 2 3 5 2" xfId="34697" xr:uid="{00000000-0005-0000-0000-00001D610000}"/>
    <cellStyle name="Comma 3 2 2 3 2 3 6" xfId="13866" xr:uid="{00000000-0005-0000-0000-00001E610000}"/>
    <cellStyle name="Comma 3 2 2 3 2 3 6 2" xfId="37145" xr:uid="{00000000-0005-0000-0000-00001F610000}"/>
    <cellStyle name="Comma 3 2 2 3 2 3 7" xfId="17561" xr:uid="{00000000-0005-0000-0000-000020610000}"/>
    <cellStyle name="Comma 3 2 2 3 2 3 7 2" xfId="40839" xr:uid="{00000000-0005-0000-0000-000021610000}"/>
    <cellStyle name="Comma 3 2 2 3 2 3 8" xfId="24905" xr:uid="{00000000-0005-0000-0000-000022610000}"/>
    <cellStyle name="Comma 3 2 2 3 2 3 9" xfId="45735" xr:uid="{00000000-0005-0000-0000-000023610000}"/>
    <cellStyle name="Comma 3 2 2 3 2 4" xfId="2850" xr:uid="{00000000-0005-0000-0000-000024610000}"/>
    <cellStyle name="Comma 3 2 2 3 2 4 2" xfId="16337" xr:uid="{00000000-0005-0000-0000-000025610000}"/>
    <cellStyle name="Comma 3 2 2 3 2 4 2 2" xfId="39615" xr:uid="{00000000-0005-0000-0000-000026610000}"/>
    <cellStyle name="Comma 3 2 2 3 2 4 3" xfId="46959" xr:uid="{00000000-0005-0000-0000-000027610000}"/>
    <cellStyle name="Comma 3 2 2 3 2 4 4" xfId="26129" xr:uid="{00000000-0005-0000-0000-000028610000}"/>
    <cellStyle name="Comma 3 2 2 3 2 5" xfId="5298" xr:uid="{00000000-0005-0000-0000-000029610000}"/>
    <cellStyle name="Comma 3 2 2 3 2 5 2" xfId="18785" xr:uid="{00000000-0005-0000-0000-00002A610000}"/>
    <cellStyle name="Comma 3 2 2 3 2 5 2 2" xfId="42063" xr:uid="{00000000-0005-0000-0000-00002B610000}"/>
    <cellStyle name="Comma 3 2 2 3 2 5 3" xfId="28577" xr:uid="{00000000-0005-0000-0000-00002C610000}"/>
    <cellStyle name="Comma 3 2 2 3 2 6" xfId="7746" xr:uid="{00000000-0005-0000-0000-00002D610000}"/>
    <cellStyle name="Comma 3 2 2 3 2 6 2" xfId="31025" xr:uid="{00000000-0005-0000-0000-00002E610000}"/>
    <cellStyle name="Comma 3 2 2 3 2 7" xfId="10194" xr:uid="{00000000-0005-0000-0000-00002F610000}"/>
    <cellStyle name="Comma 3 2 2 3 2 7 2" xfId="33473" xr:uid="{00000000-0005-0000-0000-000030610000}"/>
    <cellStyle name="Comma 3 2 2 3 2 8" xfId="12642" xr:uid="{00000000-0005-0000-0000-000031610000}"/>
    <cellStyle name="Comma 3 2 2 3 2 8 2" xfId="35921" xr:uid="{00000000-0005-0000-0000-000032610000}"/>
    <cellStyle name="Comma 3 2 2 3 2 9" xfId="15113" xr:uid="{00000000-0005-0000-0000-000033610000}"/>
    <cellStyle name="Comma 3 2 2 3 2 9 2" xfId="38391" xr:uid="{00000000-0005-0000-0000-000034610000}"/>
    <cellStyle name="Comma 3 2 2 3 3" xfId="606" xr:uid="{00000000-0005-0000-0000-000035610000}"/>
    <cellStyle name="Comma 3 2 2 3 3 10" xfId="23885" xr:uid="{00000000-0005-0000-0000-000036610000}"/>
    <cellStyle name="Comma 3 2 2 3 3 11" xfId="44715" xr:uid="{00000000-0005-0000-0000-000037610000}"/>
    <cellStyle name="Comma 3 2 2 3 3 12" xfId="21437" xr:uid="{00000000-0005-0000-0000-000038610000}"/>
    <cellStyle name="Comma 3 2 2 3 3 2" xfId="1218" xr:uid="{00000000-0005-0000-0000-000039610000}"/>
    <cellStyle name="Comma 3 2 2 3 3 2 10" xfId="45327" xr:uid="{00000000-0005-0000-0000-00003A610000}"/>
    <cellStyle name="Comma 3 2 2 3 3 2 11" xfId="22049" xr:uid="{00000000-0005-0000-0000-00003B610000}"/>
    <cellStyle name="Comma 3 2 2 3 3 2 2" xfId="2442" xr:uid="{00000000-0005-0000-0000-00003C610000}"/>
    <cellStyle name="Comma 3 2 2 3 3 2 2 10" xfId="23273" xr:uid="{00000000-0005-0000-0000-00003D610000}"/>
    <cellStyle name="Comma 3 2 2 3 3 2 2 2" xfId="4890" xr:uid="{00000000-0005-0000-0000-00003E610000}"/>
    <cellStyle name="Comma 3 2 2 3 3 2 2 2 2" xfId="20825" xr:uid="{00000000-0005-0000-0000-00003F610000}"/>
    <cellStyle name="Comma 3 2 2 3 3 2 2 2 2 2" xfId="44103" xr:uid="{00000000-0005-0000-0000-000040610000}"/>
    <cellStyle name="Comma 3 2 2 3 3 2 2 2 3" xfId="48999" xr:uid="{00000000-0005-0000-0000-000041610000}"/>
    <cellStyle name="Comma 3 2 2 3 3 2 2 2 4" xfId="28169" xr:uid="{00000000-0005-0000-0000-000042610000}"/>
    <cellStyle name="Comma 3 2 2 3 3 2 2 3" xfId="7338" xr:uid="{00000000-0005-0000-0000-000043610000}"/>
    <cellStyle name="Comma 3 2 2 3 3 2 2 3 2" xfId="30617" xr:uid="{00000000-0005-0000-0000-000044610000}"/>
    <cellStyle name="Comma 3 2 2 3 3 2 2 4" xfId="9786" xr:uid="{00000000-0005-0000-0000-000045610000}"/>
    <cellStyle name="Comma 3 2 2 3 3 2 2 4 2" xfId="33065" xr:uid="{00000000-0005-0000-0000-000046610000}"/>
    <cellStyle name="Comma 3 2 2 3 3 2 2 5" xfId="12234" xr:uid="{00000000-0005-0000-0000-000047610000}"/>
    <cellStyle name="Comma 3 2 2 3 3 2 2 5 2" xfId="35513" xr:uid="{00000000-0005-0000-0000-000048610000}"/>
    <cellStyle name="Comma 3 2 2 3 3 2 2 6" xfId="14682" xr:uid="{00000000-0005-0000-0000-000049610000}"/>
    <cellStyle name="Comma 3 2 2 3 3 2 2 6 2" xfId="37961" xr:uid="{00000000-0005-0000-0000-00004A610000}"/>
    <cellStyle name="Comma 3 2 2 3 3 2 2 7" xfId="18377" xr:uid="{00000000-0005-0000-0000-00004B610000}"/>
    <cellStyle name="Comma 3 2 2 3 3 2 2 7 2" xfId="41655" xr:uid="{00000000-0005-0000-0000-00004C610000}"/>
    <cellStyle name="Comma 3 2 2 3 3 2 2 8" xfId="25721" xr:uid="{00000000-0005-0000-0000-00004D610000}"/>
    <cellStyle name="Comma 3 2 2 3 3 2 2 9" xfId="46551" xr:uid="{00000000-0005-0000-0000-00004E610000}"/>
    <cellStyle name="Comma 3 2 2 3 3 2 3" xfId="3666" xr:uid="{00000000-0005-0000-0000-00004F610000}"/>
    <cellStyle name="Comma 3 2 2 3 3 2 3 2" xfId="17153" xr:uid="{00000000-0005-0000-0000-000050610000}"/>
    <cellStyle name="Comma 3 2 2 3 3 2 3 2 2" xfId="40431" xr:uid="{00000000-0005-0000-0000-000051610000}"/>
    <cellStyle name="Comma 3 2 2 3 3 2 3 3" xfId="47775" xr:uid="{00000000-0005-0000-0000-000052610000}"/>
    <cellStyle name="Comma 3 2 2 3 3 2 3 4" xfId="26945" xr:uid="{00000000-0005-0000-0000-000053610000}"/>
    <cellStyle name="Comma 3 2 2 3 3 2 4" xfId="6114" xr:uid="{00000000-0005-0000-0000-000054610000}"/>
    <cellStyle name="Comma 3 2 2 3 3 2 4 2" xfId="19601" xr:uid="{00000000-0005-0000-0000-000055610000}"/>
    <cellStyle name="Comma 3 2 2 3 3 2 4 2 2" xfId="42879" xr:uid="{00000000-0005-0000-0000-000056610000}"/>
    <cellStyle name="Comma 3 2 2 3 3 2 4 3" xfId="29393" xr:uid="{00000000-0005-0000-0000-000057610000}"/>
    <cellStyle name="Comma 3 2 2 3 3 2 5" xfId="8562" xr:uid="{00000000-0005-0000-0000-000058610000}"/>
    <cellStyle name="Comma 3 2 2 3 3 2 5 2" xfId="31841" xr:uid="{00000000-0005-0000-0000-000059610000}"/>
    <cellStyle name="Comma 3 2 2 3 3 2 6" xfId="11010" xr:uid="{00000000-0005-0000-0000-00005A610000}"/>
    <cellStyle name="Comma 3 2 2 3 3 2 6 2" xfId="34289" xr:uid="{00000000-0005-0000-0000-00005B610000}"/>
    <cellStyle name="Comma 3 2 2 3 3 2 7" xfId="13458" xr:uid="{00000000-0005-0000-0000-00005C610000}"/>
    <cellStyle name="Comma 3 2 2 3 3 2 7 2" xfId="36737" xr:uid="{00000000-0005-0000-0000-00005D610000}"/>
    <cellStyle name="Comma 3 2 2 3 3 2 8" xfId="15929" xr:uid="{00000000-0005-0000-0000-00005E610000}"/>
    <cellStyle name="Comma 3 2 2 3 3 2 8 2" xfId="39207" xr:uid="{00000000-0005-0000-0000-00005F610000}"/>
    <cellStyle name="Comma 3 2 2 3 3 2 9" xfId="24497" xr:uid="{00000000-0005-0000-0000-000060610000}"/>
    <cellStyle name="Comma 3 2 2 3 3 3" xfId="1830" xr:uid="{00000000-0005-0000-0000-000061610000}"/>
    <cellStyle name="Comma 3 2 2 3 3 3 10" xfId="22661" xr:uid="{00000000-0005-0000-0000-000062610000}"/>
    <cellStyle name="Comma 3 2 2 3 3 3 2" xfId="4278" xr:uid="{00000000-0005-0000-0000-000063610000}"/>
    <cellStyle name="Comma 3 2 2 3 3 3 2 2" xfId="20213" xr:uid="{00000000-0005-0000-0000-000064610000}"/>
    <cellStyle name="Comma 3 2 2 3 3 3 2 2 2" xfId="43491" xr:uid="{00000000-0005-0000-0000-000065610000}"/>
    <cellStyle name="Comma 3 2 2 3 3 3 2 3" xfId="48387" xr:uid="{00000000-0005-0000-0000-000066610000}"/>
    <cellStyle name="Comma 3 2 2 3 3 3 2 4" xfId="27557" xr:uid="{00000000-0005-0000-0000-000067610000}"/>
    <cellStyle name="Comma 3 2 2 3 3 3 3" xfId="6726" xr:uid="{00000000-0005-0000-0000-000068610000}"/>
    <cellStyle name="Comma 3 2 2 3 3 3 3 2" xfId="30005" xr:uid="{00000000-0005-0000-0000-000069610000}"/>
    <cellStyle name="Comma 3 2 2 3 3 3 4" xfId="9174" xr:uid="{00000000-0005-0000-0000-00006A610000}"/>
    <cellStyle name="Comma 3 2 2 3 3 3 4 2" xfId="32453" xr:uid="{00000000-0005-0000-0000-00006B610000}"/>
    <cellStyle name="Comma 3 2 2 3 3 3 5" xfId="11622" xr:uid="{00000000-0005-0000-0000-00006C610000}"/>
    <cellStyle name="Comma 3 2 2 3 3 3 5 2" xfId="34901" xr:uid="{00000000-0005-0000-0000-00006D610000}"/>
    <cellStyle name="Comma 3 2 2 3 3 3 6" xfId="14070" xr:uid="{00000000-0005-0000-0000-00006E610000}"/>
    <cellStyle name="Comma 3 2 2 3 3 3 6 2" xfId="37349" xr:uid="{00000000-0005-0000-0000-00006F610000}"/>
    <cellStyle name="Comma 3 2 2 3 3 3 7" xfId="17765" xr:uid="{00000000-0005-0000-0000-000070610000}"/>
    <cellStyle name="Comma 3 2 2 3 3 3 7 2" xfId="41043" xr:uid="{00000000-0005-0000-0000-000071610000}"/>
    <cellStyle name="Comma 3 2 2 3 3 3 8" xfId="25109" xr:uid="{00000000-0005-0000-0000-000072610000}"/>
    <cellStyle name="Comma 3 2 2 3 3 3 9" xfId="45939" xr:uid="{00000000-0005-0000-0000-000073610000}"/>
    <cellStyle name="Comma 3 2 2 3 3 4" xfId="3054" xr:uid="{00000000-0005-0000-0000-000074610000}"/>
    <cellStyle name="Comma 3 2 2 3 3 4 2" xfId="16541" xr:uid="{00000000-0005-0000-0000-000075610000}"/>
    <cellStyle name="Comma 3 2 2 3 3 4 2 2" xfId="39819" xr:uid="{00000000-0005-0000-0000-000076610000}"/>
    <cellStyle name="Comma 3 2 2 3 3 4 3" xfId="47163" xr:uid="{00000000-0005-0000-0000-000077610000}"/>
    <cellStyle name="Comma 3 2 2 3 3 4 4" xfId="26333" xr:uid="{00000000-0005-0000-0000-000078610000}"/>
    <cellStyle name="Comma 3 2 2 3 3 5" xfId="5502" xr:uid="{00000000-0005-0000-0000-000079610000}"/>
    <cellStyle name="Comma 3 2 2 3 3 5 2" xfId="18989" xr:uid="{00000000-0005-0000-0000-00007A610000}"/>
    <cellStyle name="Comma 3 2 2 3 3 5 2 2" xfId="42267" xr:uid="{00000000-0005-0000-0000-00007B610000}"/>
    <cellStyle name="Comma 3 2 2 3 3 5 3" xfId="28781" xr:uid="{00000000-0005-0000-0000-00007C610000}"/>
    <cellStyle name="Comma 3 2 2 3 3 6" xfId="7950" xr:uid="{00000000-0005-0000-0000-00007D610000}"/>
    <cellStyle name="Comma 3 2 2 3 3 6 2" xfId="31229" xr:uid="{00000000-0005-0000-0000-00007E610000}"/>
    <cellStyle name="Comma 3 2 2 3 3 7" xfId="10398" xr:uid="{00000000-0005-0000-0000-00007F610000}"/>
    <cellStyle name="Comma 3 2 2 3 3 7 2" xfId="33677" xr:uid="{00000000-0005-0000-0000-000080610000}"/>
    <cellStyle name="Comma 3 2 2 3 3 8" xfId="12846" xr:uid="{00000000-0005-0000-0000-000081610000}"/>
    <cellStyle name="Comma 3 2 2 3 3 8 2" xfId="36125" xr:uid="{00000000-0005-0000-0000-000082610000}"/>
    <cellStyle name="Comma 3 2 2 3 3 9" xfId="15317" xr:uid="{00000000-0005-0000-0000-000083610000}"/>
    <cellStyle name="Comma 3 2 2 3 3 9 2" xfId="38595" xr:uid="{00000000-0005-0000-0000-000084610000}"/>
    <cellStyle name="Comma 3 2 2 3 4" xfId="810" xr:uid="{00000000-0005-0000-0000-000085610000}"/>
    <cellStyle name="Comma 3 2 2 3 4 10" xfId="44919" xr:uid="{00000000-0005-0000-0000-000086610000}"/>
    <cellStyle name="Comma 3 2 2 3 4 11" xfId="21641" xr:uid="{00000000-0005-0000-0000-000087610000}"/>
    <cellStyle name="Comma 3 2 2 3 4 2" xfId="2034" xr:uid="{00000000-0005-0000-0000-000088610000}"/>
    <cellStyle name="Comma 3 2 2 3 4 2 10" xfId="22865" xr:uid="{00000000-0005-0000-0000-000089610000}"/>
    <cellStyle name="Comma 3 2 2 3 4 2 2" xfId="4482" xr:uid="{00000000-0005-0000-0000-00008A610000}"/>
    <cellStyle name="Comma 3 2 2 3 4 2 2 2" xfId="20417" xr:uid="{00000000-0005-0000-0000-00008B610000}"/>
    <cellStyle name="Comma 3 2 2 3 4 2 2 2 2" xfId="43695" xr:uid="{00000000-0005-0000-0000-00008C610000}"/>
    <cellStyle name="Comma 3 2 2 3 4 2 2 3" xfId="48591" xr:uid="{00000000-0005-0000-0000-00008D610000}"/>
    <cellStyle name="Comma 3 2 2 3 4 2 2 4" xfId="27761" xr:uid="{00000000-0005-0000-0000-00008E610000}"/>
    <cellStyle name="Comma 3 2 2 3 4 2 3" xfId="6930" xr:uid="{00000000-0005-0000-0000-00008F610000}"/>
    <cellStyle name="Comma 3 2 2 3 4 2 3 2" xfId="30209" xr:uid="{00000000-0005-0000-0000-000090610000}"/>
    <cellStyle name="Comma 3 2 2 3 4 2 4" xfId="9378" xr:uid="{00000000-0005-0000-0000-000091610000}"/>
    <cellStyle name="Comma 3 2 2 3 4 2 4 2" xfId="32657" xr:uid="{00000000-0005-0000-0000-000092610000}"/>
    <cellStyle name="Comma 3 2 2 3 4 2 5" xfId="11826" xr:uid="{00000000-0005-0000-0000-000093610000}"/>
    <cellStyle name="Comma 3 2 2 3 4 2 5 2" xfId="35105" xr:uid="{00000000-0005-0000-0000-000094610000}"/>
    <cellStyle name="Comma 3 2 2 3 4 2 6" xfId="14274" xr:uid="{00000000-0005-0000-0000-000095610000}"/>
    <cellStyle name="Comma 3 2 2 3 4 2 6 2" xfId="37553" xr:uid="{00000000-0005-0000-0000-000096610000}"/>
    <cellStyle name="Comma 3 2 2 3 4 2 7" xfId="17969" xr:uid="{00000000-0005-0000-0000-000097610000}"/>
    <cellStyle name="Comma 3 2 2 3 4 2 7 2" xfId="41247" xr:uid="{00000000-0005-0000-0000-000098610000}"/>
    <cellStyle name="Comma 3 2 2 3 4 2 8" xfId="25313" xr:uid="{00000000-0005-0000-0000-000099610000}"/>
    <cellStyle name="Comma 3 2 2 3 4 2 9" xfId="46143" xr:uid="{00000000-0005-0000-0000-00009A610000}"/>
    <cellStyle name="Comma 3 2 2 3 4 3" xfId="3258" xr:uid="{00000000-0005-0000-0000-00009B610000}"/>
    <cellStyle name="Comma 3 2 2 3 4 3 2" xfId="16745" xr:uid="{00000000-0005-0000-0000-00009C610000}"/>
    <cellStyle name="Comma 3 2 2 3 4 3 2 2" xfId="40023" xr:uid="{00000000-0005-0000-0000-00009D610000}"/>
    <cellStyle name="Comma 3 2 2 3 4 3 3" xfId="47367" xr:uid="{00000000-0005-0000-0000-00009E610000}"/>
    <cellStyle name="Comma 3 2 2 3 4 3 4" xfId="26537" xr:uid="{00000000-0005-0000-0000-00009F610000}"/>
    <cellStyle name="Comma 3 2 2 3 4 4" xfId="5706" xr:uid="{00000000-0005-0000-0000-0000A0610000}"/>
    <cellStyle name="Comma 3 2 2 3 4 4 2" xfId="19193" xr:uid="{00000000-0005-0000-0000-0000A1610000}"/>
    <cellStyle name="Comma 3 2 2 3 4 4 2 2" xfId="42471" xr:uid="{00000000-0005-0000-0000-0000A2610000}"/>
    <cellStyle name="Comma 3 2 2 3 4 4 3" xfId="28985" xr:uid="{00000000-0005-0000-0000-0000A3610000}"/>
    <cellStyle name="Comma 3 2 2 3 4 5" xfId="8154" xr:uid="{00000000-0005-0000-0000-0000A4610000}"/>
    <cellStyle name="Comma 3 2 2 3 4 5 2" xfId="31433" xr:uid="{00000000-0005-0000-0000-0000A5610000}"/>
    <cellStyle name="Comma 3 2 2 3 4 6" xfId="10602" xr:uid="{00000000-0005-0000-0000-0000A6610000}"/>
    <cellStyle name="Comma 3 2 2 3 4 6 2" xfId="33881" xr:uid="{00000000-0005-0000-0000-0000A7610000}"/>
    <cellStyle name="Comma 3 2 2 3 4 7" xfId="13050" xr:uid="{00000000-0005-0000-0000-0000A8610000}"/>
    <cellStyle name="Comma 3 2 2 3 4 7 2" xfId="36329" xr:uid="{00000000-0005-0000-0000-0000A9610000}"/>
    <cellStyle name="Comma 3 2 2 3 4 8" xfId="15521" xr:uid="{00000000-0005-0000-0000-0000AA610000}"/>
    <cellStyle name="Comma 3 2 2 3 4 8 2" xfId="38799" xr:uid="{00000000-0005-0000-0000-0000AB610000}"/>
    <cellStyle name="Comma 3 2 2 3 4 9" xfId="24089" xr:uid="{00000000-0005-0000-0000-0000AC610000}"/>
    <cellStyle name="Comma 3 2 2 3 5" xfId="1422" xr:uid="{00000000-0005-0000-0000-0000AD610000}"/>
    <cellStyle name="Comma 3 2 2 3 5 10" xfId="22253" xr:uid="{00000000-0005-0000-0000-0000AE610000}"/>
    <cellStyle name="Comma 3 2 2 3 5 2" xfId="3870" xr:uid="{00000000-0005-0000-0000-0000AF610000}"/>
    <cellStyle name="Comma 3 2 2 3 5 2 2" xfId="19805" xr:uid="{00000000-0005-0000-0000-0000B0610000}"/>
    <cellStyle name="Comma 3 2 2 3 5 2 2 2" xfId="43083" xr:uid="{00000000-0005-0000-0000-0000B1610000}"/>
    <cellStyle name="Comma 3 2 2 3 5 2 3" xfId="47979" xr:uid="{00000000-0005-0000-0000-0000B2610000}"/>
    <cellStyle name="Comma 3 2 2 3 5 2 4" xfId="27149" xr:uid="{00000000-0005-0000-0000-0000B3610000}"/>
    <cellStyle name="Comma 3 2 2 3 5 3" xfId="6318" xr:uid="{00000000-0005-0000-0000-0000B4610000}"/>
    <cellStyle name="Comma 3 2 2 3 5 3 2" xfId="29597" xr:uid="{00000000-0005-0000-0000-0000B5610000}"/>
    <cellStyle name="Comma 3 2 2 3 5 4" xfId="8766" xr:uid="{00000000-0005-0000-0000-0000B6610000}"/>
    <cellStyle name="Comma 3 2 2 3 5 4 2" xfId="32045" xr:uid="{00000000-0005-0000-0000-0000B7610000}"/>
    <cellStyle name="Comma 3 2 2 3 5 5" xfId="11214" xr:uid="{00000000-0005-0000-0000-0000B8610000}"/>
    <cellStyle name="Comma 3 2 2 3 5 5 2" xfId="34493" xr:uid="{00000000-0005-0000-0000-0000B9610000}"/>
    <cellStyle name="Comma 3 2 2 3 5 6" xfId="13662" xr:uid="{00000000-0005-0000-0000-0000BA610000}"/>
    <cellStyle name="Comma 3 2 2 3 5 6 2" xfId="36941" xr:uid="{00000000-0005-0000-0000-0000BB610000}"/>
    <cellStyle name="Comma 3 2 2 3 5 7" xfId="17357" xr:uid="{00000000-0005-0000-0000-0000BC610000}"/>
    <cellStyle name="Comma 3 2 2 3 5 7 2" xfId="40635" xr:uid="{00000000-0005-0000-0000-0000BD610000}"/>
    <cellStyle name="Comma 3 2 2 3 5 8" xfId="24701" xr:uid="{00000000-0005-0000-0000-0000BE610000}"/>
    <cellStyle name="Comma 3 2 2 3 5 9" xfId="45531" xr:uid="{00000000-0005-0000-0000-0000BF610000}"/>
    <cellStyle name="Comma 3 2 2 3 6" xfId="2646" xr:uid="{00000000-0005-0000-0000-0000C0610000}"/>
    <cellStyle name="Comma 3 2 2 3 6 2" xfId="16133" xr:uid="{00000000-0005-0000-0000-0000C1610000}"/>
    <cellStyle name="Comma 3 2 2 3 6 2 2" xfId="39411" xr:uid="{00000000-0005-0000-0000-0000C2610000}"/>
    <cellStyle name="Comma 3 2 2 3 6 3" xfId="46755" xr:uid="{00000000-0005-0000-0000-0000C3610000}"/>
    <cellStyle name="Comma 3 2 2 3 6 4" xfId="25925" xr:uid="{00000000-0005-0000-0000-0000C4610000}"/>
    <cellStyle name="Comma 3 2 2 3 7" xfId="5094" xr:uid="{00000000-0005-0000-0000-0000C5610000}"/>
    <cellStyle name="Comma 3 2 2 3 7 2" xfId="18581" xr:uid="{00000000-0005-0000-0000-0000C6610000}"/>
    <cellStyle name="Comma 3 2 2 3 7 2 2" xfId="41859" xr:uid="{00000000-0005-0000-0000-0000C7610000}"/>
    <cellStyle name="Comma 3 2 2 3 7 3" xfId="28373" xr:uid="{00000000-0005-0000-0000-0000C8610000}"/>
    <cellStyle name="Comma 3 2 2 3 8" xfId="7542" xr:uid="{00000000-0005-0000-0000-0000C9610000}"/>
    <cellStyle name="Comma 3 2 2 3 8 2" xfId="30821" xr:uid="{00000000-0005-0000-0000-0000CA610000}"/>
    <cellStyle name="Comma 3 2 2 3 9" xfId="9990" xr:uid="{00000000-0005-0000-0000-0000CB610000}"/>
    <cellStyle name="Comma 3 2 2 3 9 2" xfId="33269" xr:uid="{00000000-0005-0000-0000-0000CC610000}"/>
    <cellStyle name="Comma 3 2 2 4" xfId="266" xr:uid="{00000000-0005-0000-0000-0000CD610000}"/>
    <cellStyle name="Comma 3 2 2 4 10" xfId="23545" xr:uid="{00000000-0005-0000-0000-0000CE610000}"/>
    <cellStyle name="Comma 3 2 2 4 11" xfId="44375" xr:uid="{00000000-0005-0000-0000-0000CF610000}"/>
    <cellStyle name="Comma 3 2 2 4 12" xfId="21097" xr:uid="{00000000-0005-0000-0000-0000D0610000}"/>
    <cellStyle name="Comma 3 2 2 4 2" xfId="878" xr:uid="{00000000-0005-0000-0000-0000D1610000}"/>
    <cellStyle name="Comma 3 2 2 4 2 10" xfId="44987" xr:uid="{00000000-0005-0000-0000-0000D2610000}"/>
    <cellStyle name="Comma 3 2 2 4 2 11" xfId="21709" xr:uid="{00000000-0005-0000-0000-0000D3610000}"/>
    <cellStyle name="Comma 3 2 2 4 2 2" xfId="2102" xr:uid="{00000000-0005-0000-0000-0000D4610000}"/>
    <cellStyle name="Comma 3 2 2 4 2 2 10" xfId="22933" xr:uid="{00000000-0005-0000-0000-0000D5610000}"/>
    <cellStyle name="Comma 3 2 2 4 2 2 2" xfId="4550" xr:uid="{00000000-0005-0000-0000-0000D6610000}"/>
    <cellStyle name="Comma 3 2 2 4 2 2 2 2" xfId="20485" xr:uid="{00000000-0005-0000-0000-0000D7610000}"/>
    <cellStyle name="Comma 3 2 2 4 2 2 2 2 2" xfId="43763" xr:uid="{00000000-0005-0000-0000-0000D8610000}"/>
    <cellStyle name="Comma 3 2 2 4 2 2 2 3" xfId="48659" xr:uid="{00000000-0005-0000-0000-0000D9610000}"/>
    <cellStyle name="Comma 3 2 2 4 2 2 2 4" xfId="27829" xr:uid="{00000000-0005-0000-0000-0000DA610000}"/>
    <cellStyle name="Comma 3 2 2 4 2 2 3" xfId="6998" xr:uid="{00000000-0005-0000-0000-0000DB610000}"/>
    <cellStyle name="Comma 3 2 2 4 2 2 3 2" xfId="30277" xr:uid="{00000000-0005-0000-0000-0000DC610000}"/>
    <cellStyle name="Comma 3 2 2 4 2 2 4" xfId="9446" xr:uid="{00000000-0005-0000-0000-0000DD610000}"/>
    <cellStyle name="Comma 3 2 2 4 2 2 4 2" xfId="32725" xr:uid="{00000000-0005-0000-0000-0000DE610000}"/>
    <cellStyle name="Comma 3 2 2 4 2 2 5" xfId="11894" xr:uid="{00000000-0005-0000-0000-0000DF610000}"/>
    <cellStyle name="Comma 3 2 2 4 2 2 5 2" xfId="35173" xr:uid="{00000000-0005-0000-0000-0000E0610000}"/>
    <cellStyle name="Comma 3 2 2 4 2 2 6" xfId="14342" xr:uid="{00000000-0005-0000-0000-0000E1610000}"/>
    <cellStyle name="Comma 3 2 2 4 2 2 6 2" xfId="37621" xr:uid="{00000000-0005-0000-0000-0000E2610000}"/>
    <cellStyle name="Comma 3 2 2 4 2 2 7" xfId="18037" xr:uid="{00000000-0005-0000-0000-0000E3610000}"/>
    <cellStyle name="Comma 3 2 2 4 2 2 7 2" xfId="41315" xr:uid="{00000000-0005-0000-0000-0000E4610000}"/>
    <cellStyle name="Comma 3 2 2 4 2 2 8" xfId="25381" xr:uid="{00000000-0005-0000-0000-0000E5610000}"/>
    <cellStyle name="Comma 3 2 2 4 2 2 9" xfId="46211" xr:uid="{00000000-0005-0000-0000-0000E6610000}"/>
    <cellStyle name="Comma 3 2 2 4 2 3" xfId="3326" xr:uid="{00000000-0005-0000-0000-0000E7610000}"/>
    <cellStyle name="Comma 3 2 2 4 2 3 2" xfId="16813" xr:uid="{00000000-0005-0000-0000-0000E8610000}"/>
    <cellStyle name="Comma 3 2 2 4 2 3 2 2" xfId="40091" xr:uid="{00000000-0005-0000-0000-0000E9610000}"/>
    <cellStyle name="Comma 3 2 2 4 2 3 3" xfId="47435" xr:uid="{00000000-0005-0000-0000-0000EA610000}"/>
    <cellStyle name="Comma 3 2 2 4 2 3 4" xfId="26605" xr:uid="{00000000-0005-0000-0000-0000EB610000}"/>
    <cellStyle name="Comma 3 2 2 4 2 4" xfId="5774" xr:uid="{00000000-0005-0000-0000-0000EC610000}"/>
    <cellStyle name="Comma 3 2 2 4 2 4 2" xfId="19261" xr:uid="{00000000-0005-0000-0000-0000ED610000}"/>
    <cellStyle name="Comma 3 2 2 4 2 4 2 2" xfId="42539" xr:uid="{00000000-0005-0000-0000-0000EE610000}"/>
    <cellStyle name="Comma 3 2 2 4 2 4 3" xfId="29053" xr:uid="{00000000-0005-0000-0000-0000EF610000}"/>
    <cellStyle name="Comma 3 2 2 4 2 5" xfId="8222" xr:uid="{00000000-0005-0000-0000-0000F0610000}"/>
    <cellStyle name="Comma 3 2 2 4 2 5 2" xfId="31501" xr:uid="{00000000-0005-0000-0000-0000F1610000}"/>
    <cellStyle name="Comma 3 2 2 4 2 6" xfId="10670" xr:uid="{00000000-0005-0000-0000-0000F2610000}"/>
    <cellStyle name="Comma 3 2 2 4 2 6 2" xfId="33949" xr:uid="{00000000-0005-0000-0000-0000F3610000}"/>
    <cellStyle name="Comma 3 2 2 4 2 7" xfId="13118" xr:uid="{00000000-0005-0000-0000-0000F4610000}"/>
    <cellStyle name="Comma 3 2 2 4 2 7 2" xfId="36397" xr:uid="{00000000-0005-0000-0000-0000F5610000}"/>
    <cellStyle name="Comma 3 2 2 4 2 8" xfId="15589" xr:uid="{00000000-0005-0000-0000-0000F6610000}"/>
    <cellStyle name="Comma 3 2 2 4 2 8 2" xfId="38867" xr:uid="{00000000-0005-0000-0000-0000F7610000}"/>
    <cellStyle name="Comma 3 2 2 4 2 9" xfId="24157" xr:uid="{00000000-0005-0000-0000-0000F8610000}"/>
    <cellStyle name="Comma 3 2 2 4 3" xfId="1490" xr:uid="{00000000-0005-0000-0000-0000F9610000}"/>
    <cellStyle name="Comma 3 2 2 4 3 10" xfId="22321" xr:uid="{00000000-0005-0000-0000-0000FA610000}"/>
    <cellStyle name="Comma 3 2 2 4 3 2" xfId="3938" xr:uid="{00000000-0005-0000-0000-0000FB610000}"/>
    <cellStyle name="Comma 3 2 2 4 3 2 2" xfId="19873" xr:uid="{00000000-0005-0000-0000-0000FC610000}"/>
    <cellStyle name="Comma 3 2 2 4 3 2 2 2" xfId="43151" xr:uid="{00000000-0005-0000-0000-0000FD610000}"/>
    <cellStyle name="Comma 3 2 2 4 3 2 3" xfId="48047" xr:uid="{00000000-0005-0000-0000-0000FE610000}"/>
    <cellStyle name="Comma 3 2 2 4 3 2 4" xfId="27217" xr:uid="{00000000-0005-0000-0000-0000FF610000}"/>
    <cellStyle name="Comma 3 2 2 4 3 3" xfId="6386" xr:uid="{00000000-0005-0000-0000-000000620000}"/>
    <cellStyle name="Comma 3 2 2 4 3 3 2" xfId="29665" xr:uid="{00000000-0005-0000-0000-000001620000}"/>
    <cellStyle name="Comma 3 2 2 4 3 4" xfId="8834" xr:uid="{00000000-0005-0000-0000-000002620000}"/>
    <cellStyle name="Comma 3 2 2 4 3 4 2" xfId="32113" xr:uid="{00000000-0005-0000-0000-000003620000}"/>
    <cellStyle name="Comma 3 2 2 4 3 5" xfId="11282" xr:uid="{00000000-0005-0000-0000-000004620000}"/>
    <cellStyle name="Comma 3 2 2 4 3 5 2" xfId="34561" xr:uid="{00000000-0005-0000-0000-000005620000}"/>
    <cellStyle name="Comma 3 2 2 4 3 6" xfId="13730" xr:uid="{00000000-0005-0000-0000-000006620000}"/>
    <cellStyle name="Comma 3 2 2 4 3 6 2" xfId="37009" xr:uid="{00000000-0005-0000-0000-000007620000}"/>
    <cellStyle name="Comma 3 2 2 4 3 7" xfId="17425" xr:uid="{00000000-0005-0000-0000-000008620000}"/>
    <cellStyle name="Comma 3 2 2 4 3 7 2" xfId="40703" xr:uid="{00000000-0005-0000-0000-000009620000}"/>
    <cellStyle name="Comma 3 2 2 4 3 8" xfId="24769" xr:uid="{00000000-0005-0000-0000-00000A620000}"/>
    <cellStyle name="Comma 3 2 2 4 3 9" xfId="45599" xr:uid="{00000000-0005-0000-0000-00000B620000}"/>
    <cellStyle name="Comma 3 2 2 4 4" xfId="2714" xr:uid="{00000000-0005-0000-0000-00000C620000}"/>
    <cellStyle name="Comma 3 2 2 4 4 2" xfId="16201" xr:uid="{00000000-0005-0000-0000-00000D620000}"/>
    <cellStyle name="Comma 3 2 2 4 4 2 2" xfId="39479" xr:uid="{00000000-0005-0000-0000-00000E620000}"/>
    <cellStyle name="Comma 3 2 2 4 4 3" xfId="46823" xr:uid="{00000000-0005-0000-0000-00000F620000}"/>
    <cellStyle name="Comma 3 2 2 4 4 4" xfId="25993" xr:uid="{00000000-0005-0000-0000-000010620000}"/>
    <cellStyle name="Comma 3 2 2 4 5" xfId="5162" xr:uid="{00000000-0005-0000-0000-000011620000}"/>
    <cellStyle name="Comma 3 2 2 4 5 2" xfId="18649" xr:uid="{00000000-0005-0000-0000-000012620000}"/>
    <cellStyle name="Comma 3 2 2 4 5 2 2" xfId="41927" xr:uid="{00000000-0005-0000-0000-000013620000}"/>
    <cellStyle name="Comma 3 2 2 4 5 3" xfId="28441" xr:uid="{00000000-0005-0000-0000-000014620000}"/>
    <cellStyle name="Comma 3 2 2 4 6" xfId="7610" xr:uid="{00000000-0005-0000-0000-000015620000}"/>
    <cellStyle name="Comma 3 2 2 4 6 2" xfId="30889" xr:uid="{00000000-0005-0000-0000-000016620000}"/>
    <cellStyle name="Comma 3 2 2 4 7" xfId="10058" xr:uid="{00000000-0005-0000-0000-000017620000}"/>
    <cellStyle name="Comma 3 2 2 4 7 2" xfId="33337" xr:uid="{00000000-0005-0000-0000-000018620000}"/>
    <cellStyle name="Comma 3 2 2 4 8" xfId="12506" xr:uid="{00000000-0005-0000-0000-000019620000}"/>
    <cellStyle name="Comma 3 2 2 4 8 2" xfId="35785" xr:uid="{00000000-0005-0000-0000-00001A620000}"/>
    <cellStyle name="Comma 3 2 2 4 9" xfId="14977" xr:uid="{00000000-0005-0000-0000-00001B620000}"/>
    <cellStyle name="Comma 3 2 2 4 9 2" xfId="38255" xr:uid="{00000000-0005-0000-0000-00001C620000}"/>
    <cellStyle name="Comma 3 2 2 5" xfId="470" xr:uid="{00000000-0005-0000-0000-00001D620000}"/>
    <cellStyle name="Comma 3 2 2 5 10" xfId="23749" xr:uid="{00000000-0005-0000-0000-00001E620000}"/>
    <cellStyle name="Comma 3 2 2 5 11" xfId="44579" xr:uid="{00000000-0005-0000-0000-00001F620000}"/>
    <cellStyle name="Comma 3 2 2 5 12" xfId="21301" xr:uid="{00000000-0005-0000-0000-000020620000}"/>
    <cellStyle name="Comma 3 2 2 5 2" xfId="1082" xr:uid="{00000000-0005-0000-0000-000021620000}"/>
    <cellStyle name="Comma 3 2 2 5 2 10" xfId="45191" xr:uid="{00000000-0005-0000-0000-000022620000}"/>
    <cellStyle name="Comma 3 2 2 5 2 11" xfId="21913" xr:uid="{00000000-0005-0000-0000-000023620000}"/>
    <cellStyle name="Comma 3 2 2 5 2 2" xfId="2306" xr:uid="{00000000-0005-0000-0000-000024620000}"/>
    <cellStyle name="Comma 3 2 2 5 2 2 10" xfId="23137" xr:uid="{00000000-0005-0000-0000-000025620000}"/>
    <cellStyle name="Comma 3 2 2 5 2 2 2" xfId="4754" xr:uid="{00000000-0005-0000-0000-000026620000}"/>
    <cellStyle name="Comma 3 2 2 5 2 2 2 2" xfId="20689" xr:uid="{00000000-0005-0000-0000-000027620000}"/>
    <cellStyle name="Comma 3 2 2 5 2 2 2 2 2" xfId="43967" xr:uid="{00000000-0005-0000-0000-000028620000}"/>
    <cellStyle name="Comma 3 2 2 5 2 2 2 3" xfId="48863" xr:uid="{00000000-0005-0000-0000-000029620000}"/>
    <cellStyle name="Comma 3 2 2 5 2 2 2 4" xfId="28033" xr:uid="{00000000-0005-0000-0000-00002A620000}"/>
    <cellStyle name="Comma 3 2 2 5 2 2 3" xfId="7202" xr:uid="{00000000-0005-0000-0000-00002B620000}"/>
    <cellStyle name="Comma 3 2 2 5 2 2 3 2" xfId="30481" xr:uid="{00000000-0005-0000-0000-00002C620000}"/>
    <cellStyle name="Comma 3 2 2 5 2 2 4" xfId="9650" xr:uid="{00000000-0005-0000-0000-00002D620000}"/>
    <cellStyle name="Comma 3 2 2 5 2 2 4 2" xfId="32929" xr:uid="{00000000-0005-0000-0000-00002E620000}"/>
    <cellStyle name="Comma 3 2 2 5 2 2 5" xfId="12098" xr:uid="{00000000-0005-0000-0000-00002F620000}"/>
    <cellStyle name="Comma 3 2 2 5 2 2 5 2" xfId="35377" xr:uid="{00000000-0005-0000-0000-000030620000}"/>
    <cellStyle name="Comma 3 2 2 5 2 2 6" xfId="14546" xr:uid="{00000000-0005-0000-0000-000031620000}"/>
    <cellStyle name="Comma 3 2 2 5 2 2 6 2" xfId="37825" xr:uid="{00000000-0005-0000-0000-000032620000}"/>
    <cellStyle name="Comma 3 2 2 5 2 2 7" xfId="18241" xr:uid="{00000000-0005-0000-0000-000033620000}"/>
    <cellStyle name="Comma 3 2 2 5 2 2 7 2" xfId="41519" xr:uid="{00000000-0005-0000-0000-000034620000}"/>
    <cellStyle name="Comma 3 2 2 5 2 2 8" xfId="25585" xr:uid="{00000000-0005-0000-0000-000035620000}"/>
    <cellStyle name="Comma 3 2 2 5 2 2 9" xfId="46415" xr:uid="{00000000-0005-0000-0000-000036620000}"/>
    <cellStyle name="Comma 3 2 2 5 2 3" xfId="3530" xr:uid="{00000000-0005-0000-0000-000037620000}"/>
    <cellStyle name="Comma 3 2 2 5 2 3 2" xfId="17017" xr:uid="{00000000-0005-0000-0000-000038620000}"/>
    <cellStyle name="Comma 3 2 2 5 2 3 2 2" xfId="40295" xr:uid="{00000000-0005-0000-0000-000039620000}"/>
    <cellStyle name="Comma 3 2 2 5 2 3 3" xfId="47639" xr:uid="{00000000-0005-0000-0000-00003A620000}"/>
    <cellStyle name="Comma 3 2 2 5 2 3 4" xfId="26809" xr:uid="{00000000-0005-0000-0000-00003B620000}"/>
    <cellStyle name="Comma 3 2 2 5 2 4" xfId="5978" xr:uid="{00000000-0005-0000-0000-00003C620000}"/>
    <cellStyle name="Comma 3 2 2 5 2 4 2" xfId="19465" xr:uid="{00000000-0005-0000-0000-00003D620000}"/>
    <cellStyle name="Comma 3 2 2 5 2 4 2 2" xfId="42743" xr:uid="{00000000-0005-0000-0000-00003E620000}"/>
    <cellStyle name="Comma 3 2 2 5 2 4 3" xfId="29257" xr:uid="{00000000-0005-0000-0000-00003F620000}"/>
    <cellStyle name="Comma 3 2 2 5 2 5" xfId="8426" xr:uid="{00000000-0005-0000-0000-000040620000}"/>
    <cellStyle name="Comma 3 2 2 5 2 5 2" xfId="31705" xr:uid="{00000000-0005-0000-0000-000041620000}"/>
    <cellStyle name="Comma 3 2 2 5 2 6" xfId="10874" xr:uid="{00000000-0005-0000-0000-000042620000}"/>
    <cellStyle name="Comma 3 2 2 5 2 6 2" xfId="34153" xr:uid="{00000000-0005-0000-0000-000043620000}"/>
    <cellStyle name="Comma 3 2 2 5 2 7" xfId="13322" xr:uid="{00000000-0005-0000-0000-000044620000}"/>
    <cellStyle name="Comma 3 2 2 5 2 7 2" xfId="36601" xr:uid="{00000000-0005-0000-0000-000045620000}"/>
    <cellStyle name="Comma 3 2 2 5 2 8" xfId="15793" xr:uid="{00000000-0005-0000-0000-000046620000}"/>
    <cellStyle name="Comma 3 2 2 5 2 8 2" xfId="39071" xr:uid="{00000000-0005-0000-0000-000047620000}"/>
    <cellStyle name="Comma 3 2 2 5 2 9" xfId="24361" xr:uid="{00000000-0005-0000-0000-000048620000}"/>
    <cellStyle name="Comma 3 2 2 5 3" xfId="1694" xr:uid="{00000000-0005-0000-0000-000049620000}"/>
    <cellStyle name="Comma 3 2 2 5 3 10" xfId="22525" xr:uid="{00000000-0005-0000-0000-00004A620000}"/>
    <cellStyle name="Comma 3 2 2 5 3 2" xfId="4142" xr:uid="{00000000-0005-0000-0000-00004B620000}"/>
    <cellStyle name="Comma 3 2 2 5 3 2 2" xfId="20077" xr:uid="{00000000-0005-0000-0000-00004C620000}"/>
    <cellStyle name="Comma 3 2 2 5 3 2 2 2" xfId="43355" xr:uid="{00000000-0005-0000-0000-00004D620000}"/>
    <cellStyle name="Comma 3 2 2 5 3 2 3" xfId="48251" xr:uid="{00000000-0005-0000-0000-00004E620000}"/>
    <cellStyle name="Comma 3 2 2 5 3 2 4" xfId="27421" xr:uid="{00000000-0005-0000-0000-00004F620000}"/>
    <cellStyle name="Comma 3 2 2 5 3 3" xfId="6590" xr:uid="{00000000-0005-0000-0000-000050620000}"/>
    <cellStyle name="Comma 3 2 2 5 3 3 2" xfId="29869" xr:uid="{00000000-0005-0000-0000-000051620000}"/>
    <cellStyle name="Comma 3 2 2 5 3 4" xfId="9038" xr:uid="{00000000-0005-0000-0000-000052620000}"/>
    <cellStyle name="Comma 3 2 2 5 3 4 2" xfId="32317" xr:uid="{00000000-0005-0000-0000-000053620000}"/>
    <cellStyle name="Comma 3 2 2 5 3 5" xfId="11486" xr:uid="{00000000-0005-0000-0000-000054620000}"/>
    <cellStyle name="Comma 3 2 2 5 3 5 2" xfId="34765" xr:uid="{00000000-0005-0000-0000-000055620000}"/>
    <cellStyle name="Comma 3 2 2 5 3 6" xfId="13934" xr:uid="{00000000-0005-0000-0000-000056620000}"/>
    <cellStyle name="Comma 3 2 2 5 3 6 2" xfId="37213" xr:uid="{00000000-0005-0000-0000-000057620000}"/>
    <cellStyle name="Comma 3 2 2 5 3 7" xfId="17629" xr:uid="{00000000-0005-0000-0000-000058620000}"/>
    <cellStyle name="Comma 3 2 2 5 3 7 2" xfId="40907" xr:uid="{00000000-0005-0000-0000-000059620000}"/>
    <cellStyle name="Comma 3 2 2 5 3 8" xfId="24973" xr:uid="{00000000-0005-0000-0000-00005A620000}"/>
    <cellStyle name="Comma 3 2 2 5 3 9" xfId="45803" xr:uid="{00000000-0005-0000-0000-00005B620000}"/>
    <cellStyle name="Comma 3 2 2 5 4" xfId="2918" xr:uid="{00000000-0005-0000-0000-00005C620000}"/>
    <cellStyle name="Comma 3 2 2 5 4 2" xfId="16405" xr:uid="{00000000-0005-0000-0000-00005D620000}"/>
    <cellStyle name="Comma 3 2 2 5 4 2 2" xfId="39683" xr:uid="{00000000-0005-0000-0000-00005E620000}"/>
    <cellStyle name="Comma 3 2 2 5 4 3" xfId="47027" xr:uid="{00000000-0005-0000-0000-00005F620000}"/>
    <cellStyle name="Comma 3 2 2 5 4 4" xfId="26197" xr:uid="{00000000-0005-0000-0000-000060620000}"/>
    <cellStyle name="Comma 3 2 2 5 5" xfId="5366" xr:uid="{00000000-0005-0000-0000-000061620000}"/>
    <cellStyle name="Comma 3 2 2 5 5 2" xfId="18853" xr:uid="{00000000-0005-0000-0000-000062620000}"/>
    <cellStyle name="Comma 3 2 2 5 5 2 2" xfId="42131" xr:uid="{00000000-0005-0000-0000-000063620000}"/>
    <cellStyle name="Comma 3 2 2 5 5 3" xfId="28645" xr:uid="{00000000-0005-0000-0000-000064620000}"/>
    <cellStyle name="Comma 3 2 2 5 6" xfId="7814" xr:uid="{00000000-0005-0000-0000-000065620000}"/>
    <cellStyle name="Comma 3 2 2 5 6 2" xfId="31093" xr:uid="{00000000-0005-0000-0000-000066620000}"/>
    <cellStyle name="Comma 3 2 2 5 7" xfId="10262" xr:uid="{00000000-0005-0000-0000-000067620000}"/>
    <cellStyle name="Comma 3 2 2 5 7 2" xfId="33541" xr:uid="{00000000-0005-0000-0000-000068620000}"/>
    <cellStyle name="Comma 3 2 2 5 8" xfId="12710" xr:uid="{00000000-0005-0000-0000-000069620000}"/>
    <cellStyle name="Comma 3 2 2 5 8 2" xfId="35989" xr:uid="{00000000-0005-0000-0000-00006A620000}"/>
    <cellStyle name="Comma 3 2 2 5 9" xfId="15181" xr:uid="{00000000-0005-0000-0000-00006B620000}"/>
    <cellStyle name="Comma 3 2 2 5 9 2" xfId="38459" xr:uid="{00000000-0005-0000-0000-00006C620000}"/>
    <cellStyle name="Comma 3 2 2 6" xfId="674" xr:uid="{00000000-0005-0000-0000-00006D620000}"/>
    <cellStyle name="Comma 3 2 2 6 10" xfId="44783" xr:uid="{00000000-0005-0000-0000-00006E620000}"/>
    <cellStyle name="Comma 3 2 2 6 11" xfId="21505" xr:uid="{00000000-0005-0000-0000-00006F620000}"/>
    <cellStyle name="Comma 3 2 2 6 2" xfId="1898" xr:uid="{00000000-0005-0000-0000-000070620000}"/>
    <cellStyle name="Comma 3 2 2 6 2 10" xfId="22729" xr:uid="{00000000-0005-0000-0000-000071620000}"/>
    <cellStyle name="Comma 3 2 2 6 2 2" xfId="4346" xr:uid="{00000000-0005-0000-0000-000072620000}"/>
    <cellStyle name="Comma 3 2 2 6 2 2 2" xfId="20281" xr:uid="{00000000-0005-0000-0000-000073620000}"/>
    <cellStyle name="Comma 3 2 2 6 2 2 2 2" xfId="43559" xr:uid="{00000000-0005-0000-0000-000074620000}"/>
    <cellStyle name="Comma 3 2 2 6 2 2 3" xfId="48455" xr:uid="{00000000-0005-0000-0000-000075620000}"/>
    <cellStyle name="Comma 3 2 2 6 2 2 4" xfId="27625" xr:uid="{00000000-0005-0000-0000-000076620000}"/>
    <cellStyle name="Comma 3 2 2 6 2 3" xfId="6794" xr:uid="{00000000-0005-0000-0000-000077620000}"/>
    <cellStyle name="Comma 3 2 2 6 2 3 2" xfId="30073" xr:uid="{00000000-0005-0000-0000-000078620000}"/>
    <cellStyle name="Comma 3 2 2 6 2 4" xfId="9242" xr:uid="{00000000-0005-0000-0000-000079620000}"/>
    <cellStyle name="Comma 3 2 2 6 2 4 2" xfId="32521" xr:uid="{00000000-0005-0000-0000-00007A620000}"/>
    <cellStyle name="Comma 3 2 2 6 2 5" xfId="11690" xr:uid="{00000000-0005-0000-0000-00007B620000}"/>
    <cellStyle name="Comma 3 2 2 6 2 5 2" xfId="34969" xr:uid="{00000000-0005-0000-0000-00007C620000}"/>
    <cellStyle name="Comma 3 2 2 6 2 6" xfId="14138" xr:uid="{00000000-0005-0000-0000-00007D620000}"/>
    <cellStyle name="Comma 3 2 2 6 2 6 2" xfId="37417" xr:uid="{00000000-0005-0000-0000-00007E620000}"/>
    <cellStyle name="Comma 3 2 2 6 2 7" xfId="17833" xr:uid="{00000000-0005-0000-0000-00007F620000}"/>
    <cellStyle name="Comma 3 2 2 6 2 7 2" xfId="41111" xr:uid="{00000000-0005-0000-0000-000080620000}"/>
    <cellStyle name="Comma 3 2 2 6 2 8" xfId="25177" xr:uid="{00000000-0005-0000-0000-000081620000}"/>
    <cellStyle name="Comma 3 2 2 6 2 9" xfId="46007" xr:uid="{00000000-0005-0000-0000-000082620000}"/>
    <cellStyle name="Comma 3 2 2 6 3" xfId="3122" xr:uid="{00000000-0005-0000-0000-000083620000}"/>
    <cellStyle name="Comma 3 2 2 6 3 2" xfId="16609" xr:uid="{00000000-0005-0000-0000-000084620000}"/>
    <cellStyle name="Comma 3 2 2 6 3 2 2" xfId="39887" xr:uid="{00000000-0005-0000-0000-000085620000}"/>
    <cellStyle name="Comma 3 2 2 6 3 3" xfId="47231" xr:uid="{00000000-0005-0000-0000-000086620000}"/>
    <cellStyle name="Comma 3 2 2 6 3 4" xfId="26401" xr:uid="{00000000-0005-0000-0000-000087620000}"/>
    <cellStyle name="Comma 3 2 2 6 4" xfId="5570" xr:uid="{00000000-0005-0000-0000-000088620000}"/>
    <cellStyle name="Comma 3 2 2 6 4 2" xfId="19057" xr:uid="{00000000-0005-0000-0000-000089620000}"/>
    <cellStyle name="Comma 3 2 2 6 4 2 2" xfId="42335" xr:uid="{00000000-0005-0000-0000-00008A620000}"/>
    <cellStyle name="Comma 3 2 2 6 4 3" xfId="28849" xr:uid="{00000000-0005-0000-0000-00008B620000}"/>
    <cellStyle name="Comma 3 2 2 6 5" xfId="8018" xr:uid="{00000000-0005-0000-0000-00008C620000}"/>
    <cellStyle name="Comma 3 2 2 6 5 2" xfId="31297" xr:uid="{00000000-0005-0000-0000-00008D620000}"/>
    <cellStyle name="Comma 3 2 2 6 6" xfId="10466" xr:uid="{00000000-0005-0000-0000-00008E620000}"/>
    <cellStyle name="Comma 3 2 2 6 6 2" xfId="33745" xr:uid="{00000000-0005-0000-0000-00008F620000}"/>
    <cellStyle name="Comma 3 2 2 6 7" xfId="12914" xr:uid="{00000000-0005-0000-0000-000090620000}"/>
    <cellStyle name="Comma 3 2 2 6 7 2" xfId="36193" xr:uid="{00000000-0005-0000-0000-000091620000}"/>
    <cellStyle name="Comma 3 2 2 6 8" xfId="15385" xr:uid="{00000000-0005-0000-0000-000092620000}"/>
    <cellStyle name="Comma 3 2 2 6 8 2" xfId="38663" xr:uid="{00000000-0005-0000-0000-000093620000}"/>
    <cellStyle name="Comma 3 2 2 6 9" xfId="23953" xr:uid="{00000000-0005-0000-0000-000094620000}"/>
    <cellStyle name="Comma 3 2 2 7" xfId="1286" xr:uid="{00000000-0005-0000-0000-000095620000}"/>
    <cellStyle name="Comma 3 2 2 7 10" xfId="22117" xr:uid="{00000000-0005-0000-0000-000096620000}"/>
    <cellStyle name="Comma 3 2 2 7 2" xfId="3734" xr:uid="{00000000-0005-0000-0000-000097620000}"/>
    <cellStyle name="Comma 3 2 2 7 2 2" xfId="19669" xr:uid="{00000000-0005-0000-0000-000098620000}"/>
    <cellStyle name="Comma 3 2 2 7 2 2 2" xfId="42947" xr:uid="{00000000-0005-0000-0000-000099620000}"/>
    <cellStyle name="Comma 3 2 2 7 2 3" xfId="47843" xr:uid="{00000000-0005-0000-0000-00009A620000}"/>
    <cellStyle name="Comma 3 2 2 7 2 4" xfId="27013" xr:uid="{00000000-0005-0000-0000-00009B620000}"/>
    <cellStyle name="Comma 3 2 2 7 3" xfId="6182" xr:uid="{00000000-0005-0000-0000-00009C620000}"/>
    <cellStyle name="Comma 3 2 2 7 3 2" xfId="29461" xr:uid="{00000000-0005-0000-0000-00009D620000}"/>
    <cellStyle name="Comma 3 2 2 7 4" xfId="8630" xr:uid="{00000000-0005-0000-0000-00009E620000}"/>
    <cellStyle name="Comma 3 2 2 7 4 2" xfId="31909" xr:uid="{00000000-0005-0000-0000-00009F620000}"/>
    <cellStyle name="Comma 3 2 2 7 5" xfId="11078" xr:uid="{00000000-0005-0000-0000-0000A0620000}"/>
    <cellStyle name="Comma 3 2 2 7 5 2" xfId="34357" xr:uid="{00000000-0005-0000-0000-0000A1620000}"/>
    <cellStyle name="Comma 3 2 2 7 6" xfId="13526" xr:uid="{00000000-0005-0000-0000-0000A2620000}"/>
    <cellStyle name="Comma 3 2 2 7 6 2" xfId="36805" xr:uid="{00000000-0005-0000-0000-0000A3620000}"/>
    <cellStyle name="Comma 3 2 2 7 7" xfId="17221" xr:uid="{00000000-0005-0000-0000-0000A4620000}"/>
    <cellStyle name="Comma 3 2 2 7 7 2" xfId="40499" xr:uid="{00000000-0005-0000-0000-0000A5620000}"/>
    <cellStyle name="Comma 3 2 2 7 8" xfId="24565" xr:uid="{00000000-0005-0000-0000-0000A6620000}"/>
    <cellStyle name="Comma 3 2 2 7 9" xfId="45395" xr:uid="{00000000-0005-0000-0000-0000A7620000}"/>
    <cellStyle name="Comma 3 2 2 8" xfId="2510" xr:uid="{00000000-0005-0000-0000-0000A8620000}"/>
    <cellStyle name="Comma 3 2 2 8 2" xfId="15997" xr:uid="{00000000-0005-0000-0000-0000A9620000}"/>
    <cellStyle name="Comma 3 2 2 8 2 2" xfId="39275" xr:uid="{00000000-0005-0000-0000-0000AA620000}"/>
    <cellStyle name="Comma 3 2 2 8 3" xfId="46619" xr:uid="{00000000-0005-0000-0000-0000AB620000}"/>
    <cellStyle name="Comma 3 2 2 8 4" xfId="25789" xr:uid="{00000000-0005-0000-0000-0000AC620000}"/>
    <cellStyle name="Comma 3 2 2 9" xfId="4958" xr:uid="{00000000-0005-0000-0000-0000AD620000}"/>
    <cellStyle name="Comma 3 2 2 9 2" xfId="18445" xr:uid="{00000000-0005-0000-0000-0000AE620000}"/>
    <cellStyle name="Comma 3 2 2 9 2 2" xfId="41723" xr:uid="{00000000-0005-0000-0000-0000AF620000}"/>
    <cellStyle name="Comma 3 2 2 9 3" xfId="28237" xr:uid="{00000000-0005-0000-0000-0000B0620000}"/>
    <cellStyle name="Comma 3 2 3" xfId="79" xr:uid="{00000000-0005-0000-0000-0000B1620000}"/>
    <cellStyle name="Comma 3 2 3 10" xfId="7423" xr:uid="{00000000-0005-0000-0000-0000B2620000}"/>
    <cellStyle name="Comma 3 2 3 10 2" xfId="30702" xr:uid="{00000000-0005-0000-0000-0000B3620000}"/>
    <cellStyle name="Comma 3 2 3 11" xfId="9871" xr:uid="{00000000-0005-0000-0000-0000B4620000}"/>
    <cellStyle name="Comma 3 2 3 11 2" xfId="33150" xr:uid="{00000000-0005-0000-0000-0000B5620000}"/>
    <cellStyle name="Comma 3 2 3 12" xfId="12319" xr:uid="{00000000-0005-0000-0000-0000B6620000}"/>
    <cellStyle name="Comma 3 2 3 12 2" xfId="35598" xr:uid="{00000000-0005-0000-0000-0000B7620000}"/>
    <cellStyle name="Comma 3 2 3 13" xfId="14790" xr:uid="{00000000-0005-0000-0000-0000B8620000}"/>
    <cellStyle name="Comma 3 2 3 13 2" xfId="38068" xr:uid="{00000000-0005-0000-0000-0000B9620000}"/>
    <cellStyle name="Comma 3 2 3 14" xfId="23358" xr:uid="{00000000-0005-0000-0000-0000BA620000}"/>
    <cellStyle name="Comma 3 2 3 15" xfId="44188" xr:uid="{00000000-0005-0000-0000-0000BB620000}"/>
    <cellStyle name="Comma 3 2 3 16" xfId="20910" xr:uid="{00000000-0005-0000-0000-0000BC620000}"/>
    <cellStyle name="Comma 3 2 3 2" xfId="147" xr:uid="{00000000-0005-0000-0000-0000BD620000}"/>
    <cellStyle name="Comma 3 2 3 2 10" xfId="12387" xr:uid="{00000000-0005-0000-0000-0000BE620000}"/>
    <cellStyle name="Comma 3 2 3 2 10 2" xfId="35666" xr:uid="{00000000-0005-0000-0000-0000BF620000}"/>
    <cellStyle name="Comma 3 2 3 2 11" xfId="14858" xr:uid="{00000000-0005-0000-0000-0000C0620000}"/>
    <cellStyle name="Comma 3 2 3 2 11 2" xfId="38136" xr:uid="{00000000-0005-0000-0000-0000C1620000}"/>
    <cellStyle name="Comma 3 2 3 2 12" xfId="23426" xr:uid="{00000000-0005-0000-0000-0000C2620000}"/>
    <cellStyle name="Comma 3 2 3 2 13" xfId="44256" xr:uid="{00000000-0005-0000-0000-0000C3620000}"/>
    <cellStyle name="Comma 3 2 3 2 14" xfId="20978" xr:uid="{00000000-0005-0000-0000-0000C4620000}"/>
    <cellStyle name="Comma 3 2 3 2 2" xfId="351" xr:uid="{00000000-0005-0000-0000-0000C5620000}"/>
    <cellStyle name="Comma 3 2 3 2 2 10" xfId="23630" xr:uid="{00000000-0005-0000-0000-0000C6620000}"/>
    <cellStyle name="Comma 3 2 3 2 2 11" xfId="44460" xr:uid="{00000000-0005-0000-0000-0000C7620000}"/>
    <cellStyle name="Comma 3 2 3 2 2 12" xfId="21182" xr:uid="{00000000-0005-0000-0000-0000C8620000}"/>
    <cellStyle name="Comma 3 2 3 2 2 2" xfId="963" xr:uid="{00000000-0005-0000-0000-0000C9620000}"/>
    <cellStyle name="Comma 3 2 3 2 2 2 10" xfId="45072" xr:uid="{00000000-0005-0000-0000-0000CA620000}"/>
    <cellStyle name="Comma 3 2 3 2 2 2 11" xfId="21794" xr:uid="{00000000-0005-0000-0000-0000CB620000}"/>
    <cellStyle name="Comma 3 2 3 2 2 2 2" xfId="2187" xr:uid="{00000000-0005-0000-0000-0000CC620000}"/>
    <cellStyle name="Comma 3 2 3 2 2 2 2 10" xfId="23018" xr:uid="{00000000-0005-0000-0000-0000CD620000}"/>
    <cellStyle name="Comma 3 2 3 2 2 2 2 2" xfId="4635" xr:uid="{00000000-0005-0000-0000-0000CE620000}"/>
    <cellStyle name="Comma 3 2 3 2 2 2 2 2 2" xfId="20570" xr:uid="{00000000-0005-0000-0000-0000CF620000}"/>
    <cellStyle name="Comma 3 2 3 2 2 2 2 2 2 2" xfId="43848" xr:uid="{00000000-0005-0000-0000-0000D0620000}"/>
    <cellStyle name="Comma 3 2 3 2 2 2 2 2 3" xfId="48744" xr:uid="{00000000-0005-0000-0000-0000D1620000}"/>
    <cellStyle name="Comma 3 2 3 2 2 2 2 2 4" xfId="27914" xr:uid="{00000000-0005-0000-0000-0000D2620000}"/>
    <cellStyle name="Comma 3 2 3 2 2 2 2 3" xfId="7083" xr:uid="{00000000-0005-0000-0000-0000D3620000}"/>
    <cellStyle name="Comma 3 2 3 2 2 2 2 3 2" xfId="30362" xr:uid="{00000000-0005-0000-0000-0000D4620000}"/>
    <cellStyle name="Comma 3 2 3 2 2 2 2 4" xfId="9531" xr:uid="{00000000-0005-0000-0000-0000D5620000}"/>
    <cellStyle name="Comma 3 2 3 2 2 2 2 4 2" xfId="32810" xr:uid="{00000000-0005-0000-0000-0000D6620000}"/>
    <cellStyle name="Comma 3 2 3 2 2 2 2 5" xfId="11979" xr:uid="{00000000-0005-0000-0000-0000D7620000}"/>
    <cellStyle name="Comma 3 2 3 2 2 2 2 5 2" xfId="35258" xr:uid="{00000000-0005-0000-0000-0000D8620000}"/>
    <cellStyle name="Comma 3 2 3 2 2 2 2 6" xfId="14427" xr:uid="{00000000-0005-0000-0000-0000D9620000}"/>
    <cellStyle name="Comma 3 2 3 2 2 2 2 6 2" xfId="37706" xr:uid="{00000000-0005-0000-0000-0000DA620000}"/>
    <cellStyle name="Comma 3 2 3 2 2 2 2 7" xfId="18122" xr:uid="{00000000-0005-0000-0000-0000DB620000}"/>
    <cellStyle name="Comma 3 2 3 2 2 2 2 7 2" xfId="41400" xr:uid="{00000000-0005-0000-0000-0000DC620000}"/>
    <cellStyle name="Comma 3 2 3 2 2 2 2 8" xfId="25466" xr:uid="{00000000-0005-0000-0000-0000DD620000}"/>
    <cellStyle name="Comma 3 2 3 2 2 2 2 9" xfId="46296" xr:uid="{00000000-0005-0000-0000-0000DE620000}"/>
    <cellStyle name="Comma 3 2 3 2 2 2 3" xfId="3411" xr:uid="{00000000-0005-0000-0000-0000DF620000}"/>
    <cellStyle name="Comma 3 2 3 2 2 2 3 2" xfId="16898" xr:uid="{00000000-0005-0000-0000-0000E0620000}"/>
    <cellStyle name="Comma 3 2 3 2 2 2 3 2 2" xfId="40176" xr:uid="{00000000-0005-0000-0000-0000E1620000}"/>
    <cellStyle name="Comma 3 2 3 2 2 2 3 3" xfId="47520" xr:uid="{00000000-0005-0000-0000-0000E2620000}"/>
    <cellStyle name="Comma 3 2 3 2 2 2 3 4" xfId="26690" xr:uid="{00000000-0005-0000-0000-0000E3620000}"/>
    <cellStyle name="Comma 3 2 3 2 2 2 4" xfId="5859" xr:uid="{00000000-0005-0000-0000-0000E4620000}"/>
    <cellStyle name="Comma 3 2 3 2 2 2 4 2" xfId="19346" xr:uid="{00000000-0005-0000-0000-0000E5620000}"/>
    <cellStyle name="Comma 3 2 3 2 2 2 4 2 2" xfId="42624" xr:uid="{00000000-0005-0000-0000-0000E6620000}"/>
    <cellStyle name="Comma 3 2 3 2 2 2 4 3" xfId="29138" xr:uid="{00000000-0005-0000-0000-0000E7620000}"/>
    <cellStyle name="Comma 3 2 3 2 2 2 5" xfId="8307" xr:uid="{00000000-0005-0000-0000-0000E8620000}"/>
    <cellStyle name="Comma 3 2 3 2 2 2 5 2" xfId="31586" xr:uid="{00000000-0005-0000-0000-0000E9620000}"/>
    <cellStyle name="Comma 3 2 3 2 2 2 6" xfId="10755" xr:uid="{00000000-0005-0000-0000-0000EA620000}"/>
    <cellStyle name="Comma 3 2 3 2 2 2 6 2" xfId="34034" xr:uid="{00000000-0005-0000-0000-0000EB620000}"/>
    <cellStyle name="Comma 3 2 3 2 2 2 7" xfId="13203" xr:uid="{00000000-0005-0000-0000-0000EC620000}"/>
    <cellStyle name="Comma 3 2 3 2 2 2 7 2" xfId="36482" xr:uid="{00000000-0005-0000-0000-0000ED620000}"/>
    <cellStyle name="Comma 3 2 3 2 2 2 8" xfId="15674" xr:uid="{00000000-0005-0000-0000-0000EE620000}"/>
    <cellStyle name="Comma 3 2 3 2 2 2 8 2" xfId="38952" xr:uid="{00000000-0005-0000-0000-0000EF620000}"/>
    <cellStyle name="Comma 3 2 3 2 2 2 9" xfId="24242" xr:uid="{00000000-0005-0000-0000-0000F0620000}"/>
    <cellStyle name="Comma 3 2 3 2 2 3" xfId="1575" xr:uid="{00000000-0005-0000-0000-0000F1620000}"/>
    <cellStyle name="Comma 3 2 3 2 2 3 10" xfId="22406" xr:uid="{00000000-0005-0000-0000-0000F2620000}"/>
    <cellStyle name="Comma 3 2 3 2 2 3 2" xfId="4023" xr:uid="{00000000-0005-0000-0000-0000F3620000}"/>
    <cellStyle name="Comma 3 2 3 2 2 3 2 2" xfId="19958" xr:uid="{00000000-0005-0000-0000-0000F4620000}"/>
    <cellStyle name="Comma 3 2 3 2 2 3 2 2 2" xfId="43236" xr:uid="{00000000-0005-0000-0000-0000F5620000}"/>
    <cellStyle name="Comma 3 2 3 2 2 3 2 3" xfId="48132" xr:uid="{00000000-0005-0000-0000-0000F6620000}"/>
    <cellStyle name="Comma 3 2 3 2 2 3 2 4" xfId="27302" xr:uid="{00000000-0005-0000-0000-0000F7620000}"/>
    <cellStyle name="Comma 3 2 3 2 2 3 3" xfId="6471" xr:uid="{00000000-0005-0000-0000-0000F8620000}"/>
    <cellStyle name="Comma 3 2 3 2 2 3 3 2" xfId="29750" xr:uid="{00000000-0005-0000-0000-0000F9620000}"/>
    <cellStyle name="Comma 3 2 3 2 2 3 4" xfId="8919" xr:uid="{00000000-0005-0000-0000-0000FA620000}"/>
    <cellStyle name="Comma 3 2 3 2 2 3 4 2" xfId="32198" xr:uid="{00000000-0005-0000-0000-0000FB620000}"/>
    <cellStyle name="Comma 3 2 3 2 2 3 5" xfId="11367" xr:uid="{00000000-0005-0000-0000-0000FC620000}"/>
    <cellStyle name="Comma 3 2 3 2 2 3 5 2" xfId="34646" xr:uid="{00000000-0005-0000-0000-0000FD620000}"/>
    <cellStyle name="Comma 3 2 3 2 2 3 6" xfId="13815" xr:uid="{00000000-0005-0000-0000-0000FE620000}"/>
    <cellStyle name="Comma 3 2 3 2 2 3 6 2" xfId="37094" xr:uid="{00000000-0005-0000-0000-0000FF620000}"/>
    <cellStyle name="Comma 3 2 3 2 2 3 7" xfId="17510" xr:uid="{00000000-0005-0000-0000-000000630000}"/>
    <cellStyle name="Comma 3 2 3 2 2 3 7 2" xfId="40788" xr:uid="{00000000-0005-0000-0000-000001630000}"/>
    <cellStyle name="Comma 3 2 3 2 2 3 8" xfId="24854" xr:uid="{00000000-0005-0000-0000-000002630000}"/>
    <cellStyle name="Comma 3 2 3 2 2 3 9" xfId="45684" xr:uid="{00000000-0005-0000-0000-000003630000}"/>
    <cellStyle name="Comma 3 2 3 2 2 4" xfId="2799" xr:uid="{00000000-0005-0000-0000-000004630000}"/>
    <cellStyle name="Comma 3 2 3 2 2 4 2" xfId="16286" xr:uid="{00000000-0005-0000-0000-000005630000}"/>
    <cellStyle name="Comma 3 2 3 2 2 4 2 2" xfId="39564" xr:uid="{00000000-0005-0000-0000-000006630000}"/>
    <cellStyle name="Comma 3 2 3 2 2 4 3" xfId="46908" xr:uid="{00000000-0005-0000-0000-000007630000}"/>
    <cellStyle name="Comma 3 2 3 2 2 4 4" xfId="26078" xr:uid="{00000000-0005-0000-0000-000008630000}"/>
    <cellStyle name="Comma 3 2 3 2 2 5" xfId="5247" xr:uid="{00000000-0005-0000-0000-000009630000}"/>
    <cellStyle name="Comma 3 2 3 2 2 5 2" xfId="18734" xr:uid="{00000000-0005-0000-0000-00000A630000}"/>
    <cellStyle name="Comma 3 2 3 2 2 5 2 2" xfId="42012" xr:uid="{00000000-0005-0000-0000-00000B630000}"/>
    <cellStyle name="Comma 3 2 3 2 2 5 3" xfId="28526" xr:uid="{00000000-0005-0000-0000-00000C630000}"/>
    <cellStyle name="Comma 3 2 3 2 2 6" xfId="7695" xr:uid="{00000000-0005-0000-0000-00000D630000}"/>
    <cellStyle name="Comma 3 2 3 2 2 6 2" xfId="30974" xr:uid="{00000000-0005-0000-0000-00000E630000}"/>
    <cellStyle name="Comma 3 2 3 2 2 7" xfId="10143" xr:uid="{00000000-0005-0000-0000-00000F630000}"/>
    <cellStyle name="Comma 3 2 3 2 2 7 2" xfId="33422" xr:uid="{00000000-0005-0000-0000-000010630000}"/>
    <cellStyle name="Comma 3 2 3 2 2 8" xfId="12591" xr:uid="{00000000-0005-0000-0000-000011630000}"/>
    <cellStyle name="Comma 3 2 3 2 2 8 2" xfId="35870" xr:uid="{00000000-0005-0000-0000-000012630000}"/>
    <cellStyle name="Comma 3 2 3 2 2 9" xfId="15062" xr:uid="{00000000-0005-0000-0000-000013630000}"/>
    <cellStyle name="Comma 3 2 3 2 2 9 2" xfId="38340" xr:uid="{00000000-0005-0000-0000-000014630000}"/>
    <cellStyle name="Comma 3 2 3 2 3" xfId="555" xr:uid="{00000000-0005-0000-0000-000015630000}"/>
    <cellStyle name="Comma 3 2 3 2 3 10" xfId="23834" xr:uid="{00000000-0005-0000-0000-000016630000}"/>
    <cellStyle name="Comma 3 2 3 2 3 11" xfId="44664" xr:uid="{00000000-0005-0000-0000-000017630000}"/>
    <cellStyle name="Comma 3 2 3 2 3 12" xfId="21386" xr:uid="{00000000-0005-0000-0000-000018630000}"/>
    <cellStyle name="Comma 3 2 3 2 3 2" xfId="1167" xr:uid="{00000000-0005-0000-0000-000019630000}"/>
    <cellStyle name="Comma 3 2 3 2 3 2 10" xfId="45276" xr:uid="{00000000-0005-0000-0000-00001A630000}"/>
    <cellStyle name="Comma 3 2 3 2 3 2 11" xfId="21998" xr:uid="{00000000-0005-0000-0000-00001B630000}"/>
    <cellStyle name="Comma 3 2 3 2 3 2 2" xfId="2391" xr:uid="{00000000-0005-0000-0000-00001C630000}"/>
    <cellStyle name="Comma 3 2 3 2 3 2 2 10" xfId="23222" xr:uid="{00000000-0005-0000-0000-00001D630000}"/>
    <cellStyle name="Comma 3 2 3 2 3 2 2 2" xfId="4839" xr:uid="{00000000-0005-0000-0000-00001E630000}"/>
    <cellStyle name="Comma 3 2 3 2 3 2 2 2 2" xfId="20774" xr:uid="{00000000-0005-0000-0000-00001F630000}"/>
    <cellStyle name="Comma 3 2 3 2 3 2 2 2 2 2" xfId="44052" xr:uid="{00000000-0005-0000-0000-000020630000}"/>
    <cellStyle name="Comma 3 2 3 2 3 2 2 2 3" xfId="48948" xr:uid="{00000000-0005-0000-0000-000021630000}"/>
    <cellStyle name="Comma 3 2 3 2 3 2 2 2 4" xfId="28118" xr:uid="{00000000-0005-0000-0000-000022630000}"/>
    <cellStyle name="Comma 3 2 3 2 3 2 2 3" xfId="7287" xr:uid="{00000000-0005-0000-0000-000023630000}"/>
    <cellStyle name="Comma 3 2 3 2 3 2 2 3 2" xfId="30566" xr:uid="{00000000-0005-0000-0000-000024630000}"/>
    <cellStyle name="Comma 3 2 3 2 3 2 2 4" xfId="9735" xr:uid="{00000000-0005-0000-0000-000025630000}"/>
    <cellStyle name="Comma 3 2 3 2 3 2 2 4 2" xfId="33014" xr:uid="{00000000-0005-0000-0000-000026630000}"/>
    <cellStyle name="Comma 3 2 3 2 3 2 2 5" xfId="12183" xr:uid="{00000000-0005-0000-0000-000027630000}"/>
    <cellStyle name="Comma 3 2 3 2 3 2 2 5 2" xfId="35462" xr:uid="{00000000-0005-0000-0000-000028630000}"/>
    <cellStyle name="Comma 3 2 3 2 3 2 2 6" xfId="14631" xr:uid="{00000000-0005-0000-0000-000029630000}"/>
    <cellStyle name="Comma 3 2 3 2 3 2 2 6 2" xfId="37910" xr:uid="{00000000-0005-0000-0000-00002A630000}"/>
    <cellStyle name="Comma 3 2 3 2 3 2 2 7" xfId="18326" xr:uid="{00000000-0005-0000-0000-00002B630000}"/>
    <cellStyle name="Comma 3 2 3 2 3 2 2 7 2" xfId="41604" xr:uid="{00000000-0005-0000-0000-00002C630000}"/>
    <cellStyle name="Comma 3 2 3 2 3 2 2 8" xfId="25670" xr:uid="{00000000-0005-0000-0000-00002D630000}"/>
    <cellStyle name="Comma 3 2 3 2 3 2 2 9" xfId="46500" xr:uid="{00000000-0005-0000-0000-00002E630000}"/>
    <cellStyle name="Comma 3 2 3 2 3 2 3" xfId="3615" xr:uid="{00000000-0005-0000-0000-00002F630000}"/>
    <cellStyle name="Comma 3 2 3 2 3 2 3 2" xfId="17102" xr:uid="{00000000-0005-0000-0000-000030630000}"/>
    <cellStyle name="Comma 3 2 3 2 3 2 3 2 2" xfId="40380" xr:uid="{00000000-0005-0000-0000-000031630000}"/>
    <cellStyle name="Comma 3 2 3 2 3 2 3 3" xfId="47724" xr:uid="{00000000-0005-0000-0000-000032630000}"/>
    <cellStyle name="Comma 3 2 3 2 3 2 3 4" xfId="26894" xr:uid="{00000000-0005-0000-0000-000033630000}"/>
    <cellStyle name="Comma 3 2 3 2 3 2 4" xfId="6063" xr:uid="{00000000-0005-0000-0000-000034630000}"/>
    <cellStyle name="Comma 3 2 3 2 3 2 4 2" xfId="19550" xr:uid="{00000000-0005-0000-0000-000035630000}"/>
    <cellStyle name="Comma 3 2 3 2 3 2 4 2 2" xfId="42828" xr:uid="{00000000-0005-0000-0000-000036630000}"/>
    <cellStyle name="Comma 3 2 3 2 3 2 4 3" xfId="29342" xr:uid="{00000000-0005-0000-0000-000037630000}"/>
    <cellStyle name="Comma 3 2 3 2 3 2 5" xfId="8511" xr:uid="{00000000-0005-0000-0000-000038630000}"/>
    <cellStyle name="Comma 3 2 3 2 3 2 5 2" xfId="31790" xr:uid="{00000000-0005-0000-0000-000039630000}"/>
    <cellStyle name="Comma 3 2 3 2 3 2 6" xfId="10959" xr:uid="{00000000-0005-0000-0000-00003A630000}"/>
    <cellStyle name="Comma 3 2 3 2 3 2 6 2" xfId="34238" xr:uid="{00000000-0005-0000-0000-00003B630000}"/>
    <cellStyle name="Comma 3 2 3 2 3 2 7" xfId="13407" xr:uid="{00000000-0005-0000-0000-00003C630000}"/>
    <cellStyle name="Comma 3 2 3 2 3 2 7 2" xfId="36686" xr:uid="{00000000-0005-0000-0000-00003D630000}"/>
    <cellStyle name="Comma 3 2 3 2 3 2 8" xfId="15878" xr:uid="{00000000-0005-0000-0000-00003E630000}"/>
    <cellStyle name="Comma 3 2 3 2 3 2 8 2" xfId="39156" xr:uid="{00000000-0005-0000-0000-00003F630000}"/>
    <cellStyle name="Comma 3 2 3 2 3 2 9" xfId="24446" xr:uid="{00000000-0005-0000-0000-000040630000}"/>
    <cellStyle name="Comma 3 2 3 2 3 3" xfId="1779" xr:uid="{00000000-0005-0000-0000-000041630000}"/>
    <cellStyle name="Comma 3 2 3 2 3 3 10" xfId="22610" xr:uid="{00000000-0005-0000-0000-000042630000}"/>
    <cellStyle name="Comma 3 2 3 2 3 3 2" xfId="4227" xr:uid="{00000000-0005-0000-0000-000043630000}"/>
    <cellStyle name="Comma 3 2 3 2 3 3 2 2" xfId="20162" xr:uid="{00000000-0005-0000-0000-000044630000}"/>
    <cellStyle name="Comma 3 2 3 2 3 3 2 2 2" xfId="43440" xr:uid="{00000000-0005-0000-0000-000045630000}"/>
    <cellStyle name="Comma 3 2 3 2 3 3 2 3" xfId="48336" xr:uid="{00000000-0005-0000-0000-000046630000}"/>
    <cellStyle name="Comma 3 2 3 2 3 3 2 4" xfId="27506" xr:uid="{00000000-0005-0000-0000-000047630000}"/>
    <cellStyle name="Comma 3 2 3 2 3 3 3" xfId="6675" xr:uid="{00000000-0005-0000-0000-000048630000}"/>
    <cellStyle name="Comma 3 2 3 2 3 3 3 2" xfId="29954" xr:uid="{00000000-0005-0000-0000-000049630000}"/>
    <cellStyle name="Comma 3 2 3 2 3 3 4" xfId="9123" xr:uid="{00000000-0005-0000-0000-00004A630000}"/>
    <cellStyle name="Comma 3 2 3 2 3 3 4 2" xfId="32402" xr:uid="{00000000-0005-0000-0000-00004B630000}"/>
    <cellStyle name="Comma 3 2 3 2 3 3 5" xfId="11571" xr:uid="{00000000-0005-0000-0000-00004C630000}"/>
    <cellStyle name="Comma 3 2 3 2 3 3 5 2" xfId="34850" xr:uid="{00000000-0005-0000-0000-00004D630000}"/>
    <cellStyle name="Comma 3 2 3 2 3 3 6" xfId="14019" xr:uid="{00000000-0005-0000-0000-00004E630000}"/>
    <cellStyle name="Comma 3 2 3 2 3 3 6 2" xfId="37298" xr:uid="{00000000-0005-0000-0000-00004F630000}"/>
    <cellStyle name="Comma 3 2 3 2 3 3 7" xfId="17714" xr:uid="{00000000-0005-0000-0000-000050630000}"/>
    <cellStyle name="Comma 3 2 3 2 3 3 7 2" xfId="40992" xr:uid="{00000000-0005-0000-0000-000051630000}"/>
    <cellStyle name="Comma 3 2 3 2 3 3 8" xfId="25058" xr:uid="{00000000-0005-0000-0000-000052630000}"/>
    <cellStyle name="Comma 3 2 3 2 3 3 9" xfId="45888" xr:uid="{00000000-0005-0000-0000-000053630000}"/>
    <cellStyle name="Comma 3 2 3 2 3 4" xfId="3003" xr:uid="{00000000-0005-0000-0000-000054630000}"/>
    <cellStyle name="Comma 3 2 3 2 3 4 2" xfId="16490" xr:uid="{00000000-0005-0000-0000-000055630000}"/>
    <cellStyle name="Comma 3 2 3 2 3 4 2 2" xfId="39768" xr:uid="{00000000-0005-0000-0000-000056630000}"/>
    <cellStyle name="Comma 3 2 3 2 3 4 3" xfId="47112" xr:uid="{00000000-0005-0000-0000-000057630000}"/>
    <cellStyle name="Comma 3 2 3 2 3 4 4" xfId="26282" xr:uid="{00000000-0005-0000-0000-000058630000}"/>
    <cellStyle name="Comma 3 2 3 2 3 5" xfId="5451" xr:uid="{00000000-0005-0000-0000-000059630000}"/>
    <cellStyle name="Comma 3 2 3 2 3 5 2" xfId="18938" xr:uid="{00000000-0005-0000-0000-00005A630000}"/>
    <cellStyle name="Comma 3 2 3 2 3 5 2 2" xfId="42216" xr:uid="{00000000-0005-0000-0000-00005B630000}"/>
    <cellStyle name="Comma 3 2 3 2 3 5 3" xfId="28730" xr:uid="{00000000-0005-0000-0000-00005C630000}"/>
    <cellStyle name="Comma 3 2 3 2 3 6" xfId="7899" xr:uid="{00000000-0005-0000-0000-00005D630000}"/>
    <cellStyle name="Comma 3 2 3 2 3 6 2" xfId="31178" xr:uid="{00000000-0005-0000-0000-00005E630000}"/>
    <cellStyle name="Comma 3 2 3 2 3 7" xfId="10347" xr:uid="{00000000-0005-0000-0000-00005F630000}"/>
    <cellStyle name="Comma 3 2 3 2 3 7 2" xfId="33626" xr:uid="{00000000-0005-0000-0000-000060630000}"/>
    <cellStyle name="Comma 3 2 3 2 3 8" xfId="12795" xr:uid="{00000000-0005-0000-0000-000061630000}"/>
    <cellStyle name="Comma 3 2 3 2 3 8 2" xfId="36074" xr:uid="{00000000-0005-0000-0000-000062630000}"/>
    <cellStyle name="Comma 3 2 3 2 3 9" xfId="15266" xr:uid="{00000000-0005-0000-0000-000063630000}"/>
    <cellStyle name="Comma 3 2 3 2 3 9 2" xfId="38544" xr:uid="{00000000-0005-0000-0000-000064630000}"/>
    <cellStyle name="Comma 3 2 3 2 4" xfId="759" xr:uid="{00000000-0005-0000-0000-000065630000}"/>
    <cellStyle name="Comma 3 2 3 2 4 10" xfId="44868" xr:uid="{00000000-0005-0000-0000-000066630000}"/>
    <cellStyle name="Comma 3 2 3 2 4 11" xfId="21590" xr:uid="{00000000-0005-0000-0000-000067630000}"/>
    <cellStyle name="Comma 3 2 3 2 4 2" xfId="1983" xr:uid="{00000000-0005-0000-0000-000068630000}"/>
    <cellStyle name="Comma 3 2 3 2 4 2 10" xfId="22814" xr:uid="{00000000-0005-0000-0000-000069630000}"/>
    <cellStyle name="Comma 3 2 3 2 4 2 2" xfId="4431" xr:uid="{00000000-0005-0000-0000-00006A630000}"/>
    <cellStyle name="Comma 3 2 3 2 4 2 2 2" xfId="20366" xr:uid="{00000000-0005-0000-0000-00006B630000}"/>
    <cellStyle name="Comma 3 2 3 2 4 2 2 2 2" xfId="43644" xr:uid="{00000000-0005-0000-0000-00006C630000}"/>
    <cellStyle name="Comma 3 2 3 2 4 2 2 3" xfId="48540" xr:uid="{00000000-0005-0000-0000-00006D630000}"/>
    <cellStyle name="Comma 3 2 3 2 4 2 2 4" xfId="27710" xr:uid="{00000000-0005-0000-0000-00006E630000}"/>
    <cellStyle name="Comma 3 2 3 2 4 2 3" xfId="6879" xr:uid="{00000000-0005-0000-0000-00006F630000}"/>
    <cellStyle name="Comma 3 2 3 2 4 2 3 2" xfId="30158" xr:uid="{00000000-0005-0000-0000-000070630000}"/>
    <cellStyle name="Comma 3 2 3 2 4 2 4" xfId="9327" xr:uid="{00000000-0005-0000-0000-000071630000}"/>
    <cellStyle name="Comma 3 2 3 2 4 2 4 2" xfId="32606" xr:uid="{00000000-0005-0000-0000-000072630000}"/>
    <cellStyle name="Comma 3 2 3 2 4 2 5" xfId="11775" xr:uid="{00000000-0005-0000-0000-000073630000}"/>
    <cellStyle name="Comma 3 2 3 2 4 2 5 2" xfId="35054" xr:uid="{00000000-0005-0000-0000-000074630000}"/>
    <cellStyle name="Comma 3 2 3 2 4 2 6" xfId="14223" xr:uid="{00000000-0005-0000-0000-000075630000}"/>
    <cellStyle name="Comma 3 2 3 2 4 2 6 2" xfId="37502" xr:uid="{00000000-0005-0000-0000-000076630000}"/>
    <cellStyle name="Comma 3 2 3 2 4 2 7" xfId="17918" xr:uid="{00000000-0005-0000-0000-000077630000}"/>
    <cellStyle name="Comma 3 2 3 2 4 2 7 2" xfId="41196" xr:uid="{00000000-0005-0000-0000-000078630000}"/>
    <cellStyle name="Comma 3 2 3 2 4 2 8" xfId="25262" xr:uid="{00000000-0005-0000-0000-000079630000}"/>
    <cellStyle name="Comma 3 2 3 2 4 2 9" xfId="46092" xr:uid="{00000000-0005-0000-0000-00007A630000}"/>
    <cellStyle name="Comma 3 2 3 2 4 3" xfId="3207" xr:uid="{00000000-0005-0000-0000-00007B630000}"/>
    <cellStyle name="Comma 3 2 3 2 4 3 2" xfId="16694" xr:uid="{00000000-0005-0000-0000-00007C630000}"/>
    <cellStyle name="Comma 3 2 3 2 4 3 2 2" xfId="39972" xr:uid="{00000000-0005-0000-0000-00007D630000}"/>
    <cellStyle name="Comma 3 2 3 2 4 3 3" xfId="47316" xr:uid="{00000000-0005-0000-0000-00007E630000}"/>
    <cellStyle name="Comma 3 2 3 2 4 3 4" xfId="26486" xr:uid="{00000000-0005-0000-0000-00007F630000}"/>
    <cellStyle name="Comma 3 2 3 2 4 4" xfId="5655" xr:uid="{00000000-0005-0000-0000-000080630000}"/>
    <cellStyle name="Comma 3 2 3 2 4 4 2" xfId="19142" xr:uid="{00000000-0005-0000-0000-000081630000}"/>
    <cellStyle name="Comma 3 2 3 2 4 4 2 2" xfId="42420" xr:uid="{00000000-0005-0000-0000-000082630000}"/>
    <cellStyle name="Comma 3 2 3 2 4 4 3" xfId="28934" xr:uid="{00000000-0005-0000-0000-000083630000}"/>
    <cellStyle name="Comma 3 2 3 2 4 5" xfId="8103" xr:uid="{00000000-0005-0000-0000-000084630000}"/>
    <cellStyle name="Comma 3 2 3 2 4 5 2" xfId="31382" xr:uid="{00000000-0005-0000-0000-000085630000}"/>
    <cellStyle name="Comma 3 2 3 2 4 6" xfId="10551" xr:uid="{00000000-0005-0000-0000-000086630000}"/>
    <cellStyle name="Comma 3 2 3 2 4 6 2" xfId="33830" xr:uid="{00000000-0005-0000-0000-000087630000}"/>
    <cellStyle name="Comma 3 2 3 2 4 7" xfId="12999" xr:uid="{00000000-0005-0000-0000-000088630000}"/>
    <cellStyle name="Comma 3 2 3 2 4 7 2" xfId="36278" xr:uid="{00000000-0005-0000-0000-000089630000}"/>
    <cellStyle name="Comma 3 2 3 2 4 8" xfId="15470" xr:uid="{00000000-0005-0000-0000-00008A630000}"/>
    <cellStyle name="Comma 3 2 3 2 4 8 2" xfId="38748" xr:uid="{00000000-0005-0000-0000-00008B630000}"/>
    <cellStyle name="Comma 3 2 3 2 4 9" xfId="24038" xr:uid="{00000000-0005-0000-0000-00008C630000}"/>
    <cellStyle name="Comma 3 2 3 2 5" xfId="1371" xr:uid="{00000000-0005-0000-0000-00008D630000}"/>
    <cellStyle name="Comma 3 2 3 2 5 10" xfId="22202" xr:uid="{00000000-0005-0000-0000-00008E630000}"/>
    <cellStyle name="Comma 3 2 3 2 5 2" xfId="3819" xr:uid="{00000000-0005-0000-0000-00008F630000}"/>
    <cellStyle name="Comma 3 2 3 2 5 2 2" xfId="19754" xr:uid="{00000000-0005-0000-0000-000090630000}"/>
    <cellStyle name="Comma 3 2 3 2 5 2 2 2" xfId="43032" xr:uid="{00000000-0005-0000-0000-000091630000}"/>
    <cellStyle name="Comma 3 2 3 2 5 2 3" xfId="47928" xr:uid="{00000000-0005-0000-0000-000092630000}"/>
    <cellStyle name="Comma 3 2 3 2 5 2 4" xfId="27098" xr:uid="{00000000-0005-0000-0000-000093630000}"/>
    <cellStyle name="Comma 3 2 3 2 5 3" xfId="6267" xr:uid="{00000000-0005-0000-0000-000094630000}"/>
    <cellStyle name="Comma 3 2 3 2 5 3 2" xfId="29546" xr:uid="{00000000-0005-0000-0000-000095630000}"/>
    <cellStyle name="Comma 3 2 3 2 5 4" xfId="8715" xr:uid="{00000000-0005-0000-0000-000096630000}"/>
    <cellStyle name="Comma 3 2 3 2 5 4 2" xfId="31994" xr:uid="{00000000-0005-0000-0000-000097630000}"/>
    <cellStyle name="Comma 3 2 3 2 5 5" xfId="11163" xr:uid="{00000000-0005-0000-0000-000098630000}"/>
    <cellStyle name="Comma 3 2 3 2 5 5 2" xfId="34442" xr:uid="{00000000-0005-0000-0000-000099630000}"/>
    <cellStyle name="Comma 3 2 3 2 5 6" xfId="13611" xr:uid="{00000000-0005-0000-0000-00009A630000}"/>
    <cellStyle name="Comma 3 2 3 2 5 6 2" xfId="36890" xr:uid="{00000000-0005-0000-0000-00009B630000}"/>
    <cellStyle name="Comma 3 2 3 2 5 7" xfId="17306" xr:uid="{00000000-0005-0000-0000-00009C630000}"/>
    <cellStyle name="Comma 3 2 3 2 5 7 2" xfId="40584" xr:uid="{00000000-0005-0000-0000-00009D630000}"/>
    <cellStyle name="Comma 3 2 3 2 5 8" xfId="24650" xr:uid="{00000000-0005-0000-0000-00009E630000}"/>
    <cellStyle name="Comma 3 2 3 2 5 9" xfId="45480" xr:uid="{00000000-0005-0000-0000-00009F630000}"/>
    <cellStyle name="Comma 3 2 3 2 6" xfId="2595" xr:uid="{00000000-0005-0000-0000-0000A0630000}"/>
    <cellStyle name="Comma 3 2 3 2 6 2" xfId="16082" xr:uid="{00000000-0005-0000-0000-0000A1630000}"/>
    <cellStyle name="Comma 3 2 3 2 6 2 2" xfId="39360" xr:uid="{00000000-0005-0000-0000-0000A2630000}"/>
    <cellStyle name="Comma 3 2 3 2 6 3" xfId="46704" xr:uid="{00000000-0005-0000-0000-0000A3630000}"/>
    <cellStyle name="Comma 3 2 3 2 6 4" xfId="25874" xr:uid="{00000000-0005-0000-0000-0000A4630000}"/>
    <cellStyle name="Comma 3 2 3 2 7" xfId="5043" xr:uid="{00000000-0005-0000-0000-0000A5630000}"/>
    <cellStyle name="Comma 3 2 3 2 7 2" xfId="18530" xr:uid="{00000000-0005-0000-0000-0000A6630000}"/>
    <cellStyle name="Comma 3 2 3 2 7 2 2" xfId="41808" xr:uid="{00000000-0005-0000-0000-0000A7630000}"/>
    <cellStyle name="Comma 3 2 3 2 7 3" xfId="28322" xr:uid="{00000000-0005-0000-0000-0000A8630000}"/>
    <cellStyle name="Comma 3 2 3 2 8" xfId="7491" xr:uid="{00000000-0005-0000-0000-0000A9630000}"/>
    <cellStyle name="Comma 3 2 3 2 8 2" xfId="30770" xr:uid="{00000000-0005-0000-0000-0000AA630000}"/>
    <cellStyle name="Comma 3 2 3 2 9" xfId="9939" xr:uid="{00000000-0005-0000-0000-0000AB630000}"/>
    <cellStyle name="Comma 3 2 3 2 9 2" xfId="33218" xr:uid="{00000000-0005-0000-0000-0000AC630000}"/>
    <cellStyle name="Comma 3 2 3 3" xfId="215" xr:uid="{00000000-0005-0000-0000-0000AD630000}"/>
    <cellStyle name="Comma 3 2 3 3 10" xfId="12455" xr:uid="{00000000-0005-0000-0000-0000AE630000}"/>
    <cellStyle name="Comma 3 2 3 3 10 2" xfId="35734" xr:uid="{00000000-0005-0000-0000-0000AF630000}"/>
    <cellStyle name="Comma 3 2 3 3 11" xfId="14926" xr:uid="{00000000-0005-0000-0000-0000B0630000}"/>
    <cellStyle name="Comma 3 2 3 3 11 2" xfId="38204" xr:uid="{00000000-0005-0000-0000-0000B1630000}"/>
    <cellStyle name="Comma 3 2 3 3 12" xfId="23494" xr:uid="{00000000-0005-0000-0000-0000B2630000}"/>
    <cellStyle name="Comma 3 2 3 3 13" xfId="44324" xr:uid="{00000000-0005-0000-0000-0000B3630000}"/>
    <cellStyle name="Comma 3 2 3 3 14" xfId="21046" xr:uid="{00000000-0005-0000-0000-0000B4630000}"/>
    <cellStyle name="Comma 3 2 3 3 2" xfId="419" xr:uid="{00000000-0005-0000-0000-0000B5630000}"/>
    <cellStyle name="Comma 3 2 3 3 2 10" xfId="23698" xr:uid="{00000000-0005-0000-0000-0000B6630000}"/>
    <cellStyle name="Comma 3 2 3 3 2 11" xfId="44528" xr:uid="{00000000-0005-0000-0000-0000B7630000}"/>
    <cellStyle name="Comma 3 2 3 3 2 12" xfId="21250" xr:uid="{00000000-0005-0000-0000-0000B8630000}"/>
    <cellStyle name="Comma 3 2 3 3 2 2" xfId="1031" xr:uid="{00000000-0005-0000-0000-0000B9630000}"/>
    <cellStyle name="Comma 3 2 3 3 2 2 10" xfId="45140" xr:uid="{00000000-0005-0000-0000-0000BA630000}"/>
    <cellStyle name="Comma 3 2 3 3 2 2 11" xfId="21862" xr:uid="{00000000-0005-0000-0000-0000BB630000}"/>
    <cellStyle name="Comma 3 2 3 3 2 2 2" xfId="2255" xr:uid="{00000000-0005-0000-0000-0000BC630000}"/>
    <cellStyle name="Comma 3 2 3 3 2 2 2 10" xfId="23086" xr:uid="{00000000-0005-0000-0000-0000BD630000}"/>
    <cellStyle name="Comma 3 2 3 3 2 2 2 2" xfId="4703" xr:uid="{00000000-0005-0000-0000-0000BE630000}"/>
    <cellStyle name="Comma 3 2 3 3 2 2 2 2 2" xfId="20638" xr:uid="{00000000-0005-0000-0000-0000BF630000}"/>
    <cellStyle name="Comma 3 2 3 3 2 2 2 2 2 2" xfId="43916" xr:uid="{00000000-0005-0000-0000-0000C0630000}"/>
    <cellStyle name="Comma 3 2 3 3 2 2 2 2 3" xfId="48812" xr:uid="{00000000-0005-0000-0000-0000C1630000}"/>
    <cellStyle name="Comma 3 2 3 3 2 2 2 2 4" xfId="27982" xr:uid="{00000000-0005-0000-0000-0000C2630000}"/>
    <cellStyle name="Comma 3 2 3 3 2 2 2 3" xfId="7151" xr:uid="{00000000-0005-0000-0000-0000C3630000}"/>
    <cellStyle name="Comma 3 2 3 3 2 2 2 3 2" xfId="30430" xr:uid="{00000000-0005-0000-0000-0000C4630000}"/>
    <cellStyle name="Comma 3 2 3 3 2 2 2 4" xfId="9599" xr:uid="{00000000-0005-0000-0000-0000C5630000}"/>
    <cellStyle name="Comma 3 2 3 3 2 2 2 4 2" xfId="32878" xr:uid="{00000000-0005-0000-0000-0000C6630000}"/>
    <cellStyle name="Comma 3 2 3 3 2 2 2 5" xfId="12047" xr:uid="{00000000-0005-0000-0000-0000C7630000}"/>
    <cellStyle name="Comma 3 2 3 3 2 2 2 5 2" xfId="35326" xr:uid="{00000000-0005-0000-0000-0000C8630000}"/>
    <cellStyle name="Comma 3 2 3 3 2 2 2 6" xfId="14495" xr:uid="{00000000-0005-0000-0000-0000C9630000}"/>
    <cellStyle name="Comma 3 2 3 3 2 2 2 6 2" xfId="37774" xr:uid="{00000000-0005-0000-0000-0000CA630000}"/>
    <cellStyle name="Comma 3 2 3 3 2 2 2 7" xfId="18190" xr:uid="{00000000-0005-0000-0000-0000CB630000}"/>
    <cellStyle name="Comma 3 2 3 3 2 2 2 7 2" xfId="41468" xr:uid="{00000000-0005-0000-0000-0000CC630000}"/>
    <cellStyle name="Comma 3 2 3 3 2 2 2 8" xfId="25534" xr:uid="{00000000-0005-0000-0000-0000CD630000}"/>
    <cellStyle name="Comma 3 2 3 3 2 2 2 9" xfId="46364" xr:uid="{00000000-0005-0000-0000-0000CE630000}"/>
    <cellStyle name="Comma 3 2 3 3 2 2 3" xfId="3479" xr:uid="{00000000-0005-0000-0000-0000CF630000}"/>
    <cellStyle name="Comma 3 2 3 3 2 2 3 2" xfId="16966" xr:uid="{00000000-0005-0000-0000-0000D0630000}"/>
    <cellStyle name="Comma 3 2 3 3 2 2 3 2 2" xfId="40244" xr:uid="{00000000-0005-0000-0000-0000D1630000}"/>
    <cellStyle name="Comma 3 2 3 3 2 2 3 3" xfId="47588" xr:uid="{00000000-0005-0000-0000-0000D2630000}"/>
    <cellStyle name="Comma 3 2 3 3 2 2 3 4" xfId="26758" xr:uid="{00000000-0005-0000-0000-0000D3630000}"/>
    <cellStyle name="Comma 3 2 3 3 2 2 4" xfId="5927" xr:uid="{00000000-0005-0000-0000-0000D4630000}"/>
    <cellStyle name="Comma 3 2 3 3 2 2 4 2" xfId="19414" xr:uid="{00000000-0005-0000-0000-0000D5630000}"/>
    <cellStyle name="Comma 3 2 3 3 2 2 4 2 2" xfId="42692" xr:uid="{00000000-0005-0000-0000-0000D6630000}"/>
    <cellStyle name="Comma 3 2 3 3 2 2 4 3" xfId="29206" xr:uid="{00000000-0005-0000-0000-0000D7630000}"/>
    <cellStyle name="Comma 3 2 3 3 2 2 5" xfId="8375" xr:uid="{00000000-0005-0000-0000-0000D8630000}"/>
    <cellStyle name="Comma 3 2 3 3 2 2 5 2" xfId="31654" xr:uid="{00000000-0005-0000-0000-0000D9630000}"/>
    <cellStyle name="Comma 3 2 3 3 2 2 6" xfId="10823" xr:uid="{00000000-0005-0000-0000-0000DA630000}"/>
    <cellStyle name="Comma 3 2 3 3 2 2 6 2" xfId="34102" xr:uid="{00000000-0005-0000-0000-0000DB630000}"/>
    <cellStyle name="Comma 3 2 3 3 2 2 7" xfId="13271" xr:uid="{00000000-0005-0000-0000-0000DC630000}"/>
    <cellStyle name="Comma 3 2 3 3 2 2 7 2" xfId="36550" xr:uid="{00000000-0005-0000-0000-0000DD630000}"/>
    <cellStyle name="Comma 3 2 3 3 2 2 8" xfId="15742" xr:uid="{00000000-0005-0000-0000-0000DE630000}"/>
    <cellStyle name="Comma 3 2 3 3 2 2 8 2" xfId="39020" xr:uid="{00000000-0005-0000-0000-0000DF630000}"/>
    <cellStyle name="Comma 3 2 3 3 2 2 9" xfId="24310" xr:uid="{00000000-0005-0000-0000-0000E0630000}"/>
    <cellStyle name="Comma 3 2 3 3 2 3" xfId="1643" xr:uid="{00000000-0005-0000-0000-0000E1630000}"/>
    <cellStyle name="Comma 3 2 3 3 2 3 10" xfId="22474" xr:uid="{00000000-0005-0000-0000-0000E2630000}"/>
    <cellStyle name="Comma 3 2 3 3 2 3 2" xfId="4091" xr:uid="{00000000-0005-0000-0000-0000E3630000}"/>
    <cellStyle name="Comma 3 2 3 3 2 3 2 2" xfId="20026" xr:uid="{00000000-0005-0000-0000-0000E4630000}"/>
    <cellStyle name="Comma 3 2 3 3 2 3 2 2 2" xfId="43304" xr:uid="{00000000-0005-0000-0000-0000E5630000}"/>
    <cellStyle name="Comma 3 2 3 3 2 3 2 3" xfId="48200" xr:uid="{00000000-0005-0000-0000-0000E6630000}"/>
    <cellStyle name="Comma 3 2 3 3 2 3 2 4" xfId="27370" xr:uid="{00000000-0005-0000-0000-0000E7630000}"/>
    <cellStyle name="Comma 3 2 3 3 2 3 3" xfId="6539" xr:uid="{00000000-0005-0000-0000-0000E8630000}"/>
    <cellStyle name="Comma 3 2 3 3 2 3 3 2" xfId="29818" xr:uid="{00000000-0005-0000-0000-0000E9630000}"/>
    <cellStyle name="Comma 3 2 3 3 2 3 4" xfId="8987" xr:uid="{00000000-0005-0000-0000-0000EA630000}"/>
    <cellStyle name="Comma 3 2 3 3 2 3 4 2" xfId="32266" xr:uid="{00000000-0005-0000-0000-0000EB630000}"/>
    <cellStyle name="Comma 3 2 3 3 2 3 5" xfId="11435" xr:uid="{00000000-0005-0000-0000-0000EC630000}"/>
    <cellStyle name="Comma 3 2 3 3 2 3 5 2" xfId="34714" xr:uid="{00000000-0005-0000-0000-0000ED630000}"/>
    <cellStyle name="Comma 3 2 3 3 2 3 6" xfId="13883" xr:uid="{00000000-0005-0000-0000-0000EE630000}"/>
    <cellStyle name="Comma 3 2 3 3 2 3 6 2" xfId="37162" xr:uid="{00000000-0005-0000-0000-0000EF630000}"/>
    <cellStyle name="Comma 3 2 3 3 2 3 7" xfId="17578" xr:uid="{00000000-0005-0000-0000-0000F0630000}"/>
    <cellStyle name="Comma 3 2 3 3 2 3 7 2" xfId="40856" xr:uid="{00000000-0005-0000-0000-0000F1630000}"/>
    <cellStyle name="Comma 3 2 3 3 2 3 8" xfId="24922" xr:uid="{00000000-0005-0000-0000-0000F2630000}"/>
    <cellStyle name="Comma 3 2 3 3 2 3 9" xfId="45752" xr:uid="{00000000-0005-0000-0000-0000F3630000}"/>
    <cellStyle name="Comma 3 2 3 3 2 4" xfId="2867" xr:uid="{00000000-0005-0000-0000-0000F4630000}"/>
    <cellStyle name="Comma 3 2 3 3 2 4 2" xfId="16354" xr:uid="{00000000-0005-0000-0000-0000F5630000}"/>
    <cellStyle name="Comma 3 2 3 3 2 4 2 2" xfId="39632" xr:uid="{00000000-0005-0000-0000-0000F6630000}"/>
    <cellStyle name="Comma 3 2 3 3 2 4 3" xfId="46976" xr:uid="{00000000-0005-0000-0000-0000F7630000}"/>
    <cellStyle name="Comma 3 2 3 3 2 4 4" xfId="26146" xr:uid="{00000000-0005-0000-0000-0000F8630000}"/>
    <cellStyle name="Comma 3 2 3 3 2 5" xfId="5315" xr:uid="{00000000-0005-0000-0000-0000F9630000}"/>
    <cellStyle name="Comma 3 2 3 3 2 5 2" xfId="18802" xr:uid="{00000000-0005-0000-0000-0000FA630000}"/>
    <cellStyle name="Comma 3 2 3 3 2 5 2 2" xfId="42080" xr:uid="{00000000-0005-0000-0000-0000FB630000}"/>
    <cellStyle name="Comma 3 2 3 3 2 5 3" xfId="28594" xr:uid="{00000000-0005-0000-0000-0000FC630000}"/>
    <cellStyle name="Comma 3 2 3 3 2 6" xfId="7763" xr:uid="{00000000-0005-0000-0000-0000FD630000}"/>
    <cellStyle name="Comma 3 2 3 3 2 6 2" xfId="31042" xr:uid="{00000000-0005-0000-0000-0000FE630000}"/>
    <cellStyle name="Comma 3 2 3 3 2 7" xfId="10211" xr:uid="{00000000-0005-0000-0000-0000FF630000}"/>
    <cellStyle name="Comma 3 2 3 3 2 7 2" xfId="33490" xr:uid="{00000000-0005-0000-0000-000000640000}"/>
    <cellStyle name="Comma 3 2 3 3 2 8" xfId="12659" xr:uid="{00000000-0005-0000-0000-000001640000}"/>
    <cellStyle name="Comma 3 2 3 3 2 8 2" xfId="35938" xr:uid="{00000000-0005-0000-0000-000002640000}"/>
    <cellStyle name="Comma 3 2 3 3 2 9" xfId="15130" xr:uid="{00000000-0005-0000-0000-000003640000}"/>
    <cellStyle name="Comma 3 2 3 3 2 9 2" xfId="38408" xr:uid="{00000000-0005-0000-0000-000004640000}"/>
    <cellStyle name="Comma 3 2 3 3 3" xfId="623" xr:uid="{00000000-0005-0000-0000-000005640000}"/>
    <cellStyle name="Comma 3 2 3 3 3 10" xfId="23902" xr:uid="{00000000-0005-0000-0000-000006640000}"/>
    <cellStyle name="Comma 3 2 3 3 3 11" xfId="44732" xr:uid="{00000000-0005-0000-0000-000007640000}"/>
    <cellStyle name="Comma 3 2 3 3 3 12" xfId="21454" xr:uid="{00000000-0005-0000-0000-000008640000}"/>
    <cellStyle name="Comma 3 2 3 3 3 2" xfId="1235" xr:uid="{00000000-0005-0000-0000-000009640000}"/>
    <cellStyle name="Comma 3 2 3 3 3 2 10" xfId="45344" xr:uid="{00000000-0005-0000-0000-00000A640000}"/>
    <cellStyle name="Comma 3 2 3 3 3 2 11" xfId="22066" xr:uid="{00000000-0005-0000-0000-00000B640000}"/>
    <cellStyle name="Comma 3 2 3 3 3 2 2" xfId="2459" xr:uid="{00000000-0005-0000-0000-00000C640000}"/>
    <cellStyle name="Comma 3 2 3 3 3 2 2 10" xfId="23290" xr:uid="{00000000-0005-0000-0000-00000D640000}"/>
    <cellStyle name="Comma 3 2 3 3 3 2 2 2" xfId="4907" xr:uid="{00000000-0005-0000-0000-00000E640000}"/>
    <cellStyle name="Comma 3 2 3 3 3 2 2 2 2" xfId="20842" xr:uid="{00000000-0005-0000-0000-00000F640000}"/>
    <cellStyle name="Comma 3 2 3 3 3 2 2 2 2 2" xfId="44120" xr:uid="{00000000-0005-0000-0000-000010640000}"/>
    <cellStyle name="Comma 3 2 3 3 3 2 2 2 3" xfId="49016" xr:uid="{00000000-0005-0000-0000-000011640000}"/>
    <cellStyle name="Comma 3 2 3 3 3 2 2 2 4" xfId="28186" xr:uid="{00000000-0005-0000-0000-000012640000}"/>
    <cellStyle name="Comma 3 2 3 3 3 2 2 3" xfId="7355" xr:uid="{00000000-0005-0000-0000-000013640000}"/>
    <cellStyle name="Comma 3 2 3 3 3 2 2 3 2" xfId="30634" xr:uid="{00000000-0005-0000-0000-000014640000}"/>
    <cellStyle name="Comma 3 2 3 3 3 2 2 4" xfId="9803" xr:uid="{00000000-0005-0000-0000-000015640000}"/>
    <cellStyle name="Comma 3 2 3 3 3 2 2 4 2" xfId="33082" xr:uid="{00000000-0005-0000-0000-000016640000}"/>
    <cellStyle name="Comma 3 2 3 3 3 2 2 5" xfId="12251" xr:uid="{00000000-0005-0000-0000-000017640000}"/>
    <cellStyle name="Comma 3 2 3 3 3 2 2 5 2" xfId="35530" xr:uid="{00000000-0005-0000-0000-000018640000}"/>
    <cellStyle name="Comma 3 2 3 3 3 2 2 6" xfId="14699" xr:uid="{00000000-0005-0000-0000-000019640000}"/>
    <cellStyle name="Comma 3 2 3 3 3 2 2 6 2" xfId="37978" xr:uid="{00000000-0005-0000-0000-00001A640000}"/>
    <cellStyle name="Comma 3 2 3 3 3 2 2 7" xfId="18394" xr:uid="{00000000-0005-0000-0000-00001B640000}"/>
    <cellStyle name="Comma 3 2 3 3 3 2 2 7 2" xfId="41672" xr:uid="{00000000-0005-0000-0000-00001C640000}"/>
    <cellStyle name="Comma 3 2 3 3 3 2 2 8" xfId="25738" xr:uid="{00000000-0005-0000-0000-00001D640000}"/>
    <cellStyle name="Comma 3 2 3 3 3 2 2 9" xfId="46568" xr:uid="{00000000-0005-0000-0000-00001E640000}"/>
    <cellStyle name="Comma 3 2 3 3 3 2 3" xfId="3683" xr:uid="{00000000-0005-0000-0000-00001F640000}"/>
    <cellStyle name="Comma 3 2 3 3 3 2 3 2" xfId="17170" xr:uid="{00000000-0005-0000-0000-000020640000}"/>
    <cellStyle name="Comma 3 2 3 3 3 2 3 2 2" xfId="40448" xr:uid="{00000000-0005-0000-0000-000021640000}"/>
    <cellStyle name="Comma 3 2 3 3 3 2 3 3" xfId="47792" xr:uid="{00000000-0005-0000-0000-000022640000}"/>
    <cellStyle name="Comma 3 2 3 3 3 2 3 4" xfId="26962" xr:uid="{00000000-0005-0000-0000-000023640000}"/>
    <cellStyle name="Comma 3 2 3 3 3 2 4" xfId="6131" xr:uid="{00000000-0005-0000-0000-000024640000}"/>
    <cellStyle name="Comma 3 2 3 3 3 2 4 2" xfId="19618" xr:uid="{00000000-0005-0000-0000-000025640000}"/>
    <cellStyle name="Comma 3 2 3 3 3 2 4 2 2" xfId="42896" xr:uid="{00000000-0005-0000-0000-000026640000}"/>
    <cellStyle name="Comma 3 2 3 3 3 2 4 3" xfId="29410" xr:uid="{00000000-0005-0000-0000-000027640000}"/>
    <cellStyle name="Comma 3 2 3 3 3 2 5" xfId="8579" xr:uid="{00000000-0005-0000-0000-000028640000}"/>
    <cellStyle name="Comma 3 2 3 3 3 2 5 2" xfId="31858" xr:uid="{00000000-0005-0000-0000-000029640000}"/>
    <cellStyle name="Comma 3 2 3 3 3 2 6" xfId="11027" xr:uid="{00000000-0005-0000-0000-00002A640000}"/>
    <cellStyle name="Comma 3 2 3 3 3 2 6 2" xfId="34306" xr:uid="{00000000-0005-0000-0000-00002B640000}"/>
    <cellStyle name="Comma 3 2 3 3 3 2 7" xfId="13475" xr:uid="{00000000-0005-0000-0000-00002C640000}"/>
    <cellStyle name="Comma 3 2 3 3 3 2 7 2" xfId="36754" xr:uid="{00000000-0005-0000-0000-00002D640000}"/>
    <cellStyle name="Comma 3 2 3 3 3 2 8" xfId="15946" xr:uid="{00000000-0005-0000-0000-00002E640000}"/>
    <cellStyle name="Comma 3 2 3 3 3 2 8 2" xfId="39224" xr:uid="{00000000-0005-0000-0000-00002F640000}"/>
    <cellStyle name="Comma 3 2 3 3 3 2 9" xfId="24514" xr:uid="{00000000-0005-0000-0000-000030640000}"/>
    <cellStyle name="Comma 3 2 3 3 3 3" xfId="1847" xr:uid="{00000000-0005-0000-0000-000031640000}"/>
    <cellStyle name="Comma 3 2 3 3 3 3 10" xfId="22678" xr:uid="{00000000-0005-0000-0000-000032640000}"/>
    <cellStyle name="Comma 3 2 3 3 3 3 2" xfId="4295" xr:uid="{00000000-0005-0000-0000-000033640000}"/>
    <cellStyle name="Comma 3 2 3 3 3 3 2 2" xfId="20230" xr:uid="{00000000-0005-0000-0000-000034640000}"/>
    <cellStyle name="Comma 3 2 3 3 3 3 2 2 2" xfId="43508" xr:uid="{00000000-0005-0000-0000-000035640000}"/>
    <cellStyle name="Comma 3 2 3 3 3 3 2 3" xfId="48404" xr:uid="{00000000-0005-0000-0000-000036640000}"/>
    <cellStyle name="Comma 3 2 3 3 3 3 2 4" xfId="27574" xr:uid="{00000000-0005-0000-0000-000037640000}"/>
    <cellStyle name="Comma 3 2 3 3 3 3 3" xfId="6743" xr:uid="{00000000-0005-0000-0000-000038640000}"/>
    <cellStyle name="Comma 3 2 3 3 3 3 3 2" xfId="30022" xr:uid="{00000000-0005-0000-0000-000039640000}"/>
    <cellStyle name="Comma 3 2 3 3 3 3 4" xfId="9191" xr:uid="{00000000-0005-0000-0000-00003A640000}"/>
    <cellStyle name="Comma 3 2 3 3 3 3 4 2" xfId="32470" xr:uid="{00000000-0005-0000-0000-00003B640000}"/>
    <cellStyle name="Comma 3 2 3 3 3 3 5" xfId="11639" xr:uid="{00000000-0005-0000-0000-00003C640000}"/>
    <cellStyle name="Comma 3 2 3 3 3 3 5 2" xfId="34918" xr:uid="{00000000-0005-0000-0000-00003D640000}"/>
    <cellStyle name="Comma 3 2 3 3 3 3 6" xfId="14087" xr:uid="{00000000-0005-0000-0000-00003E640000}"/>
    <cellStyle name="Comma 3 2 3 3 3 3 6 2" xfId="37366" xr:uid="{00000000-0005-0000-0000-00003F640000}"/>
    <cellStyle name="Comma 3 2 3 3 3 3 7" xfId="17782" xr:uid="{00000000-0005-0000-0000-000040640000}"/>
    <cellStyle name="Comma 3 2 3 3 3 3 7 2" xfId="41060" xr:uid="{00000000-0005-0000-0000-000041640000}"/>
    <cellStyle name="Comma 3 2 3 3 3 3 8" xfId="25126" xr:uid="{00000000-0005-0000-0000-000042640000}"/>
    <cellStyle name="Comma 3 2 3 3 3 3 9" xfId="45956" xr:uid="{00000000-0005-0000-0000-000043640000}"/>
    <cellStyle name="Comma 3 2 3 3 3 4" xfId="3071" xr:uid="{00000000-0005-0000-0000-000044640000}"/>
    <cellStyle name="Comma 3 2 3 3 3 4 2" xfId="16558" xr:uid="{00000000-0005-0000-0000-000045640000}"/>
    <cellStyle name="Comma 3 2 3 3 3 4 2 2" xfId="39836" xr:uid="{00000000-0005-0000-0000-000046640000}"/>
    <cellStyle name="Comma 3 2 3 3 3 4 3" xfId="47180" xr:uid="{00000000-0005-0000-0000-000047640000}"/>
    <cellStyle name="Comma 3 2 3 3 3 4 4" xfId="26350" xr:uid="{00000000-0005-0000-0000-000048640000}"/>
    <cellStyle name="Comma 3 2 3 3 3 5" xfId="5519" xr:uid="{00000000-0005-0000-0000-000049640000}"/>
    <cellStyle name="Comma 3 2 3 3 3 5 2" xfId="19006" xr:uid="{00000000-0005-0000-0000-00004A640000}"/>
    <cellStyle name="Comma 3 2 3 3 3 5 2 2" xfId="42284" xr:uid="{00000000-0005-0000-0000-00004B640000}"/>
    <cellStyle name="Comma 3 2 3 3 3 5 3" xfId="28798" xr:uid="{00000000-0005-0000-0000-00004C640000}"/>
    <cellStyle name="Comma 3 2 3 3 3 6" xfId="7967" xr:uid="{00000000-0005-0000-0000-00004D640000}"/>
    <cellStyle name="Comma 3 2 3 3 3 6 2" xfId="31246" xr:uid="{00000000-0005-0000-0000-00004E640000}"/>
    <cellStyle name="Comma 3 2 3 3 3 7" xfId="10415" xr:uid="{00000000-0005-0000-0000-00004F640000}"/>
    <cellStyle name="Comma 3 2 3 3 3 7 2" xfId="33694" xr:uid="{00000000-0005-0000-0000-000050640000}"/>
    <cellStyle name="Comma 3 2 3 3 3 8" xfId="12863" xr:uid="{00000000-0005-0000-0000-000051640000}"/>
    <cellStyle name="Comma 3 2 3 3 3 8 2" xfId="36142" xr:uid="{00000000-0005-0000-0000-000052640000}"/>
    <cellStyle name="Comma 3 2 3 3 3 9" xfId="15334" xr:uid="{00000000-0005-0000-0000-000053640000}"/>
    <cellStyle name="Comma 3 2 3 3 3 9 2" xfId="38612" xr:uid="{00000000-0005-0000-0000-000054640000}"/>
    <cellStyle name="Comma 3 2 3 3 4" xfId="827" xr:uid="{00000000-0005-0000-0000-000055640000}"/>
    <cellStyle name="Comma 3 2 3 3 4 10" xfId="44936" xr:uid="{00000000-0005-0000-0000-000056640000}"/>
    <cellStyle name="Comma 3 2 3 3 4 11" xfId="21658" xr:uid="{00000000-0005-0000-0000-000057640000}"/>
    <cellStyle name="Comma 3 2 3 3 4 2" xfId="2051" xr:uid="{00000000-0005-0000-0000-000058640000}"/>
    <cellStyle name="Comma 3 2 3 3 4 2 10" xfId="22882" xr:uid="{00000000-0005-0000-0000-000059640000}"/>
    <cellStyle name="Comma 3 2 3 3 4 2 2" xfId="4499" xr:uid="{00000000-0005-0000-0000-00005A640000}"/>
    <cellStyle name="Comma 3 2 3 3 4 2 2 2" xfId="20434" xr:uid="{00000000-0005-0000-0000-00005B640000}"/>
    <cellStyle name="Comma 3 2 3 3 4 2 2 2 2" xfId="43712" xr:uid="{00000000-0005-0000-0000-00005C640000}"/>
    <cellStyle name="Comma 3 2 3 3 4 2 2 3" xfId="48608" xr:uid="{00000000-0005-0000-0000-00005D640000}"/>
    <cellStyle name="Comma 3 2 3 3 4 2 2 4" xfId="27778" xr:uid="{00000000-0005-0000-0000-00005E640000}"/>
    <cellStyle name="Comma 3 2 3 3 4 2 3" xfId="6947" xr:uid="{00000000-0005-0000-0000-00005F640000}"/>
    <cellStyle name="Comma 3 2 3 3 4 2 3 2" xfId="30226" xr:uid="{00000000-0005-0000-0000-000060640000}"/>
    <cellStyle name="Comma 3 2 3 3 4 2 4" xfId="9395" xr:uid="{00000000-0005-0000-0000-000061640000}"/>
    <cellStyle name="Comma 3 2 3 3 4 2 4 2" xfId="32674" xr:uid="{00000000-0005-0000-0000-000062640000}"/>
    <cellStyle name="Comma 3 2 3 3 4 2 5" xfId="11843" xr:uid="{00000000-0005-0000-0000-000063640000}"/>
    <cellStyle name="Comma 3 2 3 3 4 2 5 2" xfId="35122" xr:uid="{00000000-0005-0000-0000-000064640000}"/>
    <cellStyle name="Comma 3 2 3 3 4 2 6" xfId="14291" xr:uid="{00000000-0005-0000-0000-000065640000}"/>
    <cellStyle name="Comma 3 2 3 3 4 2 6 2" xfId="37570" xr:uid="{00000000-0005-0000-0000-000066640000}"/>
    <cellStyle name="Comma 3 2 3 3 4 2 7" xfId="17986" xr:uid="{00000000-0005-0000-0000-000067640000}"/>
    <cellStyle name="Comma 3 2 3 3 4 2 7 2" xfId="41264" xr:uid="{00000000-0005-0000-0000-000068640000}"/>
    <cellStyle name="Comma 3 2 3 3 4 2 8" xfId="25330" xr:uid="{00000000-0005-0000-0000-000069640000}"/>
    <cellStyle name="Comma 3 2 3 3 4 2 9" xfId="46160" xr:uid="{00000000-0005-0000-0000-00006A640000}"/>
    <cellStyle name="Comma 3 2 3 3 4 3" xfId="3275" xr:uid="{00000000-0005-0000-0000-00006B640000}"/>
    <cellStyle name="Comma 3 2 3 3 4 3 2" xfId="16762" xr:uid="{00000000-0005-0000-0000-00006C640000}"/>
    <cellStyle name="Comma 3 2 3 3 4 3 2 2" xfId="40040" xr:uid="{00000000-0005-0000-0000-00006D640000}"/>
    <cellStyle name="Comma 3 2 3 3 4 3 3" xfId="47384" xr:uid="{00000000-0005-0000-0000-00006E640000}"/>
    <cellStyle name="Comma 3 2 3 3 4 3 4" xfId="26554" xr:uid="{00000000-0005-0000-0000-00006F640000}"/>
    <cellStyle name="Comma 3 2 3 3 4 4" xfId="5723" xr:uid="{00000000-0005-0000-0000-000070640000}"/>
    <cellStyle name="Comma 3 2 3 3 4 4 2" xfId="19210" xr:uid="{00000000-0005-0000-0000-000071640000}"/>
    <cellStyle name="Comma 3 2 3 3 4 4 2 2" xfId="42488" xr:uid="{00000000-0005-0000-0000-000072640000}"/>
    <cellStyle name="Comma 3 2 3 3 4 4 3" xfId="29002" xr:uid="{00000000-0005-0000-0000-000073640000}"/>
    <cellStyle name="Comma 3 2 3 3 4 5" xfId="8171" xr:uid="{00000000-0005-0000-0000-000074640000}"/>
    <cellStyle name="Comma 3 2 3 3 4 5 2" xfId="31450" xr:uid="{00000000-0005-0000-0000-000075640000}"/>
    <cellStyle name="Comma 3 2 3 3 4 6" xfId="10619" xr:uid="{00000000-0005-0000-0000-000076640000}"/>
    <cellStyle name="Comma 3 2 3 3 4 6 2" xfId="33898" xr:uid="{00000000-0005-0000-0000-000077640000}"/>
    <cellStyle name="Comma 3 2 3 3 4 7" xfId="13067" xr:uid="{00000000-0005-0000-0000-000078640000}"/>
    <cellStyle name="Comma 3 2 3 3 4 7 2" xfId="36346" xr:uid="{00000000-0005-0000-0000-000079640000}"/>
    <cellStyle name="Comma 3 2 3 3 4 8" xfId="15538" xr:uid="{00000000-0005-0000-0000-00007A640000}"/>
    <cellStyle name="Comma 3 2 3 3 4 8 2" xfId="38816" xr:uid="{00000000-0005-0000-0000-00007B640000}"/>
    <cellStyle name="Comma 3 2 3 3 4 9" xfId="24106" xr:uid="{00000000-0005-0000-0000-00007C640000}"/>
    <cellStyle name="Comma 3 2 3 3 5" xfId="1439" xr:uid="{00000000-0005-0000-0000-00007D640000}"/>
    <cellStyle name="Comma 3 2 3 3 5 10" xfId="22270" xr:uid="{00000000-0005-0000-0000-00007E640000}"/>
    <cellStyle name="Comma 3 2 3 3 5 2" xfId="3887" xr:uid="{00000000-0005-0000-0000-00007F640000}"/>
    <cellStyle name="Comma 3 2 3 3 5 2 2" xfId="19822" xr:uid="{00000000-0005-0000-0000-000080640000}"/>
    <cellStyle name="Comma 3 2 3 3 5 2 2 2" xfId="43100" xr:uid="{00000000-0005-0000-0000-000081640000}"/>
    <cellStyle name="Comma 3 2 3 3 5 2 3" xfId="47996" xr:uid="{00000000-0005-0000-0000-000082640000}"/>
    <cellStyle name="Comma 3 2 3 3 5 2 4" xfId="27166" xr:uid="{00000000-0005-0000-0000-000083640000}"/>
    <cellStyle name="Comma 3 2 3 3 5 3" xfId="6335" xr:uid="{00000000-0005-0000-0000-000084640000}"/>
    <cellStyle name="Comma 3 2 3 3 5 3 2" xfId="29614" xr:uid="{00000000-0005-0000-0000-000085640000}"/>
    <cellStyle name="Comma 3 2 3 3 5 4" xfId="8783" xr:uid="{00000000-0005-0000-0000-000086640000}"/>
    <cellStyle name="Comma 3 2 3 3 5 4 2" xfId="32062" xr:uid="{00000000-0005-0000-0000-000087640000}"/>
    <cellStyle name="Comma 3 2 3 3 5 5" xfId="11231" xr:uid="{00000000-0005-0000-0000-000088640000}"/>
    <cellStyle name="Comma 3 2 3 3 5 5 2" xfId="34510" xr:uid="{00000000-0005-0000-0000-000089640000}"/>
    <cellStyle name="Comma 3 2 3 3 5 6" xfId="13679" xr:uid="{00000000-0005-0000-0000-00008A640000}"/>
    <cellStyle name="Comma 3 2 3 3 5 6 2" xfId="36958" xr:uid="{00000000-0005-0000-0000-00008B640000}"/>
    <cellStyle name="Comma 3 2 3 3 5 7" xfId="17374" xr:uid="{00000000-0005-0000-0000-00008C640000}"/>
    <cellStyle name="Comma 3 2 3 3 5 7 2" xfId="40652" xr:uid="{00000000-0005-0000-0000-00008D640000}"/>
    <cellStyle name="Comma 3 2 3 3 5 8" xfId="24718" xr:uid="{00000000-0005-0000-0000-00008E640000}"/>
    <cellStyle name="Comma 3 2 3 3 5 9" xfId="45548" xr:uid="{00000000-0005-0000-0000-00008F640000}"/>
    <cellStyle name="Comma 3 2 3 3 6" xfId="2663" xr:uid="{00000000-0005-0000-0000-000090640000}"/>
    <cellStyle name="Comma 3 2 3 3 6 2" xfId="16150" xr:uid="{00000000-0005-0000-0000-000091640000}"/>
    <cellStyle name="Comma 3 2 3 3 6 2 2" xfId="39428" xr:uid="{00000000-0005-0000-0000-000092640000}"/>
    <cellStyle name="Comma 3 2 3 3 6 3" xfId="46772" xr:uid="{00000000-0005-0000-0000-000093640000}"/>
    <cellStyle name="Comma 3 2 3 3 6 4" xfId="25942" xr:uid="{00000000-0005-0000-0000-000094640000}"/>
    <cellStyle name="Comma 3 2 3 3 7" xfId="5111" xr:uid="{00000000-0005-0000-0000-000095640000}"/>
    <cellStyle name="Comma 3 2 3 3 7 2" xfId="18598" xr:uid="{00000000-0005-0000-0000-000096640000}"/>
    <cellStyle name="Comma 3 2 3 3 7 2 2" xfId="41876" xr:uid="{00000000-0005-0000-0000-000097640000}"/>
    <cellStyle name="Comma 3 2 3 3 7 3" xfId="28390" xr:uid="{00000000-0005-0000-0000-000098640000}"/>
    <cellStyle name="Comma 3 2 3 3 8" xfId="7559" xr:uid="{00000000-0005-0000-0000-000099640000}"/>
    <cellStyle name="Comma 3 2 3 3 8 2" xfId="30838" xr:uid="{00000000-0005-0000-0000-00009A640000}"/>
    <cellStyle name="Comma 3 2 3 3 9" xfId="10007" xr:uid="{00000000-0005-0000-0000-00009B640000}"/>
    <cellStyle name="Comma 3 2 3 3 9 2" xfId="33286" xr:uid="{00000000-0005-0000-0000-00009C640000}"/>
    <cellStyle name="Comma 3 2 3 4" xfId="283" xr:uid="{00000000-0005-0000-0000-00009D640000}"/>
    <cellStyle name="Comma 3 2 3 4 10" xfId="23562" xr:uid="{00000000-0005-0000-0000-00009E640000}"/>
    <cellStyle name="Comma 3 2 3 4 11" xfId="44392" xr:uid="{00000000-0005-0000-0000-00009F640000}"/>
    <cellStyle name="Comma 3 2 3 4 12" xfId="21114" xr:uid="{00000000-0005-0000-0000-0000A0640000}"/>
    <cellStyle name="Comma 3 2 3 4 2" xfId="895" xr:uid="{00000000-0005-0000-0000-0000A1640000}"/>
    <cellStyle name="Comma 3 2 3 4 2 10" xfId="45004" xr:uid="{00000000-0005-0000-0000-0000A2640000}"/>
    <cellStyle name="Comma 3 2 3 4 2 11" xfId="21726" xr:uid="{00000000-0005-0000-0000-0000A3640000}"/>
    <cellStyle name="Comma 3 2 3 4 2 2" xfId="2119" xr:uid="{00000000-0005-0000-0000-0000A4640000}"/>
    <cellStyle name="Comma 3 2 3 4 2 2 10" xfId="22950" xr:uid="{00000000-0005-0000-0000-0000A5640000}"/>
    <cellStyle name="Comma 3 2 3 4 2 2 2" xfId="4567" xr:uid="{00000000-0005-0000-0000-0000A6640000}"/>
    <cellStyle name="Comma 3 2 3 4 2 2 2 2" xfId="20502" xr:uid="{00000000-0005-0000-0000-0000A7640000}"/>
    <cellStyle name="Comma 3 2 3 4 2 2 2 2 2" xfId="43780" xr:uid="{00000000-0005-0000-0000-0000A8640000}"/>
    <cellStyle name="Comma 3 2 3 4 2 2 2 3" xfId="48676" xr:uid="{00000000-0005-0000-0000-0000A9640000}"/>
    <cellStyle name="Comma 3 2 3 4 2 2 2 4" xfId="27846" xr:uid="{00000000-0005-0000-0000-0000AA640000}"/>
    <cellStyle name="Comma 3 2 3 4 2 2 3" xfId="7015" xr:uid="{00000000-0005-0000-0000-0000AB640000}"/>
    <cellStyle name="Comma 3 2 3 4 2 2 3 2" xfId="30294" xr:uid="{00000000-0005-0000-0000-0000AC640000}"/>
    <cellStyle name="Comma 3 2 3 4 2 2 4" xfId="9463" xr:uid="{00000000-0005-0000-0000-0000AD640000}"/>
    <cellStyle name="Comma 3 2 3 4 2 2 4 2" xfId="32742" xr:uid="{00000000-0005-0000-0000-0000AE640000}"/>
    <cellStyle name="Comma 3 2 3 4 2 2 5" xfId="11911" xr:uid="{00000000-0005-0000-0000-0000AF640000}"/>
    <cellStyle name="Comma 3 2 3 4 2 2 5 2" xfId="35190" xr:uid="{00000000-0005-0000-0000-0000B0640000}"/>
    <cellStyle name="Comma 3 2 3 4 2 2 6" xfId="14359" xr:uid="{00000000-0005-0000-0000-0000B1640000}"/>
    <cellStyle name="Comma 3 2 3 4 2 2 6 2" xfId="37638" xr:uid="{00000000-0005-0000-0000-0000B2640000}"/>
    <cellStyle name="Comma 3 2 3 4 2 2 7" xfId="18054" xr:uid="{00000000-0005-0000-0000-0000B3640000}"/>
    <cellStyle name="Comma 3 2 3 4 2 2 7 2" xfId="41332" xr:uid="{00000000-0005-0000-0000-0000B4640000}"/>
    <cellStyle name="Comma 3 2 3 4 2 2 8" xfId="25398" xr:uid="{00000000-0005-0000-0000-0000B5640000}"/>
    <cellStyle name="Comma 3 2 3 4 2 2 9" xfId="46228" xr:uid="{00000000-0005-0000-0000-0000B6640000}"/>
    <cellStyle name="Comma 3 2 3 4 2 3" xfId="3343" xr:uid="{00000000-0005-0000-0000-0000B7640000}"/>
    <cellStyle name="Comma 3 2 3 4 2 3 2" xfId="16830" xr:uid="{00000000-0005-0000-0000-0000B8640000}"/>
    <cellStyle name="Comma 3 2 3 4 2 3 2 2" xfId="40108" xr:uid="{00000000-0005-0000-0000-0000B9640000}"/>
    <cellStyle name="Comma 3 2 3 4 2 3 3" xfId="47452" xr:uid="{00000000-0005-0000-0000-0000BA640000}"/>
    <cellStyle name="Comma 3 2 3 4 2 3 4" xfId="26622" xr:uid="{00000000-0005-0000-0000-0000BB640000}"/>
    <cellStyle name="Comma 3 2 3 4 2 4" xfId="5791" xr:uid="{00000000-0005-0000-0000-0000BC640000}"/>
    <cellStyle name="Comma 3 2 3 4 2 4 2" xfId="19278" xr:uid="{00000000-0005-0000-0000-0000BD640000}"/>
    <cellStyle name="Comma 3 2 3 4 2 4 2 2" xfId="42556" xr:uid="{00000000-0005-0000-0000-0000BE640000}"/>
    <cellStyle name="Comma 3 2 3 4 2 4 3" xfId="29070" xr:uid="{00000000-0005-0000-0000-0000BF640000}"/>
    <cellStyle name="Comma 3 2 3 4 2 5" xfId="8239" xr:uid="{00000000-0005-0000-0000-0000C0640000}"/>
    <cellStyle name="Comma 3 2 3 4 2 5 2" xfId="31518" xr:uid="{00000000-0005-0000-0000-0000C1640000}"/>
    <cellStyle name="Comma 3 2 3 4 2 6" xfId="10687" xr:uid="{00000000-0005-0000-0000-0000C2640000}"/>
    <cellStyle name="Comma 3 2 3 4 2 6 2" xfId="33966" xr:uid="{00000000-0005-0000-0000-0000C3640000}"/>
    <cellStyle name="Comma 3 2 3 4 2 7" xfId="13135" xr:uid="{00000000-0005-0000-0000-0000C4640000}"/>
    <cellStyle name="Comma 3 2 3 4 2 7 2" xfId="36414" xr:uid="{00000000-0005-0000-0000-0000C5640000}"/>
    <cellStyle name="Comma 3 2 3 4 2 8" xfId="15606" xr:uid="{00000000-0005-0000-0000-0000C6640000}"/>
    <cellStyle name="Comma 3 2 3 4 2 8 2" xfId="38884" xr:uid="{00000000-0005-0000-0000-0000C7640000}"/>
    <cellStyle name="Comma 3 2 3 4 2 9" xfId="24174" xr:uid="{00000000-0005-0000-0000-0000C8640000}"/>
    <cellStyle name="Comma 3 2 3 4 3" xfId="1507" xr:uid="{00000000-0005-0000-0000-0000C9640000}"/>
    <cellStyle name="Comma 3 2 3 4 3 10" xfId="22338" xr:uid="{00000000-0005-0000-0000-0000CA640000}"/>
    <cellStyle name="Comma 3 2 3 4 3 2" xfId="3955" xr:uid="{00000000-0005-0000-0000-0000CB640000}"/>
    <cellStyle name="Comma 3 2 3 4 3 2 2" xfId="19890" xr:uid="{00000000-0005-0000-0000-0000CC640000}"/>
    <cellStyle name="Comma 3 2 3 4 3 2 2 2" xfId="43168" xr:uid="{00000000-0005-0000-0000-0000CD640000}"/>
    <cellStyle name="Comma 3 2 3 4 3 2 3" xfId="48064" xr:uid="{00000000-0005-0000-0000-0000CE640000}"/>
    <cellStyle name="Comma 3 2 3 4 3 2 4" xfId="27234" xr:uid="{00000000-0005-0000-0000-0000CF640000}"/>
    <cellStyle name="Comma 3 2 3 4 3 3" xfId="6403" xr:uid="{00000000-0005-0000-0000-0000D0640000}"/>
    <cellStyle name="Comma 3 2 3 4 3 3 2" xfId="29682" xr:uid="{00000000-0005-0000-0000-0000D1640000}"/>
    <cellStyle name="Comma 3 2 3 4 3 4" xfId="8851" xr:uid="{00000000-0005-0000-0000-0000D2640000}"/>
    <cellStyle name="Comma 3 2 3 4 3 4 2" xfId="32130" xr:uid="{00000000-0005-0000-0000-0000D3640000}"/>
    <cellStyle name="Comma 3 2 3 4 3 5" xfId="11299" xr:uid="{00000000-0005-0000-0000-0000D4640000}"/>
    <cellStyle name="Comma 3 2 3 4 3 5 2" xfId="34578" xr:uid="{00000000-0005-0000-0000-0000D5640000}"/>
    <cellStyle name="Comma 3 2 3 4 3 6" xfId="13747" xr:uid="{00000000-0005-0000-0000-0000D6640000}"/>
    <cellStyle name="Comma 3 2 3 4 3 6 2" xfId="37026" xr:uid="{00000000-0005-0000-0000-0000D7640000}"/>
    <cellStyle name="Comma 3 2 3 4 3 7" xfId="17442" xr:uid="{00000000-0005-0000-0000-0000D8640000}"/>
    <cellStyle name="Comma 3 2 3 4 3 7 2" xfId="40720" xr:uid="{00000000-0005-0000-0000-0000D9640000}"/>
    <cellStyle name="Comma 3 2 3 4 3 8" xfId="24786" xr:uid="{00000000-0005-0000-0000-0000DA640000}"/>
    <cellStyle name="Comma 3 2 3 4 3 9" xfId="45616" xr:uid="{00000000-0005-0000-0000-0000DB640000}"/>
    <cellStyle name="Comma 3 2 3 4 4" xfId="2731" xr:uid="{00000000-0005-0000-0000-0000DC640000}"/>
    <cellStyle name="Comma 3 2 3 4 4 2" xfId="16218" xr:uid="{00000000-0005-0000-0000-0000DD640000}"/>
    <cellStyle name="Comma 3 2 3 4 4 2 2" xfId="39496" xr:uid="{00000000-0005-0000-0000-0000DE640000}"/>
    <cellStyle name="Comma 3 2 3 4 4 3" xfId="46840" xr:uid="{00000000-0005-0000-0000-0000DF640000}"/>
    <cellStyle name="Comma 3 2 3 4 4 4" xfId="26010" xr:uid="{00000000-0005-0000-0000-0000E0640000}"/>
    <cellStyle name="Comma 3 2 3 4 5" xfId="5179" xr:uid="{00000000-0005-0000-0000-0000E1640000}"/>
    <cellStyle name="Comma 3 2 3 4 5 2" xfId="18666" xr:uid="{00000000-0005-0000-0000-0000E2640000}"/>
    <cellStyle name="Comma 3 2 3 4 5 2 2" xfId="41944" xr:uid="{00000000-0005-0000-0000-0000E3640000}"/>
    <cellStyle name="Comma 3 2 3 4 5 3" xfId="28458" xr:uid="{00000000-0005-0000-0000-0000E4640000}"/>
    <cellStyle name="Comma 3 2 3 4 6" xfId="7627" xr:uid="{00000000-0005-0000-0000-0000E5640000}"/>
    <cellStyle name="Comma 3 2 3 4 6 2" xfId="30906" xr:uid="{00000000-0005-0000-0000-0000E6640000}"/>
    <cellStyle name="Comma 3 2 3 4 7" xfId="10075" xr:uid="{00000000-0005-0000-0000-0000E7640000}"/>
    <cellStyle name="Comma 3 2 3 4 7 2" xfId="33354" xr:uid="{00000000-0005-0000-0000-0000E8640000}"/>
    <cellStyle name="Comma 3 2 3 4 8" xfId="12523" xr:uid="{00000000-0005-0000-0000-0000E9640000}"/>
    <cellStyle name="Comma 3 2 3 4 8 2" xfId="35802" xr:uid="{00000000-0005-0000-0000-0000EA640000}"/>
    <cellStyle name="Comma 3 2 3 4 9" xfId="14994" xr:uid="{00000000-0005-0000-0000-0000EB640000}"/>
    <cellStyle name="Comma 3 2 3 4 9 2" xfId="38272" xr:uid="{00000000-0005-0000-0000-0000EC640000}"/>
    <cellStyle name="Comma 3 2 3 5" xfId="487" xr:uid="{00000000-0005-0000-0000-0000ED640000}"/>
    <cellStyle name="Comma 3 2 3 5 10" xfId="23766" xr:uid="{00000000-0005-0000-0000-0000EE640000}"/>
    <cellStyle name="Comma 3 2 3 5 11" xfId="44596" xr:uid="{00000000-0005-0000-0000-0000EF640000}"/>
    <cellStyle name="Comma 3 2 3 5 12" xfId="21318" xr:uid="{00000000-0005-0000-0000-0000F0640000}"/>
    <cellStyle name="Comma 3 2 3 5 2" xfId="1099" xr:uid="{00000000-0005-0000-0000-0000F1640000}"/>
    <cellStyle name="Comma 3 2 3 5 2 10" xfId="45208" xr:uid="{00000000-0005-0000-0000-0000F2640000}"/>
    <cellStyle name="Comma 3 2 3 5 2 11" xfId="21930" xr:uid="{00000000-0005-0000-0000-0000F3640000}"/>
    <cellStyle name="Comma 3 2 3 5 2 2" xfId="2323" xr:uid="{00000000-0005-0000-0000-0000F4640000}"/>
    <cellStyle name="Comma 3 2 3 5 2 2 10" xfId="23154" xr:uid="{00000000-0005-0000-0000-0000F5640000}"/>
    <cellStyle name="Comma 3 2 3 5 2 2 2" xfId="4771" xr:uid="{00000000-0005-0000-0000-0000F6640000}"/>
    <cellStyle name="Comma 3 2 3 5 2 2 2 2" xfId="20706" xr:uid="{00000000-0005-0000-0000-0000F7640000}"/>
    <cellStyle name="Comma 3 2 3 5 2 2 2 2 2" xfId="43984" xr:uid="{00000000-0005-0000-0000-0000F8640000}"/>
    <cellStyle name="Comma 3 2 3 5 2 2 2 3" xfId="48880" xr:uid="{00000000-0005-0000-0000-0000F9640000}"/>
    <cellStyle name="Comma 3 2 3 5 2 2 2 4" xfId="28050" xr:uid="{00000000-0005-0000-0000-0000FA640000}"/>
    <cellStyle name="Comma 3 2 3 5 2 2 3" xfId="7219" xr:uid="{00000000-0005-0000-0000-0000FB640000}"/>
    <cellStyle name="Comma 3 2 3 5 2 2 3 2" xfId="30498" xr:uid="{00000000-0005-0000-0000-0000FC640000}"/>
    <cellStyle name="Comma 3 2 3 5 2 2 4" xfId="9667" xr:uid="{00000000-0005-0000-0000-0000FD640000}"/>
    <cellStyle name="Comma 3 2 3 5 2 2 4 2" xfId="32946" xr:uid="{00000000-0005-0000-0000-0000FE640000}"/>
    <cellStyle name="Comma 3 2 3 5 2 2 5" xfId="12115" xr:uid="{00000000-0005-0000-0000-0000FF640000}"/>
    <cellStyle name="Comma 3 2 3 5 2 2 5 2" xfId="35394" xr:uid="{00000000-0005-0000-0000-000000650000}"/>
    <cellStyle name="Comma 3 2 3 5 2 2 6" xfId="14563" xr:uid="{00000000-0005-0000-0000-000001650000}"/>
    <cellStyle name="Comma 3 2 3 5 2 2 6 2" xfId="37842" xr:uid="{00000000-0005-0000-0000-000002650000}"/>
    <cellStyle name="Comma 3 2 3 5 2 2 7" xfId="18258" xr:uid="{00000000-0005-0000-0000-000003650000}"/>
    <cellStyle name="Comma 3 2 3 5 2 2 7 2" xfId="41536" xr:uid="{00000000-0005-0000-0000-000004650000}"/>
    <cellStyle name="Comma 3 2 3 5 2 2 8" xfId="25602" xr:uid="{00000000-0005-0000-0000-000005650000}"/>
    <cellStyle name="Comma 3 2 3 5 2 2 9" xfId="46432" xr:uid="{00000000-0005-0000-0000-000006650000}"/>
    <cellStyle name="Comma 3 2 3 5 2 3" xfId="3547" xr:uid="{00000000-0005-0000-0000-000007650000}"/>
    <cellStyle name="Comma 3 2 3 5 2 3 2" xfId="17034" xr:uid="{00000000-0005-0000-0000-000008650000}"/>
    <cellStyle name="Comma 3 2 3 5 2 3 2 2" xfId="40312" xr:uid="{00000000-0005-0000-0000-000009650000}"/>
    <cellStyle name="Comma 3 2 3 5 2 3 3" xfId="47656" xr:uid="{00000000-0005-0000-0000-00000A650000}"/>
    <cellStyle name="Comma 3 2 3 5 2 3 4" xfId="26826" xr:uid="{00000000-0005-0000-0000-00000B650000}"/>
    <cellStyle name="Comma 3 2 3 5 2 4" xfId="5995" xr:uid="{00000000-0005-0000-0000-00000C650000}"/>
    <cellStyle name="Comma 3 2 3 5 2 4 2" xfId="19482" xr:uid="{00000000-0005-0000-0000-00000D650000}"/>
    <cellStyle name="Comma 3 2 3 5 2 4 2 2" xfId="42760" xr:uid="{00000000-0005-0000-0000-00000E650000}"/>
    <cellStyle name="Comma 3 2 3 5 2 4 3" xfId="29274" xr:uid="{00000000-0005-0000-0000-00000F650000}"/>
    <cellStyle name="Comma 3 2 3 5 2 5" xfId="8443" xr:uid="{00000000-0005-0000-0000-000010650000}"/>
    <cellStyle name="Comma 3 2 3 5 2 5 2" xfId="31722" xr:uid="{00000000-0005-0000-0000-000011650000}"/>
    <cellStyle name="Comma 3 2 3 5 2 6" xfId="10891" xr:uid="{00000000-0005-0000-0000-000012650000}"/>
    <cellStyle name="Comma 3 2 3 5 2 6 2" xfId="34170" xr:uid="{00000000-0005-0000-0000-000013650000}"/>
    <cellStyle name="Comma 3 2 3 5 2 7" xfId="13339" xr:uid="{00000000-0005-0000-0000-000014650000}"/>
    <cellStyle name="Comma 3 2 3 5 2 7 2" xfId="36618" xr:uid="{00000000-0005-0000-0000-000015650000}"/>
    <cellStyle name="Comma 3 2 3 5 2 8" xfId="15810" xr:uid="{00000000-0005-0000-0000-000016650000}"/>
    <cellStyle name="Comma 3 2 3 5 2 8 2" xfId="39088" xr:uid="{00000000-0005-0000-0000-000017650000}"/>
    <cellStyle name="Comma 3 2 3 5 2 9" xfId="24378" xr:uid="{00000000-0005-0000-0000-000018650000}"/>
    <cellStyle name="Comma 3 2 3 5 3" xfId="1711" xr:uid="{00000000-0005-0000-0000-000019650000}"/>
    <cellStyle name="Comma 3 2 3 5 3 10" xfId="22542" xr:uid="{00000000-0005-0000-0000-00001A650000}"/>
    <cellStyle name="Comma 3 2 3 5 3 2" xfId="4159" xr:uid="{00000000-0005-0000-0000-00001B650000}"/>
    <cellStyle name="Comma 3 2 3 5 3 2 2" xfId="20094" xr:uid="{00000000-0005-0000-0000-00001C650000}"/>
    <cellStyle name="Comma 3 2 3 5 3 2 2 2" xfId="43372" xr:uid="{00000000-0005-0000-0000-00001D650000}"/>
    <cellStyle name="Comma 3 2 3 5 3 2 3" xfId="48268" xr:uid="{00000000-0005-0000-0000-00001E650000}"/>
    <cellStyle name="Comma 3 2 3 5 3 2 4" xfId="27438" xr:uid="{00000000-0005-0000-0000-00001F650000}"/>
    <cellStyle name="Comma 3 2 3 5 3 3" xfId="6607" xr:uid="{00000000-0005-0000-0000-000020650000}"/>
    <cellStyle name="Comma 3 2 3 5 3 3 2" xfId="29886" xr:uid="{00000000-0005-0000-0000-000021650000}"/>
    <cellStyle name="Comma 3 2 3 5 3 4" xfId="9055" xr:uid="{00000000-0005-0000-0000-000022650000}"/>
    <cellStyle name="Comma 3 2 3 5 3 4 2" xfId="32334" xr:uid="{00000000-0005-0000-0000-000023650000}"/>
    <cellStyle name="Comma 3 2 3 5 3 5" xfId="11503" xr:uid="{00000000-0005-0000-0000-000024650000}"/>
    <cellStyle name="Comma 3 2 3 5 3 5 2" xfId="34782" xr:uid="{00000000-0005-0000-0000-000025650000}"/>
    <cellStyle name="Comma 3 2 3 5 3 6" xfId="13951" xr:uid="{00000000-0005-0000-0000-000026650000}"/>
    <cellStyle name="Comma 3 2 3 5 3 6 2" xfId="37230" xr:uid="{00000000-0005-0000-0000-000027650000}"/>
    <cellStyle name="Comma 3 2 3 5 3 7" xfId="17646" xr:uid="{00000000-0005-0000-0000-000028650000}"/>
    <cellStyle name="Comma 3 2 3 5 3 7 2" xfId="40924" xr:uid="{00000000-0005-0000-0000-000029650000}"/>
    <cellStyle name="Comma 3 2 3 5 3 8" xfId="24990" xr:uid="{00000000-0005-0000-0000-00002A650000}"/>
    <cellStyle name="Comma 3 2 3 5 3 9" xfId="45820" xr:uid="{00000000-0005-0000-0000-00002B650000}"/>
    <cellStyle name="Comma 3 2 3 5 4" xfId="2935" xr:uid="{00000000-0005-0000-0000-00002C650000}"/>
    <cellStyle name="Comma 3 2 3 5 4 2" xfId="16422" xr:uid="{00000000-0005-0000-0000-00002D650000}"/>
    <cellStyle name="Comma 3 2 3 5 4 2 2" xfId="39700" xr:uid="{00000000-0005-0000-0000-00002E650000}"/>
    <cellStyle name="Comma 3 2 3 5 4 3" xfId="47044" xr:uid="{00000000-0005-0000-0000-00002F650000}"/>
    <cellStyle name="Comma 3 2 3 5 4 4" xfId="26214" xr:uid="{00000000-0005-0000-0000-000030650000}"/>
    <cellStyle name="Comma 3 2 3 5 5" xfId="5383" xr:uid="{00000000-0005-0000-0000-000031650000}"/>
    <cellStyle name="Comma 3 2 3 5 5 2" xfId="18870" xr:uid="{00000000-0005-0000-0000-000032650000}"/>
    <cellStyle name="Comma 3 2 3 5 5 2 2" xfId="42148" xr:uid="{00000000-0005-0000-0000-000033650000}"/>
    <cellStyle name="Comma 3 2 3 5 5 3" xfId="28662" xr:uid="{00000000-0005-0000-0000-000034650000}"/>
    <cellStyle name="Comma 3 2 3 5 6" xfId="7831" xr:uid="{00000000-0005-0000-0000-000035650000}"/>
    <cellStyle name="Comma 3 2 3 5 6 2" xfId="31110" xr:uid="{00000000-0005-0000-0000-000036650000}"/>
    <cellStyle name="Comma 3 2 3 5 7" xfId="10279" xr:uid="{00000000-0005-0000-0000-000037650000}"/>
    <cellStyle name="Comma 3 2 3 5 7 2" xfId="33558" xr:uid="{00000000-0005-0000-0000-000038650000}"/>
    <cellStyle name="Comma 3 2 3 5 8" xfId="12727" xr:uid="{00000000-0005-0000-0000-000039650000}"/>
    <cellStyle name="Comma 3 2 3 5 8 2" xfId="36006" xr:uid="{00000000-0005-0000-0000-00003A650000}"/>
    <cellStyle name="Comma 3 2 3 5 9" xfId="15198" xr:uid="{00000000-0005-0000-0000-00003B650000}"/>
    <cellStyle name="Comma 3 2 3 5 9 2" xfId="38476" xr:uid="{00000000-0005-0000-0000-00003C650000}"/>
    <cellStyle name="Comma 3 2 3 6" xfId="691" xr:uid="{00000000-0005-0000-0000-00003D650000}"/>
    <cellStyle name="Comma 3 2 3 6 10" xfId="44800" xr:uid="{00000000-0005-0000-0000-00003E650000}"/>
    <cellStyle name="Comma 3 2 3 6 11" xfId="21522" xr:uid="{00000000-0005-0000-0000-00003F650000}"/>
    <cellStyle name="Comma 3 2 3 6 2" xfId="1915" xr:uid="{00000000-0005-0000-0000-000040650000}"/>
    <cellStyle name="Comma 3 2 3 6 2 10" xfId="22746" xr:uid="{00000000-0005-0000-0000-000041650000}"/>
    <cellStyle name="Comma 3 2 3 6 2 2" xfId="4363" xr:uid="{00000000-0005-0000-0000-000042650000}"/>
    <cellStyle name="Comma 3 2 3 6 2 2 2" xfId="20298" xr:uid="{00000000-0005-0000-0000-000043650000}"/>
    <cellStyle name="Comma 3 2 3 6 2 2 2 2" xfId="43576" xr:uid="{00000000-0005-0000-0000-000044650000}"/>
    <cellStyle name="Comma 3 2 3 6 2 2 3" xfId="48472" xr:uid="{00000000-0005-0000-0000-000045650000}"/>
    <cellStyle name="Comma 3 2 3 6 2 2 4" xfId="27642" xr:uid="{00000000-0005-0000-0000-000046650000}"/>
    <cellStyle name="Comma 3 2 3 6 2 3" xfId="6811" xr:uid="{00000000-0005-0000-0000-000047650000}"/>
    <cellStyle name="Comma 3 2 3 6 2 3 2" xfId="30090" xr:uid="{00000000-0005-0000-0000-000048650000}"/>
    <cellStyle name="Comma 3 2 3 6 2 4" xfId="9259" xr:uid="{00000000-0005-0000-0000-000049650000}"/>
    <cellStyle name="Comma 3 2 3 6 2 4 2" xfId="32538" xr:uid="{00000000-0005-0000-0000-00004A650000}"/>
    <cellStyle name="Comma 3 2 3 6 2 5" xfId="11707" xr:uid="{00000000-0005-0000-0000-00004B650000}"/>
    <cellStyle name="Comma 3 2 3 6 2 5 2" xfId="34986" xr:uid="{00000000-0005-0000-0000-00004C650000}"/>
    <cellStyle name="Comma 3 2 3 6 2 6" xfId="14155" xr:uid="{00000000-0005-0000-0000-00004D650000}"/>
    <cellStyle name="Comma 3 2 3 6 2 6 2" xfId="37434" xr:uid="{00000000-0005-0000-0000-00004E650000}"/>
    <cellStyle name="Comma 3 2 3 6 2 7" xfId="17850" xr:uid="{00000000-0005-0000-0000-00004F650000}"/>
    <cellStyle name="Comma 3 2 3 6 2 7 2" xfId="41128" xr:uid="{00000000-0005-0000-0000-000050650000}"/>
    <cellStyle name="Comma 3 2 3 6 2 8" xfId="25194" xr:uid="{00000000-0005-0000-0000-000051650000}"/>
    <cellStyle name="Comma 3 2 3 6 2 9" xfId="46024" xr:uid="{00000000-0005-0000-0000-000052650000}"/>
    <cellStyle name="Comma 3 2 3 6 3" xfId="3139" xr:uid="{00000000-0005-0000-0000-000053650000}"/>
    <cellStyle name="Comma 3 2 3 6 3 2" xfId="16626" xr:uid="{00000000-0005-0000-0000-000054650000}"/>
    <cellStyle name="Comma 3 2 3 6 3 2 2" xfId="39904" xr:uid="{00000000-0005-0000-0000-000055650000}"/>
    <cellStyle name="Comma 3 2 3 6 3 3" xfId="47248" xr:uid="{00000000-0005-0000-0000-000056650000}"/>
    <cellStyle name="Comma 3 2 3 6 3 4" xfId="26418" xr:uid="{00000000-0005-0000-0000-000057650000}"/>
    <cellStyle name="Comma 3 2 3 6 4" xfId="5587" xr:uid="{00000000-0005-0000-0000-000058650000}"/>
    <cellStyle name="Comma 3 2 3 6 4 2" xfId="19074" xr:uid="{00000000-0005-0000-0000-000059650000}"/>
    <cellStyle name="Comma 3 2 3 6 4 2 2" xfId="42352" xr:uid="{00000000-0005-0000-0000-00005A650000}"/>
    <cellStyle name="Comma 3 2 3 6 4 3" xfId="28866" xr:uid="{00000000-0005-0000-0000-00005B650000}"/>
    <cellStyle name="Comma 3 2 3 6 5" xfId="8035" xr:uid="{00000000-0005-0000-0000-00005C650000}"/>
    <cellStyle name="Comma 3 2 3 6 5 2" xfId="31314" xr:uid="{00000000-0005-0000-0000-00005D650000}"/>
    <cellStyle name="Comma 3 2 3 6 6" xfId="10483" xr:uid="{00000000-0005-0000-0000-00005E650000}"/>
    <cellStyle name="Comma 3 2 3 6 6 2" xfId="33762" xr:uid="{00000000-0005-0000-0000-00005F650000}"/>
    <cellStyle name="Comma 3 2 3 6 7" xfId="12931" xr:uid="{00000000-0005-0000-0000-000060650000}"/>
    <cellStyle name="Comma 3 2 3 6 7 2" xfId="36210" xr:uid="{00000000-0005-0000-0000-000061650000}"/>
    <cellStyle name="Comma 3 2 3 6 8" xfId="15402" xr:uid="{00000000-0005-0000-0000-000062650000}"/>
    <cellStyle name="Comma 3 2 3 6 8 2" xfId="38680" xr:uid="{00000000-0005-0000-0000-000063650000}"/>
    <cellStyle name="Comma 3 2 3 6 9" xfId="23970" xr:uid="{00000000-0005-0000-0000-000064650000}"/>
    <cellStyle name="Comma 3 2 3 7" xfId="1303" xr:uid="{00000000-0005-0000-0000-000065650000}"/>
    <cellStyle name="Comma 3 2 3 7 10" xfId="22134" xr:uid="{00000000-0005-0000-0000-000066650000}"/>
    <cellStyle name="Comma 3 2 3 7 2" xfId="3751" xr:uid="{00000000-0005-0000-0000-000067650000}"/>
    <cellStyle name="Comma 3 2 3 7 2 2" xfId="19686" xr:uid="{00000000-0005-0000-0000-000068650000}"/>
    <cellStyle name="Comma 3 2 3 7 2 2 2" xfId="42964" xr:uid="{00000000-0005-0000-0000-000069650000}"/>
    <cellStyle name="Comma 3 2 3 7 2 3" xfId="47860" xr:uid="{00000000-0005-0000-0000-00006A650000}"/>
    <cellStyle name="Comma 3 2 3 7 2 4" xfId="27030" xr:uid="{00000000-0005-0000-0000-00006B650000}"/>
    <cellStyle name="Comma 3 2 3 7 3" xfId="6199" xr:uid="{00000000-0005-0000-0000-00006C650000}"/>
    <cellStyle name="Comma 3 2 3 7 3 2" xfId="29478" xr:uid="{00000000-0005-0000-0000-00006D650000}"/>
    <cellStyle name="Comma 3 2 3 7 4" xfId="8647" xr:uid="{00000000-0005-0000-0000-00006E650000}"/>
    <cellStyle name="Comma 3 2 3 7 4 2" xfId="31926" xr:uid="{00000000-0005-0000-0000-00006F650000}"/>
    <cellStyle name="Comma 3 2 3 7 5" xfId="11095" xr:uid="{00000000-0005-0000-0000-000070650000}"/>
    <cellStyle name="Comma 3 2 3 7 5 2" xfId="34374" xr:uid="{00000000-0005-0000-0000-000071650000}"/>
    <cellStyle name="Comma 3 2 3 7 6" xfId="13543" xr:uid="{00000000-0005-0000-0000-000072650000}"/>
    <cellStyle name="Comma 3 2 3 7 6 2" xfId="36822" xr:uid="{00000000-0005-0000-0000-000073650000}"/>
    <cellStyle name="Comma 3 2 3 7 7" xfId="17238" xr:uid="{00000000-0005-0000-0000-000074650000}"/>
    <cellStyle name="Comma 3 2 3 7 7 2" xfId="40516" xr:uid="{00000000-0005-0000-0000-000075650000}"/>
    <cellStyle name="Comma 3 2 3 7 8" xfId="24582" xr:uid="{00000000-0005-0000-0000-000076650000}"/>
    <cellStyle name="Comma 3 2 3 7 9" xfId="45412" xr:uid="{00000000-0005-0000-0000-000077650000}"/>
    <cellStyle name="Comma 3 2 3 8" xfId="2527" xr:uid="{00000000-0005-0000-0000-000078650000}"/>
    <cellStyle name="Comma 3 2 3 8 2" xfId="16014" xr:uid="{00000000-0005-0000-0000-000079650000}"/>
    <cellStyle name="Comma 3 2 3 8 2 2" xfId="39292" xr:uid="{00000000-0005-0000-0000-00007A650000}"/>
    <cellStyle name="Comma 3 2 3 8 3" xfId="46636" xr:uid="{00000000-0005-0000-0000-00007B650000}"/>
    <cellStyle name="Comma 3 2 3 8 4" xfId="25806" xr:uid="{00000000-0005-0000-0000-00007C650000}"/>
    <cellStyle name="Comma 3 2 3 9" xfId="4975" xr:uid="{00000000-0005-0000-0000-00007D650000}"/>
    <cellStyle name="Comma 3 2 3 9 2" xfId="18462" xr:uid="{00000000-0005-0000-0000-00007E650000}"/>
    <cellStyle name="Comma 3 2 3 9 2 2" xfId="41740" xr:uid="{00000000-0005-0000-0000-00007F650000}"/>
    <cellStyle name="Comma 3 2 3 9 3" xfId="28254" xr:uid="{00000000-0005-0000-0000-000080650000}"/>
    <cellStyle name="Comma 3 2 4" xfId="96" xr:uid="{00000000-0005-0000-0000-000081650000}"/>
    <cellStyle name="Comma 3 2 4 10" xfId="7440" xr:uid="{00000000-0005-0000-0000-000082650000}"/>
    <cellStyle name="Comma 3 2 4 10 2" xfId="30719" xr:uid="{00000000-0005-0000-0000-000083650000}"/>
    <cellStyle name="Comma 3 2 4 11" xfId="9888" xr:uid="{00000000-0005-0000-0000-000084650000}"/>
    <cellStyle name="Comma 3 2 4 11 2" xfId="33167" xr:uid="{00000000-0005-0000-0000-000085650000}"/>
    <cellStyle name="Comma 3 2 4 12" xfId="12336" xr:uid="{00000000-0005-0000-0000-000086650000}"/>
    <cellStyle name="Comma 3 2 4 12 2" xfId="35615" xr:uid="{00000000-0005-0000-0000-000087650000}"/>
    <cellStyle name="Comma 3 2 4 13" xfId="14807" xr:uid="{00000000-0005-0000-0000-000088650000}"/>
    <cellStyle name="Comma 3 2 4 13 2" xfId="38085" xr:uid="{00000000-0005-0000-0000-000089650000}"/>
    <cellStyle name="Comma 3 2 4 14" xfId="23375" xr:uid="{00000000-0005-0000-0000-00008A650000}"/>
    <cellStyle name="Comma 3 2 4 15" xfId="44205" xr:uid="{00000000-0005-0000-0000-00008B650000}"/>
    <cellStyle name="Comma 3 2 4 16" xfId="20927" xr:uid="{00000000-0005-0000-0000-00008C650000}"/>
    <cellStyle name="Comma 3 2 4 2" xfId="164" xr:uid="{00000000-0005-0000-0000-00008D650000}"/>
    <cellStyle name="Comma 3 2 4 2 10" xfId="12404" xr:uid="{00000000-0005-0000-0000-00008E650000}"/>
    <cellStyle name="Comma 3 2 4 2 10 2" xfId="35683" xr:uid="{00000000-0005-0000-0000-00008F650000}"/>
    <cellStyle name="Comma 3 2 4 2 11" xfId="14875" xr:uid="{00000000-0005-0000-0000-000090650000}"/>
    <cellStyle name="Comma 3 2 4 2 11 2" xfId="38153" xr:uid="{00000000-0005-0000-0000-000091650000}"/>
    <cellStyle name="Comma 3 2 4 2 12" xfId="23443" xr:uid="{00000000-0005-0000-0000-000092650000}"/>
    <cellStyle name="Comma 3 2 4 2 13" xfId="44273" xr:uid="{00000000-0005-0000-0000-000093650000}"/>
    <cellStyle name="Comma 3 2 4 2 14" xfId="20995" xr:uid="{00000000-0005-0000-0000-000094650000}"/>
    <cellStyle name="Comma 3 2 4 2 2" xfId="368" xr:uid="{00000000-0005-0000-0000-000095650000}"/>
    <cellStyle name="Comma 3 2 4 2 2 10" xfId="23647" xr:uid="{00000000-0005-0000-0000-000096650000}"/>
    <cellStyle name="Comma 3 2 4 2 2 11" xfId="44477" xr:uid="{00000000-0005-0000-0000-000097650000}"/>
    <cellStyle name="Comma 3 2 4 2 2 12" xfId="21199" xr:uid="{00000000-0005-0000-0000-000098650000}"/>
    <cellStyle name="Comma 3 2 4 2 2 2" xfId="980" xr:uid="{00000000-0005-0000-0000-000099650000}"/>
    <cellStyle name="Comma 3 2 4 2 2 2 10" xfId="45089" xr:uid="{00000000-0005-0000-0000-00009A650000}"/>
    <cellStyle name="Comma 3 2 4 2 2 2 11" xfId="21811" xr:uid="{00000000-0005-0000-0000-00009B650000}"/>
    <cellStyle name="Comma 3 2 4 2 2 2 2" xfId="2204" xr:uid="{00000000-0005-0000-0000-00009C650000}"/>
    <cellStyle name="Comma 3 2 4 2 2 2 2 10" xfId="23035" xr:uid="{00000000-0005-0000-0000-00009D650000}"/>
    <cellStyle name="Comma 3 2 4 2 2 2 2 2" xfId="4652" xr:uid="{00000000-0005-0000-0000-00009E650000}"/>
    <cellStyle name="Comma 3 2 4 2 2 2 2 2 2" xfId="20587" xr:uid="{00000000-0005-0000-0000-00009F650000}"/>
    <cellStyle name="Comma 3 2 4 2 2 2 2 2 2 2" xfId="43865" xr:uid="{00000000-0005-0000-0000-0000A0650000}"/>
    <cellStyle name="Comma 3 2 4 2 2 2 2 2 3" xfId="48761" xr:uid="{00000000-0005-0000-0000-0000A1650000}"/>
    <cellStyle name="Comma 3 2 4 2 2 2 2 2 4" xfId="27931" xr:uid="{00000000-0005-0000-0000-0000A2650000}"/>
    <cellStyle name="Comma 3 2 4 2 2 2 2 3" xfId="7100" xr:uid="{00000000-0005-0000-0000-0000A3650000}"/>
    <cellStyle name="Comma 3 2 4 2 2 2 2 3 2" xfId="30379" xr:uid="{00000000-0005-0000-0000-0000A4650000}"/>
    <cellStyle name="Comma 3 2 4 2 2 2 2 4" xfId="9548" xr:uid="{00000000-0005-0000-0000-0000A5650000}"/>
    <cellStyle name="Comma 3 2 4 2 2 2 2 4 2" xfId="32827" xr:uid="{00000000-0005-0000-0000-0000A6650000}"/>
    <cellStyle name="Comma 3 2 4 2 2 2 2 5" xfId="11996" xr:uid="{00000000-0005-0000-0000-0000A7650000}"/>
    <cellStyle name="Comma 3 2 4 2 2 2 2 5 2" xfId="35275" xr:uid="{00000000-0005-0000-0000-0000A8650000}"/>
    <cellStyle name="Comma 3 2 4 2 2 2 2 6" xfId="14444" xr:uid="{00000000-0005-0000-0000-0000A9650000}"/>
    <cellStyle name="Comma 3 2 4 2 2 2 2 6 2" xfId="37723" xr:uid="{00000000-0005-0000-0000-0000AA650000}"/>
    <cellStyle name="Comma 3 2 4 2 2 2 2 7" xfId="18139" xr:uid="{00000000-0005-0000-0000-0000AB650000}"/>
    <cellStyle name="Comma 3 2 4 2 2 2 2 7 2" xfId="41417" xr:uid="{00000000-0005-0000-0000-0000AC650000}"/>
    <cellStyle name="Comma 3 2 4 2 2 2 2 8" xfId="25483" xr:uid="{00000000-0005-0000-0000-0000AD650000}"/>
    <cellStyle name="Comma 3 2 4 2 2 2 2 9" xfId="46313" xr:uid="{00000000-0005-0000-0000-0000AE650000}"/>
    <cellStyle name="Comma 3 2 4 2 2 2 3" xfId="3428" xr:uid="{00000000-0005-0000-0000-0000AF650000}"/>
    <cellStyle name="Comma 3 2 4 2 2 2 3 2" xfId="16915" xr:uid="{00000000-0005-0000-0000-0000B0650000}"/>
    <cellStyle name="Comma 3 2 4 2 2 2 3 2 2" xfId="40193" xr:uid="{00000000-0005-0000-0000-0000B1650000}"/>
    <cellStyle name="Comma 3 2 4 2 2 2 3 3" xfId="47537" xr:uid="{00000000-0005-0000-0000-0000B2650000}"/>
    <cellStyle name="Comma 3 2 4 2 2 2 3 4" xfId="26707" xr:uid="{00000000-0005-0000-0000-0000B3650000}"/>
    <cellStyle name="Comma 3 2 4 2 2 2 4" xfId="5876" xr:uid="{00000000-0005-0000-0000-0000B4650000}"/>
    <cellStyle name="Comma 3 2 4 2 2 2 4 2" xfId="19363" xr:uid="{00000000-0005-0000-0000-0000B5650000}"/>
    <cellStyle name="Comma 3 2 4 2 2 2 4 2 2" xfId="42641" xr:uid="{00000000-0005-0000-0000-0000B6650000}"/>
    <cellStyle name="Comma 3 2 4 2 2 2 4 3" xfId="29155" xr:uid="{00000000-0005-0000-0000-0000B7650000}"/>
    <cellStyle name="Comma 3 2 4 2 2 2 5" xfId="8324" xr:uid="{00000000-0005-0000-0000-0000B8650000}"/>
    <cellStyle name="Comma 3 2 4 2 2 2 5 2" xfId="31603" xr:uid="{00000000-0005-0000-0000-0000B9650000}"/>
    <cellStyle name="Comma 3 2 4 2 2 2 6" xfId="10772" xr:uid="{00000000-0005-0000-0000-0000BA650000}"/>
    <cellStyle name="Comma 3 2 4 2 2 2 6 2" xfId="34051" xr:uid="{00000000-0005-0000-0000-0000BB650000}"/>
    <cellStyle name="Comma 3 2 4 2 2 2 7" xfId="13220" xr:uid="{00000000-0005-0000-0000-0000BC650000}"/>
    <cellStyle name="Comma 3 2 4 2 2 2 7 2" xfId="36499" xr:uid="{00000000-0005-0000-0000-0000BD650000}"/>
    <cellStyle name="Comma 3 2 4 2 2 2 8" xfId="15691" xr:uid="{00000000-0005-0000-0000-0000BE650000}"/>
    <cellStyle name="Comma 3 2 4 2 2 2 8 2" xfId="38969" xr:uid="{00000000-0005-0000-0000-0000BF650000}"/>
    <cellStyle name="Comma 3 2 4 2 2 2 9" xfId="24259" xr:uid="{00000000-0005-0000-0000-0000C0650000}"/>
    <cellStyle name="Comma 3 2 4 2 2 3" xfId="1592" xr:uid="{00000000-0005-0000-0000-0000C1650000}"/>
    <cellStyle name="Comma 3 2 4 2 2 3 10" xfId="22423" xr:uid="{00000000-0005-0000-0000-0000C2650000}"/>
    <cellStyle name="Comma 3 2 4 2 2 3 2" xfId="4040" xr:uid="{00000000-0005-0000-0000-0000C3650000}"/>
    <cellStyle name="Comma 3 2 4 2 2 3 2 2" xfId="19975" xr:uid="{00000000-0005-0000-0000-0000C4650000}"/>
    <cellStyle name="Comma 3 2 4 2 2 3 2 2 2" xfId="43253" xr:uid="{00000000-0005-0000-0000-0000C5650000}"/>
    <cellStyle name="Comma 3 2 4 2 2 3 2 3" xfId="48149" xr:uid="{00000000-0005-0000-0000-0000C6650000}"/>
    <cellStyle name="Comma 3 2 4 2 2 3 2 4" xfId="27319" xr:uid="{00000000-0005-0000-0000-0000C7650000}"/>
    <cellStyle name="Comma 3 2 4 2 2 3 3" xfId="6488" xr:uid="{00000000-0005-0000-0000-0000C8650000}"/>
    <cellStyle name="Comma 3 2 4 2 2 3 3 2" xfId="29767" xr:uid="{00000000-0005-0000-0000-0000C9650000}"/>
    <cellStyle name="Comma 3 2 4 2 2 3 4" xfId="8936" xr:uid="{00000000-0005-0000-0000-0000CA650000}"/>
    <cellStyle name="Comma 3 2 4 2 2 3 4 2" xfId="32215" xr:uid="{00000000-0005-0000-0000-0000CB650000}"/>
    <cellStyle name="Comma 3 2 4 2 2 3 5" xfId="11384" xr:uid="{00000000-0005-0000-0000-0000CC650000}"/>
    <cellStyle name="Comma 3 2 4 2 2 3 5 2" xfId="34663" xr:uid="{00000000-0005-0000-0000-0000CD650000}"/>
    <cellStyle name="Comma 3 2 4 2 2 3 6" xfId="13832" xr:uid="{00000000-0005-0000-0000-0000CE650000}"/>
    <cellStyle name="Comma 3 2 4 2 2 3 6 2" xfId="37111" xr:uid="{00000000-0005-0000-0000-0000CF650000}"/>
    <cellStyle name="Comma 3 2 4 2 2 3 7" xfId="17527" xr:uid="{00000000-0005-0000-0000-0000D0650000}"/>
    <cellStyle name="Comma 3 2 4 2 2 3 7 2" xfId="40805" xr:uid="{00000000-0005-0000-0000-0000D1650000}"/>
    <cellStyle name="Comma 3 2 4 2 2 3 8" xfId="24871" xr:uid="{00000000-0005-0000-0000-0000D2650000}"/>
    <cellStyle name="Comma 3 2 4 2 2 3 9" xfId="45701" xr:uid="{00000000-0005-0000-0000-0000D3650000}"/>
    <cellStyle name="Comma 3 2 4 2 2 4" xfId="2816" xr:uid="{00000000-0005-0000-0000-0000D4650000}"/>
    <cellStyle name="Comma 3 2 4 2 2 4 2" xfId="16303" xr:uid="{00000000-0005-0000-0000-0000D5650000}"/>
    <cellStyle name="Comma 3 2 4 2 2 4 2 2" xfId="39581" xr:uid="{00000000-0005-0000-0000-0000D6650000}"/>
    <cellStyle name="Comma 3 2 4 2 2 4 3" xfId="46925" xr:uid="{00000000-0005-0000-0000-0000D7650000}"/>
    <cellStyle name="Comma 3 2 4 2 2 4 4" xfId="26095" xr:uid="{00000000-0005-0000-0000-0000D8650000}"/>
    <cellStyle name="Comma 3 2 4 2 2 5" xfId="5264" xr:uid="{00000000-0005-0000-0000-0000D9650000}"/>
    <cellStyle name="Comma 3 2 4 2 2 5 2" xfId="18751" xr:uid="{00000000-0005-0000-0000-0000DA650000}"/>
    <cellStyle name="Comma 3 2 4 2 2 5 2 2" xfId="42029" xr:uid="{00000000-0005-0000-0000-0000DB650000}"/>
    <cellStyle name="Comma 3 2 4 2 2 5 3" xfId="28543" xr:uid="{00000000-0005-0000-0000-0000DC650000}"/>
    <cellStyle name="Comma 3 2 4 2 2 6" xfId="7712" xr:uid="{00000000-0005-0000-0000-0000DD650000}"/>
    <cellStyle name="Comma 3 2 4 2 2 6 2" xfId="30991" xr:uid="{00000000-0005-0000-0000-0000DE650000}"/>
    <cellStyle name="Comma 3 2 4 2 2 7" xfId="10160" xr:uid="{00000000-0005-0000-0000-0000DF650000}"/>
    <cellStyle name="Comma 3 2 4 2 2 7 2" xfId="33439" xr:uid="{00000000-0005-0000-0000-0000E0650000}"/>
    <cellStyle name="Comma 3 2 4 2 2 8" xfId="12608" xr:uid="{00000000-0005-0000-0000-0000E1650000}"/>
    <cellStyle name="Comma 3 2 4 2 2 8 2" xfId="35887" xr:uid="{00000000-0005-0000-0000-0000E2650000}"/>
    <cellStyle name="Comma 3 2 4 2 2 9" xfId="15079" xr:uid="{00000000-0005-0000-0000-0000E3650000}"/>
    <cellStyle name="Comma 3 2 4 2 2 9 2" xfId="38357" xr:uid="{00000000-0005-0000-0000-0000E4650000}"/>
    <cellStyle name="Comma 3 2 4 2 3" xfId="572" xr:uid="{00000000-0005-0000-0000-0000E5650000}"/>
    <cellStyle name="Comma 3 2 4 2 3 10" xfId="23851" xr:uid="{00000000-0005-0000-0000-0000E6650000}"/>
    <cellStyle name="Comma 3 2 4 2 3 11" xfId="44681" xr:uid="{00000000-0005-0000-0000-0000E7650000}"/>
    <cellStyle name="Comma 3 2 4 2 3 12" xfId="21403" xr:uid="{00000000-0005-0000-0000-0000E8650000}"/>
    <cellStyle name="Comma 3 2 4 2 3 2" xfId="1184" xr:uid="{00000000-0005-0000-0000-0000E9650000}"/>
    <cellStyle name="Comma 3 2 4 2 3 2 10" xfId="45293" xr:uid="{00000000-0005-0000-0000-0000EA650000}"/>
    <cellStyle name="Comma 3 2 4 2 3 2 11" xfId="22015" xr:uid="{00000000-0005-0000-0000-0000EB650000}"/>
    <cellStyle name="Comma 3 2 4 2 3 2 2" xfId="2408" xr:uid="{00000000-0005-0000-0000-0000EC650000}"/>
    <cellStyle name="Comma 3 2 4 2 3 2 2 10" xfId="23239" xr:uid="{00000000-0005-0000-0000-0000ED650000}"/>
    <cellStyle name="Comma 3 2 4 2 3 2 2 2" xfId="4856" xr:uid="{00000000-0005-0000-0000-0000EE650000}"/>
    <cellStyle name="Comma 3 2 4 2 3 2 2 2 2" xfId="20791" xr:uid="{00000000-0005-0000-0000-0000EF650000}"/>
    <cellStyle name="Comma 3 2 4 2 3 2 2 2 2 2" xfId="44069" xr:uid="{00000000-0005-0000-0000-0000F0650000}"/>
    <cellStyle name="Comma 3 2 4 2 3 2 2 2 3" xfId="48965" xr:uid="{00000000-0005-0000-0000-0000F1650000}"/>
    <cellStyle name="Comma 3 2 4 2 3 2 2 2 4" xfId="28135" xr:uid="{00000000-0005-0000-0000-0000F2650000}"/>
    <cellStyle name="Comma 3 2 4 2 3 2 2 3" xfId="7304" xr:uid="{00000000-0005-0000-0000-0000F3650000}"/>
    <cellStyle name="Comma 3 2 4 2 3 2 2 3 2" xfId="30583" xr:uid="{00000000-0005-0000-0000-0000F4650000}"/>
    <cellStyle name="Comma 3 2 4 2 3 2 2 4" xfId="9752" xr:uid="{00000000-0005-0000-0000-0000F5650000}"/>
    <cellStyle name="Comma 3 2 4 2 3 2 2 4 2" xfId="33031" xr:uid="{00000000-0005-0000-0000-0000F6650000}"/>
    <cellStyle name="Comma 3 2 4 2 3 2 2 5" xfId="12200" xr:uid="{00000000-0005-0000-0000-0000F7650000}"/>
    <cellStyle name="Comma 3 2 4 2 3 2 2 5 2" xfId="35479" xr:uid="{00000000-0005-0000-0000-0000F8650000}"/>
    <cellStyle name="Comma 3 2 4 2 3 2 2 6" xfId="14648" xr:uid="{00000000-0005-0000-0000-0000F9650000}"/>
    <cellStyle name="Comma 3 2 4 2 3 2 2 6 2" xfId="37927" xr:uid="{00000000-0005-0000-0000-0000FA650000}"/>
    <cellStyle name="Comma 3 2 4 2 3 2 2 7" xfId="18343" xr:uid="{00000000-0005-0000-0000-0000FB650000}"/>
    <cellStyle name="Comma 3 2 4 2 3 2 2 7 2" xfId="41621" xr:uid="{00000000-0005-0000-0000-0000FC650000}"/>
    <cellStyle name="Comma 3 2 4 2 3 2 2 8" xfId="25687" xr:uid="{00000000-0005-0000-0000-0000FD650000}"/>
    <cellStyle name="Comma 3 2 4 2 3 2 2 9" xfId="46517" xr:uid="{00000000-0005-0000-0000-0000FE650000}"/>
    <cellStyle name="Comma 3 2 4 2 3 2 3" xfId="3632" xr:uid="{00000000-0005-0000-0000-0000FF650000}"/>
    <cellStyle name="Comma 3 2 4 2 3 2 3 2" xfId="17119" xr:uid="{00000000-0005-0000-0000-000000660000}"/>
    <cellStyle name="Comma 3 2 4 2 3 2 3 2 2" xfId="40397" xr:uid="{00000000-0005-0000-0000-000001660000}"/>
    <cellStyle name="Comma 3 2 4 2 3 2 3 3" xfId="47741" xr:uid="{00000000-0005-0000-0000-000002660000}"/>
    <cellStyle name="Comma 3 2 4 2 3 2 3 4" xfId="26911" xr:uid="{00000000-0005-0000-0000-000003660000}"/>
    <cellStyle name="Comma 3 2 4 2 3 2 4" xfId="6080" xr:uid="{00000000-0005-0000-0000-000004660000}"/>
    <cellStyle name="Comma 3 2 4 2 3 2 4 2" xfId="19567" xr:uid="{00000000-0005-0000-0000-000005660000}"/>
    <cellStyle name="Comma 3 2 4 2 3 2 4 2 2" xfId="42845" xr:uid="{00000000-0005-0000-0000-000006660000}"/>
    <cellStyle name="Comma 3 2 4 2 3 2 4 3" xfId="29359" xr:uid="{00000000-0005-0000-0000-000007660000}"/>
    <cellStyle name="Comma 3 2 4 2 3 2 5" xfId="8528" xr:uid="{00000000-0005-0000-0000-000008660000}"/>
    <cellStyle name="Comma 3 2 4 2 3 2 5 2" xfId="31807" xr:uid="{00000000-0005-0000-0000-000009660000}"/>
    <cellStyle name="Comma 3 2 4 2 3 2 6" xfId="10976" xr:uid="{00000000-0005-0000-0000-00000A660000}"/>
    <cellStyle name="Comma 3 2 4 2 3 2 6 2" xfId="34255" xr:uid="{00000000-0005-0000-0000-00000B660000}"/>
    <cellStyle name="Comma 3 2 4 2 3 2 7" xfId="13424" xr:uid="{00000000-0005-0000-0000-00000C660000}"/>
    <cellStyle name="Comma 3 2 4 2 3 2 7 2" xfId="36703" xr:uid="{00000000-0005-0000-0000-00000D660000}"/>
    <cellStyle name="Comma 3 2 4 2 3 2 8" xfId="15895" xr:uid="{00000000-0005-0000-0000-00000E660000}"/>
    <cellStyle name="Comma 3 2 4 2 3 2 8 2" xfId="39173" xr:uid="{00000000-0005-0000-0000-00000F660000}"/>
    <cellStyle name="Comma 3 2 4 2 3 2 9" xfId="24463" xr:uid="{00000000-0005-0000-0000-000010660000}"/>
    <cellStyle name="Comma 3 2 4 2 3 3" xfId="1796" xr:uid="{00000000-0005-0000-0000-000011660000}"/>
    <cellStyle name="Comma 3 2 4 2 3 3 10" xfId="22627" xr:uid="{00000000-0005-0000-0000-000012660000}"/>
    <cellStyle name="Comma 3 2 4 2 3 3 2" xfId="4244" xr:uid="{00000000-0005-0000-0000-000013660000}"/>
    <cellStyle name="Comma 3 2 4 2 3 3 2 2" xfId="20179" xr:uid="{00000000-0005-0000-0000-000014660000}"/>
    <cellStyle name="Comma 3 2 4 2 3 3 2 2 2" xfId="43457" xr:uid="{00000000-0005-0000-0000-000015660000}"/>
    <cellStyle name="Comma 3 2 4 2 3 3 2 3" xfId="48353" xr:uid="{00000000-0005-0000-0000-000016660000}"/>
    <cellStyle name="Comma 3 2 4 2 3 3 2 4" xfId="27523" xr:uid="{00000000-0005-0000-0000-000017660000}"/>
    <cellStyle name="Comma 3 2 4 2 3 3 3" xfId="6692" xr:uid="{00000000-0005-0000-0000-000018660000}"/>
    <cellStyle name="Comma 3 2 4 2 3 3 3 2" xfId="29971" xr:uid="{00000000-0005-0000-0000-000019660000}"/>
    <cellStyle name="Comma 3 2 4 2 3 3 4" xfId="9140" xr:uid="{00000000-0005-0000-0000-00001A660000}"/>
    <cellStyle name="Comma 3 2 4 2 3 3 4 2" xfId="32419" xr:uid="{00000000-0005-0000-0000-00001B660000}"/>
    <cellStyle name="Comma 3 2 4 2 3 3 5" xfId="11588" xr:uid="{00000000-0005-0000-0000-00001C660000}"/>
    <cellStyle name="Comma 3 2 4 2 3 3 5 2" xfId="34867" xr:uid="{00000000-0005-0000-0000-00001D660000}"/>
    <cellStyle name="Comma 3 2 4 2 3 3 6" xfId="14036" xr:uid="{00000000-0005-0000-0000-00001E660000}"/>
    <cellStyle name="Comma 3 2 4 2 3 3 6 2" xfId="37315" xr:uid="{00000000-0005-0000-0000-00001F660000}"/>
    <cellStyle name="Comma 3 2 4 2 3 3 7" xfId="17731" xr:uid="{00000000-0005-0000-0000-000020660000}"/>
    <cellStyle name="Comma 3 2 4 2 3 3 7 2" xfId="41009" xr:uid="{00000000-0005-0000-0000-000021660000}"/>
    <cellStyle name="Comma 3 2 4 2 3 3 8" xfId="25075" xr:uid="{00000000-0005-0000-0000-000022660000}"/>
    <cellStyle name="Comma 3 2 4 2 3 3 9" xfId="45905" xr:uid="{00000000-0005-0000-0000-000023660000}"/>
    <cellStyle name="Comma 3 2 4 2 3 4" xfId="3020" xr:uid="{00000000-0005-0000-0000-000024660000}"/>
    <cellStyle name="Comma 3 2 4 2 3 4 2" xfId="16507" xr:uid="{00000000-0005-0000-0000-000025660000}"/>
    <cellStyle name="Comma 3 2 4 2 3 4 2 2" xfId="39785" xr:uid="{00000000-0005-0000-0000-000026660000}"/>
    <cellStyle name="Comma 3 2 4 2 3 4 3" xfId="47129" xr:uid="{00000000-0005-0000-0000-000027660000}"/>
    <cellStyle name="Comma 3 2 4 2 3 4 4" xfId="26299" xr:uid="{00000000-0005-0000-0000-000028660000}"/>
    <cellStyle name="Comma 3 2 4 2 3 5" xfId="5468" xr:uid="{00000000-0005-0000-0000-000029660000}"/>
    <cellStyle name="Comma 3 2 4 2 3 5 2" xfId="18955" xr:uid="{00000000-0005-0000-0000-00002A660000}"/>
    <cellStyle name="Comma 3 2 4 2 3 5 2 2" xfId="42233" xr:uid="{00000000-0005-0000-0000-00002B660000}"/>
    <cellStyle name="Comma 3 2 4 2 3 5 3" xfId="28747" xr:uid="{00000000-0005-0000-0000-00002C660000}"/>
    <cellStyle name="Comma 3 2 4 2 3 6" xfId="7916" xr:uid="{00000000-0005-0000-0000-00002D660000}"/>
    <cellStyle name="Comma 3 2 4 2 3 6 2" xfId="31195" xr:uid="{00000000-0005-0000-0000-00002E660000}"/>
    <cellStyle name="Comma 3 2 4 2 3 7" xfId="10364" xr:uid="{00000000-0005-0000-0000-00002F660000}"/>
    <cellStyle name="Comma 3 2 4 2 3 7 2" xfId="33643" xr:uid="{00000000-0005-0000-0000-000030660000}"/>
    <cellStyle name="Comma 3 2 4 2 3 8" xfId="12812" xr:uid="{00000000-0005-0000-0000-000031660000}"/>
    <cellStyle name="Comma 3 2 4 2 3 8 2" xfId="36091" xr:uid="{00000000-0005-0000-0000-000032660000}"/>
    <cellStyle name="Comma 3 2 4 2 3 9" xfId="15283" xr:uid="{00000000-0005-0000-0000-000033660000}"/>
    <cellStyle name="Comma 3 2 4 2 3 9 2" xfId="38561" xr:uid="{00000000-0005-0000-0000-000034660000}"/>
    <cellStyle name="Comma 3 2 4 2 4" xfId="776" xr:uid="{00000000-0005-0000-0000-000035660000}"/>
    <cellStyle name="Comma 3 2 4 2 4 10" xfId="44885" xr:uid="{00000000-0005-0000-0000-000036660000}"/>
    <cellStyle name="Comma 3 2 4 2 4 11" xfId="21607" xr:uid="{00000000-0005-0000-0000-000037660000}"/>
    <cellStyle name="Comma 3 2 4 2 4 2" xfId="2000" xr:uid="{00000000-0005-0000-0000-000038660000}"/>
    <cellStyle name="Comma 3 2 4 2 4 2 10" xfId="22831" xr:uid="{00000000-0005-0000-0000-000039660000}"/>
    <cellStyle name="Comma 3 2 4 2 4 2 2" xfId="4448" xr:uid="{00000000-0005-0000-0000-00003A660000}"/>
    <cellStyle name="Comma 3 2 4 2 4 2 2 2" xfId="20383" xr:uid="{00000000-0005-0000-0000-00003B660000}"/>
    <cellStyle name="Comma 3 2 4 2 4 2 2 2 2" xfId="43661" xr:uid="{00000000-0005-0000-0000-00003C660000}"/>
    <cellStyle name="Comma 3 2 4 2 4 2 2 3" xfId="48557" xr:uid="{00000000-0005-0000-0000-00003D660000}"/>
    <cellStyle name="Comma 3 2 4 2 4 2 2 4" xfId="27727" xr:uid="{00000000-0005-0000-0000-00003E660000}"/>
    <cellStyle name="Comma 3 2 4 2 4 2 3" xfId="6896" xr:uid="{00000000-0005-0000-0000-00003F660000}"/>
    <cellStyle name="Comma 3 2 4 2 4 2 3 2" xfId="30175" xr:uid="{00000000-0005-0000-0000-000040660000}"/>
    <cellStyle name="Comma 3 2 4 2 4 2 4" xfId="9344" xr:uid="{00000000-0005-0000-0000-000041660000}"/>
    <cellStyle name="Comma 3 2 4 2 4 2 4 2" xfId="32623" xr:uid="{00000000-0005-0000-0000-000042660000}"/>
    <cellStyle name="Comma 3 2 4 2 4 2 5" xfId="11792" xr:uid="{00000000-0005-0000-0000-000043660000}"/>
    <cellStyle name="Comma 3 2 4 2 4 2 5 2" xfId="35071" xr:uid="{00000000-0005-0000-0000-000044660000}"/>
    <cellStyle name="Comma 3 2 4 2 4 2 6" xfId="14240" xr:uid="{00000000-0005-0000-0000-000045660000}"/>
    <cellStyle name="Comma 3 2 4 2 4 2 6 2" xfId="37519" xr:uid="{00000000-0005-0000-0000-000046660000}"/>
    <cellStyle name="Comma 3 2 4 2 4 2 7" xfId="17935" xr:uid="{00000000-0005-0000-0000-000047660000}"/>
    <cellStyle name="Comma 3 2 4 2 4 2 7 2" xfId="41213" xr:uid="{00000000-0005-0000-0000-000048660000}"/>
    <cellStyle name="Comma 3 2 4 2 4 2 8" xfId="25279" xr:uid="{00000000-0005-0000-0000-000049660000}"/>
    <cellStyle name="Comma 3 2 4 2 4 2 9" xfId="46109" xr:uid="{00000000-0005-0000-0000-00004A660000}"/>
    <cellStyle name="Comma 3 2 4 2 4 3" xfId="3224" xr:uid="{00000000-0005-0000-0000-00004B660000}"/>
    <cellStyle name="Comma 3 2 4 2 4 3 2" xfId="16711" xr:uid="{00000000-0005-0000-0000-00004C660000}"/>
    <cellStyle name="Comma 3 2 4 2 4 3 2 2" xfId="39989" xr:uid="{00000000-0005-0000-0000-00004D660000}"/>
    <cellStyle name="Comma 3 2 4 2 4 3 3" xfId="47333" xr:uid="{00000000-0005-0000-0000-00004E660000}"/>
    <cellStyle name="Comma 3 2 4 2 4 3 4" xfId="26503" xr:uid="{00000000-0005-0000-0000-00004F660000}"/>
    <cellStyle name="Comma 3 2 4 2 4 4" xfId="5672" xr:uid="{00000000-0005-0000-0000-000050660000}"/>
    <cellStyle name="Comma 3 2 4 2 4 4 2" xfId="19159" xr:uid="{00000000-0005-0000-0000-000051660000}"/>
    <cellStyle name="Comma 3 2 4 2 4 4 2 2" xfId="42437" xr:uid="{00000000-0005-0000-0000-000052660000}"/>
    <cellStyle name="Comma 3 2 4 2 4 4 3" xfId="28951" xr:uid="{00000000-0005-0000-0000-000053660000}"/>
    <cellStyle name="Comma 3 2 4 2 4 5" xfId="8120" xr:uid="{00000000-0005-0000-0000-000054660000}"/>
    <cellStyle name="Comma 3 2 4 2 4 5 2" xfId="31399" xr:uid="{00000000-0005-0000-0000-000055660000}"/>
    <cellStyle name="Comma 3 2 4 2 4 6" xfId="10568" xr:uid="{00000000-0005-0000-0000-000056660000}"/>
    <cellStyle name="Comma 3 2 4 2 4 6 2" xfId="33847" xr:uid="{00000000-0005-0000-0000-000057660000}"/>
    <cellStyle name="Comma 3 2 4 2 4 7" xfId="13016" xr:uid="{00000000-0005-0000-0000-000058660000}"/>
    <cellStyle name="Comma 3 2 4 2 4 7 2" xfId="36295" xr:uid="{00000000-0005-0000-0000-000059660000}"/>
    <cellStyle name="Comma 3 2 4 2 4 8" xfId="15487" xr:uid="{00000000-0005-0000-0000-00005A660000}"/>
    <cellStyle name="Comma 3 2 4 2 4 8 2" xfId="38765" xr:uid="{00000000-0005-0000-0000-00005B660000}"/>
    <cellStyle name="Comma 3 2 4 2 4 9" xfId="24055" xr:uid="{00000000-0005-0000-0000-00005C660000}"/>
    <cellStyle name="Comma 3 2 4 2 5" xfId="1388" xr:uid="{00000000-0005-0000-0000-00005D660000}"/>
    <cellStyle name="Comma 3 2 4 2 5 10" xfId="22219" xr:uid="{00000000-0005-0000-0000-00005E660000}"/>
    <cellStyle name="Comma 3 2 4 2 5 2" xfId="3836" xr:uid="{00000000-0005-0000-0000-00005F660000}"/>
    <cellStyle name="Comma 3 2 4 2 5 2 2" xfId="19771" xr:uid="{00000000-0005-0000-0000-000060660000}"/>
    <cellStyle name="Comma 3 2 4 2 5 2 2 2" xfId="43049" xr:uid="{00000000-0005-0000-0000-000061660000}"/>
    <cellStyle name="Comma 3 2 4 2 5 2 3" xfId="47945" xr:uid="{00000000-0005-0000-0000-000062660000}"/>
    <cellStyle name="Comma 3 2 4 2 5 2 4" xfId="27115" xr:uid="{00000000-0005-0000-0000-000063660000}"/>
    <cellStyle name="Comma 3 2 4 2 5 3" xfId="6284" xr:uid="{00000000-0005-0000-0000-000064660000}"/>
    <cellStyle name="Comma 3 2 4 2 5 3 2" xfId="29563" xr:uid="{00000000-0005-0000-0000-000065660000}"/>
    <cellStyle name="Comma 3 2 4 2 5 4" xfId="8732" xr:uid="{00000000-0005-0000-0000-000066660000}"/>
    <cellStyle name="Comma 3 2 4 2 5 4 2" xfId="32011" xr:uid="{00000000-0005-0000-0000-000067660000}"/>
    <cellStyle name="Comma 3 2 4 2 5 5" xfId="11180" xr:uid="{00000000-0005-0000-0000-000068660000}"/>
    <cellStyle name="Comma 3 2 4 2 5 5 2" xfId="34459" xr:uid="{00000000-0005-0000-0000-000069660000}"/>
    <cellStyle name="Comma 3 2 4 2 5 6" xfId="13628" xr:uid="{00000000-0005-0000-0000-00006A660000}"/>
    <cellStyle name="Comma 3 2 4 2 5 6 2" xfId="36907" xr:uid="{00000000-0005-0000-0000-00006B660000}"/>
    <cellStyle name="Comma 3 2 4 2 5 7" xfId="17323" xr:uid="{00000000-0005-0000-0000-00006C660000}"/>
    <cellStyle name="Comma 3 2 4 2 5 7 2" xfId="40601" xr:uid="{00000000-0005-0000-0000-00006D660000}"/>
    <cellStyle name="Comma 3 2 4 2 5 8" xfId="24667" xr:uid="{00000000-0005-0000-0000-00006E660000}"/>
    <cellStyle name="Comma 3 2 4 2 5 9" xfId="45497" xr:uid="{00000000-0005-0000-0000-00006F660000}"/>
    <cellStyle name="Comma 3 2 4 2 6" xfId="2612" xr:uid="{00000000-0005-0000-0000-000070660000}"/>
    <cellStyle name="Comma 3 2 4 2 6 2" xfId="16099" xr:uid="{00000000-0005-0000-0000-000071660000}"/>
    <cellStyle name="Comma 3 2 4 2 6 2 2" xfId="39377" xr:uid="{00000000-0005-0000-0000-000072660000}"/>
    <cellStyle name="Comma 3 2 4 2 6 3" xfId="46721" xr:uid="{00000000-0005-0000-0000-000073660000}"/>
    <cellStyle name="Comma 3 2 4 2 6 4" xfId="25891" xr:uid="{00000000-0005-0000-0000-000074660000}"/>
    <cellStyle name="Comma 3 2 4 2 7" xfId="5060" xr:uid="{00000000-0005-0000-0000-000075660000}"/>
    <cellStyle name="Comma 3 2 4 2 7 2" xfId="18547" xr:uid="{00000000-0005-0000-0000-000076660000}"/>
    <cellStyle name="Comma 3 2 4 2 7 2 2" xfId="41825" xr:uid="{00000000-0005-0000-0000-000077660000}"/>
    <cellStyle name="Comma 3 2 4 2 7 3" xfId="28339" xr:uid="{00000000-0005-0000-0000-000078660000}"/>
    <cellStyle name="Comma 3 2 4 2 8" xfId="7508" xr:uid="{00000000-0005-0000-0000-000079660000}"/>
    <cellStyle name="Comma 3 2 4 2 8 2" xfId="30787" xr:uid="{00000000-0005-0000-0000-00007A660000}"/>
    <cellStyle name="Comma 3 2 4 2 9" xfId="9956" xr:uid="{00000000-0005-0000-0000-00007B660000}"/>
    <cellStyle name="Comma 3 2 4 2 9 2" xfId="33235" xr:uid="{00000000-0005-0000-0000-00007C660000}"/>
    <cellStyle name="Comma 3 2 4 3" xfId="232" xr:uid="{00000000-0005-0000-0000-00007D660000}"/>
    <cellStyle name="Comma 3 2 4 3 10" xfId="12472" xr:uid="{00000000-0005-0000-0000-00007E660000}"/>
    <cellStyle name="Comma 3 2 4 3 10 2" xfId="35751" xr:uid="{00000000-0005-0000-0000-00007F660000}"/>
    <cellStyle name="Comma 3 2 4 3 11" xfId="14943" xr:uid="{00000000-0005-0000-0000-000080660000}"/>
    <cellStyle name="Comma 3 2 4 3 11 2" xfId="38221" xr:uid="{00000000-0005-0000-0000-000081660000}"/>
    <cellStyle name="Comma 3 2 4 3 12" xfId="23511" xr:uid="{00000000-0005-0000-0000-000082660000}"/>
    <cellStyle name="Comma 3 2 4 3 13" xfId="44341" xr:uid="{00000000-0005-0000-0000-000083660000}"/>
    <cellStyle name="Comma 3 2 4 3 14" xfId="21063" xr:uid="{00000000-0005-0000-0000-000084660000}"/>
    <cellStyle name="Comma 3 2 4 3 2" xfId="436" xr:uid="{00000000-0005-0000-0000-000085660000}"/>
    <cellStyle name="Comma 3 2 4 3 2 10" xfId="23715" xr:uid="{00000000-0005-0000-0000-000086660000}"/>
    <cellStyle name="Comma 3 2 4 3 2 11" xfId="44545" xr:uid="{00000000-0005-0000-0000-000087660000}"/>
    <cellStyle name="Comma 3 2 4 3 2 12" xfId="21267" xr:uid="{00000000-0005-0000-0000-000088660000}"/>
    <cellStyle name="Comma 3 2 4 3 2 2" xfId="1048" xr:uid="{00000000-0005-0000-0000-000089660000}"/>
    <cellStyle name="Comma 3 2 4 3 2 2 10" xfId="45157" xr:uid="{00000000-0005-0000-0000-00008A660000}"/>
    <cellStyle name="Comma 3 2 4 3 2 2 11" xfId="21879" xr:uid="{00000000-0005-0000-0000-00008B660000}"/>
    <cellStyle name="Comma 3 2 4 3 2 2 2" xfId="2272" xr:uid="{00000000-0005-0000-0000-00008C660000}"/>
    <cellStyle name="Comma 3 2 4 3 2 2 2 10" xfId="23103" xr:uid="{00000000-0005-0000-0000-00008D660000}"/>
    <cellStyle name="Comma 3 2 4 3 2 2 2 2" xfId="4720" xr:uid="{00000000-0005-0000-0000-00008E660000}"/>
    <cellStyle name="Comma 3 2 4 3 2 2 2 2 2" xfId="20655" xr:uid="{00000000-0005-0000-0000-00008F660000}"/>
    <cellStyle name="Comma 3 2 4 3 2 2 2 2 2 2" xfId="43933" xr:uid="{00000000-0005-0000-0000-000090660000}"/>
    <cellStyle name="Comma 3 2 4 3 2 2 2 2 3" xfId="48829" xr:uid="{00000000-0005-0000-0000-000091660000}"/>
    <cellStyle name="Comma 3 2 4 3 2 2 2 2 4" xfId="27999" xr:uid="{00000000-0005-0000-0000-000092660000}"/>
    <cellStyle name="Comma 3 2 4 3 2 2 2 3" xfId="7168" xr:uid="{00000000-0005-0000-0000-000093660000}"/>
    <cellStyle name="Comma 3 2 4 3 2 2 2 3 2" xfId="30447" xr:uid="{00000000-0005-0000-0000-000094660000}"/>
    <cellStyle name="Comma 3 2 4 3 2 2 2 4" xfId="9616" xr:uid="{00000000-0005-0000-0000-000095660000}"/>
    <cellStyle name="Comma 3 2 4 3 2 2 2 4 2" xfId="32895" xr:uid="{00000000-0005-0000-0000-000096660000}"/>
    <cellStyle name="Comma 3 2 4 3 2 2 2 5" xfId="12064" xr:uid="{00000000-0005-0000-0000-000097660000}"/>
    <cellStyle name="Comma 3 2 4 3 2 2 2 5 2" xfId="35343" xr:uid="{00000000-0005-0000-0000-000098660000}"/>
    <cellStyle name="Comma 3 2 4 3 2 2 2 6" xfId="14512" xr:uid="{00000000-0005-0000-0000-000099660000}"/>
    <cellStyle name="Comma 3 2 4 3 2 2 2 6 2" xfId="37791" xr:uid="{00000000-0005-0000-0000-00009A660000}"/>
    <cellStyle name="Comma 3 2 4 3 2 2 2 7" xfId="18207" xr:uid="{00000000-0005-0000-0000-00009B660000}"/>
    <cellStyle name="Comma 3 2 4 3 2 2 2 7 2" xfId="41485" xr:uid="{00000000-0005-0000-0000-00009C660000}"/>
    <cellStyle name="Comma 3 2 4 3 2 2 2 8" xfId="25551" xr:uid="{00000000-0005-0000-0000-00009D660000}"/>
    <cellStyle name="Comma 3 2 4 3 2 2 2 9" xfId="46381" xr:uid="{00000000-0005-0000-0000-00009E660000}"/>
    <cellStyle name="Comma 3 2 4 3 2 2 3" xfId="3496" xr:uid="{00000000-0005-0000-0000-00009F660000}"/>
    <cellStyle name="Comma 3 2 4 3 2 2 3 2" xfId="16983" xr:uid="{00000000-0005-0000-0000-0000A0660000}"/>
    <cellStyle name="Comma 3 2 4 3 2 2 3 2 2" xfId="40261" xr:uid="{00000000-0005-0000-0000-0000A1660000}"/>
    <cellStyle name="Comma 3 2 4 3 2 2 3 3" xfId="47605" xr:uid="{00000000-0005-0000-0000-0000A2660000}"/>
    <cellStyle name="Comma 3 2 4 3 2 2 3 4" xfId="26775" xr:uid="{00000000-0005-0000-0000-0000A3660000}"/>
    <cellStyle name="Comma 3 2 4 3 2 2 4" xfId="5944" xr:uid="{00000000-0005-0000-0000-0000A4660000}"/>
    <cellStyle name="Comma 3 2 4 3 2 2 4 2" xfId="19431" xr:uid="{00000000-0005-0000-0000-0000A5660000}"/>
    <cellStyle name="Comma 3 2 4 3 2 2 4 2 2" xfId="42709" xr:uid="{00000000-0005-0000-0000-0000A6660000}"/>
    <cellStyle name="Comma 3 2 4 3 2 2 4 3" xfId="29223" xr:uid="{00000000-0005-0000-0000-0000A7660000}"/>
    <cellStyle name="Comma 3 2 4 3 2 2 5" xfId="8392" xr:uid="{00000000-0005-0000-0000-0000A8660000}"/>
    <cellStyle name="Comma 3 2 4 3 2 2 5 2" xfId="31671" xr:uid="{00000000-0005-0000-0000-0000A9660000}"/>
    <cellStyle name="Comma 3 2 4 3 2 2 6" xfId="10840" xr:uid="{00000000-0005-0000-0000-0000AA660000}"/>
    <cellStyle name="Comma 3 2 4 3 2 2 6 2" xfId="34119" xr:uid="{00000000-0005-0000-0000-0000AB660000}"/>
    <cellStyle name="Comma 3 2 4 3 2 2 7" xfId="13288" xr:uid="{00000000-0005-0000-0000-0000AC660000}"/>
    <cellStyle name="Comma 3 2 4 3 2 2 7 2" xfId="36567" xr:uid="{00000000-0005-0000-0000-0000AD660000}"/>
    <cellStyle name="Comma 3 2 4 3 2 2 8" xfId="15759" xr:uid="{00000000-0005-0000-0000-0000AE660000}"/>
    <cellStyle name="Comma 3 2 4 3 2 2 8 2" xfId="39037" xr:uid="{00000000-0005-0000-0000-0000AF660000}"/>
    <cellStyle name="Comma 3 2 4 3 2 2 9" xfId="24327" xr:uid="{00000000-0005-0000-0000-0000B0660000}"/>
    <cellStyle name="Comma 3 2 4 3 2 3" xfId="1660" xr:uid="{00000000-0005-0000-0000-0000B1660000}"/>
    <cellStyle name="Comma 3 2 4 3 2 3 10" xfId="22491" xr:uid="{00000000-0005-0000-0000-0000B2660000}"/>
    <cellStyle name="Comma 3 2 4 3 2 3 2" xfId="4108" xr:uid="{00000000-0005-0000-0000-0000B3660000}"/>
    <cellStyle name="Comma 3 2 4 3 2 3 2 2" xfId="20043" xr:uid="{00000000-0005-0000-0000-0000B4660000}"/>
    <cellStyle name="Comma 3 2 4 3 2 3 2 2 2" xfId="43321" xr:uid="{00000000-0005-0000-0000-0000B5660000}"/>
    <cellStyle name="Comma 3 2 4 3 2 3 2 3" xfId="48217" xr:uid="{00000000-0005-0000-0000-0000B6660000}"/>
    <cellStyle name="Comma 3 2 4 3 2 3 2 4" xfId="27387" xr:uid="{00000000-0005-0000-0000-0000B7660000}"/>
    <cellStyle name="Comma 3 2 4 3 2 3 3" xfId="6556" xr:uid="{00000000-0005-0000-0000-0000B8660000}"/>
    <cellStyle name="Comma 3 2 4 3 2 3 3 2" xfId="29835" xr:uid="{00000000-0005-0000-0000-0000B9660000}"/>
    <cellStyle name="Comma 3 2 4 3 2 3 4" xfId="9004" xr:uid="{00000000-0005-0000-0000-0000BA660000}"/>
    <cellStyle name="Comma 3 2 4 3 2 3 4 2" xfId="32283" xr:uid="{00000000-0005-0000-0000-0000BB660000}"/>
    <cellStyle name="Comma 3 2 4 3 2 3 5" xfId="11452" xr:uid="{00000000-0005-0000-0000-0000BC660000}"/>
    <cellStyle name="Comma 3 2 4 3 2 3 5 2" xfId="34731" xr:uid="{00000000-0005-0000-0000-0000BD660000}"/>
    <cellStyle name="Comma 3 2 4 3 2 3 6" xfId="13900" xr:uid="{00000000-0005-0000-0000-0000BE660000}"/>
    <cellStyle name="Comma 3 2 4 3 2 3 6 2" xfId="37179" xr:uid="{00000000-0005-0000-0000-0000BF660000}"/>
    <cellStyle name="Comma 3 2 4 3 2 3 7" xfId="17595" xr:uid="{00000000-0005-0000-0000-0000C0660000}"/>
    <cellStyle name="Comma 3 2 4 3 2 3 7 2" xfId="40873" xr:uid="{00000000-0005-0000-0000-0000C1660000}"/>
    <cellStyle name="Comma 3 2 4 3 2 3 8" xfId="24939" xr:uid="{00000000-0005-0000-0000-0000C2660000}"/>
    <cellStyle name="Comma 3 2 4 3 2 3 9" xfId="45769" xr:uid="{00000000-0005-0000-0000-0000C3660000}"/>
    <cellStyle name="Comma 3 2 4 3 2 4" xfId="2884" xr:uid="{00000000-0005-0000-0000-0000C4660000}"/>
    <cellStyle name="Comma 3 2 4 3 2 4 2" xfId="16371" xr:uid="{00000000-0005-0000-0000-0000C5660000}"/>
    <cellStyle name="Comma 3 2 4 3 2 4 2 2" xfId="39649" xr:uid="{00000000-0005-0000-0000-0000C6660000}"/>
    <cellStyle name="Comma 3 2 4 3 2 4 3" xfId="46993" xr:uid="{00000000-0005-0000-0000-0000C7660000}"/>
    <cellStyle name="Comma 3 2 4 3 2 4 4" xfId="26163" xr:uid="{00000000-0005-0000-0000-0000C8660000}"/>
    <cellStyle name="Comma 3 2 4 3 2 5" xfId="5332" xr:uid="{00000000-0005-0000-0000-0000C9660000}"/>
    <cellStyle name="Comma 3 2 4 3 2 5 2" xfId="18819" xr:uid="{00000000-0005-0000-0000-0000CA660000}"/>
    <cellStyle name="Comma 3 2 4 3 2 5 2 2" xfId="42097" xr:uid="{00000000-0005-0000-0000-0000CB660000}"/>
    <cellStyle name="Comma 3 2 4 3 2 5 3" xfId="28611" xr:uid="{00000000-0005-0000-0000-0000CC660000}"/>
    <cellStyle name="Comma 3 2 4 3 2 6" xfId="7780" xr:uid="{00000000-0005-0000-0000-0000CD660000}"/>
    <cellStyle name="Comma 3 2 4 3 2 6 2" xfId="31059" xr:uid="{00000000-0005-0000-0000-0000CE660000}"/>
    <cellStyle name="Comma 3 2 4 3 2 7" xfId="10228" xr:uid="{00000000-0005-0000-0000-0000CF660000}"/>
    <cellStyle name="Comma 3 2 4 3 2 7 2" xfId="33507" xr:uid="{00000000-0005-0000-0000-0000D0660000}"/>
    <cellStyle name="Comma 3 2 4 3 2 8" xfId="12676" xr:uid="{00000000-0005-0000-0000-0000D1660000}"/>
    <cellStyle name="Comma 3 2 4 3 2 8 2" xfId="35955" xr:uid="{00000000-0005-0000-0000-0000D2660000}"/>
    <cellStyle name="Comma 3 2 4 3 2 9" xfId="15147" xr:uid="{00000000-0005-0000-0000-0000D3660000}"/>
    <cellStyle name="Comma 3 2 4 3 2 9 2" xfId="38425" xr:uid="{00000000-0005-0000-0000-0000D4660000}"/>
    <cellStyle name="Comma 3 2 4 3 3" xfId="640" xr:uid="{00000000-0005-0000-0000-0000D5660000}"/>
    <cellStyle name="Comma 3 2 4 3 3 10" xfId="23919" xr:uid="{00000000-0005-0000-0000-0000D6660000}"/>
    <cellStyle name="Comma 3 2 4 3 3 11" xfId="44749" xr:uid="{00000000-0005-0000-0000-0000D7660000}"/>
    <cellStyle name="Comma 3 2 4 3 3 12" xfId="21471" xr:uid="{00000000-0005-0000-0000-0000D8660000}"/>
    <cellStyle name="Comma 3 2 4 3 3 2" xfId="1252" xr:uid="{00000000-0005-0000-0000-0000D9660000}"/>
    <cellStyle name="Comma 3 2 4 3 3 2 10" xfId="45361" xr:uid="{00000000-0005-0000-0000-0000DA660000}"/>
    <cellStyle name="Comma 3 2 4 3 3 2 11" xfId="22083" xr:uid="{00000000-0005-0000-0000-0000DB660000}"/>
    <cellStyle name="Comma 3 2 4 3 3 2 2" xfId="2476" xr:uid="{00000000-0005-0000-0000-0000DC660000}"/>
    <cellStyle name="Comma 3 2 4 3 3 2 2 10" xfId="23307" xr:uid="{00000000-0005-0000-0000-0000DD660000}"/>
    <cellStyle name="Comma 3 2 4 3 3 2 2 2" xfId="4924" xr:uid="{00000000-0005-0000-0000-0000DE660000}"/>
    <cellStyle name="Comma 3 2 4 3 3 2 2 2 2" xfId="20859" xr:uid="{00000000-0005-0000-0000-0000DF660000}"/>
    <cellStyle name="Comma 3 2 4 3 3 2 2 2 2 2" xfId="44137" xr:uid="{00000000-0005-0000-0000-0000E0660000}"/>
    <cellStyle name="Comma 3 2 4 3 3 2 2 2 3" xfId="49033" xr:uid="{00000000-0005-0000-0000-0000E1660000}"/>
    <cellStyle name="Comma 3 2 4 3 3 2 2 2 4" xfId="28203" xr:uid="{00000000-0005-0000-0000-0000E2660000}"/>
    <cellStyle name="Comma 3 2 4 3 3 2 2 3" xfId="7372" xr:uid="{00000000-0005-0000-0000-0000E3660000}"/>
    <cellStyle name="Comma 3 2 4 3 3 2 2 3 2" xfId="30651" xr:uid="{00000000-0005-0000-0000-0000E4660000}"/>
    <cellStyle name="Comma 3 2 4 3 3 2 2 4" xfId="9820" xr:uid="{00000000-0005-0000-0000-0000E5660000}"/>
    <cellStyle name="Comma 3 2 4 3 3 2 2 4 2" xfId="33099" xr:uid="{00000000-0005-0000-0000-0000E6660000}"/>
    <cellStyle name="Comma 3 2 4 3 3 2 2 5" xfId="12268" xr:uid="{00000000-0005-0000-0000-0000E7660000}"/>
    <cellStyle name="Comma 3 2 4 3 3 2 2 5 2" xfId="35547" xr:uid="{00000000-0005-0000-0000-0000E8660000}"/>
    <cellStyle name="Comma 3 2 4 3 3 2 2 6" xfId="14716" xr:uid="{00000000-0005-0000-0000-0000E9660000}"/>
    <cellStyle name="Comma 3 2 4 3 3 2 2 6 2" xfId="37995" xr:uid="{00000000-0005-0000-0000-0000EA660000}"/>
    <cellStyle name="Comma 3 2 4 3 3 2 2 7" xfId="18411" xr:uid="{00000000-0005-0000-0000-0000EB660000}"/>
    <cellStyle name="Comma 3 2 4 3 3 2 2 7 2" xfId="41689" xr:uid="{00000000-0005-0000-0000-0000EC660000}"/>
    <cellStyle name="Comma 3 2 4 3 3 2 2 8" xfId="25755" xr:uid="{00000000-0005-0000-0000-0000ED660000}"/>
    <cellStyle name="Comma 3 2 4 3 3 2 2 9" xfId="46585" xr:uid="{00000000-0005-0000-0000-0000EE660000}"/>
    <cellStyle name="Comma 3 2 4 3 3 2 3" xfId="3700" xr:uid="{00000000-0005-0000-0000-0000EF660000}"/>
    <cellStyle name="Comma 3 2 4 3 3 2 3 2" xfId="17187" xr:uid="{00000000-0005-0000-0000-0000F0660000}"/>
    <cellStyle name="Comma 3 2 4 3 3 2 3 2 2" xfId="40465" xr:uid="{00000000-0005-0000-0000-0000F1660000}"/>
    <cellStyle name="Comma 3 2 4 3 3 2 3 3" xfId="47809" xr:uid="{00000000-0005-0000-0000-0000F2660000}"/>
    <cellStyle name="Comma 3 2 4 3 3 2 3 4" xfId="26979" xr:uid="{00000000-0005-0000-0000-0000F3660000}"/>
    <cellStyle name="Comma 3 2 4 3 3 2 4" xfId="6148" xr:uid="{00000000-0005-0000-0000-0000F4660000}"/>
    <cellStyle name="Comma 3 2 4 3 3 2 4 2" xfId="19635" xr:uid="{00000000-0005-0000-0000-0000F5660000}"/>
    <cellStyle name="Comma 3 2 4 3 3 2 4 2 2" xfId="42913" xr:uid="{00000000-0005-0000-0000-0000F6660000}"/>
    <cellStyle name="Comma 3 2 4 3 3 2 4 3" xfId="29427" xr:uid="{00000000-0005-0000-0000-0000F7660000}"/>
    <cellStyle name="Comma 3 2 4 3 3 2 5" xfId="8596" xr:uid="{00000000-0005-0000-0000-0000F8660000}"/>
    <cellStyle name="Comma 3 2 4 3 3 2 5 2" xfId="31875" xr:uid="{00000000-0005-0000-0000-0000F9660000}"/>
    <cellStyle name="Comma 3 2 4 3 3 2 6" xfId="11044" xr:uid="{00000000-0005-0000-0000-0000FA660000}"/>
    <cellStyle name="Comma 3 2 4 3 3 2 6 2" xfId="34323" xr:uid="{00000000-0005-0000-0000-0000FB660000}"/>
    <cellStyle name="Comma 3 2 4 3 3 2 7" xfId="13492" xr:uid="{00000000-0005-0000-0000-0000FC660000}"/>
    <cellStyle name="Comma 3 2 4 3 3 2 7 2" xfId="36771" xr:uid="{00000000-0005-0000-0000-0000FD660000}"/>
    <cellStyle name="Comma 3 2 4 3 3 2 8" xfId="15963" xr:uid="{00000000-0005-0000-0000-0000FE660000}"/>
    <cellStyle name="Comma 3 2 4 3 3 2 8 2" xfId="39241" xr:uid="{00000000-0005-0000-0000-0000FF660000}"/>
    <cellStyle name="Comma 3 2 4 3 3 2 9" xfId="24531" xr:uid="{00000000-0005-0000-0000-000000670000}"/>
    <cellStyle name="Comma 3 2 4 3 3 3" xfId="1864" xr:uid="{00000000-0005-0000-0000-000001670000}"/>
    <cellStyle name="Comma 3 2 4 3 3 3 10" xfId="22695" xr:uid="{00000000-0005-0000-0000-000002670000}"/>
    <cellStyle name="Comma 3 2 4 3 3 3 2" xfId="4312" xr:uid="{00000000-0005-0000-0000-000003670000}"/>
    <cellStyle name="Comma 3 2 4 3 3 3 2 2" xfId="20247" xr:uid="{00000000-0005-0000-0000-000004670000}"/>
    <cellStyle name="Comma 3 2 4 3 3 3 2 2 2" xfId="43525" xr:uid="{00000000-0005-0000-0000-000005670000}"/>
    <cellStyle name="Comma 3 2 4 3 3 3 2 3" xfId="48421" xr:uid="{00000000-0005-0000-0000-000006670000}"/>
    <cellStyle name="Comma 3 2 4 3 3 3 2 4" xfId="27591" xr:uid="{00000000-0005-0000-0000-000007670000}"/>
    <cellStyle name="Comma 3 2 4 3 3 3 3" xfId="6760" xr:uid="{00000000-0005-0000-0000-000008670000}"/>
    <cellStyle name="Comma 3 2 4 3 3 3 3 2" xfId="30039" xr:uid="{00000000-0005-0000-0000-000009670000}"/>
    <cellStyle name="Comma 3 2 4 3 3 3 4" xfId="9208" xr:uid="{00000000-0005-0000-0000-00000A670000}"/>
    <cellStyle name="Comma 3 2 4 3 3 3 4 2" xfId="32487" xr:uid="{00000000-0005-0000-0000-00000B670000}"/>
    <cellStyle name="Comma 3 2 4 3 3 3 5" xfId="11656" xr:uid="{00000000-0005-0000-0000-00000C670000}"/>
    <cellStyle name="Comma 3 2 4 3 3 3 5 2" xfId="34935" xr:uid="{00000000-0005-0000-0000-00000D670000}"/>
    <cellStyle name="Comma 3 2 4 3 3 3 6" xfId="14104" xr:uid="{00000000-0005-0000-0000-00000E670000}"/>
    <cellStyle name="Comma 3 2 4 3 3 3 6 2" xfId="37383" xr:uid="{00000000-0005-0000-0000-00000F670000}"/>
    <cellStyle name="Comma 3 2 4 3 3 3 7" xfId="17799" xr:uid="{00000000-0005-0000-0000-000010670000}"/>
    <cellStyle name="Comma 3 2 4 3 3 3 7 2" xfId="41077" xr:uid="{00000000-0005-0000-0000-000011670000}"/>
    <cellStyle name="Comma 3 2 4 3 3 3 8" xfId="25143" xr:uid="{00000000-0005-0000-0000-000012670000}"/>
    <cellStyle name="Comma 3 2 4 3 3 3 9" xfId="45973" xr:uid="{00000000-0005-0000-0000-000013670000}"/>
    <cellStyle name="Comma 3 2 4 3 3 4" xfId="3088" xr:uid="{00000000-0005-0000-0000-000014670000}"/>
    <cellStyle name="Comma 3 2 4 3 3 4 2" xfId="16575" xr:uid="{00000000-0005-0000-0000-000015670000}"/>
    <cellStyle name="Comma 3 2 4 3 3 4 2 2" xfId="39853" xr:uid="{00000000-0005-0000-0000-000016670000}"/>
    <cellStyle name="Comma 3 2 4 3 3 4 3" xfId="47197" xr:uid="{00000000-0005-0000-0000-000017670000}"/>
    <cellStyle name="Comma 3 2 4 3 3 4 4" xfId="26367" xr:uid="{00000000-0005-0000-0000-000018670000}"/>
    <cellStyle name="Comma 3 2 4 3 3 5" xfId="5536" xr:uid="{00000000-0005-0000-0000-000019670000}"/>
    <cellStyle name="Comma 3 2 4 3 3 5 2" xfId="19023" xr:uid="{00000000-0005-0000-0000-00001A670000}"/>
    <cellStyle name="Comma 3 2 4 3 3 5 2 2" xfId="42301" xr:uid="{00000000-0005-0000-0000-00001B670000}"/>
    <cellStyle name="Comma 3 2 4 3 3 5 3" xfId="28815" xr:uid="{00000000-0005-0000-0000-00001C670000}"/>
    <cellStyle name="Comma 3 2 4 3 3 6" xfId="7984" xr:uid="{00000000-0005-0000-0000-00001D670000}"/>
    <cellStyle name="Comma 3 2 4 3 3 6 2" xfId="31263" xr:uid="{00000000-0005-0000-0000-00001E670000}"/>
    <cellStyle name="Comma 3 2 4 3 3 7" xfId="10432" xr:uid="{00000000-0005-0000-0000-00001F670000}"/>
    <cellStyle name="Comma 3 2 4 3 3 7 2" xfId="33711" xr:uid="{00000000-0005-0000-0000-000020670000}"/>
    <cellStyle name="Comma 3 2 4 3 3 8" xfId="12880" xr:uid="{00000000-0005-0000-0000-000021670000}"/>
    <cellStyle name="Comma 3 2 4 3 3 8 2" xfId="36159" xr:uid="{00000000-0005-0000-0000-000022670000}"/>
    <cellStyle name="Comma 3 2 4 3 3 9" xfId="15351" xr:uid="{00000000-0005-0000-0000-000023670000}"/>
    <cellStyle name="Comma 3 2 4 3 3 9 2" xfId="38629" xr:uid="{00000000-0005-0000-0000-000024670000}"/>
    <cellStyle name="Comma 3 2 4 3 4" xfId="844" xr:uid="{00000000-0005-0000-0000-000025670000}"/>
    <cellStyle name="Comma 3 2 4 3 4 10" xfId="44953" xr:uid="{00000000-0005-0000-0000-000026670000}"/>
    <cellStyle name="Comma 3 2 4 3 4 11" xfId="21675" xr:uid="{00000000-0005-0000-0000-000027670000}"/>
    <cellStyle name="Comma 3 2 4 3 4 2" xfId="2068" xr:uid="{00000000-0005-0000-0000-000028670000}"/>
    <cellStyle name="Comma 3 2 4 3 4 2 10" xfId="22899" xr:uid="{00000000-0005-0000-0000-000029670000}"/>
    <cellStyle name="Comma 3 2 4 3 4 2 2" xfId="4516" xr:uid="{00000000-0005-0000-0000-00002A670000}"/>
    <cellStyle name="Comma 3 2 4 3 4 2 2 2" xfId="20451" xr:uid="{00000000-0005-0000-0000-00002B670000}"/>
    <cellStyle name="Comma 3 2 4 3 4 2 2 2 2" xfId="43729" xr:uid="{00000000-0005-0000-0000-00002C670000}"/>
    <cellStyle name="Comma 3 2 4 3 4 2 2 3" xfId="48625" xr:uid="{00000000-0005-0000-0000-00002D670000}"/>
    <cellStyle name="Comma 3 2 4 3 4 2 2 4" xfId="27795" xr:uid="{00000000-0005-0000-0000-00002E670000}"/>
    <cellStyle name="Comma 3 2 4 3 4 2 3" xfId="6964" xr:uid="{00000000-0005-0000-0000-00002F670000}"/>
    <cellStyle name="Comma 3 2 4 3 4 2 3 2" xfId="30243" xr:uid="{00000000-0005-0000-0000-000030670000}"/>
    <cellStyle name="Comma 3 2 4 3 4 2 4" xfId="9412" xr:uid="{00000000-0005-0000-0000-000031670000}"/>
    <cellStyle name="Comma 3 2 4 3 4 2 4 2" xfId="32691" xr:uid="{00000000-0005-0000-0000-000032670000}"/>
    <cellStyle name="Comma 3 2 4 3 4 2 5" xfId="11860" xr:uid="{00000000-0005-0000-0000-000033670000}"/>
    <cellStyle name="Comma 3 2 4 3 4 2 5 2" xfId="35139" xr:uid="{00000000-0005-0000-0000-000034670000}"/>
    <cellStyle name="Comma 3 2 4 3 4 2 6" xfId="14308" xr:uid="{00000000-0005-0000-0000-000035670000}"/>
    <cellStyle name="Comma 3 2 4 3 4 2 6 2" xfId="37587" xr:uid="{00000000-0005-0000-0000-000036670000}"/>
    <cellStyle name="Comma 3 2 4 3 4 2 7" xfId="18003" xr:uid="{00000000-0005-0000-0000-000037670000}"/>
    <cellStyle name="Comma 3 2 4 3 4 2 7 2" xfId="41281" xr:uid="{00000000-0005-0000-0000-000038670000}"/>
    <cellStyle name="Comma 3 2 4 3 4 2 8" xfId="25347" xr:uid="{00000000-0005-0000-0000-000039670000}"/>
    <cellStyle name="Comma 3 2 4 3 4 2 9" xfId="46177" xr:uid="{00000000-0005-0000-0000-00003A670000}"/>
    <cellStyle name="Comma 3 2 4 3 4 3" xfId="3292" xr:uid="{00000000-0005-0000-0000-00003B670000}"/>
    <cellStyle name="Comma 3 2 4 3 4 3 2" xfId="16779" xr:uid="{00000000-0005-0000-0000-00003C670000}"/>
    <cellStyle name="Comma 3 2 4 3 4 3 2 2" xfId="40057" xr:uid="{00000000-0005-0000-0000-00003D670000}"/>
    <cellStyle name="Comma 3 2 4 3 4 3 3" xfId="47401" xr:uid="{00000000-0005-0000-0000-00003E670000}"/>
    <cellStyle name="Comma 3 2 4 3 4 3 4" xfId="26571" xr:uid="{00000000-0005-0000-0000-00003F670000}"/>
    <cellStyle name="Comma 3 2 4 3 4 4" xfId="5740" xr:uid="{00000000-0005-0000-0000-000040670000}"/>
    <cellStyle name="Comma 3 2 4 3 4 4 2" xfId="19227" xr:uid="{00000000-0005-0000-0000-000041670000}"/>
    <cellStyle name="Comma 3 2 4 3 4 4 2 2" xfId="42505" xr:uid="{00000000-0005-0000-0000-000042670000}"/>
    <cellStyle name="Comma 3 2 4 3 4 4 3" xfId="29019" xr:uid="{00000000-0005-0000-0000-000043670000}"/>
    <cellStyle name="Comma 3 2 4 3 4 5" xfId="8188" xr:uid="{00000000-0005-0000-0000-000044670000}"/>
    <cellStyle name="Comma 3 2 4 3 4 5 2" xfId="31467" xr:uid="{00000000-0005-0000-0000-000045670000}"/>
    <cellStyle name="Comma 3 2 4 3 4 6" xfId="10636" xr:uid="{00000000-0005-0000-0000-000046670000}"/>
    <cellStyle name="Comma 3 2 4 3 4 6 2" xfId="33915" xr:uid="{00000000-0005-0000-0000-000047670000}"/>
    <cellStyle name="Comma 3 2 4 3 4 7" xfId="13084" xr:uid="{00000000-0005-0000-0000-000048670000}"/>
    <cellStyle name="Comma 3 2 4 3 4 7 2" xfId="36363" xr:uid="{00000000-0005-0000-0000-000049670000}"/>
    <cellStyle name="Comma 3 2 4 3 4 8" xfId="15555" xr:uid="{00000000-0005-0000-0000-00004A670000}"/>
    <cellStyle name="Comma 3 2 4 3 4 8 2" xfId="38833" xr:uid="{00000000-0005-0000-0000-00004B670000}"/>
    <cellStyle name="Comma 3 2 4 3 4 9" xfId="24123" xr:uid="{00000000-0005-0000-0000-00004C670000}"/>
    <cellStyle name="Comma 3 2 4 3 5" xfId="1456" xr:uid="{00000000-0005-0000-0000-00004D670000}"/>
    <cellStyle name="Comma 3 2 4 3 5 10" xfId="22287" xr:uid="{00000000-0005-0000-0000-00004E670000}"/>
    <cellStyle name="Comma 3 2 4 3 5 2" xfId="3904" xr:uid="{00000000-0005-0000-0000-00004F670000}"/>
    <cellStyle name="Comma 3 2 4 3 5 2 2" xfId="19839" xr:uid="{00000000-0005-0000-0000-000050670000}"/>
    <cellStyle name="Comma 3 2 4 3 5 2 2 2" xfId="43117" xr:uid="{00000000-0005-0000-0000-000051670000}"/>
    <cellStyle name="Comma 3 2 4 3 5 2 3" xfId="48013" xr:uid="{00000000-0005-0000-0000-000052670000}"/>
    <cellStyle name="Comma 3 2 4 3 5 2 4" xfId="27183" xr:uid="{00000000-0005-0000-0000-000053670000}"/>
    <cellStyle name="Comma 3 2 4 3 5 3" xfId="6352" xr:uid="{00000000-0005-0000-0000-000054670000}"/>
    <cellStyle name="Comma 3 2 4 3 5 3 2" xfId="29631" xr:uid="{00000000-0005-0000-0000-000055670000}"/>
    <cellStyle name="Comma 3 2 4 3 5 4" xfId="8800" xr:uid="{00000000-0005-0000-0000-000056670000}"/>
    <cellStyle name="Comma 3 2 4 3 5 4 2" xfId="32079" xr:uid="{00000000-0005-0000-0000-000057670000}"/>
    <cellStyle name="Comma 3 2 4 3 5 5" xfId="11248" xr:uid="{00000000-0005-0000-0000-000058670000}"/>
    <cellStyle name="Comma 3 2 4 3 5 5 2" xfId="34527" xr:uid="{00000000-0005-0000-0000-000059670000}"/>
    <cellStyle name="Comma 3 2 4 3 5 6" xfId="13696" xr:uid="{00000000-0005-0000-0000-00005A670000}"/>
    <cellStyle name="Comma 3 2 4 3 5 6 2" xfId="36975" xr:uid="{00000000-0005-0000-0000-00005B670000}"/>
    <cellStyle name="Comma 3 2 4 3 5 7" xfId="17391" xr:uid="{00000000-0005-0000-0000-00005C670000}"/>
    <cellStyle name="Comma 3 2 4 3 5 7 2" xfId="40669" xr:uid="{00000000-0005-0000-0000-00005D670000}"/>
    <cellStyle name="Comma 3 2 4 3 5 8" xfId="24735" xr:uid="{00000000-0005-0000-0000-00005E670000}"/>
    <cellStyle name="Comma 3 2 4 3 5 9" xfId="45565" xr:uid="{00000000-0005-0000-0000-00005F670000}"/>
    <cellStyle name="Comma 3 2 4 3 6" xfId="2680" xr:uid="{00000000-0005-0000-0000-000060670000}"/>
    <cellStyle name="Comma 3 2 4 3 6 2" xfId="16167" xr:uid="{00000000-0005-0000-0000-000061670000}"/>
    <cellStyle name="Comma 3 2 4 3 6 2 2" xfId="39445" xr:uid="{00000000-0005-0000-0000-000062670000}"/>
    <cellStyle name="Comma 3 2 4 3 6 3" xfId="46789" xr:uid="{00000000-0005-0000-0000-000063670000}"/>
    <cellStyle name="Comma 3 2 4 3 6 4" xfId="25959" xr:uid="{00000000-0005-0000-0000-000064670000}"/>
    <cellStyle name="Comma 3 2 4 3 7" xfId="5128" xr:uid="{00000000-0005-0000-0000-000065670000}"/>
    <cellStyle name="Comma 3 2 4 3 7 2" xfId="18615" xr:uid="{00000000-0005-0000-0000-000066670000}"/>
    <cellStyle name="Comma 3 2 4 3 7 2 2" xfId="41893" xr:uid="{00000000-0005-0000-0000-000067670000}"/>
    <cellStyle name="Comma 3 2 4 3 7 3" xfId="28407" xr:uid="{00000000-0005-0000-0000-000068670000}"/>
    <cellStyle name="Comma 3 2 4 3 8" xfId="7576" xr:uid="{00000000-0005-0000-0000-000069670000}"/>
    <cellStyle name="Comma 3 2 4 3 8 2" xfId="30855" xr:uid="{00000000-0005-0000-0000-00006A670000}"/>
    <cellStyle name="Comma 3 2 4 3 9" xfId="10024" xr:uid="{00000000-0005-0000-0000-00006B670000}"/>
    <cellStyle name="Comma 3 2 4 3 9 2" xfId="33303" xr:uid="{00000000-0005-0000-0000-00006C670000}"/>
    <cellStyle name="Comma 3 2 4 4" xfId="300" xr:uid="{00000000-0005-0000-0000-00006D670000}"/>
    <cellStyle name="Comma 3 2 4 4 10" xfId="23579" xr:uid="{00000000-0005-0000-0000-00006E670000}"/>
    <cellStyle name="Comma 3 2 4 4 11" xfId="44409" xr:uid="{00000000-0005-0000-0000-00006F670000}"/>
    <cellStyle name="Comma 3 2 4 4 12" xfId="21131" xr:uid="{00000000-0005-0000-0000-000070670000}"/>
    <cellStyle name="Comma 3 2 4 4 2" xfId="912" xr:uid="{00000000-0005-0000-0000-000071670000}"/>
    <cellStyle name="Comma 3 2 4 4 2 10" xfId="45021" xr:uid="{00000000-0005-0000-0000-000072670000}"/>
    <cellStyle name="Comma 3 2 4 4 2 11" xfId="21743" xr:uid="{00000000-0005-0000-0000-000073670000}"/>
    <cellStyle name="Comma 3 2 4 4 2 2" xfId="2136" xr:uid="{00000000-0005-0000-0000-000074670000}"/>
    <cellStyle name="Comma 3 2 4 4 2 2 10" xfId="22967" xr:uid="{00000000-0005-0000-0000-000075670000}"/>
    <cellStyle name="Comma 3 2 4 4 2 2 2" xfId="4584" xr:uid="{00000000-0005-0000-0000-000076670000}"/>
    <cellStyle name="Comma 3 2 4 4 2 2 2 2" xfId="20519" xr:uid="{00000000-0005-0000-0000-000077670000}"/>
    <cellStyle name="Comma 3 2 4 4 2 2 2 2 2" xfId="43797" xr:uid="{00000000-0005-0000-0000-000078670000}"/>
    <cellStyle name="Comma 3 2 4 4 2 2 2 3" xfId="48693" xr:uid="{00000000-0005-0000-0000-000079670000}"/>
    <cellStyle name="Comma 3 2 4 4 2 2 2 4" xfId="27863" xr:uid="{00000000-0005-0000-0000-00007A670000}"/>
    <cellStyle name="Comma 3 2 4 4 2 2 3" xfId="7032" xr:uid="{00000000-0005-0000-0000-00007B670000}"/>
    <cellStyle name="Comma 3 2 4 4 2 2 3 2" xfId="30311" xr:uid="{00000000-0005-0000-0000-00007C670000}"/>
    <cellStyle name="Comma 3 2 4 4 2 2 4" xfId="9480" xr:uid="{00000000-0005-0000-0000-00007D670000}"/>
    <cellStyle name="Comma 3 2 4 4 2 2 4 2" xfId="32759" xr:uid="{00000000-0005-0000-0000-00007E670000}"/>
    <cellStyle name="Comma 3 2 4 4 2 2 5" xfId="11928" xr:uid="{00000000-0005-0000-0000-00007F670000}"/>
    <cellStyle name="Comma 3 2 4 4 2 2 5 2" xfId="35207" xr:uid="{00000000-0005-0000-0000-000080670000}"/>
    <cellStyle name="Comma 3 2 4 4 2 2 6" xfId="14376" xr:uid="{00000000-0005-0000-0000-000081670000}"/>
    <cellStyle name="Comma 3 2 4 4 2 2 6 2" xfId="37655" xr:uid="{00000000-0005-0000-0000-000082670000}"/>
    <cellStyle name="Comma 3 2 4 4 2 2 7" xfId="18071" xr:uid="{00000000-0005-0000-0000-000083670000}"/>
    <cellStyle name="Comma 3 2 4 4 2 2 7 2" xfId="41349" xr:uid="{00000000-0005-0000-0000-000084670000}"/>
    <cellStyle name="Comma 3 2 4 4 2 2 8" xfId="25415" xr:uid="{00000000-0005-0000-0000-000085670000}"/>
    <cellStyle name="Comma 3 2 4 4 2 2 9" xfId="46245" xr:uid="{00000000-0005-0000-0000-000086670000}"/>
    <cellStyle name="Comma 3 2 4 4 2 3" xfId="3360" xr:uid="{00000000-0005-0000-0000-000087670000}"/>
    <cellStyle name="Comma 3 2 4 4 2 3 2" xfId="16847" xr:uid="{00000000-0005-0000-0000-000088670000}"/>
    <cellStyle name="Comma 3 2 4 4 2 3 2 2" xfId="40125" xr:uid="{00000000-0005-0000-0000-000089670000}"/>
    <cellStyle name="Comma 3 2 4 4 2 3 3" xfId="47469" xr:uid="{00000000-0005-0000-0000-00008A670000}"/>
    <cellStyle name="Comma 3 2 4 4 2 3 4" xfId="26639" xr:uid="{00000000-0005-0000-0000-00008B670000}"/>
    <cellStyle name="Comma 3 2 4 4 2 4" xfId="5808" xr:uid="{00000000-0005-0000-0000-00008C670000}"/>
    <cellStyle name="Comma 3 2 4 4 2 4 2" xfId="19295" xr:uid="{00000000-0005-0000-0000-00008D670000}"/>
    <cellStyle name="Comma 3 2 4 4 2 4 2 2" xfId="42573" xr:uid="{00000000-0005-0000-0000-00008E670000}"/>
    <cellStyle name="Comma 3 2 4 4 2 4 3" xfId="29087" xr:uid="{00000000-0005-0000-0000-00008F670000}"/>
    <cellStyle name="Comma 3 2 4 4 2 5" xfId="8256" xr:uid="{00000000-0005-0000-0000-000090670000}"/>
    <cellStyle name="Comma 3 2 4 4 2 5 2" xfId="31535" xr:uid="{00000000-0005-0000-0000-000091670000}"/>
    <cellStyle name="Comma 3 2 4 4 2 6" xfId="10704" xr:uid="{00000000-0005-0000-0000-000092670000}"/>
    <cellStyle name="Comma 3 2 4 4 2 6 2" xfId="33983" xr:uid="{00000000-0005-0000-0000-000093670000}"/>
    <cellStyle name="Comma 3 2 4 4 2 7" xfId="13152" xr:uid="{00000000-0005-0000-0000-000094670000}"/>
    <cellStyle name="Comma 3 2 4 4 2 7 2" xfId="36431" xr:uid="{00000000-0005-0000-0000-000095670000}"/>
    <cellStyle name="Comma 3 2 4 4 2 8" xfId="15623" xr:uid="{00000000-0005-0000-0000-000096670000}"/>
    <cellStyle name="Comma 3 2 4 4 2 8 2" xfId="38901" xr:uid="{00000000-0005-0000-0000-000097670000}"/>
    <cellStyle name="Comma 3 2 4 4 2 9" xfId="24191" xr:uid="{00000000-0005-0000-0000-000098670000}"/>
    <cellStyle name="Comma 3 2 4 4 3" xfId="1524" xr:uid="{00000000-0005-0000-0000-000099670000}"/>
    <cellStyle name="Comma 3 2 4 4 3 10" xfId="22355" xr:uid="{00000000-0005-0000-0000-00009A670000}"/>
    <cellStyle name="Comma 3 2 4 4 3 2" xfId="3972" xr:uid="{00000000-0005-0000-0000-00009B670000}"/>
    <cellStyle name="Comma 3 2 4 4 3 2 2" xfId="19907" xr:uid="{00000000-0005-0000-0000-00009C670000}"/>
    <cellStyle name="Comma 3 2 4 4 3 2 2 2" xfId="43185" xr:uid="{00000000-0005-0000-0000-00009D670000}"/>
    <cellStyle name="Comma 3 2 4 4 3 2 3" xfId="48081" xr:uid="{00000000-0005-0000-0000-00009E670000}"/>
    <cellStyle name="Comma 3 2 4 4 3 2 4" xfId="27251" xr:uid="{00000000-0005-0000-0000-00009F670000}"/>
    <cellStyle name="Comma 3 2 4 4 3 3" xfId="6420" xr:uid="{00000000-0005-0000-0000-0000A0670000}"/>
    <cellStyle name="Comma 3 2 4 4 3 3 2" xfId="29699" xr:uid="{00000000-0005-0000-0000-0000A1670000}"/>
    <cellStyle name="Comma 3 2 4 4 3 4" xfId="8868" xr:uid="{00000000-0005-0000-0000-0000A2670000}"/>
    <cellStyle name="Comma 3 2 4 4 3 4 2" xfId="32147" xr:uid="{00000000-0005-0000-0000-0000A3670000}"/>
    <cellStyle name="Comma 3 2 4 4 3 5" xfId="11316" xr:uid="{00000000-0005-0000-0000-0000A4670000}"/>
    <cellStyle name="Comma 3 2 4 4 3 5 2" xfId="34595" xr:uid="{00000000-0005-0000-0000-0000A5670000}"/>
    <cellStyle name="Comma 3 2 4 4 3 6" xfId="13764" xr:uid="{00000000-0005-0000-0000-0000A6670000}"/>
    <cellStyle name="Comma 3 2 4 4 3 6 2" xfId="37043" xr:uid="{00000000-0005-0000-0000-0000A7670000}"/>
    <cellStyle name="Comma 3 2 4 4 3 7" xfId="17459" xr:uid="{00000000-0005-0000-0000-0000A8670000}"/>
    <cellStyle name="Comma 3 2 4 4 3 7 2" xfId="40737" xr:uid="{00000000-0005-0000-0000-0000A9670000}"/>
    <cellStyle name="Comma 3 2 4 4 3 8" xfId="24803" xr:uid="{00000000-0005-0000-0000-0000AA670000}"/>
    <cellStyle name="Comma 3 2 4 4 3 9" xfId="45633" xr:uid="{00000000-0005-0000-0000-0000AB670000}"/>
    <cellStyle name="Comma 3 2 4 4 4" xfId="2748" xr:uid="{00000000-0005-0000-0000-0000AC670000}"/>
    <cellStyle name="Comma 3 2 4 4 4 2" xfId="16235" xr:uid="{00000000-0005-0000-0000-0000AD670000}"/>
    <cellStyle name="Comma 3 2 4 4 4 2 2" xfId="39513" xr:uid="{00000000-0005-0000-0000-0000AE670000}"/>
    <cellStyle name="Comma 3 2 4 4 4 3" xfId="46857" xr:uid="{00000000-0005-0000-0000-0000AF670000}"/>
    <cellStyle name="Comma 3 2 4 4 4 4" xfId="26027" xr:uid="{00000000-0005-0000-0000-0000B0670000}"/>
    <cellStyle name="Comma 3 2 4 4 5" xfId="5196" xr:uid="{00000000-0005-0000-0000-0000B1670000}"/>
    <cellStyle name="Comma 3 2 4 4 5 2" xfId="18683" xr:uid="{00000000-0005-0000-0000-0000B2670000}"/>
    <cellStyle name="Comma 3 2 4 4 5 2 2" xfId="41961" xr:uid="{00000000-0005-0000-0000-0000B3670000}"/>
    <cellStyle name="Comma 3 2 4 4 5 3" xfId="28475" xr:uid="{00000000-0005-0000-0000-0000B4670000}"/>
    <cellStyle name="Comma 3 2 4 4 6" xfId="7644" xr:uid="{00000000-0005-0000-0000-0000B5670000}"/>
    <cellStyle name="Comma 3 2 4 4 6 2" xfId="30923" xr:uid="{00000000-0005-0000-0000-0000B6670000}"/>
    <cellStyle name="Comma 3 2 4 4 7" xfId="10092" xr:uid="{00000000-0005-0000-0000-0000B7670000}"/>
    <cellStyle name="Comma 3 2 4 4 7 2" xfId="33371" xr:uid="{00000000-0005-0000-0000-0000B8670000}"/>
    <cellStyle name="Comma 3 2 4 4 8" xfId="12540" xr:uid="{00000000-0005-0000-0000-0000B9670000}"/>
    <cellStyle name="Comma 3 2 4 4 8 2" xfId="35819" xr:uid="{00000000-0005-0000-0000-0000BA670000}"/>
    <cellStyle name="Comma 3 2 4 4 9" xfId="15011" xr:uid="{00000000-0005-0000-0000-0000BB670000}"/>
    <cellStyle name="Comma 3 2 4 4 9 2" xfId="38289" xr:uid="{00000000-0005-0000-0000-0000BC670000}"/>
    <cellStyle name="Comma 3 2 4 5" xfId="504" xr:uid="{00000000-0005-0000-0000-0000BD670000}"/>
    <cellStyle name="Comma 3 2 4 5 10" xfId="23783" xr:uid="{00000000-0005-0000-0000-0000BE670000}"/>
    <cellStyle name="Comma 3 2 4 5 11" xfId="44613" xr:uid="{00000000-0005-0000-0000-0000BF670000}"/>
    <cellStyle name="Comma 3 2 4 5 12" xfId="21335" xr:uid="{00000000-0005-0000-0000-0000C0670000}"/>
    <cellStyle name="Comma 3 2 4 5 2" xfId="1116" xr:uid="{00000000-0005-0000-0000-0000C1670000}"/>
    <cellStyle name="Comma 3 2 4 5 2 10" xfId="45225" xr:uid="{00000000-0005-0000-0000-0000C2670000}"/>
    <cellStyle name="Comma 3 2 4 5 2 11" xfId="21947" xr:uid="{00000000-0005-0000-0000-0000C3670000}"/>
    <cellStyle name="Comma 3 2 4 5 2 2" xfId="2340" xr:uid="{00000000-0005-0000-0000-0000C4670000}"/>
    <cellStyle name="Comma 3 2 4 5 2 2 10" xfId="23171" xr:uid="{00000000-0005-0000-0000-0000C5670000}"/>
    <cellStyle name="Comma 3 2 4 5 2 2 2" xfId="4788" xr:uid="{00000000-0005-0000-0000-0000C6670000}"/>
    <cellStyle name="Comma 3 2 4 5 2 2 2 2" xfId="20723" xr:uid="{00000000-0005-0000-0000-0000C7670000}"/>
    <cellStyle name="Comma 3 2 4 5 2 2 2 2 2" xfId="44001" xr:uid="{00000000-0005-0000-0000-0000C8670000}"/>
    <cellStyle name="Comma 3 2 4 5 2 2 2 3" xfId="48897" xr:uid="{00000000-0005-0000-0000-0000C9670000}"/>
    <cellStyle name="Comma 3 2 4 5 2 2 2 4" xfId="28067" xr:uid="{00000000-0005-0000-0000-0000CA670000}"/>
    <cellStyle name="Comma 3 2 4 5 2 2 3" xfId="7236" xr:uid="{00000000-0005-0000-0000-0000CB670000}"/>
    <cellStyle name="Comma 3 2 4 5 2 2 3 2" xfId="30515" xr:uid="{00000000-0005-0000-0000-0000CC670000}"/>
    <cellStyle name="Comma 3 2 4 5 2 2 4" xfId="9684" xr:uid="{00000000-0005-0000-0000-0000CD670000}"/>
    <cellStyle name="Comma 3 2 4 5 2 2 4 2" xfId="32963" xr:uid="{00000000-0005-0000-0000-0000CE670000}"/>
    <cellStyle name="Comma 3 2 4 5 2 2 5" xfId="12132" xr:uid="{00000000-0005-0000-0000-0000CF670000}"/>
    <cellStyle name="Comma 3 2 4 5 2 2 5 2" xfId="35411" xr:uid="{00000000-0005-0000-0000-0000D0670000}"/>
    <cellStyle name="Comma 3 2 4 5 2 2 6" xfId="14580" xr:uid="{00000000-0005-0000-0000-0000D1670000}"/>
    <cellStyle name="Comma 3 2 4 5 2 2 6 2" xfId="37859" xr:uid="{00000000-0005-0000-0000-0000D2670000}"/>
    <cellStyle name="Comma 3 2 4 5 2 2 7" xfId="18275" xr:uid="{00000000-0005-0000-0000-0000D3670000}"/>
    <cellStyle name="Comma 3 2 4 5 2 2 7 2" xfId="41553" xr:uid="{00000000-0005-0000-0000-0000D4670000}"/>
    <cellStyle name="Comma 3 2 4 5 2 2 8" xfId="25619" xr:uid="{00000000-0005-0000-0000-0000D5670000}"/>
    <cellStyle name="Comma 3 2 4 5 2 2 9" xfId="46449" xr:uid="{00000000-0005-0000-0000-0000D6670000}"/>
    <cellStyle name="Comma 3 2 4 5 2 3" xfId="3564" xr:uid="{00000000-0005-0000-0000-0000D7670000}"/>
    <cellStyle name="Comma 3 2 4 5 2 3 2" xfId="17051" xr:uid="{00000000-0005-0000-0000-0000D8670000}"/>
    <cellStyle name="Comma 3 2 4 5 2 3 2 2" xfId="40329" xr:uid="{00000000-0005-0000-0000-0000D9670000}"/>
    <cellStyle name="Comma 3 2 4 5 2 3 3" xfId="47673" xr:uid="{00000000-0005-0000-0000-0000DA670000}"/>
    <cellStyle name="Comma 3 2 4 5 2 3 4" xfId="26843" xr:uid="{00000000-0005-0000-0000-0000DB670000}"/>
    <cellStyle name="Comma 3 2 4 5 2 4" xfId="6012" xr:uid="{00000000-0005-0000-0000-0000DC670000}"/>
    <cellStyle name="Comma 3 2 4 5 2 4 2" xfId="19499" xr:uid="{00000000-0005-0000-0000-0000DD670000}"/>
    <cellStyle name="Comma 3 2 4 5 2 4 2 2" xfId="42777" xr:uid="{00000000-0005-0000-0000-0000DE670000}"/>
    <cellStyle name="Comma 3 2 4 5 2 4 3" xfId="29291" xr:uid="{00000000-0005-0000-0000-0000DF670000}"/>
    <cellStyle name="Comma 3 2 4 5 2 5" xfId="8460" xr:uid="{00000000-0005-0000-0000-0000E0670000}"/>
    <cellStyle name="Comma 3 2 4 5 2 5 2" xfId="31739" xr:uid="{00000000-0005-0000-0000-0000E1670000}"/>
    <cellStyle name="Comma 3 2 4 5 2 6" xfId="10908" xr:uid="{00000000-0005-0000-0000-0000E2670000}"/>
    <cellStyle name="Comma 3 2 4 5 2 6 2" xfId="34187" xr:uid="{00000000-0005-0000-0000-0000E3670000}"/>
    <cellStyle name="Comma 3 2 4 5 2 7" xfId="13356" xr:uid="{00000000-0005-0000-0000-0000E4670000}"/>
    <cellStyle name="Comma 3 2 4 5 2 7 2" xfId="36635" xr:uid="{00000000-0005-0000-0000-0000E5670000}"/>
    <cellStyle name="Comma 3 2 4 5 2 8" xfId="15827" xr:uid="{00000000-0005-0000-0000-0000E6670000}"/>
    <cellStyle name="Comma 3 2 4 5 2 8 2" xfId="39105" xr:uid="{00000000-0005-0000-0000-0000E7670000}"/>
    <cellStyle name="Comma 3 2 4 5 2 9" xfId="24395" xr:uid="{00000000-0005-0000-0000-0000E8670000}"/>
    <cellStyle name="Comma 3 2 4 5 3" xfId="1728" xr:uid="{00000000-0005-0000-0000-0000E9670000}"/>
    <cellStyle name="Comma 3 2 4 5 3 10" xfId="22559" xr:uid="{00000000-0005-0000-0000-0000EA670000}"/>
    <cellStyle name="Comma 3 2 4 5 3 2" xfId="4176" xr:uid="{00000000-0005-0000-0000-0000EB670000}"/>
    <cellStyle name="Comma 3 2 4 5 3 2 2" xfId="20111" xr:uid="{00000000-0005-0000-0000-0000EC670000}"/>
    <cellStyle name="Comma 3 2 4 5 3 2 2 2" xfId="43389" xr:uid="{00000000-0005-0000-0000-0000ED670000}"/>
    <cellStyle name="Comma 3 2 4 5 3 2 3" xfId="48285" xr:uid="{00000000-0005-0000-0000-0000EE670000}"/>
    <cellStyle name="Comma 3 2 4 5 3 2 4" xfId="27455" xr:uid="{00000000-0005-0000-0000-0000EF670000}"/>
    <cellStyle name="Comma 3 2 4 5 3 3" xfId="6624" xr:uid="{00000000-0005-0000-0000-0000F0670000}"/>
    <cellStyle name="Comma 3 2 4 5 3 3 2" xfId="29903" xr:uid="{00000000-0005-0000-0000-0000F1670000}"/>
    <cellStyle name="Comma 3 2 4 5 3 4" xfId="9072" xr:uid="{00000000-0005-0000-0000-0000F2670000}"/>
    <cellStyle name="Comma 3 2 4 5 3 4 2" xfId="32351" xr:uid="{00000000-0005-0000-0000-0000F3670000}"/>
    <cellStyle name="Comma 3 2 4 5 3 5" xfId="11520" xr:uid="{00000000-0005-0000-0000-0000F4670000}"/>
    <cellStyle name="Comma 3 2 4 5 3 5 2" xfId="34799" xr:uid="{00000000-0005-0000-0000-0000F5670000}"/>
    <cellStyle name="Comma 3 2 4 5 3 6" xfId="13968" xr:uid="{00000000-0005-0000-0000-0000F6670000}"/>
    <cellStyle name="Comma 3 2 4 5 3 6 2" xfId="37247" xr:uid="{00000000-0005-0000-0000-0000F7670000}"/>
    <cellStyle name="Comma 3 2 4 5 3 7" xfId="17663" xr:uid="{00000000-0005-0000-0000-0000F8670000}"/>
    <cellStyle name="Comma 3 2 4 5 3 7 2" xfId="40941" xr:uid="{00000000-0005-0000-0000-0000F9670000}"/>
    <cellStyle name="Comma 3 2 4 5 3 8" xfId="25007" xr:uid="{00000000-0005-0000-0000-0000FA670000}"/>
    <cellStyle name="Comma 3 2 4 5 3 9" xfId="45837" xr:uid="{00000000-0005-0000-0000-0000FB670000}"/>
    <cellStyle name="Comma 3 2 4 5 4" xfId="2952" xr:uid="{00000000-0005-0000-0000-0000FC670000}"/>
    <cellStyle name="Comma 3 2 4 5 4 2" xfId="16439" xr:uid="{00000000-0005-0000-0000-0000FD670000}"/>
    <cellStyle name="Comma 3 2 4 5 4 2 2" xfId="39717" xr:uid="{00000000-0005-0000-0000-0000FE670000}"/>
    <cellStyle name="Comma 3 2 4 5 4 3" xfId="47061" xr:uid="{00000000-0005-0000-0000-0000FF670000}"/>
    <cellStyle name="Comma 3 2 4 5 4 4" xfId="26231" xr:uid="{00000000-0005-0000-0000-000000680000}"/>
    <cellStyle name="Comma 3 2 4 5 5" xfId="5400" xr:uid="{00000000-0005-0000-0000-000001680000}"/>
    <cellStyle name="Comma 3 2 4 5 5 2" xfId="18887" xr:uid="{00000000-0005-0000-0000-000002680000}"/>
    <cellStyle name="Comma 3 2 4 5 5 2 2" xfId="42165" xr:uid="{00000000-0005-0000-0000-000003680000}"/>
    <cellStyle name="Comma 3 2 4 5 5 3" xfId="28679" xr:uid="{00000000-0005-0000-0000-000004680000}"/>
    <cellStyle name="Comma 3 2 4 5 6" xfId="7848" xr:uid="{00000000-0005-0000-0000-000005680000}"/>
    <cellStyle name="Comma 3 2 4 5 6 2" xfId="31127" xr:uid="{00000000-0005-0000-0000-000006680000}"/>
    <cellStyle name="Comma 3 2 4 5 7" xfId="10296" xr:uid="{00000000-0005-0000-0000-000007680000}"/>
    <cellStyle name="Comma 3 2 4 5 7 2" xfId="33575" xr:uid="{00000000-0005-0000-0000-000008680000}"/>
    <cellStyle name="Comma 3 2 4 5 8" xfId="12744" xr:uid="{00000000-0005-0000-0000-000009680000}"/>
    <cellStyle name="Comma 3 2 4 5 8 2" xfId="36023" xr:uid="{00000000-0005-0000-0000-00000A680000}"/>
    <cellStyle name="Comma 3 2 4 5 9" xfId="15215" xr:uid="{00000000-0005-0000-0000-00000B680000}"/>
    <cellStyle name="Comma 3 2 4 5 9 2" xfId="38493" xr:uid="{00000000-0005-0000-0000-00000C680000}"/>
    <cellStyle name="Comma 3 2 4 6" xfId="708" xr:uid="{00000000-0005-0000-0000-00000D680000}"/>
    <cellStyle name="Comma 3 2 4 6 10" xfId="44817" xr:uid="{00000000-0005-0000-0000-00000E680000}"/>
    <cellStyle name="Comma 3 2 4 6 11" xfId="21539" xr:uid="{00000000-0005-0000-0000-00000F680000}"/>
    <cellStyle name="Comma 3 2 4 6 2" xfId="1932" xr:uid="{00000000-0005-0000-0000-000010680000}"/>
    <cellStyle name="Comma 3 2 4 6 2 10" xfId="22763" xr:uid="{00000000-0005-0000-0000-000011680000}"/>
    <cellStyle name="Comma 3 2 4 6 2 2" xfId="4380" xr:uid="{00000000-0005-0000-0000-000012680000}"/>
    <cellStyle name="Comma 3 2 4 6 2 2 2" xfId="20315" xr:uid="{00000000-0005-0000-0000-000013680000}"/>
    <cellStyle name="Comma 3 2 4 6 2 2 2 2" xfId="43593" xr:uid="{00000000-0005-0000-0000-000014680000}"/>
    <cellStyle name="Comma 3 2 4 6 2 2 3" xfId="48489" xr:uid="{00000000-0005-0000-0000-000015680000}"/>
    <cellStyle name="Comma 3 2 4 6 2 2 4" xfId="27659" xr:uid="{00000000-0005-0000-0000-000016680000}"/>
    <cellStyle name="Comma 3 2 4 6 2 3" xfId="6828" xr:uid="{00000000-0005-0000-0000-000017680000}"/>
    <cellStyle name="Comma 3 2 4 6 2 3 2" xfId="30107" xr:uid="{00000000-0005-0000-0000-000018680000}"/>
    <cellStyle name="Comma 3 2 4 6 2 4" xfId="9276" xr:uid="{00000000-0005-0000-0000-000019680000}"/>
    <cellStyle name="Comma 3 2 4 6 2 4 2" xfId="32555" xr:uid="{00000000-0005-0000-0000-00001A680000}"/>
    <cellStyle name="Comma 3 2 4 6 2 5" xfId="11724" xr:uid="{00000000-0005-0000-0000-00001B680000}"/>
    <cellStyle name="Comma 3 2 4 6 2 5 2" xfId="35003" xr:uid="{00000000-0005-0000-0000-00001C680000}"/>
    <cellStyle name="Comma 3 2 4 6 2 6" xfId="14172" xr:uid="{00000000-0005-0000-0000-00001D680000}"/>
    <cellStyle name="Comma 3 2 4 6 2 6 2" xfId="37451" xr:uid="{00000000-0005-0000-0000-00001E680000}"/>
    <cellStyle name="Comma 3 2 4 6 2 7" xfId="17867" xr:uid="{00000000-0005-0000-0000-00001F680000}"/>
    <cellStyle name="Comma 3 2 4 6 2 7 2" xfId="41145" xr:uid="{00000000-0005-0000-0000-000020680000}"/>
    <cellStyle name="Comma 3 2 4 6 2 8" xfId="25211" xr:uid="{00000000-0005-0000-0000-000021680000}"/>
    <cellStyle name="Comma 3 2 4 6 2 9" xfId="46041" xr:uid="{00000000-0005-0000-0000-000022680000}"/>
    <cellStyle name="Comma 3 2 4 6 3" xfId="3156" xr:uid="{00000000-0005-0000-0000-000023680000}"/>
    <cellStyle name="Comma 3 2 4 6 3 2" xfId="16643" xr:uid="{00000000-0005-0000-0000-000024680000}"/>
    <cellStyle name="Comma 3 2 4 6 3 2 2" xfId="39921" xr:uid="{00000000-0005-0000-0000-000025680000}"/>
    <cellStyle name="Comma 3 2 4 6 3 3" xfId="47265" xr:uid="{00000000-0005-0000-0000-000026680000}"/>
    <cellStyle name="Comma 3 2 4 6 3 4" xfId="26435" xr:uid="{00000000-0005-0000-0000-000027680000}"/>
    <cellStyle name="Comma 3 2 4 6 4" xfId="5604" xr:uid="{00000000-0005-0000-0000-000028680000}"/>
    <cellStyle name="Comma 3 2 4 6 4 2" xfId="19091" xr:uid="{00000000-0005-0000-0000-000029680000}"/>
    <cellStyle name="Comma 3 2 4 6 4 2 2" xfId="42369" xr:uid="{00000000-0005-0000-0000-00002A680000}"/>
    <cellStyle name="Comma 3 2 4 6 4 3" xfId="28883" xr:uid="{00000000-0005-0000-0000-00002B680000}"/>
    <cellStyle name="Comma 3 2 4 6 5" xfId="8052" xr:uid="{00000000-0005-0000-0000-00002C680000}"/>
    <cellStyle name="Comma 3 2 4 6 5 2" xfId="31331" xr:uid="{00000000-0005-0000-0000-00002D680000}"/>
    <cellStyle name="Comma 3 2 4 6 6" xfId="10500" xr:uid="{00000000-0005-0000-0000-00002E680000}"/>
    <cellStyle name="Comma 3 2 4 6 6 2" xfId="33779" xr:uid="{00000000-0005-0000-0000-00002F680000}"/>
    <cellStyle name="Comma 3 2 4 6 7" xfId="12948" xr:uid="{00000000-0005-0000-0000-000030680000}"/>
    <cellStyle name="Comma 3 2 4 6 7 2" xfId="36227" xr:uid="{00000000-0005-0000-0000-000031680000}"/>
    <cellStyle name="Comma 3 2 4 6 8" xfId="15419" xr:uid="{00000000-0005-0000-0000-000032680000}"/>
    <cellStyle name="Comma 3 2 4 6 8 2" xfId="38697" xr:uid="{00000000-0005-0000-0000-000033680000}"/>
    <cellStyle name="Comma 3 2 4 6 9" xfId="23987" xr:uid="{00000000-0005-0000-0000-000034680000}"/>
    <cellStyle name="Comma 3 2 4 7" xfId="1320" xr:uid="{00000000-0005-0000-0000-000035680000}"/>
    <cellStyle name="Comma 3 2 4 7 10" xfId="22151" xr:uid="{00000000-0005-0000-0000-000036680000}"/>
    <cellStyle name="Comma 3 2 4 7 2" xfId="3768" xr:uid="{00000000-0005-0000-0000-000037680000}"/>
    <cellStyle name="Comma 3 2 4 7 2 2" xfId="19703" xr:uid="{00000000-0005-0000-0000-000038680000}"/>
    <cellStyle name="Comma 3 2 4 7 2 2 2" xfId="42981" xr:uid="{00000000-0005-0000-0000-000039680000}"/>
    <cellStyle name="Comma 3 2 4 7 2 3" xfId="47877" xr:uid="{00000000-0005-0000-0000-00003A680000}"/>
    <cellStyle name="Comma 3 2 4 7 2 4" xfId="27047" xr:uid="{00000000-0005-0000-0000-00003B680000}"/>
    <cellStyle name="Comma 3 2 4 7 3" xfId="6216" xr:uid="{00000000-0005-0000-0000-00003C680000}"/>
    <cellStyle name="Comma 3 2 4 7 3 2" xfId="29495" xr:uid="{00000000-0005-0000-0000-00003D680000}"/>
    <cellStyle name="Comma 3 2 4 7 4" xfId="8664" xr:uid="{00000000-0005-0000-0000-00003E680000}"/>
    <cellStyle name="Comma 3 2 4 7 4 2" xfId="31943" xr:uid="{00000000-0005-0000-0000-00003F680000}"/>
    <cellStyle name="Comma 3 2 4 7 5" xfId="11112" xr:uid="{00000000-0005-0000-0000-000040680000}"/>
    <cellStyle name="Comma 3 2 4 7 5 2" xfId="34391" xr:uid="{00000000-0005-0000-0000-000041680000}"/>
    <cellStyle name="Comma 3 2 4 7 6" xfId="13560" xr:uid="{00000000-0005-0000-0000-000042680000}"/>
    <cellStyle name="Comma 3 2 4 7 6 2" xfId="36839" xr:uid="{00000000-0005-0000-0000-000043680000}"/>
    <cellStyle name="Comma 3 2 4 7 7" xfId="17255" xr:uid="{00000000-0005-0000-0000-000044680000}"/>
    <cellStyle name="Comma 3 2 4 7 7 2" xfId="40533" xr:uid="{00000000-0005-0000-0000-000045680000}"/>
    <cellStyle name="Comma 3 2 4 7 8" xfId="24599" xr:uid="{00000000-0005-0000-0000-000046680000}"/>
    <cellStyle name="Comma 3 2 4 7 9" xfId="45429" xr:uid="{00000000-0005-0000-0000-000047680000}"/>
    <cellStyle name="Comma 3 2 4 8" xfId="2544" xr:uid="{00000000-0005-0000-0000-000048680000}"/>
    <cellStyle name="Comma 3 2 4 8 2" xfId="16031" xr:uid="{00000000-0005-0000-0000-000049680000}"/>
    <cellStyle name="Comma 3 2 4 8 2 2" xfId="39309" xr:uid="{00000000-0005-0000-0000-00004A680000}"/>
    <cellStyle name="Comma 3 2 4 8 3" xfId="46653" xr:uid="{00000000-0005-0000-0000-00004B680000}"/>
    <cellStyle name="Comma 3 2 4 8 4" xfId="25823" xr:uid="{00000000-0005-0000-0000-00004C680000}"/>
    <cellStyle name="Comma 3 2 4 9" xfId="4992" xr:uid="{00000000-0005-0000-0000-00004D680000}"/>
    <cellStyle name="Comma 3 2 4 9 2" xfId="18479" xr:uid="{00000000-0005-0000-0000-00004E680000}"/>
    <cellStyle name="Comma 3 2 4 9 2 2" xfId="41757" xr:uid="{00000000-0005-0000-0000-00004F680000}"/>
    <cellStyle name="Comma 3 2 4 9 3" xfId="28271" xr:uid="{00000000-0005-0000-0000-000050680000}"/>
    <cellStyle name="Comma 3 2 5" xfId="113" xr:uid="{00000000-0005-0000-0000-000051680000}"/>
    <cellStyle name="Comma 3 2 5 10" xfId="12353" xr:uid="{00000000-0005-0000-0000-000052680000}"/>
    <cellStyle name="Comma 3 2 5 10 2" xfId="35632" xr:uid="{00000000-0005-0000-0000-000053680000}"/>
    <cellStyle name="Comma 3 2 5 11" xfId="14824" xr:uid="{00000000-0005-0000-0000-000054680000}"/>
    <cellStyle name="Comma 3 2 5 11 2" xfId="38102" xr:uid="{00000000-0005-0000-0000-000055680000}"/>
    <cellStyle name="Comma 3 2 5 12" xfId="23392" xr:uid="{00000000-0005-0000-0000-000056680000}"/>
    <cellStyle name="Comma 3 2 5 13" xfId="44222" xr:uid="{00000000-0005-0000-0000-000057680000}"/>
    <cellStyle name="Comma 3 2 5 14" xfId="20944" xr:uid="{00000000-0005-0000-0000-000058680000}"/>
    <cellStyle name="Comma 3 2 5 2" xfId="317" xr:uid="{00000000-0005-0000-0000-000059680000}"/>
    <cellStyle name="Comma 3 2 5 2 10" xfId="23596" xr:uid="{00000000-0005-0000-0000-00005A680000}"/>
    <cellStyle name="Comma 3 2 5 2 11" xfId="44426" xr:uid="{00000000-0005-0000-0000-00005B680000}"/>
    <cellStyle name="Comma 3 2 5 2 12" xfId="21148" xr:uid="{00000000-0005-0000-0000-00005C680000}"/>
    <cellStyle name="Comma 3 2 5 2 2" xfId="929" xr:uid="{00000000-0005-0000-0000-00005D680000}"/>
    <cellStyle name="Comma 3 2 5 2 2 10" xfId="45038" xr:uid="{00000000-0005-0000-0000-00005E680000}"/>
    <cellStyle name="Comma 3 2 5 2 2 11" xfId="21760" xr:uid="{00000000-0005-0000-0000-00005F680000}"/>
    <cellStyle name="Comma 3 2 5 2 2 2" xfId="2153" xr:uid="{00000000-0005-0000-0000-000060680000}"/>
    <cellStyle name="Comma 3 2 5 2 2 2 10" xfId="22984" xr:uid="{00000000-0005-0000-0000-000061680000}"/>
    <cellStyle name="Comma 3 2 5 2 2 2 2" xfId="4601" xr:uid="{00000000-0005-0000-0000-000062680000}"/>
    <cellStyle name="Comma 3 2 5 2 2 2 2 2" xfId="20536" xr:uid="{00000000-0005-0000-0000-000063680000}"/>
    <cellStyle name="Comma 3 2 5 2 2 2 2 2 2" xfId="43814" xr:uid="{00000000-0005-0000-0000-000064680000}"/>
    <cellStyle name="Comma 3 2 5 2 2 2 2 3" xfId="48710" xr:uid="{00000000-0005-0000-0000-000065680000}"/>
    <cellStyle name="Comma 3 2 5 2 2 2 2 4" xfId="27880" xr:uid="{00000000-0005-0000-0000-000066680000}"/>
    <cellStyle name="Comma 3 2 5 2 2 2 3" xfId="7049" xr:uid="{00000000-0005-0000-0000-000067680000}"/>
    <cellStyle name="Comma 3 2 5 2 2 2 3 2" xfId="30328" xr:uid="{00000000-0005-0000-0000-000068680000}"/>
    <cellStyle name="Comma 3 2 5 2 2 2 4" xfId="9497" xr:uid="{00000000-0005-0000-0000-000069680000}"/>
    <cellStyle name="Comma 3 2 5 2 2 2 4 2" xfId="32776" xr:uid="{00000000-0005-0000-0000-00006A680000}"/>
    <cellStyle name="Comma 3 2 5 2 2 2 5" xfId="11945" xr:uid="{00000000-0005-0000-0000-00006B680000}"/>
    <cellStyle name="Comma 3 2 5 2 2 2 5 2" xfId="35224" xr:uid="{00000000-0005-0000-0000-00006C680000}"/>
    <cellStyle name="Comma 3 2 5 2 2 2 6" xfId="14393" xr:uid="{00000000-0005-0000-0000-00006D680000}"/>
    <cellStyle name="Comma 3 2 5 2 2 2 6 2" xfId="37672" xr:uid="{00000000-0005-0000-0000-00006E680000}"/>
    <cellStyle name="Comma 3 2 5 2 2 2 7" xfId="18088" xr:uid="{00000000-0005-0000-0000-00006F680000}"/>
    <cellStyle name="Comma 3 2 5 2 2 2 7 2" xfId="41366" xr:uid="{00000000-0005-0000-0000-000070680000}"/>
    <cellStyle name="Comma 3 2 5 2 2 2 8" xfId="25432" xr:uid="{00000000-0005-0000-0000-000071680000}"/>
    <cellStyle name="Comma 3 2 5 2 2 2 9" xfId="46262" xr:uid="{00000000-0005-0000-0000-000072680000}"/>
    <cellStyle name="Comma 3 2 5 2 2 3" xfId="3377" xr:uid="{00000000-0005-0000-0000-000073680000}"/>
    <cellStyle name="Comma 3 2 5 2 2 3 2" xfId="16864" xr:uid="{00000000-0005-0000-0000-000074680000}"/>
    <cellStyle name="Comma 3 2 5 2 2 3 2 2" xfId="40142" xr:uid="{00000000-0005-0000-0000-000075680000}"/>
    <cellStyle name="Comma 3 2 5 2 2 3 3" xfId="47486" xr:uid="{00000000-0005-0000-0000-000076680000}"/>
    <cellStyle name="Comma 3 2 5 2 2 3 4" xfId="26656" xr:uid="{00000000-0005-0000-0000-000077680000}"/>
    <cellStyle name="Comma 3 2 5 2 2 4" xfId="5825" xr:uid="{00000000-0005-0000-0000-000078680000}"/>
    <cellStyle name="Comma 3 2 5 2 2 4 2" xfId="19312" xr:uid="{00000000-0005-0000-0000-000079680000}"/>
    <cellStyle name="Comma 3 2 5 2 2 4 2 2" xfId="42590" xr:uid="{00000000-0005-0000-0000-00007A680000}"/>
    <cellStyle name="Comma 3 2 5 2 2 4 3" xfId="29104" xr:uid="{00000000-0005-0000-0000-00007B680000}"/>
    <cellStyle name="Comma 3 2 5 2 2 5" xfId="8273" xr:uid="{00000000-0005-0000-0000-00007C680000}"/>
    <cellStyle name="Comma 3 2 5 2 2 5 2" xfId="31552" xr:uid="{00000000-0005-0000-0000-00007D680000}"/>
    <cellStyle name="Comma 3 2 5 2 2 6" xfId="10721" xr:uid="{00000000-0005-0000-0000-00007E680000}"/>
    <cellStyle name="Comma 3 2 5 2 2 6 2" xfId="34000" xr:uid="{00000000-0005-0000-0000-00007F680000}"/>
    <cellStyle name="Comma 3 2 5 2 2 7" xfId="13169" xr:uid="{00000000-0005-0000-0000-000080680000}"/>
    <cellStyle name="Comma 3 2 5 2 2 7 2" xfId="36448" xr:uid="{00000000-0005-0000-0000-000081680000}"/>
    <cellStyle name="Comma 3 2 5 2 2 8" xfId="15640" xr:uid="{00000000-0005-0000-0000-000082680000}"/>
    <cellStyle name="Comma 3 2 5 2 2 8 2" xfId="38918" xr:uid="{00000000-0005-0000-0000-000083680000}"/>
    <cellStyle name="Comma 3 2 5 2 2 9" xfId="24208" xr:uid="{00000000-0005-0000-0000-000084680000}"/>
    <cellStyle name="Comma 3 2 5 2 3" xfId="1541" xr:uid="{00000000-0005-0000-0000-000085680000}"/>
    <cellStyle name="Comma 3 2 5 2 3 10" xfId="22372" xr:uid="{00000000-0005-0000-0000-000086680000}"/>
    <cellStyle name="Comma 3 2 5 2 3 2" xfId="3989" xr:uid="{00000000-0005-0000-0000-000087680000}"/>
    <cellStyle name="Comma 3 2 5 2 3 2 2" xfId="19924" xr:uid="{00000000-0005-0000-0000-000088680000}"/>
    <cellStyle name="Comma 3 2 5 2 3 2 2 2" xfId="43202" xr:uid="{00000000-0005-0000-0000-000089680000}"/>
    <cellStyle name="Comma 3 2 5 2 3 2 3" xfId="48098" xr:uid="{00000000-0005-0000-0000-00008A680000}"/>
    <cellStyle name="Comma 3 2 5 2 3 2 4" xfId="27268" xr:uid="{00000000-0005-0000-0000-00008B680000}"/>
    <cellStyle name="Comma 3 2 5 2 3 3" xfId="6437" xr:uid="{00000000-0005-0000-0000-00008C680000}"/>
    <cellStyle name="Comma 3 2 5 2 3 3 2" xfId="29716" xr:uid="{00000000-0005-0000-0000-00008D680000}"/>
    <cellStyle name="Comma 3 2 5 2 3 4" xfId="8885" xr:uid="{00000000-0005-0000-0000-00008E680000}"/>
    <cellStyle name="Comma 3 2 5 2 3 4 2" xfId="32164" xr:uid="{00000000-0005-0000-0000-00008F680000}"/>
    <cellStyle name="Comma 3 2 5 2 3 5" xfId="11333" xr:uid="{00000000-0005-0000-0000-000090680000}"/>
    <cellStyle name="Comma 3 2 5 2 3 5 2" xfId="34612" xr:uid="{00000000-0005-0000-0000-000091680000}"/>
    <cellStyle name="Comma 3 2 5 2 3 6" xfId="13781" xr:uid="{00000000-0005-0000-0000-000092680000}"/>
    <cellStyle name="Comma 3 2 5 2 3 6 2" xfId="37060" xr:uid="{00000000-0005-0000-0000-000093680000}"/>
    <cellStyle name="Comma 3 2 5 2 3 7" xfId="17476" xr:uid="{00000000-0005-0000-0000-000094680000}"/>
    <cellStyle name="Comma 3 2 5 2 3 7 2" xfId="40754" xr:uid="{00000000-0005-0000-0000-000095680000}"/>
    <cellStyle name="Comma 3 2 5 2 3 8" xfId="24820" xr:uid="{00000000-0005-0000-0000-000096680000}"/>
    <cellStyle name="Comma 3 2 5 2 3 9" xfId="45650" xr:uid="{00000000-0005-0000-0000-000097680000}"/>
    <cellStyle name="Comma 3 2 5 2 4" xfId="2765" xr:uid="{00000000-0005-0000-0000-000098680000}"/>
    <cellStyle name="Comma 3 2 5 2 4 2" xfId="16252" xr:uid="{00000000-0005-0000-0000-000099680000}"/>
    <cellStyle name="Comma 3 2 5 2 4 2 2" xfId="39530" xr:uid="{00000000-0005-0000-0000-00009A680000}"/>
    <cellStyle name="Comma 3 2 5 2 4 3" xfId="46874" xr:uid="{00000000-0005-0000-0000-00009B680000}"/>
    <cellStyle name="Comma 3 2 5 2 4 4" xfId="26044" xr:uid="{00000000-0005-0000-0000-00009C680000}"/>
    <cellStyle name="Comma 3 2 5 2 5" xfId="5213" xr:uid="{00000000-0005-0000-0000-00009D680000}"/>
    <cellStyle name="Comma 3 2 5 2 5 2" xfId="18700" xr:uid="{00000000-0005-0000-0000-00009E680000}"/>
    <cellStyle name="Comma 3 2 5 2 5 2 2" xfId="41978" xr:uid="{00000000-0005-0000-0000-00009F680000}"/>
    <cellStyle name="Comma 3 2 5 2 5 3" xfId="28492" xr:uid="{00000000-0005-0000-0000-0000A0680000}"/>
    <cellStyle name="Comma 3 2 5 2 6" xfId="7661" xr:uid="{00000000-0005-0000-0000-0000A1680000}"/>
    <cellStyle name="Comma 3 2 5 2 6 2" xfId="30940" xr:uid="{00000000-0005-0000-0000-0000A2680000}"/>
    <cellStyle name="Comma 3 2 5 2 7" xfId="10109" xr:uid="{00000000-0005-0000-0000-0000A3680000}"/>
    <cellStyle name="Comma 3 2 5 2 7 2" xfId="33388" xr:uid="{00000000-0005-0000-0000-0000A4680000}"/>
    <cellStyle name="Comma 3 2 5 2 8" xfId="12557" xr:uid="{00000000-0005-0000-0000-0000A5680000}"/>
    <cellStyle name="Comma 3 2 5 2 8 2" xfId="35836" xr:uid="{00000000-0005-0000-0000-0000A6680000}"/>
    <cellStyle name="Comma 3 2 5 2 9" xfId="15028" xr:uid="{00000000-0005-0000-0000-0000A7680000}"/>
    <cellStyle name="Comma 3 2 5 2 9 2" xfId="38306" xr:uid="{00000000-0005-0000-0000-0000A8680000}"/>
    <cellStyle name="Comma 3 2 5 3" xfId="521" xr:uid="{00000000-0005-0000-0000-0000A9680000}"/>
    <cellStyle name="Comma 3 2 5 3 10" xfId="23800" xr:uid="{00000000-0005-0000-0000-0000AA680000}"/>
    <cellStyle name="Comma 3 2 5 3 11" xfId="44630" xr:uid="{00000000-0005-0000-0000-0000AB680000}"/>
    <cellStyle name="Comma 3 2 5 3 12" xfId="21352" xr:uid="{00000000-0005-0000-0000-0000AC680000}"/>
    <cellStyle name="Comma 3 2 5 3 2" xfId="1133" xr:uid="{00000000-0005-0000-0000-0000AD680000}"/>
    <cellStyle name="Comma 3 2 5 3 2 10" xfId="45242" xr:uid="{00000000-0005-0000-0000-0000AE680000}"/>
    <cellStyle name="Comma 3 2 5 3 2 11" xfId="21964" xr:uid="{00000000-0005-0000-0000-0000AF680000}"/>
    <cellStyle name="Comma 3 2 5 3 2 2" xfId="2357" xr:uid="{00000000-0005-0000-0000-0000B0680000}"/>
    <cellStyle name="Comma 3 2 5 3 2 2 10" xfId="23188" xr:uid="{00000000-0005-0000-0000-0000B1680000}"/>
    <cellStyle name="Comma 3 2 5 3 2 2 2" xfId="4805" xr:uid="{00000000-0005-0000-0000-0000B2680000}"/>
    <cellStyle name="Comma 3 2 5 3 2 2 2 2" xfId="20740" xr:uid="{00000000-0005-0000-0000-0000B3680000}"/>
    <cellStyle name="Comma 3 2 5 3 2 2 2 2 2" xfId="44018" xr:uid="{00000000-0005-0000-0000-0000B4680000}"/>
    <cellStyle name="Comma 3 2 5 3 2 2 2 3" xfId="48914" xr:uid="{00000000-0005-0000-0000-0000B5680000}"/>
    <cellStyle name="Comma 3 2 5 3 2 2 2 4" xfId="28084" xr:uid="{00000000-0005-0000-0000-0000B6680000}"/>
    <cellStyle name="Comma 3 2 5 3 2 2 3" xfId="7253" xr:uid="{00000000-0005-0000-0000-0000B7680000}"/>
    <cellStyle name="Comma 3 2 5 3 2 2 3 2" xfId="30532" xr:uid="{00000000-0005-0000-0000-0000B8680000}"/>
    <cellStyle name="Comma 3 2 5 3 2 2 4" xfId="9701" xr:uid="{00000000-0005-0000-0000-0000B9680000}"/>
    <cellStyle name="Comma 3 2 5 3 2 2 4 2" xfId="32980" xr:uid="{00000000-0005-0000-0000-0000BA680000}"/>
    <cellStyle name="Comma 3 2 5 3 2 2 5" xfId="12149" xr:uid="{00000000-0005-0000-0000-0000BB680000}"/>
    <cellStyle name="Comma 3 2 5 3 2 2 5 2" xfId="35428" xr:uid="{00000000-0005-0000-0000-0000BC680000}"/>
    <cellStyle name="Comma 3 2 5 3 2 2 6" xfId="14597" xr:uid="{00000000-0005-0000-0000-0000BD680000}"/>
    <cellStyle name="Comma 3 2 5 3 2 2 6 2" xfId="37876" xr:uid="{00000000-0005-0000-0000-0000BE680000}"/>
    <cellStyle name="Comma 3 2 5 3 2 2 7" xfId="18292" xr:uid="{00000000-0005-0000-0000-0000BF680000}"/>
    <cellStyle name="Comma 3 2 5 3 2 2 7 2" xfId="41570" xr:uid="{00000000-0005-0000-0000-0000C0680000}"/>
    <cellStyle name="Comma 3 2 5 3 2 2 8" xfId="25636" xr:uid="{00000000-0005-0000-0000-0000C1680000}"/>
    <cellStyle name="Comma 3 2 5 3 2 2 9" xfId="46466" xr:uid="{00000000-0005-0000-0000-0000C2680000}"/>
    <cellStyle name="Comma 3 2 5 3 2 3" xfId="3581" xr:uid="{00000000-0005-0000-0000-0000C3680000}"/>
    <cellStyle name="Comma 3 2 5 3 2 3 2" xfId="17068" xr:uid="{00000000-0005-0000-0000-0000C4680000}"/>
    <cellStyle name="Comma 3 2 5 3 2 3 2 2" xfId="40346" xr:uid="{00000000-0005-0000-0000-0000C5680000}"/>
    <cellStyle name="Comma 3 2 5 3 2 3 3" xfId="47690" xr:uid="{00000000-0005-0000-0000-0000C6680000}"/>
    <cellStyle name="Comma 3 2 5 3 2 3 4" xfId="26860" xr:uid="{00000000-0005-0000-0000-0000C7680000}"/>
    <cellStyle name="Comma 3 2 5 3 2 4" xfId="6029" xr:uid="{00000000-0005-0000-0000-0000C8680000}"/>
    <cellStyle name="Comma 3 2 5 3 2 4 2" xfId="19516" xr:uid="{00000000-0005-0000-0000-0000C9680000}"/>
    <cellStyle name="Comma 3 2 5 3 2 4 2 2" xfId="42794" xr:uid="{00000000-0005-0000-0000-0000CA680000}"/>
    <cellStyle name="Comma 3 2 5 3 2 4 3" xfId="29308" xr:uid="{00000000-0005-0000-0000-0000CB680000}"/>
    <cellStyle name="Comma 3 2 5 3 2 5" xfId="8477" xr:uid="{00000000-0005-0000-0000-0000CC680000}"/>
    <cellStyle name="Comma 3 2 5 3 2 5 2" xfId="31756" xr:uid="{00000000-0005-0000-0000-0000CD680000}"/>
    <cellStyle name="Comma 3 2 5 3 2 6" xfId="10925" xr:uid="{00000000-0005-0000-0000-0000CE680000}"/>
    <cellStyle name="Comma 3 2 5 3 2 6 2" xfId="34204" xr:uid="{00000000-0005-0000-0000-0000CF680000}"/>
    <cellStyle name="Comma 3 2 5 3 2 7" xfId="13373" xr:uid="{00000000-0005-0000-0000-0000D0680000}"/>
    <cellStyle name="Comma 3 2 5 3 2 7 2" xfId="36652" xr:uid="{00000000-0005-0000-0000-0000D1680000}"/>
    <cellStyle name="Comma 3 2 5 3 2 8" xfId="15844" xr:uid="{00000000-0005-0000-0000-0000D2680000}"/>
    <cellStyle name="Comma 3 2 5 3 2 8 2" xfId="39122" xr:uid="{00000000-0005-0000-0000-0000D3680000}"/>
    <cellStyle name="Comma 3 2 5 3 2 9" xfId="24412" xr:uid="{00000000-0005-0000-0000-0000D4680000}"/>
    <cellStyle name="Comma 3 2 5 3 3" xfId="1745" xr:uid="{00000000-0005-0000-0000-0000D5680000}"/>
    <cellStyle name="Comma 3 2 5 3 3 10" xfId="22576" xr:uid="{00000000-0005-0000-0000-0000D6680000}"/>
    <cellStyle name="Comma 3 2 5 3 3 2" xfId="4193" xr:uid="{00000000-0005-0000-0000-0000D7680000}"/>
    <cellStyle name="Comma 3 2 5 3 3 2 2" xfId="20128" xr:uid="{00000000-0005-0000-0000-0000D8680000}"/>
    <cellStyle name="Comma 3 2 5 3 3 2 2 2" xfId="43406" xr:uid="{00000000-0005-0000-0000-0000D9680000}"/>
    <cellStyle name="Comma 3 2 5 3 3 2 3" xfId="48302" xr:uid="{00000000-0005-0000-0000-0000DA680000}"/>
    <cellStyle name="Comma 3 2 5 3 3 2 4" xfId="27472" xr:uid="{00000000-0005-0000-0000-0000DB680000}"/>
    <cellStyle name="Comma 3 2 5 3 3 3" xfId="6641" xr:uid="{00000000-0005-0000-0000-0000DC680000}"/>
    <cellStyle name="Comma 3 2 5 3 3 3 2" xfId="29920" xr:uid="{00000000-0005-0000-0000-0000DD680000}"/>
    <cellStyle name="Comma 3 2 5 3 3 4" xfId="9089" xr:uid="{00000000-0005-0000-0000-0000DE680000}"/>
    <cellStyle name="Comma 3 2 5 3 3 4 2" xfId="32368" xr:uid="{00000000-0005-0000-0000-0000DF680000}"/>
    <cellStyle name="Comma 3 2 5 3 3 5" xfId="11537" xr:uid="{00000000-0005-0000-0000-0000E0680000}"/>
    <cellStyle name="Comma 3 2 5 3 3 5 2" xfId="34816" xr:uid="{00000000-0005-0000-0000-0000E1680000}"/>
    <cellStyle name="Comma 3 2 5 3 3 6" xfId="13985" xr:uid="{00000000-0005-0000-0000-0000E2680000}"/>
    <cellStyle name="Comma 3 2 5 3 3 6 2" xfId="37264" xr:uid="{00000000-0005-0000-0000-0000E3680000}"/>
    <cellStyle name="Comma 3 2 5 3 3 7" xfId="17680" xr:uid="{00000000-0005-0000-0000-0000E4680000}"/>
    <cellStyle name="Comma 3 2 5 3 3 7 2" xfId="40958" xr:uid="{00000000-0005-0000-0000-0000E5680000}"/>
    <cellStyle name="Comma 3 2 5 3 3 8" xfId="25024" xr:uid="{00000000-0005-0000-0000-0000E6680000}"/>
    <cellStyle name="Comma 3 2 5 3 3 9" xfId="45854" xr:uid="{00000000-0005-0000-0000-0000E7680000}"/>
    <cellStyle name="Comma 3 2 5 3 4" xfId="2969" xr:uid="{00000000-0005-0000-0000-0000E8680000}"/>
    <cellStyle name="Comma 3 2 5 3 4 2" xfId="16456" xr:uid="{00000000-0005-0000-0000-0000E9680000}"/>
    <cellStyle name="Comma 3 2 5 3 4 2 2" xfId="39734" xr:uid="{00000000-0005-0000-0000-0000EA680000}"/>
    <cellStyle name="Comma 3 2 5 3 4 3" xfId="47078" xr:uid="{00000000-0005-0000-0000-0000EB680000}"/>
    <cellStyle name="Comma 3 2 5 3 4 4" xfId="26248" xr:uid="{00000000-0005-0000-0000-0000EC680000}"/>
    <cellStyle name="Comma 3 2 5 3 5" xfId="5417" xr:uid="{00000000-0005-0000-0000-0000ED680000}"/>
    <cellStyle name="Comma 3 2 5 3 5 2" xfId="18904" xr:uid="{00000000-0005-0000-0000-0000EE680000}"/>
    <cellStyle name="Comma 3 2 5 3 5 2 2" xfId="42182" xr:uid="{00000000-0005-0000-0000-0000EF680000}"/>
    <cellStyle name="Comma 3 2 5 3 5 3" xfId="28696" xr:uid="{00000000-0005-0000-0000-0000F0680000}"/>
    <cellStyle name="Comma 3 2 5 3 6" xfId="7865" xr:uid="{00000000-0005-0000-0000-0000F1680000}"/>
    <cellStyle name="Comma 3 2 5 3 6 2" xfId="31144" xr:uid="{00000000-0005-0000-0000-0000F2680000}"/>
    <cellStyle name="Comma 3 2 5 3 7" xfId="10313" xr:uid="{00000000-0005-0000-0000-0000F3680000}"/>
    <cellStyle name="Comma 3 2 5 3 7 2" xfId="33592" xr:uid="{00000000-0005-0000-0000-0000F4680000}"/>
    <cellStyle name="Comma 3 2 5 3 8" xfId="12761" xr:uid="{00000000-0005-0000-0000-0000F5680000}"/>
    <cellStyle name="Comma 3 2 5 3 8 2" xfId="36040" xr:uid="{00000000-0005-0000-0000-0000F6680000}"/>
    <cellStyle name="Comma 3 2 5 3 9" xfId="15232" xr:uid="{00000000-0005-0000-0000-0000F7680000}"/>
    <cellStyle name="Comma 3 2 5 3 9 2" xfId="38510" xr:uid="{00000000-0005-0000-0000-0000F8680000}"/>
    <cellStyle name="Comma 3 2 5 4" xfId="725" xr:uid="{00000000-0005-0000-0000-0000F9680000}"/>
    <cellStyle name="Comma 3 2 5 4 10" xfId="44834" xr:uid="{00000000-0005-0000-0000-0000FA680000}"/>
    <cellStyle name="Comma 3 2 5 4 11" xfId="21556" xr:uid="{00000000-0005-0000-0000-0000FB680000}"/>
    <cellStyle name="Comma 3 2 5 4 2" xfId="1949" xr:uid="{00000000-0005-0000-0000-0000FC680000}"/>
    <cellStyle name="Comma 3 2 5 4 2 10" xfId="22780" xr:uid="{00000000-0005-0000-0000-0000FD680000}"/>
    <cellStyle name="Comma 3 2 5 4 2 2" xfId="4397" xr:uid="{00000000-0005-0000-0000-0000FE680000}"/>
    <cellStyle name="Comma 3 2 5 4 2 2 2" xfId="20332" xr:uid="{00000000-0005-0000-0000-0000FF680000}"/>
    <cellStyle name="Comma 3 2 5 4 2 2 2 2" xfId="43610" xr:uid="{00000000-0005-0000-0000-000000690000}"/>
    <cellStyle name="Comma 3 2 5 4 2 2 3" xfId="48506" xr:uid="{00000000-0005-0000-0000-000001690000}"/>
    <cellStyle name="Comma 3 2 5 4 2 2 4" xfId="27676" xr:uid="{00000000-0005-0000-0000-000002690000}"/>
    <cellStyle name="Comma 3 2 5 4 2 3" xfId="6845" xr:uid="{00000000-0005-0000-0000-000003690000}"/>
    <cellStyle name="Comma 3 2 5 4 2 3 2" xfId="30124" xr:uid="{00000000-0005-0000-0000-000004690000}"/>
    <cellStyle name="Comma 3 2 5 4 2 4" xfId="9293" xr:uid="{00000000-0005-0000-0000-000005690000}"/>
    <cellStyle name="Comma 3 2 5 4 2 4 2" xfId="32572" xr:uid="{00000000-0005-0000-0000-000006690000}"/>
    <cellStyle name="Comma 3 2 5 4 2 5" xfId="11741" xr:uid="{00000000-0005-0000-0000-000007690000}"/>
    <cellStyle name="Comma 3 2 5 4 2 5 2" xfId="35020" xr:uid="{00000000-0005-0000-0000-000008690000}"/>
    <cellStyle name="Comma 3 2 5 4 2 6" xfId="14189" xr:uid="{00000000-0005-0000-0000-000009690000}"/>
    <cellStyle name="Comma 3 2 5 4 2 6 2" xfId="37468" xr:uid="{00000000-0005-0000-0000-00000A690000}"/>
    <cellStyle name="Comma 3 2 5 4 2 7" xfId="17884" xr:uid="{00000000-0005-0000-0000-00000B690000}"/>
    <cellStyle name="Comma 3 2 5 4 2 7 2" xfId="41162" xr:uid="{00000000-0005-0000-0000-00000C690000}"/>
    <cellStyle name="Comma 3 2 5 4 2 8" xfId="25228" xr:uid="{00000000-0005-0000-0000-00000D690000}"/>
    <cellStyle name="Comma 3 2 5 4 2 9" xfId="46058" xr:uid="{00000000-0005-0000-0000-00000E690000}"/>
    <cellStyle name="Comma 3 2 5 4 3" xfId="3173" xr:uid="{00000000-0005-0000-0000-00000F690000}"/>
    <cellStyle name="Comma 3 2 5 4 3 2" xfId="16660" xr:uid="{00000000-0005-0000-0000-000010690000}"/>
    <cellStyle name="Comma 3 2 5 4 3 2 2" xfId="39938" xr:uid="{00000000-0005-0000-0000-000011690000}"/>
    <cellStyle name="Comma 3 2 5 4 3 3" xfId="47282" xr:uid="{00000000-0005-0000-0000-000012690000}"/>
    <cellStyle name="Comma 3 2 5 4 3 4" xfId="26452" xr:uid="{00000000-0005-0000-0000-000013690000}"/>
    <cellStyle name="Comma 3 2 5 4 4" xfId="5621" xr:uid="{00000000-0005-0000-0000-000014690000}"/>
    <cellStyle name="Comma 3 2 5 4 4 2" xfId="19108" xr:uid="{00000000-0005-0000-0000-000015690000}"/>
    <cellStyle name="Comma 3 2 5 4 4 2 2" xfId="42386" xr:uid="{00000000-0005-0000-0000-000016690000}"/>
    <cellStyle name="Comma 3 2 5 4 4 3" xfId="28900" xr:uid="{00000000-0005-0000-0000-000017690000}"/>
    <cellStyle name="Comma 3 2 5 4 5" xfId="8069" xr:uid="{00000000-0005-0000-0000-000018690000}"/>
    <cellStyle name="Comma 3 2 5 4 5 2" xfId="31348" xr:uid="{00000000-0005-0000-0000-000019690000}"/>
    <cellStyle name="Comma 3 2 5 4 6" xfId="10517" xr:uid="{00000000-0005-0000-0000-00001A690000}"/>
    <cellStyle name="Comma 3 2 5 4 6 2" xfId="33796" xr:uid="{00000000-0005-0000-0000-00001B690000}"/>
    <cellStyle name="Comma 3 2 5 4 7" xfId="12965" xr:uid="{00000000-0005-0000-0000-00001C690000}"/>
    <cellStyle name="Comma 3 2 5 4 7 2" xfId="36244" xr:uid="{00000000-0005-0000-0000-00001D690000}"/>
    <cellStyle name="Comma 3 2 5 4 8" xfId="15436" xr:uid="{00000000-0005-0000-0000-00001E690000}"/>
    <cellStyle name="Comma 3 2 5 4 8 2" xfId="38714" xr:uid="{00000000-0005-0000-0000-00001F690000}"/>
    <cellStyle name="Comma 3 2 5 4 9" xfId="24004" xr:uid="{00000000-0005-0000-0000-000020690000}"/>
    <cellStyle name="Comma 3 2 5 5" xfId="1337" xr:uid="{00000000-0005-0000-0000-000021690000}"/>
    <cellStyle name="Comma 3 2 5 5 10" xfId="22168" xr:uid="{00000000-0005-0000-0000-000022690000}"/>
    <cellStyle name="Comma 3 2 5 5 2" xfId="3785" xr:uid="{00000000-0005-0000-0000-000023690000}"/>
    <cellStyle name="Comma 3 2 5 5 2 2" xfId="19720" xr:uid="{00000000-0005-0000-0000-000024690000}"/>
    <cellStyle name="Comma 3 2 5 5 2 2 2" xfId="42998" xr:uid="{00000000-0005-0000-0000-000025690000}"/>
    <cellStyle name="Comma 3 2 5 5 2 3" xfId="47894" xr:uid="{00000000-0005-0000-0000-000026690000}"/>
    <cellStyle name="Comma 3 2 5 5 2 4" xfId="27064" xr:uid="{00000000-0005-0000-0000-000027690000}"/>
    <cellStyle name="Comma 3 2 5 5 3" xfId="6233" xr:uid="{00000000-0005-0000-0000-000028690000}"/>
    <cellStyle name="Comma 3 2 5 5 3 2" xfId="29512" xr:uid="{00000000-0005-0000-0000-000029690000}"/>
    <cellStyle name="Comma 3 2 5 5 4" xfId="8681" xr:uid="{00000000-0005-0000-0000-00002A690000}"/>
    <cellStyle name="Comma 3 2 5 5 4 2" xfId="31960" xr:uid="{00000000-0005-0000-0000-00002B690000}"/>
    <cellStyle name="Comma 3 2 5 5 5" xfId="11129" xr:uid="{00000000-0005-0000-0000-00002C690000}"/>
    <cellStyle name="Comma 3 2 5 5 5 2" xfId="34408" xr:uid="{00000000-0005-0000-0000-00002D690000}"/>
    <cellStyle name="Comma 3 2 5 5 6" xfId="13577" xr:uid="{00000000-0005-0000-0000-00002E690000}"/>
    <cellStyle name="Comma 3 2 5 5 6 2" xfId="36856" xr:uid="{00000000-0005-0000-0000-00002F690000}"/>
    <cellStyle name="Comma 3 2 5 5 7" xfId="17272" xr:uid="{00000000-0005-0000-0000-000030690000}"/>
    <cellStyle name="Comma 3 2 5 5 7 2" xfId="40550" xr:uid="{00000000-0005-0000-0000-000031690000}"/>
    <cellStyle name="Comma 3 2 5 5 8" xfId="24616" xr:uid="{00000000-0005-0000-0000-000032690000}"/>
    <cellStyle name="Comma 3 2 5 5 9" xfId="45446" xr:uid="{00000000-0005-0000-0000-000033690000}"/>
    <cellStyle name="Comma 3 2 5 6" xfId="2561" xr:uid="{00000000-0005-0000-0000-000034690000}"/>
    <cellStyle name="Comma 3 2 5 6 2" xfId="16048" xr:uid="{00000000-0005-0000-0000-000035690000}"/>
    <cellStyle name="Comma 3 2 5 6 2 2" xfId="39326" xr:uid="{00000000-0005-0000-0000-000036690000}"/>
    <cellStyle name="Comma 3 2 5 6 3" xfId="46670" xr:uid="{00000000-0005-0000-0000-000037690000}"/>
    <cellStyle name="Comma 3 2 5 6 4" xfId="25840" xr:uid="{00000000-0005-0000-0000-000038690000}"/>
    <cellStyle name="Comma 3 2 5 7" xfId="5009" xr:uid="{00000000-0005-0000-0000-000039690000}"/>
    <cellStyle name="Comma 3 2 5 7 2" xfId="18496" xr:uid="{00000000-0005-0000-0000-00003A690000}"/>
    <cellStyle name="Comma 3 2 5 7 2 2" xfId="41774" xr:uid="{00000000-0005-0000-0000-00003B690000}"/>
    <cellStyle name="Comma 3 2 5 7 3" xfId="28288" xr:uid="{00000000-0005-0000-0000-00003C690000}"/>
    <cellStyle name="Comma 3 2 5 8" xfId="7457" xr:uid="{00000000-0005-0000-0000-00003D690000}"/>
    <cellStyle name="Comma 3 2 5 8 2" xfId="30736" xr:uid="{00000000-0005-0000-0000-00003E690000}"/>
    <cellStyle name="Comma 3 2 5 9" xfId="9905" xr:uid="{00000000-0005-0000-0000-00003F690000}"/>
    <cellStyle name="Comma 3 2 5 9 2" xfId="33184" xr:uid="{00000000-0005-0000-0000-000040690000}"/>
    <cellStyle name="Comma 3 2 6" xfId="181" xr:uid="{00000000-0005-0000-0000-000041690000}"/>
    <cellStyle name="Comma 3 2 6 10" xfId="12421" xr:uid="{00000000-0005-0000-0000-000042690000}"/>
    <cellStyle name="Comma 3 2 6 10 2" xfId="35700" xr:uid="{00000000-0005-0000-0000-000043690000}"/>
    <cellStyle name="Comma 3 2 6 11" xfId="14892" xr:uid="{00000000-0005-0000-0000-000044690000}"/>
    <cellStyle name="Comma 3 2 6 11 2" xfId="38170" xr:uid="{00000000-0005-0000-0000-000045690000}"/>
    <cellStyle name="Comma 3 2 6 12" xfId="23460" xr:uid="{00000000-0005-0000-0000-000046690000}"/>
    <cellStyle name="Comma 3 2 6 13" xfId="44290" xr:uid="{00000000-0005-0000-0000-000047690000}"/>
    <cellStyle name="Comma 3 2 6 14" xfId="21012" xr:uid="{00000000-0005-0000-0000-000048690000}"/>
    <cellStyle name="Comma 3 2 6 2" xfId="385" xr:uid="{00000000-0005-0000-0000-000049690000}"/>
    <cellStyle name="Comma 3 2 6 2 10" xfId="23664" xr:uid="{00000000-0005-0000-0000-00004A690000}"/>
    <cellStyle name="Comma 3 2 6 2 11" xfId="44494" xr:uid="{00000000-0005-0000-0000-00004B690000}"/>
    <cellStyle name="Comma 3 2 6 2 12" xfId="21216" xr:uid="{00000000-0005-0000-0000-00004C690000}"/>
    <cellStyle name="Comma 3 2 6 2 2" xfId="997" xr:uid="{00000000-0005-0000-0000-00004D690000}"/>
    <cellStyle name="Comma 3 2 6 2 2 10" xfId="45106" xr:uid="{00000000-0005-0000-0000-00004E690000}"/>
    <cellStyle name="Comma 3 2 6 2 2 11" xfId="21828" xr:uid="{00000000-0005-0000-0000-00004F690000}"/>
    <cellStyle name="Comma 3 2 6 2 2 2" xfId="2221" xr:uid="{00000000-0005-0000-0000-000050690000}"/>
    <cellStyle name="Comma 3 2 6 2 2 2 10" xfId="23052" xr:uid="{00000000-0005-0000-0000-000051690000}"/>
    <cellStyle name="Comma 3 2 6 2 2 2 2" xfId="4669" xr:uid="{00000000-0005-0000-0000-000052690000}"/>
    <cellStyle name="Comma 3 2 6 2 2 2 2 2" xfId="20604" xr:uid="{00000000-0005-0000-0000-000053690000}"/>
    <cellStyle name="Comma 3 2 6 2 2 2 2 2 2" xfId="43882" xr:uid="{00000000-0005-0000-0000-000054690000}"/>
    <cellStyle name="Comma 3 2 6 2 2 2 2 3" xfId="48778" xr:uid="{00000000-0005-0000-0000-000055690000}"/>
    <cellStyle name="Comma 3 2 6 2 2 2 2 4" xfId="27948" xr:uid="{00000000-0005-0000-0000-000056690000}"/>
    <cellStyle name="Comma 3 2 6 2 2 2 3" xfId="7117" xr:uid="{00000000-0005-0000-0000-000057690000}"/>
    <cellStyle name="Comma 3 2 6 2 2 2 3 2" xfId="30396" xr:uid="{00000000-0005-0000-0000-000058690000}"/>
    <cellStyle name="Comma 3 2 6 2 2 2 4" xfId="9565" xr:uid="{00000000-0005-0000-0000-000059690000}"/>
    <cellStyle name="Comma 3 2 6 2 2 2 4 2" xfId="32844" xr:uid="{00000000-0005-0000-0000-00005A690000}"/>
    <cellStyle name="Comma 3 2 6 2 2 2 5" xfId="12013" xr:uid="{00000000-0005-0000-0000-00005B690000}"/>
    <cellStyle name="Comma 3 2 6 2 2 2 5 2" xfId="35292" xr:uid="{00000000-0005-0000-0000-00005C690000}"/>
    <cellStyle name="Comma 3 2 6 2 2 2 6" xfId="14461" xr:uid="{00000000-0005-0000-0000-00005D690000}"/>
    <cellStyle name="Comma 3 2 6 2 2 2 6 2" xfId="37740" xr:uid="{00000000-0005-0000-0000-00005E690000}"/>
    <cellStyle name="Comma 3 2 6 2 2 2 7" xfId="18156" xr:uid="{00000000-0005-0000-0000-00005F690000}"/>
    <cellStyle name="Comma 3 2 6 2 2 2 7 2" xfId="41434" xr:uid="{00000000-0005-0000-0000-000060690000}"/>
    <cellStyle name="Comma 3 2 6 2 2 2 8" xfId="25500" xr:uid="{00000000-0005-0000-0000-000061690000}"/>
    <cellStyle name="Comma 3 2 6 2 2 2 9" xfId="46330" xr:uid="{00000000-0005-0000-0000-000062690000}"/>
    <cellStyle name="Comma 3 2 6 2 2 3" xfId="3445" xr:uid="{00000000-0005-0000-0000-000063690000}"/>
    <cellStyle name="Comma 3 2 6 2 2 3 2" xfId="16932" xr:uid="{00000000-0005-0000-0000-000064690000}"/>
    <cellStyle name="Comma 3 2 6 2 2 3 2 2" xfId="40210" xr:uid="{00000000-0005-0000-0000-000065690000}"/>
    <cellStyle name="Comma 3 2 6 2 2 3 3" xfId="47554" xr:uid="{00000000-0005-0000-0000-000066690000}"/>
    <cellStyle name="Comma 3 2 6 2 2 3 4" xfId="26724" xr:uid="{00000000-0005-0000-0000-000067690000}"/>
    <cellStyle name="Comma 3 2 6 2 2 4" xfId="5893" xr:uid="{00000000-0005-0000-0000-000068690000}"/>
    <cellStyle name="Comma 3 2 6 2 2 4 2" xfId="19380" xr:uid="{00000000-0005-0000-0000-000069690000}"/>
    <cellStyle name="Comma 3 2 6 2 2 4 2 2" xfId="42658" xr:uid="{00000000-0005-0000-0000-00006A690000}"/>
    <cellStyle name="Comma 3 2 6 2 2 4 3" xfId="29172" xr:uid="{00000000-0005-0000-0000-00006B690000}"/>
    <cellStyle name="Comma 3 2 6 2 2 5" xfId="8341" xr:uid="{00000000-0005-0000-0000-00006C690000}"/>
    <cellStyle name="Comma 3 2 6 2 2 5 2" xfId="31620" xr:uid="{00000000-0005-0000-0000-00006D690000}"/>
    <cellStyle name="Comma 3 2 6 2 2 6" xfId="10789" xr:uid="{00000000-0005-0000-0000-00006E690000}"/>
    <cellStyle name="Comma 3 2 6 2 2 6 2" xfId="34068" xr:uid="{00000000-0005-0000-0000-00006F690000}"/>
    <cellStyle name="Comma 3 2 6 2 2 7" xfId="13237" xr:uid="{00000000-0005-0000-0000-000070690000}"/>
    <cellStyle name="Comma 3 2 6 2 2 7 2" xfId="36516" xr:uid="{00000000-0005-0000-0000-000071690000}"/>
    <cellStyle name="Comma 3 2 6 2 2 8" xfId="15708" xr:uid="{00000000-0005-0000-0000-000072690000}"/>
    <cellStyle name="Comma 3 2 6 2 2 8 2" xfId="38986" xr:uid="{00000000-0005-0000-0000-000073690000}"/>
    <cellStyle name="Comma 3 2 6 2 2 9" xfId="24276" xr:uid="{00000000-0005-0000-0000-000074690000}"/>
    <cellStyle name="Comma 3 2 6 2 3" xfId="1609" xr:uid="{00000000-0005-0000-0000-000075690000}"/>
    <cellStyle name="Comma 3 2 6 2 3 10" xfId="22440" xr:uid="{00000000-0005-0000-0000-000076690000}"/>
    <cellStyle name="Comma 3 2 6 2 3 2" xfId="4057" xr:uid="{00000000-0005-0000-0000-000077690000}"/>
    <cellStyle name="Comma 3 2 6 2 3 2 2" xfId="19992" xr:uid="{00000000-0005-0000-0000-000078690000}"/>
    <cellStyle name="Comma 3 2 6 2 3 2 2 2" xfId="43270" xr:uid="{00000000-0005-0000-0000-000079690000}"/>
    <cellStyle name="Comma 3 2 6 2 3 2 3" xfId="48166" xr:uid="{00000000-0005-0000-0000-00007A690000}"/>
    <cellStyle name="Comma 3 2 6 2 3 2 4" xfId="27336" xr:uid="{00000000-0005-0000-0000-00007B690000}"/>
    <cellStyle name="Comma 3 2 6 2 3 3" xfId="6505" xr:uid="{00000000-0005-0000-0000-00007C690000}"/>
    <cellStyle name="Comma 3 2 6 2 3 3 2" xfId="29784" xr:uid="{00000000-0005-0000-0000-00007D690000}"/>
    <cellStyle name="Comma 3 2 6 2 3 4" xfId="8953" xr:uid="{00000000-0005-0000-0000-00007E690000}"/>
    <cellStyle name="Comma 3 2 6 2 3 4 2" xfId="32232" xr:uid="{00000000-0005-0000-0000-00007F690000}"/>
    <cellStyle name="Comma 3 2 6 2 3 5" xfId="11401" xr:uid="{00000000-0005-0000-0000-000080690000}"/>
    <cellStyle name="Comma 3 2 6 2 3 5 2" xfId="34680" xr:uid="{00000000-0005-0000-0000-000081690000}"/>
    <cellStyle name="Comma 3 2 6 2 3 6" xfId="13849" xr:uid="{00000000-0005-0000-0000-000082690000}"/>
    <cellStyle name="Comma 3 2 6 2 3 6 2" xfId="37128" xr:uid="{00000000-0005-0000-0000-000083690000}"/>
    <cellStyle name="Comma 3 2 6 2 3 7" xfId="17544" xr:uid="{00000000-0005-0000-0000-000084690000}"/>
    <cellStyle name="Comma 3 2 6 2 3 7 2" xfId="40822" xr:uid="{00000000-0005-0000-0000-000085690000}"/>
    <cellStyle name="Comma 3 2 6 2 3 8" xfId="24888" xr:uid="{00000000-0005-0000-0000-000086690000}"/>
    <cellStyle name="Comma 3 2 6 2 3 9" xfId="45718" xr:uid="{00000000-0005-0000-0000-000087690000}"/>
    <cellStyle name="Comma 3 2 6 2 4" xfId="2833" xr:uid="{00000000-0005-0000-0000-000088690000}"/>
    <cellStyle name="Comma 3 2 6 2 4 2" xfId="16320" xr:uid="{00000000-0005-0000-0000-000089690000}"/>
    <cellStyle name="Comma 3 2 6 2 4 2 2" xfId="39598" xr:uid="{00000000-0005-0000-0000-00008A690000}"/>
    <cellStyle name="Comma 3 2 6 2 4 3" xfId="46942" xr:uid="{00000000-0005-0000-0000-00008B690000}"/>
    <cellStyle name="Comma 3 2 6 2 4 4" xfId="26112" xr:uid="{00000000-0005-0000-0000-00008C690000}"/>
    <cellStyle name="Comma 3 2 6 2 5" xfId="5281" xr:uid="{00000000-0005-0000-0000-00008D690000}"/>
    <cellStyle name="Comma 3 2 6 2 5 2" xfId="18768" xr:uid="{00000000-0005-0000-0000-00008E690000}"/>
    <cellStyle name="Comma 3 2 6 2 5 2 2" xfId="42046" xr:uid="{00000000-0005-0000-0000-00008F690000}"/>
    <cellStyle name="Comma 3 2 6 2 5 3" xfId="28560" xr:uid="{00000000-0005-0000-0000-000090690000}"/>
    <cellStyle name="Comma 3 2 6 2 6" xfId="7729" xr:uid="{00000000-0005-0000-0000-000091690000}"/>
    <cellStyle name="Comma 3 2 6 2 6 2" xfId="31008" xr:uid="{00000000-0005-0000-0000-000092690000}"/>
    <cellStyle name="Comma 3 2 6 2 7" xfId="10177" xr:uid="{00000000-0005-0000-0000-000093690000}"/>
    <cellStyle name="Comma 3 2 6 2 7 2" xfId="33456" xr:uid="{00000000-0005-0000-0000-000094690000}"/>
    <cellStyle name="Comma 3 2 6 2 8" xfId="12625" xr:uid="{00000000-0005-0000-0000-000095690000}"/>
    <cellStyle name="Comma 3 2 6 2 8 2" xfId="35904" xr:uid="{00000000-0005-0000-0000-000096690000}"/>
    <cellStyle name="Comma 3 2 6 2 9" xfId="15096" xr:uid="{00000000-0005-0000-0000-000097690000}"/>
    <cellStyle name="Comma 3 2 6 2 9 2" xfId="38374" xr:uid="{00000000-0005-0000-0000-000098690000}"/>
    <cellStyle name="Comma 3 2 6 3" xfId="589" xr:uid="{00000000-0005-0000-0000-000099690000}"/>
    <cellStyle name="Comma 3 2 6 3 10" xfId="23868" xr:uid="{00000000-0005-0000-0000-00009A690000}"/>
    <cellStyle name="Comma 3 2 6 3 11" xfId="44698" xr:uid="{00000000-0005-0000-0000-00009B690000}"/>
    <cellStyle name="Comma 3 2 6 3 12" xfId="21420" xr:uid="{00000000-0005-0000-0000-00009C690000}"/>
    <cellStyle name="Comma 3 2 6 3 2" xfId="1201" xr:uid="{00000000-0005-0000-0000-00009D690000}"/>
    <cellStyle name="Comma 3 2 6 3 2 10" xfId="45310" xr:uid="{00000000-0005-0000-0000-00009E690000}"/>
    <cellStyle name="Comma 3 2 6 3 2 11" xfId="22032" xr:uid="{00000000-0005-0000-0000-00009F690000}"/>
    <cellStyle name="Comma 3 2 6 3 2 2" xfId="2425" xr:uid="{00000000-0005-0000-0000-0000A0690000}"/>
    <cellStyle name="Comma 3 2 6 3 2 2 10" xfId="23256" xr:uid="{00000000-0005-0000-0000-0000A1690000}"/>
    <cellStyle name="Comma 3 2 6 3 2 2 2" xfId="4873" xr:uid="{00000000-0005-0000-0000-0000A2690000}"/>
    <cellStyle name="Comma 3 2 6 3 2 2 2 2" xfId="20808" xr:uid="{00000000-0005-0000-0000-0000A3690000}"/>
    <cellStyle name="Comma 3 2 6 3 2 2 2 2 2" xfId="44086" xr:uid="{00000000-0005-0000-0000-0000A4690000}"/>
    <cellStyle name="Comma 3 2 6 3 2 2 2 3" xfId="48982" xr:uid="{00000000-0005-0000-0000-0000A5690000}"/>
    <cellStyle name="Comma 3 2 6 3 2 2 2 4" xfId="28152" xr:uid="{00000000-0005-0000-0000-0000A6690000}"/>
    <cellStyle name="Comma 3 2 6 3 2 2 3" xfId="7321" xr:uid="{00000000-0005-0000-0000-0000A7690000}"/>
    <cellStyle name="Comma 3 2 6 3 2 2 3 2" xfId="30600" xr:uid="{00000000-0005-0000-0000-0000A8690000}"/>
    <cellStyle name="Comma 3 2 6 3 2 2 4" xfId="9769" xr:uid="{00000000-0005-0000-0000-0000A9690000}"/>
    <cellStyle name="Comma 3 2 6 3 2 2 4 2" xfId="33048" xr:uid="{00000000-0005-0000-0000-0000AA690000}"/>
    <cellStyle name="Comma 3 2 6 3 2 2 5" xfId="12217" xr:uid="{00000000-0005-0000-0000-0000AB690000}"/>
    <cellStyle name="Comma 3 2 6 3 2 2 5 2" xfId="35496" xr:uid="{00000000-0005-0000-0000-0000AC690000}"/>
    <cellStyle name="Comma 3 2 6 3 2 2 6" xfId="14665" xr:uid="{00000000-0005-0000-0000-0000AD690000}"/>
    <cellStyle name="Comma 3 2 6 3 2 2 6 2" xfId="37944" xr:uid="{00000000-0005-0000-0000-0000AE690000}"/>
    <cellStyle name="Comma 3 2 6 3 2 2 7" xfId="18360" xr:uid="{00000000-0005-0000-0000-0000AF690000}"/>
    <cellStyle name="Comma 3 2 6 3 2 2 7 2" xfId="41638" xr:uid="{00000000-0005-0000-0000-0000B0690000}"/>
    <cellStyle name="Comma 3 2 6 3 2 2 8" xfId="25704" xr:uid="{00000000-0005-0000-0000-0000B1690000}"/>
    <cellStyle name="Comma 3 2 6 3 2 2 9" xfId="46534" xr:uid="{00000000-0005-0000-0000-0000B2690000}"/>
    <cellStyle name="Comma 3 2 6 3 2 3" xfId="3649" xr:uid="{00000000-0005-0000-0000-0000B3690000}"/>
    <cellStyle name="Comma 3 2 6 3 2 3 2" xfId="17136" xr:uid="{00000000-0005-0000-0000-0000B4690000}"/>
    <cellStyle name="Comma 3 2 6 3 2 3 2 2" xfId="40414" xr:uid="{00000000-0005-0000-0000-0000B5690000}"/>
    <cellStyle name="Comma 3 2 6 3 2 3 3" xfId="47758" xr:uid="{00000000-0005-0000-0000-0000B6690000}"/>
    <cellStyle name="Comma 3 2 6 3 2 3 4" xfId="26928" xr:uid="{00000000-0005-0000-0000-0000B7690000}"/>
    <cellStyle name="Comma 3 2 6 3 2 4" xfId="6097" xr:uid="{00000000-0005-0000-0000-0000B8690000}"/>
    <cellStyle name="Comma 3 2 6 3 2 4 2" xfId="19584" xr:uid="{00000000-0005-0000-0000-0000B9690000}"/>
    <cellStyle name="Comma 3 2 6 3 2 4 2 2" xfId="42862" xr:uid="{00000000-0005-0000-0000-0000BA690000}"/>
    <cellStyle name="Comma 3 2 6 3 2 4 3" xfId="29376" xr:uid="{00000000-0005-0000-0000-0000BB690000}"/>
    <cellStyle name="Comma 3 2 6 3 2 5" xfId="8545" xr:uid="{00000000-0005-0000-0000-0000BC690000}"/>
    <cellStyle name="Comma 3 2 6 3 2 5 2" xfId="31824" xr:uid="{00000000-0005-0000-0000-0000BD690000}"/>
    <cellStyle name="Comma 3 2 6 3 2 6" xfId="10993" xr:uid="{00000000-0005-0000-0000-0000BE690000}"/>
    <cellStyle name="Comma 3 2 6 3 2 6 2" xfId="34272" xr:uid="{00000000-0005-0000-0000-0000BF690000}"/>
    <cellStyle name="Comma 3 2 6 3 2 7" xfId="13441" xr:uid="{00000000-0005-0000-0000-0000C0690000}"/>
    <cellStyle name="Comma 3 2 6 3 2 7 2" xfId="36720" xr:uid="{00000000-0005-0000-0000-0000C1690000}"/>
    <cellStyle name="Comma 3 2 6 3 2 8" xfId="15912" xr:uid="{00000000-0005-0000-0000-0000C2690000}"/>
    <cellStyle name="Comma 3 2 6 3 2 8 2" xfId="39190" xr:uid="{00000000-0005-0000-0000-0000C3690000}"/>
    <cellStyle name="Comma 3 2 6 3 2 9" xfId="24480" xr:uid="{00000000-0005-0000-0000-0000C4690000}"/>
    <cellStyle name="Comma 3 2 6 3 3" xfId="1813" xr:uid="{00000000-0005-0000-0000-0000C5690000}"/>
    <cellStyle name="Comma 3 2 6 3 3 10" xfId="22644" xr:uid="{00000000-0005-0000-0000-0000C6690000}"/>
    <cellStyle name="Comma 3 2 6 3 3 2" xfId="4261" xr:uid="{00000000-0005-0000-0000-0000C7690000}"/>
    <cellStyle name="Comma 3 2 6 3 3 2 2" xfId="20196" xr:uid="{00000000-0005-0000-0000-0000C8690000}"/>
    <cellStyle name="Comma 3 2 6 3 3 2 2 2" xfId="43474" xr:uid="{00000000-0005-0000-0000-0000C9690000}"/>
    <cellStyle name="Comma 3 2 6 3 3 2 3" xfId="48370" xr:uid="{00000000-0005-0000-0000-0000CA690000}"/>
    <cellStyle name="Comma 3 2 6 3 3 2 4" xfId="27540" xr:uid="{00000000-0005-0000-0000-0000CB690000}"/>
    <cellStyle name="Comma 3 2 6 3 3 3" xfId="6709" xr:uid="{00000000-0005-0000-0000-0000CC690000}"/>
    <cellStyle name="Comma 3 2 6 3 3 3 2" xfId="29988" xr:uid="{00000000-0005-0000-0000-0000CD690000}"/>
    <cellStyle name="Comma 3 2 6 3 3 4" xfId="9157" xr:uid="{00000000-0005-0000-0000-0000CE690000}"/>
    <cellStyle name="Comma 3 2 6 3 3 4 2" xfId="32436" xr:uid="{00000000-0005-0000-0000-0000CF690000}"/>
    <cellStyle name="Comma 3 2 6 3 3 5" xfId="11605" xr:uid="{00000000-0005-0000-0000-0000D0690000}"/>
    <cellStyle name="Comma 3 2 6 3 3 5 2" xfId="34884" xr:uid="{00000000-0005-0000-0000-0000D1690000}"/>
    <cellStyle name="Comma 3 2 6 3 3 6" xfId="14053" xr:uid="{00000000-0005-0000-0000-0000D2690000}"/>
    <cellStyle name="Comma 3 2 6 3 3 6 2" xfId="37332" xr:uid="{00000000-0005-0000-0000-0000D3690000}"/>
    <cellStyle name="Comma 3 2 6 3 3 7" xfId="17748" xr:uid="{00000000-0005-0000-0000-0000D4690000}"/>
    <cellStyle name="Comma 3 2 6 3 3 7 2" xfId="41026" xr:uid="{00000000-0005-0000-0000-0000D5690000}"/>
    <cellStyle name="Comma 3 2 6 3 3 8" xfId="25092" xr:uid="{00000000-0005-0000-0000-0000D6690000}"/>
    <cellStyle name="Comma 3 2 6 3 3 9" xfId="45922" xr:uid="{00000000-0005-0000-0000-0000D7690000}"/>
    <cellStyle name="Comma 3 2 6 3 4" xfId="3037" xr:uid="{00000000-0005-0000-0000-0000D8690000}"/>
    <cellStyle name="Comma 3 2 6 3 4 2" xfId="16524" xr:uid="{00000000-0005-0000-0000-0000D9690000}"/>
    <cellStyle name="Comma 3 2 6 3 4 2 2" xfId="39802" xr:uid="{00000000-0005-0000-0000-0000DA690000}"/>
    <cellStyle name="Comma 3 2 6 3 4 3" xfId="47146" xr:uid="{00000000-0005-0000-0000-0000DB690000}"/>
    <cellStyle name="Comma 3 2 6 3 4 4" xfId="26316" xr:uid="{00000000-0005-0000-0000-0000DC690000}"/>
    <cellStyle name="Comma 3 2 6 3 5" xfId="5485" xr:uid="{00000000-0005-0000-0000-0000DD690000}"/>
    <cellStyle name="Comma 3 2 6 3 5 2" xfId="18972" xr:uid="{00000000-0005-0000-0000-0000DE690000}"/>
    <cellStyle name="Comma 3 2 6 3 5 2 2" xfId="42250" xr:uid="{00000000-0005-0000-0000-0000DF690000}"/>
    <cellStyle name="Comma 3 2 6 3 5 3" xfId="28764" xr:uid="{00000000-0005-0000-0000-0000E0690000}"/>
    <cellStyle name="Comma 3 2 6 3 6" xfId="7933" xr:uid="{00000000-0005-0000-0000-0000E1690000}"/>
    <cellStyle name="Comma 3 2 6 3 6 2" xfId="31212" xr:uid="{00000000-0005-0000-0000-0000E2690000}"/>
    <cellStyle name="Comma 3 2 6 3 7" xfId="10381" xr:uid="{00000000-0005-0000-0000-0000E3690000}"/>
    <cellStyle name="Comma 3 2 6 3 7 2" xfId="33660" xr:uid="{00000000-0005-0000-0000-0000E4690000}"/>
    <cellStyle name="Comma 3 2 6 3 8" xfId="12829" xr:uid="{00000000-0005-0000-0000-0000E5690000}"/>
    <cellStyle name="Comma 3 2 6 3 8 2" xfId="36108" xr:uid="{00000000-0005-0000-0000-0000E6690000}"/>
    <cellStyle name="Comma 3 2 6 3 9" xfId="15300" xr:uid="{00000000-0005-0000-0000-0000E7690000}"/>
    <cellStyle name="Comma 3 2 6 3 9 2" xfId="38578" xr:uid="{00000000-0005-0000-0000-0000E8690000}"/>
    <cellStyle name="Comma 3 2 6 4" xfId="793" xr:uid="{00000000-0005-0000-0000-0000E9690000}"/>
    <cellStyle name="Comma 3 2 6 4 10" xfId="44902" xr:uid="{00000000-0005-0000-0000-0000EA690000}"/>
    <cellStyle name="Comma 3 2 6 4 11" xfId="21624" xr:uid="{00000000-0005-0000-0000-0000EB690000}"/>
    <cellStyle name="Comma 3 2 6 4 2" xfId="2017" xr:uid="{00000000-0005-0000-0000-0000EC690000}"/>
    <cellStyle name="Comma 3 2 6 4 2 10" xfId="22848" xr:uid="{00000000-0005-0000-0000-0000ED690000}"/>
    <cellStyle name="Comma 3 2 6 4 2 2" xfId="4465" xr:uid="{00000000-0005-0000-0000-0000EE690000}"/>
    <cellStyle name="Comma 3 2 6 4 2 2 2" xfId="20400" xr:uid="{00000000-0005-0000-0000-0000EF690000}"/>
    <cellStyle name="Comma 3 2 6 4 2 2 2 2" xfId="43678" xr:uid="{00000000-0005-0000-0000-0000F0690000}"/>
    <cellStyle name="Comma 3 2 6 4 2 2 3" xfId="48574" xr:uid="{00000000-0005-0000-0000-0000F1690000}"/>
    <cellStyle name="Comma 3 2 6 4 2 2 4" xfId="27744" xr:uid="{00000000-0005-0000-0000-0000F2690000}"/>
    <cellStyle name="Comma 3 2 6 4 2 3" xfId="6913" xr:uid="{00000000-0005-0000-0000-0000F3690000}"/>
    <cellStyle name="Comma 3 2 6 4 2 3 2" xfId="30192" xr:uid="{00000000-0005-0000-0000-0000F4690000}"/>
    <cellStyle name="Comma 3 2 6 4 2 4" xfId="9361" xr:uid="{00000000-0005-0000-0000-0000F5690000}"/>
    <cellStyle name="Comma 3 2 6 4 2 4 2" xfId="32640" xr:uid="{00000000-0005-0000-0000-0000F6690000}"/>
    <cellStyle name="Comma 3 2 6 4 2 5" xfId="11809" xr:uid="{00000000-0005-0000-0000-0000F7690000}"/>
    <cellStyle name="Comma 3 2 6 4 2 5 2" xfId="35088" xr:uid="{00000000-0005-0000-0000-0000F8690000}"/>
    <cellStyle name="Comma 3 2 6 4 2 6" xfId="14257" xr:uid="{00000000-0005-0000-0000-0000F9690000}"/>
    <cellStyle name="Comma 3 2 6 4 2 6 2" xfId="37536" xr:uid="{00000000-0005-0000-0000-0000FA690000}"/>
    <cellStyle name="Comma 3 2 6 4 2 7" xfId="17952" xr:uid="{00000000-0005-0000-0000-0000FB690000}"/>
    <cellStyle name="Comma 3 2 6 4 2 7 2" xfId="41230" xr:uid="{00000000-0005-0000-0000-0000FC690000}"/>
    <cellStyle name="Comma 3 2 6 4 2 8" xfId="25296" xr:uid="{00000000-0005-0000-0000-0000FD690000}"/>
    <cellStyle name="Comma 3 2 6 4 2 9" xfId="46126" xr:uid="{00000000-0005-0000-0000-0000FE690000}"/>
    <cellStyle name="Comma 3 2 6 4 3" xfId="3241" xr:uid="{00000000-0005-0000-0000-0000FF690000}"/>
    <cellStyle name="Comma 3 2 6 4 3 2" xfId="16728" xr:uid="{00000000-0005-0000-0000-0000006A0000}"/>
    <cellStyle name="Comma 3 2 6 4 3 2 2" xfId="40006" xr:uid="{00000000-0005-0000-0000-0000016A0000}"/>
    <cellStyle name="Comma 3 2 6 4 3 3" xfId="47350" xr:uid="{00000000-0005-0000-0000-0000026A0000}"/>
    <cellStyle name="Comma 3 2 6 4 3 4" xfId="26520" xr:uid="{00000000-0005-0000-0000-0000036A0000}"/>
    <cellStyle name="Comma 3 2 6 4 4" xfId="5689" xr:uid="{00000000-0005-0000-0000-0000046A0000}"/>
    <cellStyle name="Comma 3 2 6 4 4 2" xfId="19176" xr:uid="{00000000-0005-0000-0000-0000056A0000}"/>
    <cellStyle name="Comma 3 2 6 4 4 2 2" xfId="42454" xr:uid="{00000000-0005-0000-0000-0000066A0000}"/>
    <cellStyle name="Comma 3 2 6 4 4 3" xfId="28968" xr:uid="{00000000-0005-0000-0000-0000076A0000}"/>
    <cellStyle name="Comma 3 2 6 4 5" xfId="8137" xr:uid="{00000000-0005-0000-0000-0000086A0000}"/>
    <cellStyle name="Comma 3 2 6 4 5 2" xfId="31416" xr:uid="{00000000-0005-0000-0000-0000096A0000}"/>
    <cellStyle name="Comma 3 2 6 4 6" xfId="10585" xr:uid="{00000000-0005-0000-0000-00000A6A0000}"/>
    <cellStyle name="Comma 3 2 6 4 6 2" xfId="33864" xr:uid="{00000000-0005-0000-0000-00000B6A0000}"/>
    <cellStyle name="Comma 3 2 6 4 7" xfId="13033" xr:uid="{00000000-0005-0000-0000-00000C6A0000}"/>
    <cellStyle name="Comma 3 2 6 4 7 2" xfId="36312" xr:uid="{00000000-0005-0000-0000-00000D6A0000}"/>
    <cellStyle name="Comma 3 2 6 4 8" xfId="15504" xr:uid="{00000000-0005-0000-0000-00000E6A0000}"/>
    <cellStyle name="Comma 3 2 6 4 8 2" xfId="38782" xr:uid="{00000000-0005-0000-0000-00000F6A0000}"/>
    <cellStyle name="Comma 3 2 6 4 9" xfId="24072" xr:uid="{00000000-0005-0000-0000-0000106A0000}"/>
    <cellStyle name="Comma 3 2 6 5" xfId="1405" xr:uid="{00000000-0005-0000-0000-0000116A0000}"/>
    <cellStyle name="Comma 3 2 6 5 10" xfId="22236" xr:uid="{00000000-0005-0000-0000-0000126A0000}"/>
    <cellStyle name="Comma 3 2 6 5 2" xfId="3853" xr:uid="{00000000-0005-0000-0000-0000136A0000}"/>
    <cellStyle name="Comma 3 2 6 5 2 2" xfId="19788" xr:uid="{00000000-0005-0000-0000-0000146A0000}"/>
    <cellStyle name="Comma 3 2 6 5 2 2 2" xfId="43066" xr:uid="{00000000-0005-0000-0000-0000156A0000}"/>
    <cellStyle name="Comma 3 2 6 5 2 3" xfId="47962" xr:uid="{00000000-0005-0000-0000-0000166A0000}"/>
    <cellStyle name="Comma 3 2 6 5 2 4" xfId="27132" xr:uid="{00000000-0005-0000-0000-0000176A0000}"/>
    <cellStyle name="Comma 3 2 6 5 3" xfId="6301" xr:uid="{00000000-0005-0000-0000-0000186A0000}"/>
    <cellStyle name="Comma 3 2 6 5 3 2" xfId="29580" xr:uid="{00000000-0005-0000-0000-0000196A0000}"/>
    <cellStyle name="Comma 3 2 6 5 4" xfId="8749" xr:uid="{00000000-0005-0000-0000-00001A6A0000}"/>
    <cellStyle name="Comma 3 2 6 5 4 2" xfId="32028" xr:uid="{00000000-0005-0000-0000-00001B6A0000}"/>
    <cellStyle name="Comma 3 2 6 5 5" xfId="11197" xr:uid="{00000000-0005-0000-0000-00001C6A0000}"/>
    <cellStyle name="Comma 3 2 6 5 5 2" xfId="34476" xr:uid="{00000000-0005-0000-0000-00001D6A0000}"/>
    <cellStyle name="Comma 3 2 6 5 6" xfId="13645" xr:uid="{00000000-0005-0000-0000-00001E6A0000}"/>
    <cellStyle name="Comma 3 2 6 5 6 2" xfId="36924" xr:uid="{00000000-0005-0000-0000-00001F6A0000}"/>
    <cellStyle name="Comma 3 2 6 5 7" xfId="17340" xr:uid="{00000000-0005-0000-0000-0000206A0000}"/>
    <cellStyle name="Comma 3 2 6 5 7 2" xfId="40618" xr:uid="{00000000-0005-0000-0000-0000216A0000}"/>
    <cellStyle name="Comma 3 2 6 5 8" xfId="24684" xr:uid="{00000000-0005-0000-0000-0000226A0000}"/>
    <cellStyle name="Comma 3 2 6 5 9" xfId="45514" xr:uid="{00000000-0005-0000-0000-0000236A0000}"/>
    <cellStyle name="Comma 3 2 6 6" xfId="2629" xr:uid="{00000000-0005-0000-0000-0000246A0000}"/>
    <cellStyle name="Comma 3 2 6 6 2" xfId="16116" xr:uid="{00000000-0005-0000-0000-0000256A0000}"/>
    <cellStyle name="Comma 3 2 6 6 2 2" xfId="39394" xr:uid="{00000000-0005-0000-0000-0000266A0000}"/>
    <cellStyle name="Comma 3 2 6 6 3" xfId="46738" xr:uid="{00000000-0005-0000-0000-0000276A0000}"/>
    <cellStyle name="Comma 3 2 6 6 4" xfId="25908" xr:uid="{00000000-0005-0000-0000-0000286A0000}"/>
    <cellStyle name="Comma 3 2 6 7" xfId="5077" xr:uid="{00000000-0005-0000-0000-0000296A0000}"/>
    <cellStyle name="Comma 3 2 6 7 2" xfId="18564" xr:uid="{00000000-0005-0000-0000-00002A6A0000}"/>
    <cellStyle name="Comma 3 2 6 7 2 2" xfId="41842" xr:uid="{00000000-0005-0000-0000-00002B6A0000}"/>
    <cellStyle name="Comma 3 2 6 7 3" xfId="28356" xr:uid="{00000000-0005-0000-0000-00002C6A0000}"/>
    <cellStyle name="Comma 3 2 6 8" xfId="7525" xr:uid="{00000000-0005-0000-0000-00002D6A0000}"/>
    <cellStyle name="Comma 3 2 6 8 2" xfId="30804" xr:uid="{00000000-0005-0000-0000-00002E6A0000}"/>
    <cellStyle name="Comma 3 2 6 9" xfId="9973" xr:uid="{00000000-0005-0000-0000-00002F6A0000}"/>
    <cellStyle name="Comma 3 2 6 9 2" xfId="33252" xr:uid="{00000000-0005-0000-0000-0000306A0000}"/>
    <cellStyle name="Comma 3 2 7" xfId="249" xr:uid="{00000000-0005-0000-0000-0000316A0000}"/>
    <cellStyle name="Comma 3 2 7 10" xfId="23528" xr:uid="{00000000-0005-0000-0000-0000326A0000}"/>
    <cellStyle name="Comma 3 2 7 11" xfId="44358" xr:uid="{00000000-0005-0000-0000-0000336A0000}"/>
    <cellStyle name="Comma 3 2 7 12" xfId="21080" xr:uid="{00000000-0005-0000-0000-0000346A0000}"/>
    <cellStyle name="Comma 3 2 7 2" xfId="861" xr:uid="{00000000-0005-0000-0000-0000356A0000}"/>
    <cellStyle name="Comma 3 2 7 2 10" xfId="44970" xr:uid="{00000000-0005-0000-0000-0000366A0000}"/>
    <cellStyle name="Comma 3 2 7 2 11" xfId="21692" xr:uid="{00000000-0005-0000-0000-0000376A0000}"/>
    <cellStyle name="Comma 3 2 7 2 2" xfId="2085" xr:uid="{00000000-0005-0000-0000-0000386A0000}"/>
    <cellStyle name="Comma 3 2 7 2 2 10" xfId="22916" xr:uid="{00000000-0005-0000-0000-0000396A0000}"/>
    <cellStyle name="Comma 3 2 7 2 2 2" xfId="4533" xr:uid="{00000000-0005-0000-0000-00003A6A0000}"/>
    <cellStyle name="Comma 3 2 7 2 2 2 2" xfId="20468" xr:uid="{00000000-0005-0000-0000-00003B6A0000}"/>
    <cellStyle name="Comma 3 2 7 2 2 2 2 2" xfId="43746" xr:uid="{00000000-0005-0000-0000-00003C6A0000}"/>
    <cellStyle name="Comma 3 2 7 2 2 2 3" xfId="48642" xr:uid="{00000000-0005-0000-0000-00003D6A0000}"/>
    <cellStyle name="Comma 3 2 7 2 2 2 4" xfId="27812" xr:uid="{00000000-0005-0000-0000-00003E6A0000}"/>
    <cellStyle name="Comma 3 2 7 2 2 3" xfId="6981" xr:uid="{00000000-0005-0000-0000-00003F6A0000}"/>
    <cellStyle name="Comma 3 2 7 2 2 3 2" xfId="30260" xr:uid="{00000000-0005-0000-0000-0000406A0000}"/>
    <cellStyle name="Comma 3 2 7 2 2 4" xfId="9429" xr:uid="{00000000-0005-0000-0000-0000416A0000}"/>
    <cellStyle name="Comma 3 2 7 2 2 4 2" xfId="32708" xr:uid="{00000000-0005-0000-0000-0000426A0000}"/>
    <cellStyle name="Comma 3 2 7 2 2 5" xfId="11877" xr:uid="{00000000-0005-0000-0000-0000436A0000}"/>
    <cellStyle name="Comma 3 2 7 2 2 5 2" xfId="35156" xr:uid="{00000000-0005-0000-0000-0000446A0000}"/>
    <cellStyle name="Comma 3 2 7 2 2 6" xfId="14325" xr:uid="{00000000-0005-0000-0000-0000456A0000}"/>
    <cellStyle name="Comma 3 2 7 2 2 6 2" xfId="37604" xr:uid="{00000000-0005-0000-0000-0000466A0000}"/>
    <cellStyle name="Comma 3 2 7 2 2 7" xfId="18020" xr:uid="{00000000-0005-0000-0000-0000476A0000}"/>
    <cellStyle name="Comma 3 2 7 2 2 7 2" xfId="41298" xr:uid="{00000000-0005-0000-0000-0000486A0000}"/>
    <cellStyle name="Comma 3 2 7 2 2 8" xfId="25364" xr:uid="{00000000-0005-0000-0000-0000496A0000}"/>
    <cellStyle name="Comma 3 2 7 2 2 9" xfId="46194" xr:uid="{00000000-0005-0000-0000-00004A6A0000}"/>
    <cellStyle name="Comma 3 2 7 2 3" xfId="3309" xr:uid="{00000000-0005-0000-0000-00004B6A0000}"/>
    <cellStyle name="Comma 3 2 7 2 3 2" xfId="16796" xr:uid="{00000000-0005-0000-0000-00004C6A0000}"/>
    <cellStyle name="Comma 3 2 7 2 3 2 2" xfId="40074" xr:uid="{00000000-0005-0000-0000-00004D6A0000}"/>
    <cellStyle name="Comma 3 2 7 2 3 3" xfId="47418" xr:uid="{00000000-0005-0000-0000-00004E6A0000}"/>
    <cellStyle name="Comma 3 2 7 2 3 4" xfId="26588" xr:uid="{00000000-0005-0000-0000-00004F6A0000}"/>
    <cellStyle name="Comma 3 2 7 2 4" xfId="5757" xr:uid="{00000000-0005-0000-0000-0000506A0000}"/>
    <cellStyle name="Comma 3 2 7 2 4 2" xfId="19244" xr:uid="{00000000-0005-0000-0000-0000516A0000}"/>
    <cellStyle name="Comma 3 2 7 2 4 2 2" xfId="42522" xr:uid="{00000000-0005-0000-0000-0000526A0000}"/>
    <cellStyle name="Comma 3 2 7 2 4 3" xfId="29036" xr:uid="{00000000-0005-0000-0000-0000536A0000}"/>
    <cellStyle name="Comma 3 2 7 2 5" xfId="8205" xr:uid="{00000000-0005-0000-0000-0000546A0000}"/>
    <cellStyle name="Comma 3 2 7 2 5 2" xfId="31484" xr:uid="{00000000-0005-0000-0000-0000556A0000}"/>
    <cellStyle name="Comma 3 2 7 2 6" xfId="10653" xr:uid="{00000000-0005-0000-0000-0000566A0000}"/>
    <cellStyle name="Comma 3 2 7 2 6 2" xfId="33932" xr:uid="{00000000-0005-0000-0000-0000576A0000}"/>
    <cellStyle name="Comma 3 2 7 2 7" xfId="13101" xr:uid="{00000000-0005-0000-0000-0000586A0000}"/>
    <cellStyle name="Comma 3 2 7 2 7 2" xfId="36380" xr:uid="{00000000-0005-0000-0000-0000596A0000}"/>
    <cellStyle name="Comma 3 2 7 2 8" xfId="15572" xr:uid="{00000000-0005-0000-0000-00005A6A0000}"/>
    <cellStyle name="Comma 3 2 7 2 8 2" xfId="38850" xr:uid="{00000000-0005-0000-0000-00005B6A0000}"/>
    <cellStyle name="Comma 3 2 7 2 9" xfId="24140" xr:uid="{00000000-0005-0000-0000-00005C6A0000}"/>
    <cellStyle name="Comma 3 2 7 3" xfId="1473" xr:uid="{00000000-0005-0000-0000-00005D6A0000}"/>
    <cellStyle name="Comma 3 2 7 3 10" xfId="22304" xr:uid="{00000000-0005-0000-0000-00005E6A0000}"/>
    <cellStyle name="Comma 3 2 7 3 2" xfId="3921" xr:uid="{00000000-0005-0000-0000-00005F6A0000}"/>
    <cellStyle name="Comma 3 2 7 3 2 2" xfId="19856" xr:uid="{00000000-0005-0000-0000-0000606A0000}"/>
    <cellStyle name="Comma 3 2 7 3 2 2 2" xfId="43134" xr:uid="{00000000-0005-0000-0000-0000616A0000}"/>
    <cellStyle name="Comma 3 2 7 3 2 3" xfId="48030" xr:uid="{00000000-0005-0000-0000-0000626A0000}"/>
    <cellStyle name="Comma 3 2 7 3 2 4" xfId="27200" xr:uid="{00000000-0005-0000-0000-0000636A0000}"/>
    <cellStyle name="Comma 3 2 7 3 3" xfId="6369" xr:uid="{00000000-0005-0000-0000-0000646A0000}"/>
    <cellStyle name="Comma 3 2 7 3 3 2" xfId="29648" xr:uid="{00000000-0005-0000-0000-0000656A0000}"/>
    <cellStyle name="Comma 3 2 7 3 4" xfId="8817" xr:uid="{00000000-0005-0000-0000-0000666A0000}"/>
    <cellStyle name="Comma 3 2 7 3 4 2" xfId="32096" xr:uid="{00000000-0005-0000-0000-0000676A0000}"/>
    <cellStyle name="Comma 3 2 7 3 5" xfId="11265" xr:uid="{00000000-0005-0000-0000-0000686A0000}"/>
    <cellStyle name="Comma 3 2 7 3 5 2" xfId="34544" xr:uid="{00000000-0005-0000-0000-0000696A0000}"/>
    <cellStyle name="Comma 3 2 7 3 6" xfId="13713" xr:uid="{00000000-0005-0000-0000-00006A6A0000}"/>
    <cellStyle name="Comma 3 2 7 3 6 2" xfId="36992" xr:uid="{00000000-0005-0000-0000-00006B6A0000}"/>
    <cellStyle name="Comma 3 2 7 3 7" xfId="17408" xr:uid="{00000000-0005-0000-0000-00006C6A0000}"/>
    <cellStyle name="Comma 3 2 7 3 7 2" xfId="40686" xr:uid="{00000000-0005-0000-0000-00006D6A0000}"/>
    <cellStyle name="Comma 3 2 7 3 8" xfId="24752" xr:uid="{00000000-0005-0000-0000-00006E6A0000}"/>
    <cellStyle name="Comma 3 2 7 3 9" xfId="45582" xr:uid="{00000000-0005-0000-0000-00006F6A0000}"/>
    <cellStyle name="Comma 3 2 7 4" xfId="2697" xr:uid="{00000000-0005-0000-0000-0000706A0000}"/>
    <cellStyle name="Comma 3 2 7 4 2" xfId="16184" xr:uid="{00000000-0005-0000-0000-0000716A0000}"/>
    <cellStyle name="Comma 3 2 7 4 2 2" xfId="39462" xr:uid="{00000000-0005-0000-0000-0000726A0000}"/>
    <cellStyle name="Comma 3 2 7 4 3" xfId="46806" xr:uid="{00000000-0005-0000-0000-0000736A0000}"/>
    <cellStyle name="Comma 3 2 7 4 4" xfId="25976" xr:uid="{00000000-0005-0000-0000-0000746A0000}"/>
    <cellStyle name="Comma 3 2 7 5" xfId="5145" xr:uid="{00000000-0005-0000-0000-0000756A0000}"/>
    <cellStyle name="Comma 3 2 7 5 2" xfId="18632" xr:uid="{00000000-0005-0000-0000-0000766A0000}"/>
    <cellStyle name="Comma 3 2 7 5 2 2" xfId="41910" xr:uid="{00000000-0005-0000-0000-0000776A0000}"/>
    <cellStyle name="Comma 3 2 7 5 3" xfId="28424" xr:uid="{00000000-0005-0000-0000-0000786A0000}"/>
    <cellStyle name="Comma 3 2 7 6" xfId="7593" xr:uid="{00000000-0005-0000-0000-0000796A0000}"/>
    <cellStyle name="Comma 3 2 7 6 2" xfId="30872" xr:uid="{00000000-0005-0000-0000-00007A6A0000}"/>
    <cellStyle name="Comma 3 2 7 7" xfId="10041" xr:uid="{00000000-0005-0000-0000-00007B6A0000}"/>
    <cellStyle name="Comma 3 2 7 7 2" xfId="33320" xr:uid="{00000000-0005-0000-0000-00007C6A0000}"/>
    <cellStyle name="Comma 3 2 7 8" xfId="12489" xr:uid="{00000000-0005-0000-0000-00007D6A0000}"/>
    <cellStyle name="Comma 3 2 7 8 2" xfId="35768" xr:uid="{00000000-0005-0000-0000-00007E6A0000}"/>
    <cellStyle name="Comma 3 2 7 9" xfId="14960" xr:uid="{00000000-0005-0000-0000-00007F6A0000}"/>
    <cellStyle name="Comma 3 2 7 9 2" xfId="38238" xr:uid="{00000000-0005-0000-0000-0000806A0000}"/>
    <cellStyle name="Comma 3 2 8" xfId="453" xr:uid="{00000000-0005-0000-0000-0000816A0000}"/>
    <cellStyle name="Comma 3 2 8 10" xfId="23732" xr:uid="{00000000-0005-0000-0000-0000826A0000}"/>
    <cellStyle name="Comma 3 2 8 11" xfId="44562" xr:uid="{00000000-0005-0000-0000-0000836A0000}"/>
    <cellStyle name="Comma 3 2 8 12" xfId="21284" xr:uid="{00000000-0005-0000-0000-0000846A0000}"/>
    <cellStyle name="Comma 3 2 8 2" xfId="1065" xr:uid="{00000000-0005-0000-0000-0000856A0000}"/>
    <cellStyle name="Comma 3 2 8 2 10" xfId="45174" xr:uid="{00000000-0005-0000-0000-0000866A0000}"/>
    <cellStyle name="Comma 3 2 8 2 11" xfId="21896" xr:uid="{00000000-0005-0000-0000-0000876A0000}"/>
    <cellStyle name="Comma 3 2 8 2 2" xfId="2289" xr:uid="{00000000-0005-0000-0000-0000886A0000}"/>
    <cellStyle name="Comma 3 2 8 2 2 10" xfId="23120" xr:uid="{00000000-0005-0000-0000-0000896A0000}"/>
    <cellStyle name="Comma 3 2 8 2 2 2" xfId="4737" xr:uid="{00000000-0005-0000-0000-00008A6A0000}"/>
    <cellStyle name="Comma 3 2 8 2 2 2 2" xfId="20672" xr:uid="{00000000-0005-0000-0000-00008B6A0000}"/>
    <cellStyle name="Comma 3 2 8 2 2 2 2 2" xfId="43950" xr:uid="{00000000-0005-0000-0000-00008C6A0000}"/>
    <cellStyle name="Comma 3 2 8 2 2 2 3" xfId="48846" xr:uid="{00000000-0005-0000-0000-00008D6A0000}"/>
    <cellStyle name="Comma 3 2 8 2 2 2 4" xfId="28016" xr:uid="{00000000-0005-0000-0000-00008E6A0000}"/>
    <cellStyle name="Comma 3 2 8 2 2 3" xfId="7185" xr:uid="{00000000-0005-0000-0000-00008F6A0000}"/>
    <cellStyle name="Comma 3 2 8 2 2 3 2" xfId="30464" xr:uid="{00000000-0005-0000-0000-0000906A0000}"/>
    <cellStyle name="Comma 3 2 8 2 2 4" xfId="9633" xr:uid="{00000000-0005-0000-0000-0000916A0000}"/>
    <cellStyle name="Comma 3 2 8 2 2 4 2" xfId="32912" xr:uid="{00000000-0005-0000-0000-0000926A0000}"/>
    <cellStyle name="Comma 3 2 8 2 2 5" xfId="12081" xr:uid="{00000000-0005-0000-0000-0000936A0000}"/>
    <cellStyle name="Comma 3 2 8 2 2 5 2" xfId="35360" xr:uid="{00000000-0005-0000-0000-0000946A0000}"/>
    <cellStyle name="Comma 3 2 8 2 2 6" xfId="14529" xr:uid="{00000000-0005-0000-0000-0000956A0000}"/>
    <cellStyle name="Comma 3 2 8 2 2 6 2" xfId="37808" xr:uid="{00000000-0005-0000-0000-0000966A0000}"/>
    <cellStyle name="Comma 3 2 8 2 2 7" xfId="18224" xr:uid="{00000000-0005-0000-0000-0000976A0000}"/>
    <cellStyle name="Comma 3 2 8 2 2 7 2" xfId="41502" xr:uid="{00000000-0005-0000-0000-0000986A0000}"/>
    <cellStyle name="Comma 3 2 8 2 2 8" xfId="25568" xr:uid="{00000000-0005-0000-0000-0000996A0000}"/>
    <cellStyle name="Comma 3 2 8 2 2 9" xfId="46398" xr:uid="{00000000-0005-0000-0000-00009A6A0000}"/>
    <cellStyle name="Comma 3 2 8 2 3" xfId="3513" xr:uid="{00000000-0005-0000-0000-00009B6A0000}"/>
    <cellStyle name="Comma 3 2 8 2 3 2" xfId="17000" xr:uid="{00000000-0005-0000-0000-00009C6A0000}"/>
    <cellStyle name="Comma 3 2 8 2 3 2 2" xfId="40278" xr:uid="{00000000-0005-0000-0000-00009D6A0000}"/>
    <cellStyle name="Comma 3 2 8 2 3 3" xfId="47622" xr:uid="{00000000-0005-0000-0000-00009E6A0000}"/>
    <cellStyle name="Comma 3 2 8 2 3 4" xfId="26792" xr:uid="{00000000-0005-0000-0000-00009F6A0000}"/>
    <cellStyle name="Comma 3 2 8 2 4" xfId="5961" xr:uid="{00000000-0005-0000-0000-0000A06A0000}"/>
    <cellStyle name="Comma 3 2 8 2 4 2" xfId="19448" xr:uid="{00000000-0005-0000-0000-0000A16A0000}"/>
    <cellStyle name="Comma 3 2 8 2 4 2 2" xfId="42726" xr:uid="{00000000-0005-0000-0000-0000A26A0000}"/>
    <cellStyle name="Comma 3 2 8 2 4 3" xfId="29240" xr:uid="{00000000-0005-0000-0000-0000A36A0000}"/>
    <cellStyle name="Comma 3 2 8 2 5" xfId="8409" xr:uid="{00000000-0005-0000-0000-0000A46A0000}"/>
    <cellStyle name="Comma 3 2 8 2 5 2" xfId="31688" xr:uid="{00000000-0005-0000-0000-0000A56A0000}"/>
    <cellStyle name="Comma 3 2 8 2 6" xfId="10857" xr:uid="{00000000-0005-0000-0000-0000A66A0000}"/>
    <cellStyle name="Comma 3 2 8 2 6 2" xfId="34136" xr:uid="{00000000-0005-0000-0000-0000A76A0000}"/>
    <cellStyle name="Comma 3 2 8 2 7" xfId="13305" xr:uid="{00000000-0005-0000-0000-0000A86A0000}"/>
    <cellStyle name="Comma 3 2 8 2 7 2" xfId="36584" xr:uid="{00000000-0005-0000-0000-0000A96A0000}"/>
    <cellStyle name="Comma 3 2 8 2 8" xfId="15776" xr:uid="{00000000-0005-0000-0000-0000AA6A0000}"/>
    <cellStyle name="Comma 3 2 8 2 8 2" xfId="39054" xr:uid="{00000000-0005-0000-0000-0000AB6A0000}"/>
    <cellStyle name="Comma 3 2 8 2 9" xfId="24344" xr:uid="{00000000-0005-0000-0000-0000AC6A0000}"/>
    <cellStyle name="Comma 3 2 8 3" xfId="1677" xr:uid="{00000000-0005-0000-0000-0000AD6A0000}"/>
    <cellStyle name="Comma 3 2 8 3 10" xfId="22508" xr:uid="{00000000-0005-0000-0000-0000AE6A0000}"/>
    <cellStyle name="Comma 3 2 8 3 2" xfId="4125" xr:uid="{00000000-0005-0000-0000-0000AF6A0000}"/>
    <cellStyle name="Comma 3 2 8 3 2 2" xfId="20060" xr:uid="{00000000-0005-0000-0000-0000B06A0000}"/>
    <cellStyle name="Comma 3 2 8 3 2 2 2" xfId="43338" xr:uid="{00000000-0005-0000-0000-0000B16A0000}"/>
    <cellStyle name="Comma 3 2 8 3 2 3" xfId="48234" xr:uid="{00000000-0005-0000-0000-0000B26A0000}"/>
    <cellStyle name="Comma 3 2 8 3 2 4" xfId="27404" xr:uid="{00000000-0005-0000-0000-0000B36A0000}"/>
    <cellStyle name="Comma 3 2 8 3 3" xfId="6573" xr:uid="{00000000-0005-0000-0000-0000B46A0000}"/>
    <cellStyle name="Comma 3 2 8 3 3 2" xfId="29852" xr:uid="{00000000-0005-0000-0000-0000B56A0000}"/>
    <cellStyle name="Comma 3 2 8 3 4" xfId="9021" xr:uid="{00000000-0005-0000-0000-0000B66A0000}"/>
    <cellStyle name="Comma 3 2 8 3 4 2" xfId="32300" xr:uid="{00000000-0005-0000-0000-0000B76A0000}"/>
    <cellStyle name="Comma 3 2 8 3 5" xfId="11469" xr:uid="{00000000-0005-0000-0000-0000B86A0000}"/>
    <cellStyle name="Comma 3 2 8 3 5 2" xfId="34748" xr:uid="{00000000-0005-0000-0000-0000B96A0000}"/>
    <cellStyle name="Comma 3 2 8 3 6" xfId="13917" xr:uid="{00000000-0005-0000-0000-0000BA6A0000}"/>
    <cellStyle name="Comma 3 2 8 3 6 2" xfId="37196" xr:uid="{00000000-0005-0000-0000-0000BB6A0000}"/>
    <cellStyle name="Comma 3 2 8 3 7" xfId="17612" xr:uid="{00000000-0005-0000-0000-0000BC6A0000}"/>
    <cellStyle name="Comma 3 2 8 3 7 2" xfId="40890" xr:uid="{00000000-0005-0000-0000-0000BD6A0000}"/>
    <cellStyle name="Comma 3 2 8 3 8" xfId="24956" xr:uid="{00000000-0005-0000-0000-0000BE6A0000}"/>
    <cellStyle name="Comma 3 2 8 3 9" xfId="45786" xr:uid="{00000000-0005-0000-0000-0000BF6A0000}"/>
    <cellStyle name="Comma 3 2 8 4" xfId="2901" xr:uid="{00000000-0005-0000-0000-0000C06A0000}"/>
    <cellStyle name="Comma 3 2 8 4 2" xfId="16388" xr:uid="{00000000-0005-0000-0000-0000C16A0000}"/>
    <cellStyle name="Comma 3 2 8 4 2 2" xfId="39666" xr:uid="{00000000-0005-0000-0000-0000C26A0000}"/>
    <cellStyle name="Comma 3 2 8 4 3" xfId="47010" xr:uid="{00000000-0005-0000-0000-0000C36A0000}"/>
    <cellStyle name="Comma 3 2 8 4 4" xfId="26180" xr:uid="{00000000-0005-0000-0000-0000C46A0000}"/>
    <cellStyle name="Comma 3 2 8 5" xfId="5349" xr:uid="{00000000-0005-0000-0000-0000C56A0000}"/>
    <cellStyle name="Comma 3 2 8 5 2" xfId="18836" xr:uid="{00000000-0005-0000-0000-0000C66A0000}"/>
    <cellStyle name="Comma 3 2 8 5 2 2" xfId="42114" xr:uid="{00000000-0005-0000-0000-0000C76A0000}"/>
    <cellStyle name="Comma 3 2 8 5 3" xfId="28628" xr:uid="{00000000-0005-0000-0000-0000C86A0000}"/>
    <cellStyle name="Comma 3 2 8 6" xfId="7797" xr:uid="{00000000-0005-0000-0000-0000C96A0000}"/>
    <cellStyle name="Comma 3 2 8 6 2" xfId="31076" xr:uid="{00000000-0005-0000-0000-0000CA6A0000}"/>
    <cellStyle name="Comma 3 2 8 7" xfId="10245" xr:uid="{00000000-0005-0000-0000-0000CB6A0000}"/>
    <cellStyle name="Comma 3 2 8 7 2" xfId="33524" xr:uid="{00000000-0005-0000-0000-0000CC6A0000}"/>
    <cellStyle name="Comma 3 2 8 8" xfId="12693" xr:uid="{00000000-0005-0000-0000-0000CD6A0000}"/>
    <cellStyle name="Comma 3 2 8 8 2" xfId="35972" xr:uid="{00000000-0005-0000-0000-0000CE6A0000}"/>
    <cellStyle name="Comma 3 2 8 9" xfId="15164" xr:uid="{00000000-0005-0000-0000-0000CF6A0000}"/>
    <cellStyle name="Comma 3 2 8 9 2" xfId="38442" xr:uid="{00000000-0005-0000-0000-0000D06A0000}"/>
    <cellStyle name="Comma 3 2 9" xfId="657" xr:uid="{00000000-0005-0000-0000-0000D16A0000}"/>
    <cellStyle name="Comma 3 2 9 10" xfId="44766" xr:uid="{00000000-0005-0000-0000-0000D26A0000}"/>
    <cellStyle name="Comma 3 2 9 11" xfId="21488" xr:uid="{00000000-0005-0000-0000-0000D36A0000}"/>
    <cellStyle name="Comma 3 2 9 2" xfId="1881" xr:uid="{00000000-0005-0000-0000-0000D46A0000}"/>
    <cellStyle name="Comma 3 2 9 2 10" xfId="22712" xr:uid="{00000000-0005-0000-0000-0000D56A0000}"/>
    <cellStyle name="Comma 3 2 9 2 2" xfId="4329" xr:uid="{00000000-0005-0000-0000-0000D66A0000}"/>
    <cellStyle name="Comma 3 2 9 2 2 2" xfId="20264" xr:uid="{00000000-0005-0000-0000-0000D76A0000}"/>
    <cellStyle name="Comma 3 2 9 2 2 2 2" xfId="43542" xr:uid="{00000000-0005-0000-0000-0000D86A0000}"/>
    <cellStyle name="Comma 3 2 9 2 2 3" xfId="48438" xr:uid="{00000000-0005-0000-0000-0000D96A0000}"/>
    <cellStyle name="Comma 3 2 9 2 2 4" xfId="27608" xr:uid="{00000000-0005-0000-0000-0000DA6A0000}"/>
    <cellStyle name="Comma 3 2 9 2 3" xfId="6777" xr:uid="{00000000-0005-0000-0000-0000DB6A0000}"/>
    <cellStyle name="Comma 3 2 9 2 3 2" xfId="30056" xr:uid="{00000000-0005-0000-0000-0000DC6A0000}"/>
    <cellStyle name="Comma 3 2 9 2 4" xfId="9225" xr:uid="{00000000-0005-0000-0000-0000DD6A0000}"/>
    <cellStyle name="Comma 3 2 9 2 4 2" xfId="32504" xr:uid="{00000000-0005-0000-0000-0000DE6A0000}"/>
    <cellStyle name="Comma 3 2 9 2 5" xfId="11673" xr:uid="{00000000-0005-0000-0000-0000DF6A0000}"/>
    <cellStyle name="Comma 3 2 9 2 5 2" xfId="34952" xr:uid="{00000000-0005-0000-0000-0000E06A0000}"/>
    <cellStyle name="Comma 3 2 9 2 6" xfId="14121" xr:uid="{00000000-0005-0000-0000-0000E16A0000}"/>
    <cellStyle name="Comma 3 2 9 2 6 2" xfId="37400" xr:uid="{00000000-0005-0000-0000-0000E26A0000}"/>
    <cellStyle name="Comma 3 2 9 2 7" xfId="17816" xr:uid="{00000000-0005-0000-0000-0000E36A0000}"/>
    <cellStyle name="Comma 3 2 9 2 7 2" xfId="41094" xr:uid="{00000000-0005-0000-0000-0000E46A0000}"/>
    <cellStyle name="Comma 3 2 9 2 8" xfId="25160" xr:uid="{00000000-0005-0000-0000-0000E56A0000}"/>
    <cellStyle name="Comma 3 2 9 2 9" xfId="45990" xr:uid="{00000000-0005-0000-0000-0000E66A0000}"/>
    <cellStyle name="Comma 3 2 9 3" xfId="3105" xr:uid="{00000000-0005-0000-0000-0000E76A0000}"/>
    <cellStyle name="Comma 3 2 9 3 2" xfId="16592" xr:uid="{00000000-0005-0000-0000-0000E86A0000}"/>
    <cellStyle name="Comma 3 2 9 3 2 2" xfId="39870" xr:uid="{00000000-0005-0000-0000-0000E96A0000}"/>
    <cellStyle name="Comma 3 2 9 3 3" xfId="47214" xr:uid="{00000000-0005-0000-0000-0000EA6A0000}"/>
    <cellStyle name="Comma 3 2 9 3 4" xfId="26384" xr:uid="{00000000-0005-0000-0000-0000EB6A0000}"/>
    <cellStyle name="Comma 3 2 9 4" xfId="5553" xr:uid="{00000000-0005-0000-0000-0000EC6A0000}"/>
    <cellStyle name="Comma 3 2 9 4 2" xfId="19040" xr:uid="{00000000-0005-0000-0000-0000ED6A0000}"/>
    <cellStyle name="Comma 3 2 9 4 2 2" xfId="42318" xr:uid="{00000000-0005-0000-0000-0000EE6A0000}"/>
    <cellStyle name="Comma 3 2 9 4 3" xfId="28832" xr:uid="{00000000-0005-0000-0000-0000EF6A0000}"/>
    <cellStyle name="Comma 3 2 9 5" xfId="8001" xr:uid="{00000000-0005-0000-0000-0000F06A0000}"/>
    <cellStyle name="Comma 3 2 9 5 2" xfId="31280" xr:uid="{00000000-0005-0000-0000-0000F16A0000}"/>
    <cellStyle name="Comma 3 2 9 6" xfId="10449" xr:uid="{00000000-0005-0000-0000-0000F26A0000}"/>
    <cellStyle name="Comma 3 2 9 6 2" xfId="33728" xr:uid="{00000000-0005-0000-0000-0000F36A0000}"/>
    <cellStyle name="Comma 3 2 9 7" xfId="12897" xr:uid="{00000000-0005-0000-0000-0000F46A0000}"/>
    <cellStyle name="Comma 3 2 9 7 2" xfId="36176" xr:uid="{00000000-0005-0000-0000-0000F56A0000}"/>
    <cellStyle name="Comma 3 2 9 8" xfId="15368" xr:uid="{00000000-0005-0000-0000-0000F66A0000}"/>
    <cellStyle name="Comma 3 2 9 8 2" xfId="38646" xr:uid="{00000000-0005-0000-0000-0000F76A0000}"/>
    <cellStyle name="Comma 3 2 9 9" xfId="23936" xr:uid="{00000000-0005-0000-0000-0000F86A0000}"/>
    <cellStyle name="Comma 3 20" xfId="9834" xr:uid="{00000000-0005-0000-0000-0000F96A0000}"/>
    <cellStyle name="Comma 3 20 2" xfId="33113" xr:uid="{00000000-0005-0000-0000-0000FA6A0000}"/>
    <cellStyle name="Comma 3 21" xfId="12282" xr:uid="{00000000-0005-0000-0000-0000FB6A0000}"/>
    <cellStyle name="Comma 3 21 2" xfId="35561" xr:uid="{00000000-0005-0000-0000-0000FC6A0000}"/>
    <cellStyle name="Comma 3 22" xfId="14730" xr:uid="{00000000-0005-0000-0000-0000FD6A0000}"/>
    <cellStyle name="Comma 3 22 2" xfId="38009" xr:uid="{00000000-0005-0000-0000-0000FE6A0000}"/>
    <cellStyle name="Comma 3 23" xfId="23321" xr:uid="{00000000-0005-0000-0000-0000FF6A0000}"/>
    <cellStyle name="Comma 3 24" xfId="44151" xr:uid="{00000000-0005-0000-0000-0000006B0000}"/>
    <cellStyle name="Comma 3 25" xfId="20873" xr:uid="{00000000-0005-0000-0000-0000016B0000}"/>
    <cellStyle name="Comma 3 26" xfId="49048" xr:uid="{00000000-0005-0000-0000-0000026B0000}"/>
    <cellStyle name="Comma 3 27" xfId="49069" xr:uid="{00000000-0005-0000-0000-0000036B0000}"/>
    <cellStyle name="Comma 3 3" xfId="49" xr:uid="{00000000-0005-0000-0000-0000046B0000}"/>
    <cellStyle name="Comma 3 3 10" xfId="1273" xr:uid="{00000000-0005-0000-0000-0000056B0000}"/>
    <cellStyle name="Comma 3 3 10 10" xfId="22104" xr:uid="{00000000-0005-0000-0000-0000066B0000}"/>
    <cellStyle name="Comma 3 3 10 2" xfId="3721" xr:uid="{00000000-0005-0000-0000-0000076B0000}"/>
    <cellStyle name="Comma 3 3 10 2 2" xfId="17208" xr:uid="{00000000-0005-0000-0000-0000086B0000}"/>
    <cellStyle name="Comma 3 3 10 2 2 2" xfId="40486" xr:uid="{00000000-0005-0000-0000-0000096B0000}"/>
    <cellStyle name="Comma 3 3 10 2 3" xfId="47830" xr:uid="{00000000-0005-0000-0000-00000A6B0000}"/>
    <cellStyle name="Comma 3 3 10 2 4" xfId="27000" xr:uid="{00000000-0005-0000-0000-00000B6B0000}"/>
    <cellStyle name="Comma 3 3 10 3" xfId="6169" xr:uid="{00000000-0005-0000-0000-00000C6B0000}"/>
    <cellStyle name="Comma 3 3 10 3 2" xfId="19656" xr:uid="{00000000-0005-0000-0000-00000D6B0000}"/>
    <cellStyle name="Comma 3 3 10 3 2 2" xfId="42934" xr:uid="{00000000-0005-0000-0000-00000E6B0000}"/>
    <cellStyle name="Comma 3 3 10 3 3" xfId="29448" xr:uid="{00000000-0005-0000-0000-00000F6B0000}"/>
    <cellStyle name="Comma 3 3 10 4" xfId="8617" xr:uid="{00000000-0005-0000-0000-0000106B0000}"/>
    <cellStyle name="Comma 3 3 10 4 2" xfId="31896" xr:uid="{00000000-0005-0000-0000-0000116B0000}"/>
    <cellStyle name="Comma 3 3 10 5" xfId="11065" xr:uid="{00000000-0005-0000-0000-0000126B0000}"/>
    <cellStyle name="Comma 3 3 10 5 2" xfId="34344" xr:uid="{00000000-0005-0000-0000-0000136B0000}"/>
    <cellStyle name="Comma 3 3 10 6" xfId="13513" xr:uid="{00000000-0005-0000-0000-0000146B0000}"/>
    <cellStyle name="Comma 3 3 10 6 2" xfId="36792" xr:uid="{00000000-0005-0000-0000-0000156B0000}"/>
    <cellStyle name="Comma 3 3 10 7" xfId="14760" xr:uid="{00000000-0005-0000-0000-0000166B0000}"/>
    <cellStyle name="Comma 3 3 10 7 2" xfId="38038" xr:uid="{00000000-0005-0000-0000-0000176B0000}"/>
    <cellStyle name="Comma 3 3 10 8" xfId="24552" xr:uid="{00000000-0005-0000-0000-0000186B0000}"/>
    <cellStyle name="Comma 3 3 10 9" xfId="45382" xr:uid="{00000000-0005-0000-0000-0000196B0000}"/>
    <cellStyle name="Comma 3 3 11" xfId="2497" xr:uid="{00000000-0005-0000-0000-00001A6B0000}"/>
    <cellStyle name="Comma 3 3 11 2" xfId="15984" xr:uid="{00000000-0005-0000-0000-00001B6B0000}"/>
    <cellStyle name="Comma 3 3 11 2 2" xfId="39262" xr:uid="{00000000-0005-0000-0000-00001C6B0000}"/>
    <cellStyle name="Comma 3 3 11 3" xfId="46606" xr:uid="{00000000-0005-0000-0000-00001D6B0000}"/>
    <cellStyle name="Comma 3 3 11 4" xfId="25776" xr:uid="{00000000-0005-0000-0000-00001E6B0000}"/>
    <cellStyle name="Comma 3 3 12" xfId="4945" xr:uid="{00000000-0005-0000-0000-00001F6B0000}"/>
    <cellStyle name="Comma 3 3 12 2" xfId="18432" xr:uid="{00000000-0005-0000-0000-0000206B0000}"/>
    <cellStyle name="Comma 3 3 12 2 2" xfId="41710" xr:uid="{00000000-0005-0000-0000-0000216B0000}"/>
    <cellStyle name="Comma 3 3 12 3" xfId="28224" xr:uid="{00000000-0005-0000-0000-0000226B0000}"/>
    <cellStyle name="Comma 3 3 13" xfId="7393" xr:uid="{00000000-0005-0000-0000-0000236B0000}"/>
    <cellStyle name="Comma 3 3 13 2" xfId="30672" xr:uid="{00000000-0005-0000-0000-0000246B0000}"/>
    <cellStyle name="Comma 3 3 14" xfId="9841" xr:uid="{00000000-0005-0000-0000-0000256B0000}"/>
    <cellStyle name="Comma 3 3 14 2" xfId="33120" xr:uid="{00000000-0005-0000-0000-0000266B0000}"/>
    <cellStyle name="Comma 3 3 15" xfId="12289" xr:uid="{00000000-0005-0000-0000-0000276B0000}"/>
    <cellStyle name="Comma 3 3 15 2" xfId="35568" xr:uid="{00000000-0005-0000-0000-0000286B0000}"/>
    <cellStyle name="Comma 3 3 16" xfId="14743" xr:uid="{00000000-0005-0000-0000-0000296B0000}"/>
    <cellStyle name="Comma 3 3 16 2" xfId="38021" xr:uid="{00000000-0005-0000-0000-00002A6B0000}"/>
    <cellStyle name="Comma 3 3 17" xfId="23328" xr:uid="{00000000-0005-0000-0000-00002B6B0000}"/>
    <cellStyle name="Comma 3 3 18" xfId="44158" xr:uid="{00000000-0005-0000-0000-00002C6B0000}"/>
    <cellStyle name="Comma 3 3 19" xfId="20880" xr:uid="{00000000-0005-0000-0000-00002D6B0000}"/>
    <cellStyle name="Comma 3 3 2" xfId="66" xr:uid="{00000000-0005-0000-0000-00002E6B0000}"/>
    <cellStyle name="Comma 3 3 2 10" xfId="7410" xr:uid="{00000000-0005-0000-0000-00002F6B0000}"/>
    <cellStyle name="Comma 3 3 2 10 2" xfId="30689" xr:uid="{00000000-0005-0000-0000-0000306B0000}"/>
    <cellStyle name="Comma 3 3 2 11" xfId="9858" xr:uid="{00000000-0005-0000-0000-0000316B0000}"/>
    <cellStyle name="Comma 3 3 2 11 2" xfId="33137" xr:uid="{00000000-0005-0000-0000-0000326B0000}"/>
    <cellStyle name="Comma 3 3 2 12" xfId="12306" xr:uid="{00000000-0005-0000-0000-0000336B0000}"/>
    <cellStyle name="Comma 3 3 2 12 2" xfId="35585" xr:uid="{00000000-0005-0000-0000-0000346B0000}"/>
    <cellStyle name="Comma 3 3 2 13" xfId="14777" xr:uid="{00000000-0005-0000-0000-0000356B0000}"/>
    <cellStyle name="Comma 3 3 2 13 2" xfId="38055" xr:uid="{00000000-0005-0000-0000-0000366B0000}"/>
    <cellStyle name="Comma 3 3 2 14" xfId="23345" xr:uid="{00000000-0005-0000-0000-0000376B0000}"/>
    <cellStyle name="Comma 3 3 2 15" xfId="44175" xr:uid="{00000000-0005-0000-0000-0000386B0000}"/>
    <cellStyle name="Comma 3 3 2 16" xfId="20897" xr:uid="{00000000-0005-0000-0000-0000396B0000}"/>
    <cellStyle name="Comma 3 3 2 2" xfId="134" xr:uid="{00000000-0005-0000-0000-00003A6B0000}"/>
    <cellStyle name="Comma 3 3 2 2 10" xfId="12374" xr:uid="{00000000-0005-0000-0000-00003B6B0000}"/>
    <cellStyle name="Comma 3 3 2 2 10 2" xfId="35653" xr:uid="{00000000-0005-0000-0000-00003C6B0000}"/>
    <cellStyle name="Comma 3 3 2 2 11" xfId="14845" xr:uid="{00000000-0005-0000-0000-00003D6B0000}"/>
    <cellStyle name="Comma 3 3 2 2 11 2" xfId="38123" xr:uid="{00000000-0005-0000-0000-00003E6B0000}"/>
    <cellStyle name="Comma 3 3 2 2 12" xfId="23413" xr:uid="{00000000-0005-0000-0000-00003F6B0000}"/>
    <cellStyle name="Comma 3 3 2 2 13" xfId="44243" xr:uid="{00000000-0005-0000-0000-0000406B0000}"/>
    <cellStyle name="Comma 3 3 2 2 14" xfId="20965" xr:uid="{00000000-0005-0000-0000-0000416B0000}"/>
    <cellStyle name="Comma 3 3 2 2 2" xfId="338" xr:uid="{00000000-0005-0000-0000-0000426B0000}"/>
    <cellStyle name="Comma 3 3 2 2 2 10" xfId="23617" xr:uid="{00000000-0005-0000-0000-0000436B0000}"/>
    <cellStyle name="Comma 3 3 2 2 2 11" xfId="44447" xr:uid="{00000000-0005-0000-0000-0000446B0000}"/>
    <cellStyle name="Comma 3 3 2 2 2 12" xfId="21169" xr:uid="{00000000-0005-0000-0000-0000456B0000}"/>
    <cellStyle name="Comma 3 3 2 2 2 2" xfId="950" xr:uid="{00000000-0005-0000-0000-0000466B0000}"/>
    <cellStyle name="Comma 3 3 2 2 2 2 10" xfId="45059" xr:uid="{00000000-0005-0000-0000-0000476B0000}"/>
    <cellStyle name="Comma 3 3 2 2 2 2 11" xfId="21781" xr:uid="{00000000-0005-0000-0000-0000486B0000}"/>
    <cellStyle name="Comma 3 3 2 2 2 2 2" xfId="2174" xr:uid="{00000000-0005-0000-0000-0000496B0000}"/>
    <cellStyle name="Comma 3 3 2 2 2 2 2 10" xfId="23005" xr:uid="{00000000-0005-0000-0000-00004A6B0000}"/>
    <cellStyle name="Comma 3 3 2 2 2 2 2 2" xfId="4622" xr:uid="{00000000-0005-0000-0000-00004B6B0000}"/>
    <cellStyle name="Comma 3 3 2 2 2 2 2 2 2" xfId="20557" xr:uid="{00000000-0005-0000-0000-00004C6B0000}"/>
    <cellStyle name="Comma 3 3 2 2 2 2 2 2 2 2" xfId="43835" xr:uid="{00000000-0005-0000-0000-00004D6B0000}"/>
    <cellStyle name="Comma 3 3 2 2 2 2 2 2 3" xfId="48731" xr:uid="{00000000-0005-0000-0000-00004E6B0000}"/>
    <cellStyle name="Comma 3 3 2 2 2 2 2 2 4" xfId="27901" xr:uid="{00000000-0005-0000-0000-00004F6B0000}"/>
    <cellStyle name="Comma 3 3 2 2 2 2 2 3" xfId="7070" xr:uid="{00000000-0005-0000-0000-0000506B0000}"/>
    <cellStyle name="Comma 3 3 2 2 2 2 2 3 2" xfId="30349" xr:uid="{00000000-0005-0000-0000-0000516B0000}"/>
    <cellStyle name="Comma 3 3 2 2 2 2 2 4" xfId="9518" xr:uid="{00000000-0005-0000-0000-0000526B0000}"/>
    <cellStyle name="Comma 3 3 2 2 2 2 2 4 2" xfId="32797" xr:uid="{00000000-0005-0000-0000-0000536B0000}"/>
    <cellStyle name="Comma 3 3 2 2 2 2 2 5" xfId="11966" xr:uid="{00000000-0005-0000-0000-0000546B0000}"/>
    <cellStyle name="Comma 3 3 2 2 2 2 2 5 2" xfId="35245" xr:uid="{00000000-0005-0000-0000-0000556B0000}"/>
    <cellStyle name="Comma 3 3 2 2 2 2 2 6" xfId="14414" xr:uid="{00000000-0005-0000-0000-0000566B0000}"/>
    <cellStyle name="Comma 3 3 2 2 2 2 2 6 2" xfId="37693" xr:uid="{00000000-0005-0000-0000-0000576B0000}"/>
    <cellStyle name="Comma 3 3 2 2 2 2 2 7" xfId="18109" xr:uid="{00000000-0005-0000-0000-0000586B0000}"/>
    <cellStyle name="Comma 3 3 2 2 2 2 2 7 2" xfId="41387" xr:uid="{00000000-0005-0000-0000-0000596B0000}"/>
    <cellStyle name="Comma 3 3 2 2 2 2 2 8" xfId="25453" xr:uid="{00000000-0005-0000-0000-00005A6B0000}"/>
    <cellStyle name="Comma 3 3 2 2 2 2 2 9" xfId="46283" xr:uid="{00000000-0005-0000-0000-00005B6B0000}"/>
    <cellStyle name="Comma 3 3 2 2 2 2 3" xfId="3398" xr:uid="{00000000-0005-0000-0000-00005C6B0000}"/>
    <cellStyle name="Comma 3 3 2 2 2 2 3 2" xfId="16885" xr:uid="{00000000-0005-0000-0000-00005D6B0000}"/>
    <cellStyle name="Comma 3 3 2 2 2 2 3 2 2" xfId="40163" xr:uid="{00000000-0005-0000-0000-00005E6B0000}"/>
    <cellStyle name="Comma 3 3 2 2 2 2 3 3" xfId="47507" xr:uid="{00000000-0005-0000-0000-00005F6B0000}"/>
    <cellStyle name="Comma 3 3 2 2 2 2 3 4" xfId="26677" xr:uid="{00000000-0005-0000-0000-0000606B0000}"/>
    <cellStyle name="Comma 3 3 2 2 2 2 4" xfId="5846" xr:uid="{00000000-0005-0000-0000-0000616B0000}"/>
    <cellStyle name="Comma 3 3 2 2 2 2 4 2" xfId="19333" xr:uid="{00000000-0005-0000-0000-0000626B0000}"/>
    <cellStyle name="Comma 3 3 2 2 2 2 4 2 2" xfId="42611" xr:uid="{00000000-0005-0000-0000-0000636B0000}"/>
    <cellStyle name="Comma 3 3 2 2 2 2 4 3" xfId="29125" xr:uid="{00000000-0005-0000-0000-0000646B0000}"/>
    <cellStyle name="Comma 3 3 2 2 2 2 5" xfId="8294" xr:uid="{00000000-0005-0000-0000-0000656B0000}"/>
    <cellStyle name="Comma 3 3 2 2 2 2 5 2" xfId="31573" xr:uid="{00000000-0005-0000-0000-0000666B0000}"/>
    <cellStyle name="Comma 3 3 2 2 2 2 6" xfId="10742" xr:uid="{00000000-0005-0000-0000-0000676B0000}"/>
    <cellStyle name="Comma 3 3 2 2 2 2 6 2" xfId="34021" xr:uid="{00000000-0005-0000-0000-0000686B0000}"/>
    <cellStyle name="Comma 3 3 2 2 2 2 7" xfId="13190" xr:uid="{00000000-0005-0000-0000-0000696B0000}"/>
    <cellStyle name="Comma 3 3 2 2 2 2 7 2" xfId="36469" xr:uid="{00000000-0005-0000-0000-00006A6B0000}"/>
    <cellStyle name="Comma 3 3 2 2 2 2 8" xfId="15661" xr:uid="{00000000-0005-0000-0000-00006B6B0000}"/>
    <cellStyle name="Comma 3 3 2 2 2 2 8 2" xfId="38939" xr:uid="{00000000-0005-0000-0000-00006C6B0000}"/>
    <cellStyle name="Comma 3 3 2 2 2 2 9" xfId="24229" xr:uid="{00000000-0005-0000-0000-00006D6B0000}"/>
    <cellStyle name="Comma 3 3 2 2 2 3" xfId="1562" xr:uid="{00000000-0005-0000-0000-00006E6B0000}"/>
    <cellStyle name="Comma 3 3 2 2 2 3 10" xfId="22393" xr:uid="{00000000-0005-0000-0000-00006F6B0000}"/>
    <cellStyle name="Comma 3 3 2 2 2 3 2" xfId="4010" xr:uid="{00000000-0005-0000-0000-0000706B0000}"/>
    <cellStyle name="Comma 3 3 2 2 2 3 2 2" xfId="19945" xr:uid="{00000000-0005-0000-0000-0000716B0000}"/>
    <cellStyle name="Comma 3 3 2 2 2 3 2 2 2" xfId="43223" xr:uid="{00000000-0005-0000-0000-0000726B0000}"/>
    <cellStyle name="Comma 3 3 2 2 2 3 2 3" xfId="48119" xr:uid="{00000000-0005-0000-0000-0000736B0000}"/>
    <cellStyle name="Comma 3 3 2 2 2 3 2 4" xfId="27289" xr:uid="{00000000-0005-0000-0000-0000746B0000}"/>
    <cellStyle name="Comma 3 3 2 2 2 3 3" xfId="6458" xr:uid="{00000000-0005-0000-0000-0000756B0000}"/>
    <cellStyle name="Comma 3 3 2 2 2 3 3 2" xfId="29737" xr:uid="{00000000-0005-0000-0000-0000766B0000}"/>
    <cellStyle name="Comma 3 3 2 2 2 3 4" xfId="8906" xr:uid="{00000000-0005-0000-0000-0000776B0000}"/>
    <cellStyle name="Comma 3 3 2 2 2 3 4 2" xfId="32185" xr:uid="{00000000-0005-0000-0000-0000786B0000}"/>
    <cellStyle name="Comma 3 3 2 2 2 3 5" xfId="11354" xr:uid="{00000000-0005-0000-0000-0000796B0000}"/>
    <cellStyle name="Comma 3 3 2 2 2 3 5 2" xfId="34633" xr:uid="{00000000-0005-0000-0000-00007A6B0000}"/>
    <cellStyle name="Comma 3 3 2 2 2 3 6" xfId="13802" xr:uid="{00000000-0005-0000-0000-00007B6B0000}"/>
    <cellStyle name="Comma 3 3 2 2 2 3 6 2" xfId="37081" xr:uid="{00000000-0005-0000-0000-00007C6B0000}"/>
    <cellStyle name="Comma 3 3 2 2 2 3 7" xfId="17497" xr:uid="{00000000-0005-0000-0000-00007D6B0000}"/>
    <cellStyle name="Comma 3 3 2 2 2 3 7 2" xfId="40775" xr:uid="{00000000-0005-0000-0000-00007E6B0000}"/>
    <cellStyle name="Comma 3 3 2 2 2 3 8" xfId="24841" xr:uid="{00000000-0005-0000-0000-00007F6B0000}"/>
    <cellStyle name="Comma 3 3 2 2 2 3 9" xfId="45671" xr:uid="{00000000-0005-0000-0000-0000806B0000}"/>
    <cellStyle name="Comma 3 3 2 2 2 4" xfId="2786" xr:uid="{00000000-0005-0000-0000-0000816B0000}"/>
    <cellStyle name="Comma 3 3 2 2 2 4 2" xfId="16273" xr:uid="{00000000-0005-0000-0000-0000826B0000}"/>
    <cellStyle name="Comma 3 3 2 2 2 4 2 2" xfId="39551" xr:uid="{00000000-0005-0000-0000-0000836B0000}"/>
    <cellStyle name="Comma 3 3 2 2 2 4 3" xfId="46895" xr:uid="{00000000-0005-0000-0000-0000846B0000}"/>
    <cellStyle name="Comma 3 3 2 2 2 4 4" xfId="26065" xr:uid="{00000000-0005-0000-0000-0000856B0000}"/>
    <cellStyle name="Comma 3 3 2 2 2 5" xfId="5234" xr:uid="{00000000-0005-0000-0000-0000866B0000}"/>
    <cellStyle name="Comma 3 3 2 2 2 5 2" xfId="18721" xr:uid="{00000000-0005-0000-0000-0000876B0000}"/>
    <cellStyle name="Comma 3 3 2 2 2 5 2 2" xfId="41999" xr:uid="{00000000-0005-0000-0000-0000886B0000}"/>
    <cellStyle name="Comma 3 3 2 2 2 5 3" xfId="28513" xr:uid="{00000000-0005-0000-0000-0000896B0000}"/>
    <cellStyle name="Comma 3 3 2 2 2 6" xfId="7682" xr:uid="{00000000-0005-0000-0000-00008A6B0000}"/>
    <cellStyle name="Comma 3 3 2 2 2 6 2" xfId="30961" xr:uid="{00000000-0005-0000-0000-00008B6B0000}"/>
    <cellStyle name="Comma 3 3 2 2 2 7" xfId="10130" xr:uid="{00000000-0005-0000-0000-00008C6B0000}"/>
    <cellStyle name="Comma 3 3 2 2 2 7 2" xfId="33409" xr:uid="{00000000-0005-0000-0000-00008D6B0000}"/>
    <cellStyle name="Comma 3 3 2 2 2 8" xfId="12578" xr:uid="{00000000-0005-0000-0000-00008E6B0000}"/>
    <cellStyle name="Comma 3 3 2 2 2 8 2" xfId="35857" xr:uid="{00000000-0005-0000-0000-00008F6B0000}"/>
    <cellStyle name="Comma 3 3 2 2 2 9" xfId="15049" xr:uid="{00000000-0005-0000-0000-0000906B0000}"/>
    <cellStyle name="Comma 3 3 2 2 2 9 2" xfId="38327" xr:uid="{00000000-0005-0000-0000-0000916B0000}"/>
    <cellStyle name="Comma 3 3 2 2 3" xfId="542" xr:uid="{00000000-0005-0000-0000-0000926B0000}"/>
    <cellStyle name="Comma 3 3 2 2 3 10" xfId="23821" xr:uid="{00000000-0005-0000-0000-0000936B0000}"/>
    <cellStyle name="Comma 3 3 2 2 3 11" xfId="44651" xr:uid="{00000000-0005-0000-0000-0000946B0000}"/>
    <cellStyle name="Comma 3 3 2 2 3 12" xfId="21373" xr:uid="{00000000-0005-0000-0000-0000956B0000}"/>
    <cellStyle name="Comma 3 3 2 2 3 2" xfId="1154" xr:uid="{00000000-0005-0000-0000-0000966B0000}"/>
    <cellStyle name="Comma 3 3 2 2 3 2 10" xfId="45263" xr:uid="{00000000-0005-0000-0000-0000976B0000}"/>
    <cellStyle name="Comma 3 3 2 2 3 2 11" xfId="21985" xr:uid="{00000000-0005-0000-0000-0000986B0000}"/>
    <cellStyle name="Comma 3 3 2 2 3 2 2" xfId="2378" xr:uid="{00000000-0005-0000-0000-0000996B0000}"/>
    <cellStyle name="Comma 3 3 2 2 3 2 2 10" xfId="23209" xr:uid="{00000000-0005-0000-0000-00009A6B0000}"/>
    <cellStyle name="Comma 3 3 2 2 3 2 2 2" xfId="4826" xr:uid="{00000000-0005-0000-0000-00009B6B0000}"/>
    <cellStyle name="Comma 3 3 2 2 3 2 2 2 2" xfId="20761" xr:uid="{00000000-0005-0000-0000-00009C6B0000}"/>
    <cellStyle name="Comma 3 3 2 2 3 2 2 2 2 2" xfId="44039" xr:uid="{00000000-0005-0000-0000-00009D6B0000}"/>
    <cellStyle name="Comma 3 3 2 2 3 2 2 2 3" xfId="48935" xr:uid="{00000000-0005-0000-0000-00009E6B0000}"/>
    <cellStyle name="Comma 3 3 2 2 3 2 2 2 4" xfId="28105" xr:uid="{00000000-0005-0000-0000-00009F6B0000}"/>
    <cellStyle name="Comma 3 3 2 2 3 2 2 3" xfId="7274" xr:uid="{00000000-0005-0000-0000-0000A06B0000}"/>
    <cellStyle name="Comma 3 3 2 2 3 2 2 3 2" xfId="30553" xr:uid="{00000000-0005-0000-0000-0000A16B0000}"/>
    <cellStyle name="Comma 3 3 2 2 3 2 2 4" xfId="9722" xr:uid="{00000000-0005-0000-0000-0000A26B0000}"/>
    <cellStyle name="Comma 3 3 2 2 3 2 2 4 2" xfId="33001" xr:uid="{00000000-0005-0000-0000-0000A36B0000}"/>
    <cellStyle name="Comma 3 3 2 2 3 2 2 5" xfId="12170" xr:uid="{00000000-0005-0000-0000-0000A46B0000}"/>
    <cellStyle name="Comma 3 3 2 2 3 2 2 5 2" xfId="35449" xr:uid="{00000000-0005-0000-0000-0000A56B0000}"/>
    <cellStyle name="Comma 3 3 2 2 3 2 2 6" xfId="14618" xr:uid="{00000000-0005-0000-0000-0000A66B0000}"/>
    <cellStyle name="Comma 3 3 2 2 3 2 2 6 2" xfId="37897" xr:uid="{00000000-0005-0000-0000-0000A76B0000}"/>
    <cellStyle name="Comma 3 3 2 2 3 2 2 7" xfId="18313" xr:uid="{00000000-0005-0000-0000-0000A86B0000}"/>
    <cellStyle name="Comma 3 3 2 2 3 2 2 7 2" xfId="41591" xr:uid="{00000000-0005-0000-0000-0000A96B0000}"/>
    <cellStyle name="Comma 3 3 2 2 3 2 2 8" xfId="25657" xr:uid="{00000000-0005-0000-0000-0000AA6B0000}"/>
    <cellStyle name="Comma 3 3 2 2 3 2 2 9" xfId="46487" xr:uid="{00000000-0005-0000-0000-0000AB6B0000}"/>
    <cellStyle name="Comma 3 3 2 2 3 2 3" xfId="3602" xr:uid="{00000000-0005-0000-0000-0000AC6B0000}"/>
    <cellStyle name="Comma 3 3 2 2 3 2 3 2" xfId="17089" xr:uid="{00000000-0005-0000-0000-0000AD6B0000}"/>
    <cellStyle name="Comma 3 3 2 2 3 2 3 2 2" xfId="40367" xr:uid="{00000000-0005-0000-0000-0000AE6B0000}"/>
    <cellStyle name="Comma 3 3 2 2 3 2 3 3" xfId="47711" xr:uid="{00000000-0005-0000-0000-0000AF6B0000}"/>
    <cellStyle name="Comma 3 3 2 2 3 2 3 4" xfId="26881" xr:uid="{00000000-0005-0000-0000-0000B06B0000}"/>
    <cellStyle name="Comma 3 3 2 2 3 2 4" xfId="6050" xr:uid="{00000000-0005-0000-0000-0000B16B0000}"/>
    <cellStyle name="Comma 3 3 2 2 3 2 4 2" xfId="19537" xr:uid="{00000000-0005-0000-0000-0000B26B0000}"/>
    <cellStyle name="Comma 3 3 2 2 3 2 4 2 2" xfId="42815" xr:uid="{00000000-0005-0000-0000-0000B36B0000}"/>
    <cellStyle name="Comma 3 3 2 2 3 2 4 3" xfId="29329" xr:uid="{00000000-0005-0000-0000-0000B46B0000}"/>
    <cellStyle name="Comma 3 3 2 2 3 2 5" xfId="8498" xr:uid="{00000000-0005-0000-0000-0000B56B0000}"/>
    <cellStyle name="Comma 3 3 2 2 3 2 5 2" xfId="31777" xr:uid="{00000000-0005-0000-0000-0000B66B0000}"/>
    <cellStyle name="Comma 3 3 2 2 3 2 6" xfId="10946" xr:uid="{00000000-0005-0000-0000-0000B76B0000}"/>
    <cellStyle name="Comma 3 3 2 2 3 2 6 2" xfId="34225" xr:uid="{00000000-0005-0000-0000-0000B86B0000}"/>
    <cellStyle name="Comma 3 3 2 2 3 2 7" xfId="13394" xr:uid="{00000000-0005-0000-0000-0000B96B0000}"/>
    <cellStyle name="Comma 3 3 2 2 3 2 7 2" xfId="36673" xr:uid="{00000000-0005-0000-0000-0000BA6B0000}"/>
    <cellStyle name="Comma 3 3 2 2 3 2 8" xfId="15865" xr:uid="{00000000-0005-0000-0000-0000BB6B0000}"/>
    <cellStyle name="Comma 3 3 2 2 3 2 8 2" xfId="39143" xr:uid="{00000000-0005-0000-0000-0000BC6B0000}"/>
    <cellStyle name="Comma 3 3 2 2 3 2 9" xfId="24433" xr:uid="{00000000-0005-0000-0000-0000BD6B0000}"/>
    <cellStyle name="Comma 3 3 2 2 3 3" xfId="1766" xr:uid="{00000000-0005-0000-0000-0000BE6B0000}"/>
    <cellStyle name="Comma 3 3 2 2 3 3 10" xfId="22597" xr:uid="{00000000-0005-0000-0000-0000BF6B0000}"/>
    <cellStyle name="Comma 3 3 2 2 3 3 2" xfId="4214" xr:uid="{00000000-0005-0000-0000-0000C06B0000}"/>
    <cellStyle name="Comma 3 3 2 2 3 3 2 2" xfId="20149" xr:uid="{00000000-0005-0000-0000-0000C16B0000}"/>
    <cellStyle name="Comma 3 3 2 2 3 3 2 2 2" xfId="43427" xr:uid="{00000000-0005-0000-0000-0000C26B0000}"/>
    <cellStyle name="Comma 3 3 2 2 3 3 2 3" xfId="48323" xr:uid="{00000000-0005-0000-0000-0000C36B0000}"/>
    <cellStyle name="Comma 3 3 2 2 3 3 2 4" xfId="27493" xr:uid="{00000000-0005-0000-0000-0000C46B0000}"/>
    <cellStyle name="Comma 3 3 2 2 3 3 3" xfId="6662" xr:uid="{00000000-0005-0000-0000-0000C56B0000}"/>
    <cellStyle name="Comma 3 3 2 2 3 3 3 2" xfId="29941" xr:uid="{00000000-0005-0000-0000-0000C66B0000}"/>
    <cellStyle name="Comma 3 3 2 2 3 3 4" xfId="9110" xr:uid="{00000000-0005-0000-0000-0000C76B0000}"/>
    <cellStyle name="Comma 3 3 2 2 3 3 4 2" xfId="32389" xr:uid="{00000000-0005-0000-0000-0000C86B0000}"/>
    <cellStyle name="Comma 3 3 2 2 3 3 5" xfId="11558" xr:uid="{00000000-0005-0000-0000-0000C96B0000}"/>
    <cellStyle name="Comma 3 3 2 2 3 3 5 2" xfId="34837" xr:uid="{00000000-0005-0000-0000-0000CA6B0000}"/>
    <cellStyle name="Comma 3 3 2 2 3 3 6" xfId="14006" xr:uid="{00000000-0005-0000-0000-0000CB6B0000}"/>
    <cellStyle name="Comma 3 3 2 2 3 3 6 2" xfId="37285" xr:uid="{00000000-0005-0000-0000-0000CC6B0000}"/>
    <cellStyle name="Comma 3 3 2 2 3 3 7" xfId="17701" xr:uid="{00000000-0005-0000-0000-0000CD6B0000}"/>
    <cellStyle name="Comma 3 3 2 2 3 3 7 2" xfId="40979" xr:uid="{00000000-0005-0000-0000-0000CE6B0000}"/>
    <cellStyle name="Comma 3 3 2 2 3 3 8" xfId="25045" xr:uid="{00000000-0005-0000-0000-0000CF6B0000}"/>
    <cellStyle name="Comma 3 3 2 2 3 3 9" xfId="45875" xr:uid="{00000000-0005-0000-0000-0000D06B0000}"/>
    <cellStyle name="Comma 3 3 2 2 3 4" xfId="2990" xr:uid="{00000000-0005-0000-0000-0000D16B0000}"/>
    <cellStyle name="Comma 3 3 2 2 3 4 2" xfId="16477" xr:uid="{00000000-0005-0000-0000-0000D26B0000}"/>
    <cellStyle name="Comma 3 3 2 2 3 4 2 2" xfId="39755" xr:uid="{00000000-0005-0000-0000-0000D36B0000}"/>
    <cellStyle name="Comma 3 3 2 2 3 4 3" xfId="47099" xr:uid="{00000000-0005-0000-0000-0000D46B0000}"/>
    <cellStyle name="Comma 3 3 2 2 3 4 4" xfId="26269" xr:uid="{00000000-0005-0000-0000-0000D56B0000}"/>
    <cellStyle name="Comma 3 3 2 2 3 5" xfId="5438" xr:uid="{00000000-0005-0000-0000-0000D66B0000}"/>
    <cellStyle name="Comma 3 3 2 2 3 5 2" xfId="18925" xr:uid="{00000000-0005-0000-0000-0000D76B0000}"/>
    <cellStyle name="Comma 3 3 2 2 3 5 2 2" xfId="42203" xr:uid="{00000000-0005-0000-0000-0000D86B0000}"/>
    <cellStyle name="Comma 3 3 2 2 3 5 3" xfId="28717" xr:uid="{00000000-0005-0000-0000-0000D96B0000}"/>
    <cellStyle name="Comma 3 3 2 2 3 6" xfId="7886" xr:uid="{00000000-0005-0000-0000-0000DA6B0000}"/>
    <cellStyle name="Comma 3 3 2 2 3 6 2" xfId="31165" xr:uid="{00000000-0005-0000-0000-0000DB6B0000}"/>
    <cellStyle name="Comma 3 3 2 2 3 7" xfId="10334" xr:uid="{00000000-0005-0000-0000-0000DC6B0000}"/>
    <cellStyle name="Comma 3 3 2 2 3 7 2" xfId="33613" xr:uid="{00000000-0005-0000-0000-0000DD6B0000}"/>
    <cellStyle name="Comma 3 3 2 2 3 8" xfId="12782" xr:uid="{00000000-0005-0000-0000-0000DE6B0000}"/>
    <cellStyle name="Comma 3 3 2 2 3 8 2" xfId="36061" xr:uid="{00000000-0005-0000-0000-0000DF6B0000}"/>
    <cellStyle name="Comma 3 3 2 2 3 9" xfId="15253" xr:uid="{00000000-0005-0000-0000-0000E06B0000}"/>
    <cellStyle name="Comma 3 3 2 2 3 9 2" xfId="38531" xr:uid="{00000000-0005-0000-0000-0000E16B0000}"/>
    <cellStyle name="Comma 3 3 2 2 4" xfId="746" xr:uid="{00000000-0005-0000-0000-0000E26B0000}"/>
    <cellStyle name="Comma 3 3 2 2 4 10" xfId="44855" xr:uid="{00000000-0005-0000-0000-0000E36B0000}"/>
    <cellStyle name="Comma 3 3 2 2 4 11" xfId="21577" xr:uid="{00000000-0005-0000-0000-0000E46B0000}"/>
    <cellStyle name="Comma 3 3 2 2 4 2" xfId="1970" xr:uid="{00000000-0005-0000-0000-0000E56B0000}"/>
    <cellStyle name="Comma 3 3 2 2 4 2 10" xfId="22801" xr:uid="{00000000-0005-0000-0000-0000E66B0000}"/>
    <cellStyle name="Comma 3 3 2 2 4 2 2" xfId="4418" xr:uid="{00000000-0005-0000-0000-0000E76B0000}"/>
    <cellStyle name="Comma 3 3 2 2 4 2 2 2" xfId="20353" xr:uid="{00000000-0005-0000-0000-0000E86B0000}"/>
    <cellStyle name="Comma 3 3 2 2 4 2 2 2 2" xfId="43631" xr:uid="{00000000-0005-0000-0000-0000E96B0000}"/>
    <cellStyle name="Comma 3 3 2 2 4 2 2 3" xfId="48527" xr:uid="{00000000-0005-0000-0000-0000EA6B0000}"/>
    <cellStyle name="Comma 3 3 2 2 4 2 2 4" xfId="27697" xr:uid="{00000000-0005-0000-0000-0000EB6B0000}"/>
    <cellStyle name="Comma 3 3 2 2 4 2 3" xfId="6866" xr:uid="{00000000-0005-0000-0000-0000EC6B0000}"/>
    <cellStyle name="Comma 3 3 2 2 4 2 3 2" xfId="30145" xr:uid="{00000000-0005-0000-0000-0000ED6B0000}"/>
    <cellStyle name="Comma 3 3 2 2 4 2 4" xfId="9314" xr:uid="{00000000-0005-0000-0000-0000EE6B0000}"/>
    <cellStyle name="Comma 3 3 2 2 4 2 4 2" xfId="32593" xr:uid="{00000000-0005-0000-0000-0000EF6B0000}"/>
    <cellStyle name="Comma 3 3 2 2 4 2 5" xfId="11762" xr:uid="{00000000-0005-0000-0000-0000F06B0000}"/>
    <cellStyle name="Comma 3 3 2 2 4 2 5 2" xfId="35041" xr:uid="{00000000-0005-0000-0000-0000F16B0000}"/>
    <cellStyle name="Comma 3 3 2 2 4 2 6" xfId="14210" xr:uid="{00000000-0005-0000-0000-0000F26B0000}"/>
    <cellStyle name="Comma 3 3 2 2 4 2 6 2" xfId="37489" xr:uid="{00000000-0005-0000-0000-0000F36B0000}"/>
    <cellStyle name="Comma 3 3 2 2 4 2 7" xfId="17905" xr:uid="{00000000-0005-0000-0000-0000F46B0000}"/>
    <cellStyle name="Comma 3 3 2 2 4 2 7 2" xfId="41183" xr:uid="{00000000-0005-0000-0000-0000F56B0000}"/>
    <cellStyle name="Comma 3 3 2 2 4 2 8" xfId="25249" xr:uid="{00000000-0005-0000-0000-0000F66B0000}"/>
    <cellStyle name="Comma 3 3 2 2 4 2 9" xfId="46079" xr:uid="{00000000-0005-0000-0000-0000F76B0000}"/>
    <cellStyle name="Comma 3 3 2 2 4 3" xfId="3194" xr:uid="{00000000-0005-0000-0000-0000F86B0000}"/>
    <cellStyle name="Comma 3 3 2 2 4 3 2" xfId="16681" xr:uid="{00000000-0005-0000-0000-0000F96B0000}"/>
    <cellStyle name="Comma 3 3 2 2 4 3 2 2" xfId="39959" xr:uid="{00000000-0005-0000-0000-0000FA6B0000}"/>
    <cellStyle name="Comma 3 3 2 2 4 3 3" xfId="47303" xr:uid="{00000000-0005-0000-0000-0000FB6B0000}"/>
    <cellStyle name="Comma 3 3 2 2 4 3 4" xfId="26473" xr:uid="{00000000-0005-0000-0000-0000FC6B0000}"/>
    <cellStyle name="Comma 3 3 2 2 4 4" xfId="5642" xr:uid="{00000000-0005-0000-0000-0000FD6B0000}"/>
    <cellStyle name="Comma 3 3 2 2 4 4 2" xfId="19129" xr:uid="{00000000-0005-0000-0000-0000FE6B0000}"/>
    <cellStyle name="Comma 3 3 2 2 4 4 2 2" xfId="42407" xr:uid="{00000000-0005-0000-0000-0000FF6B0000}"/>
    <cellStyle name="Comma 3 3 2 2 4 4 3" xfId="28921" xr:uid="{00000000-0005-0000-0000-0000006C0000}"/>
    <cellStyle name="Comma 3 3 2 2 4 5" xfId="8090" xr:uid="{00000000-0005-0000-0000-0000016C0000}"/>
    <cellStyle name="Comma 3 3 2 2 4 5 2" xfId="31369" xr:uid="{00000000-0005-0000-0000-0000026C0000}"/>
    <cellStyle name="Comma 3 3 2 2 4 6" xfId="10538" xr:uid="{00000000-0005-0000-0000-0000036C0000}"/>
    <cellStyle name="Comma 3 3 2 2 4 6 2" xfId="33817" xr:uid="{00000000-0005-0000-0000-0000046C0000}"/>
    <cellStyle name="Comma 3 3 2 2 4 7" xfId="12986" xr:uid="{00000000-0005-0000-0000-0000056C0000}"/>
    <cellStyle name="Comma 3 3 2 2 4 7 2" xfId="36265" xr:uid="{00000000-0005-0000-0000-0000066C0000}"/>
    <cellStyle name="Comma 3 3 2 2 4 8" xfId="15457" xr:uid="{00000000-0005-0000-0000-0000076C0000}"/>
    <cellStyle name="Comma 3 3 2 2 4 8 2" xfId="38735" xr:uid="{00000000-0005-0000-0000-0000086C0000}"/>
    <cellStyle name="Comma 3 3 2 2 4 9" xfId="24025" xr:uid="{00000000-0005-0000-0000-0000096C0000}"/>
    <cellStyle name="Comma 3 3 2 2 5" xfId="1358" xr:uid="{00000000-0005-0000-0000-00000A6C0000}"/>
    <cellStyle name="Comma 3 3 2 2 5 10" xfId="22189" xr:uid="{00000000-0005-0000-0000-00000B6C0000}"/>
    <cellStyle name="Comma 3 3 2 2 5 2" xfId="3806" xr:uid="{00000000-0005-0000-0000-00000C6C0000}"/>
    <cellStyle name="Comma 3 3 2 2 5 2 2" xfId="19741" xr:uid="{00000000-0005-0000-0000-00000D6C0000}"/>
    <cellStyle name="Comma 3 3 2 2 5 2 2 2" xfId="43019" xr:uid="{00000000-0005-0000-0000-00000E6C0000}"/>
    <cellStyle name="Comma 3 3 2 2 5 2 3" xfId="47915" xr:uid="{00000000-0005-0000-0000-00000F6C0000}"/>
    <cellStyle name="Comma 3 3 2 2 5 2 4" xfId="27085" xr:uid="{00000000-0005-0000-0000-0000106C0000}"/>
    <cellStyle name="Comma 3 3 2 2 5 3" xfId="6254" xr:uid="{00000000-0005-0000-0000-0000116C0000}"/>
    <cellStyle name="Comma 3 3 2 2 5 3 2" xfId="29533" xr:uid="{00000000-0005-0000-0000-0000126C0000}"/>
    <cellStyle name="Comma 3 3 2 2 5 4" xfId="8702" xr:uid="{00000000-0005-0000-0000-0000136C0000}"/>
    <cellStyle name="Comma 3 3 2 2 5 4 2" xfId="31981" xr:uid="{00000000-0005-0000-0000-0000146C0000}"/>
    <cellStyle name="Comma 3 3 2 2 5 5" xfId="11150" xr:uid="{00000000-0005-0000-0000-0000156C0000}"/>
    <cellStyle name="Comma 3 3 2 2 5 5 2" xfId="34429" xr:uid="{00000000-0005-0000-0000-0000166C0000}"/>
    <cellStyle name="Comma 3 3 2 2 5 6" xfId="13598" xr:uid="{00000000-0005-0000-0000-0000176C0000}"/>
    <cellStyle name="Comma 3 3 2 2 5 6 2" xfId="36877" xr:uid="{00000000-0005-0000-0000-0000186C0000}"/>
    <cellStyle name="Comma 3 3 2 2 5 7" xfId="17293" xr:uid="{00000000-0005-0000-0000-0000196C0000}"/>
    <cellStyle name="Comma 3 3 2 2 5 7 2" xfId="40571" xr:uid="{00000000-0005-0000-0000-00001A6C0000}"/>
    <cellStyle name="Comma 3 3 2 2 5 8" xfId="24637" xr:uid="{00000000-0005-0000-0000-00001B6C0000}"/>
    <cellStyle name="Comma 3 3 2 2 5 9" xfId="45467" xr:uid="{00000000-0005-0000-0000-00001C6C0000}"/>
    <cellStyle name="Comma 3 3 2 2 6" xfId="2582" xr:uid="{00000000-0005-0000-0000-00001D6C0000}"/>
    <cellStyle name="Comma 3 3 2 2 6 2" xfId="16069" xr:uid="{00000000-0005-0000-0000-00001E6C0000}"/>
    <cellStyle name="Comma 3 3 2 2 6 2 2" xfId="39347" xr:uid="{00000000-0005-0000-0000-00001F6C0000}"/>
    <cellStyle name="Comma 3 3 2 2 6 3" xfId="46691" xr:uid="{00000000-0005-0000-0000-0000206C0000}"/>
    <cellStyle name="Comma 3 3 2 2 6 4" xfId="25861" xr:uid="{00000000-0005-0000-0000-0000216C0000}"/>
    <cellStyle name="Comma 3 3 2 2 7" xfId="5030" xr:uid="{00000000-0005-0000-0000-0000226C0000}"/>
    <cellStyle name="Comma 3 3 2 2 7 2" xfId="18517" xr:uid="{00000000-0005-0000-0000-0000236C0000}"/>
    <cellStyle name="Comma 3 3 2 2 7 2 2" xfId="41795" xr:uid="{00000000-0005-0000-0000-0000246C0000}"/>
    <cellStyle name="Comma 3 3 2 2 7 3" xfId="28309" xr:uid="{00000000-0005-0000-0000-0000256C0000}"/>
    <cellStyle name="Comma 3 3 2 2 8" xfId="7478" xr:uid="{00000000-0005-0000-0000-0000266C0000}"/>
    <cellStyle name="Comma 3 3 2 2 8 2" xfId="30757" xr:uid="{00000000-0005-0000-0000-0000276C0000}"/>
    <cellStyle name="Comma 3 3 2 2 9" xfId="9926" xr:uid="{00000000-0005-0000-0000-0000286C0000}"/>
    <cellStyle name="Comma 3 3 2 2 9 2" xfId="33205" xr:uid="{00000000-0005-0000-0000-0000296C0000}"/>
    <cellStyle name="Comma 3 3 2 3" xfId="202" xr:uid="{00000000-0005-0000-0000-00002A6C0000}"/>
    <cellStyle name="Comma 3 3 2 3 10" xfId="12442" xr:uid="{00000000-0005-0000-0000-00002B6C0000}"/>
    <cellStyle name="Comma 3 3 2 3 10 2" xfId="35721" xr:uid="{00000000-0005-0000-0000-00002C6C0000}"/>
    <cellStyle name="Comma 3 3 2 3 11" xfId="14913" xr:uid="{00000000-0005-0000-0000-00002D6C0000}"/>
    <cellStyle name="Comma 3 3 2 3 11 2" xfId="38191" xr:uid="{00000000-0005-0000-0000-00002E6C0000}"/>
    <cellStyle name="Comma 3 3 2 3 12" xfId="23481" xr:uid="{00000000-0005-0000-0000-00002F6C0000}"/>
    <cellStyle name="Comma 3 3 2 3 13" xfId="44311" xr:uid="{00000000-0005-0000-0000-0000306C0000}"/>
    <cellStyle name="Comma 3 3 2 3 14" xfId="21033" xr:uid="{00000000-0005-0000-0000-0000316C0000}"/>
    <cellStyle name="Comma 3 3 2 3 2" xfId="406" xr:uid="{00000000-0005-0000-0000-0000326C0000}"/>
    <cellStyle name="Comma 3 3 2 3 2 10" xfId="23685" xr:uid="{00000000-0005-0000-0000-0000336C0000}"/>
    <cellStyle name="Comma 3 3 2 3 2 11" xfId="44515" xr:uid="{00000000-0005-0000-0000-0000346C0000}"/>
    <cellStyle name="Comma 3 3 2 3 2 12" xfId="21237" xr:uid="{00000000-0005-0000-0000-0000356C0000}"/>
    <cellStyle name="Comma 3 3 2 3 2 2" xfId="1018" xr:uid="{00000000-0005-0000-0000-0000366C0000}"/>
    <cellStyle name="Comma 3 3 2 3 2 2 10" xfId="45127" xr:uid="{00000000-0005-0000-0000-0000376C0000}"/>
    <cellStyle name="Comma 3 3 2 3 2 2 11" xfId="21849" xr:uid="{00000000-0005-0000-0000-0000386C0000}"/>
    <cellStyle name="Comma 3 3 2 3 2 2 2" xfId="2242" xr:uid="{00000000-0005-0000-0000-0000396C0000}"/>
    <cellStyle name="Comma 3 3 2 3 2 2 2 10" xfId="23073" xr:uid="{00000000-0005-0000-0000-00003A6C0000}"/>
    <cellStyle name="Comma 3 3 2 3 2 2 2 2" xfId="4690" xr:uid="{00000000-0005-0000-0000-00003B6C0000}"/>
    <cellStyle name="Comma 3 3 2 3 2 2 2 2 2" xfId="20625" xr:uid="{00000000-0005-0000-0000-00003C6C0000}"/>
    <cellStyle name="Comma 3 3 2 3 2 2 2 2 2 2" xfId="43903" xr:uid="{00000000-0005-0000-0000-00003D6C0000}"/>
    <cellStyle name="Comma 3 3 2 3 2 2 2 2 3" xfId="48799" xr:uid="{00000000-0005-0000-0000-00003E6C0000}"/>
    <cellStyle name="Comma 3 3 2 3 2 2 2 2 4" xfId="27969" xr:uid="{00000000-0005-0000-0000-00003F6C0000}"/>
    <cellStyle name="Comma 3 3 2 3 2 2 2 3" xfId="7138" xr:uid="{00000000-0005-0000-0000-0000406C0000}"/>
    <cellStyle name="Comma 3 3 2 3 2 2 2 3 2" xfId="30417" xr:uid="{00000000-0005-0000-0000-0000416C0000}"/>
    <cellStyle name="Comma 3 3 2 3 2 2 2 4" xfId="9586" xr:uid="{00000000-0005-0000-0000-0000426C0000}"/>
    <cellStyle name="Comma 3 3 2 3 2 2 2 4 2" xfId="32865" xr:uid="{00000000-0005-0000-0000-0000436C0000}"/>
    <cellStyle name="Comma 3 3 2 3 2 2 2 5" xfId="12034" xr:uid="{00000000-0005-0000-0000-0000446C0000}"/>
    <cellStyle name="Comma 3 3 2 3 2 2 2 5 2" xfId="35313" xr:uid="{00000000-0005-0000-0000-0000456C0000}"/>
    <cellStyle name="Comma 3 3 2 3 2 2 2 6" xfId="14482" xr:uid="{00000000-0005-0000-0000-0000466C0000}"/>
    <cellStyle name="Comma 3 3 2 3 2 2 2 6 2" xfId="37761" xr:uid="{00000000-0005-0000-0000-0000476C0000}"/>
    <cellStyle name="Comma 3 3 2 3 2 2 2 7" xfId="18177" xr:uid="{00000000-0005-0000-0000-0000486C0000}"/>
    <cellStyle name="Comma 3 3 2 3 2 2 2 7 2" xfId="41455" xr:uid="{00000000-0005-0000-0000-0000496C0000}"/>
    <cellStyle name="Comma 3 3 2 3 2 2 2 8" xfId="25521" xr:uid="{00000000-0005-0000-0000-00004A6C0000}"/>
    <cellStyle name="Comma 3 3 2 3 2 2 2 9" xfId="46351" xr:uid="{00000000-0005-0000-0000-00004B6C0000}"/>
    <cellStyle name="Comma 3 3 2 3 2 2 3" xfId="3466" xr:uid="{00000000-0005-0000-0000-00004C6C0000}"/>
    <cellStyle name="Comma 3 3 2 3 2 2 3 2" xfId="16953" xr:uid="{00000000-0005-0000-0000-00004D6C0000}"/>
    <cellStyle name="Comma 3 3 2 3 2 2 3 2 2" xfId="40231" xr:uid="{00000000-0005-0000-0000-00004E6C0000}"/>
    <cellStyle name="Comma 3 3 2 3 2 2 3 3" xfId="47575" xr:uid="{00000000-0005-0000-0000-00004F6C0000}"/>
    <cellStyle name="Comma 3 3 2 3 2 2 3 4" xfId="26745" xr:uid="{00000000-0005-0000-0000-0000506C0000}"/>
    <cellStyle name="Comma 3 3 2 3 2 2 4" xfId="5914" xr:uid="{00000000-0005-0000-0000-0000516C0000}"/>
    <cellStyle name="Comma 3 3 2 3 2 2 4 2" xfId="19401" xr:uid="{00000000-0005-0000-0000-0000526C0000}"/>
    <cellStyle name="Comma 3 3 2 3 2 2 4 2 2" xfId="42679" xr:uid="{00000000-0005-0000-0000-0000536C0000}"/>
    <cellStyle name="Comma 3 3 2 3 2 2 4 3" xfId="29193" xr:uid="{00000000-0005-0000-0000-0000546C0000}"/>
    <cellStyle name="Comma 3 3 2 3 2 2 5" xfId="8362" xr:uid="{00000000-0005-0000-0000-0000556C0000}"/>
    <cellStyle name="Comma 3 3 2 3 2 2 5 2" xfId="31641" xr:uid="{00000000-0005-0000-0000-0000566C0000}"/>
    <cellStyle name="Comma 3 3 2 3 2 2 6" xfId="10810" xr:uid="{00000000-0005-0000-0000-0000576C0000}"/>
    <cellStyle name="Comma 3 3 2 3 2 2 6 2" xfId="34089" xr:uid="{00000000-0005-0000-0000-0000586C0000}"/>
    <cellStyle name="Comma 3 3 2 3 2 2 7" xfId="13258" xr:uid="{00000000-0005-0000-0000-0000596C0000}"/>
    <cellStyle name="Comma 3 3 2 3 2 2 7 2" xfId="36537" xr:uid="{00000000-0005-0000-0000-00005A6C0000}"/>
    <cellStyle name="Comma 3 3 2 3 2 2 8" xfId="15729" xr:uid="{00000000-0005-0000-0000-00005B6C0000}"/>
    <cellStyle name="Comma 3 3 2 3 2 2 8 2" xfId="39007" xr:uid="{00000000-0005-0000-0000-00005C6C0000}"/>
    <cellStyle name="Comma 3 3 2 3 2 2 9" xfId="24297" xr:uid="{00000000-0005-0000-0000-00005D6C0000}"/>
    <cellStyle name="Comma 3 3 2 3 2 3" xfId="1630" xr:uid="{00000000-0005-0000-0000-00005E6C0000}"/>
    <cellStyle name="Comma 3 3 2 3 2 3 10" xfId="22461" xr:uid="{00000000-0005-0000-0000-00005F6C0000}"/>
    <cellStyle name="Comma 3 3 2 3 2 3 2" xfId="4078" xr:uid="{00000000-0005-0000-0000-0000606C0000}"/>
    <cellStyle name="Comma 3 3 2 3 2 3 2 2" xfId="20013" xr:uid="{00000000-0005-0000-0000-0000616C0000}"/>
    <cellStyle name="Comma 3 3 2 3 2 3 2 2 2" xfId="43291" xr:uid="{00000000-0005-0000-0000-0000626C0000}"/>
    <cellStyle name="Comma 3 3 2 3 2 3 2 3" xfId="48187" xr:uid="{00000000-0005-0000-0000-0000636C0000}"/>
    <cellStyle name="Comma 3 3 2 3 2 3 2 4" xfId="27357" xr:uid="{00000000-0005-0000-0000-0000646C0000}"/>
    <cellStyle name="Comma 3 3 2 3 2 3 3" xfId="6526" xr:uid="{00000000-0005-0000-0000-0000656C0000}"/>
    <cellStyle name="Comma 3 3 2 3 2 3 3 2" xfId="29805" xr:uid="{00000000-0005-0000-0000-0000666C0000}"/>
    <cellStyle name="Comma 3 3 2 3 2 3 4" xfId="8974" xr:uid="{00000000-0005-0000-0000-0000676C0000}"/>
    <cellStyle name="Comma 3 3 2 3 2 3 4 2" xfId="32253" xr:uid="{00000000-0005-0000-0000-0000686C0000}"/>
    <cellStyle name="Comma 3 3 2 3 2 3 5" xfId="11422" xr:uid="{00000000-0005-0000-0000-0000696C0000}"/>
    <cellStyle name="Comma 3 3 2 3 2 3 5 2" xfId="34701" xr:uid="{00000000-0005-0000-0000-00006A6C0000}"/>
    <cellStyle name="Comma 3 3 2 3 2 3 6" xfId="13870" xr:uid="{00000000-0005-0000-0000-00006B6C0000}"/>
    <cellStyle name="Comma 3 3 2 3 2 3 6 2" xfId="37149" xr:uid="{00000000-0005-0000-0000-00006C6C0000}"/>
    <cellStyle name="Comma 3 3 2 3 2 3 7" xfId="17565" xr:uid="{00000000-0005-0000-0000-00006D6C0000}"/>
    <cellStyle name="Comma 3 3 2 3 2 3 7 2" xfId="40843" xr:uid="{00000000-0005-0000-0000-00006E6C0000}"/>
    <cellStyle name="Comma 3 3 2 3 2 3 8" xfId="24909" xr:uid="{00000000-0005-0000-0000-00006F6C0000}"/>
    <cellStyle name="Comma 3 3 2 3 2 3 9" xfId="45739" xr:uid="{00000000-0005-0000-0000-0000706C0000}"/>
    <cellStyle name="Comma 3 3 2 3 2 4" xfId="2854" xr:uid="{00000000-0005-0000-0000-0000716C0000}"/>
    <cellStyle name="Comma 3 3 2 3 2 4 2" xfId="16341" xr:uid="{00000000-0005-0000-0000-0000726C0000}"/>
    <cellStyle name="Comma 3 3 2 3 2 4 2 2" xfId="39619" xr:uid="{00000000-0005-0000-0000-0000736C0000}"/>
    <cellStyle name="Comma 3 3 2 3 2 4 3" xfId="46963" xr:uid="{00000000-0005-0000-0000-0000746C0000}"/>
    <cellStyle name="Comma 3 3 2 3 2 4 4" xfId="26133" xr:uid="{00000000-0005-0000-0000-0000756C0000}"/>
    <cellStyle name="Comma 3 3 2 3 2 5" xfId="5302" xr:uid="{00000000-0005-0000-0000-0000766C0000}"/>
    <cellStyle name="Comma 3 3 2 3 2 5 2" xfId="18789" xr:uid="{00000000-0005-0000-0000-0000776C0000}"/>
    <cellStyle name="Comma 3 3 2 3 2 5 2 2" xfId="42067" xr:uid="{00000000-0005-0000-0000-0000786C0000}"/>
    <cellStyle name="Comma 3 3 2 3 2 5 3" xfId="28581" xr:uid="{00000000-0005-0000-0000-0000796C0000}"/>
    <cellStyle name="Comma 3 3 2 3 2 6" xfId="7750" xr:uid="{00000000-0005-0000-0000-00007A6C0000}"/>
    <cellStyle name="Comma 3 3 2 3 2 6 2" xfId="31029" xr:uid="{00000000-0005-0000-0000-00007B6C0000}"/>
    <cellStyle name="Comma 3 3 2 3 2 7" xfId="10198" xr:uid="{00000000-0005-0000-0000-00007C6C0000}"/>
    <cellStyle name="Comma 3 3 2 3 2 7 2" xfId="33477" xr:uid="{00000000-0005-0000-0000-00007D6C0000}"/>
    <cellStyle name="Comma 3 3 2 3 2 8" xfId="12646" xr:uid="{00000000-0005-0000-0000-00007E6C0000}"/>
    <cellStyle name="Comma 3 3 2 3 2 8 2" xfId="35925" xr:uid="{00000000-0005-0000-0000-00007F6C0000}"/>
    <cellStyle name="Comma 3 3 2 3 2 9" xfId="15117" xr:uid="{00000000-0005-0000-0000-0000806C0000}"/>
    <cellStyle name="Comma 3 3 2 3 2 9 2" xfId="38395" xr:uid="{00000000-0005-0000-0000-0000816C0000}"/>
    <cellStyle name="Comma 3 3 2 3 3" xfId="610" xr:uid="{00000000-0005-0000-0000-0000826C0000}"/>
    <cellStyle name="Comma 3 3 2 3 3 10" xfId="23889" xr:uid="{00000000-0005-0000-0000-0000836C0000}"/>
    <cellStyle name="Comma 3 3 2 3 3 11" xfId="44719" xr:uid="{00000000-0005-0000-0000-0000846C0000}"/>
    <cellStyle name="Comma 3 3 2 3 3 12" xfId="21441" xr:uid="{00000000-0005-0000-0000-0000856C0000}"/>
    <cellStyle name="Comma 3 3 2 3 3 2" xfId="1222" xr:uid="{00000000-0005-0000-0000-0000866C0000}"/>
    <cellStyle name="Comma 3 3 2 3 3 2 10" xfId="45331" xr:uid="{00000000-0005-0000-0000-0000876C0000}"/>
    <cellStyle name="Comma 3 3 2 3 3 2 11" xfId="22053" xr:uid="{00000000-0005-0000-0000-0000886C0000}"/>
    <cellStyle name="Comma 3 3 2 3 3 2 2" xfId="2446" xr:uid="{00000000-0005-0000-0000-0000896C0000}"/>
    <cellStyle name="Comma 3 3 2 3 3 2 2 10" xfId="23277" xr:uid="{00000000-0005-0000-0000-00008A6C0000}"/>
    <cellStyle name="Comma 3 3 2 3 3 2 2 2" xfId="4894" xr:uid="{00000000-0005-0000-0000-00008B6C0000}"/>
    <cellStyle name="Comma 3 3 2 3 3 2 2 2 2" xfId="20829" xr:uid="{00000000-0005-0000-0000-00008C6C0000}"/>
    <cellStyle name="Comma 3 3 2 3 3 2 2 2 2 2" xfId="44107" xr:uid="{00000000-0005-0000-0000-00008D6C0000}"/>
    <cellStyle name="Comma 3 3 2 3 3 2 2 2 3" xfId="49003" xr:uid="{00000000-0005-0000-0000-00008E6C0000}"/>
    <cellStyle name="Comma 3 3 2 3 3 2 2 2 4" xfId="28173" xr:uid="{00000000-0005-0000-0000-00008F6C0000}"/>
    <cellStyle name="Comma 3 3 2 3 3 2 2 3" xfId="7342" xr:uid="{00000000-0005-0000-0000-0000906C0000}"/>
    <cellStyle name="Comma 3 3 2 3 3 2 2 3 2" xfId="30621" xr:uid="{00000000-0005-0000-0000-0000916C0000}"/>
    <cellStyle name="Comma 3 3 2 3 3 2 2 4" xfId="9790" xr:uid="{00000000-0005-0000-0000-0000926C0000}"/>
    <cellStyle name="Comma 3 3 2 3 3 2 2 4 2" xfId="33069" xr:uid="{00000000-0005-0000-0000-0000936C0000}"/>
    <cellStyle name="Comma 3 3 2 3 3 2 2 5" xfId="12238" xr:uid="{00000000-0005-0000-0000-0000946C0000}"/>
    <cellStyle name="Comma 3 3 2 3 3 2 2 5 2" xfId="35517" xr:uid="{00000000-0005-0000-0000-0000956C0000}"/>
    <cellStyle name="Comma 3 3 2 3 3 2 2 6" xfId="14686" xr:uid="{00000000-0005-0000-0000-0000966C0000}"/>
    <cellStyle name="Comma 3 3 2 3 3 2 2 6 2" xfId="37965" xr:uid="{00000000-0005-0000-0000-0000976C0000}"/>
    <cellStyle name="Comma 3 3 2 3 3 2 2 7" xfId="18381" xr:uid="{00000000-0005-0000-0000-0000986C0000}"/>
    <cellStyle name="Comma 3 3 2 3 3 2 2 7 2" xfId="41659" xr:uid="{00000000-0005-0000-0000-0000996C0000}"/>
    <cellStyle name="Comma 3 3 2 3 3 2 2 8" xfId="25725" xr:uid="{00000000-0005-0000-0000-00009A6C0000}"/>
    <cellStyle name="Comma 3 3 2 3 3 2 2 9" xfId="46555" xr:uid="{00000000-0005-0000-0000-00009B6C0000}"/>
    <cellStyle name="Comma 3 3 2 3 3 2 3" xfId="3670" xr:uid="{00000000-0005-0000-0000-00009C6C0000}"/>
    <cellStyle name="Comma 3 3 2 3 3 2 3 2" xfId="17157" xr:uid="{00000000-0005-0000-0000-00009D6C0000}"/>
    <cellStyle name="Comma 3 3 2 3 3 2 3 2 2" xfId="40435" xr:uid="{00000000-0005-0000-0000-00009E6C0000}"/>
    <cellStyle name="Comma 3 3 2 3 3 2 3 3" xfId="47779" xr:uid="{00000000-0005-0000-0000-00009F6C0000}"/>
    <cellStyle name="Comma 3 3 2 3 3 2 3 4" xfId="26949" xr:uid="{00000000-0005-0000-0000-0000A06C0000}"/>
    <cellStyle name="Comma 3 3 2 3 3 2 4" xfId="6118" xr:uid="{00000000-0005-0000-0000-0000A16C0000}"/>
    <cellStyle name="Comma 3 3 2 3 3 2 4 2" xfId="19605" xr:uid="{00000000-0005-0000-0000-0000A26C0000}"/>
    <cellStyle name="Comma 3 3 2 3 3 2 4 2 2" xfId="42883" xr:uid="{00000000-0005-0000-0000-0000A36C0000}"/>
    <cellStyle name="Comma 3 3 2 3 3 2 4 3" xfId="29397" xr:uid="{00000000-0005-0000-0000-0000A46C0000}"/>
    <cellStyle name="Comma 3 3 2 3 3 2 5" xfId="8566" xr:uid="{00000000-0005-0000-0000-0000A56C0000}"/>
    <cellStyle name="Comma 3 3 2 3 3 2 5 2" xfId="31845" xr:uid="{00000000-0005-0000-0000-0000A66C0000}"/>
    <cellStyle name="Comma 3 3 2 3 3 2 6" xfId="11014" xr:uid="{00000000-0005-0000-0000-0000A76C0000}"/>
    <cellStyle name="Comma 3 3 2 3 3 2 6 2" xfId="34293" xr:uid="{00000000-0005-0000-0000-0000A86C0000}"/>
    <cellStyle name="Comma 3 3 2 3 3 2 7" xfId="13462" xr:uid="{00000000-0005-0000-0000-0000A96C0000}"/>
    <cellStyle name="Comma 3 3 2 3 3 2 7 2" xfId="36741" xr:uid="{00000000-0005-0000-0000-0000AA6C0000}"/>
    <cellStyle name="Comma 3 3 2 3 3 2 8" xfId="15933" xr:uid="{00000000-0005-0000-0000-0000AB6C0000}"/>
    <cellStyle name="Comma 3 3 2 3 3 2 8 2" xfId="39211" xr:uid="{00000000-0005-0000-0000-0000AC6C0000}"/>
    <cellStyle name="Comma 3 3 2 3 3 2 9" xfId="24501" xr:uid="{00000000-0005-0000-0000-0000AD6C0000}"/>
    <cellStyle name="Comma 3 3 2 3 3 3" xfId="1834" xr:uid="{00000000-0005-0000-0000-0000AE6C0000}"/>
    <cellStyle name="Comma 3 3 2 3 3 3 10" xfId="22665" xr:uid="{00000000-0005-0000-0000-0000AF6C0000}"/>
    <cellStyle name="Comma 3 3 2 3 3 3 2" xfId="4282" xr:uid="{00000000-0005-0000-0000-0000B06C0000}"/>
    <cellStyle name="Comma 3 3 2 3 3 3 2 2" xfId="20217" xr:uid="{00000000-0005-0000-0000-0000B16C0000}"/>
    <cellStyle name="Comma 3 3 2 3 3 3 2 2 2" xfId="43495" xr:uid="{00000000-0005-0000-0000-0000B26C0000}"/>
    <cellStyle name="Comma 3 3 2 3 3 3 2 3" xfId="48391" xr:uid="{00000000-0005-0000-0000-0000B36C0000}"/>
    <cellStyle name="Comma 3 3 2 3 3 3 2 4" xfId="27561" xr:uid="{00000000-0005-0000-0000-0000B46C0000}"/>
    <cellStyle name="Comma 3 3 2 3 3 3 3" xfId="6730" xr:uid="{00000000-0005-0000-0000-0000B56C0000}"/>
    <cellStyle name="Comma 3 3 2 3 3 3 3 2" xfId="30009" xr:uid="{00000000-0005-0000-0000-0000B66C0000}"/>
    <cellStyle name="Comma 3 3 2 3 3 3 4" xfId="9178" xr:uid="{00000000-0005-0000-0000-0000B76C0000}"/>
    <cellStyle name="Comma 3 3 2 3 3 3 4 2" xfId="32457" xr:uid="{00000000-0005-0000-0000-0000B86C0000}"/>
    <cellStyle name="Comma 3 3 2 3 3 3 5" xfId="11626" xr:uid="{00000000-0005-0000-0000-0000B96C0000}"/>
    <cellStyle name="Comma 3 3 2 3 3 3 5 2" xfId="34905" xr:uid="{00000000-0005-0000-0000-0000BA6C0000}"/>
    <cellStyle name="Comma 3 3 2 3 3 3 6" xfId="14074" xr:uid="{00000000-0005-0000-0000-0000BB6C0000}"/>
    <cellStyle name="Comma 3 3 2 3 3 3 6 2" xfId="37353" xr:uid="{00000000-0005-0000-0000-0000BC6C0000}"/>
    <cellStyle name="Comma 3 3 2 3 3 3 7" xfId="17769" xr:uid="{00000000-0005-0000-0000-0000BD6C0000}"/>
    <cellStyle name="Comma 3 3 2 3 3 3 7 2" xfId="41047" xr:uid="{00000000-0005-0000-0000-0000BE6C0000}"/>
    <cellStyle name="Comma 3 3 2 3 3 3 8" xfId="25113" xr:uid="{00000000-0005-0000-0000-0000BF6C0000}"/>
    <cellStyle name="Comma 3 3 2 3 3 3 9" xfId="45943" xr:uid="{00000000-0005-0000-0000-0000C06C0000}"/>
    <cellStyle name="Comma 3 3 2 3 3 4" xfId="3058" xr:uid="{00000000-0005-0000-0000-0000C16C0000}"/>
    <cellStyle name="Comma 3 3 2 3 3 4 2" xfId="16545" xr:uid="{00000000-0005-0000-0000-0000C26C0000}"/>
    <cellStyle name="Comma 3 3 2 3 3 4 2 2" xfId="39823" xr:uid="{00000000-0005-0000-0000-0000C36C0000}"/>
    <cellStyle name="Comma 3 3 2 3 3 4 3" xfId="47167" xr:uid="{00000000-0005-0000-0000-0000C46C0000}"/>
    <cellStyle name="Comma 3 3 2 3 3 4 4" xfId="26337" xr:uid="{00000000-0005-0000-0000-0000C56C0000}"/>
    <cellStyle name="Comma 3 3 2 3 3 5" xfId="5506" xr:uid="{00000000-0005-0000-0000-0000C66C0000}"/>
    <cellStyle name="Comma 3 3 2 3 3 5 2" xfId="18993" xr:uid="{00000000-0005-0000-0000-0000C76C0000}"/>
    <cellStyle name="Comma 3 3 2 3 3 5 2 2" xfId="42271" xr:uid="{00000000-0005-0000-0000-0000C86C0000}"/>
    <cellStyle name="Comma 3 3 2 3 3 5 3" xfId="28785" xr:uid="{00000000-0005-0000-0000-0000C96C0000}"/>
    <cellStyle name="Comma 3 3 2 3 3 6" xfId="7954" xr:uid="{00000000-0005-0000-0000-0000CA6C0000}"/>
    <cellStyle name="Comma 3 3 2 3 3 6 2" xfId="31233" xr:uid="{00000000-0005-0000-0000-0000CB6C0000}"/>
    <cellStyle name="Comma 3 3 2 3 3 7" xfId="10402" xr:uid="{00000000-0005-0000-0000-0000CC6C0000}"/>
    <cellStyle name="Comma 3 3 2 3 3 7 2" xfId="33681" xr:uid="{00000000-0005-0000-0000-0000CD6C0000}"/>
    <cellStyle name="Comma 3 3 2 3 3 8" xfId="12850" xr:uid="{00000000-0005-0000-0000-0000CE6C0000}"/>
    <cellStyle name="Comma 3 3 2 3 3 8 2" xfId="36129" xr:uid="{00000000-0005-0000-0000-0000CF6C0000}"/>
    <cellStyle name="Comma 3 3 2 3 3 9" xfId="15321" xr:uid="{00000000-0005-0000-0000-0000D06C0000}"/>
    <cellStyle name="Comma 3 3 2 3 3 9 2" xfId="38599" xr:uid="{00000000-0005-0000-0000-0000D16C0000}"/>
    <cellStyle name="Comma 3 3 2 3 4" xfId="814" xr:uid="{00000000-0005-0000-0000-0000D26C0000}"/>
    <cellStyle name="Comma 3 3 2 3 4 10" xfId="44923" xr:uid="{00000000-0005-0000-0000-0000D36C0000}"/>
    <cellStyle name="Comma 3 3 2 3 4 11" xfId="21645" xr:uid="{00000000-0005-0000-0000-0000D46C0000}"/>
    <cellStyle name="Comma 3 3 2 3 4 2" xfId="2038" xr:uid="{00000000-0005-0000-0000-0000D56C0000}"/>
    <cellStyle name="Comma 3 3 2 3 4 2 10" xfId="22869" xr:uid="{00000000-0005-0000-0000-0000D66C0000}"/>
    <cellStyle name="Comma 3 3 2 3 4 2 2" xfId="4486" xr:uid="{00000000-0005-0000-0000-0000D76C0000}"/>
    <cellStyle name="Comma 3 3 2 3 4 2 2 2" xfId="20421" xr:uid="{00000000-0005-0000-0000-0000D86C0000}"/>
    <cellStyle name="Comma 3 3 2 3 4 2 2 2 2" xfId="43699" xr:uid="{00000000-0005-0000-0000-0000D96C0000}"/>
    <cellStyle name="Comma 3 3 2 3 4 2 2 3" xfId="48595" xr:uid="{00000000-0005-0000-0000-0000DA6C0000}"/>
    <cellStyle name="Comma 3 3 2 3 4 2 2 4" xfId="27765" xr:uid="{00000000-0005-0000-0000-0000DB6C0000}"/>
    <cellStyle name="Comma 3 3 2 3 4 2 3" xfId="6934" xr:uid="{00000000-0005-0000-0000-0000DC6C0000}"/>
    <cellStyle name="Comma 3 3 2 3 4 2 3 2" xfId="30213" xr:uid="{00000000-0005-0000-0000-0000DD6C0000}"/>
    <cellStyle name="Comma 3 3 2 3 4 2 4" xfId="9382" xr:uid="{00000000-0005-0000-0000-0000DE6C0000}"/>
    <cellStyle name="Comma 3 3 2 3 4 2 4 2" xfId="32661" xr:uid="{00000000-0005-0000-0000-0000DF6C0000}"/>
    <cellStyle name="Comma 3 3 2 3 4 2 5" xfId="11830" xr:uid="{00000000-0005-0000-0000-0000E06C0000}"/>
    <cellStyle name="Comma 3 3 2 3 4 2 5 2" xfId="35109" xr:uid="{00000000-0005-0000-0000-0000E16C0000}"/>
    <cellStyle name="Comma 3 3 2 3 4 2 6" xfId="14278" xr:uid="{00000000-0005-0000-0000-0000E26C0000}"/>
    <cellStyle name="Comma 3 3 2 3 4 2 6 2" xfId="37557" xr:uid="{00000000-0005-0000-0000-0000E36C0000}"/>
    <cellStyle name="Comma 3 3 2 3 4 2 7" xfId="17973" xr:uid="{00000000-0005-0000-0000-0000E46C0000}"/>
    <cellStyle name="Comma 3 3 2 3 4 2 7 2" xfId="41251" xr:uid="{00000000-0005-0000-0000-0000E56C0000}"/>
    <cellStyle name="Comma 3 3 2 3 4 2 8" xfId="25317" xr:uid="{00000000-0005-0000-0000-0000E66C0000}"/>
    <cellStyle name="Comma 3 3 2 3 4 2 9" xfId="46147" xr:uid="{00000000-0005-0000-0000-0000E76C0000}"/>
    <cellStyle name="Comma 3 3 2 3 4 3" xfId="3262" xr:uid="{00000000-0005-0000-0000-0000E86C0000}"/>
    <cellStyle name="Comma 3 3 2 3 4 3 2" xfId="16749" xr:uid="{00000000-0005-0000-0000-0000E96C0000}"/>
    <cellStyle name="Comma 3 3 2 3 4 3 2 2" xfId="40027" xr:uid="{00000000-0005-0000-0000-0000EA6C0000}"/>
    <cellStyle name="Comma 3 3 2 3 4 3 3" xfId="47371" xr:uid="{00000000-0005-0000-0000-0000EB6C0000}"/>
    <cellStyle name="Comma 3 3 2 3 4 3 4" xfId="26541" xr:uid="{00000000-0005-0000-0000-0000EC6C0000}"/>
    <cellStyle name="Comma 3 3 2 3 4 4" xfId="5710" xr:uid="{00000000-0005-0000-0000-0000ED6C0000}"/>
    <cellStyle name="Comma 3 3 2 3 4 4 2" xfId="19197" xr:uid="{00000000-0005-0000-0000-0000EE6C0000}"/>
    <cellStyle name="Comma 3 3 2 3 4 4 2 2" xfId="42475" xr:uid="{00000000-0005-0000-0000-0000EF6C0000}"/>
    <cellStyle name="Comma 3 3 2 3 4 4 3" xfId="28989" xr:uid="{00000000-0005-0000-0000-0000F06C0000}"/>
    <cellStyle name="Comma 3 3 2 3 4 5" xfId="8158" xr:uid="{00000000-0005-0000-0000-0000F16C0000}"/>
    <cellStyle name="Comma 3 3 2 3 4 5 2" xfId="31437" xr:uid="{00000000-0005-0000-0000-0000F26C0000}"/>
    <cellStyle name="Comma 3 3 2 3 4 6" xfId="10606" xr:uid="{00000000-0005-0000-0000-0000F36C0000}"/>
    <cellStyle name="Comma 3 3 2 3 4 6 2" xfId="33885" xr:uid="{00000000-0005-0000-0000-0000F46C0000}"/>
    <cellStyle name="Comma 3 3 2 3 4 7" xfId="13054" xr:uid="{00000000-0005-0000-0000-0000F56C0000}"/>
    <cellStyle name="Comma 3 3 2 3 4 7 2" xfId="36333" xr:uid="{00000000-0005-0000-0000-0000F66C0000}"/>
    <cellStyle name="Comma 3 3 2 3 4 8" xfId="15525" xr:uid="{00000000-0005-0000-0000-0000F76C0000}"/>
    <cellStyle name="Comma 3 3 2 3 4 8 2" xfId="38803" xr:uid="{00000000-0005-0000-0000-0000F86C0000}"/>
    <cellStyle name="Comma 3 3 2 3 4 9" xfId="24093" xr:uid="{00000000-0005-0000-0000-0000F96C0000}"/>
    <cellStyle name="Comma 3 3 2 3 5" xfId="1426" xr:uid="{00000000-0005-0000-0000-0000FA6C0000}"/>
    <cellStyle name="Comma 3 3 2 3 5 10" xfId="22257" xr:uid="{00000000-0005-0000-0000-0000FB6C0000}"/>
    <cellStyle name="Comma 3 3 2 3 5 2" xfId="3874" xr:uid="{00000000-0005-0000-0000-0000FC6C0000}"/>
    <cellStyle name="Comma 3 3 2 3 5 2 2" xfId="19809" xr:uid="{00000000-0005-0000-0000-0000FD6C0000}"/>
    <cellStyle name="Comma 3 3 2 3 5 2 2 2" xfId="43087" xr:uid="{00000000-0005-0000-0000-0000FE6C0000}"/>
    <cellStyle name="Comma 3 3 2 3 5 2 3" xfId="47983" xr:uid="{00000000-0005-0000-0000-0000FF6C0000}"/>
    <cellStyle name="Comma 3 3 2 3 5 2 4" xfId="27153" xr:uid="{00000000-0005-0000-0000-0000006D0000}"/>
    <cellStyle name="Comma 3 3 2 3 5 3" xfId="6322" xr:uid="{00000000-0005-0000-0000-0000016D0000}"/>
    <cellStyle name="Comma 3 3 2 3 5 3 2" xfId="29601" xr:uid="{00000000-0005-0000-0000-0000026D0000}"/>
    <cellStyle name="Comma 3 3 2 3 5 4" xfId="8770" xr:uid="{00000000-0005-0000-0000-0000036D0000}"/>
    <cellStyle name="Comma 3 3 2 3 5 4 2" xfId="32049" xr:uid="{00000000-0005-0000-0000-0000046D0000}"/>
    <cellStyle name="Comma 3 3 2 3 5 5" xfId="11218" xr:uid="{00000000-0005-0000-0000-0000056D0000}"/>
    <cellStyle name="Comma 3 3 2 3 5 5 2" xfId="34497" xr:uid="{00000000-0005-0000-0000-0000066D0000}"/>
    <cellStyle name="Comma 3 3 2 3 5 6" xfId="13666" xr:uid="{00000000-0005-0000-0000-0000076D0000}"/>
    <cellStyle name="Comma 3 3 2 3 5 6 2" xfId="36945" xr:uid="{00000000-0005-0000-0000-0000086D0000}"/>
    <cellStyle name="Comma 3 3 2 3 5 7" xfId="17361" xr:uid="{00000000-0005-0000-0000-0000096D0000}"/>
    <cellStyle name="Comma 3 3 2 3 5 7 2" xfId="40639" xr:uid="{00000000-0005-0000-0000-00000A6D0000}"/>
    <cellStyle name="Comma 3 3 2 3 5 8" xfId="24705" xr:uid="{00000000-0005-0000-0000-00000B6D0000}"/>
    <cellStyle name="Comma 3 3 2 3 5 9" xfId="45535" xr:uid="{00000000-0005-0000-0000-00000C6D0000}"/>
    <cellStyle name="Comma 3 3 2 3 6" xfId="2650" xr:uid="{00000000-0005-0000-0000-00000D6D0000}"/>
    <cellStyle name="Comma 3 3 2 3 6 2" xfId="16137" xr:uid="{00000000-0005-0000-0000-00000E6D0000}"/>
    <cellStyle name="Comma 3 3 2 3 6 2 2" xfId="39415" xr:uid="{00000000-0005-0000-0000-00000F6D0000}"/>
    <cellStyle name="Comma 3 3 2 3 6 3" xfId="46759" xr:uid="{00000000-0005-0000-0000-0000106D0000}"/>
    <cellStyle name="Comma 3 3 2 3 6 4" xfId="25929" xr:uid="{00000000-0005-0000-0000-0000116D0000}"/>
    <cellStyle name="Comma 3 3 2 3 7" xfId="5098" xr:uid="{00000000-0005-0000-0000-0000126D0000}"/>
    <cellStyle name="Comma 3 3 2 3 7 2" xfId="18585" xr:uid="{00000000-0005-0000-0000-0000136D0000}"/>
    <cellStyle name="Comma 3 3 2 3 7 2 2" xfId="41863" xr:uid="{00000000-0005-0000-0000-0000146D0000}"/>
    <cellStyle name="Comma 3 3 2 3 7 3" xfId="28377" xr:uid="{00000000-0005-0000-0000-0000156D0000}"/>
    <cellStyle name="Comma 3 3 2 3 8" xfId="7546" xr:uid="{00000000-0005-0000-0000-0000166D0000}"/>
    <cellStyle name="Comma 3 3 2 3 8 2" xfId="30825" xr:uid="{00000000-0005-0000-0000-0000176D0000}"/>
    <cellStyle name="Comma 3 3 2 3 9" xfId="9994" xr:uid="{00000000-0005-0000-0000-0000186D0000}"/>
    <cellStyle name="Comma 3 3 2 3 9 2" xfId="33273" xr:uid="{00000000-0005-0000-0000-0000196D0000}"/>
    <cellStyle name="Comma 3 3 2 4" xfId="270" xr:uid="{00000000-0005-0000-0000-00001A6D0000}"/>
    <cellStyle name="Comma 3 3 2 4 10" xfId="23549" xr:uid="{00000000-0005-0000-0000-00001B6D0000}"/>
    <cellStyle name="Comma 3 3 2 4 11" xfId="44379" xr:uid="{00000000-0005-0000-0000-00001C6D0000}"/>
    <cellStyle name="Comma 3 3 2 4 12" xfId="21101" xr:uid="{00000000-0005-0000-0000-00001D6D0000}"/>
    <cellStyle name="Comma 3 3 2 4 2" xfId="882" xr:uid="{00000000-0005-0000-0000-00001E6D0000}"/>
    <cellStyle name="Comma 3 3 2 4 2 10" xfId="44991" xr:uid="{00000000-0005-0000-0000-00001F6D0000}"/>
    <cellStyle name="Comma 3 3 2 4 2 11" xfId="21713" xr:uid="{00000000-0005-0000-0000-0000206D0000}"/>
    <cellStyle name="Comma 3 3 2 4 2 2" xfId="2106" xr:uid="{00000000-0005-0000-0000-0000216D0000}"/>
    <cellStyle name="Comma 3 3 2 4 2 2 10" xfId="22937" xr:uid="{00000000-0005-0000-0000-0000226D0000}"/>
    <cellStyle name="Comma 3 3 2 4 2 2 2" xfId="4554" xr:uid="{00000000-0005-0000-0000-0000236D0000}"/>
    <cellStyle name="Comma 3 3 2 4 2 2 2 2" xfId="20489" xr:uid="{00000000-0005-0000-0000-0000246D0000}"/>
    <cellStyle name="Comma 3 3 2 4 2 2 2 2 2" xfId="43767" xr:uid="{00000000-0005-0000-0000-0000256D0000}"/>
    <cellStyle name="Comma 3 3 2 4 2 2 2 3" xfId="48663" xr:uid="{00000000-0005-0000-0000-0000266D0000}"/>
    <cellStyle name="Comma 3 3 2 4 2 2 2 4" xfId="27833" xr:uid="{00000000-0005-0000-0000-0000276D0000}"/>
    <cellStyle name="Comma 3 3 2 4 2 2 3" xfId="7002" xr:uid="{00000000-0005-0000-0000-0000286D0000}"/>
    <cellStyle name="Comma 3 3 2 4 2 2 3 2" xfId="30281" xr:uid="{00000000-0005-0000-0000-0000296D0000}"/>
    <cellStyle name="Comma 3 3 2 4 2 2 4" xfId="9450" xr:uid="{00000000-0005-0000-0000-00002A6D0000}"/>
    <cellStyle name="Comma 3 3 2 4 2 2 4 2" xfId="32729" xr:uid="{00000000-0005-0000-0000-00002B6D0000}"/>
    <cellStyle name="Comma 3 3 2 4 2 2 5" xfId="11898" xr:uid="{00000000-0005-0000-0000-00002C6D0000}"/>
    <cellStyle name="Comma 3 3 2 4 2 2 5 2" xfId="35177" xr:uid="{00000000-0005-0000-0000-00002D6D0000}"/>
    <cellStyle name="Comma 3 3 2 4 2 2 6" xfId="14346" xr:uid="{00000000-0005-0000-0000-00002E6D0000}"/>
    <cellStyle name="Comma 3 3 2 4 2 2 6 2" xfId="37625" xr:uid="{00000000-0005-0000-0000-00002F6D0000}"/>
    <cellStyle name="Comma 3 3 2 4 2 2 7" xfId="18041" xr:uid="{00000000-0005-0000-0000-0000306D0000}"/>
    <cellStyle name="Comma 3 3 2 4 2 2 7 2" xfId="41319" xr:uid="{00000000-0005-0000-0000-0000316D0000}"/>
    <cellStyle name="Comma 3 3 2 4 2 2 8" xfId="25385" xr:uid="{00000000-0005-0000-0000-0000326D0000}"/>
    <cellStyle name="Comma 3 3 2 4 2 2 9" xfId="46215" xr:uid="{00000000-0005-0000-0000-0000336D0000}"/>
    <cellStyle name="Comma 3 3 2 4 2 3" xfId="3330" xr:uid="{00000000-0005-0000-0000-0000346D0000}"/>
    <cellStyle name="Comma 3 3 2 4 2 3 2" xfId="16817" xr:uid="{00000000-0005-0000-0000-0000356D0000}"/>
    <cellStyle name="Comma 3 3 2 4 2 3 2 2" xfId="40095" xr:uid="{00000000-0005-0000-0000-0000366D0000}"/>
    <cellStyle name="Comma 3 3 2 4 2 3 3" xfId="47439" xr:uid="{00000000-0005-0000-0000-0000376D0000}"/>
    <cellStyle name="Comma 3 3 2 4 2 3 4" xfId="26609" xr:uid="{00000000-0005-0000-0000-0000386D0000}"/>
    <cellStyle name="Comma 3 3 2 4 2 4" xfId="5778" xr:uid="{00000000-0005-0000-0000-0000396D0000}"/>
    <cellStyle name="Comma 3 3 2 4 2 4 2" xfId="19265" xr:uid="{00000000-0005-0000-0000-00003A6D0000}"/>
    <cellStyle name="Comma 3 3 2 4 2 4 2 2" xfId="42543" xr:uid="{00000000-0005-0000-0000-00003B6D0000}"/>
    <cellStyle name="Comma 3 3 2 4 2 4 3" xfId="29057" xr:uid="{00000000-0005-0000-0000-00003C6D0000}"/>
    <cellStyle name="Comma 3 3 2 4 2 5" xfId="8226" xr:uid="{00000000-0005-0000-0000-00003D6D0000}"/>
    <cellStyle name="Comma 3 3 2 4 2 5 2" xfId="31505" xr:uid="{00000000-0005-0000-0000-00003E6D0000}"/>
    <cellStyle name="Comma 3 3 2 4 2 6" xfId="10674" xr:uid="{00000000-0005-0000-0000-00003F6D0000}"/>
    <cellStyle name="Comma 3 3 2 4 2 6 2" xfId="33953" xr:uid="{00000000-0005-0000-0000-0000406D0000}"/>
    <cellStyle name="Comma 3 3 2 4 2 7" xfId="13122" xr:uid="{00000000-0005-0000-0000-0000416D0000}"/>
    <cellStyle name="Comma 3 3 2 4 2 7 2" xfId="36401" xr:uid="{00000000-0005-0000-0000-0000426D0000}"/>
    <cellStyle name="Comma 3 3 2 4 2 8" xfId="15593" xr:uid="{00000000-0005-0000-0000-0000436D0000}"/>
    <cellStyle name="Comma 3 3 2 4 2 8 2" xfId="38871" xr:uid="{00000000-0005-0000-0000-0000446D0000}"/>
    <cellStyle name="Comma 3 3 2 4 2 9" xfId="24161" xr:uid="{00000000-0005-0000-0000-0000456D0000}"/>
    <cellStyle name="Comma 3 3 2 4 3" xfId="1494" xr:uid="{00000000-0005-0000-0000-0000466D0000}"/>
    <cellStyle name="Comma 3 3 2 4 3 10" xfId="22325" xr:uid="{00000000-0005-0000-0000-0000476D0000}"/>
    <cellStyle name="Comma 3 3 2 4 3 2" xfId="3942" xr:uid="{00000000-0005-0000-0000-0000486D0000}"/>
    <cellStyle name="Comma 3 3 2 4 3 2 2" xfId="19877" xr:uid="{00000000-0005-0000-0000-0000496D0000}"/>
    <cellStyle name="Comma 3 3 2 4 3 2 2 2" xfId="43155" xr:uid="{00000000-0005-0000-0000-00004A6D0000}"/>
    <cellStyle name="Comma 3 3 2 4 3 2 3" xfId="48051" xr:uid="{00000000-0005-0000-0000-00004B6D0000}"/>
    <cellStyle name="Comma 3 3 2 4 3 2 4" xfId="27221" xr:uid="{00000000-0005-0000-0000-00004C6D0000}"/>
    <cellStyle name="Comma 3 3 2 4 3 3" xfId="6390" xr:uid="{00000000-0005-0000-0000-00004D6D0000}"/>
    <cellStyle name="Comma 3 3 2 4 3 3 2" xfId="29669" xr:uid="{00000000-0005-0000-0000-00004E6D0000}"/>
    <cellStyle name="Comma 3 3 2 4 3 4" xfId="8838" xr:uid="{00000000-0005-0000-0000-00004F6D0000}"/>
    <cellStyle name="Comma 3 3 2 4 3 4 2" xfId="32117" xr:uid="{00000000-0005-0000-0000-0000506D0000}"/>
    <cellStyle name="Comma 3 3 2 4 3 5" xfId="11286" xr:uid="{00000000-0005-0000-0000-0000516D0000}"/>
    <cellStyle name="Comma 3 3 2 4 3 5 2" xfId="34565" xr:uid="{00000000-0005-0000-0000-0000526D0000}"/>
    <cellStyle name="Comma 3 3 2 4 3 6" xfId="13734" xr:uid="{00000000-0005-0000-0000-0000536D0000}"/>
    <cellStyle name="Comma 3 3 2 4 3 6 2" xfId="37013" xr:uid="{00000000-0005-0000-0000-0000546D0000}"/>
    <cellStyle name="Comma 3 3 2 4 3 7" xfId="17429" xr:uid="{00000000-0005-0000-0000-0000556D0000}"/>
    <cellStyle name="Comma 3 3 2 4 3 7 2" xfId="40707" xr:uid="{00000000-0005-0000-0000-0000566D0000}"/>
    <cellStyle name="Comma 3 3 2 4 3 8" xfId="24773" xr:uid="{00000000-0005-0000-0000-0000576D0000}"/>
    <cellStyle name="Comma 3 3 2 4 3 9" xfId="45603" xr:uid="{00000000-0005-0000-0000-0000586D0000}"/>
    <cellStyle name="Comma 3 3 2 4 4" xfId="2718" xr:uid="{00000000-0005-0000-0000-0000596D0000}"/>
    <cellStyle name="Comma 3 3 2 4 4 2" xfId="16205" xr:uid="{00000000-0005-0000-0000-00005A6D0000}"/>
    <cellStyle name="Comma 3 3 2 4 4 2 2" xfId="39483" xr:uid="{00000000-0005-0000-0000-00005B6D0000}"/>
    <cellStyle name="Comma 3 3 2 4 4 3" xfId="46827" xr:uid="{00000000-0005-0000-0000-00005C6D0000}"/>
    <cellStyle name="Comma 3 3 2 4 4 4" xfId="25997" xr:uid="{00000000-0005-0000-0000-00005D6D0000}"/>
    <cellStyle name="Comma 3 3 2 4 5" xfId="5166" xr:uid="{00000000-0005-0000-0000-00005E6D0000}"/>
    <cellStyle name="Comma 3 3 2 4 5 2" xfId="18653" xr:uid="{00000000-0005-0000-0000-00005F6D0000}"/>
    <cellStyle name="Comma 3 3 2 4 5 2 2" xfId="41931" xr:uid="{00000000-0005-0000-0000-0000606D0000}"/>
    <cellStyle name="Comma 3 3 2 4 5 3" xfId="28445" xr:uid="{00000000-0005-0000-0000-0000616D0000}"/>
    <cellStyle name="Comma 3 3 2 4 6" xfId="7614" xr:uid="{00000000-0005-0000-0000-0000626D0000}"/>
    <cellStyle name="Comma 3 3 2 4 6 2" xfId="30893" xr:uid="{00000000-0005-0000-0000-0000636D0000}"/>
    <cellStyle name="Comma 3 3 2 4 7" xfId="10062" xr:uid="{00000000-0005-0000-0000-0000646D0000}"/>
    <cellStyle name="Comma 3 3 2 4 7 2" xfId="33341" xr:uid="{00000000-0005-0000-0000-0000656D0000}"/>
    <cellStyle name="Comma 3 3 2 4 8" xfId="12510" xr:uid="{00000000-0005-0000-0000-0000666D0000}"/>
    <cellStyle name="Comma 3 3 2 4 8 2" xfId="35789" xr:uid="{00000000-0005-0000-0000-0000676D0000}"/>
    <cellStyle name="Comma 3 3 2 4 9" xfId="14981" xr:uid="{00000000-0005-0000-0000-0000686D0000}"/>
    <cellStyle name="Comma 3 3 2 4 9 2" xfId="38259" xr:uid="{00000000-0005-0000-0000-0000696D0000}"/>
    <cellStyle name="Comma 3 3 2 5" xfId="474" xr:uid="{00000000-0005-0000-0000-00006A6D0000}"/>
    <cellStyle name="Comma 3 3 2 5 10" xfId="23753" xr:uid="{00000000-0005-0000-0000-00006B6D0000}"/>
    <cellStyle name="Comma 3 3 2 5 11" xfId="44583" xr:uid="{00000000-0005-0000-0000-00006C6D0000}"/>
    <cellStyle name="Comma 3 3 2 5 12" xfId="21305" xr:uid="{00000000-0005-0000-0000-00006D6D0000}"/>
    <cellStyle name="Comma 3 3 2 5 2" xfId="1086" xr:uid="{00000000-0005-0000-0000-00006E6D0000}"/>
    <cellStyle name="Comma 3 3 2 5 2 10" xfId="45195" xr:uid="{00000000-0005-0000-0000-00006F6D0000}"/>
    <cellStyle name="Comma 3 3 2 5 2 11" xfId="21917" xr:uid="{00000000-0005-0000-0000-0000706D0000}"/>
    <cellStyle name="Comma 3 3 2 5 2 2" xfId="2310" xr:uid="{00000000-0005-0000-0000-0000716D0000}"/>
    <cellStyle name="Comma 3 3 2 5 2 2 10" xfId="23141" xr:uid="{00000000-0005-0000-0000-0000726D0000}"/>
    <cellStyle name="Comma 3 3 2 5 2 2 2" xfId="4758" xr:uid="{00000000-0005-0000-0000-0000736D0000}"/>
    <cellStyle name="Comma 3 3 2 5 2 2 2 2" xfId="20693" xr:uid="{00000000-0005-0000-0000-0000746D0000}"/>
    <cellStyle name="Comma 3 3 2 5 2 2 2 2 2" xfId="43971" xr:uid="{00000000-0005-0000-0000-0000756D0000}"/>
    <cellStyle name="Comma 3 3 2 5 2 2 2 3" xfId="48867" xr:uid="{00000000-0005-0000-0000-0000766D0000}"/>
    <cellStyle name="Comma 3 3 2 5 2 2 2 4" xfId="28037" xr:uid="{00000000-0005-0000-0000-0000776D0000}"/>
    <cellStyle name="Comma 3 3 2 5 2 2 3" xfId="7206" xr:uid="{00000000-0005-0000-0000-0000786D0000}"/>
    <cellStyle name="Comma 3 3 2 5 2 2 3 2" xfId="30485" xr:uid="{00000000-0005-0000-0000-0000796D0000}"/>
    <cellStyle name="Comma 3 3 2 5 2 2 4" xfId="9654" xr:uid="{00000000-0005-0000-0000-00007A6D0000}"/>
    <cellStyle name="Comma 3 3 2 5 2 2 4 2" xfId="32933" xr:uid="{00000000-0005-0000-0000-00007B6D0000}"/>
    <cellStyle name="Comma 3 3 2 5 2 2 5" xfId="12102" xr:uid="{00000000-0005-0000-0000-00007C6D0000}"/>
    <cellStyle name="Comma 3 3 2 5 2 2 5 2" xfId="35381" xr:uid="{00000000-0005-0000-0000-00007D6D0000}"/>
    <cellStyle name="Comma 3 3 2 5 2 2 6" xfId="14550" xr:uid="{00000000-0005-0000-0000-00007E6D0000}"/>
    <cellStyle name="Comma 3 3 2 5 2 2 6 2" xfId="37829" xr:uid="{00000000-0005-0000-0000-00007F6D0000}"/>
    <cellStyle name="Comma 3 3 2 5 2 2 7" xfId="18245" xr:uid="{00000000-0005-0000-0000-0000806D0000}"/>
    <cellStyle name="Comma 3 3 2 5 2 2 7 2" xfId="41523" xr:uid="{00000000-0005-0000-0000-0000816D0000}"/>
    <cellStyle name="Comma 3 3 2 5 2 2 8" xfId="25589" xr:uid="{00000000-0005-0000-0000-0000826D0000}"/>
    <cellStyle name="Comma 3 3 2 5 2 2 9" xfId="46419" xr:uid="{00000000-0005-0000-0000-0000836D0000}"/>
    <cellStyle name="Comma 3 3 2 5 2 3" xfId="3534" xr:uid="{00000000-0005-0000-0000-0000846D0000}"/>
    <cellStyle name="Comma 3 3 2 5 2 3 2" xfId="17021" xr:uid="{00000000-0005-0000-0000-0000856D0000}"/>
    <cellStyle name="Comma 3 3 2 5 2 3 2 2" xfId="40299" xr:uid="{00000000-0005-0000-0000-0000866D0000}"/>
    <cellStyle name="Comma 3 3 2 5 2 3 3" xfId="47643" xr:uid="{00000000-0005-0000-0000-0000876D0000}"/>
    <cellStyle name="Comma 3 3 2 5 2 3 4" xfId="26813" xr:uid="{00000000-0005-0000-0000-0000886D0000}"/>
    <cellStyle name="Comma 3 3 2 5 2 4" xfId="5982" xr:uid="{00000000-0005-0000-0000-0000896D0000}"/>
    <cellStyle name="Comma 3 3 2 5 2 4 2" xfId="19469" xr:uid="{00000000-0005-0000-0000-00008A6D0000}"/>
    <cellStyle name="Comma 3 3 2 5 2 4 2 2" xfId="42747" xr:uid="{00000000-0005-0000-0000-00008B6D0000}"/>
    <cellStyle name="Comma 3 3 2 5 2 4 3" xfId="29261" xr:uid="{00000000-0005-0000-0000-00008C6D0000}"/>
    <cellStyle name="Comma 3 3 2 5 2 5" xfId="8430" xr:uid="{00000000-0005-0000-0000-00008D6D0000}"/>
    <cellStyle name="Comma 3 3 2 5 2 5 2" xfId="31709" xr:uid="{00000000-0005-0000-0000-00008E6D0000}"/>
    <cellStyle name="Comma 3 3 2 5 2 6" xfId="10878" xr:uid="{00000000-0005-0000-0000-00008F6D0000}"/>
    <cellStyle name="Comma 3 3 2 5 2 6 2" xfId="34157" xr:uid="{00000000-0005-0000-0000-0000906D0000}"/>
    <cellStyle name="Comma 3 3 2 5 2 7" xfId="13326" xr:uid="{00000000-0005-0000-0000-0000916D0000}"/>
    <cellStyle name="Comma 3 3 2 5 2 7 2" xfId="36605" xr:uid="{00000000-0005-0000-0000-0000926D0000}"/>
    <cellStyle name="Comma 3 3 2 5 2 8" xfId="15797" xr:uid="{00000000-0005-0000-0000-0000936D0000}"/>
    <cellStyle name="Comma 3 3 2 5 2 8 2" xfId="39075" xr:uid="{00000000-0005-0000-0000-0000946D0000}"/>
    <cellStyle name="Comma 3 3 2 5 2 9" xfId="24365" xr:uid="{00000000-0005-0000-0000-0000956D0000}"/>
    <cellStyle name="Comma 3 3 2 5 3" xfId="1698" xr:uid="{00000000-0005-0000-0000-0000966D0000}"/>
    <cellStyle name="Comma 3 3 2 5 3 10" xfId="22529" xr:uid="{00000000-0005-0000-0000-0000976D0000}"/>
    <cellStyle name="Comma 3 3 2 5 3 2" xfId="4146" xr:uid="{00000000-0005-0000-0000-0000986D0000}"/>
    <cellStyle name="Comma 3 3 2 5 3 2 2" xfId="20081" xr:uid="{00000000-0005-0000-0000-0000996D0000}"/>
    <cellStyle name="Comma 3 3 2 5 3 2 2 2" xfId="43359" xr:uid="{00000000-0005-0000-0000-00009A6D0000}"/>
    <cellStyle name="Comma 3 3 2 5 3 2 3" xfId="48255" xr:uid="{00000000-0005-0000-0000-00009B6D0000}"/>
    <cellStyle name="Comma 3 3 2 5 3 2 4" xfId="27425" xr:uid="{00000000-0005-0000-0000-00009C6D0000}"/>
    <cellStyle name="Comma 3 3 2 5 3 3" xfId="6594" xr:uid="{00000000-0005-0000-0000-00009D6D0000}"/>
    <cellStyle name="Comma 3 3 2 5 3 3 2" xfId="29873" xr:uid="{00000000-0005-0000-0000-00009E6D0000}"/>
    <cellStyle name="Comma 3 3 2 5 3 4" xfId="9042" xr:uid="{00000000-0005-0000-0000-00009F6D0000}"/>
    <cellStyle name="Comma 3 3 2 5 3 4 2" xfId="32321" xr:uid="{00000000-0005-0000-0000-0000A06D0000}"/>
    <cellStyle name="Comma 3 3 2 5 3 5" xfId="11490" xr:uid="{00000000-0005-0000-0000-0000A16D0000}"/>
    <cellStyle name="Comma 3 3 2 5 3 5 2" xfId="34769" xr:uid="{00000000-0005-0000-0000-0000A26D0000}"/>
    <cellStyle name="Comma 3 3 2 5 3 6" xfId="13938" xr:uid="{00000000-0005-0000-0000-0000A36D0000}"/>
    <cellStyle name="Comma 3 3 2 5 3 6 2" xfId="37217" xr:uid="{00000000-0005-0000-0000-0000A46D0000}"/>
    <cellStyle name="Comma 3 3 2 5 3 7" xfId="17633" xr:uid="{00000000-0005-0000-0000-0000A56D0000}"/>
    <cellStyle name="Comma 3 3 2 5 3 7 2" xfId="40911" xr:uid="{00000000-0005-0000-0000-0000A66D0000}"/>
    <cellStyle name="Comma 3 3 2 5 3 8" xfId="24977" xr:uid="{00000000-0005-0000-0000-0000A76D0000}"/>
    <cellStyle name="Comma 3 3 2 5 3 9" xfId="45807" xr:uid="{00000000-0005-0000-0000-0000A86D0000}"/>
    <cellStyle name="Comma 3 3 2 5 4" xfId="2922" xr:uid="{00000000-0005-0000-0000-0000A96D0000}"/>
    <cellStyle name="Comma 3 3 2 5 4 2" xfId="16409" xr:uid="{00000000-0005-0000-0000-0000AA6D0000}"/>
    <cellStyle name="Comma 3 3 2 5 4 2 2" xfId="39687" xr:uid="{00000000-0005-0000-0000-0000AB6D0000}"/>
    <cellStyle name="Comma 3 3 2 5 4 3" xfId="47031" xr:uid="{00000000-0005-0000-0000-0000AC6D0000}"/>
    <cellStyle name="Comma 3 3 2 5 4 4" xfId="26201" xr:uid="{00000000-0005-0000-0000-0000AD6D0000}"/>
    <cellStyle name="Comma 3 3 2 5 5" xfId="5370" xr:uid="{00000000-0005-0000-0000-0000AE6D0000}"/>
    <cellStyle name="Comma 3 3 2 5 5 2" xfId="18857" xr:uid="{00000000-0005-0000-0000-0000AF6D0000}"/>
    <cellStyle name="Comma 3 3 2 5 5 2 2" xfId="42135" xr:uid="{00000000-0005-0000-0000-0000B06D0000}"/>
    <cellStyle name="Comma 3 3 2 5 5 3" xfId="28649" xr:uid="{00000000-0005-0000-0000-0000B16D0000}"/>
    <cellStyle name="Comma 3 3 2 5 6" xfId="7818" xr:uid="{00000000-0005-0000-0000-0000B26D0000}"/>
    <cellStyle name="Comma 3 3 2 5 6 2" xfId="31097" xr:uid="{00000000-0005-0000-0000-0000B36D0000}"/>
    <cellStyle name="Comma 3 3 2 5 7" xfId="10266" xr:uid="{00000000-0005-0000-0000-0000B46D0000}"/>
    <cellStyle name="Comma 3 3 2 5 7 2" xfId="33545" xr:uid="{00000000-0005-0000-0000-0000B56D0000}"/>
    <cellStyle name="Comma 3 3 2 5 8" xfId="12714" xr:uid="{00000000-0005-0000-0000-0000B66D0000}"/>
    <cellStyle name="Comma 3 3 2 5 8 2" xfId="35993" xr:uid="{00000000-0005-0000-0000-0000B76D0000}"/>
    <cellStyle name="Comma 3 3 2 5 9" xfId="15185" xr:uid="{00000000-0005-0000-0000-0000B86D0000}"/>
    <cellStyle name="Comma 3 3 2 5 9 2" xfId="38463" xr:uid="{00000000-0005-0000-0000-0000B96D0000}"/>
    <cellStyle name="Comma 3 3 2 6" xfId="678" xr:uid="{00000000-0005-0000-0000-0000BA6D0000}"/>
    <cellStyle name="Comma 3 3 2 6 10" xfId="44787" xr:uid="{00000000-0005-0000-0000-0000BB6D0000}"/>
    <cellStyle name="Comma 3 3 2 6 11" xfId="21509" xr:uid="{00000000-0005-0000-0000-0000BC6D0000}"/>
    <cellStyle name="Comma 3 3 2 6 2" xfId="1902" xr:uid="{00000000-0005-0000-0000-0000BD6D0000}"/>
    <cellStyle name="Comma 3 3 2 6 2 10" xfId="22733" xr:uid="{00000000-0005-0000-0000-0000BE6D0000}"/>
    <cellStyle name="Comma 3 3 2 6 2 2" xfId="4350" xr:uid="{00000000-0005-0000-0000-0000BF6D0000}"/>
    <cellStyle name="Comma 3 3 2 6 2 2 2" xfId="20285" xr:uid="{00000000-0005-0000-0000-0000C06D0000}"/>
    <cellStyle name="Comma 3 3 2 6 2 2 2 2" xfId="43563" xr:uid="{00000000-0005-0000-0000-0000C16D0000}"/>
    <cellStyle name="Comma 3 3 2 6 2 2 3" xfId="48459" xr:uid="{00000000-0005-0000-0000-0000C26D0000}"/>
    <cellStyle name="Comma 3 3 2 6 2 2 4" xfId="27629" xr:uid="{00000000-0005-0000-0000-0000C36D0000}"/>
    <cellStyle name="Comma 3 3 2 6 2 3" xfId="6798" xr:uid="{00000000-0005-0000-0000-0000C46D0000}"/>
    <cellStyle name="Comma 3 3 2 6 2 3 2" xfId="30077" xr:uid="{00000000-0005-0000-0000-0000C56D0000}"/>
    <cellStyle name="Comma 3 3 2 6 2 4" xfId="9246" xr:uid="{00000000-0005-0000-0000-0000C66D0000}"/>
    <cellStyle name="Comma 3 3 2 6 2 4 2" xfId="32525" xr:uid="{00000000-0005-0000-0000-0000C76D0000}"/>
    <cellStyle name="Comma 3 3 2 6 2 5" xfId="11694" xr:uid="{00000000-0005-0000-0000-0000C86D0000}"/>
    <cellStyle name="Comma 3 3 2 6 2 5 2" xfId="34973" xr:uid="{00000000-0005-0000-0000-0000C96D0000}"/>
    <cellStyle name="Comma 3 3 2 6 2 6" xfId="14142" xr:uid="{00000000-0005-0000-0000-0000CA6D0000}"/>
    <cellStyle name="Comma 3 3 2 6 2 6 2" xfId="37421" xr:uid="{00000000-0005-0000-0000-0000CB6D0000}"/>
    <cellStyle name="Comma 3 3 2 6 2 7" xfId="17837" xr:uid="{00000000-0005-0000-0000-0000CC6D0000}"/>
    <cellStyle name="Comma 3 3 2 6 2 7 2" xfId="41115" xr:uid="{00000000-0005-0000-0000-0000CD6D0000}"/>
    <cellStyle name="Comma 3 3 2 6 2 8" xfId="25181" xr:uid="{00000000-0005-0000-0000-0000CE6D0000}"/>
    <cellStyle name="Comma 3 3 2 6 2 9" xfId="46011" xr:uid="{00000000-0005-0000-0000-0000CF6D0000}"/>
    <cellStyle name="Comma 3 3 2 6 3" xfId="3126" xr:uid="{00000000-0005-0000-0000-0000D06D0000}"/>
    <cellStyle name="Comma 3 3 2 6 3 2" xfId="16613" xr:uid="{00000000-0005-0000-0000-0000D16D0000}"/>
    <cellStyle name="Comma 3 3 2 6 3 2 2" xfId="39891" xr:uid="{00000000-0005-0000-0000-0000D26D0000}"/>
    <cellStyle name="Comma 3 3 2 6 3 3" xfId="47235" xr:uid="{00000000-0005-0000-0000-0000D36D0000}"/>
    <cellStyle name="Comma 3 3 2 6 3 4" xfId="26405" xr:uid="{00000000-0005-0000-0000-0000D46D0000}"/>
    <cellStyle name="Comma 3 3 2 6 4" xfId="5574" xr:uid="{00000000-0005-0000-0000-0000D56D0000}"/>
    <cellStyle name="Comma 3 3 2 6 4 2" xfId="19061" xr:uid="{00000000-0005-0000-0000-0000D66D0000}"/>
    <cellStyle name="Comma 3 3 2 6 4 2 2" xfId="42339" xr:uid="{00000000-0005-0000-0000-0000D76D0000}"/>
    <cellStyle name="Comma 3 3 2 6 4 3" xfId="28853" xr:uid="{00000000-0005-0000-0000-0000D86D0000}"/>
    <cellStyle name="Comma 3 3 2 6 5" xfId="8022" xr:uid="{00000000-0005-0000-0000-0000D96D0000}"/>
    <cellStyle name="Comma 3 3 2 6 5 2" xfId="31301" xr:uid="{00000000-0005-0000-0000-0000DA6D0000}"/>
    <cellStyle name="Comma 3 3 2 6 6" xfId="10470" xr:uid="{00000000-0005-0000-0000-0000DB6D0000}"/>
    <cellStyle name="Comma 3 3 2 6 6 2" xfId="33749" xr:uid="{00000000-0005-0000-0000-0000DC6D0000}"/>
    <cellStyle name="Comma 3 3 2 6 7" xfId="12918" xr:uid="{00000000-0005-0000-0000-0000DD6D0000}"/>
    <cellStyle name="Comma 3 3 2 6 7 2" xfId="36197" xr:uid="{00000000-0005-0000-0000-0000DE6D0000}"/>
    <cellStyle name="Comma 3 3 2 6 8" xfId="15389" xr:uid="{00000000-0005-0000-0000-0000DF6D0000}"/>
    <cellStyle name="Comma 3 3 2 6 8 2" xfId="38667" xr:uid="{00000000-0005-0000-0000-0000E06D0000}"/>
    <cellStyle name="Comma 3 3 2 6 9" xfId="23957" xr:uid="{00000000-0005-0000-0000-0000E16D0000}"/>
    <cellStyle name="Comma 3 3 2 7" xfId="1290" xr:uid="{00000000-0005-0000-0000-0000E26D0000}"/>
    <cellStyle name="Comma 3 3 2 7 10" xfId="22121" xr:uid="{00000000-0005-0000-0000-0000E36D0000}"/>
    <cellStyle name="Comma 3 3 2 7 2" xfId="3738" xr:uid="{00000000-0005-0000-0000-0000E46D0000}"/>
    <cellStyle name="Comma 3 3 2 7 2 2" xfId="19673" xr:uid="{00000000-0005-0000-0000-0000E56D0000}"/>
    <cellStyle name="Comma 3 3 2 7 2 2 2" xfId="42951" xr:uid="{00000000-0005-0000-0000-0000E66D0000}"/>
    <cellStyle name="Comma 3 3 2 7 2 3" xfId="47847" xr:uid="{00000000-0005-0000-0000-0000E76D0000}"/>
    <cellStyle name="Comma 3 3 2 7 2 4" xfId="27017" xr:uid="{00000000-0005-0000-0000-0000E86D0000}"/>
    <cellStyle name="Comma 3 3 2 7 3" xfId="6186" xr:uid="{00000000-0005-0000-0000-0000E96D0000}"/>
    <cellStyle name="Comma 3 3 2 7 3 2" xfId="29465" xr:uid="{00000000-0005-0000-0000-0000EA6D0000}"/>
    <cellStyle name="Comma 3 3 2 7 4" xfId="8634" xr:uid="{00000000-0005-0000-0000-0000EB6D0000}"/>
    <cellStyle name="Comma 3 3 2 7 4 2" xfId="31913" xr:uid="{00000000-0005-0000-0000-0000EC6D0000}"/>
    <cellStyle name="Comma 3 3 2 7 5" xfId="11082" xr:uid="{00000000-0005-0000-0000-0000ED6D0000}"/>
    <cellStyle name="Comma 3 3 2 7 5 2" xfId="34361" xr:uid="{00000000-0005-0000-0000-0000EE6D0000}"/>
    <cellStyle name="Comma 3 3 2 7 6" xfId="13530" xr:uid="{00000000-0005-0000-0000-0000EF6D0000}"/>
    <cellStyle name="Comma 3 3 2 7 6 2" xfId="36809" xr:uid="{00000000-0005-0000-0000-0000F06D0000}"/>
    <cellStyle name="Comma 3 3 2 7 7" xfId="17225" xr:uid="{00000000-0005-0000-0000-0000F16D0000}"/>
    <cellStyle name="Comma 3 3 2 7 7 2" xfId="40503" xr:uid="{00000000-0005-0000-0000-0000F26D0000}"/>
    <cellStyle name="Comma 3 3 2 7 8" xfId="24569" xr:uid="{00000000-0005-0000-0000-0000F36D0000}"/>
    <cellStyle name="Comma 3 3 2 7 9" xfId="45399" xr:uid="{00000000-0005-0000-0000-0000F46D0000}"/>
    <cellStyle name="Comma 3 3 2 8" xfId="2514" xr:uid="{00000000-0005-0000-0000-0000F56D0000}"/>
    <cellStyle name="Comma 3 3 2 8 2" xfId="16001" xr:uid="{00000000-0005-0000-0000-0000F66D0000}"/>
    <cellStyle name="Comma 3 3 2 8 2 2" xfId="39279" xr:uid="{00000000-0005-0000-0000-0000F76D0000}"/>
    <cellStyle name="Comma 3 3 2 8 3" xfId="46623" xr:uid="{00000000-0005-0000-0000-0000F86D0000}"/>
    <cellStyle name="Comma 3 3 2 8 4" xfId="25793" xr:uid="{00000000-0005-0000-0000-0000F96D0000}"/>
    <cellStyle name="Comma 3 3 2 9" xfId="4962" xr:uid="{00000000-0005-0000-0000-0000FA6D0000}"/>
    <cellStyle name="Comma 3 3 2 9 2" xfId="18449" xr:uid="{00000000-0005-0000-0000-0000FB6D0000}"/>
    <cellStyle name="Comma 3 3 2 9 2 2" xfId="41727" xr:uid="{00000000-0005-0000-0000-0000FC6D0000}"/>
    <cellStyle name="Comma 3 3 2 9 3" xfId="28241" xr:uid="{00000000-0005-0000-0000-0000FD6D0000}"/>
    <cellStyle name="Comma 3 3 3" xfId="83" xr:uid="{00000000-0005-0000-0000-0000FE6D0000}"/>
    <cellStyle name="Comma 3 3 3 10" xfId="7427" xr:uid="{00000000-0005-0000-0000-0000FF6D0000}"/>
    <cellStyle name="Comma 3 3 3 10 2" xfId="30706" xr:uid="{00000000-0005-0000-0000-0000006E0000}"/>
    <cellStyle name="Comma 3 3 3 11" xfId="9875" xr:uid="{00000000-0005-0000-0000-0000016E0000}"/>
    <cellStyle name="Comma 3 3 3 11 2" xfId="33154" xr:uid="{00000000-0005-0000-0000-0000026E0000}"/>
    <cellStyle name="Comma 3 3 3 12" xfId="12323" xr:uid="{00000000-0005-0000-0000-0000036E0000}"/>
    <cellStyle name="Comma 3 3 3 12 2" xfId="35602" xr:uid="{00000000-0005-0000-0000-0000046E0000}"/>
    <cellStyle name="Comma 3 3 3 13" xfId="14794" xr:uid="{00000000-0005-0000-0000-0000056E0000}"/>
    <cellStyle name="Comma 3 3 3 13 2" xfId="38072" xr:uid="{00000000-0005-0000-0000-0000066E0000}"/>
    <cellStyle name="Comma 3 3 3 14" xfId="23362" xr:uid="{00000000-0005-0000-0000-0000076E0000}"/>
    <cellStyle name="Comma 3 3 3 15" xfId="44192" xr:uid="{00000000-0005-0000-0000-0000086E0000}"/>
    <cellStyle name="Comma 3 3 3 16" xfId="20914" xr:uid="{00000000-0005-0000-0000-0000096E0000}"/>
    <cellStyle name="Comma 3 3 3 2" xfId="151" xr:uid="{00000000-0005-0000-0000-00000A6E0000}"/>
    <cellStyle name="Comma 3 3 3 2 10" xfId="12391" xr:uid="{00000000-0005-0000-0000-00000B6E0000}"/>
    <cellStyle name="Comma 3 3 3 2 10 2" xfId="35670" xr:uid="{00000000-0005-0000-0000-00000C6E0000}"/>
    <cellStyle name="Comma 3 3 3 2 11" xfId="14862" xr:uid="{00000000-0005-0000-0000-00000D6E0000}"/>
    <cellStyle name="Comma 3 3 3 2 11 2" xfId="38140" xr:uid="{00000000-0005-0000-0000-00000E6E0000}"/>
    <cellStyle name="Comma 3 3 3 2 12" xfId="23430" xr:uid="{00000000-0005-0000-0000-00000F6E0000}"/>
    <cellStyle name="Comma 3 3 3 2 13" xfId="44260" xr:uid="{00000000-0005-0000-0000-0000106E0000}"/>
    <cellStyle name="Comma 3 3 3 2 14" xfId="20982" xr:uid="{00000000-0005-0000-0000-0000116E0000}"/>
    <cellStyle name="Comma 3 3 3 2 2" xfId="355" xr:uid="{00000000-0005-0000-0000-0000126E0000}"/>
    <cellStyle name="Comma 3 3 3 2 2 10" xfId="23634" xr:uid="{00000000-0005-0000-0000-0000136E0000}"/>
    <cellStyle name="Comma 3 3 3 2 2 11" xfId="44464" xr:uid="{00000000-0005-0000-0000-0000146E0000}"/>
    <cellStyle name="Comma 3 3 3 2 2 12" xfId="21186" xr:uid="{00000000-0005-0000-0000-0000156E0000}"/>
    <cellStyle name="Comma 3 3 3 2 2 2" xfId="967" xr:uid="{00000000-0005-0000-0000-0000166E0000}"/>
    <cellStyle name="Comma 3 3 3 2 2 2 10" xfId="45076" xr:uid="{00000000-0005-0000-0000-0000176E0000}"/>
    <cellStyle name="Comma 3 3 3 2 2 2 11" xfId="21798" xr:uid="{00000000-0005-0000-0000-0000186E0000}"/>
    <cellStyle name="Comma 3 3 3 2 2 2 2" xfId="2191" xr:uid="{00000000-0005-0000-0000-0000196E0000}"/>
    <cellStyle name="Comma 3 3 3 2 2 2 2 10" xfId="23022" xr:uid="{00000000-0005-0000-0000-00001A6E0000}"/>
    <cellStyle name="Comma 3 3 3 2 2 2 2 2" xfId="4639" xr:uid="{00000000-0005-0000-0000-00001B6E0000}"/>
    <cellStyle name="Comma 3 3 3 2 2 2 2 2 2" xfId="20574" xr:uid="{00000000-0005-0000-0000-00001C6E0000}"/>
    <cellStyle name="Comma 3 3 3 2 2 2 2 2 2 2" xfId="43852" xr:uid="{00000000-0005-0000-0000-00001D6E0000}"/>
    <cellStyle name="Comma 3 3 3 2 2 2 2 2 3" xfId="48748" xr:uid="{00000000-0005-0000-0000-00001E6E0000}"/>
    <cellStyle name="Comma 3 3 3 2 2 2 2 2 4" xfId="27918" xr:uid="{00000000-0005-0000-0000-00001F6E0000}"/>
    <cellStyle name="Comma 3 3 3 2 2 2 2 3" xfId="7087" xr:uid="{00000000-0005-0000-0000-0000206E0000}"/>
    <cellStyle name="Comma 3 3 3 2 2 2 2 3 2" xfId="30366" xr:uid="{00000000-0005-0000-0000-0000216E0000}"/>
    <cellStyle name="Comma 3 3 3 2 2 2 2 4" xfId="9535" xr:uid="{00000000-0005-0000-0000-0000226E0000}"/>
    <cellStyle name="Comma 3 3 3 2 2 2 2 4 2" xfId="32814" xr:uid="{00000000-0005-0000-0000-0000236E0000}"/>
    <cellStyle name="Comma 3 3 3 2 2 2 2 5" xfId="11983" xr:uid="{00000000-0005-0000-0000-0000246E0000}"/>
    <cellStyle name="Comma 3 3 3 2 2 2 2 5 2" xfId="35262" xr:uid="{00000000-0005-0000-0000-0000256E0000}"/>
    <cellStyle name="Comma 3 3 3 2 2 2 2 6" xfId="14431" xr:uid="{00000000-0005-0000-0000-0000266E0000}"/>
    <cellStyle name="Comma 3 3 3 2 2 2 2 6 2" xfId="37710" xr:uid="{00000000-0005-0000-0000-0000276E0000}"/>
    <cellStyle name="Comma 3 3 3 2 2 2 2 7" xfId="18126" xr:uid="{00000000-0005-0000-0000-0000286E0000}"/>
    <cellStyle name="Comma 3 3 3 2 2 2 2 7 2" xfId="41404" xr:uid="{00000000-0005-0000-0000-0000296E0000}"/>
    <cellStyle name="Comma 3 3 3 2 2 2 2 8" xfId="25470" xr:uid="{00000000-0005-0000-0000-00002A6E0000}"/>
    <cellStyle name="Comma 3 3 3 2 2 2 2 9" xfId="46300" xr:uid="{00000000-0005-0000-0000-00002B6E0000}"/>
    <cellStyle name="Comma 3 3 3 2 2 2 3" xfId="3415" xr:uid="{00000000-0005-0000-0000-00002C6E0000}"/>
    <cellStyle name="Comma 3 3 3 2 2 2 3 2" xfId="16902" xr:uid="{00000000-0005-0000-0000-00002D6E0000}"/>
    <cellStyle name="Comma 3 3 3 2 2 2 3 2 2" xfId="40180" xr:uid="{00000000-0005-0000-0000-00002E6E0000}"/>
    <cellStyle name="Comma 3 3 3 2 2 2 3 3" xfId="47524" xr:uid="{00000000-0005-0000-0000-00002F6E0000}"/>
    <cellStyle name="Comma 3 3 3 2 2 2 3 4" xfId="26694" xr:uid="{00000000-0005-0000-0000-0000306E0000}"/>
    <cellStyle name="Comma 3 3 3 2 2 2 4" xfId="5863" xr:uid="{00000000-0005-0000-0000-0000316E0000}"/>
    <cellStyle name="Comma 3 3 3 2 2 2 4 2" xfId="19350" xr:uid="{00000000-0005-0000-0000-0000326E0000}"/>
    <cellStyle name="Comma 3 3 3 2 2 2 4 2 2" xfId="42628" xr:uid="{00000000-0005-0000-0000-0000336E0000}"/>
    <cellStyle name="Comma 3 3 3 2 2 2 4 3" xfId="29142" xr:uid="{00000000-0005-0000-0000-0000346E0000}"/>
    <cellStyle name="Comma 3 3 3 2 2 2 5" xfId="8311" xr:uid="{00000000-0005-0000-0000-0000356E0000}"/>
    <cellStyle name="Comma 3 3 3 2 2 2 5 2" xfId="31590" xr:uid="{00000000-0005-0000-0000-0000366E0000}"/>
    <cellStyle name="Comma 3 3 3 2 2 2 6" xfId="10759" xr:uid="{00000000-0005-0000-0000-0000376E0000}"/>
    <cellStyle name="Comma 3 3 3 2 2 2 6 2" xfId="34038" xr:uid="{00000000-0005-0000-0000-0000386E0000}"/>
    <cellStyle name="Comma 3 3 3 2 2 2 7" xfId="13207" xr:uid="{00000000-0005-0000-0000-0000396E0000}"/>
    <cellStyle name="Comma 3 3 3 2 2 2 7 2" xfId="36486" xr:uid="{00000000-0005-0000-0000-00003A6E0000}"/>
    <cellStyle name="Comma 3 3 3 2 2 2 8" xfId="15678" xr:uid="{00000000-0005-0000-0000-00003B6E0000}"/>
    <cellStyle name="Comma 3 3 3 2 2 2 8 2" xfId="38956" xr:uid="{00000000-0005-0000-0000-00003C6E0000}"/>
    <cellStyle name="Comma 3 3 3 2 2 2 9" xfId="24246" xr:uid="{00000000-0005-0000-0000-00003D6E0000}"/>
    <cellStyle name="Comma 3 3 3 2 2 3" xfId="1579" xr:uid="{00000000-0005-0000-0000-00003E6E0000}"/>
    <cellStyle name="Comma 3 3 3 2 2 3 10" xfId="22410" xr:uid="{00000000-0005-0000-0000-00003F6E0000}"/>
    <cellStyle name="Comma 3 3 3 2 2 3 2" xfId="4027" xr:uid="{00000000-0005-0000-0000-0000406E0000}"/>
    <cellStyle name="Comma 3 3 3 2 2 3 2 2" xfId="19962" xr:uid="{00000000-0005-0000-0000-0000416E0000}"/>
    <cellStyle name="Comma 3 3 3 2 2 3 2 2 2" xfId="43240" xr:uid="{00000000-0005-0000-0000-0000426E0000}"/>
    <cellStyle name="Comma 3 3 3 2 2 3 2 3" xfId="48136" xr:uid="{00000000-0005-0000-0000-0000436E0000}"/>
    <cellStyle name="Comma 3 3 3 2 2 3 2 4" xfId="27306" xr:uid="{00000000-0005-0000-0000-0000446E0000}"/>
    <cellStyle name="Comma 3 3 3 2 2 3 3" xfId="6475" xr:uid="{00000000-0005-0000-0000-0000456E0000}"/>
    <cellStyle name="Comma 3 3 3 2 2 3 3 2" xfId="29754" xr:uid="{00000000-0005-0000-0000-0000466E0000}"/>
    <cellStyle name="Comma 3 3 3 2 2 3 4" xfId="8923" xr:uid="{00000000-0005-0000-0000-0000476E0000}"/>
    <cellStyle name="Comma 3 3 3 2 2 3 4 2" xfId="32202" xr:uid="{00000000-0005-0000-0000-0000486E0000}"/>
    <cellStyle name="Comma 3 3 3 2 2 3 5" xfId="11371" xr:uid="{00000000-0005-0000-0000-0000496E0000}"/>
    <cellStyle name="Comma 3 3 3 2 2 3 5 2" xfId="34650" xr:uid="{00000000-0005-0000-0000-00004A6E0000}"/>
    <cellStyle name="Comma 3 3 3 2 2 3 6" xfId="13819" xr:uid="{00000000-0005-0000-0000-00004B6E0000}"/>
    <cellStyle name="Comma 3 3 3 2 2 3 6 2" xfId="37098" xr:uid="{00000000-0005-0000-0000-00004C6E0000}"/>
    <cellStyle name="Comma 3 3 3 2 2 3 7" xfId="17514" xr:uid="{00000000-0005-0000-0000-00004D6E0000}"/>
    <cellStyle name="Comma 3 3 3 2 2 3 7 2" xfId="40792" xr:uid="{00000000-0005-0000-0000-00004E6E0000}"/>
    <cellStyle name="Comma 3 3 3 2 2 3 8" xfId="24858" xr:uid="{00000000-0005-0000-0000-00004F6E0000}"/>
    <cellStyle name="Comma 3 3 3 2 2 3 9" xfId="45688" xr:uid="{00000000-0005-0000-0000-0000506E0000}"/>
    <cellStyle name="Comma 3 3 3 2 2 4" xfId="2803" xr:uid="{00000000-0005-0000-0000-0000516E0000}"/>
    <cellStyle name="Comma 3 3 3 2 2 4 2" xfId="16290" xr:uid="{00000000-0005-0000-0000-0000526E0000}"/>
    <cellStyle name="Comma 3 3 3 2 2 4 2 2" xfId="39568" xr:uid="{00000000-0005-0000-0000-0000536E0000}"/>
    <cellStyle name="Comma 3 3 3 2 2 4 3" xfId="46912" xr:uid="{00000000-0005-0000-0000-0000546E0000}"/>
    <cellStyle name="Comma 3 3 3 2 2 4 4" xfId="26082" xr:uid="{00000000-0005-0000-0000-0000556E0000}"/>
    <cellStyle name="Comma 3 3 3 2 2 5" xfId="5251" xr:uid="{00000000-0005-0000-0000-0000566E0000}"/>
    <cellStyle name="Comma 3 3 3 2 2 5 2" xfId="18738" xr:uid="{00000000-0005-0000-0000-0000576E0000}"/>
    <cellStyle name="Comma 3 3 3 2 2 5 2 2" xfId="42016" xr:uid="{00000000-0005-0000-0000-0000586E0000}"/>
    <cellStyle name="Comma 3 3 3 2 2 5 3" xfId="28530" xr:uid="{00000000-0005-0000-0000-0000596E0000}"/>
    <cellStyle name="Comma 3 3 3 2 2 6" xfId="7699" xr:uid="{00000000-0005-0000-0000-00005A6E0000}"/>
    <cellStyle name="Comma 3 3 3 2 2 6 2" xfId="30978" xr:uid="{00000000-0005-0000-0000-00005B6E0000}"/>
    <cellStyle name="Comma 3 3 3 2 2 7" xfId="10147" xr:uid="{00000000-0005-0000-0000-00005C6E0000}"/>
    <cellStyle name="Comma 3 3 3 2 2 7 2" xfId="33426" xr:uid="{00000000-0005-0000-0000-00005D6E0000}"/>
    <cellStyle name="Comma 3 3 3 2 2 8" xfId="12595" xr:uid="{00000000-0005-0000-0000-00005E6E0000}"/>
    <cellStyle name="Comma 3 3 3 2 2 8 2" xfId="35874" xr:uid="{00000000-0005-0000-0000-00005F6E0000}"/>
    <cellStyle name="Comma 3 3 3 2 2 9" xfId="15066" xr:uid="{00000000-0005-0000-0000-0000606E0000}"/>
    <cellStyle name="Comma 3 3 3 2 2 9 2" xfId="38344" xr:uid="{00000000-0005-0000-0000-0000616E0000}"/>
    <cellStyle name="Comma 3 3 3 2 3" xfId="559" xr:uid="{00000000-0005-0000-0000-0000626E0000}"/>
    <cellStyle name="Comma 3 3 3 2 3 10" xfId="23838" xr:uid="{00000000-0005-0000-0000-0000636E0000}"/>
    <cellStyle name="Comma 3 3 3 2 3 11" xfId="44668" xr:uid="{00000000-0005-0000-0000-0000646E0000}"/>
    <cellStyle name="Comma 3 3 3 2 3 12" xfId="21390" xr:uid="{00000000-0005-0000-0000-0000656E0000}"/>
    <cellStyle name="Comma 3 3 3 2 3 2" xfId="1171" xr:uid="{00000000-0005-0000-0000-0000666E0000}"/>
    <cellStyle name="Comma 3 3 3 2 3 2 10" xfId="45280" xr:uid="{00000000-0005-0000-0000-0000676E0000}"/>
    <cellStyle name="Comma 3 3 3 2 3 2 11" xfId="22002" xr:uid="{00000000-0005-0000-0000-0000686E0000}"/>
    <cellStyle name="Comma 3 3 3 2 3 2 2" xfId="2395" xr:uid="{00000000-0005-0000-0000-0000696E0000}"/>
    <cellStyle name="Comma 3 3 3 2 3 2 2 10" xfId="23226" xr:uid="{00000000-0005-0000-0000-00006A6E0000}"/>
    <cellStyle name="Comma 3 3 3 2 3 2 2 2" xfId="4843" xr:uid="{00000000-0005-0000-0000-00006B6E0000}"/>
    <cellStyle name="Comma 3 3 3 2 3 2 2 2 2" xfId="20778" xr:uid="{00000000-0005-0000-0000-00006C6E0000}"/>
    <cellStyle name="Comma 3 3 3 2 3 2 2 2 2 2" xfId="44056" xr:uid="{00000000-0005-0000-0000-00006D6E0000}"/>
    <cellStyle name="Comma 3 3 3 2 3 2 2 2 3" xfId="48952" xr:uid="{00000000-0005-0000-0000-00006E6E0000}"/>
    <cellStyle name="Comma 3 3 3 2 3 2 2 2 4" xfId="28122" xr:uid="{00000000-0005-0000-0000-00006F6E0000}"/>
    <cellStyle name="Comma 3 3 3 2 3 2 2 3" xfId="7291" xr:uid="{00000000-0005-0000-0000-0000706E0000}"/>
    <cellStyle name="Comma 3 3 3 2 3 2 2 3 2" xfId="30570" xr:uid="{00000000-0005-0000-0000-0000716E0000}"/>
    <cellStyle name="Comma 3 3 3 2 3 2 2 4" xfId="9739" xr:uid="{00000000-0005-0000-0000-0000726E0000}"/>
    <cellStyle name="Comma 3 3 3 2 3 2 2 4 2" xfId="33018" xr:uid="{00000000-0005-0000-0000-0000736E0000}"/>
    <cellStyle name="Comma 3 3 3 2 3 2 2 5" xfId="12187" xr:uid="{00000000-0005-0000-0000-0000746E0000}"/>
    <cellStyle name="Comma 3 3 3 2 3 2 2 5 2" xfId="35466" xr:uid="{00000000-0005-0000-0000-0000756E0000}"/>
    <cellStyle name="Comma 3 3 3 2 3 2 2 6" xfId="14635" xr:uid="{00000000-0005-0000-0000-0000766E0000}"/>
    <cellStyle name="Comma 3 3 3 2 3 2 2 6 2" xfId="37914" xr:uid="{00000000-0005-0000-0000-0000776E0000}"/>
    <cellStyle name="Comma 3 3 3 2 3 2 2 7" xfId="18330" xr:uid="{00000000-0005-0000-0000-0000786E0000}"/>
    <cellStyle name="Comma 3 3 3 2 3 2 2 7 2" xfId="41608" xr:uid="{00000000-0005-0000-0000-0000796E0000}"/>
    <cellStyle name="Comma 3 3 3 2 3 2 2 8" xfId="25674" xr:uid="{00000000-0005-0000-0000-00007A6E0000}"/>
    <cellStyle name="Comma 3 3 3 2 3 2 2 9" xfId="46504" xr:uid="{00000000-0005-0000-0000-00007B6E0000}"/>
    <cellStyle name="Comma 3 3 3 2 3 2 3" xfId="3619" xr:uid="{00000000-0005-0000-0000-00007C6E0000}"/>
    <cellStyle name="Comma 3 3 3 2 3 2 3 2" xfId="17106" xr:uid="{00000000-0005-0000-0000-00007D6E0000}"/>
    <cellStyle name="Comma 3 3 3 2 3 2 3 2 2" xfId="40384" xr:uid="{00000000-0005-0000-0000-00007E6E0000}"/>
    <cellStyle name="Comma 3 3 3 2 3 2 3 3" xfId="47728" xr:uid="{00000000-0005-0000-0000-00007F6E0000}"/>
    <cellStyle name="Comma 3 3 3 2 3 2 3 4" xfId="26898" xr:uid="{00000000-0005-0000-0000-0000806E0000}"/>
    <cellStyle name="Comma 3 3 3 2 3 2 4" xfId="6067" xr:uid="{00000000-0005-0000-0000-0000816E0000}"/>
    <cellStyle name="Comma 3 3 3 2 3 2 4 2" xfId="19554" xr:uid="{00000000-0005-0000-0000-0000826E0000}"/>
    <cellStyle name="Comma 3 3 3 2 3 2 4 2 2" xfId="42832" xr:uid="{00000000-0005-0000-0000-0000836E0000}"/>
    <cellStyle name="Comma 3 3 3 2 3 2 4 3" xfId="29346" xr:uid="{00000000-0005-0000-0000-0000846E0000}"/>
    <cellStyle name="Comma 3 3 3 2 3 2 5" xfId="8515" xr:uid="{00000000-0005-0000-0000-0000856E0000}"/>
    <cellStyle name="Comma 3 3 3 2 3 2 5 2" xfId="31794" xr:uid="{00000000-0005-0000-0000-0000866E0000}"/>
    <cellStyle name="Comma 3 3 3 2 3 2 6" xfId="10963" xr:uid="{00000000-0005-0000-0000-0000876E0000}"/>
    <cellStyle name="Comma 3 3 3 2 3 2 6 2" xfId="34242" xr:uid="{00000000-0005-0000-0000-0000886E0000}"/>
    <cellStyle name="Comma 3 3 3 2 3 2 7" xfId="13411" xr:uid="{00000000-0005-0000-0000-0000896E0000}"/>
    <cellStyle name="Comma 3 3 3 2 3 2 7 2" xfId="36690" xr:uid="{00000000-0005-0000-0000-00008A6E0000}"/>
    <cellStyle name="Comma 3 3 3 2 3 2 8" xfId="15882" xr:uid="{00000000-0005-0000-0000-00008B6E0000}"/>
    <cellStyle name="Comma 3 3 3 2 3 2 8 2" xfId="39160" xr:uid="{00000000-0005-0000-0000-00008C6E0000}"/>
    <cellStyle name="Comma 3 3 3 2 3 2 9" xfId="24450" xr:uid="{00000000-0005-0000-0000-00008D6E0000}"/>
    <cellStyle name="Comma 3 3 3 2 3 3" xfId="1783" xr:uid="{00000000-0005-0000-0000-00008E6E0000}"/>
    <cellStyle name="Comma 3 3 3 2 3 3 10" xfId="22614" xr:uid="{00000000-0005-0000-0000-00008F6E0000}"/>
    <cellStyle name="Comma 3 3 3 2 3 3 2" xfId="4231" xr:uid="{00000000-0005-0000-0000-0000906E0000}"/>
    <cellStyle name="Comma 3 3 3 2 3 3 2 2" xfId="20166" xr:uid="{00000000-0005-0000-0000-0000916E0000}"/>
    <cellStyle name="Comma 3 3 3 2 3 3 2 2 2" xfId="43444" xr:uid="{00000000-0005-0000-0000-0000926E0000}"/>
    <cellStyle name="Comma 3 3 3 2 3 3 2 3" xfId="48340" xr:uid="{00000000-0005-0000-0000-0000936E0000}"/>
    <cellStyle name="Comma 3 3 3 2 3 3 2 4" xfId="27510" xr:uid="{00000000-0005-0000-0000-0000946E0000}"/>
    <cellStyle name="Comma 3 3 3 2 3 3 3" xfId="6679" xr:uid="{00000000-0005-0000-0000-0000956E0000}"/>
    <cellStyle name="Comma 3 3 3 2 3 3 3 2" xfId="29958" xr:uid="{00000000-0005-0000-0000-0000966E0000}"/>
    <cellStyle name="Comma 3 3 3 2 3 3 4" xfId="9127" xr:uid="{00000000-0005-0000-0000-0000976E0000}"/>
    <cellStyle name="Comma 3 3 3 2 3 3 4 2" xfId="32406" xr:uid="{00000000-0005-0000-0000-0000986E0000}"/>
    <cellStyle name="Comma 3 3 3 2 3 3 5" xfId="11575" xr:uid="{00000000-0005-0000-0000-0000996E0000}"/>
    <cellStyle name="Comma 3 3 3 2 3 3 5 2" xfId="34854" xr:uid="{00000000-0005-0000-0000-00009A6E0000}"/>
    <cellStyle name="Comma 3 3 3 2 3 3 6" xfId="14023" xr:uid="{00000000-0005-0000-0000-00009B6E0000}"/>
    <cellStyle name="Comma 3 3 3 2 3 3 6 2" xfId="37302" xr:uid="{00000000-0005-0000-0000-00009C6E0000}"/>
    <cellStyle name="Comma 3 3 3 2 3 3 7" xfId="17718" xr:uid="{00000000-0005-0000-0000-00009D6E0000}"/>
    <cellStyle name="Comma 3 3 3 2 3 3 7 2" xfId="40996" xr:uid="{00000000-0005-0000-0000-00009E6E0000}"/>
    <cellStyle name="Comma 3 3 3 2 3 3 8" xfId="25062" xr:uid="{00000000-0005-0000-0000-00009F6E0000}"/>
    <cellStyle name="Comma 3 3 3 2 3 3 9" xfId="45892" xr:uid="{00000000-0005-0000-0000-0000A06E0000}"/>
    <cellStyle name="Comma 3 3 3 2 3 4" xfId="3007" xr:uid="{00000000-0005-0000-0000-0000A16E0000}"/>
    <cellStyle name="Comma 3 3 3 2 3 4 2" xfId="16494" xr:uid="{00000000-0005-0000-0000-0000A26E0000}"/>
    <cellStyle name="Comma 3 3 3 2 3 4 2 2" xfId="39772" xr:uid="{00000000-0005-0000-0000-0000A36E0000}"/>
    <cellStyle name="Comma 3 3 3 2 3 4 3" xfId="47116" xr:uid="{00000000-0005-0000-0000-0000A46E0000}"/>
    <cellStyle name="Comma 3 3 3 2 3 4 4" xfId="26286" xr:uid="{00000000-0005-0000-0000-0000A56E0000}"/>
    <cellStyle name="Comma 3 3 3 2 3 5" xfId="5455" xr:uid="{00000000-0005-0000-0000-0000A66E0000}"/>
    <cellStyle name="Comma 3 3 3 2 3 5 2" xfId="18942" xr:uid="{00000000-0005-0000-0000-0000A76E0000}"/>
    <cellStyle name="Comma 3 3 3 2 3 5 2 2" xfId="42220" xr:uid="{00000000-0005-0000-0000-0000A86E0000}"/>
    <cellStyle name="Comma 3 3 3 2 3 5 3" xfId="28734" xr:uid="{00000000-0005-0000-0000-0000A96E0000}"/>
    <cellStyle name="Comma 3 3 3 2 3 6" xfId="7903" xr:uid="{00000000-0005-0000-0000-0000AA6E0000}"/>
    <cellStyle name="Comma 3 3 3 2 3 6 2" xfId="31182" xr:uid="{00000000-0005-0000-0000-0000AB6E0000}"/>
    <cellStyle name="Comma 3 3 3 2 3 7" xfId="10351" xr:uid="{00000000-0005-0000-0000-0000AC6E0000}"/>
    <cellStyle name="Comma 3 3 3 2 3 7 2" xfId="33630" xr:uid="{00000000-0005-0000-0000-0000AD6E0000}"/>
    <cellStyle name="Comma 3 3 3 2 3 8" xfId="12799" xr:uid="{00000000-0005-0000-0000-0000AE6E0000}"/>
    <cellStyle name="Comma 3 3 3 2 3 8 2" xfId="36078" xr:uid="{00000000-0005-0000-0000-0000AF6E0000}"/>
    <cellStyle name="Comma 3 3 3 2 3 9" xfId="15270" xr:uid="{00000000-0005-0000-0000-0000B06E0000}"/>
    <cellStyle name="Comma 3 3 3 2 3 9 2" xfId="38548" xr:uid="{00000000-0005-0000-0000-0000B16E0000}"/>
    <cellStyle name="Comma 3 3 3 2 4" xfId="763" xr:uid="{00000000-0005-0000-0000-0000B26E0000}"/>
    <cellStyle name="Comma 3 3 3 2 4 10" xfId="44872" xr:uid="{00000000-0005-0000-0000-0000B36E0000}"/>
    <cellStyle name="Comma 3 3 3 2 4 11" xfId="21594" xr:uid="{00000000-0005-0000-0000-0000B46E0000}"/>
    <cellStyle name="Comma 3 3 3 2 4 2" xfId="1987" xr:uid="{00000000-0005-0000-0000-0000B56E0000}"/>
    <cellStyle name="Comma 3 3 3 2 4 2 10" xfId="22818" xr:uid="{00000000-0005-0000-0000-0000B66E0000}"/>
    <cellStyle name="Comma 3 3 3 2 4 2 2" xfId="4435" xr:uid="{00000000-0005-0000-0000-0000B76E0000}"/>
    <cellStyle name="Comma 3 3 3 2 4 2 2 2" xfId="20370" xr:uid="{00000000-0005-0000-0000-0000B86E0000}"/>
    <cellStyle name="Comma 3 3 3 2 4 2 2 2 2" xfId="43648" xr:uid="{00000000-0005-0000-0000-0000B96E0000}"/>
    <cellStyle name="Comma 3 3 3 2 4 2 2 3" xfId="48544" xr:uid="{00000000-0005-0000-0000-0000BA6E0000}"/>
    <cellStyle name="Comma 3 3 3 2 4 2 2 4" xfId="27714" xr:uid="{00000000-0005-0000-0000-0000BB6E0000}"/>
    <cellStyle name="Comma 3 3 3 2 4 2 3" xfId="6883" xr:uid="{00000000-0005-0000-0000-0000BC6E0000}"/>
    <cellStyle name="Comma 3 3 3 2 4 2 3 2" xfId="30162" xr:uid="{00000000-0005-0000-0000-0000BD6E0000}"/>
    <cellStyle name="Comma 3 3 3 2 4 2 4" xfId="9331" xr:uid="{00000000-0005-0000-0000-0000BE6E0000}"/>
    <cellStyle name="Comma 3 3 3 2 4 2 4 2" xfId="32610" xr:uid="{00000000-0005-0000-0000-0000BF6E0000}"/>
    <cellStyle name="Comma 3 3 3 2 4 2 5" xfId="11779" xr:uid="{00000000-0005-0000-0000-0000C06E0000}"/>
    <cellStyle name="Comma 3 3 3 2 4 2 5 2" xfId="35058" xr:uid="{00000000-0005-0000-0000-0000C16E0000}"/>
    <cellStyle name="Comma 3 3 3 2 4 2 6" xfId="14227" xr:uid="{00000000-0005-0000-0000-0000C26E0000}"/>
    <cellStyle name="Comma 3 3 3 2 4 2 6 2" xfId="37506" xr:uid="{00000000-0005-0000-0000-0000C36E0000}"/>
    <cellStyle name="Comma 3 3 3 2 4 2 7" xfId="17922" xr:uid="{00000000-0005-0000-0000-0000C46E0000}"/>
    <cellStyle name="Comma 3 3 3 2 4 2 7 2" xfId="41200" xr:uid="{00000000-0005-0000-0000-0000C56E0000}"/>
    <cellStyle name="Comma 3 3 3 2 4 2 8" xfId="25266" xr:uid="{00000000-0005-0000-0000-0000C66E0000}"/>
    <cellStyle name="Comma 3 3 3 2 4 2 9" xfId="46096" xr:uid="{00000000-0005-0000-0000-0000C76E0000}"/>
    <cellStyle name="Comma 3 3 3 2 4 3" xfId="3211" xr:uid="{00000000-0005-0000-0000-0000C86E0000}"/>
    <cellStyle name="Comma 3 3 3 2 4 3 2" xfId="16698" xr:uid="{00000000-0005-0000-0000-0000C96E0000}"/>
    <cellStyle name="Comma 3 3 3 2 4 3 2 2" xfId="39976" xr:uid="{00000000-0005-0000-0000-0000CA6E0000}"/>
    <cellStyle name="Comma 3 3 3 2 4 3 3" xfId="47320" xr:uid="{00000000-0005-0000-0000-0000CB6E0000}"/>
    <cellStyle name="Comma 3 3 3 2 4 3 4" xfId="26490" xr:uid="{00000000-0005-0000-0000-0000CC6E0000}"/>
    <cellStyle name="Comma 3 3 3 2 4 4" xfId="5659" xr:uid="{00000000-0005-0000-0000-0000CD6E0000}"/>
    <cellStyle name="Comma 3 3 3 2 4 4 2" xfId="19146" xr:uid="{00000000-0005-0000-0000-0000CE6E0000}"/>
    <cellStyle name="Comma 3 3 3 2 4 4 2 2" xfId="42424" xr:uid="{00000000-0005-0000-0000-0000CF6E0000}"/>
    <cellStyle name="Comma 3 3 3 2 4 4 3" xfId="28938" xr:uid="{00000000-0005-0000-0000-0000D06E0000}"/>
    <cellStyle name="Comma 3 3 3 2 4 5" xfId="8107" xr:uid="{00000000-0005-0000-0000-0000D16E0000}"/>
    <cellStyle name="Comma 3 3 3 2 4 5 2" xfId="31386" xr:uid="{00000000-0005-0000-0000-0000D26E0000}"/>
    <cellStyle name="Comma 3 3 3 2 4 6" xfId="10555" xr:uid="{00000000-0005-0000-0000-0000D36E0000}"/>
    <cellStyle name="Comma 3 3 3 2 4 6 2" xfId="33834" xr:uid="{00000000-0005-0000-0000-0000D46E0000}"/>
    <cellStyle name="Comma 3 3 3 2 4 7" xfId="13003" xr:uid="{00000000-0005-0000-0000-0000D56E0000}"/>
    <cellStyle name="Comma 3 3 3 2 4 7 2" xfId="36282" xr:uid="{00000000-0005-0000-0000-0000D66E0000}"/>
    <cellStyle name="Comma 3 3 3 2 4 8" xfId="15474" xr:uid="{00000000-0005-0000-0000-0000D76E0000}"/>
    <cellStyle name="Comma 3 3 3 2 4 8 2" xfId="38752" xr:uid="{00000000-0005-0000-0000-0000D86E0000}"/>
    <cellStyle name="Comma 3 3 3 2 4 9" xfId="24042" xr:uid="{00000000-0005-0000-0000-0000D96E0000}"/>
    <cellStyle name="Comma 3 3 3 2 5" xfId="1375" xr:uid="{00000000-0005-0000-0000-0000DA6E0000}"/>
    <cellStyle name="Comma 3 3 3 2 5 10" xfId="22206" xr:uid="{00000000-0005-0000-0000-0000DB6E0000}"/>
    <cellStyle name="Comma 3 3 3 2 5 2" xfId="3823" xr:uid="{00000000-0005-0000-0000-0000DC6E0000}"/>
    <cellStyle name="Comma 3 3 3 2 5 2 2" xfId="19758" xr:uid="{00000000-0005-0000-0000-0000DD6E0000}"/>
    <cellStyle name="Comma 3 3 3 2 5 2 2 2" xfId="43036" xr:uid="{00000000-0005-0000-0000-0000DE6E0000}"/>
    <cellStyle name="Comma 3 3 3 2 5 2 3" xfId="47932" xr:uid="{00000000-0005-0000-0000-0000DF6E0000}"/>
    <cellStyle name="Comma 3 3 3 2 5 2 4" xfId="27102" xr:uid="{00000000-0005-0000-0000-0000E06E0000}"/>
    <cellStyle name="Comma 3 3 3 2 5 3" xfId="6271" xr:uid="{00000000-0005-0000-0000-0000E16E0000}"/>
    <cellStyle name="Comma 3 3 3 2 5 3 2" xfId="29550" xr:uid="{00000000-0005-0000-0000-0000E26E0000}"/>
    <cellStyle name="Comma 3 3 3 2 5 4" xfId="8719" xr:uid="{00000000-0005-0000-0000-0000E36E0000}"/>
    <cellStyle name="Comma 3 3 3 2 5 4 2" xfId="31998" xr:uid="{00000000-0005-0000-0000-0000E46E0000}"/>
    <cellStyle name="Comma 3 3 3 2 5 5" xfId="11167" xr:uid="{00000000-0005-0000-0000-0000E56E0000}"/>
    <cellStyle name="Comma 3 3 3 2 5 5 2" xfId="34446" xr:uid="{00000000-0005-0000-0000-0000E66E0000}"/>
    <cellStyle name="Comma 3 3 3 2 5 6" xfId="13615" xr:uid="{00000000-0005-0000-0000-0000E76E0000}"/>
    <cellStyle name="Comma 3 3 3 2 5 6 2" xfId="36894" xr:uid="{00000000-0005-0000-0000-0000E86E0000}"/>
    <cellStyle name="Comma 3 3 3 2 5 7" xfId="17310" xr:uid="{00000000-0005-0000-0000-0000E96E0000}"/>
    <cellStyle name="Comma 3 3 3 2 5 7 2" xfId="40588" xr:uid="{00000000-0005-0000-0000-0000EA6E0000}"/>
    <cellStyle name="Comma 3 3 3 2 5 8" xfId="24654" xr:uid="{00000000-0005-0000-0000-0000EB6E0000}"/>
    <cellStyle name="Comma 3 3 3 2 5 9" xfId="45484" xr:uid="{00000000-0005-0000-0000-0000EC6E0000}"/>
    <cellStyle name="Comma 3 3 3 2 6" xfId="2599" xr:uid="{00000000-0005-0000-0000-0000ED6E0000}"/>
    <cellStyle name="Comma 3 3 3 2 6 2" xfId="16086" xr:uid="{00000000-0005-0000-0000-0000EE6E0000}"/>
    <cellStyle name="Comma 3 3 3 2 6 2 2" xfId="39364" xr:uid="{00000000-0005-0000-0000-0000EF6E0000}"/>
    <cellStyle name="Comma 3 3 3 2 6 3" xfId="46708" xr:uid="{00000000-0005-0000-0000-0000F06E0000}"/>
    <cellStyle name="Comma 3 3 3 2 6 4" xfId="25878" xr:uid="{00000000-0005-0000-0000-0000F16E0000}"/>
    <cellStyle name="Comma 3 3 3 2 7" xfId="5047" xr:uid="{00000000-0005-0000-0000-0000F26E0000}"/>
    <cellStyle name="Comma 3 3 3 2 7 2" xfId="18534" xr:uid="{00000000-0005-0000-0000-0000F36E0000}"/>
    <cellStyle name="Comma 3 3 3 2 7 2 2" xfId="41812" xr:uid="{00000000-0005-0000-0000-0000F46E0000}"/>
    <cellStyle name="Comma 3 3 3 2 7 3" xfId="28326" xr:uid="{00000000-0005-0000-0000-0000F56E0000}"/>
    <cellStyle name="Comma 3 3 3 2 8" xfId="7495" xr:uid="{00000000-0005-0000-0000-0000F66E0000}"/>
    <cellStyle name="Comma 3 3 3 2 8 2" xfId="30774" xr:uid="{00000000-0005-0000-0000-0000F76E0000}"/>
    <cellStyle name="Comma 3 3 3 2 9" xfId="9943" xr:uid="{00000000-0005-0000-0000-0000F86E0000}"/>
    <cellStyle name="Comma 3 3 3 2 9 2" xfId="33222" xr:uid="{00000000-0005-0000-0000-0000F96E0000}"/>
    <cellStyle name="Comma 3 3 3 3" xfId="219" xr:uid="{00000000-0005-0000-0000-0000FA6E0000}"/>
    <cellStyle name="Comma 3 3 3 3 10" xfId="12459" xr:uid="{00000000-0005-0000-0000-0000FB6E0000}"/>
    <cellStyle name="Comma 3 3 3 3 10 2" xfId="35738" xr:uid="{00000000-0005-0000-0000-0000FC6E0000}"/>
    <cellStyle name="Comma 3 3 3 3 11" xfId="14930" xr:uid="{00000000-0005-0000-0000-0000FD6E0000}"/>
    <cellStyle name="Comma 3 3 3 3 11 2" xfId="38208" xr:uid="{00000000-0005-0000-0000-0000FE6E0000}"/>
    <cellStyle name="Comma 3 3 3 3 12" xfId="23498" xr:uid="{00000000-0005-0000-0000-0000FF6E0000}"/>
    <cellStyle name="Comma 3 3 3 3 13" xfId="44328" xr:uid="{00000000-0005-0000-0000-0000006F0000}"/>
    <cellStyle name="Comma 3 3 3 3 14" xfId="21050" xr:uid="{00000000-0005-0000-0000-0000016F0000}"/>
    <cellStyle name="Comma 3 3 3 3 2" xfId="423" xr:uid="{00000000-0005-0000-0000-0000026F0000}"/>
    <cellStyle name="Comma 3 3 3 3 2 10" xfId="23702" xr:uid="{00000000-0005-0000-0000-0000036F0000}"/>
    <cellStyle name="Comma 3 3 3 3 2 11" xfId="44532" xr:uid="{00000000-0005-0000-0000-0000046F0000}"/>
    <cellStyle name="Comma 3 3 3 3 2 12" xfId="21254" xr:uid="{00000000-0005-0000-0000-0000056F0000}"/>
    <cellStyle name="Comma 3 3 3 3 2 2" xfId="1035" xr:uid="{00000000-0005-0000-0000-0000066F0000}"/>
    <cellStyle name="Comma 3 3 3 3 2 2 10" xfId="45144" xr:uid="{00000000-0005-0000-0000-0000076F0000}"/>
    <cellStyle name="Comma 3 3 3 3 2 2 11" xfId="21866" xr:uid="{00000000-0005-0000-0000-0000086F0000}"/>
    <cellStyle name="Comma 3 3 3 3 2 2 2" xfId="2259" xr:uid="{00000000-0005-0000-0000-0000096F0000}"/>
    <cellStyle name="Comma 3 3 3 3 2 2 2 10" xfId="23090" xr:uid="{00000000-0005-0000-0000-00000A6F0000}"/>
    <cellStyle name="Comma 3 3 3 3 2 2 2 2" xfId="4707" xr:uid="{00000000-0005-0000-0000-00000B6F0000}"/>
    <cellStyle name="Comma 3 3 3 3 2 2 2 2 2" xfId="20642" xr:uid="{00000000-0005-0000-0000-00000C6F0000}"/>
    <cellStyle name="Comma 3 3 3 3 2 2 2 2 2 2" xfId="43920" xr:uid="{00000000-0005-0000-0000-00000D6F0000}"/>
    <cellStyle name="Comma 3 3 3 3 2 2 2 2 3" xfId="48816" xr:uid="{00000000-0005-0000-0000-00000E6F0000}"/>
    <cellStyle name="Comma 3 3 3 3 2 2 2 2 4" xfId="27986" xr:uid="{00000000-0005-0000-0000-00000F6F0000}"/>
    <cellStyle name="Comma 3 3 3 3 2 2 2 3" xfId="7155" xr:uid="{00000000-0005-0000-0000-0000106F0000}"/>
    <cellStyle name="Comma 3 3 3 3 2 2 2 3 2" xfId="30434" xr:uid="{00000000-0005-0000-0000-0000116F0000}"/>
    <cellStyle name="Comma 3 3 3 3 2 2 2 4" xfId="9603" xr:uid="{00000000-0005-0000-0000-0000126F0000}"/>
    <cellStyle name="Comma 3 3 3 3 2 2 2 4 2" xfId="32882" xr:uid="{00000000-0005-0000-0000-0000136F0000}"/>
    <cellStyle name="Comma 3 3 3 3 2 2 2 5" xfId="12051" xr:uid="{00000000-0005-0000-0000-0000146F0000}"/>
    <cellStyle name="Comma 3 3 3 3 2 2 2 5 2" xfId="35330" xr:uid="{00000000-0005-0000-0000-0000156F0000}"/>
    <cellStyle name="Comma 3 3 3 3 2 2 2 6" xfId="14499" xr:uid="{00000000-0005-0000-0000-0000166F0000}"/>
    <cellStyle name="Comma 3 3 3 3 2 2 2 6 2" xfId="37778" xr:uid="{00000000-0005-0000-0000-0000176F0000}"/>
    <cellStyle name="Comma 3 3 3 3 2 2 2 7" xfId="18194" xr:uid="{00000000-0005-0000-0000-0000186F0000}"/>
    <cellStyle name="Comma 3 3 3 3 2 2 2 7 2" xfId="41472" xr:uid="{00000000-0005-0000-0000-0000196F0000}"/>
    <cellStyle name="Comma 3 3 3 3 2 2 2 8" xfId="25538" xr:uid="{00000000-0005-0000-0000-00001A6F0000}"/>
    <cellStyle name="Comma 3 3 3 3 2 2 2 9" xfId="46368" xr:uid="{00000000-0005-0000-0000-00001B6F0000}"/>
    <cellStyle name="Comma 3 3 3 3 2 2 3" xfId="3483" xr:uid="{00000000-0005-0000-0000-00001C6F0000}"/>
    <cellStyle name="Comma 3 3 3 3 2 2 3 2" xfId="16970" xr:uid="{00000000-0005-0000-0000-00001D6F0000}"/>
    <cellStyle name="Comma 3 3 3 3 2 2 3 2 2" xfId="40248" xr:uid="{00000000-0005-0000-0000-00001E6F0000}"/>
    <cellStyle name="Comma 3 3 3 3 2 2 3 3" xfId="47592" xr:uid="{00000000-0005-0000-0000-00001F6F0000}"/>
    <cellStyle name="Comma 3 3 3 3 2 2 3 4" xfId="26762" xr:uid="{00000000-0005-0000-0000-0000206F0000}"/>
    <cellStyle name="Comma 3 3 3 3 2 2 4" xfId="5931" xr:uid="{00000000-0005-0000-0000-0000216F0000}"/>
    <cellStyle name="Comma 3 3 3 3 2 2 4 2" xfId="19418" xr:uid="{00000000-0005-0000-0000-0000226F0000}"/>
    <cellStyle name="Comma 3 3 3 3 2 2 4 2 2" xfId="42696" xr:uid="{00000000-0005-0000-0000-0000236F0000}"/>
    <cellStyle name="Comma 3 3 3 3 2 2 4 3" xfId="29210" xr:uid="{00000000-0005-0000-0000-0000246F0000}"/>
    <cellStyle name="Comma 3 3 3 3 2 2 5" xfId="8379" xr:uid="{00000000-0005-0000-0000-0000256F0000}"/>
    <cellStyle name="Comma 3 3 3 3 2 2 5 2" xfId="31658" xr:uid="{00000000-0005-0000-0000-0000266F0000}"/>
    <cellStyle name="Comma 3 3 3 3 2 2 6" xfId="10827" xr:uid="{00000000-0005-0000-0000-0000276F0000}"/>
    <cellStyle name="Comma 3 3 3 3 2 2 6 2" xfId="34106" xr:uid="{00000000-0005-0000-0000-0000286F0000}"/>
    <cellStyle name="Comma 3 3 3 3 2 2 7" xfId="13275" xr:uid="{00000000-0005-0000-0000-0000296F0000}"/>
    <cellStyle name="Comma 3 3 3 3 2 2 7 2" xfId="36554" xr:uid="{00000000-0005-0000-0000-00002A6F0000}"/>
    <cellStyle name="Comma 3 3 3 3 2 2 8" xfId="15746" xr:uid="{00000000-0005-0000-0000-00002B6F0000}"/>
    <cellStyle name="Comma 3 3 3 3 2 2 8 2" xfId="39024" xr:uid="{00000000-0005-0000-0000-00002C6F0000}"/>
    <cellStyle name="Comma 3 3 3 3 2 2 9" xfId="24314" xr:uid="{00000000-0005-0000-0000-00002D6F0000}"/>
    <cellStyle name="Comma 3 3 3 3 2 3" xfId="1647" xr:uid="{00000000-0005-0000-0000-00002E6F0000}"/>
    <cellStyle name="Comma 3 3 3 3 2 3 10" xfId="22478" xr:uid="{00000000-0005-0000-0000-00002F6F0000}"/>
    <cellStyle name="Comma 3 3 3 3 2 3 2" xfId="4095" xr:uid="{00000000-0005-0000-0000-0000306F0000}"/>
    <cellStyle name="Comma 3 3 3 3 2 3 2 2" xfId="20030" xr:uid="{00000000-0005-0000-0000-0000316F0000}"/>
    <cellStyle name="Comma 3 3 3 3 2 3 2 2 2" xfId="43308" xr:uid="{00000000-0005-0000-0000-0000326F0000}"/>
    <cellStyle name="Comma 3 3 3 3 2 3 2 3" xfId="48204" xr:uid="{00000000-0005-0000-0000-0000336F0000}"/>
    <cellStyle name="Comma 3 3 3 3 2 3 2 4" xfId="27374" xr:uid="{00000000-0005-0000-0000-0000346F0000}"/>
    <cellStyle name="Comma 3 3 3 3 2 3 3" xfId="6543" xr:uid="{00000000-0005-0000-0000-0000356F0000}"/>
    <cellStyle name="Comma 3 3 3 3 2 3 3 2" xfId="29822" xr:uid="{00000000-0005-0000-0000-0000366F0000}"/>
    <cellStyle name="Comma 3 3 3 3 2 3 4" xfId="8991" xr:uid="{00000000-0005-0000-0000-0000376F0000}"/>
    <cellStyle name="Comma 3 3 3 3 2 3 4 2" xfId="32270" xr:uid="{00000000-0005-0000-0000-0000386F0000}"/>
    <cellStyle name="Comma 3 3 3 3 2 3 5" xfId="11439" xr:uid="{00000000-0005-0000-0000-0000396F0000}"/>
    <cellStyle name="Comma 3 3 3 3 2 3 5 2" xfId="34718" xr:uid="{00000000-0005-0000-0000-00003A6F0000}"/>
    <cellStyle name="Comma 3 3 3 3 2 3 6" xfId="13887" xr:uid="{00000000-0005-0000-0000-00003B6F0000}"/>
    <cellStyle name="Comma 3 3 3 3 2 3 6 2" xfId="37166" xr:uid="{00000000-0005-0000-0000-00003C6F0000}"/>
    <cellStyle name="Comma 3 3 3 3 2 3 7" xfId="17582" xr:uid="{00000000-0005-0000-0000-00003D6F0000}"/>
    <cellStyle name="Comma 3 3 3 3 2 3 7 2" xfId="40860" xr:uid="{00000000-0005-0000-0000-00003E6F0000}"/>
    <cellStyle name="Comma 3 3 3 3 2 3 8" xfId="24926" xr:uid="{00000000-0005-0000-0000-00003F6F0000}"/>
    <cellStyle name="Comma 3 3 3 3 2 3 9" xfId="45756" xr:uid="{00000000-0005-0000-0000-0000406F0000}"/>
    <cellStyle name="Comma 3 3 3 3 2 4" xfId="2871" xr:uid="{00000000-0005-0000-0000-0000416F0000}"/>
    <cellStyle name="Comma 3 3 3 3 2 4 2" xfId="16358" xr:uid="{00000000-0005-0000-0000-0000426F0000}"/>
    <cellStyle name="Comma 3 3 3 3 2 4 2 2" xfId="39636" xr:uid="{00000000-0005-0000-0000-0000436F0000}"/>
    <cellStyle name="Comma 3 3 3 3 2 4 3" xfId="46980" xr:uid="{00000000-0005-0000-0000-0000446F0000}"/>
    <cellStyle name="Comma 3 3 3 3 2 4 4" xfId="26150" xr:uid="{00000000-0005-0000-0000-0000456F0000}"/>
    <cellStyle name="Comma 3 3 3 3 2 5" xfId="5319" xr:uid="{00000000-0005-0000-0000-0000466F0000}"/>
    <cellStyle name="Comma 3 3 3 3 2 5 2" xfId="18806" xr:uid="{00000000-0005-0000-0000-0000476F0000}"/>
    <cellStyle name="Comma 3 3 3 3 2 5 2 2" xfId="42084" xr:uid="{00000000-0005-0000-0000-0000486F0000}"/>
    <cellStyle name="Comma 3 3 3 3 2 5 3" xfId="28598" xr:uid="{00000000-0005-0000-0000-0000496F0000}"/>
    <cellStyle name="Comma 3 3 3 3 2 6" xfId="7767" xr:uid="{00000000-0005-0000-0000-00004A6F0000}"/>
    <cellStyle name="Comma 3 3 3 3 2 6 2" xfId="31046" xr:uid="{00000000-0005-0000-0000-00004B6F0000}"/>
    <cellStyle name="Comma 3 3 3 3 2 7" xfId="10215" xr:uid="{00000000-0005-0000-0000-00004C6F0000}"/>
    <cellStyle name="Comma 3 3 3 3 2 7 2" xfId="33494" xr:uid="{00000000-0005-0000-0000-00004D6F0000}"/>
    <cellStyle name="Comma 3 3 3 3 2 8" xfId="12663" xr:uid="{00000000-0005-0000-0000-00004E6F0000}"/>
    <cellStyle name="Comma 3 3 3 3 2 8 2" xfId="35942" xr:uid="{00000000-0005-0000-0000-00004F6F0000}"/>
    <cellStyle name="Comma 3 3 3 3 2 9" xfId="15134" xr:uid="{00000000-0005-0000-0000-0000506F0000}"/>
    <cellStyle name="Comma 3 3 3 3 2 9 2" xfId="38412" xr:uid="{00000000-0005-0000-0000-0000516F0000}"/>
    <cellStyle name="Comma 3 3 3 3 3" xfId="627" xr:uid="{00000000-0005-0000-0000-0000526F0000}"/>
    <cellStyle name="Comma 3 3 3 3 3 10" xfId="23906" xr:uid="{00000000-0005-0000-0000-0000536F0000}"/>
    <cellStyle name="Comma 3 3 3 3 3 11" xfId="44736" xr:uid="{00000000-0005-0000-0000-0000546F0000}"/>
    <cellStyle name="Comma 3 3 3 3 3 12" xfId="21458" xr:uid="{00000000-0005-0000-0000-0000556F0000}"/>
    <cellStyle name="Comma 3 3 3 3 3 2" xfId="1239" xr:uid="{00000000-0005-0000-0000-0000566F0000}"/>
    <cellStyle name="Comma 3 3 3 3 3 2 10" xfId="45348" xr:uid="{00000000-0005-0000-0000-0000576F0000}"/>
    <cellStyle name="Comma 3 3 3 3 3 2 11" xfId="22070" xr:uid="{00000000-0005-0000-0000-0000586F0000}"/>
    <cellStyle name="Comma 3 3 3 3 3 2 2" xfId="2463" xr:uid="{00000000-0005-0000-0000-0000596F0000}"/>
    <cellStyle name="Comma 3 3 3 3 3 2 2 10" xfId="23294" xr:uid="{00000000-0005-0000-0000-00005A6F0000}"/>
    <cellStyle name="Comma 3 3 3 3 3 2 2 2" xfId="4911" xr:uid="{00000000-0005-0000-0000-00005B6F0000}"/>
    <cellStyle name="Comma 3 3 3 3 3 2 2 2 2" xfId="20846" xr:uid="{00000000-0005-0000-0000-00005C6F0000}"/>
    <cellStyle name="Comma 3 3 3 3 3 2 2 2 2 2" xfId="44124" xr:uid="{00000000-0005-0000-0000-00005D6F0000}"/>
    <cellStyle name="Comma 3 3 3 3 3 2 2 2 3" xfId="49020" xr:uid="{00000000-0005-0000-0000-00005E6F0000}"/>
    <cellStyle name="Comma 3 3 3 3 3 2 2 2 4" xfId="28190" xr:uid="{00000000-0005-0000-0000-00005F6F0000}"/>
    <cellStyle name="Comma 3 3 3 3 3 2 2 3" xfId="7359" xr:uid="{00000000-0005-0000-0000-0000606F0000}"/>
    <cellStyle name="Comma 3 3 3 3 3 2 2 3 2" xfId="30638" xr:uid="{00000000-0005-0000-0000-0000616F0000}"/>
    <cellStyle name="Comma 3 3 3 3 3 2 2 4" xfId="9807" xr:uid="{00000000-0005-0000-0000-0000626F0000}"/>
    <cellStyle name="Comma 3 3 3 3 3 2 2 4 2" xfId="33086" xr:uid="{00000000-0005-0000-0000-0000636F0000}"/>
    <cellStyle name="Comma 3 3 3 3 3 2 2 5" xfId="12255" xr:uid="{00000000-0005-0000-0000-0000646F0000}"/>
    <cellStyle name="Comma 3 3 3 3 3 2 2 5 2" xfId="35534" xr:uid="{00000000-0005-0000-0000-0000656F0000}"/>
    <cellStyle name="Comma 3 3 3 3 3 2 2 6" xfId="14703" xr:uid="{00000000-0005-0000-0000-0000666F0000}"/>
    <cellStyle name="Comma 3 3 3 3 3 2 2 6 2" xfId="37982" xr:uid="{00000000-0005-0000-0000-0000676F0000}"/>
    <cellStyle name="Comma 3 3 3 3 3 2 2 7" xfId="18398" xr:uid="{00000000-0005-0000-0000-0000686F0000}"/>
    <cellStyle name="Comma 3 3 3 3 3 2 2 7 2" xfId="41676" xr:uid="{00000000-0005-0000-0000-0000696F0000}"/>
    <cellStyle name="Comma 3 3 3 3 3 2 2 8" xfId="25742" xr:uid="{00000000-0005-0000-0000-00006A6F0000}"/>
    <cellStyle name="Comma 3 3 3 3 3 2 2 9" xfId="46572" xr:uid="{00000000-0005-0000-0000-00006B6F0000}"/>
    <cellStyle name="Comma 3 3 3 3 3 2 3" xfId="3687" xr:uid="{00000000-0005-0000-0000-00006C6F0000}"/>
    <cellStyle name="Comma 3 3 3 3 3 2 3 2" xfId="17174" xr:uid="{00000000-0005-0000-0000-00006D6F0000}"/>
    <cellStyle name="Comma 3 3 3 3 3 2 3 2 2" xfId="40452" xr:uid="{00000000-0005-0000-0000-00006E6F0000}"/>
    <cellStyle name="Comma 3 3 3 3 3 2 3 3" xfId="47796" xr:uid="{00000000-0005-0000-0000-00006F6F0000}"/>
    <cellStyle name="Comma 3 3 3 3 3 2 3 4" xfId="26966" xr:uid="{00000000-0005-0000-0000-0000706F0000}"/>
    <cellStyle name="Comma 3 3 3 3 3 2 4" xfId="6135" xr:uid="{00000000-0005-0000-0000-0000716F0000}"/>
    <cellStyle name="Comma 3 3 3 3 3 2 4 2" xfId="19622" xr:uid="{00000000-0005-0000-0000-0000726F0000}"/>
    <cellStyle name="Comma 3 3 3 3 3 2 4 2 2" xfId="42900" xr:uid="{00000000-0005-0000-0000-0000736F0000}"/>
    <cellStyle name="Comma 3 3 3 3 3 2 4 3" xfId="29414" xr:uid="{00000000-0005-0000-0000-0000746F0000}"/>
    <cellStyle name="Comma 3 3 3 3 3 2 5" xfId="8583" xr:uid="{00000000-0005-0000-0000-0000756F0000}"/>
    <cellStyle name="Comma 3 3 3 3 3 2 5 2" xfId="31862" xr:uid="{00000000-0005-0000-0000-0000766F0000}"/>
    <cellStyle name="Comma 3 3 3 3 3 2 6" xfId="11031" xr:uid="{00000000-0005-0000-0000-0000776F0000}"/>
    <cellStyle name="Comma 3 3 3 3 3 2 6 2" xfId="34310" xr:uid="{00000000-0005-0000-0000-0000786F0000}"/>
    <cellStyle name="Comma 3 3 3 3 3 2 7" xfId="13479" xr:uid="{00000000-0005-0000-0000-0000796F0000}"/>
    <cellStyle name="Comma 3 3 3 3 3 2 7 2" xfId="36758" xr:uid="{00000000-0005-0000-0000-00007A6F0000}"/>
    <cellStyle name="Comma 3 3 3 3 3 2 8" xfId="15950" xr:uid="{00000000-0005-0000-0000-00007B6F0000}"/>
    <cellStyle name="Comma 3 3 3 3 3 2 8 2" xfId="39228" xr:uid="{00000000-0005-0000-0000-00007C6F0000}"/>
    <cellStyle name="Comma 3 3 3 3 3 2 9" xfId="24518" xr:uid="{00000000-0005-0000-0000-00007D6F0000}"/>
    <cellStyle name="Comma 3 3 3 3 3 3" xfId="1851" xr:uid="{00000000-0005-0000-0000-00007E6F0000}"/>
    <cellStyle name="Comma 3 3 3 3 3 3 10" xfId="22682" xr:uid="{00000000-0005-0000-0000-00007F6F0000}"/>
    <cellStyle name="Comma 3 3 3 3 3 3 2" xfId="4299" xr:uid="{00000000-0005-0000-0000-0000806F0000}"/>
    <cellStyle name="Comma 3 3 3 3 3 3 2 2" xfId="20234" xr:uid="{00000000-0005-0000-0000-0000816F0000}"/>
    <cellStyle name="Comma 3 3 3 3 3 3 2 2 2" xfId="43512" xr:uid="{00000000-0005-0000-0000-0000826F0000}"/>
    <cellStyle name="Comma 3 3 3 3 3 3 2 3" xfId="48408" xr:uid="{00000000-0005-0000-0000-0000836F0000}"/>
    <cellStyle name="Comma 3 3 3 3 3 3 2 4" xfId="27578" xr:uid="{00000000-0005-0000-0000-0000846F0000}"/>
    <cellStyle name="Comma 3 3 3 3 3 3 3" xfId="6747" xr:uid="{00000000-0005-0000-0000-0000856F0000}"/>
    <cellStyle name="Comma 3 3 3 3 3 3 3 2" xfId="30026" xr:uid="{00000000-0005-0000-0000-0000866F0000}"/>
    <cellStyle name="Comma 3 3 3 3 3 3 4" xfId="9195" xr:uid="{00000000-0005-0000-0000-0000876F0000}"/>
    <cellStyle name="Comma 3 3 3 3 3 3 4 2" xfId="32474" xr:uid="{00000000-0005-0000-0000-0000886F0000}"/>
    <cellStyle name="Comma 3 3 3 3 3 3 5" xfId="11643" xr:uid="{00000000-0005-0000-0000-0000896F0000}"/>
    <cellStyle name="Comma 3 3 3 3 3 3 5 2" xfId="34922" xr:uid="{00000000-0005-0000-0000-00008A6F0000}"/>
    <cellStyle name="Comma 3 3 3 3 3 3 6" xfId="14091" xr:uid="{00000000-0005-0000-0000-00008B6F0000}"/>
    <cellStyle name="Comma 3 3 3 3 3 3 6 2" xfId="37370" xr:uid="{00000000-0005-0000-0000-00008C6F0000}"/>
    <cellStyle name="Comma 3 3 3 3 3 3 7" xfId="17786" xr:uid="{00000000-0005-0000-0000-00008D6F0000}"/>
    <cellStyle name="Comma 3 3 3 3 3 3 7 2" xfId="41064" xr:uid="{00000000-0005-0000-0000-00008E6F0000}"/>
    <cellStyle name="Comma 3 3 3 3 3 3 8" xfId="25130" xr:uid="{00000000-0005-0000-0000-00008F6F0000}"/>
    <cellStyle name="Comma 3 3 3 3 3 3 9" xfId="45960" xr:uid="{00000000-0005-0000-0000-0000906F0000}"/>
    <cellStyle name="Comma 3 3 3 3 3 4" xfId="3075" xr:uid="{00000000-0005-0000-0000-0000916F0000}"/>
    <cellStyle name="Comma 3 3 3 3 3 4 2" xfId="16562" xr:uid="{00000000-0005-0000-0000-0000926F0000}"/>
    <cellStyle name="Comma 3 3 3 3 3 4 2 2" xfId="39840" xr:uid="{00000000-0005-0000-0000-0000936F0000}"/>
    <cellStyle name="Comma 3 3 3 3 3 4 3" xfId="47184" xr:uid="{00000000-0005-0000-0000-0000946F0000}"/>
    <cellStyle name="Comma 3 3 3 3 3 4 4" xfId="26354" xr:uid="{00000000-0005-0000-0000-0000956F0000}"/>
    <cellStyle name="Comma 3 3 3 3 3 5" xfId="5523" xr:uid="{00000000-0005-0000-0000-0000966F0000}"/>
    <cellStyle name="Comma 3 3 3 3 3 5 2" xfId="19010" xr:uid="{00000000-0005-0000-0000-0000976F0000}"/>
    <cellStyle name="Comma 3 3 3 3 3 5 2 2" xfId="42288" xr:uid="{00000000-0005-0000-0000-0000986F0000}"/>
    <cellStyle name="Comma 3 3 3 3 3 5 3" xfId="28802" xr:uid="{00000000-0005-0000-0000-0000996F0000}"/>
    <cellStyle name="Comma 3 3 3 3 3 6" xfId="7971" xr:uid="{00000000-0005-0000-0000-00009A6F0000}"/>
    <cellStyle name="Comma 3 3 3 3 3 6 2" xfId="31250" xr:uid="{00000000-0005-0000-0000-00009B6F0000}"/>
    <cellStyle name="Comma 3 3 3 3 3 7" xfId="10419" xr:uid="{00000000-0005-0000-0000-00009C6F0000}"/>
    <cellStyle name="Comma 3 3 3 3 3 7 2" xfId="33698" xr:uid="{00000000-0005-0000-0000-00009D6F0000}"/>
    <cellStyle name="Comma 3 3 3 3 3 8" xfId="12867" xr:uid="{00000000-0005-0000-0000-00009E6F0000}"/>
    <cellStyle name="Comma 3 3 3 3 3 8 2" xfId="36146" xr:uid="{00000000-0005-0000-0000-00009F6F0000}"/>
    <cellStyle name="Comma 3 3 3 3 3 9" xfId="15338" xr:uid="{00000000-0005-0000-0000-0000A06F0000}"/>
    <cellStyle name="Comma 3 3 3 3 3 9 2" xfId="38616" xr:uid="{00000000-0005-0000-0000-0000A16F0000}"/>
    <cellStyle name="Comma 3 3 3 3 4" xfId="831" xr:uid="{00000000-0005-0000-0000-0000A26F0000}"/>
    <cellStyle name="Comma 3 3 3 3 4 10" xfId="44940" xr:uid="{00000000-0005-0000-0000-0000A36F0000}"/>
    <cellStyle name="Comma 3 3 3 3 4 11" xfId="21662" xr:uid="{00000000-0005-0000-0000-0000A46F0000}"/>
    <cellStyle name="Comma 3 3 3 3 4 2" xfId="2055" xr:uid="{00000000-0005-0000-0000-0000A56F0000}"/>
    <cellStyle name="Comma 3 3 3 3 4 2 10" xfId="22886" xr:uid="{00000000-0005-0000-0000-0000A66F0000}"/>
    <cellStyle name="Comma 3 3 3 3 4 2 2" xfId="4503" xr:uid="{00000000-0005-0000-0000-0000A76F0000}"/>
    <cellStyle name="Comma 3 3 3 3 4 2 2 2" xfId="20438" xr:uid="{00000000-0005-0000-0000-0000A86F0000}"/>
    <cellStyle name="Comma 3 3 3 3 4 2 2 2 2" xfId="43716" xr:uid="{00000000-0005-0000-0000-0000A96F0000}"/>
    <cellStyle name="Comma 3 3 3 3 4 2 2 3" xfId="48612" xr:uid="{00000000-0005-0000-0000-0000AA6F0000}"/>
    <cellStyle name="Comma 3 3 3 3 4 2 2 4" xfId="27782" xr:uid="{00000000-0005-0000-0000-0000AB6F0000}"/>
    <cellStyle name="Comma 3 3 3 3 4 2 3" xfId="6951" xr:uid="{00000000-0005-0000-0000-0000AC6F0000}"/>
    <cellStyle name="Comma 3 3 3 3 4 2 3 2" xfId="30230" xr:uid="{00000000-0005-0000-0000-0000AD6F0000}"/>
    <cellStyle name="Comma 3 3 3 3 4 2 4" xfId="9399" xr:uid="{00000000-0005-0000-0000-0000AE6F0000}"/>
    <cellStyle name="Comma 3 3 3 3 4 2 4 2" xfId="32678" xr:uid="{00000000-0005-0000-0000-0000AF6F0000}"/>
    <cellStyle name="Comma 3 3 3 3 4 2 5" xfId="11847" xr:uid="{00000000-0005-0000-0000-0000B06F0000}"/>
    <cellStyle name="Comma 3 3 3 3 4 2 5 2" xfId="35126" xr:uid="{00000000-0005-0000-0000-0000B16F0000}"/>
    <cellStyle name="Comma 3 3 3 3 4 2 6" xfId="14295" xr:uid="{00000000-0005-0000-0000-0000B26F0000}"/>
    <cellStyle name="Comma 3 3 3 3 4 2 6 2" xfId="37574" xr:uid="{00000000-0005-0000-0000-0000B36F0000}"/>
    <cellStyle name="Comma 3 3 3 3 4 2 7" xfId="17990" xr:uid="{00000000-0005-0000-0000-0000B46F0000}"/>
    <cellStyle name="Comma 3 3 3 3 4 2 7 2" xfId="41268" xr:uid="{00000000-0005-0000-0000-0000B56F0000}"/>
    <cellStyle name="Comma 3 3 3 3 4 2 8" xfId="25334" xr:uid="{00000000-0005-0000-0000-0000B66F0000}"/>
    <cellStyle name="Comma 3 3 3 3 4 2 9" xfId="46164" xr:uid="{00000000-0005-0000-0000-0000B76F0000}"/>
    <cellStyle name="Comma 3 3 3 3 4 3" xfId="3279" xr:uid="{00000000-0005-0000-0000-0000B86F0000}"/>
    <cellStyle name="Comma 3 3 3 3 4 3 2" xfId="16766" xr:uid="{00000000-0005-0000-0000-0000B96F0000}"/>
    <cellStyle name="Comma 3 3 3 3 4 3 2 2" xfId="40044" xr:uid="{00000000-0005-0000-0000-0000BA6F0000}"/>
    <cellStyle name="Comma 3 3 3 3 4 3 3" xfId="47388" xr:uid="{00000000-0005-0000-0000-0000BB6F0000}"/>
    <cellStyle name="Comma 3 3 3 3 4 3 4" xfId="26558" xr:uid="{00000000-0005-0000-0000-0000BC6F0000}"/>
    <cellStyle name="Comma 3 3 3 3 4 4" xfId="5727" xr:uid="{00000000-0005-0000-0000-0000BD6F0000}"/>
    <cellStyle name="Comma 3 3 3 3 4 4 2" xfId="19214" xr:uid="{00000000-0005-0000-0000-0000BE6F0000}"/>
    <cellStyle name="Comma 3 3 3 3 4 4 2 2" xfId="42492" xr:uid="{00000000-0005-0000-0000-0000BF6F0000}"/>
    <cellStyle name="Comma 3 3 3 3 4 4 3" xfId="29006" xr:uid="{00000000-0005-0000-0000-0000C06F0000}"/>
    <cellStyle name="Comma 3 3 3 3 4 5" xfId="8175" xr:uid="{00000000-0005-0000-0000-0000C16F0000}"/>
    <cellStyle name="Comma 3 3 3 3 4 5 2" xfId="31454" xr:uid="{00000000-0005-0000-0000-0000C26F0000}"/>
    <cellStyle name="Comma 3 3 3 3 4 6" xfId="10623" xr:uid="{00000000-0005-0000-0000-0000C36F0000}"/>
    <cellStyle name="Comma 3 3 3 3 4 6 2" xfId="33902" xr:uid="{00000000-0005-0000-0000-0000C46F0000}"/>
    <cellStyle name="Comma 3 3 3 3 4 7" xfId="13071" xr:uid="{00000000-0005-0000-0000-0000C56F0000}"/>
    <cellStyle name="Comma 3 3 3 3 4 7 2" xfId="36350" xr:uid="{00000000-0005-0000-0000-0000C66F0000}"/>
    <cellStyle name="Comma 3 3 3 3 4 8" xfId="15542" xr:uid="{00000000-0005-0000-0000-0000C76F0000}"/>
    <cellStyle name="Comma 3 3 3 3 4 8 2" xfId="38820" xr:uid="{00000000-0005-0000-0000-0000C86F0000}"/>
    <cellStyle name="Comma 3 3 3 3 4 9" xfId="24110" xr:uid="{00000000-0005-0000-0000-0000C96F0000}"/>
    <cellStyle name="Comma 3 3 3 3 5" xfId="1443" xr:uid="{00000000-0005-0000-0000-0000CA6F0000}"/>
    <cellStyle name="Comma 3 3 3 3 5 10" xfId="22274" xr:uid="{00000000-0005-0000-0000-0000CB6F0000}"/>
    <cellStyle name="Comma 3 3 3 3 5 2" xfId="3891" xr:uid="{00000000-0005-0000-0000-0000CC6F0000}"/>
    <cellStyle name="Comma 3 3 3 3 5 2 2" xfId="19826" xr:uid="{00000000-0005-0000-0000-0000CD6F0000}"/>
    <cellStyle name="Comma 3 3 3 3 5 2 2 2" xfId="43104" xr:uid="{00000000-0005-0000-0000-0000CE6F0000}"/>
    <cellStyle name="Comma 3 3 3 3 5 2 3" xfId="48000" xr:uid="{00000000-0005-0000-0000-0000CF6F0000}"/>
    <cellStyle name="Comma 3 3 3 3 5 2 4" xfId="27170" xr:uid="{00000000-0005-0000-0000-0000D06F0000}"/>
    <cellStyle name="Comma 3 3 3 3 5 3" xfId="6339" xr:uid="{00000000-0005-0000-0000-0000D16F0000}"/>
    <cellStyle name="Comma 3 3 3 3 5 3 2" xfId="29618" xr:uid="{00000000-0005-0000-0000-0000D26F0000}"/>
    <cellStyle name="Comma 3 3 3 3 5 4" xfId="8787" xr:uid="{00000000-0005-0000-0000-0000D36F0000}"/>
    <cellStyle name="Comma 3 3 3 3 5 4 2" xfId="32066" xr:uid="{00000000-0005-0000-0000-0000D46F0000}"/>
    <cellStyle name="Comma 3 3 3 3 5 5" xfId="11235" xr:uid="{00000000-0005-0000-0000-0000D56F0000}"/>
    <cellStyle name="Comma 3 3 3 3 5 5 2" xfId="34514" xr:uid="{00000000-0005-0000-0000-0000D66F0000}"/>
    <cellStyle name="Comma 3 3 3 3 5 6" xfId="13683" xr:uid="{00000000-0005-0000-0000-0000D76F0000}"/>
    <cellStyle name="Comma 3 3 3 3 5 6 2" xfId="36962" xr:uid="{00000000-0005-0000-0000-0000D86F0000}"/>
    <cellStyle name="Comma 3 3 3 3 5 7" xfId="17378" xr:uid="{00000000-0005-0000-0000-0000D96F0000}"/>
    <cellStyle name="Comma 3 3 3 3 5 7 2" xfId="40656" xr:uid="{00000000-0005-0000-0000-0000DA6F0000}"/>
    <cellStyle name="Comma 3 3 3 3 5 8" xfId="24722" xr:uid="{00000000-0005-0000-0000-0000DB6F0000}"/>
    <cellStyle name="Comma 3 3 3 3 5 9" xfId="45552" xr:uid="{00000000-0005-0000-0000-0000DC6F0000}"/>
    <cellStyle name="Comma 3 3 3 3 6" xfId="2667" xr:uid="{00000000-0005-0000-0000-0000DD6F0000}"/>
    <cellStyle name="Comma 3 3 3 3 6 2" xfId="16154" xr:uid="{00000000-0005-0000-0000-0000DE6F0000}"/>
    <cellStyle name="Comma 3 3 3 3 6 2 2" xfId="39432" xr:uid="{00000000-0005-0000-0000-0000DF6F0000}"/>
    <cellStyle name="Comma 3 3 3 3 6 3" xfId="46776" xr:uid="{00000000-0005-0000-0000-0000E06F0000}"/>
    <cellStyle name="Comma 3 3 3 3 6 4" xfId="25946" xr:uid="{00000000-0005-0000-0000-0000E16F0000}"/>
    <cellStyle name="Comma 3 3 3 3 7" xfId="5115" xr:uid="{00000000-0005-0000-0000-0000E26F0000}"/>
    <cellStyle name="Comma 3 3 3 3 7 2" xfId="18602" xr:uid="{00000000-0005-0000-0000-0000E36F0000}"/>
    <cellStyle name="Comma 3 3 3 3 7 2 2" xfId="41880" xr:uid="{00000000-0005-0000-0000-0000E46F0000}"/>
    <cellStyle name="Comma 3 3 3 3 7 3" xfId="28394" xr:uid="{00000000-0005-0000-0000-0000E56F0000}"/>
    <cellStyle name="Comma 3 3 3 3 8" xfId="7563" xr:uid="{00000000-0005-0000-0000-0000E66F0000}"/>
    <cellStyle name="Comma 3 3 3 3 8 2" xfId="30842" xr:uid="{00000000-0005-0000-0000-0000E76F0000}"/>
    <cellStyle name="Comma 3 3 3 3 9" xfId="10011" xr:uid="{00000000-0005-0000-0000-0000E86F0000}"/>
    <cellStyle name="Comma 3 3 3 3 9 2" xfId="33290" xr:uid="{00000000-0005-0000-0000-0000E96F0000}"/>
    <cellStyle name="Comma 3 3 3 4" xfId="287" xr:uid="{00000000-0005-0000-0000-0000EA6F0000}"/>
    <cellStyle name="Comma 3 3 3 4 10" xfId="23566" xr:uid="{00000000-0005-0000-0000-0000EB6F0000}"/>
    <cellStyle name="Comma 3 3 3 4 11" xfId="44396" xr:uid="{00000000-0005-0000-0000-0000EC6F0000}"/>
    <cellStyle name="Comma 3 3 3 4 12" xfId="21118" xr:uid="{00000000-0005-0000-0000-0000ED6F0000}"/>
    <cellStyle name="Comma 3 3 3 4 2" xfId="899" xr:uid="{00000000-0005-0000-0000-0000EE6F0000}"/>
    <cellStyle name="Comma 3 3 3 4 2 10" xfId="45008" xr:uid="{00000000-0005-0000-0000-0000EF6F0000}"/>
    <cellStyle name="Comma 3 3 3 4 2 11" xfId="21730" xr:uid="{00000000-0005-0000-0000-0000F06F0000}"/>
    <cellStyle name="Comma 3 3 3 4 2 2" xfId="2123" xr:uid="{00000000-0005-0000-0000-0000F16F0000}"/>
    <cellStyle name="Comma 3 3 3 4 2 2 10" xfId="22954" xr:uid="{00000000-0005-0000-0000-0000F26F0000}"/>
    <cellStyle name="Comma 3 3 3 4 2 2 2" xfId="4571" xr:uid="{00000000-0005-0000-0000-0000F36F0000}"/>
    <cellStyle name="Comma 3 3 3 4 2 2 2 2" xfId="20506" xr:uid="{00000000-0005-0000-0000-0000F46F0000}"/>
    <cellStyle name="Comma 3 3 3 4 2 2 2 2 2" xfId="43784" xr:uid="{00000000-0005-0000-0000-0000F56F0000}"/>
    <cellStyle name="Comma 3 3 3 4 2 2 2 3" xfId="48680" xr:uid="{00000000-0005-0000-0000-0000F66F0000}"/>
    <cellStyle name="Comma 3 3 3 4 2 2 2 4" xfId="27850" xr:uid="{00000000-0005-0000-0000-0000F76F0000}"/>
    <cellStyle name="Comma 3 3 3 4 2 2 3" xfId="7019" xr:uid="{00000000-0005-0000-0000-0000F86F0000}"/>
    <cellStyle name="Comma 3 3 3 4 2 2 3 2" xfId="30298" xr:uid="{00000000-0005-0000-0000-0000F96F0000}"/>
    <cellStyle name="Comma 3 3 3 4 2 2 4" xfId="9467" xr:uid="{00000000-0005-0000-0000-0000FA6F0000}"/>
    <cellStyle name="Comma 3 3 3 4 2 2 4 2" xfId="32746" xr:uid="{00000000-0005-0000-0000-0000FB6F0000}"/>
    <cellStyle name="Comma 3 3 3 4 2 2 5" xfId="11915" xr:uid="{00000000-0005-0000-0000-0000FC6F0000}"/>
    <cellStyle name="Comma 3 3 3 4 2 2 5 2" xfId="35194" xr:uid="{00000000-0005-0000-0000-0000FD6F0000}"/>
    <cellStyle name="Comma 3 3 3 4 2 2 6" xfId="14363" xr:uid="{00000000-0005-0000-0000-0000FE6F0000}"/>
    <cellStyle name="Comma 3 3 3 4 2 2 6 2" xfId="37642" xr:uid="{00000000-0005-0000-0000-0000FF6F0000}"/>
    <cellStyle name="Comma 3 3 3 4 2 2 7" xfId="18058" xr:uid="{00000000-0005-0000-0000-000000700000}"/>
    <cellStyle name="Comma 3 3 3 4 2 2 7 2" xfId="41336" xr:uid="{00000000-0005-0000-0000-000001700000}"/>
    <cellStyle name="Comma 3 3 3 4 2 2 8" xfId="25402" xr:uid="{00000000-0005-0000-0000-000002700000}"/>
    <cellStyle name="Comma 3 3 3 4 2 2 9" xfId="46232" xr:uid="{00000000-0005-0000-0000-000003700000}"/>
    <cellStyle name="Comma 3 3 3 4 2 3" xfId="3347" xr:uid="{00000000-0005-0000-0000-000004700000}"/>
    <cellStyle name="Comma 3 3 3 4 2 3 2" xfId="16834" xr:uid="{00000000-0005-0000-0000-000005700000}"/>
    <cellStyle name="Comma 3 3 3 4 2 3 2 2" xfId="40112" xr:uid="{00000000-0005-0000-0000-000006700000}"/>
    <cellStyle name="Comma 3 3 3 4 2 3 3" xfId="47456" xr:uid="{00000000-0005-0000-0000-000007700000}"/>
    <cellStyle name="Comma 3 3 3 4 2 3 4" xfId="26626" xr:uid="{00000000-0005-0000-0000-000008700000}"/>
    <cellStyle name="Comma 3 3 3 4 2 4" xfId="5795" xr:uid="{00000000-0005-0000-0000-000009700000}"/>
    <cellStyle name="Comma 3 3 3 4 2 4 2" xfId="19282" xr:uid="{00000000-0005-0000-0000-00000A700000}"/>
    <cellStyle name="Comma 3 3 3 4 2 4 2 2" xfId="42560" xr:uid="{00000000-0005-0000-0000-00000B700000}"/>
    <cellStyle name="Comma 3 3 3 4 2 4 3" xfId="29074" xr:uid="{00000000-0005-0000-0000-00000C700000}"/>
    <cellStyle name="Comma 3 3 3 4 2 5" xfId="8243" xr:uid="{00000000-0005-0000-0000-00000D700000}"/>
    <cellStyle name="Comma 3 3 3 4 2 5 2" xfId="31522" xr:uid="{00000000-0005-0000-0000-00000E700000}"/>
    <cellStyle name="Comma 3 3 3 4 2 6" xfId="10691" xr:uid="{00000000-0005-0000-0000-00000F700000}"/>
    <cellStyle name="Comma 3 3 3 4 2 6 2" xfId="33970" xr:uid="{00000000-0005-0000-0000-000010700000}"/>
    <cellStyle name="Comma 3 3 3 4 2 7" xfId="13139" xr:uid="{00000000-0005-0000-0000-000011700000}"/>
    <cellStyle name="Comma 3 3 3 4 2 7 2" xfId="36418" xr:uid="{00000000-0005-0000-0000-000012700000}"/>
    <cellStyle name="Comma 3 3 3 4 2 8" xfId="15610" xr:uid="{00000000-0005-0000-0000-000013700000}"/>
    <cellStyle name="Comma 3 3 3 4 2 8 2" xfId="38888" xr:uid="{00000000-0005-0000-0000-000014700000}"/>
    <cellStyle name="Comma 3 3 3 4 2 9" xfId="24178" xr:uid="{00000000-0005-0000-0000-000015700000}"/>
    <cellStyle name="Comma 3 3 3 4 3" xfId="1511" xr:uid="{00000000-0005-0000-0000-000016700000}"/>
    <cellStyle name="Comma 3 3 3 4 3 10" xfId="22342" xr:uid="{00000000-0005-0000-0000-000017700000}"/>
    <cellStyle name="Comma 3 3 3 4 3 2" xfId="3959" xr:uid="{00000000-0005-0000-0000-000018700000}"/>
    <cellStyle name="Comma 3 3 3 4 3 2 2" xfId="19894" xr:uid="{00000000-0005-0000-0000-000019700000}"/>
    <cellStyle name="Comma 3 3 3 4 3 2 2 2" xfId="43172" xr:uid="{00000000-0005-0000-0000-00001A700000}"/>
    <cellStyle name="Comma 3 3 3 4 3 2 3" xfId="48068" xr:uid="{00000000-0005-0000-0000-00001B700000}"/>
    <cellStyle name="Comma 3 3 3 4 3 2 4" xfId="27238" xr:uid="{00000000-0005-0000-0000-00001C700000}"/>
    <cellStyle name="Comma 3 3 3 4 3 3" xfId="6407" xr:uid="{00000000-0005-0000-0000-00001D700000}"/>
    <cellStyle name="Comma 3 3 3 4 3 3 2" xfId="29686" xr:uid="{00000000-0005-0000-0000-00001E700000}"/>
    <cellStyle name="Comma 3 3 3 4 3 4" xfId="8855" xr:uid="{00000000-0005-0000-0000-00001F700000}"/>
    <cellStyle name="Comma 3 3 3 4 3 4 2" xfId="32134" xr:uid="{00000000-0005-0000-0000-000020700000}"/>
    <cellStyle name="Comma 3 3 3 4 3 5" xfId="11303" xr:uid="{00000000-0005-0000-0000-000021700000}"/>
    <cellStyle name="Comma 3 3 3 4 3 5 2" xfId="34582" xr:uid="{00000000-0005-0000-0000-000022700000}"/>
    <cellStyle name="Comma 3 3 3 4 3 6" xfId="13751" xr:uid="{00000000-0005-0000-0000-000023700000}"/>
    <cellStyle name="Comma 3 3 3 4 3 6 2" xfId="37030" xr:uid="{00000000-0005-0000-0000-000024700000}"/>
    <cellStyle name="Comma 3 3 3 4 3 7" xfId="17446" xr:uid="{00000000-0005-0000-0000-000025700000}"/>
    <cellStyle name="Comma 3 3 3 4 3 7 2" xfId="40724" xr:uid="{00000000-0005-0000-0000-000026700000}"/>
    <cellStyle name="Comma 3 3 3 4 3 8" xfId="24790" xr:uid="{00000000-0005-0000-0000-000027700000}"/>
    <cellStyle name="Comma 3 3 3 4 3 9" xfId="45620" xr:uid="{00000000-0005-0000-0000-000028700000}"/>
    <cellStyle name="Comma 3 3 3 4 4" xfId="2735" xr:uid="{00000000-0005-0000-0000-000029700000}"/>
    <cellStyle name="Comma 3 3 3 4 4 2" xfId="16222" xr:uid="{00000000-0005-0000-0000-00002A700000}"/>
    <cellStyle name="Comma 3 3 3 4 4 2 2" xfId="39500" xr:uid="{00000000-0005-0000-0000-00002B700000}"/>
    <cellStyle name="Comma 3 3 3 4 4 3" xfId="46844" xr:uid="{00000000-0005-0000-0000-00002C700000}"/>
    <cellStyle name="Comma 3 3 3 4 4 4" xfId="26014" xr:uid="{00000000-0005-0000-0000-00002D700000}"/>
    <cellStyle name="Comma 3 3 3 4 5" xfId="5183" xr:uid="{00000000-0005-0000-0000-00002E700000}"/>
    <cellStyle name="Comma 3 3 3 4 5 2" xfId="18670" xr:uid="{00000000-0005-0000-0000-00002F700000}"/>
    <cellStyle name="Comma 3 3 3 4 5 2 2" xfId="41948" xr:uid="{00000000-0005-0000-0000-000030700000}"/>
    <cellStyle name="Comma 3 3 3 4 5 3" xfId="28462" xr:uid="{00000000-0005-0000-0000-000031700000}"/>
    <cellStyle name="Comma 3 3 3 4 6" xfId="7631" xr:uid="{00000000-0005-0000-0000-000032700000}"/>
    <cellStyle name="Comma 3 3 3 4 6 2" xfId="30910" xr:uid="{00000000-0005-0000-0000-000033700000}"/>
    <cellStyle name="Comma 3 3 3 4 7" xfId="10079" xr:uid="{00000000-0005-0000-0000-000034700000}"/>
    <cellStyle name="Comma 3 3 3 4 7 2" xfId="33358" xr:uid="{00000000-0005-0000-0000-000035700000}"/>
    <cellStyle name="Comma 3 3 3 4 8" xfId="12527" xr:uid="{00000000-0005-0000-0000-000036700000}"/>
    <cellStyle name="Comma 3 3 3 4 8 2" xfId="35806" xr:uid="{00000000-0005-0000-0000-000037700000}"/>
    <cellStyle name="Comma 3 3 3 4 9" xfId="14998" xr:uid="{00000000-0005-0000-0000-000038700000}"/>
    <cellStyle name="Comma 3 3 3 4 9 2" xfId="38276" xr:uid="{00000000-0005-0000-0000-000039700000}"/>
    <cellStyle name="Comma 3 3 3 5" xfId="491" xr:uid="{00000000-0005-0000-0000-00003A700000}"/>
    <cellStyle name="Comma 3 3 3 5 10" xfId="23770" xr:uid="{00000000-0005-0000-0000-00003B700000}"/>
    <cellStyle name="Comma 3 3 3 5 11" xfId="44600" xr:uid="{00000000-0005-0000-0000-00003C700000}"/>
    <cellStyle name="Comma 3 3 3 5 12" xfId="21322" xr:uid="{00000000-0005-0000-0000-00003D700000}"/>
    <cellStyle name="Comma 3 3 3 5 2" xfId="1103" xr:uid="{00000000-0005-0000-0000-00003E700000}"/>
    <cellStyle name="Comma 3 3 3 5 2 10" xfId="45212" xr:uid="{00000000-0005-0000-0000-00003F700000}"/>
    <cellStyle name="Comma 3 3 3 5 2 11" xfId="21934" xr:uid="{00000000-0005-0000-0000-000040700000}"/>
    <cellStyle name="Comma 3 3 3 5 2 2" xfId="2327" xr:uid="{00000000-0005-0000-0000-000041700000}"/>
    <cellStyle name="Comma 3 3 3 5 2 2 10" xfId="23158" xr:uid="{00000000-0005-0000-0000-000042700000}"/>
    <cellStyle name="Comma 3 3 3 5 2 2 2" xfId="4775" xr:uid="{00000000-0005-0000-0000-000043700000}"/>
    <cellStyle name="Comma 3 3 3 5 2 2 2 2" xfId="20710" xr:uid="{00000000-0005-0000-0000-000044700000}"/>
    <cellStyle name="Comma 3 3 3 5 2 2 2 2 2" xfId="43988" xr:uid="{00000000-0005-0000-0000-000045700000}"/>
    <cellStyle name="Comma 3 3 3 5 2 2 2 3" xfId="48884" xr:uid="{00000000-0005-0000-0000-000046700000}"/>
    <cellStyle name="Comma 3 3 3 5 2 2 2 4" xfId="28054" xr:uid="{00000000-0005-0000-0000-000047700000}"/>
    <cellStyle name="Comma 3 3 3 5 2 2 3" xfId="7223" xr:uid="{00000000-0005-0000-0000-000048700000}"/>
    <cellStyle name="Comma 3 3 3 5 2 2 3 2" xfId="30502" xr:uid="{00000000-0005-0000-0000-000049700000}"/>
    <cellStyle name="Comma 3 3 3 5 2 2 4" xfId="9671" xr:uid="{00000000-0005-0000-0000-00004A700000}"/>
    <cellStyle name="Comma 3 3 3 5 2 2 4 2" xfId="32950" xr:uid="{00000000-0005-0000-0000-00004B700000}"/>
    <cellStyle name="Comma 3 3 3 5 2 2 5" xfId="12119" xr:uid="{00000000-0005-0000-0000-00004C700000}"/>
    <cellStyle name="Comma 3 3 3 5 2 2 5 2" xfId="35398" xr:uid="{00000000-0005-0000-0000-00004D700000}"/>
    <cellStyle name="Comma 3 3 3 5 2 2 6" xfId="14567" xr:uid="{00000000-0005-0000-0000-00004E700000}"/>
    <cellStyle name="Comma 3 3 3 5 2 2 6 2" xfId="37846" xr:uid="{00000000-0005-0000-0000-00004F700000}"/>
    <cellStyle name="Comma 3 3 3 5 2 2 7" xfId="18262" xr:uid="{00000000-0005-0000-0000-000050700000}"/>
    <cellStyle name="Comma 3 3 3 5 2 2 7 2" xfId="41540" xr:uid="{00000000-0005-0000-0000-000051700000}"/>
    <cellStyle name="Comma 3 3 3 5 2 2 8" xfId="25606" xr:uid="{00000000-0005-0000-0000-000052700000}"/>
    <cellStyle name="Comma 3 3 3 5 2 2 9" xfId="46436" xr:uid="{00000000-0005-0000-0000-000053700000}"/>
    <cellStyle name="Comma 3 3 3 5 2 3" xfId="3551" xr:uid="{00000000-0005-0000-0000-000054700000}"/>
    <cellStyle name="Comma 3 3 3 5 2 3 2" xfId="17038" xr:uid="{00000000-0005-0000-0000-000055700000}"/>
    <cellStyle name="Comma 3 3 3 5 2 3 2 2" xfId="40316" xr:uid="{00000000-0005-0000-0000-000056700000}"/>
    <cellStyle name="Comma 3 3 3 5 2 3 3" xfId="47660" xr:uid="{00000000-0005-0000-0000-000057700000}"/>
    <cellStyle name="Comma 3 3 3 5 2 3 4" xfId="26830" xr:uid="{00000000-0005-0000-0000-000058700000}"/>
    <cellStyle name="Comma 3 3 3 5 2 4" xfId="5999" xr:uid="{00000000-0005-0000-0000-000059700000}"/>
    <cellStyle name="Comma 3 3 3 5 2 4 2" xfId="19486" xr:uid="{00000000-0005-0000-0000-00005A700000}"/>
    <cellStyle name="Comma 3 3 3 5 2 4 2 2" xfId="42764" xr:uid="{00000000-0005-0000-0000-00005B700000}"/>
    <cellStyle name="Comma 3 3 3 5 2 4 3" xfId="29278" xr:uid="{00000000-0005-0000-0000-00005C700000}"/>
    <cellStyle name="Comma 3 3 3 5 2 5" xfId="8447" xr:uid="{00000000-0005-0000-0000-00005D700000}"/>
    <cellStyle name="Comma 3 3 3 5 2 5 2" xfId="31726" xr:uid="{00000000-0005-0000-0000-00005E700000}"/>
    <cellStyle name="Comma 3 3 3 5 2 6" xfId="10895" xr:uid="{00000000-0005-0000-0000-00005F700000}"/>
    <cellStyle name="Comma 3 3 3 5 2 6 2" xfId="34174" xr:uid="{00000000-0005-0000-0000-000060700000}"/>
    <cellStyle name="Comma 3 3 3 5 2 7" xfId="13343" xr:uid="{00000000-0005-0000-0000-000061700000}"/>
    <cellStyle name="Comma 3 3 3 5 2 7 2" xfId="36622" xr:uid="{00000000-0005-0000-0000-000062700000}"/>
    <cellStyle name="Comma 3 3 3 5 2 8" xfId="15814" xr:uid="{00000000-0005-0000-0000-000063700000}"/>
    <cellStyle name="Comma 3 3 3 5 2 8 2" xfId="39092" xr:uid="{00000000-0005-0000-0000-000064700000}"/>
    <cellStyle name="Comma 3 3 3 5 2 9" xfId="24382" xr:uid="{00000000-0005-0000-0000-000065700000}"/>
    <cellStyle name="Comma 3 3 3 5 3" xfId="1715" xr:uid="{00000000-0005-0000-0000-000066700000}"/>
    <cellStyle name="Comma 3 3 3 5 3 10" xfId="22546" xr:uid="{00000000-0005-0000-0000-000067700000}"/>
    <cellStyle name="Comma 3 3 3 5 3 2" xfId="4163" xr:uid="{00000000-0005-0000-0000-000068700000}"/>
    <cellStyle name="Comma 3 3 3 5 3 2 2" xfId="20098" xr:uid="{00000000-0005-0000-0000-000069700000}"/>
    <cellStyle name="Comma 3 3 3 5 3 2 2 2" xfId="43376" xr:uid="{00000000-0005-0000-0000-00006A700000}"/>
    <cellStyle name="Comma 3 3 3 5 3 2 3" xfId="48272" xr:uid="{00000000-0005-0000-0000-00006B700000}"/>
    <cellStyle name="Comma 3 3 3 5 3 2 4" xfId="27442" xr:uid="{00000000-0005-0000-0000-00006C700000}"/>
    <cellStyle name="Comma 3 3 3 5 3 3" xfId="6611" xr:uid="{00000000-0005-0000-0000-00006D700000}"/>
    <cellStyle name="Comma 3 3 3 5 3 3 2" xfId="29890" xr:uid="{00000000-0005-0000-0000-00006E700000}"/>
    <cellStyle name="Comma 3 3 3 5 3 4" xfId="9059" xr:uid="{00000000-0005-0000-0000-00006F700000}"/>
    <cellStyle name="Comma 3 3 3 5 3 4 2" xfId="32338" xr:uid="{00000000-0005-0000-0000-000070700000}"/>
    <cellStyle name="Comma 3 3 3 5 3 5" xfId="11507" xr:uid="{00000000-0005-0000-0000-000071700000}"/>
    <cellStyle name="Comma 3 3 3 5 3 5 2" xfId="34786" xr:uid="{00000000-0005-0000-0000-000072700000}"/>
    <cellStyle name="Comma 3 3 3 5 3 6" xfId="13955" xr:uid="{00000000-0005-0000-0000-000073700000}"/>
    <cellStyle name="Comma 3 3 3 5 3 6 2" xfId="37234" xr:uid="{00000000-0005-0000-0000-000074700000}"/>
    <cellStyle name="Comma 3 3 3 5 3 7" xfId="17650" xr:uid="{00000000-0005-0000-0000-000075700000}"/>
    <cellStyle name="Comma 3 3 3 5 3 7 2" xfId="40928" xr:uid="{00000000-0005-0000-0000-000076700000}"/>
    <cellStyle name="Comma 3 3 3 5 3 8" xfId="24994" xr:uid="{00000000-0005-0000-0000-000077700000}"/>
    <cellStyle name="Comma 3 3 3 5 3 9" xfId="45824" xr:uid="{00000000-0005-0000-0000-000078700000}"/>
    <cellStyle name="Comma 3 3 3 5 4" xfId="2939" xr:uid="{00000000-0005-0000-0000-000079700000}"/>
    <cellStyle name="Comma 3 3 3 5 4 2" xfId="16426" xr:uid="{00000000-0005-0000-0000-00007A700000}"/>
    <cellStyle name="Comma 3 3 3 5 4 2 2" xfId="39704" xr:uid="{00000000-0005-0000-0000-00007B700000}"/>
    <cellStyle name="Comma 3 3 3 5 4 3" xfId="47048" xr:uid="{00000000-0005-0000-0000-00007C700000}"/>
    <cellStyle name="Comma 3 3 3 5 4 4" xfId="26218" xr:uid="{00000000-0005-0000-0000-00007D700000}"/>
    <cellStyle name="Comma 3 3 3 5 5" xfId="5387" xr:uid="{00000000-0005-0000-0000-00007E700000}"/>
    <cellStyle name="Comma 3 3 3 5 5 2" xfId="18874" xr:uid="{00000000-0005-0000-0000-00007F700000}"/>
    <cellStyle name="Comma 3 3 3 5 5 2 2" xfId="42152" xr:uid="{00000000-0005-0000-0000-000080700000}"/>
    <cellStyle name="Comma 3 3 3 5 5 3" xfId="28666" xr:uid="{00000000-0005-0000-0000-000081700000}"/>
    <cellStyle name="Comma 3 3 3 5 6" xfId="7835" xr:uid="{00000000-0005-0000-0000-000082700000}"/>
    <cellStyle name="Comma 3 3 3 5 6 2" xfId="31114" xr:uid="{00000000-0005-0000-0000-000083700000}"/>
    <cellStyle name="Comma 3 3 3 5 7" xfId="10283" xr:uid="{00000000-0005-0000-0000-000084700000}"/>
    <cellStyle name="Comma 3 3 3 5 7 2" xfId="33562" xr:uid="{00000000-0005-0000-0000-000085700000}"/>
    <cellStyle name="Comma 3 3 3 5 8" xfId="12731" xr:uid="{00000000-0005-0000-0000-000086700000}"/>
    <cellStyle name="Comma 3 3 3 5 8 2" xfId="36010" xr:uid="{00000000-0005-0000-0000-000087700000}"/>
    <cellStyle name="Comma 3 3 3 5 9" xfId="15202" xr:uid="{00000000-0005-0000-0000-000088700000}"/>
    <cellStyle name="Comma 3 3 3 5 9 2" xfId="38480" xr:uid="{00000000-0005-0000-0000-000089700000}"/>
    <cellStyle name="Comma 3 3 3 6" xfId="695" xr:uid="{00000000-0005-0000-0000-00008A700000}"/>
    <cellStyle name="Comma 3 3 3 6 10" xfId="44804" xr:uid="{00000000-0005-0000-0000-00008B700000}"/>
    <cellStyle name="Comma 3 3 3 6 11" xfId="21526" xr:uid="{00000000-0005-0000-0000-00008C700000}"/>
    <cellStyle name="Comma 3 3 3 6 2" xfId="1919" xr:uid="{00000000-0005-0000-0000-00008D700000}"/>
    <cellStyle name="Comma 3 3 3 6 2 10" xfId="22750" xr:uid="{00000000-0005-0000-0000-00008E700000}"/>
    <cellStyle name="Comma 3 3 3 6 2 2" xfId="4367" xr:uid="{00000000-0005-0000-0000-00008F700000}"/>
    <cellStyle name="Comma 3 3 3 6 2 2 2" xfId="20302" xr:uid="{00000000-0005-0000-0000-000090700000}"/>
    <cellStyle name="Comma 3 3 3 6 2 2 2 2" xfId="43580" xr:uid="{00000000-0005-0000-0000-000091700000}"/>
    <cellStyle name="Comma 3 3 3 6 2 2 3" xfId="48476" xr:uid="{00000000-0005-0000-0000-000092700000}"/>
    <cellStyle name="Comma 3 3 3 6 2 2 4" xfId="27646" xr:uid="{00000000-0005-0000-0000-000093700000}"/>
    <cellStyle name="Comma 3 3 3 6 2 3" xfId="6815" xr:uid="{00000000-0005-0000-0000-000094700000}"/>
    <cellStyle name="Comma 3 3 3 6 2 3 2" xfId="30094" xr:uid="{00000000-0005-0000-0000-000095700000}"/>
    <cellStyle name="Comma 3 3 3 6 2 4" xfId="9263" xr:uid="{00000000-0005-0000-0000-000096700000}"/>
    <cellStyle name="Comma 3 3 3 6 2 4 2" xfId="32542" xr:uid="{00000000-0005-0000-0000-000097700000}"/>
    <cellStyle name="Comma 3 3 3 6 2 5" xfId="11711" xr:uid="{00000000-0005-0000-0000-000098700000}"/>
    <cellStyle name="Comma 3 3 3 6 2 5 2" xfId="34990" xr:uid="{00000000-0005-0000-0000-000099700000}"/>
    <cellStyle name="Comma 3 3 3 6 2 6" xfId="14159" xr:uid="{00000000-0005-0000-0000-00009A700000}"/>
    <cellStyle name="Comma 3 3 3 6 2 6 2" xfId="37438" xr:uid="{00000000-0005-0000-0000-00009B700000}"/>
    <cellStyle name="Comma 3 3 3 6 2 7" xfId="17854" xr:uid="{00000000-0005-0000-0000-00009C700000}"/>
    <cellStyle name="Comma 3 3 3 6 2 7 2" xfId="41132" xr:uid="{00000000-0005-0000-0000-00009D700000}"/>
    <cellStyle name="Comma 3 3 3 6 2 8" xfId="25198" xr:uid="{00000000-0005-0000-0000-00009E700000}"/>
    <cellStyle name="Comma 3 3 3 6 2 9" xfId="46028" xr:uid="{00000000-0005-0000-0000-00009F700000}"/>
    <cellStyle name="Comma 3 3 3 6 3" xfId="3143" xr:uid="{00000000-0005-0000-0000-0000A0700000}"/>
    <cellStyle name="Comma 3 3 3 6 3 2" xfId="16630" xr:uid="{00000000-0005-0000-0000-0000A1700000}"/>
    <cellStyle name="Comma 3 3 3 6 3 2 2" xfId="39908" xr:uid="{00000000-0005-0000-0000-0000A2700000}"/>
    <cellStyle name="Comma 3 3 3 6 3 3" xfId="47252" xr:uid="{00000000-0005-0000-0000-0000A3700000}"/>
    <cellStyle name="Comma 3 3 3 6 3 4" xfId="26422" xr:uid="{00000000-0005-0000-0000-0000A4700000}"/>
    <cellStyle name="Comma 3 3 3 6 4" xfId="5591" xr:uid="{00000000-0005-0000-0000-0000A5700000}"/>
    <cellStyle name="Comma 3 3 3 6 4 2" xfId="19078" xr:uid="{00000000-0005-0000-0000-0000A6700000}"/>
    <cellStyle name="Comma 3 3 3 6 4 2 2" xfId="42356" xr:uid="{00000000-0005-0000-0000-0000A7700000}"/>
    <cellStyle name="Comma 3 3 3 6 4 3" xfId="28870" xr:uid="{00000000-0005-0000-0000-0000A8700000}"/>
    <cellStyle name="Comma 3 3 3 6 5" xfId="8039" xr:uid="{00000000-0005-0000-0000-0000A9700000}"/>
    <cellStyle name="Comma 3 3 3 6 5 2" xfId="31318" xr:uid="{00000000-0005-0000-0000-0000AA700000}"/>
    <cellStyle name="Comma 3 3 3 6 6" xfId="10487" xr:uid="{00000000-0005-0000-0000-0000AB700000}"/>
    <cellStyle name="Comma 3 3 3 6 6 2" xfId="33766" xr:uid="{00000000-0005-0000-0000-0000AC700000}"/>
    <cellStyle name="Comma 3 3 3 6 7" xfId="12935" xr:uid="{00000000-0005-0000-0000-0000AD700000}"/>
    <cellStyle name="Comma 3 3 3 6 7 2" xfId="36214" xr:uid="{00000000-0005-0000-0000-0000AE700000}"/>
    <cellStyle name="Comma 3 3 3 6 8" xfId="15406" xr:uid="{00000000-0005-0000-0000-0000AF700000}"/>
    <cellStyle name="Comma 3 3 3 6 8 2" xfId="38684" xr:uid="{00000000-0005-0000-0000-0000B0700000}"/>
    <cellStyle name="Comma 3 3 3 6 9" xfId="23974" xr:uid="{00000000-0005-0000-0000-0000B1700000}"/>
    <cellStyle name="Comma 3 3 3 7" xfId="1307" xr:uid="{00000000-0005-0000-0000-0000B2700000}"/>
    <cellStyle name="Comma 3 3 3 7 10" xfId="22138" xr:uid="{00000000-0005-0000-0000-0000B3700000}"/>
    <cellStyle name="Comma 3 3 3 7 2" xfId="3755" xr:uid="{00000000-0005-0000-0000-0000B4700000}"/>
    <cellStyle name="Comma 3 3 3 7 2 2" xfId="19690" xr:uid="{00000000-0005-0000-0000-0000B5700000}"/>
    <cellStyle name="Comma 3 3 3 7 2 2 2" xfId="42968" xr:uid="{00000000-0005-0000-0000-0000B6700000}"/>
    <cellStyle name="Comma 3 3 3 7 2 3" xfId="47864" xr:uid="{00000000-0005-0000-0000-0000B7700000}"/>
    <cellStyle name="Comma 3 3 3 7 2 4" xfId="27034" xr:uid="{00000000-0005-0000-0000-0000B8700000}"/>
    <cellStyle name="Comma 3 3 3 7 3" xfId="6203" xr:uid="{00000000-0005-0000-0000-0000B9700000}"/>
    <cellStyle name="Comma 3 3 3 7 3 2" xfId="29482" xr:uid="{00000000-0005-0000-0000-0000BA700000}"/>
    <cellStyle name="Comma 3 3 3 7 4" xfId="8651" xr:uid="{00000000-0005-0000-0000-0000BB700000}"/>
    <cellStyle name="Comma 3 3 3 7 4 2" xfId="31930" xr:uid="{00000000-0005-0000-0000-0000BC700000}"/>
    <cellStyle name="Comma 3 3 3 7 5" xfId="11099" xr:uid="{00000000-0005-0000-0000-0000BD700000}"/>
    <cellStyle name="Comma 3 3 3 7 5 2" xfId="34378" xr:uid="{00000000-0005-0000-0000-0000BE700000}"/>
    <cellStyle name="Comma 3 3 3 7 6" xfId="13547" xr:uid="{00000000-0005-0000-0000-0000BF700000}"/>
    <cellStyle name="Comma 3 3 3 7 6 2" xfId="36826" xr:uid="{00000000-0005-0000-0000-0000C0700000}"/>
    <cellStyle name="Comma 3 3 3 7 7" xfId="17242" xr:uid="{00000000-0005-0000-0000-0000C1700000}"/>
    <cellStyle name="Comma 3 3 3 7 7 2" xfId="40520" xr:uid="{00000000-0005-0000-0000-0000C2700000}"/>
    <cellStyle name="Comma 3 3 3 7 8" xfId="24586" xr:uid="{00000000-0005-0000-0000-0000C3700000}"/>
    <cellStyle name="Comma 3 3 3 7 9" xfId="45416" xr:uid="{00000000-0005-0000-0000-0000C4700000}"/>
    <cellStyle name="Comma 3 3 3 8" xfId="2531" xr:uid="{00000000-0005-0000-0000-0000C5700000}"/>
    <cellStyle name="Comma 3 3 3 8 2" xfId="16018" xr:uid="{00000000-0005-0000-0000-0000C6700000}"/>
    <cellStyle name="Comma 3 3 3 8 2 2" xfId="39296" xr:uid="{00000000-0005-0000-0000-0000C7700000}"/>
    <cellStyle name="Comma 3 3 3 8 3" xfId="46640" xr:uid="{00000000-0005-0000-0000-0000C8700000}"/>
    <cellStyle name="Comma 3 3 3 8 4" xfId="25810" xr:uid="{00000000-0005-0000-0000-0000C9700000}"/>
    <cellStyle name="Comma 3 3 3 9" xfId="4979" xr:uid="{00000000-0005-0000-0000-0000CA700000}"/>
    <cellStyle name="Comma 3 3 3 9 2" xfId="18466" xr:uid="{00000000-0005-0000-0000-0000CB700000}"/>
    <cellStyle name="Comma 3 3 3 9 2 2" xfId="41744" xr:uid="{00000000-0005-0000-0000-0000CC700000}"/>
    <cellStyle name="Comma 3 3 3 9 3" xfId="28258" xr:uid="{00000000-0005-0000-0000-0000CD700000}"/>
    <cellStyle name="Comma 3 3 4" xfId="100" xr:uid="{00000000-0005-0000-0000-0000CE700000}"/>
    <cellStyle name="Comma 3 3 4 10" xfId="7444" xr:uid="{00000000-0005-0000-0000-0000CF700000}"/>
    <cellStyle name="Comma 3 3 4 10 2" xfId="30723" xr:uid="{00000000-0005-0000-0000-0000D0700000}"/>
    <cellStyle name="Comma 3 3 4 11" xfId="9892" xr:uid="{00000000-0005-0000-0000-0000D1700000}"/>
    <cellStyle name="Comma 3 3 4 11 2" xfId="33171" xr:uid="{00000000-0005-0000-0000-0000D2700000}"/>
    <cellStyle name="Comma 3 3 4 12" xfId="12340" xr:uid="{00000000-0005-0000-0000-0000D3700000}"/>
    <cellStyle name="Comma 3 3 4 12 2" xfId="35619" xr:uid="{00000000-0005-0000-0000-0000D4700000}"/>
    <cellStyle name="Comma 3 3 4 13" xfId="14811" xr:uid="{00000000-0005-0000-0000-0000D5700000}"/>
    <cellStyle name="Comma 3 3 4 13 2" xfId="38089" xr:uid="{00000000-0005-0000-0000-0000D6700000}"/>
    <cellStyle name="Comma 3 3 4 14" xfId="23379" xr:uid="{00000000-0005-0000-0000-0000D7700000}"/>
    <cellStyle name="Comma 3 3 4 15" xfId="44209" xr:uid="{00000000-0005-0000-0000-0000D8700000}"/>
    <cellStyle name="Comma 3 3 4 16" xfId="20931" xr:uid="{00000000-0005-0000-0000-0000D9700000}"/>
    <cellStyle name="Comma 3 3 4 2" xfId="168" xr:uid="{00000000-0005-0000-0000-0000DA700000}"/>
    <cellStyle name="Comma 3 3 4 2 10" xfId="12408" xr:uid="{00000000-0005-0000-0000-0000DB700000}"/>
    <cellStyle name="Comma 3 3 4 2 10 2" xfId="35687" xr:uid="{00000000-0005-0000-0000-0000DC700000}"/>
    <cellStyle name="Comma 3 3 4 2 11" xfId="14879" xr:uid="{00000000-0005-0000-0000-0000DD700000}"/>
    <cellStyle name="Comma 3 3 4 2 11 2" xfId="38157" xr:uid="{00000000-0005-0000-0000-0000DE700000}"/>
    <cellStyle name="Comma 3 3 4 2 12" xfId="23447" xr:uid="{00000000-0005-0000-0000-0000DF700000}"/>
    <cellStyle name="Comma 3 3 4 2 13" xfId="44277" xr:uid="{00000000-0005-0000-0000-0000E0700000}"/>
    <cellStyle name="Comma 3 3 4 2 14" xfId="20999" xr:uid="{00000000-0005-0000-0000-0000E1700000}"/>
    <cellStyle name="Comma 3 3 4 2 2" xfId="372" xr:uid="{00000000-0005-0000-0000-0000E2700000}"/>
    <cellStyle name="Comma 3 3 4 2 2 10" xfId="23651" xr:uid="{00000000-0005-0000-0000-0000E3700000}"/>
    <cellStyle name="Comma 3 3 4 2 2 11" xfId="44481" xr:uid="{00000000-0005-0000-0000-0000E4700000}"/>
    <cellStyle name="Comma 3 3 4 2 2 12" xfId="21203" xr:uid="{00000000-0005-0000-0000-0000E5700000}"/>
    <cellStyle name="Comma 3 3 4 2 2 2" xfId="984" xr:uid="{00000000-0005-0000-0000-0000E6700000}"/>
    <cellStyle name="Comma 3 3 4 2 2 2 10" xfId="45093" xr:uid="{00000000-0005-0000-0000-0000E7700000}"/>
    <cellStyle name="Comma 3 3 4 2 2 2 11" xfId="21815" xr:uid="{00000000-0005-0000-0000-0000E8700000}"/>
    <cellStyle name="Comma 3 3 4 2 2 2 2" xfId="2208" xr:uid="{00000000-0005-0000-0000-0000E9700000}"/>
    <cellStyle name="Comma 3 3 4 2 2 2 2 10" xfId="23039" xr:uid="{00000000-0005-0000-0000-0000EA700000}"/>
    <cellStyle name="Comma 3 3 4 2 2 2 2 2" xfId="4656" xr:uid="{00000000-0005-0000-0000-0000EB700000}"/>
    <cellStyle name="Comma 3 3 4 2 2 2 2 2 2" xfId="20591" xr:uid="{00000000-0005-0000-0000-0000EC700000}"/>
    <cellStyle name="Comma 3 3 4 2 2 2 2 2 2 2" xfId="43869" xr:uid="{00000000-0005-0000-0000-0000ED700000}"/>
    <cellStyle name="Comma 3 3 4 2 2 2 2 2 3" xfId="48765" xr:uid="{00000000-0005-0000-0000-0000EE700000}"/>
    <cellStyle name="Comma 3 3 4 2 2 2 2 2 4" xfId="27935" xr:uid="{00000000-0005-0000-0000-0000EF700000}"/>
    <cellStyle name="Comma 3 3 4 2 2 2 2 3" xfId="7104" xr:uid="{00000000-0005-0000-0000-0000F0700000}"/>
    <cellStyle name="Comma 3 3 4 2 2 2 2 3 2" xfId="30383" xr:uid="{00000000-0005-0000-0000-0000F1700000}"/>
    <cellStyle name="Comma 3 3 4 2 2 2 2 4" xfId="9552" xr:uid="{00000000-0005-0000-0000-0000F2700000}"/>
    <cellStyle name="Comma 3 3 4 2 2 2 2 4 2" xfId="32831" xr:uid="{00000000-0005-0000-0000-0000F3700000}"/>
    <cellStyle name="Comma 3 3 4 2 2 2 2 5" xfId="12000" xr:uid="{00000000-0005-0000-0000-0000F4700000}"/>
    <cellStyle name="Comma 3 3 4 2 2 2 2 5 2" xfId="35279" xr:uid="{00000000-0005-0000-0000-0000F5700000}"/>
    <cellStyle name="Comma 3 3 4 2 2 2 2 6" xfId="14448" xr:uid="{00000000-0005-0000-0000-0000F6700000}"/>
    <cellStyle name="Comma 3 3 4 2 2 2 2 6 2" xfId="37727" xr:uid="{00000000-0005-0000-0000-0000F7700000}"/>
    <cellStyle name="Comma 3 3 4 2 2 2 2 7" xfId="18143" xr:uid="{00000000-0005-0000-0000-0000F8700000}"/>
    <cellStyle name="Comma 3 3 4 2 2 2 2 7 2" xfId="41421" xr:uid="{00000000-0005-0000-0000-0000F9700000}"/>
    <cellStyle name="Comma 3 3 4 2 2 2 2 8" xfId="25487" xr:uid="{00000000-0005-0000-0000-0000FA700000}"/>
    <cellStyle name="Comma 3 3 4 2 2 2 2 9" xfId="46317" xr:uid="{00000000-0005-0000-0000-0000FB700000}"/>
    <cellStyle name="Comma 3 3 4 2 2 2 3" xfId="3432" xr:uid="{00000000-0005-0000-0000-0000FC700000}"/>
    <cellStyle name="Comma 3 3 4 2 2 2 3 2" xfId="16919" xr:uid="{00000000-0005-0000-0000-0000FD700000}"/>
    <cellStyle name="Comma 3 3 4 2 2 2 3 2 2" xfId="40197" xr:uid="{00000000-0005-0000-0000-0000FE700000}"/>
    <cellStyle name="Comma 3 3 4 2 2 2 3 3" xfId="47541" xr:uid="{00000000-0005-0000-0000-0000FF700000}"/>
    <cellStyle name="Comma 3 3 4 2 2 2 3 4" xfId="26711" xr:uid="{00000000-0005-0000-0000-000000710000}"/>
    <cellStyle name="Comma 3 3 4 2 2 2 4" xfId="5880" xr:uid="{00000000-0005-0000-0000-000001710000}"/>
    <cellStyle name="Comma 3 3 4 2 2 2 4 2" xfId="19367" xr:uid="{00000000-0005-0000-0000-000002710000}"/>
    <cellStyle name="Comma 3 3 4 2 2 2 4 2 2" xfId="42645" xr:uid="{00000000-0005-0000-0000-000003710000}"/>
    <cellStyle name="Comma 3 3 4 2 2 2 4 3" xfId="29159" xr:uid="{00000000-0005-0000-0000-000004710000}"/>
    <cellStyle name="Comma 3 3 4 2 2 2 5" xfId="8328" xr:uid="{00000000-0005-0000-0000-000005710000}"/>
    <cellStyle name="Comma 3 3 4 2 2 2 5 2" xfId="31607" xr:uid="{00000000-0005-0000-0000-000006710000}"/>
    <cellStyle name="Comma 3 3 4 2 2 2 6" xfId="10776" xr:uid="{00000000-0005-0000-0000-000007710000}"/>
    <cellStyle name="Comma 3 3 4 2 2 2 6 2" xfId="34055" xr:uid="{00000000-0005-0000-0000-000008710000}"/>
    <cellStyle name="Comma 3 3 4 2 2 2 7" xfId="13224" xr:uid="{00000000-0005-0000-0000-000009710000}"/>
    <cellStyle name="Comma 3 3 4 2 2 2 7 2" xfId="36503" xr:uid="{00000000-0005-0000-0000-00000A710000}"/>
    <cellStyle name="Comma 3 3 4 2 2 2 8" xfId="15695" xr:uid="{00000000-0005-0000-0000-00000B710000}"/>
    <cellStyle name="Comma 3 3 4 2 2 2 8 2" xfId="38973" xr:uid="{00000000-0005-0000-0000-00000C710000}"/>
    <cellStyle name="Comma 3 3 4 2 2 2 9" xfId="24263" xr:uid="{00000000-0005-0000-0000-00000D710000}"/>
    <cellStyle name="Comma 3 3 4 2 2 3" xfId="1596" xr:uid="{00000000-0005-0000-0000-00000E710000}"/>
    <cellStyle name="Comma 3 3 4 2 2 3 10" xfId="22427" xr:uid="{00000000-0005-0000-0000-00000F710000}"/>
    <cellStyle name="Comma 3 3 4 2 2 3 2" xfId="4044" xr:uid="{00000000-0005-0000-0000-000010710000}"/>
    <cellStyle name="Comma 3 3 4 2 2 3 2 2" xfId="19979" xr:uid="{00000000-0005-0000-0000-000011710000}"/>
    <cellStyle name="Comma 3 3 4 2 2 3 2 2 2" xfId="43257" xr:uid="{00000000-0005-0000-0000-000012710000}"/>
    <cellStyle name="Comma 3 3 4 2 2 3 2 3" xfId="48153" xr:uid="{00000000-0005-0000-0000-000013710000}"/>
    <cellStyle name="Comma 3 3 4 2 2 3 2 4" xfId="27323" xr:uid="{00000000-0005-0000-0000-000014710000}"/>
    <cellStyle name="Comma 3 3 4 2 2 3 3" xfId="6492" xr:uid="{00000000-0005-0000-0000-000015710000}"/>
    <cellStyle name="Comma 3 3 4 2 2 3 3 2" xfId="29771" xr:uid="{00000000-0005-0000-0000-000016710000}"/>
    <cellStyle name="Comma 3 3 4 2 2 3 4" xfId="8940" xr:uid="{00000000-0005-0000-0000-000017710000}"/>
    <cellStyle name="Comma 3 3 4 2 2 3 4 2" xfId="32219" xr:uid="{00000000-0005-0000-0000-000018710000}"/>
    <cellStyle name="Comma 3 3 4 2 2 3 5" xfId="11388" xr:uid="{00000000-0005-0000-0000-000019710000}"/>
    <cellStyle name="Comma 3 3 4 2 2 3 5 2" xfId="34667" xr:uid="{00000000-0005-0000-0000-00001A710000}"/>
    <cellStyle name="Comma 3 3 4 2 2 3 6" xfId="13836" xr:uid="{00000000-0005-0000-0000-00001B710000}"/>
    <cellStyle name="Comma 3 3 4 2 2 3 6 2" xfId="37115" xr:uid="{00000000-0005-0000-0000-00001C710000}"/>
    <cellStyle name="Comma 3 3 4 2 2 3 7" xfId="17531" xr:uid="{00000000-0005-0000-0000-00001D710000}"/>
    <cellStyle name="Comma 3 3 4 2 2 3 7 2" xfId="40809" xr:uid="{00000000-0005-0000-0000-00001E710000}"/>
    <cellStyle name="Comma 3 3 4 2 2 3 8" xfId="24875" xr:uid="{00000000-0005-0000-0000-00001F710000}"/>
    <cellStyle name="Comma 3 3 4 2 2 3 9" xfId="45705" xr:uid="{00000000-0005-0000-0000-000020710000}"/>
    <cellStyle name="Comma 3 3 4 2 2 4" xfId="2820" xr:uid="{00000000-0005-0000-0000-000021710000}"/>
    <cellStyle name="Comma 3 3 4 2 2 4 2" xfId="16307" xr:uid="{00000000-0005-0000-0000-000022710000}"/>
    <cellStyle name="Comma 3 3 4 2 2 4 2 2" xfId="39585" xr:uid="{00000000-0005-0000-0000-000023710000}"/>
    <cellStyle name="Comma 3 3 4 2 2 4 3" xfId="46929" xr:uid="{00000000-0005-0000-0000-000024710000}"/>
    <cellStyle name="Comma 3 3 4 2 2 4 4" xfId="26099" xr:uid="{00000000-0005-0000-0000-000025710000}"/>
    <cellStyle name="Comma 3 3 4 2 2 5" xfId="5268" xr:uid="{00000000-0005-0000-0000-000026710000}"/>
    <cellStyle name="Comma 3 3 4 2 2 5 2" xfId="18755" xr:uid="{00000000-0005-0000-0000-000027710000}"/>
    <cellStyle name="Comma 3 3 4 2 2 5 2 2" xfId="42033" xr:uid="{00000000-0005-0000-0000-000028710000}"/>
    <cellStyle name="Comma 3 3 4 2 2 5 3" xfId="28547" xr:uid="{00000000-0005-0000-0000-000029710000}"/>
    <cellStyle name="Comma 3 3 4 2 2 6" xfId="7716" xr:uid="{00000000-0005-0000-0000-00002A710000}"/>
    <cellStyle name="Comma 3 3 4 2 2 6 2" xfId="30995" xr:uid="{00000000-0005-0000-0000-00002B710000}"/>
    <cellStyle name="Comma 3 3 4 2 2 7" xfId="10164" xr:uid="{00000000-0005-0000-0000-00002C710000}"/>
    <cellStyle name="Comma 3 3 4 2 2 7 2" xfId="33443" xr:uid="{00000000-0005-0000-0000-00002D710000}"/>
    <cellStyle name="Comma 3 3 4 2 2 8" xfId="12612" xr:uid="{00000000-0005-0000-0000-00002E710000}"/>
    <cellStyle name="Comma 3 3 4 2 2 8 2" xfId="35891" xr:uid="{00000000-0005-0000-0000-00002F710000}"/>
    <cellStyle name="Comma 3 3 4 2 2 9" xfId="15083" xr:uid="{00000000-0005-0000-0000-000030710000}"/>
    <cellStyle name="Comma 3 3 4 2 2 9 2" xfId="38361" xr:uid="{00000000-0005-0000-0000-000031710000}"/>
    <cellStyle name="Comma 3 3 4 2 3" xfId="576" xr:uid="{00000000-0005-0000-0000-000032710000}"/>
    <cellStyle name="Comma 3 3 4 2 3 10" xfId="23855" xr:uid="{00000000-0005-0000-0000-000033710000}"/>
    <cellStyle name="Comma 3 3 4 2 3 11" xfId="44685" xr:uid="{00000000-0005-0000-0000-000034710000}"/>
    <cellStyle name="Comma 3 3 4 2 3 12" xfId="21407" xr:uid="{00000000-0005-0000-0000-000035710000}"/>
    <cellStyle name="Comma 3 3 4 2 3 2" xfId="1188" xr:uid="{00000000-0005-0000-0000-000036710000}"/>
    <cellStyle name="Comma 3 3 4 2 3 2 10" xfId="45297" xr:uid="{00000000-0005-0000-0000-000037710000}"/>
    <cellStyle name="Comma 3 3 4 2 3 2 11" xfId="22019" xr:uid="{00000000-0005-0000-0000-000038710000}"/>
    <cellStyle name="Comma 3 3 4 2 3 2 2" xfId="2412" xr:uid="{00000000-0005-0000-0000-000039710000}"/>
    <cellStyle name="Comma 3 3 4 2 3 2 2 10" xfId="23243" xr:uid="{00000000-0005-0000-0000-00003A710000}"/>
    <cellStyle name="Comma 3 3 4 2 3 2 2 2" xfId="4860" xr:uid="{00000000-0005-0000-0000-00003B710000}"/>
    <cellStyle name="Comma 3 3 4 2 3 2 2 2 2" xfId="20795" xr:uid="{00000000-0005-0000-0000-00003C710000}"/>
    <cellStyle name="Comma 3 3 4 2 3 2 2 2 2 2" xfId="44073" xr:uid="{00000000-0005-0000-0000-00003D710000}"/>
    <cellStyle name="Comma 3 3 4 2 3 2 2 2 3" xfId="48969" xr:uid="{00000000-0005-0000-0000-00003E710000}"/>
    <cellStyle name="Comma 3 3 4 2 3 2 2 2 4" xfId="28139" xr:uid="{00000000-0005-0000-0000-00003F710000}"/>
    <cellStyle name="Comma 3 3 4 2 3 2 2 3" xfId="7308" xr:uid="{00000000-0005-0000-0000-000040710000}"/>
    <cellStyle name="Comma 3 3 4 2 3 2 2 3 2" xfId="30587" xr:uid="{00000000-0005-0000-0000-000041710000}"/>
    <cellStyle name="Comma 3 3 4 2 3 2 2 4" xfId="9756" xr:uid="{00000000-0005-0000-0000-000042710000}"/>
    <cellStyle name="Comma 3 3 4 2 3 2 2 4 2" xfId="33035" xr:uid="{00000000-0005-0000-0000-000043710000}"/>
    <cellStyle name="Comma 3 3 4 2 3 2 2 5" xfId="12204" xr:uid="{00000000-0005-0000-0000-000044710000}"/>
    <cellStyle name="Comma 3 3 4 2 3 2 2 5 2" xfId="35483" xr:uid="{00000000-0005-0000-0000-000045710000}"/>
    <cellStyle name="Comma 3 3 4 2 3 2 2 6" xfId="14652" xr:uid="{00000000-0005-0000-0000-000046710000}"/>
    <cellStyle name="Comma 3 3 4 2 3 2 2 6 2" xfId="37931" xr:uid="{00000000-0005-0000-0000-000047710000}"/>
    <cellStyle name="Comma 3 3 4 2 3 2 2 7" xfId="18347" xr:uid="{00000000-0005-0000-0000-000048710000}"/>
    <cellStyle name="Comma 3 3 4 2 3 2 2 7 2" xfId="41625" xr:uid="{00000000-0005-0000-0000-000049710000}"/>
    <cellStyle name="Comma 3 3 4 2 3 2 2 8" xfId="25691" xr:uid="{00000000-0005-0000-0000-00004A710000}"/>
    <cellStyle name="Comma 3 3 4 2 3 2 2 9" xfId="46521" xr:uid="{00000000-0005-0000-0000-00004B710000}"/>
    <cellStyle name="Comma 3 3 4 2 3 2 3" xfId="3636" xr:uid="{00000000-0005-0000-0000-00004C710000}"/>
    <cellStyle name="Comma 3 3 4 2 3 2 3 2" xfId="17123" xr:uid="{00000000-0005-0000-0000-00004D710000}"/>
    <cellStyle name="Comma 3 3 4 2 3 2 3 2 2" xfId="40401" xr:uid="{00000000-0005-0000-0000-00004E710000}"/>
    <cellStyle name="Comma 3 3 4 2 3 2 3 3" xfId="47745" xr:uid="{00000000-0005-0000-0000-00004F710000}"/>
    <cellStyle name="Comma 3 3 4 2 3 2 3 4" xfId="26915" xr:uid="{00000000-0005-0000-0000-000050710000}"/>
    <cellStyle name="Comma 3 3 4 2 3 2 4" xfId="6084" xr:uid="{00000000-0005-0000-0000-000051710000}"/>
    <cellStyle name="Comma 3 3 4 2 3 2 4 2" xfId="19571" xr:uid="{00000000-0005-0000-0000-000052710000}"/>
    <cellStyle name="Comma 3 3 4 2 3 2 4 2 2" xfId="42849" xr:uid="{00000000-0005-0000-0000-000053710000}"/>
    <cellStyle name="Comma 3 3 4 2 3 2 4 3" xfId="29363" xr:uid="{00000000-0005-0000-0000-000054710000}"/>
    <cellStyle name="Comma 3 3 4 2 3 2 5" xfId="8532" xr:uid="{00000000-0005-0000-0000-000055710000}"/>
    <cellStyle name="Comma 3 3 4 2 3 2 5 2" xfId="31811" xr:uid="{00000000-0005-0000-0000-000056710000}"/>
    <cellStyle name="Comma 3 3 4 2 3 2 6" xfId="10980" xr:uid="{00000000-0005-0000-0000-000057710000}"/>
    <cellStyle name="Comma 3 3 4 2 3 2 6 2" xfId="34259" xr:uid="{00000000-0005-0000-0000-000058710000}"/>
    <cellStyle name="Comma 3 3 4 2 3 2 7" xfId="13428" xr:uid="{00000000-0005-0000-0000-000059710000}"/>
    <cellStyle name="Comma 3 3 4 2 3 2 7 2" xfId="36707" xr:uid="{00000000-0005-0000-0000-00005A710000}"/>
    <cellStyle name="Comma 3 3 4 2 3 2 8" xfId="15899" xr:uid="{00000000-0005-0000-0000-00005B710000}"/>
    <cellStyle name="Comma 3 3 4 2 3 2 8 2" xfId="39177" xr:uid="{00000000-0005-0000-0000-00005C710000}"/>
    <cellStyle name="Comma 3 3 4 2 3 2 9" xfId="24467" xr:uid="{00000000-0005-0000-0000-00005D710000}"/>
    <cellStyle name="Comma 3 3 4 2 3 3" xfId="1800" xr:uid="{00000000-0005-0000-0000-00005E710000}"/>
    <cellStyle name="Comma 3 3 4 2 3 3 10" xfId="22631" xr:uid="{00000000-0005-0000-0000-00005F710000}"/>
    <cellStyle name="Comma 3 3 4 2 3 3 2" xfId="4248" xr:uid="{00000000-0005-0000-0000-000060710000}"/>
    <cellStyle name="Comma 3 3 4 2 3 3 2 2" xfId="20183" xr:uid="{00000000-0005-0000-0000-000061710000}"/>
    <cellStyle name="Comma 3 3 4 2 3 3 2 2 2" xfId="43461" xr:uid="{00000000-0005-0000-0000-000062710000}"/>
    <cellStyle name="Comma 3 3 4 2 3 3 2 3" xfId="48357" xr:uid="{00000000-0005-0000-0000-000063710000}"/>
    <cellStyle name="Comma 3 3 4 2 3 3 2 4" xfId="27527" xr:uid="{00000000-0005-0000-0000-000064710000}"/>
    <cellStyle name="Comma 3 3 4 2 3 3 3" xfId="6696" xr:uid="{00000000-0005-0000-0000-000065710000}"/>
    <cellStyle name="Comma 3 3 4 2 3 3 3 2" xfId="29975" xr:uid="{00000000-0005-0000-0000-000066710000}"/>
    <cellStyle name="Comma 3 3 4 2 3 3 4" xfId="9144" xr:uid="{00000000-0005-0000-0000-000067710000}"/>
    <cellStyle name="Comma 3 3 4 2 3 3 4 2" xfId="32423" xr:uid="{00000000-0005-0000-0000-000068710000}"/>
    <cellStyle name="Comma 3 3 4 2 3 3 5" xfId="11592" xr:uid="{00000000-0005-0000-0000-000069710000}"/>
    <cellStyle name="Comma 3 3 4 2 3 3 5 2" xfId="34871" xr:uid="{00000000-0005-0000-0000-00006A710000}"/>
    <cellStyle name="Comma 3 3 4 2 3 3 6" xfId="14040" xr:uid="{00000000-0005-0000-0000-00006B710000}"/>
    <cellStyle name="Comma 3 3 4 2 3 3 6 2" xfId="37319" xr:uid="{00000000-0005-0000-0000-00006C710000}"/>
    <cellStyle name="Comma 3 3 4 2 3 3 7" xfId="17735" xr:uid="{00000000-0005-0000-0000-00006D710000}"/>
    <cellStyle name="Comma 3 3 4 2 3 3 7 2" xfId="41013" xr:uid="{00000000-0005-0000-0000-00006E710000}"/>
    <cellStyle name="Comma 3 3 4 2 3 3 8" xfId="25079" xr:uid="{00000000-0005-0000-0000-00006F710000}"/>
    <cellStyle name="Comma 3 3 4 2 3 3 9" xfId="45909" xr:uid="{00000000-0005-0000-0000-000070710000}"/>
    <cellStyle name="Comma 3 3 4 2 3 4" xfId="3024" xr:uid="{00000000-0005-0000-0000-000071710000}"/>
    <cellStyle name="Comma 3 3 4 2 3 4 2" xfId="16511" xr:uid="{00000000-0005-0000-0000-000072710000}"/>
    <cellStyle name="Comma 3 3 4 2 3 4 2 2" xfId="39789" xr:uid="{00000000-0005-0000-0000-000073710000}"/>
    <cellStyle name="Comma 3 3 4 2 3 4 3" xfId="47133" xr:uid="{00000000-0005-0000-0000-000074710000}"/>
    <cellStyle name="Comma 3 3 4 2 3 4 4" xfId="26303" xr:uid="{00000000-0005-0000-0000-000075710000}"/>
    <cellStyle name="Comma 3 3 4 2 3 5" xfId="5472" xr:uid="{00000000-0005-0000-0000-000076710000}"/>
    <cellStyle name="Comma 3 3 4 2 3 5 2" xfId="18959" xr:uid="{00000000-0005-0000-0000-000077710000}"/>
    <cellStyle name="Comma 3 3 4 2 3 5 2 2" xfId="42237" xr:uid="{00000000-0005-0000-0000-000078710000}"/>
    <cellStyle name="Comma 3 3 4 2 3 5 3" xfId="28751" xr:uid="{00000000-0005-0000-0000-000079710000}"/>
    <cellStyle name="Comma 3 3 4 2 3 6" xfId="7920" xr:uid="{00000000-0005-0000-0000-00007A710000}"/>
    <cellStyle name="Comma 3 3 4 2 3 6 2" xfId="31199" xr:uid="{00000000-0005-0000-0000-00007B710000}"/>
    <cellStyle name="Comma 3 3 4 2 3 7" xfId="10368" xr:uid="{00000000-0005-0000-0000-00007C710000}"/>
    <cellStyle name="Comma 3 3 4 2 3 7 2" xfId="33647" xr:uid="{00000000-0005-0000-0000-00007D710000}"/>
    <cellStyle name="Comma 3 3 4 2 3 8" xfId="12816" xr:uid="{00000000-0005-0000-0000-00007E710000}"/>
    <cellStyle name="Comma 3 3 4 2 3 8 2" xfId="36095" xr:uid="{00000000-0005-0000-0000-00007F710000}"/>
    <cellStyle name="Comma 3 3 4 2 3 9" xfId="15287" xr:uid="{00000000-0005-0000-0000-000080710000}"/>
    <cellStyle name="Comma 3 3 4 2 3 9 2" xfId="38565" xr:uid="{00000000-0005-0000-0000-000081710000}"/>
    <cellStyle name="Comma 3 3 4 2 4" xfId="780" xr:uid="{00000000-0005-0000-0000-000082710000}"/>
    <cellStyle name="Comma 3 3 4 2 4 10" xfId="44889" xr:uid="{00000000-0005-0000-0000-000083710000}"/>
    <cellStyle name="Comma 3 3 4 2 4 11" xfId="21611" xr:uid="{00000000-0005-0000-0000-000084710000}"/>
    <cellStyle name="Comma 3 3 4 2 4 2" xfId="2004" xr:uid="{00000000-0005-0000-0000-000085710000}"/>
    <cellStyle name="Comma 3 3 4 2 4 2 10" xfId="22835" xr:uid="{00000000-0005-0000-0000-000086710000}"/>
    <cellStyle name="Comma 3 3 4 2 4 2 2" xfId="4452" xr:uid="{00000000-0005-0000-0000-000087710000}"/>
    <cellStyle name="Comma 3 3 4 2 4 2 2 2" xfId="20387" xr:uid="{00000000-0005-0000-0000-000088710000}"/>
    <cellStyle name="Comma 3 3 4 2 4 2 2 2 2" xfId="43665" xr:uid="{00000000-0005-0000-0000-000089710000}"/>
    <cellStyle name="Comma 3 3 4 2 4 2 2 3" xfId="48561" xr:uid="{00000000-0005-0000-0000-00008A710000}"/>
    <cellStyle name="Comma 3 3 4 2 4 2 2 4" xfId="27731" xr:uid="{00000000-0005-0000-0000-00008B710000}"/>
    <cellStyle name="Comma 3 3 4 2 4 2 3" xfId="6900" xr:uid="{00000000-0005-0000-0000-00008C710000}"/>
    <cellStyle name="Comma 3 3 4 2 4 2 3 2" xfId="30179" xr:uid="{00000000-0005-0000-0000-00008D710000}"/>
    <cellStyle name="Comma 3 3 4 2 4 2 4" xfId="9348" xr:uid="{00000000-0005-0000-0000-00008E710000}"/>
    <cellStyle name="Comma 3 3 4 2 4 2 4 2" xfId="32627" xr:uid="{00000000-0005-0000-0000-00008F710000}"/>
    <cellStyle name="Comma 3 3 4 2 4 2 5" xfId="11796" xr:uid="{00000000-0005-0000-0000-000090710000}"/>
    <cellStyle name="Comma 3 3 4 2 4 2 5 2" xfId="35075" xr:uid="{00000000-0005-0000-0000-000091710000}"/>
    <cellStyle name="Comma 3 3 4 2 4 2 6" xfId="14244" xr:uid="{00000000-0005-0000-0000-000092710000}"/>
    <cellStyle name="Comma 3 3 4 2 4 2 6 2" xfId="37523" xr:uid="{00000000-0005-0000-0000-000093710000}"/>
    <cellStyle name="Comma 3 3 4 2 4 2 7" xfId="17939" xr:uid="{00000000-0005-0000-0000-000094710000}"/>
    <cellStyle name="Comma 3 3 4 2 4 2 7 2" xfId="41217" xr:uid="{00000000-0005-0000-0000-000095710000}"/>
    <cellStyle name="Comma 3 3 4 2 4 2 8" xfId="25283" xr:uid="{00000000-0005-0000-0000-000096710000}"/>
    <cellStyle name="Comma 3 3 4 2 4 2 9" xfId="46113" xr:uid="{00000000-0005-0000-0000-000097710000}"/>
    <cellStyle name="Comma 3 3 4 2 4 3" xfId="3228" xr:uid="{00000000-0005-0000-0000-000098710000}"/>
    <cellStyle name="Comma 3 3 4 2 4 3 2" xfId="16715" xr:uid="{00000000-0005-0000-0000-000099710000}"/>
    <cellStyle name="Comma 3 3 4 2 4 3 2 2" xfId="39993" xr:uid="{00000000-0005-0000-0000-00009A710000}"/>
    <cellStyle name="Comma 3 3 4 2 4 3 3" xfId="47337" xr:uid="{00000000-0005-0000-0000-00009B710000}"/>
    <cellStyle name="Comma 3 3 4 2 4 3 4" xfId="26507" xr:uid="{00000000-0005-0000-0000-00009C710000}"/>
    <cellStyle name="Comma 3 3 4 2 4 4" xfId="5676" xr:uid="{00000000-0005-0000-0000-00009D710000}"/>
    <cellStyle name="Comma 3 3 4 2 4 4 2" xfId="19163" xr:uid="{00000000-0005-0000-0000-00009E710000}"/>
    <cellStyle name="Comma 3 3 4 2 4 4 2 2" xfId="42441" xr:uid="{00000000-0005-0000-0000-00009F710000}"/>
    <cellStyle name="Comma 3 3 4 2 4 4 3" xfId="28955" xr:uid="{00000000-0005-0000-0000-0000A0710000}"/>
    <cellStyle name="Comma 3 3 4 2 4 5" xfId="8124" xr:uid="{00000000-0005-0000-0000-0000A1710000}"/>
    <cellStyle name="Comma 3 3 4 2 4 5 2" xfId="31403" xr:uid="{00000000-0005-0000-0000-0000A2710000}"/>
    <cellStyle name="Comma 3 3 4 2 4 6" xfId="10572" xr:uid="{00000000-0005-0000-0000-0000A3710000}"/>
    <cellStyle name="Comma 3 3 4 2 4 6 2" xfId="33851" xr:uid="{00000000-0005-0000-0000-0000A4710000}"/>
    <cellStyle name="Comma 3 3 4 2 4 7" xfId="13020" xr:uid="{00000000-0005-0000-0000-0000A5710000}"/>
    <cellStyle name="Comma 3 3 4 2 4 7 2" xfId="36299" xr:uid="{00000000-0005-0000-0000-0000A6710000}"/>
    <cellStyle name="Comma 3 3 4 2 4 8" xfId="15491" xr:uid="{00000000-0005-0000-0000-0000A7710000}"/>
    <cellStyle name="Comma 3 3 4 2 4 8 2" xfId="38769" xr:uid="{00000000-0005-0000-0000-0000A8710000}"/>
    <cellStyle name="Comma 3 3 4 2 4 9" xfId="24059" xr:uid="{00000000-0005-0000-0000-0000A9710000}"/>
    <cellStyle name="Comma 3 3 4 2 5" xfId="1392" xr:uid="{00000000-0005-0000-0000-0000AA710000}"/>
    <cellStyle name="Comma 3 3 4 2 5 10" xfId="22223" xr:uid="{00000000-0005-0000-0000-0000AB710000}"/>
    <cellStyle name="Comma 3 3 4 2 5 2" xfId="3840" xr:uid="{00000000-0005-0000-0000-0000AC710000}"/>
    <cellStyle name="Comma 3 3 4 2 5 2 2" xfId="19775" xr:uid="{00000000-0005-0000-0000-0000AD710000}"/>
    <cellStyle name="Comma 3 3 4 2 5 2 2 2" xfId="43053" xr:uid="{00000000-0005-0000-0000-0000AE710000}"/>
    <cellStyle name="Comma 3 3 4 2 5 2 3" xfId="47949" xr:uid="{00000000-0005-0000-0000-0000AF710000}"/>
    <cellStyle name="Comma 3 3 4 2 5 2 4" xfId="27119" xr:uid="{00000000-0005-0000-0000-0000B0710000}"/>
    <cellStyle name="Comma 3 3 4 2 5 3" xfId="6288" xr:uid="{00000000-0005-0000-0000-0000B1710000}"/>
    <cellStyle name="Comma 3 3 4 2 5 3 2" xfId="29567" xr:uid="{00000000-0005-0000-0000-0000B2710000}"/>
    <cellStyle name="Comma 3 3 4 2 5 4" xfId="8736" xr:uid="{00000000-0005-0000-0000-0000B3710000}"/>
    <cellStyle name="Comma 3 3 4 2 5 4 2" xfId="32015" xr:uid="{00000000-0005-0000-0000-0000B4710000}"/>
    <cellStyle name="Comma 3 3 4 2 5 5" xfId="11184" xr:uid="{00000000-0005-0000-0000-0000B5710000}"/>
    <cellStyle name="Comma 3 3 4 2 5 5 2" xfId="34463" xr:uid="{00000000-0005-0000-0000-0000B6710000}"/>
    <cellStyle name="Comma 3 3 4 2 5 6" xfId="13632" xr:uid="{00000000-0005-0000-0000-0000B7710000}"/>
    <cellStyle name="Comma 3 3 4 2 5 6 2" xfId="36911" xr:uid="{00000000-0005-0000-0000-0000B8710000}"/>
    <cellStyle name="Comma 3 3 4 2 5 7" xfId="17327" xr:uid="{00000000-0005-0000-0000-0000B9710000}"/>
    <cellStyle name="Comma 3 3 4 2 5 7 2" xfId="40605" xr:uid="{00000000-0005-0000-0000-0000BA710000}"/>
    <cellStyle name="Comma 3 3 4 2 5 8" xfId="24671" xr:uid="{00000000-0005-0000-0000-0000BB710000}"/>
    <cellStyle name="Comma 3 3 4 2 5 9" xfId="45501" xr:uid="{00000000-0005-0000-0000-0000BC710000}"/>
    <cellStyle name="Comma 3 3 4 2 6" xfId="2616" xr:uid="{00000000-0005-0000-0000-0000BD710000}"/>
    <cellStyle name="Comma 3 3 4 2 6 2" xfId="16103" xr:uid="{00000000-0005-0000-0000-0000BE710000}"/>
    <cellStyle name="Comma 3 3 4 2 6 2 2" xfId="39381" xr:uid="{00000000-0005-0000-0000-0000BF710000}"/>
    <cellStyle name="Comma 3 3 4 2 6 3" xfId="46725" xr:uid="{00000000-0005-0000-0000-0000C0710000}"/>
    <cellStyle name="Comma 3 3 4 2 6 4" xfId="25895" xr:uid="{00000000-0005-0000-0000-0000C1710000}"/>
    <cellStyle name="Comma 3 3 4 2 7" xfId="5064" xr:uid="{00000000-0005-0000-0000-0000C2710000}"/>
    <cellStyle name="Comma 3 3 4 2 7 2" xfId="18551" xr:uid="{00000000-0005-0000-0000-0000C3710000}"/>
    <cellStyle name="Comma 3 3 4 2 7 2 2" xfId="41829" xr:uid="{00000000-0005-0000-0000-0000C4710000}"/>
    <cellStyle name="Comma 3 3 4 2 7 3" xfId="28343" xr:uid="{00000000-0005-0000-0000-0000C5710000}"/>
    <cellStyle name="Comma 3 3 4 2 8" xfId="7512" xr:uid="{00000000-0005-0000-0000-0000C6710000}"/>
    <cellStyle name="Comma 3 3 4 2 8 2" xfId="30791" xr:uid="{00000000-0005-0000-0000-0000C7710000}"/>
    <cellStyle name="Comma 3 3 4 2 9" xfId="9960" xr:uid="{00000000-0005-0000-0000-0000C8710000}"/>
    <cellStyle name="Comma 3 3 4 2 9 2" xfId="33239" xr:uid="{00000000-0005-0000-0000-0000C9710000}"/>
    <cellStyle name="Comma 3 3 4 3" xfId="236" xr:uid="{00000000-0005-0000-0000-0000CA710000}"/>
    <cellStyle name="Comma 3 3 4 3 10" xfId="12476" xr:uid="{00000000-0005-0000-0000-0000CB710000}"/>
    <cellStyle name="Comma 3 3 4 3 10 2" xfId="35755" xr:uid="{00000000-0005-0000-0000-0000CC710000}"/>
    <cellStyle name="Comma 3 3 4 3 11" xfId="14947" xr:uid="{00000000-0005-0000-0000-0000CD710000}"/>
    <cellStyle name="Comma 3 3 4 3 11 2" xfId="38225" xr:uid="{00000000-0005-0000-0000-0000CE710000}"/>
    <cellStyle name="Comma 3 3 4 3 12" xfId="23515" xr:uid="{00000000-0005-0000-0000-0000CF710000}"/>
    <cellStyle name="Comma 3 3 4 3 13" xfId="44345" xr:uid="{00000000-0005-0000-0000-0000D0710000}"/>
    <cellStyle name="Comma 3 3 4 3 14" xfId="21067" xr:uid="{00000000-0005-0000-0000-0000D1710000}"/>
    <cellStyle name="Comma 3 3 4 3 2" xfId="440" xr:uid="{00000000-0005-0000-0000-0000D2710000}"/>
    <cellStyle name="Comma 3 3 4 3 2 10" xfId="23719" xr:uid="{00000000-0005-0000-0000-0000D3710000}"/>
    <cellStyle name="Comma 3 3 4 3 2 11" xfId="44549" xr:uid="{00000000-0005-0000-0000-0000D4710000}"/>
    <cellStyle name="Comma 3 3 4 3 2 12" xfId="21271" xr:uid="{00000000-0005-0000-0000-0000D5710000}"/>
    <cellStyle name="Comma 3 3 4 3 2 2" xfId="1052" xr:uid="{00000000-0005-0000-0000-0000D6710000}"/>
    <cellStyle name="Comma 3 3 4 3 2 2 10" xfId="45161" xr:uid="{00000000-0005-0000-0000-0000D7710000}"/>
    <cellStyle name="Comma 3 3 4 3 2 2 11" xfId="21883" xr:uid="{00000000-0005-0000-0000-0000D8710000}"/>
    <cellStyle name="Comma 3 3 4 3 2 2 2" xfId="2276" xr:uid="{00000000-0005-0000-0000-0000D9710000}"/>
    <cellStyle name="Comma 3 3 4 3 2 2 2 10" xfId="23107" xr:uid="{00000000-0005-0000-0000-0000DA710000}"/>
    <cellStyle name="Comma 3 3 4 3 2 2 2 2" xfId="4724" xr:uid="{00000000-0005-0000-0000-0000DB710000}"/>
    <cellStyle name="Comma 3 3 4 3 2 2 2 2 2" xfId="20659" xr:uid="{00000000-0005-0000-0000-0000DC710000}"/>
    <cellStyle name="Comma 3 3 4 3 2 2 2 2 2 2" xfId="43937" xr:uid="{00000000-0005-0000-0000-0000DD710000}"/>
    <cellStyle name="Comma 3 3 4 3 2 2 2 2 3" xfId="48833" xr:uid="{00000000-0005-0000-0000-0000DE710000}"/>
    <cellStyle name="Comma 3 3 4 3 2 2 2 2 4" xfId="28003" xr:uid="{00000000-0005-0000-0000-0000DF710000}"/>
    <cellStyle name="Comma 3 3 4 3 2 2 2 3" xfId="7172" xr:uid="{00000000-0005-0000-0000-0000E0710000}"/>
    <cellStyle name="Comma 3 3 4 3 2 2 2 3 2" xfId="30451" xr:uid="{00000000-0005-0000-0000-0000E1710000}"/>
    <cellStyle name="Comma 3 3 4 3 2 2 2 4" xfId="9620" xr:uid="{00000000-0005-0000-0000-0000E2710000}"/>
    <cellStyle name="Comma 3 3 4 3 2 2 2 4 2" xfId="32899" xr:uid="{00000000-0005-0000-0000-0000E3710000}"/>
    <cellStyle name="Comma 3 3 4 3 2 2 2 5" xfId="12068" xr:uid="{00000000-0005-0000-0000-0000E4710000}"/>
    <cellStyle name="Comma 3 3 4 3 2 2 2 5 2" xfId="35347" xr:uid="{00000000-0005-0000-0000-0000E5710000}"/>
    <cellStyle name="Comma 3 3 4 3 2 2 2 6" xfId="14516" xr:uid="{00000000-0005-0000-0000-0000E6710000}"/>
    <cellStyle name="Comma 3 3 4 3 2 2 2 6 2" xfId="37795" xr:uid="{00000000-0005-0000-0000-0000E7710000}"/>
    <cellStyle name="Comma 3 3 4 3 2 2 2 7" xfId="18211" xr:uid="{00000000-0005-0000-0000-0000E8710000}"/>
    <cellStyle name="Comma 3 3 4 3 2 2 2 7 2" xfId="41489" xr:uid="{00000000-0005-0000-0000-0000E9710000}"/>
    <cellStyle name="Comma 3 3 4 3 2 2 2 8" xfId="25555" xr:uid="{00000000-0005-0000-0000-0000EA710000}"/>
    <cellStyle name="Comma 3 3 4 3 2 2 2 9" xfId="46385" xr:uid="{00000000-0005-0000-0000-0000EB710000}"/>
    <cellStyle name="Comma 3 3 4 3 2 2 3" xfId="3500" xr:uid="{00000000-0005-0000-0000-0000EC710000}"/>
    <cellStyle name="Comma 3 3 4 3 2 2 3 2" xfId="16987" xr:uid="{00000000-0005-0000-0000-0000ED710000}"/>
    <cellStyle name="Comma 3 3 4 3 2 2 3 2 2" xfId="40265" xr:uid="{00000000-0005-0000-0000-0000EE710000}"/>
    <cellStyle name="Comma 3 3 4 3 2 2 3 3" xfId="47609" xr:uid="{00000000-0005-0000-0000-0000EF710000}"/>
    <cellStyle name="Comma 3 3 4 3 2 2 3 4" xfId="26779" xr:uid="{00000000-0005-0000-0000-0000F0710000}"/>
    <cellStyle name="Comma 3 3 4 3 2 2 4" xfId="5948" xr:uid="{00000000-0005-0000-0000-0000F1710000}"/>
    <cellStyle name="Comma 3 3 4 3 2 2 4 2" xfId="19435" xr:uid="{00000000-0005-0000-0000-0000F2710000}"/>
    <cellStyle name="Comma 3 3 4 3 2 2 4 2 2" xfId="42713" xr:uid="{00000000-0005-0000-0000-0000F3710000}"/>
    <cellStyle name="Comma 3 3 4 3 2 2 4 3" xfId="29227" xr:uid="{00000000-0005-0000-0000-0000F4710000}"/>
    <cellStyle name="Comma 3 3 4 3 2 2 5" xfId="8396" xr:uid="{00000000-0005-0000-0000-0000F5710000}"/>
    <cellStyle name="Comma 3 3 4 3 2 2 5 2" xfId="31675" xr:uid="{00000000-0005-0000-0000-0000F6710000}"/>
    <cellStyle name="Comma 3 3 4 3 2 2 6" xfId="10844" xr:uid="{00000000-0005-0000-0000-0000F7710000}"/>
    <cellStyle name="Comma 3 3 4 3 2 2 6 2" xfId="34123" xr:uid="{00000000-0005-0000-0000-0000F8710000}"/>
    <cellStyle name="Comma 3 3 4 3 2 2 7" xfId="13292" xr:uid="{00000000-0005-0000-0000-0000F9710000}"/>
    <cellStyle name="Comma 3 3 4 3 2 2 7 2" xfId="36571" xr:uid="{00000000-0005-0000-0000-0000FA710000}"/>
    <cellStyle name="Comma 3 3 4 3 2 2 8" xfId="15763" xr:uid="{00000000-0005-0000-0000-0000FB710000}"/>
    <cellStyle name="Comma 3 3 4 3 2 2 8 2" xfId="39041" xr:uid="{00000000-0005-0000-0000-0000FC710000}"/>
    <cellStyle name="Comma 3 3 4 3 2 2 9" xfId="24331" xr:uid="{00000000-0005-0000-0000-0000FD710000}"/>
    <cellStyle name="Comma 3 3 4 3 2 3" xfId="1664" xr:uid="{00000000-0005-0000-0000-0000FE710000}"/>
    <cellStyle name="Comma 3 3 4 3 2 3 10" xfId="22495" xr:uid="{00000000-0005-0000-0000-0000FF710000}"/>
    <cellStyle name="Comma 3 3 4 3 2 3 2" xfId="4112" xr:uid="{00000000-0005-0000-0000-000000720000}"/>
    <cellStyle name="Comma 3 3 4 3 2 3 2 2" xfId="20047" xr:uid="{00000000-0005-0000-0000-000001720000}"/>
    <cellStyle name="Comma 3 3 4 3 2 3 2 2 2" xfId="43325" xr:uid="{00000000-0005-0000-0000-000002720000}"/>
    <cellStyle name="Comma 3 3 4 3 2 3 2 3" xfId="48221" xr:uid="{00000000-0005-0000-0000-000003720000}"/>
    <cellStyle name="Comma 3 3 4 3 2 3 2 4" xfId="27391" xr:uid="{00000000-0005-0000-0000-000004720000}"/>
    <cellStyle name="Comma 3 3 4 3 2 3 3" xfId="6560" xr:uid="{00000000-0005-0000-0000-000005720000}"/>
    <cellStyle name="Comma 3 3 4 3 2 3 3 2" xfId="29839" xr:uid="{00000000-0005-0000-0000-000006720000}"/>
    <cellStyle name="Comma 3 3 4 3 2 3 4" xfId="9008" xr:uid="{00000000-0005-0000-0000-000007720000}"/>
    <cellStyle name="Comma 3 3 4 3 2 3 4 2" xfId="32287" xr:uid="{00000000-0005-0000-0000-000008720000}"/>
    <cellStyle name="Comma 3 3 4 3 2 3 5" xfId="11456" xr:uid="{00000000-0005-0000-0000-000009720000}"/>
    <cellStyle name="Comma 3 3 4 3 2 3 5 2" xfId="34735" xr:uid="{00000000-0005-0000-0000-00000A720000}"/>
    <cellStyle name="Comma 3 3 4 3 2 3 6" xfId="13904" xr:uid="{00000000-0005-0000-0000-00000B720000}"/>
    <cellStyle name="Comma 3 3 4 3 2 3 6 2" xfId="37183" xr:uid="{00000000-0005-0000-0000-00000C720000}"/>
    <cellStyle name="Comma 3 3 4 3 2 3 7" xfId="17599" xr:uid="{00000000-0005-0000-0000-00000D720000}"/>
    <cellStyle name="Comma 3 3 4 3 2 3 7 2" xfId="40877" xr:uid="{00000000-0005-0000-0000-00000E720000}"/>
    <cellStyle name="Comma 3 3 4 3 2 3 8" xfId="24943" xr:uid="{00000000-0005-0000-0000-00000F720000}"/>
    <cellStyle name="Comma 3 3 4 3 2 3 9" xfId="45773" xr:uid="{00000000-0005-0000-0000-000010720000}"/>
    <cellStyle name="Comma 3 3 4 3 2 4" xfId="2888" xr:uid="{00000000-0005-0000-0000-000011720000}"/>
    <cellStyle name="Comma 3 3 4 3 2 4 2" xfId="16375" xr:uid="{00000000-0005-0000-0000-000012720000}"/>
    <cellStyle name="Comma 3 3 4 3 2 4 2 2" xfId="39653" xr:uid="{00000000-0005-0000-0000-000013720000}"/>
    <cellStyle name="Comma 3 3 4 3 2 4 3" xfId="46997" xr:uid="{00000000-0005-0000-0000-000014720000}"/>
    <cellStyle name="Comma 3 3 4 3 2 4 4" xfId="26167" xr:uid="{00000000-0005-0000-0000-000015720000}"/>
    <cellStyle name="Comma 3 3 4 3 2 5" xfId="5336" xr:uid="{00000000-0005-0000-0000-000016720000}"/>
    <cellStyle name="Comma 3 3 4 3 2 5 2" xfId="18823" xr:uid="{00000000-0005-0000-0000-000017720000}"/>
    <cellStyle name="Comma 3 3 4 3 2 5 2 2" xfId="42101" xr:uid="{00000000-0005-0000-0000-000018720000}"/>
    <cellStyle name="Comma 3 3 4 3 2 5 3" xfId="28615" xr:uid="{00000000-0005-0000-0000-000019720000}"/>
    <cellStyle name="Comma 3 3 4 3 2 6" xfId="7784" xr:uid="{00000000-0005-0000-0000-00001A720000}"/>
    <cellStyle name="Comma 3 3 4 3 2 6 2" xfId="31063" xr:uid="{00000000-0005-0000-0000-00001B720000}"/>
    <cellStyle name="Comma 3 3 4 3 2 7" xfId="10232" xr:uid="{00000000-0005-0000-0000-00001C720000}"/>
    <cellStyle name="Comma 3 3 4 3 2 7 2" xfId="33511" xr:uid="{00000000-0005-0000-0000-00001D720000}"/>
    <cellStyle name="Comma 3 3 4 3 2 8" xfId="12680" xr:uid="{00000000-0005-0000-0000-00001E720000}"/>
    <cellStyle name="Comma 3 3 4 3 2 8 2" xfId="35959" xr:uid="{00000000-0005-0000-0000-00001F720000}"/>
    <cellStyle name="Comma 3 3 4 3 2 9" xfId="15151" xr:uid="{00000000-0005-0000-0000-000020720000}"/>
    <cellStyle name="Comma 3 3 4 3 2 9 2" xfId="38429" xr:uid="{00000000-0005-0000-0000-000021720000}"/>
    <cellStyle name="Comma 3 3 4 3 3" xfId="644" xr:uid="{00000000-0005-0000-0000-000022720000}"/>
    <cellStyle name="Comma 3 3 4 3 3 10" xfId="23923" xr:uid="{00000000-0005-0000-0000-000023720000}"/>
    <cellStyle name="Comma 3 3 4 3 3 11" xfId="44753" xr:uid="{00000000-0005-0000-0000-000024720000}"/>
    <cellStyle name="Comma 3 3 4 3 3 12" xfId="21475" xr:uid="{00000000-0005-0000-0000-000025720000}"/>
    <cellStyle name="Comma 3 3 4 3 3 2" xfId="1256" xr:uid="{00000000-0005-0000-0000-000026720000}"/>
    <cellStyle name="Comma 3 3 4 3 3 2 10" xfId="45365" xr:uid="{00000000-0005-0000-0000-000027720000}"/>
    <cellStyle name="Comma 3 3 4 3 3 2 11" xfId="22087" xr:uid="{00000000-0005-0000-0000-000028720000}"/>
    <cellStyle name="Comma 3 3 4 3 3 2 2" xfId="2480" xr:uid="{00000000-0005-0000-0000-000029720000}"/>
    <cellStyle name="Comma 3 3 4 3 3 2 2 10" xfId="23311" xr:uid="{00000000-0005-0000-0000-00002A720000}"/>
    <cellStyle name="Comma 3 3 4 3 3 2 2 2" xfId="4928" xr:uid="{00000000-0005-0000-0000-00002B720000}"/>
    <cellStyle name="Comma 3 3 4 3 3 2 2 2 2" xfId="20863" xr:uid="{00000000-0005-0000-0000-00002C720000}"/>
    <cellStyle name="Comma 3 3 4 3 3 2 2 2 2 2" xfId="44141" xr:uid="{00000000-0005-0000-0000-00002D720000}"/>
    <cellStyle name="Comma 3 3 4 3 3 2 2 2 3" xfId="49037" xr:uid="{00000000-0005-0000-0000-00002E720000}"/>
    <cellStyle name="Comma 3 3 4 3 3 2 2 2 4" xfId="28207" xr:uid="{00000000-0005-0000-0000-00002F720000}"/>
    <cellStyle name="Comma 3 3 4 3 3 2 2 3" xfId="7376" xr:uid="{00000000-0005-0000-0000-000030720000}"/>
    <cellStyle name="Comma 3 3 4 3 3 2 2 3 2" xfId="30655" xr:uid="{00000000-0005-0000-0000-000031720000}"/>
    <cellStyle name="Comma 3 3 4 3 3 2 2 4" xfId="9824" xr:uid="{00000000-0005-0000-0000-000032720000}"/>
    <cellStyle name="Comma 3 3 4 3 3 2 2 4 2" xfId="33103" xr:uid="{00000000-0005-0000-0000-000033720000}"/>
    <cellStyle name="Comma 3 3 4 3 3 2 2 5" xfId="12272" xr:uid="{00000000-0005-0000-0000-000034720000}"/>
    <cellStyle name="Comma 3 3 4 3 3 2 2 5 2" xfId="35551" xr:uid="{00000000-0005-0000-0000-000035720000}"/>
    <cellStyle name="Comma 3 3 4 3 3 2 2 6" xfId="14720" xr:uid="{00000000-0005-0000-0000-000036720000}"/>
    <cellStyle name="Comma 3 3 4 3 3 2 2 6 2" xfId="37999" xr:uid="{00000000-0005-0000-0000-000037720000}"/>
    <cellStyle name="Comma 3 3 4 3 3 2 2 7" xfId="18415" xr:uid="{00000000-0005-0000-0000-000038720000}"/>
    <cellStyle name="Comma 3 3 4 3 3 2 2 7 2" xfId="41693" xr:uid="{00000000-0005-0000-0000-000039720000}"/>
    <cellStyle name="Comma 3 3 4 3 3 2 2 8" xfId="25759" xr:uid="{00000000-0005-0000-0000-00003A720000}"/>
    <cellStyle name="Comma 3 3 4 3 3 2 2 9" xfId="46589" xr:uid="{00000000-0005-0000-0000-00003B720000}"/>
    <cellStyle name="Comma 3 3 4 3 3 2 3" xfId="3704" xr:uid="{00000000-0005-0000-0000-00003C720000}"/>
    <cellStyle name="Comma 3 3 4 3 3 2 3 2" xfId="17191" xr:uid="{00000000-0005-0000-0000-00003D720000}"/>
    <cellStyle name="Comma 3 3 4 3 3 2 3 2 2" xfId="40469" xr:uid="{00000000-0005-0000-0000-00003E720000}"/>
    <cellStyle name="Comma 3 3 4 3 3 2 3 3" xfId="47813" xr:uid="{00000000-0005-0000-0000-00003F720000}"/>
    <cellStyle name="Comma 3 3 4 3 3 2 3 4" xfId="26983" xr:uid="{00000000-0005-0000-0000-000040720000}"/>
    <cellStyle name="Comma 3 3 4 3 3 2 4" xfId="6152" xr:uid="{00000000-0005-0000-0000-000041720000}"/>
    <cellStyle name="Comma 3 3 4 3 3 2 4 2" xfId="19639" xr:uid="{00000000-0005-0000-0000-000042720000}"/>
    <cellStyle name="Comma 3 3 4 3 3 2 4 2 2" xfId="42917" xr:uid="{00000000-0005-0000-0000-000043720000}"/>
    <cellStyle name="Comma 3 3 4 3 3 2 4 3" xfId="29431" xr:uid="{00000000-0005-0000-0000-000044720000}"/>
    <cellStyle name="Comma 3 3 4 3 3 2 5" xfId="8600" xr:uid="{00000000-0005-0000-0000-000045720000}"/>
    <cellStyle name="Comma 3 3 4 3 3 2 5 2" xfId="31879" xr:uid="{00000000-0005-0000-0000-000046720000}"/>
    <cellStyle name="Comma 3 3 4 3 3 2 6" xfId="11048" xr:uid="{00000000-0005-0000-0000-000047720000}"/>
    <cellStyle name="Comma 3 3 4 3 3 2 6 2" xfId="34327" xr:uid="{00000000-0005-0000-0000-000048720000}"/>
    <cellStyle name="Comma 3 3 4 3 3 2 7" xfId="13496" xr:uid="{00000000-0005-0000-0000-000049720000}"/>
    <cellStyle name="Comma 3 3 4 3 3 2 7 2" xfId="36775" xr:uid="{00000000-0005-0000-0000-00004A720000}"/>
    <cellStyle name="Comma 3 3 4 3 3 2 8" xfId="15967" xr:uid="{00000000-0005-0000-0000-00004B720000}"/>
    <cellStyle name="Comma 3 3 4 3 3 2 8 2" xfId="39245" xr:uid="{00000000-0005-0000-0000-00004C720000}"/>
    <cellStyle name="Comma 3 3 4 3 3 2 9" xfId="24535" xr:uid="{00000000-0005-0000-0000-00004D720000}"/>
    <cellStyle name="Comma 3 3 4 3 3 3" xfId="1868" xr:uid="{00000000-0005-0000-0000-00004E720000}"/>
    <cellStyle name="Comma 3 3 4 3 3 3 10" xfId="22699" xr:uid="{00000000-0005-0000-0000-00004F720000}"/>
    <cellStyle name="Comma 3 3 4 3 3 3 2" xfId="4316" xr:uid="{00000000-0005-0000-0000-000050720000}"/>
    <cellStyle name="Comma 3 3 4 3 3 3 2 2" xfId="20251" xr:uid="{00000000-0005-0000-0000-000051720000}"/>
    <cellStyle name="Comma 3 3 4 3 3 3 2 2 2" xfId="43529" xr:uid="{00000000-0005-0000-0000-000052720000}"/>
    <cellStyle name="Comma 3 3 4 3 3 3 2 3" xfId="48425" xr:uid="{00000000-0005-0000-0000-000053720000}"/>
    <cellStyle name="Comma 3 3 4 3 3 3 2 4" xfId="27595" xr:uid="{00000000-0005-0000-0000-000054720000}"/>
    <cellStyle name="Comma 3 3 4 3 3 3 3" xfId="6764" xr:uid="{00000000-0005-0000-0000-000055720000}"/>
    <cellStyle name="Comma 3 3 4 3 3 3 3 2" xfId="30043" xr:uid="{00000000-0005-0000-0000-000056720000}"/>
    <cellStyle name="Comma 3 3 4 3 3 3 4" xfId="9212" xr:uid="{00000000-0005-0000-0000-000057720000}"/>
    <cellStyle name="Comma 3 3 4 3 3 3 4 2" xfId="32491" xr:uid="{00000000-0005-0000-0000-000058720000}"/>
    <cellStyle name="Comma 3 3 4 3 3 3 5" xfId="11660" xr:uid="{00000000-0005-0000-0000-000059720000}"/>
    <cellStyle name="Comma 3 3 4 3 3 3 5 2" xfId="34939" xr:uid="{00000000-0005-0000-0000-00005A720000}"/>
    <cellStyle name="Comma 3 3 4 3 3 3 6" xfId="14108" xr:uid="{00000000-0005-0000-0000-00005B720000}"/>
    <cellStyle name="Comma 3 3 4 3 3 3 6 2" xfId="37387" xr:uid="{00000000-0005-0000-0000-00005C720000}"/>
    <cellStyle name="Comma 3 3 4 3 3 3 7" xfId="17803" xr:uid="{00000000-0005-0000-0000-00005D720000}"/>
    <cellStyle name="Comma 3 3 4 3 3 3 7 2" xfId="41081" xr:uid="{00000000-0005-0000-0000-00005E720000}"/>
    <cellStyle name="Comma 3 3 4 3 3 3 8" xfId="25147" xr:uid="{00000000-0005-0000-0000-00005F720000}"/>
    <cellStyle name="Comma 3 3 4 3 3 3 9" xfId="45977" xr:uid="{00000000-0005-0000-0000-000060720000}"/>
    <cellStyle name="Comma 3 3 4 3 3 4" xfId="3092" xr:uid="{00000000-0005-0000-0000-000061720000}"/>
    <cellStyle name="Comma 3 3 4 3 3 4 2" xfId="16579" xr:uid="{00000000-0005-0000-0000-000062720000}"/>
    <cellStyle name="Comma 3 3 4 3 3 4 2 2" xfId="39857" xr:uid="{00000000-0005-0000-0000-000063720000}"/>
    <cellStyle name="Comma 3 3 4 3 3 4 3" xfId="47201" xr:uid="{00000000-0005-0000-0000-000064720000}"/>
    <cellStyle name="Comma 3 3 4 3 3 4 4" xfId="26371" xr:uid="{00000000-0005-0000-0000-000065720000}"/>
    <cellStyle name="Comma 3 3 4 3 3 5" xfId="5540" xr:uid="{00000000-0005-0000-0000-000066720000}"/>
    <cellStyle name="Comma 3 3 4 3 3 5 2" xfId="19027" xr:uid="{00000000-0005-0000-0000-000067720000}"/>
    <cellStyle name="Comma 3 3 4 3 3 5 2 2" xfId="42305" xr:uid="{00000000-0005-0000-0000-000068720000}"/>
    <cellStyle name="Comma 3 3 4 3 3 5 3" xfId="28819" xr:uid="{00000000-0005-0000-0000-000069720000}"/>
    <cellStyle name="Comma 3 3 4 3 3 6" xfId="7988" xr:uid="{00000000-0005-0000-0000-00006A720000}"/>
    <cellStyle name="Comma 3 3 4 3 3 6 2" xfId="31267" xr:uid="{00000000-0005-0000-0000-00006B720000}"/>
    <cellStyle name="Comma 3 3 4 3 3 7" xfId="10436" xr:uid="{00000000-0005-0000-0000-00006C720000}"/>
    <cellStyle name="Comma 3 3 4 3 3 7 2" xfId="33715" xr:uid="{00000000-0005-0000-0000-00006D720000}"/>
    <cellStyle name="Comma 3 3 4 3 3 8" xfId="12884" xr:uid="{00000000-0005-0000-0000-00006E720000}"/>
    <cellStyle name="Comma 3 3 4 3 3 8 2" xfId="36163" xr:uid="{00000000-0005-0000-0000-00006F720000}"/>
    <cellStyle name="Comma 3 3 4 3 3 9" xfId="15355" xr:uid="{00000000-0005-0000-0000-000070720000}"/>
    <cellStyle name="Comma 3 3 4 3 3 9 2" xfId="38633" xr:uid="{00000000-0005-0000-0000-000071720000}"/>
    <cellStyle name="Comma 3 3 4 3 4" xfId="848" xr:uid="{00000000-0005-0000-0000-000072720000}"/>
    <cellStyle name="Comma 3 3 4 3 4 10" xfId="44957" xr:uid="{00000000-0005-0000-0000-000073720000}"/>
    <cellStyle name="Comma 3 3 4 3 4 11" xfId="21679" xr:uid="{00000000-0005-0000-0000-000074720000}"/>
    <cellStyle name="Comma 3 3 4 3 4 2" xfId="2072" xr:uid="{00000000-0005-0000-0000-000075720000}"/>
    <cellStyle name="Comma 3 3 4 3 4 2 10" xfId="22903" xr:uid="{00000000-0005-0000-0000-000076720000}"/>
    <cellStyle name="Comma 3 3 4 3 4 2 2" xfId="4520" xr:uid="{00000000-0005-0000-0000-000077720000}"/>
    <cellStyle name="Comma 3 3 4 3 4 2 2 2" xfId="20455" xr:uid="{00000000-0005-0000-0000-000078720000}"/>
    <cellStyle name="Comma 3 3 4 3 4 2 2 2 2" xfId="43733" xr:uid="{00000000-0005-0000-0000-000079720000}"/>
    <cellStyle name="Comma 3 3 4 3 4 2 2 3" xfId="48629" xr:uid="{00000000-0005-0000-0000-00007A720000}"/>
    <cellStyle name="Comma 3 3 4 3 4 2 2 4" xfId="27799" xr:uid="{00000000-0005-0000-0000-00007B720000}"/>
    <cellStyle name="Comma 3 3 4 3 4 2 3" xfId="6968" xr:uid="{00000000-0005-0000-0000-00007C720000}"/>
    <cellStyle name="Comma 3 3 4 3 4 2 3 2" xfId="30247" xr:uid="{00000000-0005-0000-0000-00007D720000}"/>
    <cellStyle name="Comma 3 3 4 3 4 2 4" xfId="9416" xr:uid="{00000000-0005-0000-0000-00007E720000}"/>
    <cellStyle name="Comma 3 3 4 3 4 2 4 2" xfId="32695" xr:uid="{00000000-0005-0000-0000-00007F720000}"/>
    <cellStyle name="Comma 3 3 4 3 4 2 5" xfId="11864" xr:uid="{00000000-0005-0000-0000-000080720000}"/>
    <cellStyle name="Comma 3 3 4 3 4 2 5 2" xfId="35143" xr:uid="{00000000-0005-0000-0000-000081720000}"/>
    <cellStyle name="Comma 3 3 4 3 4 2 6" xfId="14312" xr:uid="{00000000-0005-0000-0000-000082720000}"/>
    <cellStyle name="Comma 3 3 4 3 4 2 6 2" xfId="37591" xr:uid="{00000000-0005-0000-0000-000083720000}"/>
    <cellStyle name="Comma 3 3 4 3 4 2 7" xfId="18007" xr:uid="{00000000-0005-0000-0000-000084720000}"/>
    <cellStyle name="Comma 3 3 4 3 4 2 7 2" xfId="41285" xr:uid="{00000000-0005-0000-0000-000085720000}"/>
    <cellStyle name="Comma 3 3 4 3 4 2 8" xfId="25351" xr:uid="{00000000-0005-0000-0000-000086720000}"/>
    <cellStyle name="Comma 3 3 4 3 4 2 9" xfId="46181" xr:uid="{00000000-0005-0000-0000-000087720000}"/>
    <cellStyle name="Comma 3 3 4 3 4 3" xfId="3296" xr:uid="{00000000-0005-0000-0000-000088720000}"/>
    <cellStyle name="Comma 3 3 4 3 4 3 2" xfId="16783" xr:uid="{00000000-0005-0000-0000-000089720000}"/>
    <cellStyle name="Comma 3 3 4 3 4 3 2 2" xfId="40061" xr:uid="{00000000-0005-0000-0000-00008A720000}"/>
    <cellStyle name="Comma 3 3 4 3 4 3 3" xfId="47405" xr:uid="{00000000-0005-0000-0000-00008B720000}"/>
    <cellStyle name="Comma 3 3 4 3 4 3 4" xfId="26575" xr:uid="{00000000-0005-0000-0000-00008C720000}"/>
    <cellStyle name="Comma 3 3 4 3 4 4" xfId="5744" xr:uid="{00000000-0005-0000-0000-00008D720000}"/>
    <cellStyle name="Comma 3 3 4 3 4 4 2" xfId="19231" xr:uid="{00000000-0005-0000-0000-00008E720000}"/>
    <cellStyle name="Comma 3 3 4 3 4 4 2 2" xfId="42509" xr:uid="{00000000-0005-0000-0000-00008F720000}"/>
    <cellStyle name="Comma 3 3 4 3 4 4 3" xfId="29023" xr:uid="{00000000-0005-0000-0000-000090720000}"/>
    <cellStyle name="Comma 3 3 4 3 4 5" xfId="8192" xr:uid="{00000000-0005-0000-0000-000091720000}"/>
    <cellStyle name="Comma 3 3 4 3 4 5 2" xfId="31471" xr:uid="{00000000-0005-0000-0000-000092720000}"/>
    <cellStyle name="Comma 3 3 4 3 4 6" xfId="10640" xr:uid="{00000000-0005-0000-0000-000093720000}"/>
    <cellStyle name="Comma 3 3 4 3 4 6 2" xfId="33919" xr:uid="{00000000-0005-0000-0000-000094720000}"/>
    <cellStyle name="Comma 3 3 4 3 4 7" xfId="13088" xr:uid="{00000000-0005-0000-0000-000095720000}"/>
    <cellStyle name="Comma 3 3 4 3 4 7 2" xfId="36367" xr:uid="{00000000-0005-0000-0000-000096720000}"/>
    <cellStyle name="Comma 3 3 4 3 4 8" xfId="15559" xr:uid="{00000000-0005-0000-0000-000097720000}"/>
    <cellStyle name="Comma 3 3 4 3 4 8 2" xfId="38837" xr:uid="{00000000-0005-0000-0000-000098720000}"/>
    <cellStyle name="Comma 3 3 4 3 4 9" xfId="24127" xr:uid="{00000000-0005-0000-0000-000099720000}"/>
    <cellStyle name="Comma 3 3 4 3 5" xfId="1460" xr:uid="{00000000-0005-0000-0000-00009A720000}"/>
    <cellStyle name="Comma 3 3 4 3 5 10" xfId="22291" xr:uid="{00000000-0005-0000-0000-00009B720000}"/>
    <cellStyle name="Comma 3 3 4 3 5 2" xfId="3908" xr:uid="{00000000-0005-0000-0000-00009C720000}"/>
    <cellStyle name="Comma 3 3 4 3 5 2 2" xfId="19843" xr:uid="{00000000-0005-0000-0000-00009D720000}"/>
    <cellStyle name="Comma 3 3 4 3 5 2 2 2" xfId="43121" xr:uid="{00000000-0005-0000-0000-00009E720000}"/>
    <cellStyle name="Comma 3 3 4 3 5 2 3" xfId="48017" xr:uid="{00000000-0005-0000-0000-00009F720000}"/>
    <cellStyle name="Comma 3 3 4 3 5 2 4" xfId="27187" xr:uid="{00000000-0005-0000-0000-0000A0720000}"/>
    <cellStyle name="Comma 3 3 4 3 5 3" xfId="6356" xr:uid="{00000000-0005-0000-0000-0000A1720000}"/>
    <cellStyle name="Comma 3 3 4 3 5 3 2" xfId="29635" xr:uid="{00000000-0005-0000-0000-0000A2720000}"/>
    <cellStyle name="Comma 3 3 4 3 5 4" xfId="8804" xr:uid="{00000000-0005-0000-0000-0000A3720000}"/>
    <cellStyle name="Comma 3 3 4 3 5 4 2" xfId="32083" xr:uid="{00000000-0005-0000-0000-0000A4720000}"/>
    <cellStyle name="Comma 3 3 4 3 5 5" xfId="11252" xr:uid="{00000000-0005-0000-0000-0000A5720000}"/>
    <cellStyle name="Comma 3 3 4 3 5 5 2" xfId="34531" xr:uid="{00000000-0005-0000-0000-0000A6720000}"/>
    <cellStyle name="Comma 3 3 4 3 5 6" xfId="13700" xr:uid="{00000000-0005-0000-0000-0000A7720000}"/>
    <cellStyle name="Comma 3 3 4 3 5 6 2" xfId="36979" xr:uid="{00000000-0005-0000-0000-0000A8720000}"/>
    <cellStyle name="Comma 3 3 4 3 5 7" xfId="17395" xr:uid="{00000000-0005-0000-0000-0000A9720000}"/>
    <cellStyle name="Comma 3 3 4 3 5 7 2" xfId="40673" xr:uid="{00000000-0005-0000-0000-0000AA720000}"/>
    <cellStyle name="Comma 3 3 4 3 5 8" xfId="24739" xr:uid="{00000000-0005-0000-0000-0000AB720000}"/>
    <cellStyle name="Comma 3 3 4 3 5 9" xfId="45569" xr:uid="{00000000-0005-0000-0000-0000AC720000}"/>
    <cellStyle name="Comma 3 3 4 3 6" xfId="2684" xr:uid="{00000000-0005-0000-0000-0000AD720000}"/>
    <cellStyle name="Comma 3 3 4 3 6 2" xfId="16171" xr:uid="{00000000-0005-0000-0000-0000AE720000}"/>
    <cellStyle name="Comma 3 3 4 3 6 2 2" xfId="39449" xr:uid="{00000000-0005-0000-0000-0000AF720000}"/>
    <cellStyle name="Comma 3 3 4 3 6 3" xfId="46793" xr:uid="{00000000-0005-0000-0000-0000B0720000}"/>
    <cellStyle name="Comma 3 3 4 3 6 4" xfId="25963" xr:uid="{00000000-0005-0000-0000-0000B1720000}"/>
    <cellStyle name="Comma 3 3 4 3 7" xfId="5132" xr:uid="{00000000-0005-0000-0000-0000B2720000}"/>
    <cellStyle name="Comma 3 3 4 3 7 2" xfId="18619" xr:uid="{00000000-0005-0000-0000-0000B3720000}"/>
    <cellStyle name="Comma 3 3 4 3 7 2 2" xfId="41897" xr:uid="{00000000-0005-0000-0000-0000B4720000}"/>
    <cellStyle name="Comma 3 3 4 3 7 3" xfId="28411" xr:uid="{00000000-0005-0000-0000-0000B5720000}"/>
    <cellStyle name="Comma 3 3 4 3 8" xfId="7580" xr:uid="{00000000-0005-0000-0000-0000B6720000}"/>
    <cellStyle name="Comma 3 3 4 3 8 2" xfId="30859" xr:uid="{00000000-0005-0000-0000-0000B7720000}"/>
    <cellStyle name="Comma 3 3 4 3 9" xfId="10028" xr:uid="{00000000-0005-0000-0000-0000B8720000}"/>
    <cellStyle name="Comma 3 3 4 3 9 2" xfId="33307" xr:uid="{00000000-0005-0000-0000-0000B9720000}"/>
    <cellStyle name="Comma 3 3 4 4" xfId="304" xr:uid="{00000000-0005-0000-0000-0000BA720000}"/>
    <cellStyle name="Comma 3 3 4 4 10" xfId="23583" xr:uid="{00000000-0005-0000-0000-0000BB720000}"/>
    <cellStyle name="Comma 3 3 4 4 11" xfId="44413" xr:uid="{00000000-0005-0000-0000-0000BC720000}"/>
    <cellStyle name="Comma 3 3 4 4 12" xfId="21135" xr:uid="{00000000-0005-0000-0000-0000BD720000}"/>
    <cellStyle name="Comma 3 3 4 4 2" xfId="916" xr:uid="{00000000-0005-0000-0000-0000BE720000}"/>
    <cellStyle name="Comma 3 3 4 4 2 10" xfId="45025" xr:uid="{00000000-0005-0000-0000-0000BF720000}"/>
    <cellStyle name="Comma 3 3 4 4 2 11" xfId="21747" xr:uid="{00000000-0005-0000-0000-0000C0720000}"/>
    <cellStyle name="Comma 3 3 4 4 2 2" xfId="2140" xr:uid="{00000000-0005-0000-0000-0000C1720000}"/>
    <cellStyle name="Comma 3 3 4 4 2 2 10" xfId="22971" xr:uid="{00000000-0005-0000-0000-0000C2720000}"/>
    <cellStyle name="Comma 3 3 4 4 2 2 2" xfId="4588" xr:uid="{00000000-0005-0000-0000-0000C3720000}"/>
    <cellStyle name="Comma 3 3 4 4 2 2 2 2" xfId="20523" xr:uid="{00000000-0005-0000-0000-0000C4720000}"/>
    <cellStyle name="Comma 3 3 4 4 2 2 2 2 2" xfId="43801" xr:uid="{00000000-0005-0000-0000-0000C5720000}"/>
    <cellStyle name="Comma 3 3 4 4 2 2 2 3" xfId="48697" xr:uid="{00000000-0005-0000-0000-0000C6720000}"/>
    <cellStyle name="Comma 3 3 4 4 2 2 2 4" xfId="27867" xr:uid="{00000000-0005-0000-0000-0000C7720000}"/>
    <cellStyle name="Comma 3 3 4 4 2 2 3" xfId="7036" xr:uid="{00000000-0005-0000-0000-0000C8720000}"/>
    <cellStyle name="Comma 3 3 4 4 2 2 3 2" xfId="30315" xr:uid="{00000000-0005-0000-0000-0000C9720000}"/>
    <cellStyle name="Comma 3 3 4 4 2 2 4" xfId="9484" xr:uid="{00000000-0005-0000-0000-0000CA720000}"/>
    <cellStyle name="Comma 3 3 4 4 2 2 4 2" xfId="32763" xr:uid="{00000000-0005-0000-0000-0000CB720000}"/>
    <cellStyle name="Comma 3 3 4 4 2 2 5" xfId="11932" xr:uid="{00000000-0005-0000-0000-0000CC720000}"/>
    <cellStyle name="Comma 3 3 4 4 2 2 5 2" xfId="35211" xr:uid="{00000000-0005-0000-0000-0000CD720000}"/>
    <cellStyle name="Comma 3 3 4 4 2 2 6" xfId="14380" xr:uid="{00000000-0005-0000-0000-0000CE720000}"/>
    <cellStyle name="Comma 3 3 4 4 2 2 6 2" xfId="37659" xr:uid="{00000000-0005-0000-0000-0000CF720000}"/>
    <cellStyle name="Comma 3 3 4 4 2 2 7" xfId="18075" xr:uid="{00000000-0005-0000-0000-0000D0720000}"/>
    <cellStyle name="Comma 3 3 4 4 2 2 7 2" xfId="41353" xr:uid="{00000000-0005-0000-0000-0000D1720000}"/>
    <cellStyle name="Comma 3 3 4 4 2 2 8" xfId="25419" xr:uid="{00000000-0005-0000-0000-0000D2720000}"/>
    <cellStyle name="Comma 3 3 4 4 2 2 9" xfId="46249" xr:uid="{00000000-0005-0000-0000-0000D3720000}"/>
    <cellStyle name="Comma 3 3 4 4 2 3" xfId="3364" xr:uid="{00000000-0005-0000-0000-0000D4720000}"/>
    <cellStyle name="Comma 3 3 4 4 2 3 2" xfId="16851" xr:uid="{00000000-0005-0000-0000-0000D5720000}"/>
    <cellStyle name="Comma 3 3 4 4 2 3 2 2" xfId="40129" xr:uid="{00000000-0005-0000-0000-0000D6720000}"/>
    <cellStyle name="Comma 3 3 4 4 2 3 3" xfId="47473" xr:uid="{00000000-0005-0000-0000-0000D7720000}"/>
    <cellStyle name="Comma 3 3 4 4 2 3 4" xfId="26643" xr:uid="{00000000-0005-0000-0000-0000D8720000}"/>
    <cellStyle name="Comma 3 3 4 4 2 4" xfId="5812" xr:uid="{00000000-0005-0000-0000-0000D9720000}"/>
    <cellStyle name="Comma 3 3 4 4 2 4 2" xfId="19299" xr:uid="{00000000-0005-0000-0000-0000DA720000}"/>
    <cellStyle name="Comma 3 3 4 4 2 4 2 2" xfId="42577" xr:uid="{00000000-0005-0000-0000-0000DB720000}"/>
    <cellStyle name="Comma 3 3 4 4 2 4 3" xfId="29091" xr:uid="{00000000-0005-0000-0000-0000DC720000}"/>
    <cellStyle name="Comma 3 3 4 4 2 5" xfId="8260" xr:uid="{00000000-0005-0000-0000-0000DD720000}"/>
    <cellStyle name="Comma 3 3 4 4 2 5 2" xfId="31539" xr:uid="{00000000-0005-0000-0000-0000DE720000}"/>
    <cellStyle name="Comma 3 3 4 4 2 6" xfId="10708" xr:uid="{00000000-0005-0000-0000-0000DF720000}"/>
    <cellStyle name="Comma 3 3 4 4 2 6 2" xfId="33987" xr:uid="{00000000-0005-0000-0000-0000E0720000}"/>
    <cellStyle name="Comma 3 3 4 4 2 7" xfId="13156" xr:uid="{00000000-0005-0000-0000-0000E1720000}"/>
    <cellStyle name="Comma 3 3 4 4 2 7 2" xfId="36435" xr:uid="{00000000-0005-0000-0000-0000E2720000}"/>
    <cellStyle name="Comma 3 3 4 4 2 8" xfId="15627" xr:uid="{00000000-0005-0000-0000-0000E3720000}"/>
    <cellStyle name="Comma 3 3 4 4 2 8 2" xfId="38905" xr:uid="{00000000-0005-0000-0000-0000E4720000}"/>
    <cellStyle name="Comma 3 3 4 4 2 9" xfId="24195" xr:uid="{00000000-0005-0000-0000-0000E5720000}"/>
    <cellStyle name="Comma 3 3 4 4 3" xfId="1528" xr:uid="{00000000-0005-0000-0000-0000E6720000}"/>
    <cellStyle name="Comma 3 3 4 4 3 10" xfId="22359" xr:uid="{00000000-0005-0000-0000-0000E7720000}"/>
    <cellStyle name="Comma 3 3 4 4 3 2" xfId="3976" xr:uid="{00000000-0005-0000-0000-0000E8720000}"/>
    <cellStyle name="Comma 3 3 4 4 3 2 2" xfId="19911" xr:uid="{00000000-0005-0000-0000-0000E9720000}"/>
    <cellStyle name="Comma 3 3 4 4 3 2 2 2" xfId="43189" xr:uid="{00000000-0005-0000-0000-0000EA720000}"/>
    <cellStyle name="Comma 3 3 4 4 3 2 3" xfId="48085" xr:uid="{00000000-0005-0000-0000-0000EB720000}"/>
    <cellStyle name="Comma 3 3 4 4 3 2 4" xfId="27255" xr:uid="{00000000-0005-0000-0000-0000EC720000}"/>
    <cellStyle name="Comma 3 3 4 4 3 3" xfId="6424" xr:uid="{00000000-0005-0000-0000-0000ED720000}"/>
    <cellStyle name="Comma 3 3 4 4 3 3 2" xfId="29703" xr:uid="{00000000-0005-0000-0000-0000EE720000}"/>
    <cellStyle name="Comma 3 3 4 4 3 4" xfId="8872" xr:uid="{00000000-0005-0000-0000-0000EF720000}"/>
    <cellStyle name="Comma 3 3 4 4 3 4 2" xfId="32151" xr:uid="{00000000-0005-0000-0000-0000F0720000}"/>
    <cellStyle name="Comma 3 3 4 4 3 5" xfId="11320" xr:uid="{00000000-0005-0000-0000-0000F1720000}"/>
    <cellStyle name="Comma 3 3 4 4 3 5 2" xfId="34599" xr:uid="{00000000-0005-0000-0000-0000F2720000}"/>
    <cellStyle name="Comma 3 3 4 4 3 6" xfId="13768" xr:uid="{00000000-0005-0000-0000-0000F3720000}"/>
    <cellStyle name="Comma 3 3 4 4 3 6 2" xfId="37047" xr:uid="{00000000-0005-0000-0000-0000F4720000}"/>
    <cellStyle name="Comma 3 3 4 4 3 7" xfId="17463" xr:uid="{00000000-0005-0000-0000-0000F5720000}"/>
    <cellStyle name="Comma 3 3 4 4 3 7 2" xfId="40741" xr:uid="{00000000-0005-0000-0000-0000F6720000}"/>
    <cellStyle name="Comma 3 3 4 4 3 8" xfId="24807" xr:uid="{00000000-0005-0000-0000-0000F7720000}"/>
    <cellStyle name="Comma 3 3 4 4 3 9" xfId="45637" xr:uid="{00000000-0005-0000-0000-0000F8720000}"/>
    <cellStyle name="Comma 3 3 4 4 4" xfId="2752" xr:uid="{00000000-0005-0000-0000-0000F9720000}"/>
    <cellStyle name="Comma 3 3 4 4 4 2" xfId="16239" xr:uid="{00000000-0005-0000-0000-0000FA720000}"/>
    <cellStyle name="Comma 3 3 4 4 4 2 2" xfId="39517" xr:uid="{00000000-0005-0000-0000-0000FB720000}"/>
    <cellStyle name="Comma 3 3 4 4 4 3" xfId="46861" xr:uid="{00000000-0005-0000-0000-0000FC720000}"/>
    <cellStyle name="Comma 3 3 4 4 4 4" xfId="26031" xr:uid="{00000000-0005-0000-0000-0000FD720000}"/>
    <cellStyle name="Comma 3 3 4 4 5" xfId="5200" xr:uid="{00000000-0005-0000-0000-0000FE720000}"/>
    <cellStyle name="Comma 3 3 4 4 5 2" xfId="18687" xr:uid="{00000000-0005-0000-0000-0000FF720000}"/>
    <cellStyle name="Comma 3 3 4 4 5 2 2" xfId="41965" xr:uid="{00000000-0005-0000-0000-000000730000}"/>
    <cellStyle name="Comma 3 3 4 4 5 3" xfId="28479" xr:uid="{00000000-0005-0000-0000-000001730000}"/>
    <cellStyle name="Comma 3 3 4 4 6" xfId="7648" xr:uid="{00000000-0005-0000-0000-000002730000}"/>
    <cellStyle name="Comma 3 3 4 4 6 2" xfId="30927" xr:uid="{00000000-0005-0000-0000-000003730000}"/>
    <cellStyle name="Comma 3 3 4 4 7" xfId="10096" xr:uid="{00000000-0005-0000-0000-000004730000}"/>
    <cellStyle name="Comma 3 3 4 4 7 2" xfId="33375" xr:uid="{00000000-0005-0000-0000-000005730000}"/>
    <cellStyle name="Comma 3 3 4 4 8" xfId="12544" xr:uid="{00000000-0005-0000-0000-000006730000}"/>
    <cellStyle name="Comma 3 3 4 4 8 2" xfId="35823" xr:uid="{00000000-0005-0000-0000-000007730000}"/>
    <cellStyle name="Comma 3 3 4 4 9" xfId="15015" xr:uid="{00000000-0005-0000-0000-000008730000}"/>
    <cellStyle name="Comma 3 3 4 4 9 2" xfId="38293" xr:uid="{00000000-0005-0000-0000-000009730000}"/>
    <cellStyle name="Comma 3 3 4 5" xfId="508" xr:uid="{00000000-0005-0000-0000-00000A730000}"/>
    <cellStyle name="Comma 3 3 4 5 10" xfId="23787" xr:uid="{00000000-0005-0000-0000-00000B730000}"/>
    <cellStyle name="Comma 3 3 4 5 11" xfId="44617" xr:uid="{00000000-0005-0000-0000-00000C730000}"/>
    <cellStyle name="Comma 3 3 4 5 12" xfId="21339" xr:uid="{00000000-0005-0000-0000-00000D730000}"/>
    <cellStyle name="Comma 3 3 4 5 2" xfId="1120" xr:uid="{00000000-0005-0000-0000-00000E730000}"/>
    <cellStyle name="Comma 3 3 4 5 2 10" xfId="45229" xr:uid="{00000000-0005-0000-0000-00000F730000}"/>
    <cellStyle name="Comma 3 3 4 5 2 11" xfId="21951" xr:uid="{00000000-0005-0000-0000-000010730000}"/>
    <cellStyle name="Comma 3 3 4 5 2 2" xfId="2344" xr:uid="{00000000-0005-0000-0000-000011730000}"/>
    <cellStyle name="Comma 3 3 4 5 2 2 10" xfId="23175" xr:uid="{00000000-0005-0000-0000-000012730000}"/>
    <cellStyle name="Comma 3 3 4 5 2 2 2" xfId="4792" xr:uid="{00000000-0005-0000-0000-000013730000}"/>
    <cellStyle name="Comma 3 3 4 5 2 2 2 2" xfId="20727" xr:uid="{00000000-0005-0000-0000-000014730000}"/>
    <cellStyle name="Comma 3 3 4 5 2 2 2 2 2" xfId="44005" xr:uid="{00000000-0005-0000-0000-000015730000}"/>
    <cellStyle name="Comma 3 3 4 5 2 2 2 3" xfId="48901" xr:uid="{00000000-0005-0000-0000-000016730000}"/>
    <cellStyle name="Comma 3 3 4 5 2 2 2 4" xfId="28071" xr:uid="{00000000-0005-0000-0000-000017730000}"/>
    <cellStyle name="Comma 3 3 4 5 2 2 3" xfId="7240" xr:uid="{00000000-0005-0000-0000-000018730000}"/>
    <cellStyle name="Comma 3 3 4 5 2 2 3 2" xfId="30519" xr:uid="{00000000-0005-0000-0000-000019730000}"/>
    <cellStyle name="Comma 3 3 4 5 2 2 4" xfId="9688" xr:uid="{00000000-0005-0000-0000-00001A730000}"/>
    <cellStyle name="Comma 3 3 4 5 2 2 4 2" xfId="32967" xr:uid="{00000000-0005-0000-0000-00001B730000}"/>
    <cellStyle name="Comma 3 3 4 5 2 2 5" xfId="12136" xr:uid="{00000000-0005-0000-0000-00001C730000}"/>
    <cellStyle name="Comma 3 3 4 5 2 2 5 2" xfId="35415" xr:uid="{00000000-0005-0000-0000-00001D730000}"/>
    <cellStyle name="Comma 3 3 4 5 2 2 6" xfId="14584" xr:uid="{00000000-0005-0000-0000-00001E730000}"/>
    <cellStyle name="Comma 3 3 4 5 2 2 6 2" xfId="37863" xr:uid="{00000000-0005-0000-0000-00001F730000}"/>
    <cellStyle name="Comma 3 3 4 5 2 2 7" xfId="18279" xr:uid="{00000000-0005-0000-0000-000020730000}"/>
    <cellStyle name="Comma 3 3 4 5 2 2 7 2" xfId="41557" xr:uid="{00000000-0005-0000-0000-000021730000}"/>
    <cellStyle name="Comma 3 3 4 5 2 2 8" xfId="25623" xr:uid="{00000000-0005-0000-0000-000022730000}"/>
    <cellStyle name="Comma 3 3 4 5 2 2 9" xfId="46453" xr:uid="{00000000-0005-0000-0000-000023730000}"/>
    <cellStyle name="Comma 3 3 4 5 2 3" xfId="3568" xr:uid="{00000000-0005-0000-0000-000024730000}"/>
    <cellStyle name="Comma 3 3 4 5 2 3 2" xfId="17055" xr:uid="{00000000-0005-0000-0000-000025730000}"/>
    <cellStyle name="Comma 3 3 4 5 2 3 2 2" xfId="40333" xr:uid="{00000000-0005-0000-0000-000026730000}"/>
    <cellStyle name="Comma 3 3 4 5 2 3 3" xfId="47677" xr:uid="{00000000-0005-0000-0000-000027730000}"/>
    <cellStyle name="Comma 3 3 4 5 2 3 4" xfId="26847" xr:uid="{00000000-0005-0000-0000-000028730000}"/>
    <cellStyle name="Comma 3 3 4 5 2 4" xfId="6016" xr:uid="{00000000-0005-0000-0000-000029730000}"/>
    <cellStyle name="Comma 3 3 4 5 2 4 2" xfId="19503" xr:uid="{00000000-0005-0000-0000-00002A730000}"/>
    <cellStyle name="Comma 3 3 4 5 2 4 2 2" xfId="42781" xr:uid="{00000000-0005-0000-0000-00002B730000}"/>
    <cellStyle name="Comma 3 3 4 5 2 4 3" xfId="29295" xr:uid="{00000000-0005-0000-0000-00002C730000}"/>
    <cellStyle name="Comma 3 3 4 5 2 5" xfId="8464" xr:uid="{00000000-0005-0000-0000-00002D730000}"/>
    <cellStyle name="Comma 3 3 4 5 2 5 2" xfId="31743" xr:uid="{00000000-0005-0000-0000-00002E730000}"/>
    <cellStyle name="Comma 3 3 4 5 2 6" xfId="10912" xr:uid="{00000000-0005-0000-0000-00002F730000}"/>
    <cellStyle name="Comma 3 3 4 5 2 6 2" xfId="34191" xr:uid="{00000000-0005-0000-0000-000030730000}"/>
    <cellStyle name="Comma 3 3 4 5 2 7" xfId="13360" xr:uid="{00000000-0005-0000-0000-000031730000}"/>
    <cellStyle name="Comma 3 3 4 5 2 7 2" xfId="36639" xr:uid="{00000000-0005-0000-0000-000032730000}"/>
    <cellStyle name="Comma 3 3 4 5 2 8" xfId="15831" xr:uid="{00000000-0005-0000-0000-000033730000}"/>
    <cellStyle name="Comma 3 3 4 5 2 8 2" xfId="39109" xr:uid="{00000000-0005-0000-0000-000034730000}"/>
    <cellStyle name="Comma 3 3 4 5 2 9" xfId="24399" xr:uid="{00000000-0005-0000-0000-000035730000}"/>
    <cellStyle name="Comma 3 3 4 5 3" xfId="1732" xr:uid="{00000000-0005-0000-0000-000036730000}"/>
    <cellStyle name="Comma 3 3 4 5 3 10" xfId="22563" xr:uid="{00000000-0005-0000-0000-000037730000}"/>
    <cellStyle name="Comma 3 3 4 5 3 2" xfId="4180" xr:uid="{00000000-0005-0000-0000-000038730000}"/>
    <cellStyle name="Comma 3 3 4 5 3 2 2" xfId="20115" xr:uid="{00000000-0005-0000-0000-000039730000}"/>
    <cellStyle name="Comma 3 3 4 5 3 2 2 2" xfId="43393" xr:uid="{00000000-0005-0000-0000-00003A730000}"/>
    <cellStyle name="Comma 3 3 4 5 3 2 3" xfId="48289" xr:uid="{00000000-0005-0000-0000-00003B730000}"/>
    <cellStyle name="Comma 3 3 4 5 3 2 4" xfId="27459" xr:uid="{00000000-0005-0000-0000-00003C730000}"/>
    <cellStyle name="Comma 3 3 4 5 3 3" xfId="6628" xr:uid="{00000000-0005-0000-0000-00003D730000}"/>
    <cellStyle name="Comma 3 3 4 5 3 3 2" xfId="29907" xr:uid="{00000000-0005-0000-0000-00003E730000}"/>
    <cellStyle name="Comma 3 3 4 5 3 4" xfId="9076" xr:uid="{00000000-0005-0000-0000-00003F730000}"/>
    <cellStyle name="Comma 3 3 4 5 3 4 2" xfId="32355" xr:uid="{00000000-0005-0000-0000-000040730000}"/>
    <cellStyle name="Comma 3 3 4 5 3 5" xfId="11524" xr:uid="{00000000-0005-0000-0000-000041730000}"/>
    <cellStyle name="Comma 3 3 4 5 3 5 2" xfId="34803" xr:uid="{00000000-0005-0000-0000-000042730000}"/>
    <cellStyle name="Comma 3 3 4 5 3 6" xfId="13972" xr:uid="{00000000-0005-0000-0000-000043730000}"/>
    <cellStyle name="Comma 3 3 4 5 3 6 2" xfId="37251" xr:uid="{00000000-0005-0000-0000-000044730000}"/>
    <cellStyle name="Comma 3 3 4 5 3 7" xfId="17667" xr:uid="{00000000-0005-0000-0000-000045730000}"/>
    <cellStyle name="Comma 3 3 4 5 3 7 2" xfId="40945" xr:uid="{00000000-0005-0000-0000-000046730000}"/>
    <cellStyle name="Comma 3 3 4 5 3 8" xfId="25011" xr:uid="{00000000-0005-0000-0000-000047730000}"/>
    <cellStyle name="Comma 3 3 4 5 3 9" xfId="45841" xr:uid="{00000000-0005-0000-0000-000048730000}"/>
    <cellStyle name="Comma 3 3 4 5 4" xfId="2956" xr:uid="{00000000-0005-0000-0000-000049730000}"/>
    <cellStyle name="Comma 3 3 4 5 4 2" xfId="16443" xr:uid="{00000000-0005-0000-0000-00004A730000}"/>
    <cellStyle name="Comma 3 3 4 5 4 2 2" xfId="39721" xr:uid="{00000000-0005-0000-0000-00004B730000}"/>
    <cellStyle name="Comma 3 3 4 5 4 3" xfId="47065" xr:uid="{00000000-0005-0000-0000-00004C730000}"/>
    <cellStyle name="Comma 3 3 4 5 4 4" xfId="26235" xr:uid="{00000000-0005-0000-0000-00004D730000}"/>
    <cellStyle name="Comma 3 3 4 5 5" xfId="5404" xr:uid="{00000000-0005-0000-0000-00004E730000}"/>
    <cellStyle name="Comma 3 3 4 5 5 2" xfId="18891" xr:uid="{00000000-0005-0000-0000-00004F730000}"/>
    <cellStyle name="Comma 3 3 4 5 5 2 2" xfId="42169" xr:uid="{00000000-0005-0000-0000-000050730000}"/>
    <cellStyle name="Comma 3 3 4 5 5 3" xfId="28683" xr:uid="{00000000-0005-0000-0000-000051730000}"/>
    <cellStyle name="Comma 3 3 4 5 6" xfId="7852" xr:uid="{00000000-0005-0000-0000-000052730000}"/>
    <cellStyle name="Comma 3 3 4 5 6 2" xfId="31131" xr:uid="{00000000-0005-0000-0000-000053730000}"/>
    <cellStyle name="Comma 3 3 4 5 7" xfId="10300" xr:uid="{00000000-0005-0000-0000-000054730000}"/>
    <cellStyle name="Comma 3 3 4 5 7 2" xfId="33579" xr:uid="{00000000-0005-0000-0000-000055730000}"/>
    <cellStyle name="Comma 3 3 4 5 8" xfId="12748" xr:uid="{00000000-0005-0000-0000-000056730000}"/>
    <cellStyle name="Comma 3 3 4 5 8 2" xfId="36027" xr:uid="{00000000-0005-0000-0000-000057730000}"/>
    <cellStyle name="Comma 3 3 4 5 9" xfId="15219" xr:uid="{00000000-0005-0000-0000-000058730000}"/>
    <cellStyle name="Comma 3 3 4 5 9 2" xfId="38497" xr:uid="{00000000-0005-0000-0000-000059730000}"/>
    <cellStyle name="Comma 3 3 4 6" xfId="712" xr:uid="{00000000-0005-0000-0000-00005A730000}"/>
    <cellStyle name="Comma 3 3 4 6 10" xfId="44821" xr:uid="{00000000-0005-0000-0000-00005B730000}"/>
    <cellStyle name="Comma 3 3 4 6 11" xfId="21543" xr:uid="{00000000-0005-0000-0000-00005C730000}"/>
    <cellStyle name="Comma 3 3 4 6 2" xfId="1936" xr:uid="{00000000-0005-0000-0000-00005D730000}"/>
    <cellStyle name="Comma 3 3 4 6 2 10" xfId="22767" xr:uid="{00000000-0005-0000-0000-00005E730000}"/>
    <cellStyle name="Comma 3 3 4 6 2 2" xfId="4384" xr:uid="{00000000-0005-0000-0000-00005F730000}"/>
    <cellStyle name="Comma 3 3 4 6 2 2 2" xfId="20319" xr:uid="{00000000-0005-0000-0000-000060730000}"/>
    <cellStyle name="Comma 3 3 4 6 2 2 2 2" xfId="43597" xr:uid="{00000000-0005-0000-0000-000061730000}"/>
    <cellStyle name="Comma 3 3 4 6 2 2 3" xfId="48493" xr:uid="{00000000-0005-0000-0000-000062730000}"/>
    <cellStyle name="Comma 3 3 4 6 2 2 4" xfId="27663" xr:uid="{00000000-0005-0000-0000-000063730000}"/>
    <cellStyle name="Comma 3 3 4 6 2 3" xfId="6832" xr:uid="{00000000-0005-0000-0000-000064730000}"/>
    <cellStyle name="Comma 3 3 4 6 2 3 2" xfId="30111" xr:uid="{00000000-0005-0000-0000-000065730000}"/>
    <cellStyle name="Comma 3 3 4 6 2 4" xfId="9280" xr:uid="{00000000-0005-0000-0000-000066730000}"/>
    <cellStyle name="Comma 3 3 4 6 2 4 2" xfId="32559" xr:uid="{00000000-0005-0000-0000-000067730000}"/>
    <cellStyle name="Comma 3 3 4 6 2 5" xfId="11728" xr:uid="{00000000-0005-0000-0000-000068730000}"/>
    <cellStyle name="Comma 3 3 4 6 2 5 2" xfId="35007" xr:uid="{00000000-0005-0000-0000-000069730000}"/>
    <cellStyle name="Comma 3 3 4 6 2 6" xfId="14176" xr:uid="{00000000-0005-0000-0000-00006A730000}"/>
    <cellStyle name="Comma 3 3 4 6 2 6 2" xfId="37455" xr:uid="{00000000-0005-0000-0000-00006B730000}"/>
    <cellStyle name="Comma 3 3 4 6 2 7" xfId="17871" xr:uid="{00000000-0005-0000-0000-00006C730000}"/>
    <cellStyle name="Comma 3 3 4 6 2 7 2" xfId="41149" xr:uid="{00000000-0005-0000-0000-00006D730000}"/>
    <cellStyle name="Comma 3 3 4 6 2 8" xfId="25215" xr:uid="{00000000-0005-0000-0000-00006E730000}"/>
    <cellStyle name="Comma 3 3 4 6 2 9" xfId="46045" xr:uid="{00000000-0005-0000-0000-00006F730000}"/>
    <cellStyle name="Comma 3 3 4 6 3" xfId="3160" xr:uid="{00000000-0005-0000-0000-000070730000}"/>
    <cellStyle name="Comma 3 3 4 6 3 2" xfId="16647" xr:uid="{00000000-0005-0000-0000-000071730000}"/>
    <cellStyle name="Comma 3 3 4 6 3 2 2" xfId="39925" xr:uid="{00000000-0005-0000-0000-000072730000}"/>
    <cellStyle name="Comma 3 3 4 6 3 3" xfId="47269" xr:uid="{00000000-0005-0000-0000-000073730000}"/>
    <cellStyle name="Comma 3 3 4 6 3 4" xfId="26439" xr:uid="{00000000-0005-0000-0000-000074730000}"/>
    <cellStyle name="Comma 3 3 4 6 4" xfId="5608" xr:uid="{00000000-0005-0000-0000-000075730000}"/>
    <cellStyle name="Comma 3 3 4 6 4 2" xfId="19095" xr:uid="{00000000-0005-0000-0000-000076730000}"/>
    <cellStyle name="Comma 3 3 4 6 4 2 2" xfId="42373" xr:uid="{00000000-0005-0000-0000-000077730000}"/>
    <cellStyle name="Comma 3 3 4 6 4 3" xfId="28887" xr:uid="{00000000-0005-0000-0000-000078730000}"/>
    <cellStyle name="Comma 3 3 4 6 5" xfId="8056" xr:uid="{00000000-0005-0000-0000-000079730000}"/>
    <cellStyle name="Comma 3 3 4 6 5 2" xfId="31335" xr:uid="{00000000-0005-0000-0000-00007A730000}"/>
    <cellStyle name="Comma 3 3 4 6 6" xfId="10504" xr:uid="{00000000-0005-0000-0000-00007B730000}"/>
    <cellStyle name="Comma 3 3 4 6 6 2" xfId="33783" xr:uid="{00000000-0005-0000-0000-00007C730000}"/>
    <cellStyle name="Comma 3 3 4 6 7" xfId="12952" xr:uid="{00000000-0005-0000-0000-00007D730000}"/>
    <cellStyle name="Comma 3 3 4 6 7 2" xfId="36231" xr:uid="{00000000-0005-0000-0000-00007E730000}"/>
    <cellStyle name="Comma 3 3 4 6 8" xfId="15423" xr:uid="{00000000-0005-0000-0000-00007F730000}"/>
    <cellStyle name="Comma 3 3 4 6 8 2" xfId="38701" xr:uid="{00000000-0005-0000-0000-000080730000}"/>
    <cellStyle name="Comma 3 3 4 6 9" xfId="23991" xr:uid="{00000000-0005-0000-0000-000081730000}"/>
    <cellStyle name="Comma 3 3 4 7" xfId="1324" xr:uid="{00000000-0005-0000-0000-000082730000}"/>
    <cellStyle name="Comma 3 3 4 7 10" xfId="22155" xr:uid="{00000000-0005-0000-0000-000083730000}"/>
    <cellStyle name="Comma 3 3 4 7 2" xfId="3772" xr:uid="{00000000-0005-0000-0000-000084730000}"/>
    <cellStyle name="Comma 3 3 4 7 2 2" xfId="19707" xr:uid="{00000000-0005-0000-0000-000085730000}"/>
    <cellStyle name="Comma 3 3 4 7 2 2 2" xfId="42985" xr:uid="{00000000-0005-0000-0000-000086730000}"/>
    <cellStyle name="Comma 3 3 4 7 2 3" xfId="47881" xr:uid="{00000000-0005-0000-0000-000087730000}"/>
    <cellStyle name="Comma 3 3 4 7 2 4" xfId="27051" xr:uid="{00000000-0005-0000-0000-000088730000}"/>
    <cellStyle name="Comma 3 3 4 7 3" xfId="6220" xr:uid="{00000000-0005-0000-0000-000089730000}"/>
    <cellStyle name="Comma 3 3 4 7 3 2" xfId="29499" xr:uid="{00000000-0005-0000-0000-00008A730000}"/>
    <cellStyle name="Comma 3 3 4 7 4" xfId="8668" xr:uid="{00000000-0005-0000-0000-00008B730000}"/>
    <cellStyle name="Comma 3 3 4 7 4 2" xfId="31947" xr:uid="{00000000-0005-0000-0000-00008C730000}"/>
    <cellStyle name="Comma 3 3 4 7 5" xfId="11116" xr:uid="{00000000-0005-0000-0000-00008D730000}"/>
    <cellStyle name="Comma 3 3 4 7 5 2" xfId="34395" xr:uid="{00000000-0005-0000-0000-00008E730000}"/>
    <cellStyle name="Comma 3 3 4 7 6" xfId="13564" xr:uid="{00000000-0005-0000-0000-00008F730000}"/>
    <cellStyle name="Comma 3 3 4 7 6 2" xfId="36843" xr:uid="{00000000-0005-0000-0000-000090730000}"/>
    <cellStyle name="Comma 3 3 4 7 7" xfId="17259" xr:uid="{00000000-0005-0000-0000-000091730000}"/>
    <cellStyle name="Comma 3 3 4 7 7 2" xfId="40537" xr:uid="{00000000-0005-0000-0000-000092730000}"/>
    <cellStyle name="Comma 3 3 4 7 8" xfId="24603" xr:uid="{00000000-0005-0000-0000-000093730000}"/>
    <cellStyle name="Comma 3 3 4 7 9" xfId="45433" xr:uid="{00000000-0005-0000-0000-000094730000}"/>
    <cellStyle name="Comma 3 3 4 8" xfId="2548" xr:uid="{00000000-0005-0000-0000-000095730000}"/>
    <cellStyle name="Comma 3 3 4 8 2" xfId="16035" xr:uid="{00000000-0005-0000-0000-000096730000}"/>
    <cellStyle name="Comma 3 3 4 8 2 2" xfId="39313" xr:uid="{00000000-0005-0000-0000-000097730000}"/>
    <cellStyle name="Comma 3 3 4 8 3" xfId="46657" xr:uid="{00000000-0005-0000-0000-000098730000}"/>
    <cellStyle name="Comma 3 3 4 8 4" xfId="25827" xr:uid="{00000000-0005-0000-0000-000099730000}"/>
    <cellStyle name="Comma 3 3 4 9" xfId="4996" xr:uid="{00000000-0005-0000-0000-00009A730000}"/>
    <cellStyle name="Comma 3 3 4 9 2" xfId="18483" xr:uid="{00000000-0005-0000-0000-00009B730000}"/>
    <cellStyle name="Comma 3 3 4 9 2 2" xfId="41761" xr:uid="{00000000-0005-0000-0000-00009C730000}"/>
    <cellStyle name="Comma 3 3 4 9 3" xfId="28275" xr:uid="{00000000-0005-0000-0000-00009D730000}"/>
    <cellStyle name="Comma 3 3 5" xfId="117" xr:uid="{00000000-0005-0000-0000-00009E730000}"/>
    <cellStyle name="Comma 3 3 5 10" xfId="12357" xr:uid="{00000000-0005-0000-0000-00009F730000}"/>
    <cellStyle name="Comma 3 3 5 10 2" xfId="35636" xr:uid="{00000000-0005-0000-0000-0000A0730000}"/>
    <cellStyle name="Comma 3 3 5 11" xfId="14828" xr:uid="{00000000-0005-0000-0000-0000A1730000}"/>
    <cellStyle name="Comma 3 3 5 11 2" xfId="38106" xr:uid="{00000000-0005-0000-0000-0000A2730000}"/>
    <cellStyle name="Comma 3 3 5 12" xfId="23396" xr:uid="{00000000-0005-0000-0000-0000A3730000}"/>
    <cellStyle name="Comma 3 3 5 13" xfId="44226" xr:uid="{00000000-0005-0000-0000-0000A4730000}"/>
    <cellStyle name="Comma 3 3 5 14" xfId="20948" xr:uid="{00000000-0005-0000-0000-0000A5730000}"/>
    <cellStyle name="Comma 3 3 5 2" xfId="321" xr:uid="{00000000-0005-0000-0000-0000A6730000}"/>
    <cellStyle name="Comma 3 3 5 2 10" xfId="23600" xr:uid="{00000000-0005-0000-0000-0000A7730000}"/>
    <cellStyle name="Comma 3 3 5 2 11" xfId="44430" xr:uid="{00000000-0005-0000-0000-0000A8730000}"/>
    <cellStyle name="Comma 3 3 5 2 12" xfId="21152" xr:uid="{00000000-0005-0000-0000-0000A9730000}"/>
    <cellStyle name="Comma 3 3 5 2 2" xfId="933" xr:uid="{00000000-0005-0000-0000-0000AA730000}"/>
    <cellStyle name="Comma 3 3 5 2 2 10" xfId="45042" xr:uid="{00000000-0005-0000-0000-0000AB730000}"/>
    <cellStyle name="Comma 3 3 5 2 2 11" xfId="21764" xr:uid="{00000000-0005-0000-0000-0000AC730000}"/>
    <cellStyle name="Comma 3 3 5 2 2 2" xfId="2157" xr:uid="{00000000-0005-0000-0000-0000AD730000}"/>
    <cellStyle name="Comma 3 3 5 2 2 2 10" xfId="22988" xr:uid="{00000000-0005-0000-0000-0000AE730000}"/>
    <cellStyle name="Comma 3 3 5 2 2 2 2" xfId="4605" xr:uid="{00000000-0005-0000-0000-0000AF730000}"/>
    <cellStyle name="Comma 3 3 5 2 2 2 2 2" xfId="20540" xr:uid="{00000000-0005-0000-0000-0000B0730000}"/>
    <cellStyle name="Comma 3 3 5 2 2 2 2 2 2" xfId="43818" xr:uid="{00000000-0005-0000-0000-0000B1730000}"/>
    <cellStyle name="Comma 3 3 5 2 2 2 2 3" xfId="48714" xr:uid="{00000000-0005-0000-0000-0000B2730000}"/>
    <cellStyle name="Comma 3 3 5 2 2 2 2 4" xfId="27884" xr:uid="{00000000-0005-0000-0000-0000B3730000}"/>
    <cellStyle name="Comma 3 3 5 2 2 2 3" xfId="7053" xr:uid="{00000000-0005-0000-0000-0000B4730000}"/>
    <cellStyle name="Comma 3 3 5 2 2 2 3 2" xfId="30332" xr:uid="{00000000-0005-0000-0000-0000B5730000}"/>
    <cellStyle name="Comma 3 3 5 2 2 2 4" xfId="9501" xr:uid="{00000000-0005-0000-0000-0000B6730000}"/>
    <cellStyle name="Comma 3 3 5 2 2 2 4 2" xfId="32780" xr:uid="{00000000-0005-0000-0000-0000B7730000}"/>
    <cellStyle name="Comma 3 3 5 2 2 2 5" xfId="11949" xr:uid="{00000000-0005-0000-0000-0000B8730000}"/>
    <cellStyle name="Comma 3 3 5 2 2 2 5 2" xfId="35228" xr:uid="{00000000-0005-0000-0000-0000B9730000}"/>
    <cellStyle name="Comma 3 3 5 2 2 2 6" xfId="14397" xr:uid="{00000000-0005-0000-0000-0000BA730000}"/>
    <cellStyle name="Comma 3 3 5 2 2 2 6 2" xfId="37676" xr:uid="{00000000-0005-0000-0000-0000BB730000}"/>
    <cellStyle name="Comma 3 3 5 2 2 2 7" xfId="18092" xr:uid="{00000000-0005-0000-0000-0000BC730000}"/>
    <cellStyle name="Comma 3 3 5 2 2 2 7 2" xfId="41370" xr:uid="{00000000-0005-0000-0000-0000BD730000}"/>
    <cellStyle name="Comma 3 3 5 2 2 2 8" xfId="25436" xr:uid="{00000000-0005-0000-0000-0000BE730000}"/>
    <cellStyle name="Comma 3 3 5 2 2 2 9" xfId="46266" xr:uid="{00000000-0005-0000-0000-0000BF730000}"/>
    <cellStyle name="Comma 3 3 5 2 2 3" xfId="3381" xr:uid="{00000000-0005-0000-0000-0000C0730000}"/>
    <cellStyle name="Comma 3 3 5 2 2 3 2" xfId="16868" xr:uid="{00000000-0005-0000-0000-0000C1730000}"/>
    <cellStyle name="Comma 3 3 5 2 2 3 2 2" xfId="40146" xr:uid="{00000000-0005-0000-0000-0000C2730000}"/>
    <cellStyle name="Comma 3 3 5 2 2 3 3" xfId="47490" xr:uid="{00000000-0005-0000-0000-0000C3730000}"/>
    <cellStyle name="Comma 3 3 5 2 2 3 4" xfId="26660" xr:uid="{00000000-0005-0000-0000-0000C4730000}"/>
    <cellStyle name="Comma 3 3 5 2 2 4" xfId="5829" xr:uid="{00000000-0005-0000-0000-0000C5730000}"/>
    <cellStyle name="Comma 3 3 5 2 2 4 2" xfId="19316" xr:uid="{00000000-0005-0000-0000-0000C6730000}"/>
    <cellStyle name="Comma 3 3 5 2 2 4 2 2" xfId="42594" xr:uid="{00000000-0005-0000-0000-0000C7730000}"/>
    <cellStyle name="Comma 3 3 5 2 2 4 3" xfId="29108" xr:uid="{00000000-0005-0000-0000-0000C8730000}"/>
    <cellStyle name="Comma 3 3 5 2 2 5" xfId="8277" xr:uid="{00000000-0005-0000-0000-0000C9730000}"/>
    <cellStyle name="Comma 3 3 5 2 2 5 2" xfId="31556" xr:uid="{00000000-0005-0000-0000-0000CA730000}"/>
    <cellStyle name="Comma 3 3 5 2 2 6" xfId="10725" xr:uid="{00000000-0005-0000-0000-0000CB730000}"/>
    <cellStyle name="Comma 3 3 5 2 2 6 2" xfId="34004" xr:uid="{00000000-0005-0000-0000-0000CC730000}"/>
    <cellStyle name="Comma 3 3 5 2 2 7" xfId="13173" xr:uid="{00000000-0005-0000-0000-0000CD730000}"/>
    <cellStyle name="Comma 3 3 5 2 2 7 2" xfId="36452" xr:uid="{00000000-0005-0000-0000-0000CE730000}"/>
    <cellStyle name="Comma 3 3 5 2 2 8" xfId="15644" xr:uid="{00000000-0005-0000-0000-0000CF730000}"/>
    <cellStyle name="Comma 3 3 5 2 2 8 2" xfId="38922" xr:uid="{00000000-0005-0000-0000-0000D0730000}"/>
    <cellStyle name="Comma 3 3 5 2 2 9" xfId="24212" xr:uid="{00000000-0005-0000-0000-0000D1730000}"/>
    <cellStyle name="Comma 3 3 5 2 3" xfId="1545" xr:uid="{00000000-0005-0000-0000-0000D2730000}"/>
    <cellStyle name="Comma 3 3 5 2 3 10" xfId="22376" xr:uid="{00000000-0005-0000-0000-0000D3730000}"/>
    <cellStyle name="Comma 3 3 5 2 3 2" xfId="3993" xr:uid="{00000000-0005-0000-0000-0000D4730000}"/>
    <cellStyle name="Comma 3 3 5 2 3 2 2" xfId="19928" xr:uid="{00000000-0005-0000-0000-0000D5730000}"/>
    <cellStyle name="Comma 3 3 5 2 3 2 2 2" xfId="43206" xr:uid="{00000000-0005-0000-0000-0000D6730000}"/>
    <cellStyle name="Comma 3 3 5 2 3 2 3" xfId="48102" xr:uid="{00000000-0005-0000-0000-0000D7730000}"/>
    <cellStyle name="Comma 3 3 5 2 3 2 4" xfId="27272" xr:uid="{00000000-0005-0000-0000-0000D8730000}"/>
    <cellStyle name="Comma 3 3 5 2 3 3" xfId="6441" xr:uid="{00000000-0005-0000-0000-0000D9730000}"/>
    <cellStyle name="Comma 3 3 5 2 3 3 2" xfId="29720" xr:uid="{00000000-0005-0000-0000-0000DA730000}"/>
    <cellStyle name="Comma 3 3 5 2 3 4" xfId="8889" xr:uid="{00000000-0005-0000-0000-0000DB730000}"/>
    <cellStyle name="Comma 3 3 5 2 3 4 2" xfId="32168" xr:uid="{00000000-0005-0000-0000-0000DC730000}"/>
    <cellStyle name="Comma 3 3 5 2 3 5" xfId="11337" xr:uid="{00000000-0005-0000-0000-0000DD730000}"/>
    <cellStyle name="Comma 3 3 5 2 3 5 2" xfId="34616" xr:uid="{00000000-0005-0000-0000-0000DE730000}"/>
    <cellStyle name="Comma 3 3 5 2 3 6" xfId="13785" xr:uid="{00000000-0005-0000-0000-0000DF730000}"/>
    <cellStyle name="Comma 3 3 5 2 3 6 2" xfId="37064" xr:uid="{00000000-0005-0000-0000-0000E0730000}"/>
    <cellStyle name="Comma 3 3 5 2 3 7" xfId="17480" xr:uid="{00000000-0005-0000-0000-0000E1730000}"/>
    <cellStyle name="Comma 3 3 5 2 3 7 2" xfId="40758" xr:uid="{00000000-0005-0000-0000-0000E2730000}"/>
    <cellStyle name="Comma 3 3 5 2 3 8" xfId="24824" xr:uid="{00000000-0005-0000-0000-0000E3730000}"/>
    <cellStyle name="Comma 3 3 5 2 3 9" xfId="45654" xr:uid="{00000000-0005-0000-0000-0000E4730000}"/>
    <cellStyle name="Comma 3 3 5 2 4" xfId="2769" xr:uid="{00000000-0005-0000-0000-0000E5730000}"/>
    <cellStyle name="Comma 3 3 5 2 4 2" xfId="16256" xr:uid="{00000000-0005-0000-0000-0000E6730000}"/>
    <cellStyle name="Comma 3 3 5 2 4 2 2" xfId="39534" xr:uid="{00000000-0005-0000-0000-0000E7730000}"/>
    <cellStyle name="Comma 3 3 5 2 4 3" xfId="46878" xr:uid="{00000000-0005-0000-0000-0000E8730000}"/>
    <cellStyle name="Comma 3 3 5 2 4 4" xfId="26048" xr:uid="{00000000-0005-0000-0000-0000E9730000}"/>
    <cellStyle name="Comma 3 3 5 2 5" xfId="5217" xr:uid="{00000000-0005-0000-0000-0000EA730000}"/>
    <cellStyle name="Comma 3 3 5 2 5 2" xfId="18704" xr:uid="{00000000-0005-0000-0000-0000EB730000}"/>
    <cellStyle name="Comma 3 3 5 2 5 2 2" xfId="41982" xr:uid="{00000000-0005-0000-0000-0000EC730000}"/>
    <cellStyle name="Comma 3 3 5 2 5 3" xfId="28496" xr:uid="{00000000-0005-0000-0000-0000ED730000}"/>
    <cellStyle name="Comma 3 3 5 2 6" xfId="7665" xr:uid="{00000000-0005-0000-0000-0000EE730000}"/>
    <cellStyle name="Comma 3 3 5 2 6 2" xfId="30944" xr:uid="{00000000-0005-0000-0000-0000EF730000}"/>
    <cellStyle name="Comma 3 3 5 2 7" xfId="10113" xr:uid="{00000000-0005-0000-0000-0000F0730000}"/>
    <cellStyle name="Comma 3 3 5 2 7 2" xfId="33392" xr:uid="{00000000-0005-0000-0000-0000F1730000}"/>
    <cellStyle name="Comma 3 3 5 2 8" xfId="12561" xr:uid="{00000000-0005-0000-0000-0000F2730000}"/>
    <cellStyle name="Comma 3 3 5 2 8 2" xfId="35840" xr:uid="{00000000-0005-0000-0000-0000F3730000}"/>
    <cellStyle name="Comma 3 3 5 2 9" xfId="15032" xr:uid="{00000000-0005-0000-0000-0000F4730000}"/>
    <cellStyle name="Comma 3 3 5 2 9 2" xfId="38310" xr:uid="{00000000-0005-0000-0000-0000F5730000}"/>
    <cellStyle name="Comma 3 3 5 3" xfId="525" xr:uid="{00000000-0005-0000-0000-0000F6730000}"/>
    <cellStyle name="Comma 3 3 5 3 10" xfId="23804" xr:uid="{00000000-0005-0000-0000-0000F7730000}"/>
    <cellStyle name="Comma 3 3 5 3 11" xfId="44634" xr:uid="{00000000-0005-0000-0000-0000F8730000}"/>
    <cellStyle name="Comma 3 3 5 3 12" xfId="21356" xr:uid="{00000000-0005-0000-0000-0000F9730000}"/>
    <cellStyle name="Comma 3 3 5 3 2" xfId="1137" xr:uid="{00000000-0005-0000-0000-0000FA730000}"/>
    <cellStyle name="Comma 3 3 5 3 2 10" xfId="45246" xr:uid="{00000000-0005-0000-0000-0000FB730000}"/>
    <cellStyle name="Comma 3 3 5 3 2 11" xfId="21968" xr:uid="{00000000-0005-0000-0000-0000FC730000}"/>
    <cellStyle name="Comma 3 3 5 3 2 2" xfId="2361" xr:uid="{00000000-0005-0000-0000-0000FD730000}"/>
    <cellStyle name="Comma 3 3 5 3 2 2 10" xfId="23192" xr:uid="{00000000-0005-0000-0000-0000FE730000}"/>
    <cellStyle name="Comma 3 3 5 3 2 2 2" xfId="4809" xr:uid="{00000000-0005-0000-0000-0000FF730000}"/>
    <cellStyle name="Comma 3 3 5 3 2 2 2 2" xfId="20744" xr:uid="{00000000-0005-0000-0000-000000740000}"/>
    <cellStyle name="Comma 3 3 5 3 2 2 2 2 2" xfId="44022" xr:uid="{00000000-0005-0000-0000-000001740000}"/>
    <cellStyle name="Comma 3 3 5 3 2 2 2 3" xfId="48918" xr:uid="{00000000-0005-0000-0000-000002740000}"/>
    <cellStyle name="Comma 3 3 5 3 2 2 2 4" xfId="28088" xr:uid="{00000000-0005-0000-0000-000003740000}"/>
    <cellStyle name="Comma 3 3 5 3 2 2 3" xfId="7257" xr:uid="{00000000-0005-0000-0000-000004740000}"/>
    <cellStyle name="Comma 3 3 5 3 2 2 3 2" xfId="30536" xr:uid="{00000000-0005-0000-0000-000005740000}"/>
    <cellStyle name="Comma 3 3 5 3 2 2 4" xfId="9705" xr:uid="{00000000-0005-0000-0000-000006740000}"/>
    <cellStyle name="Comma 3 3 5 3 2 2 4 2" xfId="32984" xr:uid="{00000000-0005-0000-0000-000007740000}"/>
    <cellStyle name="Comma 3 3 5 3 2 2 5" xfId="12153" xr:uid="{00000000-0005-0000-0000-000008740000}"/>
    <cellStyle name="Comma 3 3 5 3 2 2 5 2" xfId="35432" xr:uid="{00000000-0005-0000-0000-000009740000}"/>
    <cellStyle name="Comma 3 3 5 3 2 2 6" xfId="14601" xr:uid="{00000000-0005-0000-0000-00000A740000}"/>
    <cellStyle name="Comma 3 3 5 3 2 2 6 2" xfId="37880" xr:uid="{00000000-0005-0000-0000-00000B740000}"/>
    <cellStyle name="Comma 3 3 5 3 2 2 7" xfId="18296" xr:uid="{00000000-0005-0000-0000-00000C740000}"/>
    <cellStyle name="Comma 3 3 5 3 2 2 7 2" xfId="41574" xr:uid="{00000000-0005-0000-0000-00000D740000}"/>
    <cellStyle name="Comma 3 3 5 3 2 2 8" xfId="25640" xr:uid="{00000000-0005-0000-0000-00000E740000}"/>
    <cellStyle name="Comma 3 3 5 3 2 2 9" xfId="46470" xr:uid="{00000000-0005-0000-0000-00000F740000}"/>
    <cellStyle name="Comma 3 3 5 3 2 3" xfId="3585" xr:uid="{00000000-0005-0000-0000-000010740000}"/>
    <cellStyle name="Comma 3 3 5 3 2 3 2" xfId="17072" xr:uid="{00000000-0005-0000-0000-000011740000}"/>
    <cellStyle name="Comma 3 3 5 3 2 3 2 2" xfId="40350" xr:uid="{00000000-0005-0000-0000-000012740000}"/>
    <cellStyle name="Comma 3 3 5 3 2 3 3" xfId="47694" xr:uid="{00000000-0005-0000-0000-000013740000}"/>
    <cellStyle name="Comma 3 3 5 3 2 3 4" xfId="26864" xr:uid="{00000000-0005-0000-0000-000014740000}"/>
    <cellStyle name="Comma 3 3 5 3 2 4" xfId="6033" xr:uid="{00000000-0005-0000-0000-000015740000}"/>
    <cellStyle name="Comma 3 3 5 3 2 4 2" xfId="19520" xr:uid="{00000000-0005-0000-0000-000016740000}"/>
    <cellStyle name="Comma 3 3 5 3 2 4 2 2" xfId="42798" xr:uid="{00000000-0005-0000-0000-000017740000}"/>
    <cellStyle name="Comma 3 3 5 3 2 4 3" xfId="29312" xr:uid="{00000000-0005-0000-0000-000018740000}"/>
    <cellStyle name="Comma 3 3 5 3 2 5" xfId="8481" xr:uid="{00000000-0005-0000-0000-000019740000}"/>
    <cellStyle name="Comma 3 3 5 3 2 5 2" xfId="31760" xr:uid="{00000000-0005-0000-0000-00001A740000}"/>
    <cellStyle name="Comma 3 3 5 3 2 6" xfId="10929" xr:uid="{00000000-0005-0000-0000-00001B740000}"/>
    <cellStyle name="Comma 3 3 5 3 2 6 2" xfId="34208" xr:uid="{00000000-0005-0000-0000-00001C740000}"/>
    <cellStyle name="Comma 3 3 5 3 2 7" xfId="13377" xr:uid="{00000000-0005-0000-0000-00001D740000}"/>
    <cellStyle name="Comma 3 3 5 3 2 7 2" xfId="36656" xr:uid="{00000000-0005-0000-0000-00001E740000}"/>
    <cellStyle name="Comma 3 3 5 3 2 8" xfId="15848" xr:uid="{00000000-0005-0000-0000-00001F740000}"/>
    <cellStyle name="Comma 3 3 5 3 2 8 2" xfId="39126" xr:uid="{00000000-0005-0000-0000-000020740000}"/>
    <cellStyle name="Comma 3 3 5 3 2 9" xfId="24416" xr:uid="{00000000-0005-0000-0000-000021740000}"/>
    <cellStyle name="Comma 3 3 5 3 3" xfId="1749" xr:uid="{00000000-0005-0000-0000-000022740000}"/>
    <cellStyle name="Comma 3 3 5 3 3 10" xfId="22580" xr:uid="{00000000-0005-0000-0000-000023740000}"/>
    <cellStyle name="Comma 3 3 5 3 3 2" xfId="4197" xr:uid="{00000000-0005-0000-0000-000024740000}"/>
    <cellStyle name="Comma 3 3 5 3 3 2 2" xfId="20132" xr:uid="{00000000-0005-0000-0000-000025740000}"/>
    <cellStyle name="Comma 3 3 5 3 3 2 2 2" xfId="43410" xr:uid="{00000000-0005-0000-0000-000026740000}"/>
    <cellStyle name="Comma 3 3 5 3 3 2 3" xfId="48306" xr:uid="{00000000-0005-0000-0000-000027740000}"/>
    <cellStyle name="Comma 3 3 5 3 3 2 4" xfId="27476" xr:uid="{00000000-0005-0000-0000-000028740000}"/>
    <cellStyle name="Comma 3 3 5 3 3 3" xfId="6645" xr:uid="{00000000-0005-0000-0000-000029740000}"/>
    <cellStyle name="Comma 3 3 5 3 3 3 2" xfId="29924" xr:uid="{00000000-0005-0000-0000-00002A740000}"/>
    <cellStyle name="Comma 3 3 5 3 3 4" xfId="9093" xr:uid="{00000000-0005-0000-0000-00002B740000}"/>
    <cellStyle name="Comma 3 3 5 3 3 4 2" xfId="32372" xr:uid="{00000000-0005-0000-0000-00002C740000}"/>
    <cellStyle name="Comma 3 3 5 3 3 5" xfId="11541" xr:uid="{00000000-0005-0000-0000-00002D740000}"/>
    <cellStyle name="Comma 3 3 5 3 3 5 2" xfId="34820" xr:uid="{00000000-0005-0000-0000-00002E740000}"/>
    <cellStyle name="Comma 3 3 5 3 3 6" xfId="13989" xr:uid="{00000000-0005-0000-0000-00002F740000}"/>
    <cellStyle name="Comma 3 3 5 3 3 6 2" xfId="37268" xr:uid="{00000000-0005-0000-0000-000030740000}"/>
    <cellStyle name="Comma 3 3 5 3 3 7" xfId="17684" xr:uid="{00000000-0005-0000-0000-000031740000}"/>
    <cellStyle name="Comma 3 3 5 3 3 7 2" xfId="40962" xr:uid="{00000000-0005-0000-0000-000032740000}"/>
    <cellStyle name="Comma 3 3 5 3 3 8" xfId="25028" xr:uid="{00000000-0005-0000-0000-000033740000}"/>
    <cellStyle name="Comma 3 3 5 3 3 9" xfId="45858" xr:uid="{00000000-0005-0000-0000-000034740000}"/>
    <cellStyle name="Comma 3 3 5 3 4" xfId="2973" xr:uid="{00000000-0005-0000-0000-000035740000}"/>
    <cellStyle name="Comma 3 3 5 3 4 2" xfId="16460" xr:uid="{00000000-0005-0000-0000-000036740000}"/>
    <cellStyle name="Comma 3 3 5 3 4 2 2" xfId="39738" xr:uid="{00000000-0005-0000-0000-000037740000}"/>
    <cellStyle name="Comma 3 3 5 3 4 3" xfId="47082" xr:uid="{00000000-0005-0000-0000-000038740000}"/>
    <cellStyle name="Comma 3 3 5 3 4 4" xfId="26252" xr:uid="{00000000-0005-0000-0000-000039740000}"/>
    <cellStyle name="Comma 3 3 5 3 5" xfId="5421" xr:uid="{00000000-0005-0000-0000-00003A740000}"/>
    <cellStyle name="Comma 3 3 5 3 5 2" xfId="18908" xr:uid="{00000000-0005-0000-0000-00003B740000}"/>
    <cellStyle name="Comma 3 3 5 3 5 2 2" xfId="42186" xr:uid="{00000000-0005-0000-0000-00003C740000}"/>
    <cellStyle name="Comma 3 3 5 3 5 3" xfId="28700" xr:uid="{00000000-0005-0000-0000-00003D740000}"/>
    <cellStyle name="Comma 3 3 5 3 6" xfId="7869" xr:uid="{00000000-0005-0000-0000-00003E740000}"/>
    <cellStyle name="Comma 3 3 5 3 6 2" xfId="31148" xr:uid="{00000000-0005-0000-0000-00003F740000}"/>
    <cellStyle name="Comma 3 3 5 3 7" xfId="10317" xr:uid="{00000000-0005-0000-0000-000040740000}"/>
    <cellStyle name="Comma 3 3 5 3 7 2" xfId="33596" xr:uid="{00000000-0005-0000-0000-000041740000}"/>
    <cellStyle name="Comma 3 3 5 3 8" xfId="12765" xr:uid="{00000000-0005-0000-0000-000042740000}"/>
    <cellStyle name="Comma 3 3 5 3 8 2" xfId="36044" xr:uid="{00000000-0005-0000-0000-000043740000}"/>
    <cellStyle name="Comma 3 3 5 3 9" xfId="15236" xr:uid="{00000000-0005-0000-0000-000044740000}"/>
    <cellStyle name="Comma 3 3 5 3 9 2" xfId="38514" xr:uid="{00000000-0005-0000-0000-000045740000}"/>
    <cellStyle name="Comma 3 3 5 4" xfId="729" xr:uid="{00000000-0005-0000-0000-000046740000}"/>
    <cellStyle name="Comma 3 3 5 4 10" xfId="44838" xr:uid="{00000000-0005-0000-0000-000047740000}"/>
    <cellStyle name="Comma 3 3 5 4 11" xfId="21560" xr:uid="{00000000-0005-0000-0000-000048740000}"/>
    <cellStyle name="Comma 3 3 5 4 2" xfId="1953" xr:uid="{00000000-0005-0000-0000-000049740000}"/>
    <cellStyle name="Comma 3 3 5 4 2 10" xfId="22784" xr:uid="{00000000-0005-0000-0000-00004A740000}"/>
    <cellStyle name="Comma 3 3 5 4 2 2" xfId="4401" xr:uid="{00000000-0005-0000-0000-00004B740000}"/>
    <cellStyle name="Comma 3 3 5 4 2 2 2" xfId="20336" xr:uid="{00000000-0005-0000-0000-00004C740000}"/>
    <cellStyle name="Comma 3 3 5 4 2 2 2 2" xfId="43614" xr:uid="{00000000-0005-0000-0000-00004D740000}"/>
    <cellStyle name="Comma 3 3 5 4 2 2 3" xfId="48510" xr:uid="{00000000-0005-0000-0000-00004E740000}"/>
    <cellStyle name="Comma 3 3 5 4 2 2 4" xfId="27680" xr:uid="{00000000-0005-0000-0000-00004F740000}"/>
    <cellStyle name="Comma 3 3 5 4 2 3" xfId="6849" xr:uid="{00000000-0005-0000-0000-000050740000}"/>
    <cellStyle name="Comma 3 3 5 4 2 3 2" xfId="30128" xr:uid="{00000000-0005-0000-0000-000051740000}"/>
    <cellStyle name="Comma 3 3 5 4 2 4" xfId="9297" xr:uid="{00000000-0005-0000-0000-000052740000}"/>
    <cellStyle name="Comma 3 3 5 4 2 4 2" xfId="32576" xr:uid="{00000000-0005-0000-0000-000053740000}"/>
    <cellStyle name="Comma 3 3 5 4 2 5" xfId="11745" xr:uid="{00000000-0005-0000-0000-000054740000}"/>
    <cellStyle name="Comma 3 3 5 4 2 5 2" xfId="35024" xr:uid="{00000000-0005-0000-0000-000055740000}"/>
    <cellStyle name="Comma 3 3 5 4 2 6" xfId="14193" xr:uid="{00000000-0005-0000-0000-000056740000}"/>
    <cellStyle name="Comma 3 3 5 4 2 6 2" xfId="37472" xr:uid="{00000000-0005-0000-0000-000057740000}"/>
    <cellStyle name="Comma 3 3 5 4 2 7" xfId="17888" xr:uid="{00000000-0005-0000-0000-000058740000}"/>
    <cellStyle name="Comma 3 3 5 4 2 7 2" xfId="41166" xr:uid="{00000000-0005-0000-0000-000059740000}"/>
    <cellStyle name="Comma 3 3 5 4 2 8" xfId="25232" xr:uid="{00000000-0005-0000-0000-00005A740000}"/>
    <cellStyle name="Comma 3 3 5 4 2 9" xfId="46062" xr:uid="{00000000-0005-0000-0000-00005B740000}"/>
    <cellStyle name="Comma 3 3 5 4 3" xfId="3177" xr:uid="{00000000-0005-0000-0000-00005C740000}"/>
    <cellStyle name="Comma 3 3 5 4 3 2" xfId="16664" xr:uid="{00000000-0005-0000-0000-00005D740000}"/>
    <cellStyle name="Comma 3 3 5 4 3 2 2" xfId="39942" xr:uid="{00000000-0005-0000-0000-00005E740000}"/>
    <cellStyle name="Comma 3 3 5 4 3 3" xfId="47286" xr:uid="{00000000-0005-0000-0000-00005F740000}"/>
    <cellStyle name="Comma 3 3 5 4 3 4" xfId="26456" xr:uid="{00000000-0005-0000-0000-000060740000}"/>
    <cellStyle name="Comma 3 3 5 4 4" xfId="5625" xr:uid="{00000000-0005-0000-0000-000061740000}"/>
    <cellStyle name="Comma 3 3 5 4 4 2" xfId="19112" xr:uid="{00000000-0005-0000-0000-000062740000}"/>
    <cellStyle name="Comma 3 3 5 4 4 2 2" xfId="42390" xr:uid="{00000000-0005-0000-0000-000063740000}"/>
    <cellStyle name="Comma 3 3 5 4 4 3" xfId="28904" xr:uid="{00000000-0005-0000-0000-000064740000}"/>
    <cellStyle name="Comma 3 3 5 4 5" xfId="8073" xr:uid="{00000000-0005-0000-0000-000065740000}"/>
    <cellStyle name="Comma 3 3 5 4 5 2" xfId="31352" xr:uid="{00000000-0005-0000-0000-000066740000}"/>
    <cellStyle name="Comma 3 3 5 4 6" xfId="10521" xr:uid="{00000000-0005-0000-0000-000067740000}"/>
    <cellStyle name="Comma 3 3 5 4 6 2" xfId="33800" xr:uid="{00000000-0005-0000-0000-000068740000}"/>
    <cellStyle name="Comma 3 3 5 4 7" xfId="12969" xr:uid="{00000000-0005-0000-0000-000069740000}"/>
    <cellStyle name="Comma 3 3 5 4 7 2" xfId="36248" xr:uid="{00000000-0005-0000-0000-00006A740000}"/>
    <cellStyle name="Comma 3 3 5 4 8" xfId="15440" xr:uid="{00000000-0005-0000-0000-00006B740000}"/>
    <cellStyle name="Comma 3 3 5 4 8 2" xfId="38718" xr:uid="{00000000-0005-0000-0000-00006C740000}"/>
    <cellStyle name="Comma 3 3 5 4 9" xfId="24008" xr:uid="{00000000-0005-0000-0000-00006D740000}"/>
    <cellStyle name="Comma 3 3 5 5" xfId="1341" xr:uid="{00000000-0005-0000-0000-00006E740000}"/>
    <cellStyle name="Comma 3 3 5 5 10" xfId="22172" xr:uid="{00000000-0005-0000-0000-00006F740000}"/>
    <cellStyle name="Comma 3 3 5 5 2" xfId="3789" xr:uid="{00000000-0005-0000-0000-000070740000}"/>
    <cellStyle name="Comma 3 3 5 5 2 2" xfId="19724" xr:uid="{00000000-0005-0000-0000-000071740000}"/>
    <cellStyle name="Comma 3 3 5 5 2 2 2" xfId="43002" xr:uid="{00000000-0005-0000-0000-000072740000}"/>
    <cellStyle name="Comma 3 3 5 5 2 3" xfId="47898" xr:uid="{00000000-0005-0000-0000-000073740000}"/>
    <cellStyle name="Comma 3 3 5 5 2 4" xfId="27068" xr:uid="{00000000-0005-0000-0000-000074740000}"/>
    <cellStyle name="Comma 3 3 5 5 3" xfId="6237" xr:uid="{00000000-0005-0000-0000-000075740000}"/>
    <cellStyle name="Comma 3 3 5 5 3 2" xfId="29516" xr:uid="{00000000-0005-0000-0000-000076740000}"/>
    <cellStyle name="Comma 3 3 5 5 4" xfId="8685" xr:uid="{00000000-0005-0000-0000-000077740000}"/>
    <cellStyle name="Comma 3 3 5 5 4 2" xfId="31964" xr:uid="{00000000-0005-0000-0000-000078740000}"/>
    <cellStyle name="Comma 3 3 5 5 5" xfId="11133" xr:uid="{00000000-0005-0000-0000-000079740000}"/>
    <cellStyle name="Comma 3 3 5 5 5 2" xfId="34412" xr:uid="{00000000-0005-0000-0000-00007A740000}"/>
    <cellStyle name="Comma 3 3 5 5 6" xfId="13581" xr:uid="{00000000-0005-0000-0000-00007B740000}"/>
    <cellStyle name="Comma 3 3 5 5 6 2" xfId="36860" xr:uid="{00000000-0005-0000-0000-00007C740000}"/>
    <cellStyle name="Comma 3 3 5 5 7" xfId="17276" xr:uid="{00000000-0005-0000-0000-00007D740000}"/>
    <cellStyle name="Comma 3 3 5 5 7 2" xfId="40554" xr:uid="{00000000-0005-0000-0000-00007E740000}"/>
    <cellStyle name="Comma 3 3 5 5 8" xfId="24620" xr:uid="{00000000-0005-0000-0000-00007F740000}"/>
    <cellStyle name="Comma 3 3 5 5 9" xfId="45450" xr:uid="{00000000-0005-0000-0000-000080740000}"/>
    <cellStyle name="Comma 3 3 5 6" xfId="2565" xr:uid="{00000000-0005-0000-0000-000081740000}"/>
    <cellStyle name="Comma 3 3 5 6 2" xfId="16052" xr:uid="{00000000-0005-0000-0000-000082740000}"/>
    <cellStyle name="Comma 3 3 5 6 2 2" xfId="39330" xr:uid="{00000000-0005-0000-0000-000083740000}"/>
    <cellStyle name="Comma 3 3 5 6 3" xfId="46674" xr:uid="{00000000-0005-0000-0000-000084740000}"/>
    <cellStyle name="Comma 3 3 5 6 4" xfId="25844" xr:uid="{00000000-0005-0000-0000-000085740000}"/>
    <cellStyle name="Comma 3 3 5 7" xfId="5013" xr:uid="{00000000-0005-0000-0000-000086740000}"/>
    <cellStyle name="Comma 3 3 5 7 2" xfId="18500" xr:uid="{00000000-0005-0000-0000-000087740000}"/>
    <cellStyle name="Comma 3 3 5 7 2 2" xfId="41778" xr:uid="{00000000-0005-0000-0000-000088740000}"/>
    <cellStyle name="Comma 3 3 5 7 3" xfId="28292" xr:uid="{00000000-0005-0000-0000-000089740000}"/>
    <cellStyle name="Comma 3 3 5 8" xfId="7461" xr:uid="{00000000-0005-0000-0000-00008A740000}"/>
    <cellStyle name="Comma 3 3 5 8 2" xfId="30740" xr:uid="{00000000-0005-0000-0000-00008B740000}"/>
    <cellStyle name="Comma 3 3 5 9" xfId="9909" xr:uid="{00000000-0005-0000-0000-00008C740000}"/>
    <cellStyle name="Comma 3 3 5 9 2" xfId="33188" xr:uid="{00000000-0005-0000-0000-00008D740000}"/>
    <cellStyle name="Comma 3 3 6" xfId="185" xr:uid="{00000000-0005-0000-0000-00008E740000}"/>
    <cellStyle name="Comma 3 3 6 10" xfId="12425" xr:uid="{00000000-0005-0000-0000-00008F740000}"/>
    <cellStyle name="Comma 3 3 6 10 2" xfId="35704" xr:uid="{00000000-0005-0000-0000-000090740000}"/>
    <cellStyle name="Comma 3 3 6 11" xfId="14896" xr:uid="{00000000-0005-0000-0000-000091740000}"/>
    <cellStyle name="Comma 3 3 6 11 2" xfId="38174" xr:uid="{00000000-0005-0000-0000-000092740000}"/>
    <cellStyle name="Comma 3 3 6 12" xfId="23464" xr:uid="{00000000-0005-0000-0000-000093740000}"/>
    <cellStyle name="Comma 3 3 6 13" xfId="44294" xr:uid="{00000000-0005-0000-0000-000094740000}"/>
    <cellStyle name="Comma 3 3 6 14" xfId="21016" xr:uid="{00000000-0005-0000-0000-000095740000}"/>
    <cellStyle name="Comma 3 3 6 2" xfId="389" xr:uid="{00000000-0005-0000-0000-000096740000}"/>
    <cellStyle name="Comma 3 3 6 2 10" xfId="23668" xr:uid="{00000000-0005-0000-0000-000097740000}"/>
    <cellStyle name="Comma 3 3 6 2 11" xfId="44498" xr:uid="{00000000-0005-0000-0000-000098740000}"/>
    <cellStyle name="Comma 3 3 6 2 12" xfId="21220" xr:uid="{00000000-0005-0000-0000-000099740000}"/>
    <cellStyle name="Comma 3 3 6 2 2" xfId="1001" xr:uid="{00000000-0005-0000-0000-00009A740000}"/>
    <cellStyle name="Comma 3 3 6 2 2 10" xfId="45110" xr:uid="{00000000-0005-0000-0000-00009B740000}"/>
    <cellStyle name="Comma 3 3 6 2 2 11" xfId="21832" xr:uid="{00000000-0005-0000-0000-00009C740000}"/>
    <cellStyle name="Comma 3 3 6 2 2 2" xfId="2225" xr:uid="{00000000-0005-0000-0000-00009D740000}"/>
    <cellStyle name="Comma 3 3 6 2 2 2 10" xfId="23056" xr:uid="{00000000-0005-0000-0000-00009E740000}"/>
    <cellStyle name="Comma 3 3 6 2 2 2 2" xfId="4673" xr:uid="{00000000-0005-0000-0000-00009F740000}"/>
    <cellStyle name="Comma 3 3 6 2 2 2 2 2" xfId="20608" xr:uid="{00000000-0005-0000-0000-0000A0740000}"/>
    <cellStyle name="Comma 3 3 6 2 2 2 2 2 2" xfId="43886" xr:uid="{00000000-0005-0000-0000-0000A1740000}"/>
    <cellStyle name="Comma 3 3 6 2 2 2 2 3" xfId="48782" xr:uid="{00000000-0005-0000-0000-0000A2740000}"/>
    <cellStyle name="Comma 3 3 6 2 2 2 2 4" xfId="27952" xr:uid="{00000000-0005-0000-0000-0000A3740000}"/>
    <cellStyle name="Comma 3 3 6 2 2 2 3" xfId="7121" xr:uid="{00000000-0005-0000-0000-0000A4740000}"/>
    <cellStyle name="Comma 3 3 6 2 2 2 3 2" xfId="30400" xr:uid="{00000000-0005-0000-0000-0000A5740000}"/>
    <cellStyle name="Comma 3 3 6 2 2 2 4" xfId="9569" xr:uid="{00000000-0005-0000-0000-0000A6740000}"/>
    <cellStyle name="Comma 3 3 6 2 2 2 4 2" xfId="32848" xr:uid="{00000000-0005-0000-0000-0000A7740000}"/>
    <cellStyle name="Comma 3 3 6 2 2 2 5" xfId="12017" xr:uid="{00000000-0005-0000-0000-0000A8740000}"/>
    <cellStyle name="Comma 3 3 6 2 2 2 5 2" xfId="35296" xr:uid="{00000000-0005-0000-0000-0000A9740000}"/>
    <cellStyle name="Comma 3 3 6 2 2 2 6" xfId="14465" xr:uid="{00000000-0005-0000-0000-0000AA740000}"/>
    <cellStyle name="Comma 3 3 6 2 2 2 6 2" xfId="37744" xr:uid="{00000000-0005-0000-0000-0000AB740000}"/>
    <cellStyle name="Comma 3 3 6 2 2 2 7" xfId="18160" xr:uid="{00000000-0005-0000-0000-0000AC740000}"/>
    <cellStyle name="Comma 3 3 6 2 2 2 7 2" xfId="41438" xr:uid="{00000000-0005-0000-0000-0000AD740000}"/>
    <cellStyle name="Comma 3 3 6 2 2 2 8" xfId="25504" xr:uid="{00000000-0005-0000-0000-0000AE740000}"/>
    <cellStyle name="Comma 3 3 6 2 2 2 9" xfId="46334" xr:uid="{00000000-0005-0000-0000-0000AF740000}"/>
    <cellStyle name="Comma 3 3 6 2 2 3" xfId="3449" xr:uid="{00000000-0005-0000-0000-0000B0740000}"/>
    <cellStyle name="Comma 3 3 6 2 2 3 2" xfId="16936" xr:uid="{00000000-0005-0000-0000-0000B1740000}"/>
    <cellStyle name="Comma 3 3 6 2 2 3 2 2" xfId="40214" xr:uid="{00000000-0005-0000-0000-0000B2740000}"/>
    <cellStyle name="Comma 3 3 6 2 2 3 3" xfId="47558" xr:uid="{00000000-0005-0000-0000-0000B3740000}"/>
    <cellStyle name="Comma 3 3 6 2 2 3 4" xfId="26728" xr:uid="{00000000-0005-0000-0000-0000B4740000}"/>
    <cellStyle name="Comma 3 3 6 2 2 4" xfId="5897" xr:uid="{00000000-0005-0000-0000-0000B5740000}"/>
    <cellStyle name="Comma 3 3 6 2 2 4 2" xfId="19384" xr:uid="{00000000-0005-0000-0000-0000B6740000}"/>
    <cellStyle name="Comma 3 3 6 2 2 4 2 2" xfId="42662" xr:uid="{00000000-0005-0000-0000-0000B7740000}"/>
    <cellStyle name="Comma 3 3 6 2 2 4 3" xfId="29176" xr:uid="{00000000-0005-0000-0000-0000B8740000}"/>
    <cellStyle name="Comma 3 3 6 2 2 5" xfId="8345" xr:uid="{00000000-0005-0000-0000-0000B9740000}"/>
    <cellStyle name="Comma 3 3 6 2 2 5 2" xfId="31624" xr:uid="{00000000-0005-0000-0000-0000BA740000}"/>
    <cellStyle name="Comma 3 3 6 2 2 6" xfId="10793" xr:uid="{00000000-0005-0000-0000-0000BB740000}"/>
    <cellStyle name="Comma 3 3 6 2 2 6 2" xfId="34072" xr:uid="{00000000-0005-0000-0000-0000BC740000}"/>
    <cellStyle name="Comma 3 3 6 2 2 7" xfId="13241" xr:uid="{00000000-0005-0000-0000-0000BD740000}"/>
    <cellStyle name="Comma 3 3 6 2 2 7 2" xfId="36520" xr:uid="{00000000-0005-0000-0000-0000BE740000}"/>
    <cellStyle name="Comma 3 3 6 2 2 8" xfId="15712" xr:uid="{00000000-0005-0000-0000-0000BF740000}"/>
    <cellStyle name="Comma 3 3 6 2 2 8 2" xfId="38990" xr:uid="{00000000-0005-0000-0000-0000C0740000}"/>
    <cellStyle name="Comma 3 3 6 2 2 9" xfId="24280" xr:uid="{00000000-0005-0000-0000-0000C1740000}"/>
    <cellStyle name="Comma 3 3 6 2 3" xfId="1613" xr:uid="{00000000-0005-0000-0000-0000C2740000}"/>
    <cellStyle name="Comma 3 3 6 2 3 10" xfId="22444" xr:uid="{00000000-0005-0000-0000-0000C3740000}"/>
    <cellStyle name="Comma 3 3 6 2 3 2" xfId="4061" xr:uid="{00000000-0005-0000-0000-0000C4740000}"/>
    <cellStyle name="Comma 3 3 6 2 3 2 2" xfId="19996" xr:uid="{00000000-0005-0000-0000-0000C5740000}"/>
    <cellStyle name="Comma 3 3 6 2 3 2 2 2" xfId="43274" xr:uid="{00000000-0005-0000-0000-0000C6740000}"/>
    <cellStyle name="Comma 3 3 6 2 3 2 3" xfId="48170" xr:uid="{00000000-0005-0000-0000-0000C7740000}"/>
    <cellStyle name="Comma 3 3 6 2 3 2 4" xfId="27340" xr:uid="{00000000-0005-0000-0000-0000C8740000}"/>
    <cellStyle name="Comma 3 3 6 2 3 3" xfId="6509" xr:uid="{00000000-0005-0000-0000-0000C9740000}"/>
    <cellStyle name="Comma 3 3 6 2 3 3 2" xfId="29788" xr:uid="{00000000-0005-0000-0000-0000CA740000}"/>
    <cellStyle name="Comma 3 3 6 2 3 4" xfId="8957" xr:uid="{00000000-0005-0000-0000-0000CB740000}"/>
    <cellStyle name="Comma 3 3 6 2 3 4 2" xfId="32236" xr:uid="{00000000-0005-0000-0000-0000CC740000}"/>
    <cellStyle name="Comma 3 3 6 2 3 5" xfId="11405" xr:uid="{00000000-0005-0000-0000-0000CD740000}"/>
    <cellStyle name="Comma 3 3 6 2 3 5 2" xfId="34684" xr:uid="{00000000-0005-0000-0000-0000CE740000}"/>
    <cellStyle name="Comma 3 3 6 2 3 6" xfId="13853" xr:uid="{00000000-0005-0000-0000-0000CF740000}"/>
    <cellStyle name="Comma 3 3 6 2 3 6 2" xfId="37132" xr:uid="{00000000-0005-0000-0000-0000D0740000}"/>
    <cellStyle name="Comma 3 3 6 2 3 7" xfId="17548" xr:uid="{00000000-0005-0000-0000-0000D1740000}"/>
    <cellStyle name="Comma 3 3 6 2 3 7 2" xfId="40826" xr:uid="{00000000-0005-0000-0000-0000D2740000}"/>
    <cellStyle name="Comma 3 3 6 2 3 8" xfId="24892" xr:uid="{00000000-0005-0000-0000-0000D3740000}"/>
    <cellStyle name="Comma 3 3 6 2 3 9" xfId="45722" xr:uid="{00000000-0005-0000-0000-0000D4740000}"/>
    <cellStyle name="Comma 3 3 6 2 4" xfId="2837" xr:uid="{00000000-0005-0000-0000-0000D5740000}"/>
    <cellStyle name="Comma 3 3 6 2 4 2" xfId="16324" xr:uid="{00000000-0005-0000-0000-0000D6740000}"/>
    <cellStyle name="Comma 3 3 6 2 4 2 2" xfId="39602" xr:uid="{00000000-0005-0000-0000-0000D7740000}"/>
    <cellStyle name="Comma 3 3 6 2 4 3" xfId="46946" xr:uid="{00000000-0005-0000-0000-0000D8740000}"/>
    <cellStyle name="Comma 3 3 6 2 4 4" xfId="26116" xr:uid="{00000000-0005-0000-0000-0000D9740000}"/>
    <cellStyle name="Comma 3 3 6 2 5" xfId="5285" xr:uid="{00000000-0005-0000-0000-0000DA740000}"/>
    <cellStyle name="Comma 3 3 6 2 5 2" xfId="18772" xr:uid="{00000000-0005-0000-0000-0000DB740000}"/>
    <cellStyle name="Comma 3 3 6 2 5 2 2" xfId="42050" xr:uid="{00000000-0005-0000-0000-0000DC740000}"/>
    <cellStyle name="Comma 3 3 6 2 5 3" xfId="28564" xr:uid="{00000000-0005-0000-0000-0000DD740000}"/>
    <cellStyle name="Comma 3 3 6 2 6" xfId="7733" xr:uid="{00000000-0005-0000-0000-0000DE740000}"/>
    <cellStyle name="Comma 3 3 6 2 6 2" xfId="31012" xr:uid="{00000000-0005-0000-0000-0000DF740000}"/>
    <cellStyle name="Comma 3 3 6 2 7" xfId="10181" xr:uid="{00000000-0005-0000-0000-0000E0740000}"/>
    <cellStyle name="Comma 3 3 6 2 7 2" xfId="33460" xr:uid="{00000000-0005-0000-0000-0000E1740000}"/>
    <cellStyle name="Comma 3 3 6 2 8" xfId="12629" xr:uid="{00000000-0005-0000-0000-0000E2740000}"/>
    <cellStyle name="Comma 3 3 6 2 8 2" xfId="35908" xr:uid="{00000000-0005-0000-0000-0000E3740000}"/>
    <cellStyle name="Comma 3 3 6 2 9" xfId="15100" xr:uid="{00000000-0005-0000-0000-0000E4740000}"/>
    <cellStyle name="Comma 3 3 6 2 9 2" xfId="38378" xr:uid="{00000000-0005-0000-0000-0000E5740000}"/>
    <cellStyle name="Comma 3 3 6 3" xfId="593" xr:uid="{00000000-0005-0000-0000-0000E6740000}"/>
    <cellStyle name="Comma 3 3 6 3 10" xfId="23872" xr:uid="{00000000-0005-0000-0000-0000E7740000}"/>
    <cellStyle name="Comma 3 3 6 3 11" xfId="44702" xr:uid="{00000000-0005-0000-0000-0000E8740000}"/>
    <cellStyle name="Comma 3 3 6 3 12" xfId="21424" xr:uid="{00000000-0005-0000-0000-0000E9740000}"/>
    <cellStyle name="Comma 3 3 6 3 2" xfId="1205" xr:uid="{00000000-0005-0000-0000-0000EA740000}"/>
    <cellStyle name="Comma 3 3 6 3 2 10" xfId="45314" xr:uid="{00000000-0005-0000-0000-0000EB740000}"/>
    <cellStyle name="Comma 3 3 6 3 2 11" xfId="22036" xr:uid="{00000000-0005-0000-0000-0000EC740000}"/>
    <cellStyle name="Comma 3 3 6 3 2 2" xfId="2429" xr:uid="{00000000-0005-0000-0000-0000ED740000}"/>
    <cellStyle name="Comma 3 3 6 3 2 2 10" xfId="23260" xr:uid="{00000000-0005-0000-0000-0000EE740000}"/>
    <cellStyle name="Comma 3 3 6 3 2 2 2" xfId="4877" xr:uid="{00000000-0005-0000-0000-0000EF740000}"/>
    <cellStyle name="Comma 3 3 6 3 2 2 2 2" xfId="20812" xr:uid="{00000000-0005-0000-0000-0000F0740000}"/>
    <cellStyle name="Comma 3 3 6 3 2 2 2 2 2" xfId="44090" xr:uid="{00000000-0005-0000-0000-0000F1740000}"/>
    <cellStyle name="Comma 3 3 6 3 2 2 2 3" xfId="48986" xr:uid="{00000000-0005-0000-0000-0000F2740000}"/>
    <cellStyle name="Comma 3 3 6 3 2 2 2 4" xfId="28156" xr:uid="{00000000-0005-0000-0000-0000F3740000}"/>
    <cellStyle name="Comma 3 3 6 3 2 2 3" xfId="7325" xr:uid="{00000000-0005-0000-0000-0000F4740000}"/>
    <cellStyle name="Comma 3 3 6 3 2 2 3 2" xfId="30604" xr:uid="{00000000-0005-0000-0000-0000F5740000}"/>
    <cellStyle name="Comma 3 3 6 3 2 2 4" xfId="9773" xr:uid="{00000000-0005-0000-0000-0000F6740000}"/>
    <cellStyle name="Comma 3 3 6 3 2 2 4 2" xfId="33052" xr:uid="{00000000-0005-0000-0000-0000F7740000}"/>
    <cellStyle name="Comma 3 3 6 3 2 2 5" xfId="12221" xr:uid="{00000000-0005-0000-0000-0000F8740000}"/>
    <cellStyle name="Comma 3 3 6 3 2 2 5 2" xfId="35500" xr:uid="{00000000-0005-0000-0000-0000F9740000}"/>
    <cellStyle name="Comma 3 3 6 3 2 2 6" xfId="14669" xr:uid="{00000000-0005-0000-0000-0000FA740000}"/>
    <cellStyle name="Comma 3 3 6 3 2 2 6 2" xfId="37948" xr:uid="{00000000-0005-0000-0000-0000FB740000}"/>
    <cellStyle name="Comma 3 3 6 3 2 2 7" xfId="18364" xr:uid="{00000000-0005-0000-0000-0000FC740000}"/>
    <cellStyle name="Comma 3 3 6 3 2 2 7 2" xfId="41642" xr:uid="{00000000-0005-0000-0000-0000FD740000}"/>
    <cellStyle name="Comma 3 3 6 3 2 2 8" xfId="25708" xr:uid="{00000000-0005-0000-0000-0000FE740000}"/>
    <cellStyle name="Comma 3 3 6 3 2 2 9" xfId="46538" xr:uid="{00000000-0005-0000-0000-0000FF740000}"/>
    <cellStyle name="Comma 3 3 6 3 2 3" xfId="3653" xr:uid="{00000000-0005-0000-0000-000000750000}"/>
    <cellStyle name="Comma 3 3 6 3 2 3 2" xfId="17140" xr:uid="{00000000-0005-0000-0000-000001750000}"/>
    <cellStyle name="Comma 3 3 6 3 2 3 2 2" xfId="40418" xr:uid="{00000000-0005-0000-0000-000002750000}"/>
    <cellStyle name="Comma 3 3 6 3 2 3 3" xfId="47762" xr:uid="{00000000-0005-0000-0000-000003750000}"/>
    <cellStyle name="Comma 3 3 6 3 2 3 4" xfId="26932" xr:uid="{00000000-0005-0000-0000-000004750000}"/>
    <cellStyle name="Comma 3 3 6 3 2 4" xfId="6101" xr:uid="{00000000-0005-0000-0000-000005750000}"/>
    <cellStyle name="Comma 3 3 6 3 2 4 2" xfId="19588" xr:uid="{00000000-0005-0000-0000-000006750000}"/>
    <cellStyle name="Comma 3 3 6 3 2 4 2 2" xfId="42866" xr:uid="{00000000-0005-0000-0000-000007750000}"/>
    <cellStyle name="Comma 3 3 6 3 2 4 3" xfId="29380" xr:uid="{00000000-0005-0000-0000-000008750000}"/>
    <cellStyle name="Comma 3 3 6 3 2 5" xfId="8549" xr:uid="{00000000-0005-0000-0000-000009750000}"/>
    <cellStyle name="Comma 3 3 6 3 2 5 2" xfId="31828" xr:uid="{00000000-0005-0000-0000-00000A750000}"/>
    <cellStyle name="Comma 3 3 6 3 2 6" xfId="10997" xr:uid="{00000000-0005-0000-0000-00000B750000}"/>
    <cellStyle name="Comma 3 3 6 3 2 6 2" xfId="34276" xr:uid="{00000000-0005-0000-0000-00000C750000}"/>
    <cellStyle name="Comma 3 3 6 3 2 7" xfId="13445" xr:uid="{00000000-0005-0000-0000-00000D750000}"/>
    <cellStyle name="Comma 3 3 6 3 2 7 2" xfId="36724" xr:uid="{00000000-0005-0000-0000-00000E750000}"/>
    <cellStyle name="Comma 3 3 6 3 2 8" xfId="15916" xr:uid="{00000000-0005-0000-0000-00000F750000}"/>
    <cellStyle name="Comma 3 3 6 3 2 8 2" xfId="39194" xr:uid="{00000000-0005-0000-0000-000010750000}"/>
    <cellStyle name="Comma 3 3 6 3 2 9" xfId="24484" xr:uid="{00000000-0005-0000-0000-000011750000}"/>
    <cellStyle name="Comma 3 3 6 3 3" xfId="1817" xr:uid="{00000000-0005-0000-0000-000012750000}"/>
    <cellStyle name="Comma 3 3 6 3 3 10" xfId="22648" xr:uid="{00000000-0005-0000-0000-000013750000}"/>
    <cellStyle name="Comma 3 3 6 3 3 2" xfId="4265" xr:uid="{00000000-0005-0000-0000-000014750000}"/>
    <cellStyle name="Comma 3 3 6 3 3 2 2" xfId="20200" xr:uid="{00000000-0005-0000-0000-000015750000}"/>
    <cellStyle name="Comma 3 3 6 3 3 2 2 2" xfId="43478" xr:uid="{00000000-0005-0000-0000-000016750000}"/>
    <cellStyle name="Comma 3 3 6 3 3 2 3" xfId="48374" xr:uid="{00000000-0005-0000-0000-000017750000}"/>
    <cellStyle name="Comma 3 3 6 3 3 2 4" xfId="27544" xr:uid="{00000000-0005-0000-0000-000018750000}"/>
    <cellStyle name="Comma 3 3 6 3 3 3" xfId="6713" xr:uid="{00000000-0005-0000-0000-000019750000}"/>
    <cellStyle name="Comma 3 3 6 3 3 3 2" xfId="29992" xr:uid="{00000000-0005-0000-0000-00001A750000}"/>
    <cellStyle name="Comma 3 3 6 3 3 4" xfId="9161" xr:uid="{00000000-0005-0000-0000-00001B750000}"/>
    <cellStyle name="Comma 3 3 6 3 3 4 2" xfId="32440" xr:uid="{00000000-0005-0000-0000-00001C750000}"/>
    <cellStyle name="Comma 3 3 6 3 3 5" xfId="11609" xr:uid="{00000000-0005-0000-0000-00001D750000}"/>
    <cellStyle name="Comma 3 3 6 3 3 5 2" xfId="34888" xr:uid="{00000000-0005-0000-0000-00001E750000}"/>
    <cellStyle name="Comma 3 3 6 3 3 6" xfId="14057" xr:uid="{00000000-0005-0000-0000-00001F750000}"/>
    <cellStyle name="Comma 3 3 6 3 3 6 2" xfId="37336" xr:uid="{00000000-0005-0000-0000-000020750000}"/>
    <cellStyle name="Comma 3 3 6 3 3 7" xfId="17752" xr:uid="{00000000-0005-0000-0000-000021750000}"/>
    <cellStyle name="Comma 3 3 6 3 3 7 2" xfId="41030" xr:uid="{00000000-0005-0000-0000-000022750000}"/>
    <cellStyle name="Comma 3 3 6 3 3 8" xfId="25096" xr:uid="{00000000-0005-0000-0000-000023750000}"/>
    <cellStyle name="Comma 3 3 6 3 3 9" xfId="45926" xr:uid="{00000000-0005-0000-0000-000024750000}"/>
    <cellStyle name="Comma 3 3 6 3 4" xfId="3041" xr:uid="{00000000-0005-0000-0000-000025750000}"/>
    <cellStyle name="Comma 3 3 6 3 4 2" xfId="16528" xr:uid="{00000000-0005-0000-0000-000026750000}"/>
    <cellStyle name="Comma 3 3 6 3 4 2 2" xfId="39806" xr:uid="{00000000-0005-0000-0000-000027750000}"/>
    <cellStyle name="Comma 3 3 6 3 4 3" xfId="47150" xr:uid="{00000000-0005-0000-0000-000028750000}"/>
    <cellStyle name="Comma 3 3 6 3 4 4" xfId="26320" xr:uid="{00000000-0005-0000-0000-000029750000}"/>
    <cellStyle name="Comma 3 3 6 3 5" xfId="5489" xr:uid="{00000000-0005-0000-0000-00002A750000}"/>
    <cellStyle name="Comma 3 3 6 3 5 2" xfId="18976" xr:uid="{00000000-0005-0000-0000-00002B750000}"/>
    <cellStyle name="Comma 3 3 6 3 5 2 2" xfId="42254" xr:uid="{00000000-0005-0000-0000-00002C750000}"/>
    <cellStyle name="Comma 3 3 6 3 5 3" xfId="28768" xr:uid="{00000000-0005-0000-0000-00002D750000}"/>
    <cellStyle name="Comma 3 3 6 3 6" xfId="7937" xr:uid="{00000000-0005-0000-0000-00002E750000}"/>
    <cellStyle name="Comma 3 3 6 3 6 2" xfId="31216" xr:uid="{00000000-0005-0000-0000-00002F750000}"/>
    <cellStyle name="Comma 3 3 6 3 7" xfId="10385" xr:uid="{00000000-0005-0000-0000-000030750000}"/>
    <cellStyle name="Comma 3 3 6 3 7 2" xfId="33664" xr:uid="{00000000-0005-0000-0000-000031750000}"/>
    <cellStyle name="Comma 3 3 6 3 8" xfId="12833" xr:uid="{00000000-0005-0000-0000-000032750000}"/>
    <cellStyle name="Comma 3 3 6 3 8 2" xfId="36112" xr:uid="{00000000-0005-0000-0000-000033750000}"/>
    <cellStyle name="Comma 3 3 6 3 9" xfId="15304" xr:uid="{00000000-0005-0000-0000-000034750000}"/>
    <cellStyle name="Comma 3 3 6 3 9 2" xfId="38582" xr:uid="{00000000-0005-0000-0000-000035750000}"/>
    <cellStyle name="Comma 3 3 6 4" xfId="797" xr:uid="{00000000-0005-0000-0000-000036750000}"/>
    <cellStyle name="Comma 3 3 6 4 10" xfId="44906" xr:uid="{00000000-0005-0000-0000-000037750000}"/>
    <cellStyle name="Comma 3 3 6 4 11" xfId="21628" xr:uid="{00000000-0005-0000-0000-000038750000}"/>
    <cellStyle name="Comma 3 3 6 4 2" xfId="2021" xr:uid="{00000000-0005-0000-0000-000039750000}"/>
    <cellStyle name="Comma 3 3 6 4 2 10" xfId="22852" xr:uid="{00000000-0005-0000-0000-00003A750000}"/>
    <cellStyle name="Comma 3 3 6 4 2 2" xfId="4469" xr:uid="{00000000-0005-0000-0000-00003B750000}"/>
    <cellStyle name="Comma 3 3 6 4 2 2 2" xfId="20404" xr:uid="{00000000-0005-0000-0000-00003C750000}"/>
    <cellStyle name="Comma 3 3 6 4 2 2 2 2" xfId="43682" xr:uid="{00000000-0005-0000-0000-00003D750000}"/>
    <cellStyle name="Comma 3 3 6 4 2 2 3" xfId="48578" xr:uid="{00000000-0005-0000-0000-00003E750000}"/>
    <cellStyle name="Comma 3 3 6 4 2 2 4" xfId="27748" xr:uid="{00000000-0005-0000-0000-00003F750000}"/>
    <cellStyle name="Comma 3 3 6 4 2 3" xfId="6917" xr:uid="{00000000-0005-0000-0000-000040750000}"/>
    <cellStyle name="Comma 3 3 6 4 2 3 2" xfId="30196" xr:uid="{00000000-0005-0000-0000-000041750000}"/>
    <cellStyle name="Comma 3 3 6 4 2 4" xfId="9365" xr:uid="{00000000-0005-0000-0000-000042750000}"/>
    <cellStyle name="Comma 3 3 6 4 2 4 2" xfId="32644" xr:uid="{00000000-0005-0000-0000-000043750000}"/>
    <cellStyle name="Comma 3 3 6 4 2 5" xfId="11813" xr:uid="{00000000-0005-0000-0000-000044750000}"/>
    <cellStyle name="Comma 3 3 6 4 2 5 2" xfId="35092" xr:uid="{00000000-0005-0000-0000-000045750000}"/>
    <cellStyle name="Comma 3 3 6 4 2 6" xfId="14261" xr:uid="{00000000-0005-0000-0000-000046750000}"/>
    <cellStyle name="Comma 3 3 6 4 2 6 2" xfId="37540" xr:uid="{00000000-0005-0000-0000-000047750000}"/>
    <cellStyle name="Comma 3 3 6 4 2 7" xfId="17956" xr:uid="{00000000-0005-0000-0000-000048750000}"/>
    <cellStyle name="Comma 3 3 6 4 2 7 2" xfId="41234" xr:uid="{00000000-0005-0000-0000-000049750000}"/>
    <cellStyle name="Comma 3 3 6 4 2 8" xfId="25300" xr:uid="{00000000-0005-0000-0000-00004A750000}"/>
    <cellStyle name="Comma 3 3 6 4 2 9" xfId="46130" xr:uid="{00000000-0005-0000-0000-00004B750000}"/>
    <cellStyle name="Comma 3 3 6 4 3" xfId="3245" xr:uid="{00000000-0005-0000-0000-00004C750000}"/>
    <cellStyle name="Comma 3 3 6 4 3 2" xfId="16732" xr:uid="{00000000-0005-0000-0000-00004D750000}"/>
    <cellStyle name="Comma 3 3 6 4 3 2 2" xfId="40010" xr:uid="{00000000-0005-0000-0000-00004E750000}"/>
    <cellStyle name="Comma 3 3 6 4 3 3" xfId="47354" xr:uid="{00000000-0005-0000-0000-00004F750000}"/>
    <cellStyle name="Comma 3 3 6 4 3 4" xfId="26524" xr:uid="{00000000-0005-0000-0000-000050750000}"/>
    <cellStyle name="Comma 3 3 6 4 4" xfId="5693" xr:uid="{00000000-0005-0000-0000-000051750000}"/>
    <cellStyle name="Comma 3 3 6 4 4 2" xfId="19180" xr:uid="{00000000-0005-0000-0000-000052750000}"/>
    <cellStyle name="Comma 3 3 6 4 4 2 2" xfId="42458" xr:uid="{00000000-0005-0000-0000-000053750000}"/>
    <cellStyle name="Comma 3 3 6 4 4 3" xfId="28972" xr:uid="{00000000-0005-0000-0000-000054750000}"/>
    <cellStyle name="Comma 3 3 6 4 5" xfId="8141" xr:uid="{00000000-0005-0000-0000-000055750000}"/>
    <cellStyle name="Comma 3 3 6 4 5 2" xfId="31420" xr:uid="{00000000-0005-0000-0000-000056750000}"/>
    <cellStyle name="Comma 3 3 6 4 6" xfId="10589" xr:uid="{00000000-0005-0000-0000-000057750000}"/>
    <cellStyle name="Comma 3 3 6 4 6 2" xfId="33868" xr:uid="{00000000-0005-0000-0000-000058750000}"/>
    <cellStyle name="Comma 3 3 6 4 7" xfId="13037" xr:uid="{00000000-0005-0000-0000-000059750000}"/>
    <cellStyle name="Comma 3 3 6 4 7 2" xfId="36316" xr:uid="{00000000-0005-0000-0000-00005A750000}"/>
    <cellStyle name="Comma 3 3 6 4 8" xfId="15508" xr:uid="{00000000-0005-0000-0000-00005B750000}"/>
    <cellStyle name="Comma 3 3 6 4 8 2" xfId="38786" xr:uid="{00000000-0005-0000-0000-00005C750000}"/>
    <cellStyle name="Comma 3 3 6 4 9" xfId="24076" xr:uid="{00000000-0005-0000-0000-00005D750000}"/>
    <cellStyle name="Comma 3 3 6 5" xfId="1409" xr:uid="{00000000-0005-0000-0000-00005E750000}"/>
    <cellStyle name="Comma 3 3 6 5 10" xfId="22240" xr:uid="{00000000-0005-0000-0000-00005F750000}"/>
    <cellStyle name="Comma 3 3 6 5 2" xfId="3857" xr:uid="{00000000-0005-0000-0000-000060750000}"/>
    <cellStyle name="Comma 3 3 6 5 2 2" xfId="19792" xr:uid="{00000000-0005-0000-0000-000061750000}"/>
    <cellStyle name="Comma 3 3 6 5 2 2 2" xfId="43070" xr:uid="{00000000-0005-0000-0000-000062750000}"/>
    <cellStyle name="Comma 3 3 6 5 2 3" xfId="47966" xr:uid="{00000000-0005-0000-0000-000063750000}"/>
    <cellStyle name="Comma 3 3 6 5 2 4" xfId="27136" xr:uid="{00000000-0005-0000-0000-000064750000}"/>
    <cellStyle name="Comma 3 3 6 5 3" xfId="6305" xr:uid="{00000000-0005-0000-0000-000065750000}"/>
    <cellStyle name="Comma 3 3 6 5 3 2" xfId="29584" xr:uid="{00000000-0005-0000-0000-000066750000}"/>
    <cellStyle name="Comma 3 3 6 5 4" xfId="8753" xr:uid="{00000000-0005-0000-0000-000067750000}"/>
    <cellStyle name="Comma 3 3 6 5 4 2" xfId="32032" xr:uid="{00000000-0005-0000-0000-000068750000}"/>
    <cellStyle name="Comma 3 3 6 5 5" xfId="11201" xr:uid="{00000000-0005-0000-0000-000069750000}"/>
    <cellStyle name="Comma 3 3 6 5 5 2" xfId="34480" xr:uid="{00000000-0005-0000-0000-00006A750000}"/>
    <cellStyle name="Comma 3 3 6 5 6" xfId="13649" xr:uid="{00000000-0005-0000-0000-00006B750000}"/>
    <cellStyle name="Comma 3 3 6 5 6 2" xfId="36928" xr:uid="{00000000-0005-0000-0000-00006C750000}"/>
    <cellStyle name="Comma 3 3 6 5 7" xfId="17344" xr:uid="{00000000-0005-0000-0000-00006D750000}"/>
    <cellStyle name="Comma 3 3 6 5 7 2" xfId="40622" xr:uid="{00000000-0005-0000-0000-00006E750000}"/>
    <cellStyle name="Comma 3 3 6 5 8" xfId="24688" xr:uid="{00000000-0005-0000-0000-00006F750000}"/>
    <cellStyle name="Comma 3 3 6 5 9" xfId="45518" xr:uid="{00000000-0005-0000-0000-000070750000}"/>
    <cellStyle name="Comma 3 3 6 6" xfId="2633" xr:uid="{00000000-0005-0000-0000-000071750000}"/>
    <cellStyle name="Comma 3 3 6 6 2" xfId="16120" xr:uid="{00000000-0005-0000-0000-000072750000}"/>
    <cellStyle name="Comma 3 3 6 6 2 2" xfId="39398" xr:uid="{00000000-0005-0000-0000-000073750000}"/>
    <cellStyle name="Comma 3 3 6 6 3" xfId="46742" xr:uid="{00000000-0005-0000-0000-000074750000}"/>
    <cellStyle name="Comma 3 3 6 6 4" xfId="25912" xr:uid="{00000000-0005-0000-0000-000075750000}"/>
    <cellStyle name="Comma 3 3 6 7" xfId="5081" xr:uid="{00000000-0005-0000-0000-000076750000}"/>
    <cellStyle name="Comma 3 3 6 7 2" xfId="18568" xr:uid="{00000000-0005-0000-0000-000077750000}"/>
    <cellStyle name="Comma 3 3 6 7 2 2" xfId="41846" xr:uid="{00000000-0005-0000-0000-000078750000}"/>
    <cellStyle name="Comma 3 3 6 7 3" xfId="28360" xr:uid="{00000000-0005-0000-0000-000079750000}"/>
    <cellStyle name="Comma 3 3 6 8" xfId="7529" xr:uid="{00000000-0005-0000-0000-00007A750000}"/>
    <cellStyle name="Comma 3 3 6 8 2" xfId="30808" xr:uid="{00000000-0005-0000-0000-00007B750000}"/>
    <cellStyle name="Comma 3 3 6 9" xfId="9977" xr:uid="{00000000-0005-0000-0000-00007C750000}"/>
    <cellStyle name="Comma 3 3 6 9 2" xfId="33256" xr:uid="{00000000-0005-0000-0000-00007D750000}"/>
    <cellStyle name="Comma 3 3 7" xfId="253" xr:uid="{00000000-0005-0000-0000-00007E750000}"/>
    <cellStyle name="Comma 3 3 7 10" xfId="23532" xr:uid="{00000000-0005-0000-0000-00007F750000}"/>
    <cellStyle name="Comma 3 3 7 11" xfId="44362" xr:uid="{00000000-0005-0000-0000-000080750000}"/>
    <cellStyle name="Comma 3 3 7 12" xfId="21084" xr:uid="{00000000-0005-0000-0000-000081750000}"/>
    <cellStyle name="Comma 3 3 7 2" xfId="865" xr:uid="{00000000-0005-0000-0000-000082750000}"/>
    <cellStyle name="Comma 3 3 7 2 10" xfId="44974" xr:uid="{00000000-0005-0000-0000-000083750000}"/>
    <cellStyle name="Comma 3 3 7 2 11" xfId="21696" xr:uid="{00000000-0005-0000-0000-000084750000}"/>
    <cellStyle name="Comma 3 3 7 2 2" xfId="2089" xr:uid="{00000000-0005-0000-0000-000085750000}"/>
    <cellStyle name="Comma 3 3 7 2 2 10" xfId="22920" xr:uid="{00000000-0005-0000-0000-000086750000}"/>
    <cellStyle name="Comma 3 3 7 2 2 2" xfId="4537" xr:uid="{00000000-0005-0000-0000-000087750000}"/>
    <cellStyle name="Comma 3 3 7 2 2 2 2" xfId="20472" xr:uid="{00000000-0005-0000-0000-000088750000}"/>
    <cellStyle name="Comma 3 3 7 2 2 2 2 2" xfId="43750" xr:uid="{00000000-0005-0000-0000-000089750000}"/>
    <cellStyle name="Comma 3 3 7 2 2 2 3" xfId="48646" xr:uid="{00000000-0005-0000-0000-00008A750000}"/>
    <cellStyle name="Comma 3 3 7 2 2 2 4" xfId="27816" xr:uid="{00000000-0005-0000-0000-00008B750000}"/>
    <cellStyle name="Comma 3 3 7 2 2 3" xfId="6985" xr:uid="{00000000-0005-0000-0000-00008C750000}"/>
    <cellStyle name="Comma 3 3 7 2 2 3 2" xfId="30264" xr:uid="{00000000-0005-0000-0000-00008D750000}"/>
    <cellStyle name="Comma 3 3 7 2 2 4" xfId="9433" xr:uid="{00000000-0005-0000-0000-00008E750000}"/>
    <cellStyle name="Comma 3 3 7 2 2 4 2" xfId="32712" xr:uid="{00000000-0005-0000-0000-00008F750000}"/>
    <cellStyle name="Comma 3 3 7 2 2 5" xfId="11881" xr:uid="{00000000-0005-0000-0000-000090750000}"/>
    <cellStyle name="Comma 3 3 7 2 2 5 2" xfId="35160" xr:uid="{00000000-0005-0000-0000-000091750000}"/>
    <cellStyle name="Comma 3 3 7 2 2 6" xfId="14329" xr:uid="{00000000-0005-0000-0000-000092750000}"/>
    <cellStyle name="Comma 3 3 7 2 2 6 2" xfId="37608" xr:uid="{00000000-0005-0000-0000-000093750000}"/>
    <cellStyle name="Comma 3 3 7 2 2 7" xfId="18024" xr:uid="{00000000-0005-0000-0000-000094750000}"/>
    <cellStyle name="Comma 3 3 7 2 2 7 2" xfId="41302" xr:uid="{00000000-0005-0000-0000-000095750000}"/>
    <cellStyle name="Comma 3 3 7 2 2 8" xfId="25368" xr:uid="{00000000-0005-0000-0000-000096750000}"/>
    <cellStyle name="Comma 3 3 7 2 2 9" xfId="46198" xr:uid="{00000000-0005-0000-0000-000097750000}"/>
    <cellStyle name="Comma 3 3 7 2 3" xfId="3313" xr:uid="{00000000-0005-0000-0000-000098750000}"/>
    <cellStyle name="Comma 3 3 7 2 3 2" xfId="16800" xr:uid="{00000000-0005-0000-0000-000099750000}"/>
    <cellStyle name="Comma 3 3 7 2 3 2 2" xfId="40078" xr:uid="{00000000-0005-0000-0000-00009A750000}"/>
    <cellStyle name="Comma 3 3 7 2 3 3" xfId="47422" xr:uid="{00000000-0005-0000-0000-00009B750000}"/>
    <cellStyle name="Comma 3 3 7 2 3 4" xfId="26592" xr:uid="{00000000-0005-0000-0000-00009C750000}"/>
    <cellStyle name="Comma 3 3 7 2 4" xfId="5761" xr:uid="{00000000-0005-0000-0000-00009D750000}"/>
    <cellStyle name="Comma 3 3 7 2 4 2" xfId="19248" xr:uid="{00000000-0005-0000-0000-00009E750000}"/>
    <cellStyle name="Comma 3 3 7 2 4 2 2" xfId="42526" xr:uid="{00000000-0005-0000-0000-00009F750000}"/>
    <cellStyle name="Comma 3 3 7 2 4 3" xfId="29040" xr:uid="{00000000-0005-0000-0000-0000A0750000}"/>
    <cellStyle name="Comma 3 3 7 2 5" xfId="8209" xr:uid="{00000000-0005-0000-0000-0000A1750000}"/>
    <cellStyle name="Comma 3 3 7 2 5 2" xfId="31488" xr:uid="{00000000-0005-0000-0000-0000A2750000}"/>
    <cellStyle name="Comma 3 3 7 2 6" xfId="10657" xr:uid="{00000000-0005-0000-0000-0000A3750000}"/>
    <cellStyle name="Comma 3 3 7 2 6 2" xfId="33936" xr:uid="{00000000-0005-0000-0000-0000A4750000}"/>
    <cellStyle name="Comma 3 3 7 2 7" xfId="13105" xr:uid="{00000000-0005-0000-0000-0000A5750000}"/>
    <cellStyle name="Comma 3 3 7 2 7 2" xfId="36384" xr:uid="{00000000-0005-0000-0000-0000A6750000}"/>
    <cellStyle name="Comma 3 3 7 2 8" xfId="15576" xr:uid="{00000000-0005-0000-0000-0000A7750000}"/>
    <cellStyle name="Comma 3 3 7 2 8 2" xfId="38854" xr:uid="{00000000-0005-0000-0000-0000A8750000}"/>
    <cellStyle name="Comma 3 3 7 2 9" xfId="24144" xr:uid="{00000000-0005-0000-0000-0000A9750000}"/>
    <cellStyle name="Comma 3 3 7 3" xfId="1477" xr:uid="{00000000-0005-0000-0000-0000AA750000}"/>
    <cellStyle name="Comma 3 3 7 3 10" xfId="22308" xr:uid="{00000000-0005-0000-0000-0000AB750000}"/>
    <cellStyle name="Comma 3 3 7 3 2" xfId="3925" xr:uid="{00000000-0005-0000-0000-0000AC750000}"/>
    <cellStyle name="Comma 3 3 7 3 2 2" xfId="19860" xr:uid="{00000000-0005-0000-0000-0000AD750000}"/>
    <cellStyle name="Comma 3 3 7 3 2 2 2" xfId="43138" xr:uid="{00000000-0005-0000-0000-0000AE750000}"/>
    <cellStyle name="Comma 3 3 7 3 2 3" xfId="48034" xr:uid="{00000000-0005-0000-0000-0000AF750000}"/>
    <cellStyle name="Comma 3 3 7 3 2 4" xfId="27204" xr:uid="{00000000-0005-0000-0000-0000B0750000}"/>
    <cellStyle name="Comma 3 3 7 3 3" xfId="6373" xr:uid="{00000000-0005-0000-0000-0000B1750000}"/>
    <cellStyle name="Comma 3 3 7 3 3 2" xfId="29652" xr:uid="{00000000-0005-0000-0000-0000B2750000}"/>
    <cellStyle name="Comma 3 3 7 3 4" xfId="8821" xr:uid="{00000000-0005-0000-0000-0000B3750000}"/>
    <cellStyle name="Comma 3 3 7 3 4 2" xfId="32100" xr:uid="{00000000-0005-0000-0000-0000B4750000}"/>
    <cellStyle name="Comma 3 3 7 3 5" xfId="11269" xr:uid="{00000000-0005-0000-0000-0000B5750000}"/>
    <cellStyle name="Comma 3 3 7 3 5 2" xfId="34548" xr:uid="{00000000-0005-0000-0000-0000B6750000}"/>
    <cellStyle name="Comma 3 3 7 3 6" xfId="13717" xr:uid="{00000000-0005-0000-0000-0000B7750000}"/>
    <cellStyle name="Comma 3 3 7 3 6 2" xfId="36996" xr:uid="{00000000-0005-0000-0000-0000B8750000}"/>
    <cellStyle name="Comma 3 3 7 3 7" xfId="17412" xr:uid="{00000000-0005-0000-0000-0000B9750000}"/>
    <cellStyle name="Comma 3 3 7 3 7 2" xfId="40690" xr:uid="{00000000-0005-0000-0000-0000BA750000}"/>
    <cellStyle name="Comma 3 3 7 3 8" xfId="24756" xr:uid="{00000000-0005-0000-0000-0000BB750000}"/>
    <cellStyle name="Comma 3 3 7 3 9" xfId="45586" xr:uid="{00000000-0005-0000-0000-0000BC750000}"/>
    <cellStyle name="Comma 3 3 7 4" xfId="2701" xr:uid="{00000000-0005-0000-0000-0000BD750000}"/>
    <cellStyle name="Comma 3 3 7 4 2" xfId="16188" xr:uid="{00000000-0005-0000-0000-0000BE750000}"/>
    <cellStyle name="Comma 3 3 7 4 2 2" xfId="39466" xr:uid="{00000000-0005-0000-0000-0000BF750000}"/>
    <cellStyle name="Comma 3 3 7 4 3" xfId="46810" xr:uid="{00000000-0005-0000-0000-0000C0750000}"/>
    <cellStyle name="Comma 3 3 7 4 4" xfId="25980" xr:uid="{00000000-0005-0000-0000-0000C1750000}"/>
    <cellStyle name="Comma 3 3 7 5" xfId="5149" xr:uid="{00000000-0005-0000-0000-0000C2750000}"/>
    <cellStyle name="Comma 3 3 7 5 2" xfId="18636" xr:uid="{00000000-0005-0000-0000-0000C3750000}"/>
    <cellStyle name="Comma 3 3 7 5 2 2" xfId="41914" xr:uid="{00000000-0005-0000-0000-0000C4750000}"/>
    <cellStyle name="Comma 3 3 7 5 3" xfId="28428" xr:uid="{00000000-0005-0000-0000-0000C5750000}"/>
    <cellStyle name="Comma 3 3 7 6" xfId="7597" xr:uid="{00000000-0005-0000-0000-0000C6750000}"/>
    <cellStyle name="Comma 3 3 7 6 2" xfId="30876" xr:uid="{00000000-0005-0000-0000-0000C7750000}"/>
    <cellStyle name="Comma 3 3 7 7" xfId="10045" xr:uid="{00000000-0005-0000-0000-0000C8750000}"/>
    <cellStyle name="Comma 3 3 7 7 2" xfId="33324" xr:uid="{00000000-0005-0000-0000-0000C9750000}"/>
    <cellStyle name="Comma 3 3 7 8" xfId="12493" xr:uid="{00000000-0005-0000-0000-0000CA750000}"/>
    <cellStyle name="Comma 3 3 7 8 2" xfId="35772" xr:uid="{00000000-0005-0000-0000-0000CB750000}"/>
    <cellStyle name="Comma 3 3 7 9" xfId="14964" xr:uid="{00000000-0005-0000-0000-0000CC750000}"/>
    <cellStyle name="Comma 3 3 7 9 2" xfId="38242" xr:uid="{00000000-0005-0000-0000-0000CD750000}"/>
    <cellStyle name="Comma 3 3 8" xfId="457" xr:uid="{00000000-0005-0000-0000-0000CE750000}"/>
    <cellStyle name="Comma 3 3 8 10" xfId="23736" xr:uid="{00000000-0005-0000-0000-0000CF750000}"/>
    <cellStyle name="Comma 3 3 8 11" xfId="44566" xr:uid="{00000000-0005-0000-0000-0000D0750000}"/>
    <cellStyle name="Comma 3 3 8 12" xfId="21288" xr:uid="{00000000-0005-0000-0000-0000D1750000}"/>
    <cellStyle name="Comma 3 3 8 2" xfId="1069" xr:uid="{00000000-0005-0000-0000-0000D2750000}"/>
    <cellStyle name="Comma 3 3 8 2 10" xfId="45178" xr:uid="{00000000-0005-0000-0000-0000D3750000}"/>
    <cellStyle name="Comma 3 3 8 2 11" xfId="21900" xr:uid="{00000000-0005-0000-0000-0000D4750000}"/>
    <cellStyle name="Comma 3 3 8 2 2" xfId="2293" xr:uid="{00000000-0005-0000-0000-0000D5750000}"/>
    <cellStyle name="Comma 3 3 8 2 2 10" xfId="23124" xr:uid="{00000000-0005-0000-0000-0000D6750000}"/>
    <cellStyle name="Comma 3 3 8 2 2 2" xfId="4741" xr:uid="{00000000-0005-0000-0000-0000D7750000}"/>
    <cellStyle name="Comma 3 3 8 2 2 2 2" xfId="20676" xr:uid="{00000000-0005-0000-0000-0000D8750000}"/>
    <cellStyle name="Comma 3 3 8 2 2 2 2 2" xfId="43954" xr:uid="{00000000-0005-0000-0000-0000D9750000}"/>
    <cellStyle name="Comma 3 3 8 2 2 2 3" xfId="48850" xr:uid="{00000000-0005-0000-0000-0000DA750000}"/>
    <cellStyle name="Comma 3 3 8 2 2 2 4" xfId="28020" xr:uid="{00000000-0005-0000-0000-0000DB750000}"/>
    <cellStyle name="Comma 3 3 8 2 2 3" xfId="7189" xr:uid="{00000000-0005-0000-0000-0000DC750000}"/>
    <cellStyle name="Comma 3 3 8 2 2 3 2" xfId="30468" xr:uid="{00000000-0005-0000-0000-0000DD750000}"/>
    <cellStyle name="Comma 3 3 8 2 2 4" xfId="9637" xr:uid="{00000000-0005-0000-0000-0000DE750000}"/>
    <cellStyle name="Comma 3 3 8 2 2 4 2" xfId="32916" xr:uid="{00000000-0005-0000-0000-0000DF750000}"/>
    <cellStyle name="Comma 3 3 8 2 2 5" xfId="12085" xr:uid="{00000000-0005-0000-0000-0000E0750000}"/>
    <cellStyle name="Comma 3 3 8 2 2 5 2" xfId="35364" xr:uid="{00000000-0005-0000-0000-0000E1750000}"/>
    <cellStyle name="Comma 3 3 8 2 2 6" xfId="14533" xr:uid="{00000000-0005-0000-0000-0000E2750000}"/>
    <cellStyle name="Comma 3 3 8 2 2 6 2" xfId="37812" xr:uid="{00000000-0005-0000-0000-0000E3750000}"/>
    <cellStyle name="Comma 3 3 8 2 2 7" xfId="18228" xr:uid="{00000000-0005-0000-0000-0000E4750000}"/>
    <cellStyle name="Comma 3 3 8 2 2 7 2" xfId="41506" xr:uid="{00000000-0005-0000-0000-0000E5750000}"/>
    <cellStyle name="Comma 3 3 8 2 2 8" xfId="25572" xr:uid="{00000000-0005-0000-0000-0000E6750000}"/>
    <cellStyle name="Comma 3 3 8 2 2 9" xfId="46402" xr:uid="{00000000-0005-0000-0000-0000E7750000}"/>
    <cellStyle name="Comma 3 3 8 2 3" xfId="3517" xr:uid="{00000000-0005-0000-0000-0000E8750000}"/>
    <cellStyle name="Comma 3 3 8 2 3 2" xfId="17004" xr:uid="{00000000-0005-0000-0000-0000E9750000}"/>
    <cellStyle name="Comma 3 3 8 2 3 2 2" xfId="40282" xr:uid="{00000000-0005-0000-0000-0000EA750000}"/>
    <cellStyle name="Comma 3 3 8 2 3 3" xfId="47626" xr:uid="{00000000-0005-0000-0000-0000EB750000}"/>
    <cellStyle name="Comma 3 3 8 2 3 4" xfId="26796" xr:uid="{00000000-0005-0000-0000-0000EC750000}"/>
    <cellStyle name="Comma 3 3 8 2 4" xfId="5965" xr:uid="{00000000-0005-0000-0000-0000ED750000}"/>
    <cellStyle name="Comma 3 3 8 2 4 2" xfId="19452" xr:uid="{00000000-0005-0000-0000-0000EE750000}"/>
    <cellStyle name="Comma 3 3 8 2 4 2 2" xfId="42730" xr:uid="{00000000-0005-0000-0000-0000EF750000}"/>
    <cellStyle name="Comma 3 3 8 2 4 3" xfId="29244" xr:uid="{00000000-0005-0000-0000-0000F0750000}"/>
    <cellStyle name="Comma 3 3 8 2 5" xfId="8413" xr:uid="{00000000-0005-0000-0000-0000F1750000}"/>
    <cellStyle name="Comma 3 3 8 2 5 2" xfId="31692" xr:uid="{00000000-0005-0000-0000-0000F2750000}"/>
    <cellStyle name="Comma 3 3 8 2 6" xfId="10861" xr:uid="{00000000-0005-0000-0000-0000F3750000}"/>
    <cellStyle name="Comma 3 3 8 2 6 2" xfId="34140" xr:uid="{00000000-0005-0000-0000-0000F4750000}"/>
    <cellStyle name="Comma 3 3 8 2 7" xfId="13309" xr:uid="{00000000-0005-0000-0000-0000F5750000}"/>
    <cellStyle name="Comma 3 3 8 2 7 2" xfId="36588" xr:uid="{00000000-0005-0000-0000-0000F6750000}"/>
    <cellStyle name="Comma 3 3 8 2 8" xfId="15780" xr:uid="{00000000-0005-0000-0000-0000F7750000}"/>
    <cellStyle name="Comma 3 3 8 2 8 2" xfId="39058" xr:uid="{00000000-0005-0000-0000-0000F8750000}"/>
    <cellStyle name="Comma 3 3 8 2 9" xfId="24348" xr:uid="{00000000-0005-0000-0000-0000F9750000}"/>
    <cellStyle name="Comma 3 3 8 3" xfId="1681" xr:uid="{00000000-0005-0000-0000-0000FA750000}"/>
    <cellStyle name="Comma 3 3 8 3 10" xfId="22512" xr:uid="{00000000-0005-0000-0000-0000FB750000}"/>
    <cellStyle name="Comma 3 3 8 3 2" xfId="4129" xr:uid="{00000000-0005-0000-0000-0000FC750000}"/>
    <cellStyle name="Comma 3 3 8 3 2 2" xfId="20064" xr:uid="{00000000-0005-0000-0000-0000FD750000}"/>
    <cellStyle name="Comma 3 3 8 3 2 2 2" xfId="43342" xr:uid="{00000000-0005-0000-0000-0000FE750000}"/>
    <cellStyle name="Comma 3 3 8 3 2 3" xfId="48238" xr:uid="{00000000-0005-0000-0000-0000FF750000}"/>
    <cellStyle name="Comma 3 3 8 3 2 4" xfId="27408" xr:uid="{00000000-0005-0000-0000-000000760000}"/>
    <cellStyle name="Comma 3 3 8 3 3" xfId="6577" xr:uid="{00000000-0005-0000-0000-000001760000}"/>
    <cellStyle name="Comma 3 3 8 3 3 2" xfId="29856" xr:uid="{00000000-0005-0000-0000-000002760000}"/>
    <cellStyle name="Comma 3 3 8 3 4" xfId="9025" xr:uid="{00000000-0005-0000-0000-000003760000}"/>
    <cellStyle name="Comma 3 3 8 3 4 2" xfId="32304" xr:uid="{00000000-0005-0000-0000-000004760000}"/>
    <cellStyle name="Comma 3 3 8 3 5" xfId="11473" xr:uid="{00000000-0005-0000-0000-000005760000}"/>
    <cellStyle name="Comma 3 3 8 3 5 2" xfId="34752" xr:uid="{00000000-0005-0000-0000-000006760000}"/>
    <cellStyle name="Comma 3 3 8 3 6" xfId="13921" xr:uid="{00000000-0005-0000-0000-000007760000}"/>
    <cellStyle name="Comma 3 3 8 3 6 2" xfId="37200" xr:uid="{00000000-0005-0000-0000-000008760000}"/>
    <cellStyle name="Comma 3 3 8 3 7" xfId="17616" xr:uid="{00000000-0005-0000-0000-000009760000}"/>
    <cellStyle name="Comma 3 3 8 3 7 2" xfId="40894" xr:uid="{00000000-0005-0000-0000-00000A760000}"/>
    <cellStyle name="Comma 3 3 8 3 8" xfId="24960" xr:uid="{00000000-0005-0000-0000-00000B760000}"/>
    <cellStyle name="Comma 3 3 8 3 9" xfId="45790" xr:uid="{00000000-0005-0000-0000-00000C760000}"/>
    <cellStyle name="Comma 3 3 8 4" xfId="2905" xr:uid="{00000000-0005-0000-0000-00000D760000}"/>
    <cellStyle name="Comma 3 3 8 4 2" xfId="16392" xr:uid="{00000000-0005-0000-0000-00000E760000}"/>
    <cellStyle name="Comma 3 3 8 4 2 2" xfId="39670" xr:uid="{00000000-0005-0000-0000-00000F760000}"/>
    <cellStyle name="Comma 3 3 8 4 3" xfId="47014" xr:uid="{00000000-0005-0000-0000-000010760000}"/>
    <cellStyle name="Comma 3 3 8 4 4" xfId="26184" xr:uid="{00000000-0005-0000-0000-000011760000}"/>
    <cellStyle name="Comma 3 3 8 5" xfId="5353" xr:uid="{00000000-0005-0000-0000-000012760000}"/>
    <cellStyle name="Comma 3 3 8 5 2" xfId="18840" xr:uid="{00000000-0005-0000-0000-000013760000}"/>
    <cellStyle name="Comma 3 3 8 5 2 2" xfId="42118" xr:uid="{00000000-0005-0000-0000-000014760000}"/>
    <cellStyle name="Comma 3 3 8 5 3" xfId="28632" xr:uid="{00000000-0005-0000-0000-000015760000}"/>
    <cellStyle name="Comma 3 3 8 6" xfId="7801" xr:uid="{00000000-0005-0000-0000-000016760000}"/>
    <cellStyle name="Comma 3 3 8 6 2" xfId="31080" xr:uid="{00000000-0005-0000-0000-000017760000}"/>
    <cellStyle name="Comma 3 3 8 7" xfId="10249" xr:uid="{00000000-0005-0000-0000-000018760000}"/>
    <cellStyle name="Comma 3 3 8 7 2" xfId="33528" xr:uid="{00000000-0005-0000-0000-000019760000}"/>
    <cellStyle name="Comma 3 3 8 8" xfId="12697" xr:uid="{00000000-0005-0000-0000-00001A760000}"/>
    <cellStyle name="Comma 3 3 8 8 2" xfId="35976" xr:uid="{00000000-0005-0000-0000-00001B760000}"/>
    <cellStyle name="Comma 3 3 8 9" xfId="15168" xr:uid="{00000000-0005-0000-0000-00001C760000}"/>
    <cellStyle name="Comma 3 3 8 9 2" xfId="38446" xr:uid="{00000000-0005-0000-0000-00001D760000}"/>
    <cellStyle name="Comma 3 3 9" xfId="661" xr:uid="{00000000-0005-0000-0000-00001E760000}"/>
    <cellStyle name="Comma 3 3 9 10" xfId="44770" xr:uid="{00000000-0005-0000-0000-00001F760000}"/>
    <cellStyle name="Comma 3 3 9 11" xfId="21492" xr:uid="{00000000-0005-0000-0000-000020760000}"/>
    <cellStyle name="Comma 3 3 9 2" xfId="1885" xr:uid="{00000000-0005-0000-0000-000021760000}"/>
    <cellStyle name="Comma 3 3 9 2 10" xfId="22716" xr:uid="{00000000-0005-0000-0000-000022760000}"/>
    <cellStyle name="Comma 3 3 9 2 2" xfId="4333" xr:uid="{00000000-0005-0000-0000-000023760000}"/>
    <cellStyle name="Comma 3 3 9 2 2 2" xfId="20268" xr:uid="{00000000-0005-0000-0000-000024760000}"/>
    <cellStyle name="Comma 3 3 9 2 2 2 2" xfId="43546" xr:uid="{00000000-0005-0000-0000-000025760000}"/>
    <cellStyle name="Comma 3 3 9 2 2 3" xfId="48442" xr:uid="{00000000-0005-0000-0000-000026760000}"/>
    <cellStyle name="Comma 3 3 9 2 2 4" xfId="27612" xr:uid="{00000000-0005-0000-0000-000027760000}"/>
    <cellStyle name="Comma 3 3 9 2 3" xfId="6781" xr:uid="{00000000-0005-0000-0000-000028760000}"/>
    <cellStyle name="Comma 3 3 9 2 3 2" xfId="30060" xr:uid="{00000000-0005-0000-0000-000029760000}"/>
    <cellStyle name="Comma 3 3 9 2 4" xfId="9229" xr:uid="{00000000-0005-0000-0000-00002A760000}"/>
    <cellStyle name="Comma 3 3 9 2 4 2" xfId="32508" xr:uid="{00000000-0005-0000-0000-00002B760000}"/>
    <cellStyle name="Comma 3 3 9 2 5" xfId="11677" xr:uid="{00000000-0005-0000-0000-00002C760000}"/>
    <cellStyle name="Comma 3 3 9 2 5 2" xfId="34956" xr:uid="{00000000-0005-0000-0000-00002D760000}"/>
    <cellStyle name="Comma 3 3 9 2 6" xfId="14125" xr:uid="{00000000-0005-0000-0000-00002E760000}"/>
    <cellStyle name="Comma 3 3 9 2 6 2" xfId="37404" xr:uid="{00000000-0005-0000-0000-00002F760000}"/>
    <cellStyle name="Comma 3 3 9 2 7" xfId="17820" xr:uid="{00000000-0005-0000-0000-000030760000}"/>
    <cellStyle name="Comma 3 3 9 2 7 2" xfId="41098" xr:uid="{00000000-0005-0000-0000-000031760000}"/>
    <cellStyle name="Comma 3 3 9 2 8" xfId="25164" xr:uid="{00000000-0005-0000-0000-000032760000}"/>
    <cellStyle name="Comma 3 3 9 2 9" xfId="45994" xr:uid="{00000000-0005-0000-0000-000033760000}"/>
    <cellStyle name="Comma 3 3 9 3" xfId="3109" xr:uid="{00000000-0005-0000-0000-000034760000}"/>
    <cellStyle name="Comma 3 3 9 3 2" xfId="16596" xr:uid="{00000000-0005-0000-0000-000035760000}"/>
    <cellStyle name="Comma 3 3 9 3 2 2" xfId="39874" xr:uid="{00000000-0005-0000-0000-000036760000}"/>
    <cellStyle name="Comma 3 3 9 3 3" xfId="47218" xr:uid="{00000000-0005-0000-0000-000037760000}"/>
    <cellStyle name="Comma 3 3 9 3 4" xfId="26388" xr:uid="{00000000-0005-0000-0000-000038760000}"/>
    <cellStyle name="Comma 3 3 9 4" xfId="5557" xr:uid="{00000000-0005-0000-0000-000039760000}"/>
    <cellStyle name="Comma 3 3 9 4 2" xfId="19044" xr:uid="{00000000-0005-0000-0000-00003A760000}"/>
    <cellStyle name="Comma 3 3 9 4 2 2" xfId="42322" xr:uid="{00000000-0005-0000-0000-00003B760000}"/>
    <cellStyle name="Comma 3 3 9 4 3" xfId="28836" xr:uid="{00000000-0005-0000-0000-00003C760000}"/>
    <cellStyle name="Comma 3 3 9 5" xfId="8005" xr:uid="{00000000-0005-0000-0000-00003D760000}"/>
    <cellStyle name="Comma 3 3 9 5 2" xfId="31284" xr:uid="{00000000-0005-0000-0000-00003E760000}"/>
    <cellStyle name="Comma 3 3 9 6" xfId="10453" xr:uid="{00000000-0005-0000-0000-00003F760000}"/>
    <cellStyle name="Comma 3 3 9 6 2" xfId="33732" xr:uid="{00000000-0005-0000-0000-000040760000}"/>
    <cellStyle name="Comma 3 3 9 7" xfId="12901" xr:uid="{00000000-0005-0000-0000-000041760000}"/>
    <cellStyle name="Comma 3 3 9 7 2" xfId="36180" xr:uid="{00000000-0005-0000-0000-000042760000}"/>
    <cellStyle name="Comma 3 3 9 8" xfId="15372" xr:uid="{00000000-0005-0000-0000-000043760000}"/>
    <cellStyle name="Comma 3 3 9 8 2" xfId="38650" xr:uid="{00000000-0005-0000-0000-000044760000}"/>
    <cellStyle name="Comma 3 3 9 9" xfId="23940" xr:uid="{00000000-0005-0000-0000-000045760000}"/>
    <cellStyle name="Comma 3 4" xfId="51" xr:uid="{00000000-0005-0000-0000-000046760000}"/>
    <cellStyle name="Comma 3 4 10" xfId="1275" xr:uid="{00000000-0005-0000-0000-000047760000}"/>
    <cellStyle name="Comma 3 4 10 10" xfId="22106" xr:uid="{00000000-0005-0000-0000-000048760000}"/>
    <cellStyle name="Comma 3 4 10 2" xfId="3723" xr:uid="{00000000-0005-0000-0000-000049760000}"/>
    <cellStyle name="Comma 3 4 10 2 2" xfId="17210" xr:uid="{00000000-0005-0000-0000-00004A760000}"/>
    <cellStyle name="Comma 3 4 10 2 2 2" xfId="40488" xr:uid="{00000000-0005-0000-0000-00004B760000}"/>
    <cellStyle name="Comma 3 4 10 2 3" xfId="47832" xr:uid="{00000000-0005-0000-0000-00004C760000}"/>
    <cellStyle name="Comma 3 4 10 2 4" xfId="27002" xr:uid="{00000000-0005-0000-0000-00004D760000}"/>
    <cellStyle name="Comma 3 4 10 3" xfId="6171" xr:uid="{00000000-0005-0000-0000-00004E760000}"/>
    <cellStyle name="Comma 3 4 10 3 2" xfId="19658" xr:uid="{00000000-0005-0000-0000-00004F760000}"/>
    <cellStyle name="Comma 3 4 10 3 2 2" xfId="42936" xr:uid="{00000000-0005-0000-0000-000050760000}"/>
    <cellStyle name="Comma 3 4 10 3 3" xfId="29450" xr:uid="{00000000-0005-0000-0000-000051760000}"/>
    <cellStyle name="Comma 3 4 10 4" xfId="8619" xr:uid="{00000000-0005-0000-0000-000052760000}"/>
    <cellStyle name="Comma 3 4 10 4 2" xfId="31898" xr:uid="{00000000-0005-0000-0000-000053760000}"/>
    <cellStyle name="Comma 3 4 10 5" xfId="11067" xr:uid="{00000000-0005-0000-0000-000054760000}"/>
    <cellStyle name="Comma 3 4 10 5 2" xfId="34346" xr:uid="{00000000-0005-0000-0000-000055760000}"/>
    <cellStyle name="Comma 3 4 10 6" xfId="13515" xr:uid="{00000000-0005-0000-0000-000056760000}"/>
    <cellStyle name="Comma 3 4 10 6 2" xfId="36794" xr:uid="{00000000-0005-0000-0000-000057760000}"/>
    <cellStyle name="Comma 3 4 10 7" xfId="14762" xr:uid="{00000000-0005-0000-0000-000058760000}"/>
    <cellStyle name="Comma 3 4 10 7 2" xfId="38040" xr:uid="{00000000-0005-0000-0000-000059760000}"/>
    <cellStyle name="Comma 3 4 10 8" xfId="24554" xr:uid="{00000000-0005-0000-0000-00005A760000}"/>
    <cellStyle name="Comma 3 4 10 9" xfId="45384" xr:uid="{00000000-0005-0000-0000-00005B760000}"/>
    <cellStyle name="Comma 3 4 11" xfId="2499" xr:uid="{00000000-0005-0000-0000-00005C760000}"/>
    <cellStyle name="Comma 3 4 11 2" xfId="15986" xr:uid="{00000000-0005-0000-0000-00005D760000}"/>
    <cellStyle name="Comma 3 4 11 2 2" xfId="39264" xr:uid="{00000000-0005-0000-0000-00005E760000}"/>
    <cellStyle name="Comma 3 4 11 3" xfId="46608" xr:uid="{00000000-0005-0000-0000-00005F760000}"/>
    <cellStyle name="Comma 3 4 11 4" xfId="25778" xr:uid="{00000000-0005-0000-0000-000060760000}"/>
    <cellStyle name="Comma 3 4 12" xfId="4947" xr:uid="{00000000-0005-0000-0000-000061760000}"/>
    <cellStyle name="Comma 3 4 12 2" xfId="18434" xr:uid="{00000000-0005-0000-0000-000062760000}"/>
    <cellStyle name="Comma 3 4 12 2 2" xfId="41712" xr:uid="{00000000-0005-0000-0000-000063760000}"/>
    <cellStyle name="Comma 3 4 12 3" xfId="28226" xr:uid="{00000000-0005-0000-0000-000064760000}"/>
    <cellStyle name="Comma 3 4 13" xfId="7395" xr:uid="{00000000-0005-0000-0000-000065760000}"/>
    <cellStyle name="Comma 3 4 13 2" xfId="30674" xr:uid="{00000000-0005-0000-0000-000066760000}"/>
    <cellStyle name="Comma 3 4 14" xfId="9843" xr:uid="{00000000-0005-0000-0000-000067760000}"/>
    <cellStyle name="Comma 3 4 14 2" xfId="33122" xr:uid="{00000000-0005-0000-0000-000068760000}"/>
    <cellStyle name="Comma 3 4 15" xfId="12291" xr:uid="{00000000-0005-0000-0000-000069760000}"/>
    <cellStyle name="Comma 3 4 15 2" xfId="35570" xr:uid="{00000000-0005-0000-0000-00006A760000}"/>
    <cellStyle name="Comma 3 4 16" xfId="14745" xr:uid="{00000000-0005-0000-0000-00006B760000}"/>
    <cellStyle name="Comma 3 4 16 2" xfId="38023" xr:uid="{00000000-0005-0000-0000-00006C760000}"/>
    <cellStyle name="Comma 3 4 17" xfId="23330" xr:uid="{00000000-0005-0000-0000-00006D760000}"/>
    <cellStyle name="Comma 3 4 18" xfId="44160" xr:uid="{00000000-0005-0000-0000-00006E760000}"/>
    <cellStyle name="Comma 3 4 19" xfId="20882" xr:uid="{00000000-0005-0000-0000-00006F760000}"/>
    <cellStyle name="Comma 3 4 2" xfId="68" xr:uid="{00000000-0005-0000-0000-000070760000}"/>
    <cellStyle name="Comma 3 4 2 10" xfId="7412" xr:uid="{00000000-0005-0000-0000-000071760000}"/>
    <cellStyle name="Comma 3 4 2 10 2" xfId="30691" xr:uid="{00000000-0005-0000-0000-000072760000}"/>
    <cellStyle name="Comma 3 4 2 11" xfId="9860" xr:uid="{00000000-0005-0000-0000-000073760000}"/>
    <cellStyle name="Comma 3 4 2 11 2" xfId="33139" xr:uid="{00000000-0005-0000-0000-000074760000}"/>
    <cellStyle name="Comma 3 4 2 12" xfId="12308" xr:uid="{00000000-0005-0000-0000-000075760000}"/>
    <cellStyle name="Comma 3 4 2 12 2" xfId="35587" xr:uid="{00000000-0005-0000-0000-000076760000}"/>
    <cellStyle name="Comma 3 4 2 13" xfId="14779" xr:uid="{00000000-0005-0000-0000-000077760000}"/>
    <cellStyle name="Comma 3 4 2 13 2" xfId="38057" xr:uid="{00000000-0005-0000-0000-000078760000}"/>
    <cellStyle name="Comma 3 4 2 14" xfId="23347" xr:uid="{00000000-0005-0000-0000-000079760000}"/>
    <cellStyle name="Comma 3 4 2 15" xfId="44177" xr:uid="{00000000-0005-0000-0000-00007A760000}"/>
    <cellStyle name="Comma 3 4 2 16" xfId="20899" xr:uid="{00000000-0005-0000-0000-00007B760000}"/>
    <cellStyle name="Comma 3 4 2 2" xfId="136" xr:uid="{00000000-0005-0000-0000-00007C760000}"/>
    <cellStyle name="Comma 3 4 2 2 10" xfId="12376" xr:uid="{00000000-0005-0000-0000-00007D760000}"/>
    <cellStyle name="Comma 3 4 2 2 10 2" xfId="35655" xr:uid="{00000000-0005-0000-0000-00007E760000}"/>
    <cellStyle name="Comma 3 4 2 2 11" xfId="14847" xr:uid="{00000000-0005-0000-0000-00007F760000}"/>
    <cellStyle name="Comma 3 4 2 2 11 2" xfId="38125" xr:uid="{00000000-0005-0000-0000-000080760000}"/>
    <cellStyle name="Comma 3 4 2 2 12" xfId="23415" xr:uid="{00000000-0005-0000-0000-000081760000}"/>
    <cellStyle name="Comma 3 4 2 2 13" xfId="44245" xr:uid="{00000000-0005-0000-0000-000082760000}"/>
    <cellStyle name="Comma 3 4 2 2 14" xfId="20967" xr:uid="{00000000-0005-0000-0000-000083760000}"/>
    <cellStyle name="Comma 3 4 2 2 2" xfId="340" xr:uid="{00000000-0005-0000-0000-000084760000}"/>
    <cellStyle name="Comma 3 4 2 2 2 10" xfId="23619" xr:uid="{00000000-0005-0000-0000-000085760000}"/>
    <cellStyle name="Comma 3 4 2 2 2 11" xfId="44449" xr:uid="{00000000-0005-0000-0000-000086760000}"/>
    <cellStyle name="Comma 3 4 2 2 2 12" xfId="21171" xr:uid="{00000000-0005-0000-0000-000087760000}"/>
    <cellStyle name="Comma 3 4 2 2 2 2" xfId="952" xr:uid="{00000000-0005-0000-0000-000088760000}"/>
    <cellStyle name="Comma 3 4 2 2 2 2 10" xfId="45061" xr:uid="{00000000-0005-0000-0000-000089760000}"/>
    <cellStyle name="Comma 3 4 2 2 2 2 11" xfId="21783" xr:uid="{00000000-0005-0000-0000-00008A760000}"/>
    <cellStyle name="Comma 3 4 2 2 2 2 2" xfId="2176" xr:uid="{00000000-0005-0000-0000-00008B760000}"/>
    <cellStyle name="Comma 3 4 2 2 2 2 2 10" xfId="23007" xr:uid="{00000000-0005-0000-0000-00008C760000}"/>
    <cellStyle name="Comma 3 4 2 2 2 2 2 2" xfId="4624" xr:uid="{00000000-0005-0000-0000-00008D760000}"/>
    <cellStyle name="Comma 3 4 2 2 2 2 2 2 2" xfId="20559" xr:uid="{00000000-0005-0000-0000-00008E760000}"/>
    <cellStyle name="Comma 3 4 2 2 2 2 2 2 2 2" xfId="43837" xr:uid="{00000000-0005-0000-0000-00008F760000}"/>
    <cellStyle name="Comma 3 4 2 2 2 2 2 2 3" xfId="48733" xr:uid="{00000000-0005-0000-0000-000090760000}"/>
    <cellStyle name="Comma 3 4 2 2 2 2 2 2 4" xfId="27903" xr:uid="{00000000-0005-0000-0000-000091760000}"/>
    <cellStyle name="Comma 3 4 2 2 2 2 2 3" xfId="7072" xr:uid="{00000000-0005-0000-0000-000092760000}"/>
    <cellStyle name="Comma 3 4 2 2 2 2 2 3 2" xfId="30351" xr:uid="{00000000-0005-0000-0000-000093760000}"/>
    <cellStyle name="Comma 3 4 2 2 2 2 2 4" xfId="9520" xr:uid="{00000000-0005-0000-0000-000094760000}"/>
    <cellStyle name="Comma 3 4 2 2 2 2 2 4 2" xfId="32799" xr:uid="{00000000-0005-0000-0000-000095760000}"/>
    <cellStyle name="Comma 3 4 2 2 2 2 2 5" xfId="11968" xr:uid="{00000000-0005-0000-0000-000096760000}"/>
    <cellStyle name="Comma 3 4 2 2 2 2 2 5 2" xfId="35247" xr:uid="{00000000-0005-0000-0000-000097760000}"/>
    <cellStyle name="Comma 3 4 2 2 2 2 2 6" xfId="14416" xr:uid="{00000000-0005-0000-0000-000098760000}"/>
    <cellStyle name="Comma 3 4 2 2 2 2 2 6 2" xfId="37695" xr:uid="{00000000-0005-0000-0000-000099760000}"/>
    <cellStyle name="Comma 3 4 2 2 2 2 2 7" xfId="18111" xr:uid="{00000000-0005-0000-0000-00009A760000}"/>
    <cellStyle name="Comma 3 4 2 2 2 2 2 7 2" xfId="41389" xr:uid="{00000000-0005-0000-0000-00009B760000}"/>
    <cellStyle name="Comma 3 4 2 2 2 2 2 8" xfId="25455" xr:uid="{00000000-0005-0000-0000-00009C760000}"/>
    <cellStyle name="Comma 3 4 2 2 2 2 2 9" xfId="46285" xr:uid="{00000000-0005-0000-0000-00009D760000}"/>
    <cellStyle name="Comma 3 4 2 2 2 2 3" xfId="3400" xr:uid="{00000000-0005-0000-0000-00009E760000}"/>
    <cellStyle name="Comma 3 4 2 2 2 2 3 2" xfId="16887" xr:uid="{00000000-0005-0000-0000-00009F760000}"/>
    <cellStyle name="Comma 3 4 2 2 2 2 3 2 2" xfId="40165" xr:uid="{00000000-0005-0000-0000-0000A0760000}"/>
    <cellStyle name="Comma 3 4 2 2 2 2 3 3" xfId="47509" xr:uid="{00000000-0005-0000-0000-0000A1760000}"/>
    <cellStyle name="Comma 3 4 2 2 2 2 3 4" xfId="26679" xr:uid="{00000000-0005-0000-0000-0000A2760000}"/>
    <cellStyle name="Comma 3 4 2 2 2 2 4" xfId="5848" xr:uid="{00000000-0005-0000-0000-0000A3760000}"/>
    <cellStyle name="Comma 3 4 2 2 2 2 4 2" xfId="19335" xr:uid="{00000000-0005-0000-0000-0000A4760000}"/>
    <cellStyle name="Comma 3 4 2 2 2 2 4 2 2" xfId="42613" xr:uid="{00000000-0005-0000-0000-0000A5760000}"/>
    <cellStyle name="Comma 3 4 2 2 2 2 4 3" xfId="29127" xr:uid="{00000000-0005-0000-0000-0000A6760000}"/>
    <cellStyle name="Comma 3 4 2 2 2 2 5" xfId="8296" xr:uid="{00000000-0005-0000-0000-0000A7760000}"/>
    <cellStyle name="Comma 3 4 2 2 2 2 5 2" xfId="31575" xr:uid="{00000000-0005-0000-0000-0000A8760000}"/>
    <cellStyle name="Comma 3 4 2 2 2 2 6" xfId="10744" xr:uid="{00000000-0005-0000-0000-0000A9760000}"/>
    <cellStyle name="Comma 3 4 2 2 2 2 6 2" xfId="34023" xr:uid="{00000000-0005-0000-0000-0000AA760000}"/>
    <cellStyle name="Comma 3 4 2 2 2 2 7" xfId="13192" xr:uid="{00000000-0005-0000-0000-0000AB760000}"/>
    <cellStyle name="Comma 3 4 2 2 2 2 7 2" xfId="36471" xr:uid="{00000000-0005-0000-0000-0000AC760000}"/>
    <cellStyle name="Comma 3 4 2 2 2 2 8" xfId="15663" xr:uid="{00000000-0005-0000-0000-0000AD760000}"/>
    <cellStyle name="Comma 3 4 2 2 2 2 8 2" xfId="38941" xr:uid="{00000000-0005-0000-0000-0000AE760000}"/>
    <cellStyle name="Comma 3 4 2 2 2 2 9" xfId="24231" xr:uid="{00000000-0005-0000-0000-0000AF760000}"/>
    <cellStyle name="Comma 3 4 2 2 2 3" xfId="1564" xr:uid="{00000000-0005-0000-0000-0000B0760000}"/>
    <cellStyle name="Comma 3 4 2 2 2 3 10" xfId="22395" xr:uid="{00000000-0005-0000-0000-0000B1760000}"/>
    <cellStyle name="Comma 3 4 2 2 2 3 2" xfId="4012" xr:uid="{00000000-0005-0000-0000-0000B2760000}"/>
    <cellStyle name="Comma 3 4 2 2 2 3 2 2" xfId="19947" xr:uid="{00000000-0005-0000-0000-0000B3760000}"/>
    <cellStyle name="Comma 3 4 2 2 2 3 2 2 2" xfId="43225" xr:uid="{00000000-0005-0000-0000-0000B4760000}"/>
    <cellStyle name="Comma 3 4 2 2 2 3 2 3" xfId="48121" xr:uid="{00000000-0005-0000-0000-0000B5760000}"/>
    <cellStyle name="Comma 3 4 2 2 2 3 2 4" xfId="27291" xr:uid="{00000000-0005-0000-0000-0000B6760000}"/>
    <cellStyle name="Comma 3 4 2 2 2 3 3" xfId="6460" xr:uid="{00000000-0005-0000-0000-0000B7760000}"/>
    <cellStyle name="Comma 3 4 2 2 2 3 3 2" xfId="29739" xr:uid="{00000000-0005-0000-0000-0000B8760000}"/>
    <cellStyle name="Comma 3 4 2 2 2 3 4" xfId="8908" xr:uid="{00000000-0005-0000-0000-0000B9760000}"/>
    <cellStyle name="Comma 3 4 2 2 2 3 4 2" xfId="32187" xr:uid="{00000000-0005-0000-0000-0000BA760000}"/>
    <cellStyle name="Comma 3 4 2 2 2 3 5" xfId="11356" xr:uid="{00000000-0005-0000-0000-0000BB760000}"/>
    <cellStyle name="Comma 3 4 2 2 2 3 5 2" xfId="34635" xr:uid="{00000000-0005-0000-0000-0000BC760000}"/>
    <cellStyle name="Comma 3 4 2 2 2 3 6" xfId="13804" xr:uid="{00000000-0005-0000-0000-0000BD760000}"/>
    <cellStyle name="Comma 3 4 2 2 2 3 6 2" xfId="37083" xr:uid="{00000000-0005-0000-0000-0000BE760000}"/>
    <cellStyle name="Comma 3 4 2 2 2 3 7" xfId="17499" xr:uid="{00000000-0005-0000-0000-0000BF760000}"/>
    <cellStyle name="Comma 3 4 2 2 2 3 7 2" xfId="40777" xr:uid="{00000000-0005-0000-0000-0000C0760000}"/>
    <cellStyle name="Comma 3 4 2 2 2 3 8" xfId="24843" xr:uid="{00000000-0005-0000-0000-0000C1760000}"/>
    <cellStyle name="Comma 3 4 2 2 2 3 9" xfId="45673" xr:uid="{00000000-0005-0000-0000-0000C2760000}"/>
    <cellStyle name="Comma 3 4 2 2 2 4" xfId="2788" xr:uid="{00000000-0005-0000-0000-0000C3760000}"/>
    <cellStyle name="Comma 3 4 2 2 2 4 2" xfId="16275" xr:uid="{00000000-0005-0000-0000-0000C4760000}"/>
    <cellStyle name="Comma 3 4 2 2 2 4 2 2" xfId="39553" xr:uid="{00000000-0005-0000-0000-0000C5760000}"/>
    <cellStyle name="Comma 3 4 2 2 2 4 3" xfId="46897" xr:uid="{00000000-0005-0000-0000-0000C6760000}"/>
    <cellStyle name="Comma 3 4 2 2 2 4 4" xfId="26067" xr:uid="{00000000-0005-0000-0000-0000C7760000}"/>
    <cellStyle name="Comma 3 4 2 2 2 5" xfId="5236" xr:uid="{00000000-0005-0000-0000-0000C8760000}"/>
    <cellStyle name="Comma 3 4 2 2 2 5 2" xfId="18723" xr:uid="{00000000-0005-0000-0000-0000C9760000}"/>
    <cellStyle name="Comma 3 4 2 2 2 5 2 2" xfId="42001" xr:uid="{00000000-0005-0000-0000-0000CA760000}"/>
    <cellStyle name="Comma 3 4 2 2 2 5 3" xfId="28515" xr:uid="{00000000-0005-0000-0000-0000CB760000}"/>
    <cellStyle name="Comma 3 4 2 2 2 6" xfId="7684" xr:uid="{00000000-0005-0000-0000-0000CC760000}"/>
    <cellStyle name="Comma 3 4 2 2 2 6 2" xfId="30963" xr:uid="{00000000-0005-0000-0000-0000CD760000}"/>
    <cellStyle name="Comma 3 4 2 2 2 7" xfId="10132" xr:uid="{00000000-0005-0000-0000-0000CE760000}"/>
    <cellStyle name="Comma 3 4 2 2 2 7 2" xfId="33411" xr:uid="{00000000-0005-0000-0000-0000CF760000}"/>
    <cellStyle name="Comma 3 4 2 2 2 8" xfId="12580" xr:uid="{00000000-0005-0000-0000-0000D0760000}"/>
    <cellStyle name="Comma 3 4 2 2 2 8 2" xfId="35859" xr:uid="{00000000-0005-0000-0000-0000D1760000}"/>
    <cellStyle name="Comma 3 4 2 2 2 9" xfId="15051" xr:uid="{00000000-0005-0000-0000-0000D2760000}"/>
    <cellStyle name="Comma 3 4 2 2 2 9 2" xfId="38329" xr:uid="{00000000-0005-0000-0000-0000D3760000}"/>
    <cellStyle name="Comma 3 4 2 2 3" xfId="544" xr:uid="{00000000-0005-0000-0000-0000D4760000}"/>
    <cellStyle name="Comma 3 4 2 2 3 10" xfId="23823" xr:uid="{00000000-0005-0000-0000-0000D5760000}"/>
    <cellStyle name="Comma 3 4 2 2 3 11" xfId="44653" xr:uid="{00000000-0005-0000-0000-0000D6760000}"/>
    <cellStyle name="Comma 3 4 2 2 3 12" xfId="21375" xr:uid="{00000000-0005-0000-0000-0000D7760000}"/>
    <cellStyle name="Comma 3 4 2 2 3 2" xfId="1156" xr:uid="{00000000-0005-0000-0000-0000D8760000}"/>
    <cellStyle name="Comma 3 4 2 2 3 2 10" xfId="45265" xr:uid="{00000000-0005-0000-0000-0000D9760000}"/>
    <cellStyle name="Comma 3 4 2 2 3 2 11" xfId="21987" xr:uid="{00000000-0005-0000-0000-0000DA760000}"/>
    <cellStyle name="Comma 3 4 2 2 3 2 2" xfId="2380" xr:uid="{00000000-0005-0000-0000-0000DB760000}"/>
    <cellStyle name="Comma 3 4 2 2 3 2 2 10" xfId="23211" xr:uid="{00000000-0005-0000-0000-0000DC760000}"/>
    <cellStyle name="Comma 3 4 2 2 3 2 2 2" xfId="4828" xr:uid="{00000000-0005-0000-0000-0000DD760000}"/>
    <cellStyle name="Comma 3 4 2 2 3 2 2 2 2" xfId="20763" xr:uid="{00000000-0005-0000-0000-0000DE760000}"/>
    <cellStyle name="Comma 3 4 2 2 3 2 2 2 2 2" xfId="44041" xr:uid="{00000000-0005-0000-0000-0000DF760000}"/>
    <cellStyle name="Comma 3 4 2 2 3 2 2 2 3" xfId="48937" xr:uid="{00000000-0005-0000-0000-0000E0760000}"/>
    <cellStyle name="Comma 3 4 2 2 3 2 2 2 4" xfId="28107" xr:uid="{00000000-0005-0000-0000-0000E1760000}"/>
    <cellStyle name="Comma 3 4 2 2 3 2 2 3" xfId="7276" xr:uid="{00000000-0005-0000-0000-0000E2760000}"/>
    <cellStyle name="Comma 3 4 2 2 3 2 2 3 2" xfId="30555" xr:uid="{00000000-0005-0000-0000-0000E3760000}"/>
    <cellStyle name="Comma 3 4 2 2 3 2 2 4" xfId="9724" xr:uid="{00000000-0005-0000-0000-0000E4760000}"/>
    <cellStyle name="Comma 3 4 2 2 3 2 2 4 2" xfId="33003" xr:uid="{00000000-0005-0000-0000-0000E5760000}"/>
    <cellStyle name="Comma 3 4 2 2 3 2 2 5" xfId="12172" xr:uid="{00000000-0005-0000-0000-0000E6760000}"/>
    <cellStyle name="Comma 3 4 2 2 3 2 2 5 2" xfId="35451" xr:uid="{00000000-0005-0000-0000-0000E7760000}"/>
    <cellStyle name="Comma 3 4 2 2 3 2 2 6" xfId="14620" xr:uid="{00000000-0005-0000-0000-0000E8760000}"/>
    <cellStyle name="Comma 3 4 2 2 3 2 2 6 2" xfId="37899" xr:uid="{00000000-0005-0000-0000-0000E9760000}"/>
    <cellStyle name="Comma 3 4 2 2 3 2 2 7" xfId="18315" xr:uid="{00000000-0005-0000-0000-0000EA760000}"/>
    <cellStyle name="Comma 3 4 2 2 3 2 2 7 2" xfId="41593" xr:uid="{00000000-0005-0000-0000-0000EB760000}"/>
    <cellStyle name="Comma 3 4 2 2 3 2 2 8" xfId="25659" xr:uid="{00000000-0005-0000-0000-0000EC760000}"/>
    <cellStyle name="Comma 3 4 2 2 3 2 2 9" xfId="46489" xr:uid="{00000000-0005-0000-0000-0000ED760000}"/>
    <cellStyle name="Comma 3 4 2 2 3 2 3" xfId="3604" xr:uid="{00000000-0005-0000-0000-0000EE760000}"/>
    <cellStyle name="Comma 3 4 2 2 3 2 3 2" xfId="17091" xr:uid="{00000000-0005-0000-0000-0000EF760000}"/>
    <cellStyle name="Comma 3 4 2 2 3 2 3 2 2" xfId="40369" xr:uid="{00000000-0005-0000-0000-0000F0760000}"/>
    <cellStyle name="Comma 3 4 2 2 3 2 3 3" xfId="47713" xr:uid="{00000000-0005-0000-0000-0000F1760000}"/>
    <cellStyle name="Comma 3 4 2 2 3 2 3 4" xfId="26883" xr:uid="{00000000-0005-0000-0000-0000F2760000}"/>
    <cellStyle name="Comma 3 4 2 2 3 2 4" xfId="6052" xr:uid="{00000000-0005-0000-0000-0000F3760000}"/>
    <cellStyle name="Comma 3 4 2 2 3 2 4 2" xfId="19539" xr:uid="{00000000-0005-0000-0000-0000F4760000}"/>
    <cellStyle name="Comma 3 4 2 2 3 2 4 2 2" xfId="42817" xr:uid="{00000000-0005-0000-0000-0000F5760000}"/>
    <cellStyle name="Comma 3 4 2 2 3 2 4 3" xfId="29331" xr:uid="{00000000-0005-0000-0000-0000F6760000}"/>
    <cellStyle name="Comma 3 4 2 2 3 2 5" xfId="8500" xr:uid="{00000000-0005-0000-0000-0000F7760000}"/>
    <cellStyle name="Comma 3 4 2 2 3 2 5 2" xfId="31779" xr:uid="{00000000-0005-0000-0000-0000F8760000}"/>
    <cellStyle name="Comma 3 4 2 2 3 2 6" xfId="10948" xr:uid="{00000000-0005-0000-0000-0000F9760000}"/>
    <cellStyle name="Comma 3 4 2 2 3 2 6 2" xfId="34227" xr:uid="{00000000-0005-0000-0000-0000FA760000}"/>
    <cellStyle name="Comma 3 4 2 2 3 2 7" xfId="13396" xr:uid="{00000000-0005-0000-0000-0000FB760000}"/>
    <cellStyle name="Comma 3 4 2 2 3 2 7 2" xfId="36675" xr:uid="{00000000-0005-0000-0000-0000FC760000}"/>
    <cellStyle name="Comma 3 4 2 2 3 2 8" xfId="15867" xr:uid="{00000000-0005-0000-0000-0000FD760000}"/>
    <cellStyle name="Comma 3 4 2 2 3 2 8 2" xfId="39145" xr:uid="{00000000-0005-0000-0000-0000FE760000}"/>
    <cellStyle name="Comma 3 4 2 2 3 2 9" xfId="24435" xr:uid="{00000000-0005-0000-0000-0000FF760000}"/>
    <cellStyle name="Comma 3 4 2 2 3 3" xfId="1768" xr:uid="{00000000-0005-0000-0000-000000770000}"/>
    <cellStyle name="Comma 3 4 2 2 3 3 10" xfId="22599" xr:uid="{00000000-0005-0000-0000-000001770000}"/>
    <cellStyle name="Comma 3 4 2 2 3 3 2" xfId="4216" xr:uid="{00000000-0005-0000-0000-000002770000}"/>
    <cellStyle name="Comma 3 4 2 2 3 3 2 2" xfId="20151" xr:uid="{00000000-0005-0000-0000-000003770000}"/>
    <cellStyle name="Comma 3 4 2 2 3 3 2 2 2" xfId="43429" xr:uid="{00000000-0005-0000-0000-000004770000}"/>
    <cellStyle name="Comma 3 4 2 2 3 3 2 3" xfId="48325" xr:uid="{00000000-0005-0000-0000-000005770000}"/>
    <cellStyle name="Comma 3 4 2 2 3 3 2 4" xfId="27495" xr:uid="{00000000-0005-0000-0000-000006770000}"/>
    <cellStyle name="Comma 3 4 2 2 3 3 3" xfId="6664" xr:uid="{00000000-0005-0000-0000-000007770000}"/>
    <cellStyle name="Comma 3 4 2 2 3 3 3 2" xfId="29943" xr:uid="{00000000-0005-0000-0000-000008770000}"/>
    <cellStyle name="Comma 3 4 2 2 3 3 4" xfId="9112" xr:uid="{00000000-0005-0000-0000-000009770000}"/>
    <cellStyle name="Comma 3 4 2 2 3 3 4 2" xfId="32391" xr:uid="{00000000-0005-0000-0000-00000A770000}"/>
    <cellStyle name="Comma 3 4 2 2 3 3 5" xfId="11560" xr:uid="{00000000-0005-0000-0000-00000B770000}"/>
    <cellStyle name="Comma 3 4 2 2 3 3 5 2" xfId="34839" xr:uid="{00000000-0005-0000-0000-00000C770000}"/>
    <cellStyle name="Comma 3 4 2 2 3 3 6" xfId="14008" xr:uid="{00000000-0005-0000-0000-00000D770000}"/>
    <cellStyle name="Comma 3 4 2 2 3 3 6 2" xfId="37287" xr:uid="{00000000-0005-0000-0000-00000E770000}"/>
    <cellStyle name="Comma 3 4 2 2 3 3 7" xfId="17703" xr:uid="{00000000-0005-0000-0000-00000F770000}"/>
    <cellStyle name="Comma 3 4 2 2 3 3 7 2" xfId="40981" xr:uid="{00000000-0005-0000-0000-000010770000}"/>
    <cellStyle name="Comma 3 4 2 2 3 3 8" xfId="25047" xr:uid="{00000000-0005-0000-0000-000011770000}"/>
    <cellStyle name="Comma 3 4 2 2 3 3 9" xfId="45877" xr:uid="{00000000-0005-0000-0000-000012770000}"/>
    <cellStyle name="Comma 3 4 2 2 3 4" xfId="2992" xr:uid="{00000000-0005-0000-0000-000013770000}"/>
    <cellStyle name="Comma 3 4 2 2 3 4 2" xfId="16479" xr:uid="{00000000-0005-0000-0000-000014770000}"/>
    <cellStyle name="Comma 3 4 2 2 3 4 2 2" xfId="39757" xr:uid="{00000000-0005-0000-0000-000015770000}"/>
    <cellStyle name="Comma 3 4 2 2 3 4 3" xfId="47101" xr:uid="{00000000-0005-0000-0000-000016770000}"/>
    <cellStyle name="Comma 3 4 2 2 3 4 4" xfId="26271" xr:uid="{00000000-0005-0000-0000-000017770000}"/>
    <cellStyle name="Comma 3 4 2 2 3 5" xfId="5440" xr:uid="{00000000-0005-0000-0000-000018770000}"/>
    <cellStyle name="Comma 3 4 2 2 3 5 2" xfId="18927" xr:uid="{00000000-0005-0000-0000-000019770000}"/>
    <cellStyle name="Comma 3 4 2 2 3 5 2 2" xfId="42205" xr:uid="{00000000-0005-0000-0000-00001A770000}"/>
    <cellStyle name="Comma 3 4 2 2 3 5 3" xfId="28719" xr:uid="{00000000-0005-0000-0000-00001B770000}"/>
    <cellStyle name="Comma 3 4 2 2 3 6" xfId="7888" xr:uid="{00000000-0005-0000-0000-00001C770000}"/>
    <cellStyle name="Comma 3 4 2 2 3 6 2" xfId="31167" xr:uid="{00000000-0005-0000-0000-00001D770000}"/>
    <cellStyle name="Comma 3 4 2 2 3 7" xfId="10336" xr:uid="{00000000-0005-0000-0000-00001E770000}"/>
    <cellStyle name="Comma 3 4 2 2 3 7 2" xfId="33615" xr:uid="{00000000-0005-0000-0000-00001F770000}"/>
    <cellStyle name="Comma 3 4 2 2 3 8" xfId="12784" xr:uid="{00000000-0005-0000-0000-000020770000}"/>
    <cellStyle name="Comma 3 4 2 2 3 8 2" xfId="36063" xr:uid="{00000000-0005-0000-0000-000021770000}"/>
    <cellStyle name="Comma 3 4 2 2 3 9" xfId="15255" xr:uid="{00000000-0005-0000-0000-000022770000}"/>
    <cellStyle name="Comma 3 4 2 2 3 9 2" xfId="38533" xr:uid="{00000000-0005-0000-0000-000023770000}"/>
    <cellStyle name="Comma 3 4 2 2 4" xfId="748" xr:uid="{00000000-0005-0000-0000-000024770000}"/>
    <cellStyle name="Comma 3 4 2 2 4 10" xfId="44857" xr:uid="{00000000-0005-0000-0000-000025770000}"/>
    <cellStyle name="Comma 3 4 2 2 4 11" xfId="21579" xr:uid="{00000000-0005-0000-0000-000026770000}"/>
    <cellStyle name="Comma 3 4 2 2 4 2" xfId="1972" xr:uid="{00000000-0005-0000-0000-000027770000}"/>
    <cellStyle name="Comma 3 4 2 2 4 2 10" xfId="22803" xr:uid="{00000000-0005-0000-0000-000028770000}"/>
    <cellStyle name="Comma 3 4 2 2 4 2 2" xfId="4420" xr:uid="{00000000-0005-0000-0000-000029770000}"/>
    <cellStyle name="Comma 3 4 2 2 4 2 2 2" xfId="20355" xr:uid="{00000000-0005-0000-0000-00002A770000}"/>
    <cellStyle name="Comma 3 4 2 2 4 2 2 2 2" xfId="43633" xr:uid="{00000000-0005-0000-0000-00002B770000}"/>
    <cellStyle name="Comma 3 4 2 2 4 2 2 3" xfId="48529" xr:uid="{00000000-0005-0000-0000-00002C770000}"/>
    <cellStyle name="Comma 3 4 2 2 4 2 2 4" xfId="27699" xr:uid="{00000000-0005-0000-0000-00002D770000}"/>
    <cellStyle name="Comma 3 4 2 2 4 2 3" xfId="6868" xr:uid="{00000000-0005-0000-0000-00002E770000}"/>
    <cellStyle name="Comma 3 4 2 2 4 2 3 2" xfId="30147" xr:uid="{00000000-0005-0000-0000-00002F770000}"/>
    <cellStyle name="Comma 3 4 2 2 4 2 4" xfId="9316" xr:uid="{00000000-0005-0000-0000-000030770000}"/>
    <cellStyle name="Comma 3 4 2 2 4 2 4 2" xfId="32595" xr:uid="{00000000-0005-0000-0000-000031770000}"/>
    <cellStyle name="Comma 3 4 2 2 4 2 5" xfId="11764" xr:uid="{00000000-0005-0000-0000-000032770000}"/>
    <cellStyle name="Comma 3 4 2 2 4 2 5 2" xfId="35043" xr:uid="{00000000-0005-0000-0000-000033770000}"/>
    <cellStyle name="Comma 3 4 2 2 4 2 6" xfId="14212" xr:uid="{00000000-0005-0000-0000-000034770000}"/>
    <cellStyle name="Comma 3 4 2 2 4 2 6 2" xfId="37491" xr:uid="{00000000-0005-0000-0000-000035770000}"/>
    <cellStyle name="Comma 3 4 2 2 4 2 7" xfId="17907" xr:uid="{00000000-0005-0000-0000-000036770000}"/>
    <cellStyle name="Comma 3 4 2 2 4 2 7 2" xfId="41185" xr:uid="{00000000-0005-0000-0000-000037770000}"/>
    <cellStyle name="Comma 3 4 2 2 4 2 8" xfId="25251" xr:uid="{00000000-0005-0000-0000-000038770000}"/>
    <cellStyle name="Comma 3 4 2 2 4 2 9" xfId="46081" xr:uid="{00000000-0005-0000-0000-000039770000}"/>
    <cellStyle name="Comma 3 4 2 2 4 3" xfId="3196" xr:uid="{00000000-0005-0000-0000-00003A770000}"/>
    <cellStyle name="Comma 3 4 2 2 4 3 2" xfId="16683" xr:uid="{00000000-0005-0000-0000-00003B770000}"/>
    <cellStyle name="Comma 3 4 2 2 4 3 2 2" xfId="39961" xr:uid="{00000000-0005-0000-0000-00003C770000}"/>
    <cellStyle name="Comma 3 4 2 2 4 3 3" xfId="47305" xr:uid="{00000000-0005-0000-0000-00003D770000}"/>
    <cellStyle name="Comma 3 4 2 2 4 3 4" xfId="26475" xr:uid="{00000000-0005-0000-0000-00003E770000}"/>
    <cellStyle name="Comma 3 4 2 2 4 4" xfId="5644" xr:uid="{00000000-0005-0000-0000-00003F770000}"/>
    <cellStyle name="Comma 3 4 2 2 4 4 2" xfId="19131" xr:uid="{00000000-0005-0000-0000-000040770000}"/>
    <cellStyle name="Comma 3 4 2 2 4 4 2 2" xfId="42409" xr:uid="{00000000-0005-0000-0000-000041770000}"/>
    <cellStyle name="Comma 3 4 2 2 4 4 3" xfId="28923" xr:uid="{00000000-0005-0000-0000-000042770000}"/>
    <cellStyle name="Comma 3 4 2 2 4 5" xfId="8092" xr:uid="{00000000-0005-0000-0000-000043770000}"/>
    <cellStyle name="Comma 3 4 2 2 4 5 2" xfId="31371" xr:uid="{00000000-0005-0000-0000-000044770000}"/>
    <cellStyle name="Comma 3 4 2 2 4 6" xfId="10540" xr:uid="{00000000-0005-0000-0000-000045770000}"/>
    <cellStyle name="Comma 3 4 2 2 4 6 2" xfId="33819" xr:uid="{00000000-0005-0000-0000-000046770000}"/>
    <cellStyle name="Comma 3 4 2 2 4 7" xfId="12988" xr:uid="{00000000-0005-0000-0000-000047770000}"/>
    <cellStyle name="Comma 3 4 2 2 4 7 2" xfId="36267" xr:uid="{00000000-0005-0000-0000-000048770000}"/>
    <cellStyle name="Comma 3 4 2 2 4 8" xfId="15459" xr:uid="{00000000-0005-0000-0000-000049770000}"/>
    <cellStyle name="Comma 3 4 2 2 4 8 2" xfId="38737" xr:uid="{00000000-0005-0000-0000-00004A770000}"/>
    <cellStyle name="Comma 3 4 2 2 4 9" xfId="24027" xr:uid="{00000000-0005-0000-0000-00004B770000}"/>
    <cellStyle name="Comma 3 4 2 2 5" xfId="1360" xr:uid="{00000000-0005-0000-0000-00004C770000}"/>
    <cellStyle name="Comma 3 4 2 2 5 10" xfId="22191" xr:uid="{00000000-0005-0000-0000-00004D770000}"/>
    <cellStyle name="Comma 3 4 2 2 5 2" xfId="3808" xr:uid="{00000000-0005-0000-0000-00004E770000}"/>
    <cellStyle name="Comma 3 4 2 2 5 2 2" xfId="19743" xr:uid="{00000000-0005-0000-0000-00004F770000}"/>
    <cellStyle name="Comma 3 4 2 2 5 2 2 2" xfId="43021" xr:uid="{00000000-0005-0000-0000-000050770000}"/>
    <cellStyle name="Comma 3 4 2 2 5 2 3" xfId="47917" xr:uid="{00000000-0005-0000-0000-000051770000}"/>
    <cellStyle name="Comma 3 4 2 2 5 2 4" xfId="27087" xr:uid="{00000000-0005-0000-0000-000052770000}"/>
    <cellStyle name="Comma 3 4 2 2 5 3" xfId="6256" xr:uid="{00000000-0005-0000-0000-000053770000}"/>
    <cellStyle name="Comma 3 4 2 2 5 3 2" xfId="29535" xr:uid="{00000000-0005-0000-0000-000054770000}"/>
    <cellStyle name="Comma 3 4 2 2 5 4" xfId="8704" xr:uid="{00000000-0005-0000-0000-000055770000}"/>
    <cellStyle name="Comma 3 4 2 2 5 4 2" xfId="31983" xr:uid="{00000000-0005-0000-0000-000056770000}"/>
    <cellStyle name="Comma 3 4 2 2 5 5" xfId="11152" xr:uid="{00000000-0005-0000-0000-000057770000}"/>
    <cellStyle name="Comma 3 4 2 2 5 5 2" xfId="34431" xr:uid="{00000000-0005-0000-0000-000058770000}"/>
    <cellStyle name="Comma 3 4 2 2 5 6" xfId="13600" xr:uid="{00000000-0005-0000-0000-000059770000}"/>
    <cellStyle name="Comma 3 4 2 2 5 6 2" xfId="36879" xr:uid="{00000000-0005-0000-0000-00005A770000}"/>
    <cellStyle name="Comma 3 4 2 2 5 7" xfId="17295" xr:uid="{00000000-0005-0000-0000-00005B770000}"/>
    <cellStyle name="Comma 3 4 2 2 5 7 2" xfId="40573" xr:uid="{00000000-0005-0000-0000-00005C770000}"/>
    <cellStyle name="Comma 3 4 2 2 5 8" xfId="24639" xr:uid="{00000000-0005-0000-0000-00005D770000}"/>
    <cellStyle name="Comma 3 4 2 2 5 9" xfId="45469" xr:uid="{00000000-0005-0000-0000-00005E770000}"/>
    <cellStyle name="Comma 3 4 2 2 6" xfId="2584" xr:uid="{00000000-0005-0000-0000-00005F770000}"/>
    <cellStyle name="Comma 3 4 2 2 6 2" xfId="16071" xr:uid="{00000000-0005-0000-0000-000060770000}"/>
    <cellStyle name="Comma 3 4 2 2 6 2 2" xfId="39349" xr:uid="{00000000-0005-0000-0000-000061770000}"/>
    <cellStyle name="Comma 3 4 2 2 6 3" xfId="46693" xr:uid="{00000000-0005-0000-0000-000062770000}"/>
    <cellStyle name="Comma 3 4 2 2 6 4" xfId="25863" xr:uid="{00000000-0005-0000-0000-000063770000}"/>
    <cellStyle name="Comma 3 4 2 2 7" xfId="5032" xr:uid="{00000000-0005-0000-0000-000064770000}"/>
    <cellStyle name="Comma 3 4 2 2 7 2" xfId="18519" xr:uid="{00000000-0005-0000-0000-000065770000}"/>
    <cellStyle name="Comma 3 4 2 2 7 2 2" xfId="41797" xr:uid="{00000000-0005-0000-0000-000066770000}"/>
    <cellStyle name="Comma 3 4 2 2 7 3" xfId="28311" xr:uid="{00000000-0005-0000-0000-000067770000}"/>
    <cellStyle name="Comma 3 4 2 2 8" xfId="7480" xr:uid="{00000000-0005-0000-0000-000068770000}"/>
    <cellStyle name="Comma 3 4 2 2 8 2" xfId="30759" xr:uid="{00000000-0005-0000-0000-000069770000}"/>
    <cellStyle name="Comma 3 4 2 2 9" xfId="9928" xr:uid="{00000000-0005-0000-0000-00006A770000}"/>
    <cellStyle name="Comma 3 4 2 2 9 2" xfId="33207" xr:uid="{00000000-0005-0000-0000-00006B770000}"/>
    <cellStyle name="Comma 3 4 2 3" xfId="204" xr:uid="{00000000-0005-0000-0000-00006C770000}"/>
    <cellStyle name="Comma 3 4 2 3 10" xfId="12444" xr:uid="{00000000-0005-0000-0000-00006D770000}"/>
    <cellStyle name="Comma 3 4 2 3 10 2" xfId="35723" xr:uid="{00000000-0005-0000-0000-00006E770000}"/>
    <cellStyle name="Comma 3 4 2 3 11" xfId="14915" xr:uid="{00000000-0005-0000-0000-00006F770000}"/>
    <cellStyle name="Comma 3 4 2 3 11 2" xfId="38193" xr:uid="{00000000-0005-0000-0000-000070770000}"/>
    <cellStyle name="Comma 3 4 2 3 12" xfId="23483" xr:uid="{00000000-0005-0000-0000-000071770000}"/>
    <cellStyle name="Comma 3 4 2 3 13" xfId="44313" xr:uid="{00000000-0005-0000-0000-000072770000}"/>
    <cellStyle name="Comma 3 4 2 3 14" xfId="21035" xr:uid="{00000000-0005-0000-0000-000073770000}"/>
    <cellStyle name="Comma 3 4 2 3 2" xfId="408" xr:uid="{00000000-0005-0000-0000-000074770000}"/>
    <cellStyle name="Comma 3 4 2 3 2 10" xfId="23687" xr:uid="{00000000-0005-0000-0000-000075770000}"/>
    <cellStyle name="Comma 3 4 2 3 2 11" xfId="44517" xr:uid="{00000000-0005-0000-0000-000076770000}"/>
    <cellStyle name="Comma 3 4 2 3 2 12" xfId="21239" xr:uid="{00000000-0005-0000-0000-000077770000}"/>
    <cellStyle name="Comma 3 4 2 3 2 2" xfId="1020" xr:uid="{00000000-0005-0000-0000-000078770000}"/>
    <cellStyle name="Comma 3 4 2 3 2 2 10" xfId="45129" xr:uid="{00000000-0005-0000-0000-000079770000}"/>
    <cellStyle name="Comma 3 4 2 3 2 2 11" xfId="21851" xr:uid="{00000000-0005-0000-0000-00007A770000}"/>
    <cellStyle name="Comma 3 4 2 3 2 2 2" xfId="2244" xr:uid="{00000000-0005-0000-0000-00007B770000}"/>
    <cellStyle name="Comma 3 4 2 3 2 2 2 10" xfId="23075" xr:uid="{00000000-0005-0000-0000-00007C770000}"/>
    <cellStyle name="Comma 3 4 2 3 2 2 2 2" xfId="4692" xr:uid="{00000000-0005-0000-0000-00007D770000}"/>
    <cellStyle name="Comma 3 4 2 3 2 2 2 2 2" xfId="20627" xr:uid="{00000000-0005-0000-0000-00007E770000}"/>
    <cellStyle name="Comma 3 4 2 3 2 2 2 2 2 2" xfId="43905" xr:uid="{00000000-0005-0000-0000-00007F770000}"/>
    <cellStyle name="Comma 3 4 2 3 2 2 2 2 3" xfId="48801" xr:uid="{00000000-0005-0000-0000-000080770000}"/>
    <cellStyle name="Comma 3 4 2 3 2 2 2 2 4" xfId="27971" xr:uid="{00000000-0005-0000-0000-000081770000}"/>
    <cellStyle name="Comma 3 4 2 3 2 2 2 3" xfId="7140" xr:uid="{00000000-0005-0000-0000-000082770000}"/>
    <cellStyle name="Comma 3 4 2 3 2 2 2 3 2" xfId="30419" xr:uid="{00000000-0005-0000-0000-000083770000}"/>
    <cellStyle name="Comma 3 4 2 3 2 2 2 4" xfId="9588" xr:uid="{00000000-0005-0000-0000-000084770000}"/>
    <cellStyle name="Comma 3 4 2 3 2 2 2 4 2" xfId="32867" xr:uid="{00000000-0005-0000-0000-000085770000}"/>
    <cellStyle name="Comma 3 4 2 3 2 2 2 5" xfId="12036" xr:uid="{00000000-0005-0000-0000-000086770000}"/>
    <cellStyle name="Comma 3 4 2 3 2 2 2 5 2" xfId="35315" xr:uid="{00000000-0005-0000-0000-000087770000}"/>
    <cellStyle name="Comma 3 4 2 3 2 2 2 6" xfId="14484" xr:uid="{00000000-0005-0000-0000-000088770000}"/>
    <cellStyle name="Comma 3 4 2 3 2 2 2 6 2" xfId="37763" xr:uid="{00000000-0005-0000-0000-000089770000}"/>
    <cellStyle name="Comma 3 4 2 3 2 2 2 7" xfId="18179" xr:uid="{00000000-0005-0000-0000-00008A770000}"/>
    <cellStyle name="Comma 3 4 2 3 2 2 2 7 2" xfId="41457" xr:uid="{00000000-0005-0000-0000-00008B770000}"/>
    <cellStyle name="Comma 3 4 2 3 2 2 2 8" xfId="25523" xr:uid="{00000000-0005-0000-0000-00008C770000}"/>
    <cellStyle name="Comma 3 4 2 3 2 2 2 9" xfId="46353" xr:uid="{00000000-0005-0000-0000-00008D770000}"/>
    <cellStyle name="Comma 3 4 2 3 2 2 3" xfId="3468" xr:uid="{00000000-0005-0000-0000-00008E770000}"/>
    <cellStyle name="Comma 3 4 2 3 2 2 3 2" xfId="16955" xr:uid="{00000000-0005-0000-0000-00008F770000}"/>
    <cellStyle name="Comma 3 4 2 3 2 2 3 2 2" xfId="40233" xr:uid="{00000000-0005-0000-0000-000090770000}"/>
    <cellStyle name="Comma 3 4 2 3 2 2 3 3" xfId="47577" xr:uid="{00000000-0005-0000-0000-000091770000}"/>
    <cellStyle name="Comma 3 4 2 3 2 2 3 4" xfId="26747" xr:uid="{00000000-0005-0000-0000-000092770000}"/>
    <cellStyle name="Comma 3 4 2 3 2 2 4" xfId="5916" xr:uid="{00000000-0005-0000-0000-000093770000}"/>
    <cellStyle name="Comma 3 4 2 3 2 2 4 2" xfId="19403" xr:uid="{00000000-0005-0000-0000-000094770000}"/>
    <cellStyle name="Comma 3 4 2 3 2 2 4 2 2" xfId="42681" xr:uid="{00000000-0005-0000-0000-000095770000}"/>
    <cellStyle name="Comma 3 4 2 3 2 2 4 3" xfId="29195" xr:uid="{00000000-0005-0000-0000-000096770000}"/>
    <cellStyle name="Comma 3 4 2 3 2 2 5" xfId="8364" xr:uid="{00000000-0005-0000-0000-000097770000}"/>
    <cellStyle name="Comma 3 4 2 3 2 2 5 2" xfId="31643" xr:uid="{00000000-0005-0000-0000-000098770000}"/>
    <cellStyle name="Comma 3 4 2 3 2 2 6" xfId="10812" xr:uid="{00000000-0005-0000-0000-000099770000}"/>
    <cellStyle name="Comma 3 4 2 3 2 2 6 2" xfId="34091" xr:uid="{00000000-0005-0000-0000-00009A770000}"/>
    <cellStyle name="Comma 3 4 2 3 2 2 7" xfId="13260" xr:uid="{00000000-0005-0000-0000-00009B770000}"/>
    <cellStyle name="Comma 3 4 2 3 2 2 7 2" xfId="36539" xr:uid="{00000000-0005-0000-0000-00009C770000}"/>
    <cellStyle name="Comma 3 4 2 3 2 2 8" xfId="15731" xr:uid="{00000000-0005-0000-0000-00009D770000}"/>
    <cellStyle name="Comma 3 4 2 3 2 2 8 2" xfId="39009" xr:uid="{00000000-0005-0000-0000-00009E770000}"/>
    <cellStyle name="Comma 3 4 2 3 2 2 9" xfId="24299" xr:uid="{00000000-0005-0000-0000-00009F770000}"/>
    <cellStyle name="Comma 3 4 2 3 2 3" xfId="1632" xr:uid="{00000000-0005-0000-0000-0000A0770000}"/>
    <cellStyle name="Comma 3 4 2 3 2 3 10" xfId="22463" xr:uid="{00000000-0005-0000-0000-0000A1770000}"/>
    <cellStyle name="Comma 3 4 2 3 2 3 2" xfId="4080" xr:uid="{00000000-0005-0000-0000-0000A2770000}"/>
    <cellStyle name="Comma 3 4 2 3 2 3 2 2" xfId="20015" xr:uid="{00000000-0005-0000-0000-0000A3770000}"/>
    <cellStyle name="Comma 3 4 2 3 2 3 2 2 2" xfId="43293" xr:uid="{00000000-0005-0000-0000-0000A4770000}"/>
    <cellStyle name="Comma 3 4 2 3 2 3 2 3" xfId="48189" xr:uid="{00000000-0005-0000-0000-0000A5770000}"/>
    <cellStyle name="Comma 3 4 2 3 2 3 2 4" xfId="27359" xr:uid="{00000000-0005-0000-0000-0000A6770000}"/>
    <cellStyle name="Comma 3 4 2 3 2 3 3" xfId="6528" xr:uid="{00000000-0005-0000-0000-0000A7770000}"/>
    <cellStyle name="Comma 3 4 2 3 2 3 3 2" xfId="29807" xr:uid="{00000000-0005-0000-0000-0000A8770000}"/>
    <cellStyle name="Comma 3 4 2 3 2 3 4" xfId="8976" xr:uid="{00000000-0005-0000-0000-0000A9770000}"/>
    <cellStyle name="Comma 3 4 2 3 2 3 4 2" xfId="32255" xr:uid="{00000000-0005-0000-0000-0000AA770000}"/>
    <cellStyle name="Comma 3 4 2 3 2 3 5" xfId="11424" xr:uid="{00000000-0005-0000-0000-0000AB770000}"/>
    <cellStyle name="Comma 3 4 2 3 2 3 5 2" xfId="34703" xr:uid="{00000000-0005-0000-0000-0000AC770000}"/>
    <cellStyle name="Comma 3 4 2 3 2 3 6" xfId="13872" xr:uid="{00000000-0005-0000-0000-0000AD770000}"/>
    <cellStyle name="Comma 3 4 2 3 2 3 6 2" xfId="37151" xr:uid="{00000000-0005-0000-0000-0000AE770000}"/>
    <cellStyle name="Comma 3 4 2 3 2 3 7" xfId="17567" xr:uid="{00000000-0005-0000-0000-0000AF770000}"/>
    <cellStyle name="Comma 3 4 2 3 2 3 7 2" xfId="40845" xr:uid="{00000000-0005-0000-0000-0000B0770000}"/>
    <cellStyle name="Comma 3 4 2 3 2 3 8" xfId="24911" xr:uid="{00000000-0005-0000-0000-0000B1770000}"/>
    <cellStyle name="Comma 3 4 2 3 2 3 9" xfId="45741" xr:uid="{00000000-0005-0000-0000-0000B2770000}"/>
    <cellStyle name="Comma 3 4 2 3 2 4" xfId="2856" xr:uid="{00000000-0005-0000-0000-0000B3770000}"/>
    <cellStyle name="Comma 3 4 2 3 2 4 2" xfId="16343" xr:uid="{00000000-0005-0000-0000-0000B4770000}"/>
    <cellStyle name="Comma 3 4 2 3 2 4 2 2" xfId="39621" xr:uid="{00000000-0005-0000-0000-0000B5770000}"/>
    <cellStyle name="Comma 3 4 2 3 2 4 3" xfId="46965" xr:uid="{00000000-0005-0000-0000-0000B6770000}"/>
    <cellStyle name="Comma 3 4 2 3 2 4 4" xfId="26135" xr:uid="{00000000-0005-0000-0000-0000B7770000}"/>
    <cellStyle name="Comma 3 4 2 3 2 5" xfId="5304" xr:uid="{00000000-0005-0000-0000-0000B8770000}"/>
    <cellStyle name="Comma 3 4 2 3 2 5 2" xfId="18791" xr:uid="{00000000-0005-0000-0000-0000B9770000}"/>
    <cellStyle name="Comma 3 4 2 3 2 5 2 2" xfId="42069" xr:uid="{00000000-0005-0000-0000-0000BA770000}"/>
    <cellStyle name="Comma 3 4 2 3 2 5 3" xfId="28583" xr:uid="{00000000-0005-0000-0000-0000BB770000}"/>
    <cellStyle name="Comma 3 4 2 3 2 6" xfId="7752" xr:uid="{00000000-0005-0000-0000-0000BC770000}"/>
    <cellStyle name="Comma 3 4 2 3 2 6 2" xfId="31031" xr:uid="{00000000-0005-0000-0000-0000BD770000}"/>
    <cellStyle name="Comma 3 4 2 3 2 7" xfId="10200" xr:uid="{00000000-0005-0000-0000-0000BE770000}"/>
    <cellStyle name="Comma 3 4 2 3 2 7 2" xfId="33479" xr:uid="{00000000-0005-0000-0000-0000BF770000}"/>
    <cellStyle name="Comma 3 4 2 3 2 8" xfId="12648" xr:uid="{00000000-0005-0000-0000-0000C0770000}"/>
    <cellStyle name="Comma 3 4 2 3 2 8 2" xfId="35927" xr:uid="{00000000-0005-0000-0000-0000C1770000}"/>
    <cellStyle name="Comma 3 4 2 3 2 9" xfId="15119" xr:uid="{00000000-0005-0000-0000-0000C2770000}"/>
    <cellStyle name="Comma 3 4 2 3 2 9 2" xfId="38397" xr:uid="{00000000-0005-0000-0000-0000C3770000}"/>
    <cellStyle name="Comma 3 4 2 3 3" xfId="612" xr:uid="{00000000-0005-0000-0000-0000C4770000}"/>
    <cellStyle name="Comma 3 4 2 3 3 10" xfId="23891" xr:uid="{00000000-0005-0000-0000-0000C5770000}"/>
    <cellStyle name="Comma 3 4 2 3 3 11" xfId="44721" xr:uid="{00000000-0005-0000-0000-0000C6770000}"/>
    <cellStyle name="Comma 3 4 2 3 3 12" xfId="21443" xr:uid="{00000000-0005-0000-0000-0000C7770000}"/>
    <cellStyle name="Comma 3 4 2 3 3 2" xfId="1224" xr:uid="{00000000-0005-0000-0000-0000C8770000}"/>
    <cellStyle name="Comma 3 4 2 3 3 2 10" xfId="45333" xr:uid="{00000000-0005-0000-0000-0000C9770000}"/>
    <cellStyle name="Comma 3 4 2 3 3 2 11" xfId="22055" xr:uid="{00000000-0005-0000-0000-0000CA770000}"/>
    <cellStyle name="Comma 3 4 2 3 3 2 2" xfId="2448" xr:uid="{00000000-0005-0000-0000-0000CB770000}"/>
    <cellStyle name="Comma 3 4 2 3 3 2 2 10" xfId="23279" xr:uid="{00000000-0005-0000-0000-0000CC770000}"/>
    <cellStyle name="Comma 3 4 2 3 3 2 2 2" xfId="4896" xr:uid="{00000000-0005-0000-0000-0000CD770000}"/>
    <cellStyle name="Comma 3 4 2 3 3 2 2 2 2" xfId="20831" xr:uid="{00000000-0005-0000-0000-0000CE770000}"/>
    <cellStyle name="Comma 3 4 2 3 3 2 2 2 2 2" xfId="44109" xr:uid="{00000000-0005-0000-0000-0000CF770000}"/>
    <cellStyle name="Comma 3 4 2 3 3 2 2 2 3" xfId="49005" xr:uid="{00000000-0005-0000-0000-0000D0770000}"/>
    <cellStyle name="Comma 3 4 2 3 3 2 2 2 4" xfId="28175" xr:uid="{00000000-0005-0000-0000-0000D1770000}"/>
    <cellStyle name="Comma 3 4 2 3 3 2 2 3" xfId="7344" xr:uid="{00000000-0005-0000-0000-0000D2770000}"/>
    <cellStyle name="Comma 3 4 2 3 3 2 2 3 2" xfId="30623" xr:uid="{00000000-0005-0000-0000-0000D3770000}"/>
    <cellStyle name="Comma 3 4 2 3 3 2 2 4" xfId="9792" xr:uid="{00000000-0005-0000-0000-0000D4770000}"/>
    <cellStyle name="Comma 3 4 2 3 3 2 2 4 2" xfId="33071" xr:uid="{00000000-0005-0000-0000-0000D5770000}"/>
    <cellStyle name="Comma 3 4 2 3 3 2 2 5" xfId="12240" xr:uid="{00000000-0005-0000-0000-0000D6770000}"/>
    <cellStyle name="Comma 3 4 2 3 3 2 2 5 2" xfId="35519" xr:uid="{00000000-0005-0000-0000-0000D7770000}"/>
    <cellStyle name="Comma 3 4 2 3 3 2 2 6" xfId="14688" xr:uid="{00000000-0005-0000-0000-0000D8770000}"/>
    <cellStyle name="Comma 3 4 2 3 3 2 2 6 2" xfId="37967" xr:uid="{00000000-0005-0000-0000-0000D9770000}"/>
    <cellStyle name="Comma 3 4 2 3 3 2 2 7" xfId="18383" xr:uid="{00000000-0005-0000-0000-0000DA770000}"/>
    <cellStyle name="Comma 3 4 2 3 3 2 2 7 2" xfId="41661" xr:uid="{00000000-0005-0000-0000-0000DB770000}"/>
    <cellStyle name="Comma 3 4 2 3 3 2 2 8" xfId="25727" xr:uid="{00000000-0005-0000-0000-0000DC770000}"/>
    <cellStyle name="Comma 3 4 2 3 3 2 2 9" xfId="46557" xr:uid="{00000000-0005-0000-0000-0000DD770000}"/>
    <cellStyle name="Comma 3 4 2 3 3 2 3" xfId="3672" xr:uid="{00000000-0005-0000-0000-0000DE770000}"/>
    <cellStyle name="Comma 3 4 2 3 3 2 3 2" xfId="17159" xr:uid="{00000000-0005-0000-0000-0000DF770000}"/>
    <cellStyle name="Comma 3 4 2 3 3 2 3 2 2" xfId="40437" xr:uid="{00000000-0005-0000-0000-0000E0770000}"/>
    <cellStyle name="Comma 3 4 2 3 3 2 3 3" xfId="47781" xr:uid="{00000000-0005-0000-0000-0000E1770000}"/>
    <cellStyle name="Comma 3 4 2 3 3 2 3 4" xfId="26951" xr:uid="{00000000-0005-0000-0000-0000E2770000}"/>
    <cellStyle name="Comma 3 4 2 3 3 2 4" xfId="6120" xr:uid="{00000000-0005-0000-0000-0000E3770000}"/>
    <cellStyle name="Comma 3 4 2 3 3 2 4 2" xfId="19607" xr:uid="{00000000-0005-0000-0000-0000E4770000}"/>
    <cellStyle name="Comma 3 4 2 3 3 2 4 2 2" xfId="42885" xr:uid="{00000000-0005-0000-0000-0000E5770000}"/>
    <cellStyle name="Comma 3 4 2 3 3 2 4 3" xfId="29399" xr:uid="{00000000-0005-0000-0000-0000E6770000}"/>
    <cellStyle name="Comma 3 4 2 3 3 2 5" xfId="8568" xr:uid="{00000000-0005-0000-0000-0000E7770000}"/>
    <cellStyle name="Comma 3 4 2 3 3 2 5 2" xfId="31847" xr:uid="{00000000-0005-0000-0000-0000E8770000}"/>
    <cellStyle name="Comma 3 4 2 3 3 2 6" xfId="11016" xr:uid="{00000000-0005-0000-0000-0000E9770000}"/>
    <cellStyle name="Comma 3 4 2 3 3 2 6 2" xfId="34295" xr:uid="{00000000-0005-0000-0000-0000EA770000}"/>
    <cellStyle name="Comma 3 4 2 3 3 2 7" xfId="13464" xr:uid="{00000000-0005-0000-0000-0000EB770000}"/>
    <cellStyle name="Comma 3 4 2 3 3 2 7 2" xfId="36743" xr:uid="{00000000-0005-0000-0000-0000EC770000}"/>
    <cellStyle name="Comma 3 4 2 3 3 2 8" xfId="15935" xr:uid="{00000000-0005-0000-0000-0000ED770000}"/>
    <cellStyle name="Comma 3 4 2 3 3 2 8 2" xfId="39213" xr:uid="{00000000-0005-0000-0000-0000EE770000}"/>
    <cellStyle name="Comma 3 4 2 3 3 2 9" xfId="24503" xr:uid="{00000000-0005-0000-0000-0000EF770000}"/>
    <cellStyle name="Comma 3 4 2 3 3 3" xfId="1836" xr:uid="{00000000-0005-0000-0000-0000F0770000}"/>
    <cellStyle name="Comma 3 4 2 3 3 3 10" xfId="22667" xr:uid="{00000000-0005-0000-0000-0000F1770000}"/>
    <cellStyle name="Comma 3 4 2 3 3 3 2" xfId="4284" xr:uid="{00000000-0005-0000-0000-0000F2770000}"/>
    <cellStyle name="Comma 3 4 2 3 3 3 2 2" xfId="20219" xr:uid="{00000000-0005-0000-0000-0000F3770000}"/>
    <cellStyle name="Comma 3 4 2 3 3 3 2 2 2" xfId="43497" xr:uid="{00000000-0005-0000-0000-0000F4770000}"/>
    <cellStyle name="Comma 3 4 2 3 3 3 2 3" xfId="48393" xr:uid="{00000000-0005-0000-0000-0000F5770000}"/>
    <cellStyle name="Comma 3 4 2 3 3 3 2 4" xfId="27563" xr:uid="{00000000-0005-0000-0000-0000F6770000}"/>
    <cellStyle name="Comma 3 4 2 3 3 3 3" xfId="6732" xr:uid="{00000000-0005-0000-0000-0000F7770000}"/>
    <cellStyle name="Comma 3 4 2 3 3 3 3 2" xfId="30011" xr:uid="{00000000-0005-0000-0000-0000F8770000}"/>
    <cellStyle name="Comma 3 4 2 3 3 3 4" xfId="9180" xr:uid="{00000000-0005-0000-0000-0000F9770000}"/>
    <cellStyle name="Comma 3 4 2 3 3 3 4 2" xfId="32459" xr:uid="{00000000-0005-0000-0000-0000FA770000}"/>
    <cellStyle name="Comma 3 4 2 3 3 3 5" xfId="11628" xr:uid="{00000000-0005-0000-0000-0000FB770000}"/>
    <cellStyle name="Comma 3 4 2 3 3 3 5 2" xfId="34907" xr:uid="{00000000-0005-0000-0000-0000FC770000}"/>
    <cellStyle name="Comma 3 4 2 3 3 3 6" xfId="14076" xr:uid="{00000000-0005-0000-0000-0000FD770000}"/>
    <cellStyle name="Comma 3 4 2 3 3 3 6 2" xfId="37355" xr:uid="{00000000-0005-0000-0000-0000FE770000}"/>
    <cellStyle name="Comma 3 4 2 3 3 3 7" xfId="17771" xr:uid="{00000000-0005-0000-0000-0000FF770000}"/>
    <cellStyle name="Comma 3 4 2 3 3 3 7 2" xfId="41049" xr:uid="{00000000-0005-0000-0000-000000780000}"/>
    <cellStyle name="Comma 3 4 2 3 3 3 8" xfId="25115" xr:uid="{00000000-0005-0000-0000-000001780000}"/>
    <cellStyle name="Comma 3 4 2 3 3 3 9" xfId="45945" xr:uid="{00000000-0005-0000-0000-000002780000}"/>
    <cellStyle name="Comma 3 4 2 3 3 4" xfId="3060" xr:uid="{00000000-0005-0000-0000-000003780000}"/>
    <cellStyle name="Comma 3 4 2 3 3 4 2" xfId="16547" xr:uid="{00000000-0005-0000-0000-000004780000}"/>
    <cellStyle name="Comma 3 4 2 3 3 4 2 2" xfId="39825" xr:uid="{00000000-0005-0000-0000-000005780000}"/>
    <cellStyle name="Comma 3 4 2 3 3 4 3" xfId="47169" xr:uid="{00000000-0005-0000-0000-000006780000}"/>
    <cellStyle name="Comma 3 4 2 3 3 4 4" xfId="26339" xr:uid="{00000000-0005-0000-0000-000007780000}"/>
    <cellStyle name="Comma 3 4 2 3 3 5" xfId="5508" xr:uid="{00000000-0005-0000-0000-000008780000}"/>
    <cellStyle name="Comma 3 4 2 3 3 5 2" xfId="18995" xr:uid="{00000000-0005-0000-0000-000009780000}"/>
    <cellStyle name="Comma 3 4 2 3 3 5 2 2" xfId="42273" xr:uid="{00000000-0005-0000-0000-00000A780000}"/>
    <cellStyle name="Comma 3 4 2 3 3 5 3" xfId="28787" xr:uid="{00000000-0005-0000-0000-00000B780000}"/>
    <cellStyle name="Comma 3 4 2 3 3 6" xfId="7956" xr:uid="{00000000-0005-0000-0000-00000C780000}"/>
    <cellStyle name="Comma 3 4 2 3 3 6 2" xfId="31235" xr:uid="{00000000-0005-0000-0000-00000D780000}"/>
    <cellStyle name="Comma 3 4 2 3 3 7" xfId="10404" xr:uid="{00000000-0005-0000-0000-00000E780000}"/>
    <cellStyle name="Comma 3 4 2 3 3 7 2" xfId="33683" xr:uid="{00000000-0005-0000-0000-00000F780000}"/>
    <cellStyle name="Comma 3 4 2 3 3 8" xfId="12852" xr:uid="{00000000-0005-0000-0000-000010780000}"/>
    <cellStyle name="Comma 3 4 2 3 3 8 2" xfId="36131" xr:uid="{00000000-0005-0000-0000-000011780000}"/>
    <cellStyle name="Comma 3 4 2 3 3 9" xfId="15323" xr:uid="{00000000-0005-0000-0000-000012780000}"/>
    <cellStyle name="Comma 3 4 2 3 3 9 2" xfId="38601" xr:uid="{00000000-0005-0000-0000-000013780000}"/>
    <cellStyle name="Comma 3 4 2 3 4" xfId="816" xr:uid="{00000000-0005-0000-0000-000014780000}"/>
    <cellStyle name="Comma 3 4 2 3 4 10" xfId="44925" xr:uid="{00000000-0005-0000-0000-000015780000}"/>
    <cellStyle name="Comma 3 4 2 3 4 11" xfId="21647" xr:uid="{00000000-0005-0000-0000-000016780000}"/>
    <cellStyle name="Comma 3 4 2 3 4 2" xfId="2040" xr:uid="{00000000-0005-0000-0000-000017780000}"/>
    <cellStyle name="Comma 3 4 2 3 4 2 10" xfId="22871" xr:uid="{00000000-0005-0000-0000-000018780000}"/>
    <cellStyle name="Comma 3 4 2 3 4 2 2" xfId="4488" xr:uid="{00000000-0005-0000-0000-000019780000}"/>
    <cellStyle name="Comma 3 4 2 3 4 2 2 2" xfId="20423" xr:uid="{00000000-0005-0000-0000-00001A780000}"/>
    <cellStyle name="Comma 3 4 2 3 4 2 2 2 2" xfId="43701" xr:uid="{00000000-0005-0000-0000-00001B780000}"/>
    <cellStyle name="Comma 3 4 2 3 4 2 2 3" xfId="48597" xr:uid="{00000000-0005-0000-0000-00001C780000}"/>
    <cellStyle name="Comma 3 4 2 3 4 2 2 4" xfId="27767" xr:uid="{00000000-0005-0000-0000-00001D780000}"/>
    <cellStyle name="Comma 3 4 2 3 4 2 3" xfId="6936" xr:uid="{00000000-0005-0000-0000-00001E780000}"/>
    <cellStyle name="Comma 3 4 2 3 4 2 3 2" xfId="30215" xr:uid="{00000000-0005-0000-0000-00001F780000}"/>
    <cellStyle name="Comma 3 4 2 3 4 2 4" xfId="9384" xr:uid="{00000000-0005-0000-0000-000020780000}"/>
    <cellStyle name="Comma 3 4 2 3 4 2 4 2" xfId="32663" xr:uid="{00000000-0005-0000-0000-000021780000}"/>
    <cellStyle name="Comma 3 4 2 3 4 2 5" xfId="11832" xr:uid="{00000000-0005-0000-0000-000022780000}"/>
    <cellStyle name="Comma 3 4 2 3 4 2 5 2" xfId="35111" xr:uid="{00000000-0005-0000-0000-000023780000}"/>
    <cellStyle name="Comma 3 4 2 3 4 2 6" xfId="14280" xr:uid="{00000000-0005-0000-0000-000024780000}"/>
    <cellStyle name="Comma 3 4 2 3 4 2 6 2" xfId="37559" xr:uid="{00000000-0005-0000-0000-000025780000}"/>
    <cellStyle name="Comma 3 4 2 3 4 2 7" xfId="17975" xr:uid="{00000000-0005-0000-0000-000026780000}"/>
    <cellStyle name="Comma 3 4 2 3 4 2 7 2" xfId="41253" xr:uid="{00000000-0005-0000-0000-000027780000}"/>
    <cellStyle name="Comma 3 4 2 3 4 2 8" xfId="25319" xr:uid="{00000000-0005-0000-0000-000028780000}"/>
    <cellStyle name="Comma 3 4 2 3 4 2 9" xfId="46149" xr:uid="{00000000-0005-0000-0000-000029780000}"/>
    <cellStyle name="Comma 3 4 2 3 4 3" xfId="3264" xr:uid="{00000000-0005-0000-0000-00002A780000}"/>
    <cellStyle name="Comma 3 4 2 3 4 3 2" xfId="16751" xr:uid="{00000000-0005-0000-0000-00002B780000}"/>
    <cellStyle name="Comma 3 4 2 3 4 3 2 2" xfId="40029" xr:uid="{00000000-0005-0000-0000-00002C780000}"/>
    <cellStyle name="Comma 3 4 2 3 4 3 3" xfId="47373" xr:uid="{00000000-0005-0000-0000-00002D780000}"/>
    <cellStyle name="Comma 3 4 2 3 4 3 4" xfId="26543" xr:uid="{00000000-0005-0000-0000-00002E780000}"/>
    <cellStyle name="Comma 3 4 2 3 4 4" xfId="5712" xr:uid="{00000000-0005-0000-0000-00002F780000}"/>
    <cellStyle name="Comma 3 4 2 3 4 4 2" xfId="19199" xr:uid="{00000000-0005-0000-0000-000030780000}"/>
    <cellStyle name="Comma 3 4 2 3 4 4 2 2" xfId="42477" xr:uid="{00000000-0005-0000-0000-000031780000}"/>
    <cellStyle name="Comma 3 4 2 3 4 4 3" xfId="28991" xr:uid="{00000000-0005-0000-0000-000032780000}"/>
    <cellStyle name="Comma 3 4 2 3 4 5" xfId="8160" xr:uid="{00000000-0005-0000-0000-000033780000}"/>
    <cellStyle name="Comma 3 4 2 3 4 5 2" xfId="31439" xr:uid="{00000000-0005-0000-0000-000034780000}"/>
    <cellStyle name="Comma 3 4 2 3 4 6" xfId="10608" xr:uid="{00000000-0005-0000-0000-000035780000}"/>
    <cellStyle name="Comma 3 4 2 3 4 6 2" xfId="33887" xr:uid="{00000000-0005-0000-0000-000036780000}"/>
    <cellStyle name="Comma 3 4 2 3 4 7" xfId="13056" xr:uid="{00000000-0005-0000-0000-000037780000}"/>
    <cellStyle name="Comma 3 4 2 3 4 7 2" xfId="36335" xr:uid="{00000000-0005-0000-0000-000038780000}"/>
    <cellStyle name="Comma 3 4 2 3 4 8" xfId="15527" xr:uid="{00000000-0005-0000-0000-000039780000}"/>
    <cellStyle name="Comma 3 4 2 3 4 8 2" xfId="38805" xr:uid="{00000000-0005-0000-0000-00003A780000}"/>
    <cellStyle name="Comma 3 4 2 3 4 9" xfId="24095" xr:uid="{00000000-0005-0000-0000-00003B780000}"/>
    <cellStyle name="Comma 3 4 2 3 5" xfId="1428" xr:uid="{00000000-0005-0000-0000-00003C780000}"/>
    <cellStyle name="Comma 3 4 2 3 5 10" xfId="22259" xr:uid="{00000000-0005-0000-0000-00003D780000}"/>
    <cellStyle name="Comma 3 4 2 3 5 2" xfId="3876" xr:uid="{00000000-0005-0000-0000-00003E780000}"/>
    <cellStyle name="Comma 3 4 2 3 5 2 2" xfId="19811" xr:uid="{00000000-0005-0000-0000-00003F780000}"/>
    <cellStyle name="Comma 3 4 2 3 5 2 2 2" xfId="43089" xr:uid="{00000000-0005-0000-0000-000040780000}"/>
    <cellStyle name="Comma 3 4 2 3 5 2 3" xfId="47985" xr:uid="{00000000-0005-0000-0000-000041780000}"/>
    <cellStyle name="Comma 3 4 2 3 5 2 4" xfId="27155" xr:uid="{00000000-0005-0000-0000-000042780000}"/>
    <cellStyle name="Comma 3 4 2 3 5 3" xfId="6324" xr:uid="{00000000-0005-0000-0000-000043780000}"/>
    <cellStyle name="Comma 3 4 2 3 5 3 2" xfId="29603" xr:uid="{00000000-0005-0000-0000-000044780000}"/>
    <cellStyle name="Comma 3 4 2 3 5 4" xfId="8772" xr:uid="{00000000-0005-0000-0000-000045780000}"/>
    <cellStyle name="Comma 3 4 2 3 5 4 2" xfId="32051" xr:uid="{00000000-0005-0000-0000-000046780000}"/>
    <cellStyle name="Comma 3 4 2 3 5 5" xfId="11220" xr:uid="{00000000-0005-0000-0000-000047780000}"/>
    <cellStyle name="Comma 3 4 2 3 5 5 2" xfId="34499" xr:uid="{00000000-0005-0000-0000-000048780000}"/>
    <cellStyle name="Comma 3 4 2 3 5 6" xfId="13668" xr:uid="{00000000-0005-0000-0000-000049780000}"/>
    <cellStyle name="Comma 3 4 2 3 5 6 2" xfId="36947" xr:uid="{00000000-0005-0000-0000-00004A780000}"/>
    <cellStyle name="Comma 3 4 2 3 5 7" xfId="17363" xr:uid="{00000000-0005-0000-0000-00004B780000}"/>
    <cellStyle name="Comma 3 4 2 3 5 7 2" xfId="40641" xr:uid="{00000000-0005-0000-0000-00004C780000}"/>
    <cellStyle name="Comma 3 4 2 3 5 8" xfId="24707" xr:uid="{00000000-0005-0000-0000-00004D780000}"/>
    <cellStyle name="Comma 3 4 2 3 5 9" xfId="45537" xr:uid="{00000000-0005-0000-0000-00004E780000}"/>
    <cellStyle name="Comma 3 4 2 3 6" xfId="2652" xr:uid="{00000000-0005-0000-0000-00004F780000}"/>
    <cellStyle name="Comma 3 4 2 3 6 2" xfId="16139" xr:uid="{00000000-0005-0000-0000-000050780000}"/>
    <cellStyle name="Comma 3 4 2 3 6 2 2" xfId="39417" xr:uid="{00000000-0005-0000-0000-000051780000}"/>
    <cellStyle name="Comma 3 4 2 3 6 3" xfId="46761" xr:uid="{00000000-0005-0000-0000-000052780000}"/>
    <cellStyle name="Comma 3 4 2 3 6 4" xfId="25931" xr:uid="{00000000-0005-0000-0000-000053780000}"/>
    <cellStyle name="Comma 3 4 2 3 7" xfId="5100" xr:uid="{00000000-0005-0000-0000-000054780000}"/>
    <cellStyle name="Comma 3 4 2 3 7 2" xfId="18587" xr:uid="{00000000-0005-0000-0000-000055780000}"/>
    <cellStyle name="Comma 3 4 2 3 7 2 2" xfId="41865" xr:uid="{00000000-0005-0000-0000-000056780000}"/>
    <cellStyle name="Comma 3 4 2 3 7 3" xfId="28379" xr:uid="{00000000-0005-0000-0000-000057780000}"/>
    <cellStyle name="Comma 3 4 2 3 8" xfId="7548" xr:uid="{00000000-0005-0000-0000-000058780000}"/>
    <cellStyle name="Comma 3 4 2 3 8 2" xfId="30827" xr:uid="{00000000-0005-0000-0000-000059780000}"/>
    <cellStyle name="Comma 3 4 2 3 9" xfId="9996" xr:uid="{00000000-0005-0000-0000-00005A780000}"/>
    <cellStyle name="Comma 3 4 2 3 9 2" xfId="33275" xr:uid="{00000000-0005-0000-0000-00005B780000}"/>
    <cellStyle name="Comma 3 4 2 4" xfId="272" xr:uid="{00000000-0005-0000-0000-00005C780000}"/>
    <cellStyle name="Comma 3 4 2 4 10" xfId="23551" xr:uid="{00000000-0005-0000-0000-00005D780000}"/>
    <cellStyle name="Comma 3 4 2 4 11" xfId="44381" xr:uid="{00000000-0005-0000-0000-00005E780000}"/>
    <cellStyle name="Comma 3 4 2 4 12" xfId="21103" xr:uid="{00000000-0005-0000-0000-00005F780000}"/>
    <cellStyle name="Comma 3 4 2 4 2" xfId="884" xr:uid="{00000000-0005-0000-0000-000060780000}"/>
    <cellStyle name="Comma 3 4 2 4 2 10" xfId="44993" xr:uid="{00000000-0005-0000-0000-000061780000}"/>
    <cellStyle name="Comma 3 4 2 4 2 11" xfId="21715" xr:uid="{00000000-0005-0000-0000-000062780000}"/>
    <cellStyle name="Comma 3 4 2 4 2 2" xfId="2108" xr:uid="{00000000-0005-0000-0000-000063780000}"/>
    <cellStyle name="Comma 3 4 2 4 2 2 10" xfId="22939" xr:uid="{00000000-0005-0000-0000-000064780000}"/>
    <cellStyle name="Comma 3 4 2 4 2 2 2" xfId="4556" xr:uid="{00000000-0005-0000-0000-000065780000}"/>
    <cellStyle name="Comma 3 4 2 4 2 2 2 2" xfId="20491" xr:uid="{00000000-0005-0000-0000-000066780000}"/>
    <cellStyle name="Comma 3 4 2 4 2 2 2 2 2" xfId="43769" xr:uid="{00000000-0005-0000-0000-000067780000}"/>
    <cellStyle name="Comma 3 4 2 4 2 2 2 3" xfId="48665" xr:uid="{00000000-0005-0000-0000-000068780000}"/>
    <cellStyle name="Comma 3 4 2 4 2 2 2 4" xfId="27835" xr:uid="{00000000-0005-0000-0000-000069780000}"/>
    <cellStyle name="Comma 3 4 2 4 2 2 3" xfId="7004" xr:uid="{00000000-0005-0000-0000-00006A780000}"/>
    <cellStyle name="Comma 3 4 2 4 2 2 3 2" xfId="30283" xr:uid="{00000000-0005-0000-0000-00006B780000}"/>
    <cellStyle name="Comma 3 4 2 4 2 2 4" xfId="9452" xr:uid="{00000000-0005-0000-0000-00006C780000}"/>
    <cellStyle name="Comma 3 4 2 4 2 2 4 2" xfId="32731" xr:uid="{00000000-0005-0000-0000-00006D780000}"/>
    <cellStyle name="Comma 3 4 2 4 2 2 5" xfId="11900" xr:uid="{00000000-0005-0000-0000-00006E780000}"/>
    <cellStyle name="Comma 3 4 2 4 2 2 5 2" xfId="35179" xr:uid="{00000000-0005-0000-0000-00006F780000}"/>
    <cellStyle name="Comma 3 4 2 4 2 2 6" xfId="14348" xr:uid="{00000000-0005-0000-0000-000070780000}"/>
    <cellStyle name="Comma 3 4 2 4 2 2 6 2" xfId="37627" xr:uid="{00000000-0005-0000-0000-000071780000}"/>
    <cellStyle name="Comma 3 4 2 4 2 2 7" xfId="18043" xr:uid="{00000000-0005-0000-0000-000072780000}"/>
    <cellStyle name="Comma 3 4 2 4 2 2 7 2" xfId="41321" xr:uid="{00000000-0005-0000-0000-000073780000}"/>
    <cellStyle name="Comma 3 4 2 4 2 2 8" xfId="25387" xr:uid="{00000000-0005-0000-0000-000074780000}"/>
    <cellStyle name="Comma 3 4 2 4 2 2 9" xfId="46217" xr:uid="{00000000-0005-0000-0000-000075780000}"/>
    <cellStyle name="Comma 3 4 2 4 2 3" xfId="3332" xr:uid="{00000000-0005-0000-0000-000076780000}"/>
    <cellStyle name="Comma 3 4 2 4 2 3 2" xfId="16819" xr:uid="{00000000-0005-0000-0000-000077780000}"/>
    <cellStyle name="Comma 3 4 2 4 2 3 2 2" xfId="40097" xr:uid="{00000000-0005-0000-0000-000078780000}"/>
    <cellStyle name="Comma 3 4 2 4 2 3 3" xfId="47441" xr:uid="{00000000-0005-0000-0000-000079780000}"/>
    <cellStyle name="Comma 3 4 2 4 2 3 4" xfId="26611" xr:uid="{00000000-0005-0000-0000-00007A780000}"/>
    <cellStyle name="Comma 3 4 2 4 2 4" xfId="5780" xr:uid="{00000000-0005-0000-0000-00007B780000}"/>
    <cellStyle name="Comma 3 4 2 4 2 4 2" xfId="19267" xr:uid="{00000000-0005-0000-0000-00007C780000}"/>
    <cellStyle name="Comma 3 4 2 4 2 4 2 2" xfId="42545" xr:uid="{00000000-0005-0000-0000-00007D780000}"/>
    <cellStyle name="Comma 3 4 2 4 2 4 3" xfId="29059" xr:uid="{00000000-0005-0000-0000-00007E780000}"/>
    <cellStyle name="Comma 3 4 2 4 2 5" xfId="8228" xr:uid="{00000000-0005-0000-0000-00007F780000}"/>
    <cellStyle name="Comma 3 4 2 4 2 5 2" xfId="31507" xr:uid="{00000000-0005-0000-0000-000080780000}"/>
    <cellStyle name="Comma 3 4 2 4 2 6" xfId="10676" xr:uid="{00000000-0005-0000-0000-000081780000}"/>
    <cellStyle name="Comma 3 4 2 4 2 6 2" xfId="33955" xr:uid="{00000000-0005-0000-0000-000082780000}"/>
    <cellStyle name="Comma 3 4 2 4 2 7" xfId="13124" xr:uid="{00000000-0005-0000-0000-000083780000}"/>
    <cellStyle name="Comma 3 4 2 4 2 7 2" xfId="36403" xr:uid="{00000000-0005-0000-0000-000084780000}"/>
    <cellStyle name="Comma 3 4 2 4 2 8" xfId="15595" xr:uid="{00000000-0005-0000-0000-000085780000}"/>
    <cellStyle name="Comma 3 4 2 4 2 8 2" xfId="38873" xr:uid="{00000000-0005-0000-0000-000086780000}"/>
    <cellStyle name="Comma 3 4 2 4 2 9" xfId="24163" xr:uid="{00000000-0005-0000-0000-000087780000}"/>
    <cellStyle name="Comma 3 4 2 4 3" xfId="1496" xr:uid="{00000000-0005-0000-0000-000088780000}"/>
    <cellStyle name="Comma 3 4 2 4 3 10" xfId="22327" xr:uid="{00000000-0005-0000-0000-000089780000}"/>
    <cellStyle name="Comma 3 4 2 4 3 2" xfId="3944" xr:uid="{00000000-0005-0000-0000-00008A780000}"/>
    <cellStyle name="Comma 3 4 2 4 3 2 2" xfId="19879" xr:uid="{00000000-0005-0000-0000-00008B780000}"/>
    <cellStyle name="Comma 3 4 2 4 3 2 2 2" xfId="43157" xr:uid="{00000000-0005-0000-0000-00008C780000}"/>
    <cellStyle name="Comma 3 4 2 4 3 2 3" xfId="48053" xr:uid="{00000000-0005-0000-0000-00008D780000}"/>
    <cellStyle name="Comma 3 4 2 4 3 2 4" xfId="27223" xr:uid="{00000000-0005-0000-0000-00008E780000}"/>
    <cellStyle name="Comma 3 4 2 4 3 3" xfId="6392" xr:uid="{00000000-0005-0000-0000-00008F780000}"/>
    <cellStyle name="Comma 3 4 2 4 3 3 2" xfId="29671" xr:uid="{00000000-0005-0000-0000-000090780000}"/>
    <cellStyle name="Comma 3 4 2 4 3 4" xfId="8840" xr:uid="{00000000-0005-0000-0000-000091780000}"/>
    <cellStyle name="Comma 3 4 2 4 3 4 2" xfId="32119" xr:uid="{00000000-0005-0000-0000-000092780000}"/>
    <cellStyle name="Comma 3 4 2 4 3 5" xfId="11288" xr:uid="{00000000-0005-0000-0000-000093780000}"/>
    <cellStyle name="Comma 3 4 2 4 3 5 2" xfId="34567" xr:uid="{00000000-0005-0000-0000-000094780000}"/>
    <cellStyle name="Comma 3 4 2 4 3 6" xfId="13736" xr:uid="{00000000-0005-0000-0000-000095780000}"/>
    <cellStyle name="Comma 3 4 2 4 3 6 2" xfId="37015" xr:uid="{00000000-0005-0000-0000-000096780000}"/>
    <cellStyle name="Comma 3 4 2 4 3 7" xfId="17431" xr:uid="{00000000-0005-0000-0000-000097780000}"/>
    <cellStyle name="Comma 3 4 2 4 3 7 2" xfId="40709" xr:uid="{00000000-0005-0000-0000-000098780000}"/>
    <cellStyle name="Comma 3 4 2 4 3 8" xfId="24775" xr:uid="{00000000-0005-0000-0000-000099780000}"/>
    <cellStyle name="Comma 3 4 2 4 3 9" xfId="45605" xr:uid="{00000000-0005-0000-0000-00009A780000}"/>
    <cellStyle name="Comma 3 4 2 4 4" xfId="2720" xr:uid="{00000000-0005-0000-0000-00009B780000}"/>
    <cellStyle name="Comma 3 4 2 4 4 2" xfId="16207" xr:uid="{00000000-0005-0000-0000-00009C780000}"/>
    <cellStyle name="Comma 3 4 2 4 4 2 2" xfId="39485" xr:uid="{00000000-0005-0000-0000-00009D780000}"/>
    <cellStyle name="Comma 3 4 2 4 4 3" xfId="46829" xr:uid="{00000000-0005-0000-0000-00009E780000}"/>
    <cellStyle name="Comma 3 4 2 4 4 4" xfId="25999" xr:uid="{00000000-0005-0000-0000-00009F780000}"/>
    <cellStyle name="Comma 3 4 2 4 5" xfId="5168" xr:uid="{00000000-0005-0000-0000-0000A0780000}"/>
    <cellStyle name="Comma 3 4 2 4 5 2" xfId="18655" xr:uid="{00000000-0005-0000-0000-0000A1780000}"/>
    <cellStyle name="Comma 3 4 2 4 5 2 2" xfId="41933" xr:uid="{00000000-0005-0000-0000-0000A2780000}"/>
    <cellStyle name="Comma 3 4 2 4 5 3" xfId="28447" xr:uid="{00000000-0005-0000-0000-0000A3780000}"/>
    <cellStyle name="Comma 3 4 2 4 6" xfId="7616" xr:uid="{00000000-0005-0000-0000-0000A4780000}"/>
    <cellStyle name="Comma 3 4 2 4 6 2" xfId="30895" xr:uid="{00000000-0005-0000-0000-0000A5780000}"/>
    <cellStyle name="Comma 3 4 2 4 7" xfId="10064" xr:uid="{00000000-0005-0000-0000-0000A6780000}"/>
    <cellStyle name="Comma 3 4 2 4 7 2" xfId="33343" xr:uid="{00000000-0005-0000-0000-0000A7780000}"/>
    <cellStyle name="Comma 3 4 2 4 8" xfId="12512" xr:uid="{00000000-0005-0000-0000-0000A8780000}"/>
    <cellStyle name="Comma 3 4 2 4 8 2" xfId="35791" xr:uid="{00000000-0005-0000-0000-0000A9780000}"/>
    <cellStyle name="Comma 3 4 2 4 9" xfId="14983" xr:uid="{00000000-0005-0000-0000-0000AA780000}"/>
    <cellStyle name="Comma 3 4 2 4 9 2" xfId="38261" xr:uid="{00000000-0005-0000-0000-0000AB780000}"/>
    <cellStyle name="Comma 3 4 2 5" xfId="476" xr:uid="{00000000-0005-0000-0000-0000AC780000}"/>
    <cellStyle name="Comma 3 4 2 5 10" xfId="23755" xr:uid="{00000000-0005-0000-0000-0000AD780000}"/>
    <cellStyle name="Comma 3 4 2 5 11" xfId="44585" xr:uid="{00000000-0005-0000-0000-0000AE780000}"/>
    <cellStyle name="Comma 3 4 2 5 12" xfId="21307" xr:uid="{00000000-0005-0000-0000-0000AF780000}"/>
    <cellStyle name="Comma 3 4 2 5 2" xfId="1088" xr:uid="{00000000-0005-0000-0000-0000B0780000}"/>
    <cellStyle name="Comma 3 4 2 5 2 10" xfId="45197" xr:uid="{00000000-0005-0000-0000-0000B1780000}"/>
    <cellStyle name="Comma 3 4 2 5 2 11" xfId="21919" xr:uid="{00000000-0005-0000-0000-0000B2780000}"/>
    <cellStyle name="Comma 3 4 2 5 2 2" xfId="2312" xr:uid="{00000000-0005-0000-0000-0000B3780000}"/>
    <cellStyle name="Comma 3 4 2 5 2 2 10" xfId="23143" xr:uid="{00000000-0005-0000-0000-0000B4780000}"/>
    <cellStyle name="Comma 3 4 2 5 2 2 2" xfId="4760" xr:uid="{00000000-0005-0000-0000-0000B5780000}"/>
    <cellStyle name="Comma 3 4 2 5 2 2 2 2" xfId="20695" xr:uid="{00000000-0005-0000-0000-0000B6780000}"/>
    <cellStyle name="Comma 3 4 2 5 2 2 2 2 2" xfId="43973" xr:uid="{00000000-0005-0000-0000-0000B7780000}"/>
    <cellStyle name="Comma 3 4 2 5 2 2 2 3" xfId="48869" xr:uid="{00000000-0005-0000-0000-0000B8780000}"/>
    <cellStyle name="Comma 3 4 2 5 2 2 2 4" xfId="28039" xr:uid="{00000000-0005-0000-0000-0000B9780000}"/>
    <cellStyle name="Comma 3 4 2 5 2 2 3" xfId="7208" xr:uid="{00000000-0005-0000-0000-0000BA780000}"/>
    <cellStyle name="Comma 3 4 2 5 2 2 3 2" xfId="30487" xr:uid="{00000000-0005-0000-0000-0000BB780000}"/>
    <cellStyle name="Comma 3 4 2 5 2 2 4" xfId="9656" xr:uid="{00000000-0005-0000-0000-0000BC780000}"/>
    <cellStyle name="Comma 3 4 2 5 2 2 4 2" xfId="32935" xr:uid="{00000000-0005-0000-0000-0000BD780000}"/>
    <cellStyle name="Comma 3 4 2 5 2 2 5" xfId="12104" xr:uid="{00000000-0005-0000-0000-0000BE780000}"/>
    <cellStyle name="Comma 3 4 2 5 2 2 5 2" xfId="35383" xr:uid="{00000000-0005-0000-0000-0000BF780000}"/>
    <cellStyle name="Comma 3 4 2 5 2 2 6" xfId="14552" xr:uid="{00000000-0005-0000-0000-0000C0780000}"/>
    <cellStyle name="Comma 3 4 2 5 2 2 6 2" xfId="37831" xr:uid="{00000000-0005-0000-0000-0000C1780000}"/>
    <cellStyle name="Comma 3 4 2 5 2 2 7" xfId="18247" xr:uid="{00000000-0005-0000-0000-0000C2780000}"/>
    <cellStyle name="Comma 3 4 2 5 2 2 7 2" xfId="41525" xr:uid="{00000000-0005-0000-0000-0000C3780000}"/>
    <cellStyle name="Comma 3 4 2 5 2 2 8" xfId="25591" xr:uid="{00000000-0005-0000-0000-0000C4780000}"/>
    <cellStyle name="Comma 3 4 2 5 2 2 9" xfId="46421" xr:uid="{00000000-0005-0000-0000-0000C5780000}"/>
    <cellStyle name="Comma 3 4 2 5 2 3" xfId="3536" xr:uid="{00000000-0005-0000-0000-0000C6780000}"/>
    <cellStyle name="Comma 3 4 2 5 2 3 2" xfId="17023" xr:uid="{00000000-0005-0000-0000-0000C7780000}"/>
    <cellStyle name="Comma 3 4 2 5 2 3 2 2" xfId="40301" xr:uid="{00000000-0005-0000-0000-0000C8780000}"/>
    <cellStyle name="Comma 3 4 2 5 2 3 3" xfId="47645" xr:uid="{00000000-0005-0000-0000-0000C9780000}"/>
    <cellStyle name="Comma 3 4 2 5 2 3 4" xfId="26815" xr:uid="{00000000-0005-0000-0000-0000CA780000}"/>
    <cellStyle name="Comma 3 4 2 5 2 4" xfId="5984" xr:uid="{00000000-0005-0000-0000-0000CB780000}"/>
    <cellStyle name="Comma 3 4 2 5 2 4 2" xfId="19471" xr:uid="{00000000-0005-0000-0000-0000CC780000}"/>
    <cellStyle name="Comma 3 4 2 5 2 4 2 2" xfId="42749" xr:uid="{00000000-0005-0000-0000-0000CD780000}"/>
    <cellStyle name="Comma 3 4 2 5 2 4 3" xfId="29263" xr:uid="{00000000-0005-0000-0000-0000CE780000}"/>
    <cellStyle name="Comma 3 4 2 5 2 5" xfId="8432" xr:uid="{00000000-0005-0000-0000-0000CF780000}"/>
    <cellStyle name="Comma 3 4 2 5 2 5 2" xfId="31711" xr:uid="{00000000-0005-0000-0000-0000D0780000}"/>
    <cellStyle name="Comma 3 4 2 5 2 6" xfId="10880" xr:uid="{00000000-0005-0000-0000-0000D1780000}"/>
    <cellStyle name="Comma 3 4 2 5 2 6 2" xfId="34159" xr:uid="{00000000-0005-0000-0000-0000D2780000}"/>
    <cellStyle name="Comma 3 4 2 5 2 7" xfId="13328" xr:uid="{00000000-0005-0000-0000-0000D3780000}"/>
    <cellStyle name="Comma 3 4 2 5 2 7 2" xfId="36607" xr:uid="{00000000-0005-0000-0000-0000D4780000}"/>
    <cellStyle name="Comma 3 4 2 5 2 8" xfId="15799" xr:uid="{00000000-0005-0000-0000-0000D5780000}"/>
    <cellStyle name="Comma 3 4 2 5 2 8 2" xfId="39077" xr:uid="{00000000-0005-0000-0000-0000D6780000}"/>
    <cellStyle name="Comma 3 4 2 5 2 9" xfId="24367" xr:uid="{00000000-0005-0000-0000-0000D7780000}"/>
    <cellStyle name="Comma 3 4 2 5 3" xfId="1700" xr:uid="{00000000-0005-0000-0000-0000D8780000}"/>
    <cellStyle name="Comma 3 4 2 5 3 10" xfId="22531" xr:uid="{00000000-0005-0000-0000-0000D9780000}"/>
    <cellStyle name="Comma 3 4 2 5 3 2" xfId="4148" xr:uid="{00000000-0005-0000-0000-0000DA780000}"/>
    <cellStyle name="Comma 3 4 2 5 3 2 2" xfId="20083" xr:uid="{00000000-0005-0000-0000-0000DB780000}"/>
    <cellStyle name="Comma 3 4 2 5 3 2 2 2" xfId="43361" xr:uid="{00000000-0005-0000-0000-0000DC780000}"/>
    <cellStyle name="Comma 3 4 2 5 3 2 3" xfId="48257" xr:uid="{00000000-0005-0000-0000-0000DD780000}"/>
    <cellStyle name="Comma 3 4 2 5 3 2 4" xfId="27427" xr:uid="{00000000-0005-0000-0000-0000DE780000}"/>
    <cellStyle name="Comma 3 4 2 5 3 3" xfId="6596" xr:uid="{00000000-0005-0000-0000-0000DF780000}"/>
    <cellStyle name="Comma 3 4 2 5 3 3 2" xfId="29875" xr:uid="{00000000-0005-0000-0000-0000E0780000}"/>
    <cellStyle name="Comma 3 4 2 5 3 4" xfId="9044" xr:uid="{00000000-0005-0000-0000-0000E1780000}"/>
    <cellStyle name="Comma 3 4 2 5 3 4 2" xfId="32323" xr:uid="{00000000-0005-0000-0000-0000E2780000}"/>
    <cellStyle name="Comma 3 4 2 5 3 5" xfId="11492" xr:uid="{00000000-0005-0000-0000-0000E3780000}"/>
    <cellStyle name="Comma 3 4 2 5 3 5 2" xfId="34771" xr:uid="{00000000-0005-0000-0000-0000E4780000}"/>
    <cellStyle name="Comma 3 4 2 5 3 6" xfId="13940" xr:uid="{00000000-0005-0000-0000-0000E5780000}"/>
    <cellStyle name="Comma 3 4 2 5 3 6 2" xfId="37219" xr:uid="{00000000-0005-0000-0000-0000E6780000}"/>
    <cellStyle name="Comma 3 4 2 5 3 7" xfId="17635" xr:uid="{00000000-0005-0000-0000-0000E7780000}"/>
    <cellStyle name="Comma 3 4 2 5 3 7 2" xfId="40913" xr:uid="{00000000-0005-0000-0000-0000E8780000}"/>
    <cellStyle name="Comma 3 4 2 5 3 8" xfId="24979" xr:uid="{00000000-0005-0000-0000-0000E9780000}"/>
    <cellStyle name="Comma 3 4 2 5 3 9" xfId="45809" xr:uid="{00000000-0005-0000-0000-0000EA780000}"/>
    <cellStyle name="Comma 3 4 2 5 4" xfId="2924" xr:uid="{00000000-0005-0000-0000-0000EB780000}"/>
    <cellStyle name="Comma 3 4 2 5 4 2" xfId="16411" xr:uid="{00000000-0005-0000-0000-0000EC780000}"/>
    <cellStyle name="Comma 3 4 2 5 4 2 2" xfId="39689" xr:uid="{00000000-0005-0000-0000-0000ED780000}"/>
    <cellStyle name="Comma 3 4 2 5 4 3" xfId="47033" xr:uid="{00000000-0005-0000-0000-0000EE780000}"/>
    <cellStyle name="Comma 3 4 2 5 4 4" xfId="26203" xr:uid="{00000000-0005-0000-0000-0000EF780000}"/>
    <cellStyle name="Comma 3 4 2 5 5" xfId="5372" xr:uid="{00000000-0005-0000-0000-0000F0780000}"/>
    <cellStyle name="Comma 3 4 2 5 5 2" xfId="18859" xr:uid="{00000000-0005-0000-0000-0000F1780000}"/>
    <cellStyle name="Comma 3 4 2 5 5 2 2" xfId="42137" xr:uid="{00000000-0005-0000-0000-0000F2780000}"/>
    <cellStyle name="Comma 3 4 2 5 5 3" xfId="28651" xr:uid="{00000000-0005-0000-0000-0000F3780000}"/>
    <cellStyle name="Comma 3 4 2 5 6" xfId="7820" xr:uid="{00000000-0005-0000-0000-0000F4780000}"/>
    <cellStyle name="Comma 3 4 2 5 6 2" xfId="31099" xr:uid="{00000000-0005-0000-0000-0000F5780000}"/>
    <cellStyle name="Comma 3 4 2 5 7" xfId="10268" xr:uid="{00000000-0005-0000-0000-0000F6780000}"/>
    <cellStyle name="Comma 3 4 2 5 7 2" xfId="33547" xr:uid="{00000000-0005-0000-0000-0000F7780000}"/>
    <cellStyle name="Comma 3 4 2 5 8" xfId="12716" xr:uid="{00000000-0005-0000-0000-0000F8780000}"/>
    <cellStyle name="Comma 3 4 2 5 8 2" xfId="35995" xr:uid="{00000000-0005-0000-0000-0000F9780000}"/>
    <cellStyle name="Comma 3 4 2 5 9" xfId="15187" xr:uid="{00000000-0005-0000-0000-0000FA780000}"/>
    <cellStyle name="Comma 3 4 2 5 9 2" xfId="38465" xr:uid="{00000000-0005-0000-0000-0000FB780000}"/>
    <cellStyle name="Comma 3 4 2 6" xfId="680" xr:uid="{00000000-0005-0000-0000-0000FC780000}"/>
    <cellStyle name="Comma 3 4 2 6 10" xfId="44789" xr:uid="{00000000-0005-0000-0000-0000FD780000}"/>
    <cellStyle name="Comma 3 4 2 6 11" xfId="21511" xr:uid="{00000000-0005-0000-0000-0000FE780000}"/>
    <cellStyle name="Comma 3 4 2 6 2" xfId="1904" xr:uid="{00000000-0005-0000-0000-0000FF780000}"/>
    <cellStyle name="Comma 3 4 2 6 2 10" xfId="22735" xr:uid="{00000000-0005-0000-0000-000000790000}"/>
    <cellStyle name="Comma 3 4 2 6 2 2" xfId="4352" xr:uid="{00000000-0005-0000-0000-000001790000}"/>
    <cellStyle name="Comma 3 4 2 6 2 2 2" xfId="20287" xr:uid="{00000000-0005-0000-0000-000002790000}"/>
    <cellStyle name="Comma 3 4 2 6 2 2 2 2" xfId="43565" xr:uid="{00000000-0005-0000-0000-000003790000}"/>
    <cellStyle name="Comma 3 4 2 6 2 2 3" xfId="48461" xr:uid="{00000000-0005-0000-0000-000004790000}"/>
    <cellStyle name="Comma 3 4 2 6 2 2 4" xfId="27631" xr:uid="{00000000-0005-0000-0000-000005790000}"/>
    <cellStyle name="Comma 3 4 2 6 2 3" xfId="6800" xr:uid="{00000000-0005-0000-0000-000006790000}"/>
    <cellStyle name="Comma 3 4 2 6 2 3 2" xfId="30079" xr:uid="{00000000-0005-0000-0000-000007790000}"/>
    <cellStyle name="Comma 3 4 2 6 2 4" xfId="9248" xr:uid="{00000000-0005-0000-0000-000008790000}"/>
    <cellStyle name="Comma 3 4 2 6 2 4 2" xfId="32527" xr:uid="{00000000-0005-0000-0000-000009790000}"/>
    <cellStyle name="Comma 3 4 2 6 2 5" xfId="11696" xr:uid="{00000000-0005-0000-0000-00000A790000}"/>
    <cellStyle name="Comma 3 4 2 6 2 5 2" xfId="34975" xr:uid="{00000000-0005-0000-0000-00000B790000}"/>
    <cellStyle name="Comma 3 4 2 6 2 6" xfId="14144" xr:uid="{00000000-0005-0000-0000-00000C790000}"/>
    <cellStyle name="Comma 3 4 2 6 2 6 2" xfId="37423" xr:uid="{00000000-0005-0000-0000-00000D790000}"/>
    <cellStyle name="Comma 3 4 2 6 2 7" xfId="17839" xr:uid="{00000000-0005-0000-0000-00000E790000}"/>
    <cellStyle name="Comma 3 4 2 6 2 7 2" xfId="41117" xr:uid="{00000000-0005-0000-0000-00000F790000}"/>
    <cellStyle name="Comma 3 4 2 6 2 8" xfId="25183" xr:uid="{00000000-0005-0000-0000-000010790000}"/>
    <cellStyle name="Comma 3 4 2 6 2 9" xfId="46013" xr:uid="{00000000-0005-0000-0000-000011790000}"/>
    <cellStyle name="Comma 3 4 2 6 3" xfId="3128" xr:uid="{00000000-0005-0000-0000-000012790000}"/>
    <cellStyle name="Comma 3 4 2 6 3 2" xfId="16615" xr:uid="{00000000-0005-0000-0000-000013790000}"/>
    <cellStyle name="Comma 3 4 2 6 3 2 2" xfId="39893" xr:uid="{00000000-0005-0000-0000-000014790000}"/>
    <cellStyle name="Comma 3 4 2 6 3 3" xfId="47237" xr:uid="{00000000-0005-0000-0000-000015790000}"/>
    <cellStyle name="Comma 3 4 2 6 3 4" xfId="26407" xr:uid="{00000000-0005-0000-0000-000016790000}"/>
    <cellStyle name="Comma 3 4 2 6 4" xfId="5576" xr:uid="{00000000-0005-0000-0000-000017790000}"/>
    <cellStyle name="Comma 3 4 2 6 4 2" xfId="19063" xr:uid="{00000000-0005-0000-0000-000018790000}"/>
    <cellStyle name="Comma 3 4 2 6 4 2 2" xfId="42341" xr:uid="{00000000-0005-0000-0000-000019790000}"/>
    <cellStyle name="Comma 3 4 2 6 4 3" xfId="28855" xr:uid="{00000000-0005-0000-0000-00001A790000}"/>
    <cellStyle name="Comma 3 4 2 6 5" xfId="8024" xr:uid="{00000000-0005-0000-0000-00001B790000}"/>
    <cellStyle name="Comma 3 4 2 6 5 2" xfId="31303" xr:uid="{00000000-0005-0000-0000-00001C790000}"/>
    <cellStyle name="Comma 3 4 2 6 6" xfId="10472" xr:uid="{00000000-0005-0000-0000-00001D790000}"/>
    <cellStyle name="Comma 3 4 2 6 6 2" xfId="33751" xr:uid="{00000000-0005-0000-0000-00001E790000}"/>
    <cellStyle name="Comma 3 4 2 6 7" xfId="12920" xr:uid="{00000000-0005-0000-0000-00001F790000}"/>
    <cellStyle name="Comma 3 4 2 6 7 2" xfId="36199" xr:uid="{00000000-0005-0000-0000-000020790000}"/>
    <cellStyle name="Comma 3 4 2 6 8" xfId="15391" xr:uid="{00000000-0005-0000-0000-000021790000}"/>
    <cellStyle name="Comma 3 4 2 6 8 2" xfId="38669" xr:uid="{00000000-0005-0000-0000-000022790000}"/>
    <cellStyle name="Comma 3 4 2 6 9" xfId="23959" xr:uid="{00000000-0005-0000-0000-000023790000}"/>
    <cellStyle name="Comma 3 4 2 7" xfId="1292" xr:uid="{00000000-0005-0000-0000-000024790000}"/>
    <cellStyle name="Comma 3 4 2 7 10" xfId="22123" xr:uid="{00000000-0005-0000-0000-000025790000}"/>
    <cellStyle name="Comma 3 4 2 7 2" xfId="3740" xr:uid="{00000000-0005-0000-0000-000026790000}"/>
    <cellStyle name="Comma 3 4 2 7 2 2" xfId="19675" xr:uid="{00000000-0005-0000-0000-000027790000}"/>
    <cellStyle name="Comma 3 4 2 7 2 2 2" xfId="42953" xr:uid="{00000000-0005-0000-0000-000028790000}"/>
    <cellStyle name="Comma 3 4 2 7 2 3" xfId="47849" xr:uid="{00000000-0005-0000-0000-000029790000}"/>
    <cellStyle name="Comma 3 4 2 7 2 4" xfId="27019" xr:uid="{00000000-0005-0000-0000-00002A790000}"/>
    <cellStyle name="Comma 3 4 2 7 3" xfId="6188" xr:uid="{00000000-0005-0000-0000-00002B790000}"/>
    <cellStyle name="Comma 3 4 2 7 3 2" xfId="29467" xr:uid="{00000000-0005-0000-0000-00002C790000}"/>
    <cellStyle name="Comma 3 4 2 7 4" xfId="8636" xr:uid="{00000000-0005-0000-0000-00002D790000}"/>
    <cellStyle name="Comma 3 4 2 7 4 2" xfId="31915" xr:uid="{00000000-0005-0000-0000-00002E790000}"/>
    <cellStyle name="Comma 3 4 2 7 5" xfId="11084" xr:uid="{00000000-0005-0000-0000-00002F790000}"/>
    <cellStyle name="Comma 3 4 2 7 5 2" xfId="34363" xr:uid="{00000000-0005-0000-0000-000030790000}"/>
    <cellStyle name="Comma 3 4 2 7 6" xfId="13532" xr:uid="{00000000-0005-0000-0000-000031790000}"/>
    <cellStyle name="Comma 3 4 2 7 6 2" xfId="36811" xr:uid="{00000000-0005-0000-0000-000032790000}"/>
    <cellStyle name="Comma 3 4 2 7 7" xfId="17227" xr:uid="{00000000-0005-0000-0000-000033790000}"/>
    <cellStyle name="Comma 3 4 2 7 7 2" xfId="40505" xr:uid="{00000000-0005-0000-0000-000034790000}"/>
    <cellStyle name="Comma 3 4 2 7 8" xfId="24571" xr:uid="{00000000-0005-0000-0000-000035790000}"/>
    <cellStyle name="Comma 3 4 2 7 9" xfId="45401" xr:uid="{00000000-0005-0000-0000-000036790000}"/>
    <cellStyle name="Comma 3 4 2 8" xfId="2516" xr:uid="{00000000-0005-0000-0000-000037790000}"/>
    <cellStyle name="Comma 3 4 2 8 2" xfId="16003" xr:uid="{00000000-0005-0000-0000-000038790000}"/>
    <cellStyle name="Comma 3 4 2 8 2 2" xfId="39281" xr:uid="{00000000-0005-0000-0000-000039790000}"/>
    <cellStyle name="Comma 3 4 2 8 3" xfId="46625" xr:uid="{00000000-0005-0000-0000-00003A790000}"/>
    <cellStyle name="Comma 3 4 2 8 4" xfId="25795" xr:uid="{00000000-0005-0000-0000-00003B790000}"/>
    <cellStyle name="Comma 3 4 2 9" xfId="4964" xr:uid="{00000000-0005-0000-0000-00003C790000}"/>
    <cellStyle name="Comma 3 4 2 9 2" xfId="18451" xr:uid="{00000000-0005-0000-0000-00003D790000}"/>
    <cellStyle name="Comma 3 4 2 9 2 2" xfId="41729" xr:uid="{00000000-0005-0000-0000-00003E790000}"/>
    <cellStyle name="Comma 3 4 2 9 3" xfId="28243" xr:uid="{00000000-0005-0000-0000-00003F790000}"/>
    <cellStyle name="Comma 3 4 3" xfId="85" xr:uid="{00000000-0005-0000-0000-000040790000}"/>
    <cellStyle name="Comma 3 4 3 10" xfId="7429" xr:uid="{00000000-0005-0000-0000-000041790000}"/>
    <cellStyle name="Comma 3 4 3 10 2" xfId="30708" xr:uid="{00000000-0005-0000-0000-000042790000}"/>
    <cellStyle name="Comma 3 4 3 11" xfId="9877" xr:uid="{00000000-0005-0000-0000-000043790000}"/>
    <cellStyle name="Comma 3 4 3 11 2" xfId="33156" xr:uid="{00000000-0005-0000-0000-000044790000}"/>
    <cellStyle name="Comma 3 4 3 12" xfId="12325" xr:uid="{00000000-0005-0000-0000-000045790000}"/>
    <cellStyle name="Comma 3 4 3 12 2" xfId="35604" xr:uid="{00000000-0005-0000-0000-000046790000}"/>
    <cellStyle name="Comma 3 4 3 13" xfId="14796" xr:uid="{00000000-0005-0000-0000-000047790000}"/>
    <cellStyle name="Comma 3 4 3 13 2" xfId="38074" xr:uid="{00000000-0005-0000-0000-000048790000}"/>
    <cellStyle name="Comma 3 4 3 14" xfId="23364" xr:uid="{00000000-0005-0000-0000-000049790000}"/>
    <cellStyle name="Comma 3 4 3 15" xfId="44194" xr:uid="{00000000-0005-0000-0000-00004A790000}"/>
    <cellStyle name="Comma 3 4 3 16" xfId="20916" xr:uid="{00000000-0005-0000-0000-00004B790000}"/>
    <cellStyle name="Comma 3 4 3 2" xfId="153" xr:uid="{00000000-0005-0000-0000-00004C790000}"/>
    <cellStyle name="Comma 3 4 3 2 10" xfId="12393" xr:uid="{00000000-0005-0000-0000-00004D790000}"/>
    <cellStyle name="Comma 3 4 3 2 10 2" xfId="35672" xr:uid="{00000000-0005-0000-0000-00004E790000}"/>
    <cellStyle name="Comma 3 4 3 2 11" xfId="14864" xr:uid="{00000000-0005-0000-0000-00004F790000}"/>
    <cellStyle name="Comma 3 4 3 2 11 2" xfId="38142" xr:uid="{00000000-0005-0000-0000-000050790000}"/>
    <cellStyle name="Comma 3 4 3 2 12" xfId="23432" xr:uid="{00000000-0005-0000-0000-000051790000}"/>
    <cellStyle name="Comma 3 4 3 2 13" xfId="44262" xr:uid="{00000000-0005-0000-0000-000052790000}"/>
    <cellStyle name="Comma 3 4 3 2 14" xfId="20984" xr:uid="{00000000-0005-0000-0000-000053790000}"/>
    <cellStyle name="Comma 3 4 3 2 2" xfId="357" xr:uid="{00000000-0005-0000-0000-000054790000}"/>
    <cellStyle name="Comma 3 4 3 2 2 10" xfId="23636" xr:uid="{00000000-0005-0000-0000-000055790000}"/>
    <cellStyle name="Comma 3 4 3 2 2 11" xfId="44466" xr:uid="{00000000-0005-0000-0000-000056790000}"/>
    <cellStyle name="Comma 3 4 3 2 2 12" xfId="21188" xr:uid="{00000000-0005-0000-0000-000057790000}"/>
    <cellStyle name="Comma 3 4 3 2 2 2" xfId="969" xr:uid="{00000000-0005-0000-0000-000058790000}"/>
    <cellStyle name="Comma 3 4 3 2 2 2 10" xfId="45078" xr:uid="{00000000-0005-0000-0000-000059790000}"/>
    <cellStyle name="Comma 3 4 3 2 2 2 11" xfId="21800" xr:uid="{00000000-0005-0000-0000-00005A790000}"/>
    <cellStyle name="Comma 3 4 3 2 2 2 2" xfId="2193" xr:uid="{00000000-0005-0000-0000-00005B790000}"/>
    <cellStyle name="Comma 3 4 3 2 2 2 2 10" xfId="23024" xr:uid="{00000000-0005-0000-0000-00005C790000}"/>
    <cellStyle name="Comma 3 4 3 2 2 2 2 2" xfId="4641" xr:uid="{00000000-0005-0000-0000-00005D790000}"/>
    <cellStyle name="Comma 3 4 3 2 2 2 2 2 2" xfId="20576" xr:uid="{00000000-0005-0000-0000-00005E790000}"/>
    <cellStyle name="Comma 3 4 3 2 2 2 2 2 2 2" xfId="43854" xr:uid="{00000000-0005-0000-0000-00005F790000}"/>
    <cellStyle name="Comma 3 4 3 2 2 2 2 2 3" xfId="48750" xr:uid="{00000000-0005-0000-0000-000060790000}"/>
    <cellStyle name="Comma 3 4 3 2 2 2 2 2 4" xfId="27920" xr:uid="{00000000-0005-0000-0000-000061790000}"/>
    <cellStyle name="Comma 3 4 3 2 2 2 2 3" xfId="7089" xr:uid="{00000000-0005-0000-0000-000062790000}"/>
    <cellStyle name="Comma 3 4 3 2 2 2 2 3 2" xfId="30368" xr:uid="{00000000-0005-0000-0000-000063790000}"/>
    <cellStyle name="Comma 3 4 3 2 2 2 2 4" xfId="9537" xr:uid="{00000000-0005-0000-0000-000064790000}"/>
    <cellStyle name="Comma 3 4 3 2 2 2 2 4 2" xfId="32816" xr:uid="{00000000-0005-0000-0000-000065790000}"/>
    <cellStyle name="Comma 3 4 3 2 2 2 2 5" xfId="11985" xr:uid="{00000000-0005-0000-0000-000066790000}"/>
    <cellStyle name="Comma 3 4 3 2 2 2 2 5 2" xfId="35264" xr:uid="{00000000-0005-0000-0000-000067790000}"/>
    <cellStyle name="Comma 3 4 3 2 2 2 2 6" xfId="14433" xr:uid="{00000000-0005-0000-0000-000068790000}"/>
    <cellStyle name="Comma 3 4 3 2 2 2 2 6 2" xfId="37712" xr:uid="{00000000-0005-0000-0000-000069790000}"/>
    <cellStyle name="Comma 3 4 3 2 2 2 2 7" xfId="18128" xr:uid="{00000000-0005-0000-0000-00006A790000}"/>
    <cellStyle name="Comma 3 4 3 2 2 2 2 7 2" xfId="41406" xr:uid="{00000000-0005-0000-0000-00006B790000}"/>
    <cellStyle name="Comma 3 4 3 2 2 2 2 8" xfId="25472" xr:uid="{00000000-0005-0000-0000-00006C790000}"/>
    <cellStyle name="Comma 3 4 3 2 2 2 2 9" xfId="46302" xr:uid="{00000000-0005-0000-0000-00006D790000}"/>
    <cellStyle name="Comma 3 4 3 2 2 2 3" xfId="3417" xr:uid="{00000000-0005-0000-0000-00006E790000}"/>
    <cellStyle name="Comma 3 4 3 2 2 2 3 2" xfId="16904" xr:uid="{00000000-0005-0000-0000-00006F790000}"/>
    <cellStyle name="Comma 3 4 3 2 2 2 3 2 2" xfId="40182" xr:uid="{00000000-0005-0000-0000-000070790000}"/>
    <cellStyle name="Comma 3 4 3 2 2 2 3 3" xfId="47526" xr:uid="{00000000-0005-0000-0000-000071790000}"/>
    <cellStyle name="Comma 3 4 3 2 2 2 3 4" xfId="26696" xr:uid="{00000000-0005-0000-0000-000072790000}"/>
    <cellStyle name="Comma 3 4 3 2 2 2 4" xfId="5865" xr:uid="{00000000-0005-0000-0000-000073790000}"/>
    <cellStyle name="Comma 3 4 3 2 2 2 4 2" xfId="19352" xr:uid="{00000000-0005-0000-0000-000074790000}"/>
    <cellStyle name="Comma 3 4 3 2 2 2 4 2 2" xfId="42630" xr:uid="{00000000-0005-0000-0000-000075790000}"/>
    <cellStyle name="Comma 3 4 3 2 2 2 4 3" xfId="29144" xr:uid="{00000000-0005-0000-0000-000076790000}"/>
    <cellStyle name="Comma 3 4 3 2 2 2 5" xfId="8313" xr:uid="{00000000-0005-0000-0000-000077790000}"/>
    <cellStyle name="Comma 3 4 3 2 2 2 5 2" xfId="31592" xr:uid="{00000000-0005-0000-0000-000078790000}"/>
    <cellStyle name="Comma 3 4 3 2 2 2 6" xfId="10761" xr:uid="{00000000-0005-0000-0000-000079790000}"/>
    <cellStyle name="Comma 3 4 3 2 2 2 6 2" xfId="34040" xr:uid="{00000000-0005-0000-0000-00007A790000}"/>
    <cellStyle name="Comma 3 4 3 2 2 2 7" xfId="13209" xr:uid="{00000000-0005-0000-0000-00007B790000}"/>
    <cellStyle name="Comma 3 4 3 2 2 2 7 2" xfId="36488" xr:uid="{00000000-0005-0000-0000-00007C790000}"/>
    <cellStyle name="Comma 3 4 3 2 2 2 8" xfId="15680" xr:uid="{00000000-0005-0000-0000-00007D790000}"/>
    <cellStyle name="Comma 3 4 3 2 2 2 8 2" xfId="38958" xr:uid="{00000000-0005-0000-0000-00007E790000}"/>
    <cellStyle name="Comma 3 4 3 2 2 2 9" xfId="24248" xr:uid="{00000000-0005-0000-0000-00007F790000}"/>
    <cellStyle name="Comma 3 4 3 2 2 3" xfId="1581" xr:uid="{00000000-0005-0000-0000-000080790000}"/>
    <cellStyle name="Comma 3 4 3 2 2 3 10" xfId="22412" xr:uid="{00000000-0005-0000-0000-000081790000}"/>
    <cellStyle name="Comma 3 4 3 2 2 3 2" xfId="4029" xr:uid="{00000000-0005-0000-0000-000082790000}"/>
    <cellStyle name="Comma 3 4 3 2 2 3 2 2" xfId="19964" xr:uid="{00000000-0005-0000-0000-000083790000}"/>
    <cellStyle name="Comma 3 4 3 2 2 3 2 2 2" xfId="43242" xr:uid="{00000000-0005-0000-0000-000084790000}"/>
    <cellStyle name="Comma 3 4 3 2 2 3 2 3" xfId="48138" xr:uid="{00000000-0005-0000-0000-000085790000}"/>
    <cellStyle name="Comma 3 4 3 2 2 3 2 4" xfId="27308" xr:uid="{00000000-0005-0000-0000-000086790000}"/>
    <cellStyle name="Comma 3 4 3 2 2 3 3" xfId="6477" xr:uid="{00000000-0005-0000-0000-000087790000}"/>
    <cellStyle name="Comma 3 4 3 2 2 3 3 2" xfId="29756" xr:uid="{00000000-0005-0000-0000-000088790000}"/>
    <cellStyle name="Comma 3 4 3 2 2 3 4" xfId="8925" xr:uid="{00000000-0005-0000-0000-000089790000}"/>
    <cellStyle name="Comma 3 4 3 2 2 3 4 2" xfId="32204" xr:uid="{00000000-0005-0000-0000-00008A790000}"/>
    <cellStyle name="Comma 3 4 3 2 2 3 5" xfId="11373" xr:uid="{00000000-0005-0000-0000-00008B790000}"/>
    <cellStyle name="Comma 3 4 3 2 2 3 5 2" xfId="34652" xr:uid="{00000000-0005-0000-0000-00008C790000}"/>
    <cellStyle name="Comma 3 4 3 2 2 3 6" xfId="13821" xr:uid="{00000000-0005-0000-0000-00008D790000}"/>
    <cellStyle name="Comma 3 4 3 2 2 3 6 2" xfId="37100" xr:uid="{00000000-0005-0000-0000-00008E790000}"/>
    <cellStyle name="Comma 3 4 3 2 2 3 7" xfId="17516" xr:uid="{00000000-0005-0000-0000-00008F790000}"/>
    <cellStyle name="Comma 3 4 3 2 2 3 7 2" xfId="40794" xr:uid="{00000000-0005-0000-0000-000090790000}"/>
    <cellStyle name="Comma 3 4 3 2 2 3 8" xfId="24860" xr:uid="{00000000-0005-0000-0000-000091790000}"/>
    <cellStyle name="Comma 3 4 3 2 2 3 9" xfId="45690" xr:uid="{00000000-0005-0000-0000-000092790000}"/>
    <cellStyle name="Comma 3 4 3 2 2 4" xfId="2805" xr:uid="{00000000-0005-0000-0000-000093790000}"/>
    <cellStyle name="Comma 3 4 3 2 2 4 2" xfId="16292" xr:uid="{00000000-0005-0000-0000-000094790000}"/>
    <cellStyle name="Comma 3 4 3 2 2 4 2 2" xfId="39570" xr:uid="{00000000-0005-0000-0000-000095790000}"/>
    <cellStyle name="Comma 3 4 3 2 2 4 3" xfId="46914" xr:uid="{00000000-0005-0000-0000-000096790000}"/>
    <cellStyle name="Comma 3 4 3 2 2 4 4" xfId="26084" xr:uid="{00000000-0005-0000-0000-000097790000}"/>
    <cellStyle name="Comma 3 4 3 2 2 5" xfId="5253" xr:uid="{00000000-0005-0000-0000-000098790000}"/>
    <cellStyle name="Comma 3 4 3 2 2 5 2" xfId="18740" xr:uid="{00000000-0005-0000-0000-000099790000}"/>
    <cellStyle name="Comma 3 4 3 2 2 5 2 2" xfId="42018" xr:uid="{00000000-0005-0000-0000-00009A790000}"/>
    <cellStyle name="Comma 3 4 3 2 2 5 3" xfId="28532" xr:uid="{00000000-0005-0000-0000-00009B790000}"/>
    <cellStyle name="Comma 3 4 3 2 2 6" xfId="7701" xr:uid="{00000000-0005-0000-0000-00009C790000}"/>
    <cellStyle name="Comma 3 4 3 2 2 6 2" xfId="30980" xr:uid="{00000000-0005-0000-0000-00009D790000}"/>
    <cellStyle name="Comma 3 4 3 2 2 7" xfId="10149" xr:uid="{00000000-0005-0000-0000-00009E790000}"/>
    <cellStyle name="Comma 3 4 3 2 2 7 2" xfId="33428" xr:uid="{00000000-0005-0000-0000-00009F790000}"/>
    <cellStyle name="Comma 3 4 3 2 2 8" xfId="12597" xr:uid="{00000000-0005-0000-0000-0000A0790000}"/>
    <cellStyle name="Comma 3 4 3 2 2 8 2" xfId="35876" xr:uid="{00000000-0005-0000-0000-0000A1790000}"/>
    <cellStyle name="Comma 3 4 3 2 2 9" xfId="15068" xr:uid="{00000000-0005-0000-0000-0000A2790000}"/>
    <cellStyle name="Comma 3 4 3 2 2 9 2" xfId="38346" xr:uid="{00000000-0005-0000-0000-0000A3790000}"/>
    <cellStyle name="Comma 3 4 3 2 3" xfId="561" xr:uid="{00000000-0005-0000-0000-0000A4790000}"/>
    <cellStyle name="Comma 3 4 3 2 3 10" xfId="23840" xr:uid="{00000000-0005-0000-0000-0000A5790000}"/>
    <cellStyle name="Comma 3 4 3 2 3 11" xfId="44670" xr:uid="{00000000-0005-0000-0000-0000A6790000}"/>
    <cellStyle name="Comma 3 4 3 2 3 12" xfId="21392" xr:uid="{00000000-0005-0000-0000-0000A7790000}"/>
    <cellStyle name="Comma 3 4 3 2 3 2" xfId="1173" xr:uid="{00000000-0005-0000-0000-0000A8790000}"/>
    <cellStyle name="Comma 3 4 3 2 3 2 10" xfId="45282" xr:uid="{00000000-0005-0000-0000-0000A9790000}"/>
    <cellStyle name="Comma 3 4 3 2 3 2 11" xfId="22004" xr:uid="{00000000-0005-0000-0000-0000AA790000}"/>
    <cellStyle name="Comma 3 4 3 2 3 2 2" xfId="2397" xr:uid="{00000000-0005-0000-0000-0000AB790000}"/>
    <cellStyle name="Comma 3 4 3 2 3 2 2 10" xfId="23228" xr:uid="{00000000-0005-0000-0000-0000AC790000}"/>
    <cellStyle name="Comma 3 4 3 2 3 2 2 2" xfId="4845" xr:uid="{00000000-0005-0000-0000-0000AD790000}"/>
    <cellStyle name="Comma 3 4 3 2 3 2 2 2 2" xfId="20780" xr:uid="{00000000-0005-0000-0000-0000AE790000}"/>
    <cellStyle name="Comma 3 4 3 2 3 2 2 2 2 2" xfId="44058" xr:uid="{00000000-0005-0000-0000-0000AF790000}"/>
    <cellStyle name="Comma 3 4 3 2 3 2 2 2 3" xfId="48954" xr:uid="{00000000-0005-0000-0000-0000B0790000}"/>
    <cellStyle name="Comma 3 4 3 2 3 2 2 2 4" xfId="28124" xr:uid="{00000000-0005-0000-0000-0000B1790000}"/>
    <cellStyle name="Comma 3 4 3 2 3 2 2 3" xfId="7293" xr:uid="{00000000-0005-0000-0000-0000B2790000}"/>
    <cellStyle name="Comma 3 4 3 2 3 2 2 3 2" xfId="30572" xr:uid="{00000000-0005-0000-0000-0000B3790000}"/>
    <cellStyle name="Comma 3 4 3 2 3 2 2 4" xfId="9741" xr:uid="{00000000-0005-0000-0000-0000B4790000}"/>
    <cellStyle name="Comma 3 4 3 2 3 2 2 4 2" xfId="33020" xr:uid="{00000000-0005-0000-0000-0000B5790000}"/>
    <cellStyle name="Comma 3 4 3 2 3 2 2 5" xfId="12189" xr:uid="{00000000-0005-0000-0000-0000B6790000}"/>
    <cellStyle name="Comma 3 4 3 2 3 2 2 5 2" xfId="35468" xr:uid="{00000000-0005-0000-0000-0000B7790000}"/>
    <cellStyle name="Comma 3 4 3 2 3 2 2 6" xfId="14637" xr:uid="{00000000-0005-0000-0000-0000B8790000}"/>
    <cellStyle name="Comma 3 4 3 2 3 2 2 6 2" xfId="37916" xr:uid="{00000000-0005-0000-0000-0000B9790000}"/>
    <cellStyle name="Comma 3 4 3 2 3 2 2 7" xfId="18332" xr:uid="{00000000-0005-0000-0000-0000BA790000}"/>
    <cellStyle name="Comma 3 4 3 2 3 2 2 7 2" xfId="41610" xr:uid="{00000000-0005-0000-0000-0000BB790000}"/>
    <cellStyle name="Comma 3 4 3 2 3 2 2 8" xfId="25676" xr:uid="{00000000-0005-0000-0000-0000BC790000}"/>
    <cellStyle name="Comma 3 4 3 2 3 2 2 9" xfId="46506" xr:uid="{00000000-0005-0000-0000-0000BD790000}"/>
    <cellStyle name="Comma 3 4 3 2 3 2 3" xfId="3621" xr:uid="{00000000-0005-0000-0000-0000BE790000}"/>
    <cellStyle name="Comma 3 4 3 2 3 2 3 2" xfId="17108" xr:uid="{00000000-0005-0000-0000-0000BF790000}"/>
    <cellStyle name="Comma 3 4 3 2 3 2 3 2 2" xfId="40386" xr:uid="{00000000-0005-0000-0000-0000C0790000}"/>
    <cellStyle name="Comma 3 4 3 2 3 2 3 3" xfId="47730" xr:uid="{00000000-0005-0000-0000-0000C1790000}"/>
    <cellStyle name="Comma 3 4 3 2 3 2 3 4" xfId="26900" xr:uid="{00000000-0005-0000-0000-0000C2790000}"/>
    <cellStyle name="Comma 3 4 3 2 3 2 4" xfId="6069" xr:uid="{00000000-0005-0000-0000-0000C3790000}"/>
    <cellStyle name="Comma 3 4 3 2 3 2 4 2" xfId="19556" xr:uid="{00000000-0005-0000-0000-0000C4790000}"/>
    <cellStyle name="Comma 3 4 3 2 3 2 4 2 2" xfId="42834" xr:uid="{00000000-0005-0000-0000-0000C5790000}"/>
    <cellStyle name="Comma 3 4 3 2 3 2 4 3" xfId="29348" xr:uid="{00000000-0005-0000-0000-0000C6790000}"/>
    <cellStyle name="Comma 3 4 3 2 3 2 5" xfId="8517" xr:uid="{00000000-0005-0000-0000-0000C7790000}"/>
    <cellStyle name="Comma 3 4 3 2 3 2 5 2" xfId="31796" xr:uid="{00000000-0005-0000-0000-0000C8790000}"/>
    <cellStyle name="Comma 3 4 3 2 3 2 6" xfId="10965" xr:uid="{00000000-0005-0000-0000-0000C9790000}"/>
    <cellStyle name="Comma 3 4 3 2 3 2 6 2" xfId="34244" xr:uid="{00000000-0005-0000-0000-0000CA790000}"/>
    <cellStyle name="Comma 3 4 3 2 3 2 7" xfId="13413" xr:uid="{00000000-0005-0000-0000-0000CB790000}"/>
    <cellStyle name="Comma 3 4 3 2 3 2 7 2" xfId="36692" xr:uid="{00000000-0005-0000-0000-0000CC790000}"/>
    <cellStyle name="Comma 3 4 3 2 3 2 8" xfId="15884" xr:uid="{00000000-0005-0000-0000-0000CD790000}"/>
    <cellStyle name="Comma 3 4 3 2 3 2 8 2" xfId="39162" xr:uid="{00000000-0005-0000-0000-0000CE790000}"/>
    <cellStyle name="Comma 3 4 3 2 3 2 9" xfId="24452" xr:uid="{00000000-0005-0000-0000-0000CF790000}"/>
    <cellStyle name="Comma 3 4 3 2 3 3" xfId="1785" xr:uid="{00000000-0005-0000-0000-0000D0790000}"/>
    <cellStyle name="Comma 3 4 3 2 3 3 10" xfId="22616" xr:uid="{00000000-0005-0000-0000-0000D1790000}"/>
    <cellStyle name="Comma 3 4 3 2 3 3 2" xfId="4233" xr:uid="{00000000-0005-0000-0000-0000D2790000}"/>
    <cellStyle name="Comma 3 4 3 2 3 3 2 2" xfId="20168" xr:uid="{00000000-0005-0000-0000-0000D3790000}"/>
    <cellStyle name="Comma 3 4 3 2 3 3 2 2 2" xfId="43446" xr:uid="{00000000-0005-0000-0000-0000D4790000}"/>
    <cellStyle name="Comma 3 4 3 2 3 3 2 3" xfId="48342" xr:uid="{00000000-0005-0000-0000-0000D5790000}"/>
    <cellStyle name="Comma 3 4 3 2 3 3 2 4" xfId="27512" xr:uid="{00000000-0005-0000-0000-0000D6790000}"/>
    <cellStyle name="Comma 3 4 3 2 3 3 3" xfId="6681" xr:uid="{00000000-0005-0000-0000-0000D7790000}"/>
    <cellStyle name="Comma 3 4 3 2 3 3 3 2" xfId="29960" xr:uid="{00000000-0005-0000-0000-0000D8790000}"/>
    <cellStyle name="Comma 3 4 3 2 3 3 4" xfId="9129" xr:uid="{00000000-0005-0000-0000-0000D9790000}"/>
    <cellStyle name="Comma 3 4 3 2 3 3 4 2" xfId="32408" xr:uid="{00000000-0005-0000-0000-0000DA790000}"/>
    <cellStyle name="Comma 3 4 3 2 3 3 5" xfId="11577" xr:uid="{00000000-0005-0000-0000-0000DB790000}"/>
    <cellStyle name="Comma 3 4 3 2 3 3 5 2" xfId="34856" xr:uid="{00000000-0005-0000-0000-0000DC790000}"/>
    <cellStyle name="Comma 3 4 3 2 3 3 6" xfId="14025" xr:uid="{00000000-0005-0000-0000-0000DD790000}"/>
    <cellStyle name="Comma 3 4 3 2 3 3 6 2" xfId="37304" xr:uid="{00000000-0005-0000-0000-0000DE790000}"/>
    <cellStyle name="Comma 3 4 3 2 3 3 7" xfId="17720" xr:uid="{00000000-0005-0000-0000-0000DF790000}"/>
    <cellStyle name="Comma 3 4 3 2 3 3 7 2" xfId="40998" xr:uid="{00000000-0005-0000-0000-0000E0790000}"/>
    <cellStyle name="Comma 3 4 3 2 3 3 8" xfId="25064" xr:uid="{00000000-0005-0000-0000-0000E1790000}"/>
    <cellStyle name="Comma 3 4 3 2 3 3 9" xfId="45894" xr:uid="{00000000-0005-0000-0000-0000E2790000}"/>
    <cellStyle name="Comma 3 4 3 2 3 4" xfId="3009" xr:uid="{00000000-0005-0000-0000-0000E3790000}"/>
    <cellStyle name="Comma 3 4 3 2 3 4 2" xfId="16496" xr:uid="{00000000-0005-0000-0000-0000E4790000}"/>
    <cellStyle name="Comma 3 4 3 2 3 4 2 2" xfId="39774" xr:uid="{00000000-0005-0000-0000-0000E5790000}"/>
    <cellStyle name="Comma 3 4 3 2 3 4 3" xfId="47118" xr:uid="{00000000-0005-0000-0000-0000E6790000}"/>
    <cellStyle name="Comma 3 4 3 2 3 4 4" xfId="26288" xr:uid="{00000000-0005-0000-0000-0000E7790000}"/>
    <cellStyle name="Comma 3 4 3 2 3 5" xfId="5457" xr:uid="{00000000-0005-0000-0000-0000E8790000}"/>
    <cellStyle name="Comma 3 4 3 2 3 5 2" xfId="18944" xr:uid="{00000000-0005-0000-0000-0000E9790000}"/>
    <cellStyle name="Comma 3 4 3 2 3 5 2 2" xfId="42222" xr:uid="{00000000-0005-0000-0000-0000EA790000}"/>
    <cellStyle name="Comma 3 4 3 2 3 5 3" xfId="28736" xr:uid="{00000000-0005-0000-0000-0000EB790000}"/>
    <cellStyle name="Comma 3 4 3 2 3 6" xfId="7905" xr:uid="{00000000-0005-0000-0000-0000EC790000}"/>
    <cellStyle name="Comma 3 4 3 2 3 6 2" xfId="31184" xr:uid="{00000000-0005-0000-0000-0000ED790000}"/>
    <cellStyle name="Comma 3 4 3 2 3 7" xfId="10353" xr:uid="{00000000-0005-0000-0000-0000EE790000}"/>
    <cellStyle name="Comma 3 4 3 2 3 7 2" xfId="33632" xr:uid="{00000000-0005-0000-0000-0000EF790000}"/>
    <cellStyle name="Comma 3 4 3 2 3 8" xfId="12801" xr:uid="{00000000-0005-0000-0000-0000F0790000}"/>
    <cellStyle name="Comma 3 4 3 2 3 8 2" xfId="36080" xr:uid="{00000000-0005-0000-0000-0000F1790000}"/>
    <cellStyle name="Comma 3 4 3 2 3 9" xfId="15272" xr:uid="{00000000-0005-0000-0000-0000F2790000}"/>
    <cellStyle name="Comma 3 4 3 2 3 9 2" xfId="38550" xr:uid="{00000000-0005-0000-0000-0000F3790000}"/>
    <cellStyle name="Comma 3 4 3 2 4" xfId="765" xr:uid="{00000000-0005-0000-0000-0000F4790000}"/>
    <cellStyle name="Comma 3 4 3 2 4 10" xfId="44874" xr:uid="{00000000-0005-0000-0000-0000F5790000}"/>
    <cellStyle name="Comma 3 4 3 2 4 11" xfId="21596" xr:uid="{00000000-0005-0000-0000-0000F6790000}"/>
    <cellStyle name="Comma 3 4 3 2 4 2" xfId="1989" xr:uid="{00000000-0005-0000-0000-0000F7790000}"/>
    <cellStyle name="Comma 3 4 3 2 4 2 10" xfId="22820" xr:uid="{00000000-0005-0000-0000-0000F8790000}"/>
    <cellStyle name="Comma 3 4 3 2 4 2 2" xfId="4437" xr:uid="{00000000-0005-0000-0000-0000F9790000}"/>
    <cellStyle name="Comma 3 4 3 2 4 2 2 2" xfId="20372" xr:uid="{00000000-0005-0000-0000-0000FA790000}"/>
    <cellStyle name="Comma 3 4 3 2 4 2 2 2 2" xfId="43650" xr:uid="{00000000-0005-0000-0000-0000FB790000}"/>
    <cellStyle name="Comma 3 4 3 2 4 2 2 3" xfId="48546" xr:uid="{00000000-0005-0000-0000-0000FC790000}"/>
    <cellStyle name="Comma 3 4 3 2 4 2 2 4" xfId="27716" xr:uid="{00000000-0005-0000-0000-0000FD790000}"/>
    <cellStyle name="Comma 3 4 3 2 4 2 3" xfId="6885" xr:uid="{00000000-0005-0000-0000-0000FE790000}"/>
    <cellStyle name="Comma 3 4 3 2 4 2 3 2" xfId="30164" xr:uid="{00000000-0005-0000-0000-0000FF790000}"/>
    <cellStyle name="Comma 3 4 3 2 4 2 4" xfId="9333" xr:uid="{00000000-0005-0000-0000-0000007A0000}"/>
    <cellStyle name="Comma 3 4 3 2 4 2 4 2" xfId="32612" xr:uid="{00000000-0005-0000-0000-0000017A0000}"/>
    <cellStyle name="Comma 3 4 3 2 4 2 5" xfId="11781" xr:uid="{00000000-0005-0000-0000-0000027A0000}"/>
    <cellStyle name="Comma 3 4 3 2 4 2 5 2" xfId="35060" xr:uid="{00000000-0005-0000-0000-0000037A0000}"/>
    <cellStyle name="Comma 3 4 3 2 4 2 6" xfId="14229" xr:uid="{00000000-0005-0000-0000-0000047A0000}"/>
    <cellStyle name="Comma 3 4 3 2 4 2 6 2" xfId="37508" xr:uid="{00000000-0005-0000-0000-0000057A0000}"/>
    <cellStyle name="Comma 3 4 3 2 4 2 7" xfId="17924" xr:uid="{00000000-0005-0000-0000-0000067A0000}"/>
    <cellStyle name="Comma 3 4 3 2 4 2 7 2" xfId="41202" xr:uid="{00000000-0005-0000-0000-0000077A0000}"/>
    <cellStyle name="Comma 3 4 3 2 4 2 8" xfId="25268" xr:uid="{00000000-0005-0000-0000-0000087A0000}"/>
    <cellStyle name="Comma 3 4 3 2 4 2 9" xfId="46098" xr:uid="{00000000-0005-0000-0000-0000097A0000}"/>
    <cellStyle name="Comma 3 4 3 2 4 3" xfId="3213" xr:uid="{00000000-0005-0000-0000-00000A7A0000}"/>
    <cellStyle name="Comma 3 4 3 2 4 3 2" xfId="16700" xr:uid="{00000000-0005-0000-0000-00000B7A0000}"/>
    <cellStyle name="Comma 3 4 3 2 4 3 2 2" xfId="39978" xr:uid="{00000000-0005-0000-0000-00000C7A0000}"/>
    <cellStyle name="Comma 3 4 3 2 4 3 3" xfId="47322" xr:uid="{00000000-0005-0000-0000-00000D7A0000}"/>
    <cellStyle name="Comma 3 4 3 2 4 3 4" xfId="26492" xr:uid="{00000000-0005-0000-0000-00000E7A0000}"/>
    <cellStyle name="Comma 3 4 3 2 4 4" xfId="5661" xr:uid="{00000000-0005-0000-0000-00000F7A0000}"/>
    <cellStyle name="Comma 3 4 3 2 4 4 2" xfId="19148" xr:uid="{00000000-0005-0000-0000-0000107A0000}"/>
    <cellStyle name="Comma 3 4 3 2 4 4 2 2" xfId="42426" xr:uid="{00000000-0005-0000-0000-0000117A0000}"/>
    <cellStyle name="Comma 3 4 3 2 4 4 3" xfId="28940" xr:uid="{00000000-0005-0000-0000-0000127A0000}"/>
    <cellStyle name="Comma 3 4 3 2 4 5" xfId="8109" xr:uid="{00000000-0005-0000-0000-0000137A0000}"/>
    <cellStyle name="Comma 3 4 3 2 4 5 2" xfId="31388" xr:uid="{00000000-0005-0000-0000-0000147A0000}"/>
    <cellStyle name="Comma 3 4 3 2 4 6" xfId="10557" xr:uid="{00000000-0005-0000-0000-0000157A0000}"/>
    <cellStyle name="Comma 3 4 3 2 4 6 2" xfId="33836" xr:uid="{00000000-0005-0000-0000-0000167A0000}"/>
    <cellStyle name="Comma 3 4 3 2 4 7" xfId="13005" xr:uid="{00000000-0005-0000-0000-0000177A0000}"/>
    <cellStyle name="Comma 3 4 3 2 4 7 2" xfId="36284" xr:uid="{00000000-0005-0000-0000-0000187A0000}"/>
    <cellStyle name="Comma 3 4 3 2 4 8" xfId="15476" xr:uid="{00000000-0005-0000-0000-0000197A0000}"/>
    <cellStyle name="Comma 3 4 3 2 4 8 2" xfId="38754" xr:uid="{00000000-0005-0000-0000-00001A7A0000}"/>
    <cellStyle name="Comma 3 4 3 2 4 9" xfId="24044" xr:uid="{00000000-0005-0000-0000-00001B7A0000}"/>
    <cellStyle name="Comma 3 4 3 2 5" xfId="1377" xr:uid="{00000000-0005-0000-0000-00001C7A0000}"/>
    <cellStyle name="Comma 3 4 3 2 5 10" xfId="22208" xr:uid="{00000000-0005-0000-0000-00001D7A0000}"/>
    <cellStyle name="Comma 3 4 3 2 5 2" xfId="3825" xr:uid="{00000000-0005-0000-0000-00001E7A0000}"/>
    <cellStyle name="Comma 3 4 3 2 5 2 2" xfId="19760" xr:uid="{00000000-0005-0000-0000-00001F7A0000}"/>
    <cellStyle name="Comma 3 4 3 2 5 2 2 2" xfId="43038" xr:uid="{00000000-0005-0000-0000-0000207A0000}"/>
    <cellStyle name="Comma 3 4 3 2 5 2 3" xfId="47934" xr:uid="{00000000-0005-0000-0000-0000217A0000}"/>
    <cellStyle name="Comma 3 4 3 2 5 2 4" xfId="27104" xr:uid="{00000000-0005-0000-0000-0000227A0000}"/>
    <cellStyle name="Comma 3 4 3 2 5 3" xfId="6273" xr:uid="{00000000-0005-0000-0000-0000237A0000}"/>
    <cellStyle name="Comma 3 4 3 2 5 3 2" xfId="29552" xr:uid="{00000000-0005-0000-0000-0000247A0000}"/>
    <cellStyle name="Comma 3 4 3 2 5 4" xfId="8721" xr:uid="{00000000-0005-0000-0000-0000257A0000}"/>
    <cellStyle name="Comma 3 4 3 2 5 4 2" xfId="32000" xr:uid="{00000000-0005-0000-0000-0000267A0000}"/>
    <cellStyle name="Comma 3 4 3 2 5 5" xfId="11169" xr:uid="{00000000-0005-0000-0000-0000277A0000}"/>
    <cellStyle name="Comma 3 4 3 2 5 5 2" xfId="34448" xr:uid="{00000000-0005-0000-0000-0000287A0000}"/>
    <cellStyle name="Comma 3 4 3 2 5 6" xfId="13617" xr:uid="{00000000-0005-0000-0000-0000297A0000}"/>
    <cellStyle name="Comma 3 4 3 2 5 6 2" xfId="36896" xr:uid="{00000000-0005-0000-0000-00002A7A0000}"/>
    <cellStyle name="Comma 3 4 3 2 5 7" xfId="17312" xr:uid="{00000000-0005-0000-0000-00002B7A0000}"/>
    <cellStyle name="Comma 3 4 3 2 5 7 2" xfId="40590" xr:uid="{00000000-0005-0000-0000-00002C7A0000}"/>
    <cellStyle name="Comma 3 4 3 2 5 8" xfId="24656" xr:uid="{00000000-0005-0000-0000-00002D7A0000}"/>
    <cellStyle name="Comma 3 4 3 2 5 9" xfId="45486" xr:uid="{00000000-0005-0000-0000-00002E7A0000}"/>
    <cellStyle name="Comma 3 4 3 2 6" xfId="2601" xr:uid="{00000000-0005-0000-0000-00002F7A0000}"/>
    <cellStyle name="Comma 3 4 3 2 6 2" xfId="16088" xr:uid="{00000000-0005-0000-0000-0000307A0000}"/>
    <cellStyle name="Comma 3 4 3 2 6 2 2" xfId="39366" xr:uid="{00000000-0005-0000-0000-0000317A0000}"/>
    <cellStyle name="Comma 3 4 3 2 6 3" xfId="46710" xr:uid="{00000000-0005-0000-0000-0000327A0000}"/>
    <cellStyle name="Comma 3 4 3 2 6 4" xfId="25880" xr:uid="{00000000-0005-0000-0000-0000337A0000}"/>
    <cellStyle name="Comma 3 4 3 2 7" xfId="5049" xr:uid="{00000000-0005-0000-0000-0000347A0000}"/>
    <cellStyle name="Comma 3 4 3 2 7 2" xfId="18536" xr:uid="{00000000-0005-0000-0000-0000357A0000}"/>
    <cellStyle name="Comma 3 4 3 2 7 2 2" xfId="41814" xr:uid="{00000000-0005-0000-0000-0000367A0000}"/>
    <cellStyle name="Comma 3 4 3 2 7 3" xfId="28328" xr:uid="{00000000-0005-0000-0000-0000377A0000}"/>
    <cellStyle name="Comma 3 4 3 2 8" xfId="7497" xr:uid="{00000000-0005-0000-0000-0000387A0000}"/>
    <cellStyle name="Comma 3 4 3 2 8 2" xfId="30776" xr:uid="{00000000-0005-0000-0000-0000397A0000}"/>
    <cellStyle name="Comma 3 4 3 2 9" xfId="9945" xr:uid="{00000000-0005-0000-0000-00003A7A0000}"/>
    <cellStyle name="Comma 3 4 3 2 9 2" xfId="33224" xr:uid="{00000000-0005-0000-0000-00003B7A0000}"/>
    <cellStyle name="Comma 3 4 3 3" xfId="221" xr:uid="{00000000-0005-0000-0000-00003C7A0000}"/>
    <cellStyle name="Comma 3 4 3 3 10" xfId="12461" xr:uid="{00000000-0005-0000-0000-00003D7A0000}"/>
    <cellStyle name="Comma 3 4 3 3 10 2" xfId="35740" xr:uid="{00000000-0005-0000-0000-00003E7A0000}"/>
    <cellStyle name="Comma 3 4 3 3 11" xfId="14932" xr:uid="{00000000-0005-0000-0000-00003F7A0000}"/>
    <cellStyle name="Comma 3 4 3 3 11 2" xfId="38210" xr:uid="{00000000-0005-0000-0000-0000407A0000}"/>
    <cellStyle name="Comma 3 4 3 3 12" xfId="23500" xr:uid="{00000000-0005-0000-0000-0000417A0000}"/>
    <cellStyle name="Comma 3 4 3 3 13" xfId="44330" xr:uid="{00000000-0005-0000-0000-0000427A0000}"/>
    <cellStyle name="Comma 3 4 3 3 14" xfId="21052" xr:uid="{00000000-0005-0000-0000-0000437A0000}"/>
    <cellStyle name="Comma 3 4 3 3 2" xfId="425" xr:uid="{00000000-0005-0000-0000-0000447A0000}"/>
    <cellStyle name="Comma 3 4 3 3 2 10" xfId="23704" xr:uid="{00000000-0005-0000-0000-0000457A0000}"/>
    <cellStyle name="Comma 3 4 3 3 2 11" xfId="44534" xr:uid="{00000000-0005-0000-0000-0000467A0000}"/>
    <cellStyle name="Comma 3 4 3 3 2 12" xfId="21256" xr:uid="{00000000-0005-0000-0000-0000477A0000}"/>
    <cellStyle name="Comma 3 4 3 3 2 2" xfId="1037" xr:uid="{00000000-0005-0000-0000-0000487A0000}"/>
    <cellStyle name="Comma 3 4 3 3 2 2 10" xfId="45146" xr:uid="{00000000-0005-0000-0000-0000497A0000}"/>
    <cellStyle name="Comma 3 4 3 3 2 2 11" xfId="21868" xr:uid="{00000000-0005-0000-0000-00004A7A0000}"/>
    <cellStyle name="Comma 3 4 3 3 2 2 2" xfId="2261" xr:uid="{00000000-0005-0000-0000-00004B7A0000}"/>
    <cellStyle name="Comma 3 4 3 3 2 2 2 10" xfId="23092" xr:uid="{00000000-0005-0000-0000-00004C7A0000}"/>
    <cellStyle name="Comma 3 4 3 3 2 2 2 2" xfId="4709" xr:uid="{00000000-0005-0000-0000-00004D7A0000}"/>
    <cellStyle name="Comma 3 4 3 3 2 2 2 2 2" xfId="20644" xr:uid="{00000000-0005-0000-0000-00004E7A0000}"/>
    <cellStyle name="Comma 3 4 3 3 2 2 2 2 2 2" xfId="43922" xr:uid="{00000000-0005-0000-0000-00004F7A0000}"/>
    <cellStyle name="Comma 3 4 3 3 2 2 2 2 3" xfId="48818" xr:uid="{00000000-0005-0000-0000-0000507A0000}"/>
    <cellStyle name="Comma 3 4 3 3 2 2 2 2 4" xfId="27988" xr:uid="{00000000-0005-0000-0000-0000517A0000}"/>
    <cellStyle name="Comma 3 4 3 3 2 2 2 3" xfId="7157" xr:uid="{00000000-0005-0000-0000-0000527A0000}"/>
    <cellStyle name="Comma 3 4 3 3 2 2 2 3 2" xfId="30436" xr:uid="{00000000-0005-0000-0000-0000537A0000}"/>
    <cellStyle name="Comma 3 4 3 3 2 2 2 4" xfId="9605" xr:uid="{00000000-0005-0000-0000-0000547A0000}"/>
    <cellStyle name="Comma 3 4 3 3 2 2 2 4 2" xfId="32884" xr:uid="{00000000-0005-0000-0000-0000557A0000}"/>
    <cellStyle name="Comma 3 4 3 3 2 2 2 5" xfId="12053" xr:uid="{00000000-0005-0000-0000-0000567A0000}"/>
    <cellStyle name="Comma 3 4 3 3 2 2 2 5 2" xfId="35332" xr:uid="{00000000-0005-0000-0000-0000577A0000}"/>
    <cellStyle name="Comma 3 4 3 3 2 2 2 6" xfId="14501" xr:uid="{00000000-0005-0000-0000-0000587A0000}"/>
    <cellStyle name="Comma 3 4 3 3 2 2 2 6 2" xfId="37780" xr:uid="{00000000-0005-0000-0000-0000597A0000}"/>
    <cellStyle name="Comma 3 4 3 3 2 2 2 7" xfId="18196" xr:uid="{00000000-0005-0000-0000-00005A7A0000}"/>
    <cellStyle name="Comma 3 4 3 3 2 2 2 7 2" xfId="41474" xr:uid="{00000000-0005-0000-0000-00005B7A0000}"/>
    <cellStyle name="Comma 3 4 3 3 2 2 2 8" xfId="25540" xr:uid="{00000000-0005-0000-0000-00005C7A0000}"/>
    <cellStyle name="Comma 3 4 3 3 2 2 2 9" xfId="46370" xr:uid="{00000000-0005-0000-0000-00005D7A0000}"/>
    <cellStyle name="Comma 3 4 3 3 2 2 3" xfId="3485" xr:uid="{00000000-0005-0000-0000-00005E7A0000}"/>
    <cellStyle name="Comma 3 4 3 3 2 2 3 2" xfId="16972" xr:uid="{00000000-0005-0000-0000-00005F7A0000}"/>
    <cellStyle name="Comma 3 4 3 3 2 2 3 2 2" xfId="40250" xr:uid="{00000000-0005-0000-0000-0000607A0000}"/>
    <cellStyle name="Comma 3 4 3 3 2 2 3 3" xfId="47594" xr:uid="{00000000-0005-0000-0000-0000617A0000}"/>
    <cellStyle name="Comma 3 4 3 3 2 2 3 4" xfId="26764" xr:uid="{00000000-0005-0000-0000-0000627A0000}"/>
    <cellStyle name="Comma 3 4 3 3 2 2 4" xfId="5933" xr:uid="{00000000-0005-0000-0000-0000637A0000}"/>
    <cellStyle name="Comma 3 4 3 3 2 2 4 2" xfId="19420" xr:uid="{00000000-0005-0000-0000-0000647A0000}"/>
    <cellStyle name="Comma 3 4 3 3 2 2 4 2 2" xfId="42698" xr:uid="{00000000-0005-0000-0000-0000657A0000}"/>
    <cellStyle name="Comma 3 4 3 3 2 2 4 3" xfId="29212" xr:uid="{00000000-0005-0000-0000-0000667A0000}"/>
    <cellStyle name="Comma 3 4 3 3 2 2 5" xfId="8381" xr:uid="{00000000-0005-0000-0000-0000677A0000}"/>
    <cellStyle name="Comma 3 4 3 3 2 2 5 2" xfId="31660" xr:uid="{00000000-0005-0000-0000-0000687A0000}"/>
    <cellStyle name="Comma 3 4 3 3 2 2 6" xfId="10829" xr:uid="{00000000-0005-0000-0000-0000697A0000}"/>
    <cellStyle name="Comma 3 4 3 3 2 2 6 2" xfId="34108" xr:uid="{00000000-0005-0000-0000-00006A7A0000}"/>
    <cellStyle name="Comma 3 4 3 3 2 2 7" xfId="13277" xr:uid="{00000000-0005-0000-0000-00006B7A0000}"/>
    <cellStyle name="Comma 3 4 3 3 2 2 7 2" xfId="36556" xr:uid="{00000000-0005-0000-0000-00006C7A0000}"/>
    <cellStyle name="Comma 3 4 3 3 2 2 8" xfId="15748" xr:uid="{00000000-0005-0000-0000-00006D7A0000}"/>
    <cellStyle name="Comma 3 4 3 3 2 2 8 2" xfId="39026" xr:uid="{00000000-0005-0000-0000-00006E7A0000}"/>
    <cellStyle name="Comma 3 4 3 3 2 2 9" xfId="24316" xr:uid="{00000000-0005-0000-0000-00006F7A0000}"/>
    <cellStyle name="Comma 3 4 3 3 2 3" xfId="1649" xr:uid="{00000000-0005-0000-0000-0000707A0000}"/>
    <cellStyle name="Comma 3 4 3 3 2 3 10" xfId="22480" xr:uid="{00000000-0005-0000-0000-0000717A0000}"/>
    <cellStyle name="Comma 3 4 3 3 2 3 2" xfId="4097" xr:uid="{00000000-0005-0000-0000-0000727A0000}"/>
    <cellStyle name="Comma 3 4 3 3 2 3 2 2" xfId="20032" xr:uid="{00000000-0005-0000-0000-0000737A0000}"/>
    <cellStyle name="Comma 3 4 3 3 2 3 2 2 2" xfId="43310" xr:uid="{00000000-0005-0000-0000-0000747A0000}"/>
    <cellStyle name="Comma 3 4 3 3 2 3 2 3" xfId="48206" xr:uid="{00000000-0005-0000-0000-0000757A0000}"/>
    <cellStyle name="Comma 3 4 3 3 2 3 2 4" xfId="27376" xr:uid="{00000000-0005-0000-0000-0000767A0000}"/>
    <cellStyle name="Comma 3 4 3 3 2 3 3" xfId="6545" xr:uid="{00000000-0005-0000-0000-0000777A0000}"/>
    <cellStyle name="Comma 3 4 3 3 2 3 3 2" xfId="29824" xr:uid="{00000000-0005-0000-0000-0000787A0000}"/>
    <cellStyle name="Comma 3 4 3 3 2 3 4" xfId="8993" xr:uid="{00000000-0005-0000-0000-0000797A0000}"/>
    <cellStyle name="Comma 3 4 3 3 2 3 4 2" xfId="32272" xr:uid="{00000000-0005-0000-0000-00007A7A0000}"/>
    <cellStyle name="Comma 3 4 3 3 2 3 5" xfId="11441" xr:uid="{00000000-0005-0000-0000-00007B7A0000}"/>
    <cellStyle name="Comma 3 4 3 3 2 3 5 2" xfId="34720" xr:uid="{00000000-0005-0000-0000-00007C7A0000}"/>
    <cellStyle name="Comma 3 4 3 3 2 3 6" xfId="13889" xr:uid="{00000000-0005-0000-0000-00007D7A0000}"/>
    <cellStyle name="Comma 3 4 3 3 2 3 6 2" xfId="37168" xr:uid="{00000000-0005-0000-0000-00007E7A0000}"/>
    <cellStyle name="Comma 3 4 3 3 2 3 7" xfId="17584" xr:uid="{00000000-0005-0000-0000-00007F7A0000}"/>
    <cellStyle name="Comma 3 4 3 3 2 3 7 2" xfId="40862" xr:uid="{00000000-0005-0000-0000-0000807A0000}"/>
    <cellStyle name="Comma 3 4 3 3 2 3 8" xfId="24928" xr:uid="{00000000-0005-0000-0000-0000817A0000}"/>
    <cellStyle name="Comma 3 4 3 3 2 3 9" xfId="45758" xr:uid="{00000000-0005-0000-0000-0000827A0000}"/>
    <cellStyle name="Comma 3 4 3 3 2 4" xfId="2873" xr:uid="{00000000-0005-0000-0000-0000837A0000}"/>
    <cellStyle name="Comma 3 4 3 3 2 4 2" xfId="16360" xr:uid="{00000000-0005-0000-0000-0000847A0000}"/>
    <cellStyle name="Comma 3 4 3 3 2 4 2 2" xfId="39638" xr:uid="{00000000-0005-0000-0000-0000857A0000}"/>
    <cellStyle name="Comma 3 4 3 3 2 4 3" xfId="46982" xr:uid="{00000000-0005-0000-0000-0000867A0000}"/>
    <cellStyle name="Comma 3 4 3 3 2 4 4" xfId="26152" xr:uid="{00000000-0005-0000-0000-0000877A0000}"/>
    <cellStyle name="Comma 3 4 3 3 2 5" xfId="5321" xr:uid="{00000000-0005-0000-0000-0000887A0000}"/>
    <cellStyle name="Comma 3 4 3 3 2 5 2" xfId="18808" xr:uid="{00000000-0005-0000-0000-0000897A0000}"/>
    <cellStyle name="Comma 3 4 3 3 2 5 2 2" xfId="42086" xr:uid="{00000000-0005-0000-0000-00008A7A0000}"/>
    <cellStyle name="Comma 3 4 3 3 2 5 3" xfId="28600" xr:uid="{00000000-0005-0000-0000-00008B7A0000}"/>
    <cellStyle name="Comma 3 4 3 3 2 6" xfId="7769" xr:uid="{00000000-0005-0000-0000-00008C7A0000}"/>
    <cellStyle name="Comma 3 4 3 3 2 6 2" xfId="31048" xr:uid="{00000000-0005-0000-0000-00008D7A0000}"/>
    <cellStyle name="Comma 3 4 3 3 2 7" xfId="10217" xr:uid="{00000000-0005-0000-0000-00008E7A0000}"/>
    <cellStyle name="Comma 3 4 3 3 2 7 2" xfId="33496" xr:uid="{00000000-0005-0000-0000-00008F7A0000}"/>
    <cellStyle name="Comma 3 4 3 3 2 8" xfId="12665" xr:uid="{00000000-0005-0000-0000-0000907A0000}"/>
    <cellStyle name="Comma 3 4 3 3 2 8 2" xfId="35944" xr:uid="{00000000-0005-0000-0000-0000917A0000}"/>
    <cellStyle name="Comma 3 4 3 3 2 9" xfId="15136" xr:uid="{00000000-0005-0000-0000-0000927A0000}"/>
    <cellStyle name="Comma 3 4 3 3 2 9 2" xfId="38414" xr:uid="{00000000-0005-0000-0000-0000937A0000}"/>
    <cellStyle name="Comma 3 4 3 3 3" xfId="629" xr:uid="{00000000-0005-0000-0000-0000947A0000}"/>
    <cellStyle name="Comma 3 4 3 3 3 10" xfId="23908" xr:uid="{00000000-0005-0000-0000-0000957A0000}"/>
    <cellStyle name="Comma 3 4 3 3 3 11" xfId="44738" xr:uid="{00000000-0005-0000-0000-0000967A0000}"/>
    <cellStyle name="Comma 3 4 3 3 3 12" xfId="21460" xr:uid="{00000000-0005-0000-0000-0000977A0000}"/>
    <cellStyle name="Comma 3 4 3 3 3 2" xfId="1241" xr:uid="{00000000-0005-0000-0000-0000987A0000}"/>
    <cellStyle name="Comma 3 4 3 3 3 2 10" xfId="45350" xr:uid="{00000000-0005-0000-0000-0000997A0000}"/>
    <cellStyle name="Comma 3 4 3 3 3 2 11" xfId="22072" xr:uid="{00000000-0005-0000-0000-00009A7A0000}"/>
    <cellStyle name="Comma 3 4 3 3 3 2 2" xfId="2465" xr:uid="{00000000-0005-0000-0000-00009B7A0000}"/>
    <cellStyle name="Comma 3 4 3 3 3 2 2 10" xfId="23296" xr:uid="{00000000-0005-0000-0000-00009C7A0000}"/>
    <cellStyle name="Comma 3 4 3 3 3 2 2 2" xfId="4913" xr:uid="{00000000-0005-0000-0000-00009D7A0000}"/>
    <cellStyle name="Comma 3 4 3 3 3 2 2 2 2" xfId="20848" xr:uid="{00000000-0005-0000-0000-00009E7A0000}"/>
    <cellStyle name="Comma 3 4 3 3 3 2 2 2 2 2" xfId="44126" xr:uid="{00000000-0005-0000-0000-00009F7A0000}"/>
    <cellStyle name="Comma 3 4 3 3 3 2 2 2 3" xfId="49022" xr:uid="{00000000-0005-0000-0000-0000A07A0000}"/>
    <cellStyle name="Comma 3 4 3 3 3 2 2 2 4" xfId="28192" xr:uid="{00000000-0005-0000-0000-0000A17A0000}"/>
    <cellStyle name="Comma 3 4 3 3 3 2 2 3" xfId="7361" xr:uid="{00000000-0005-0000-0000-0000A27A0000}"/>
    <cellStyle name="Comma 3 4 3 3 3 2 2 3 2" xfId="30640" xr:uid="{00000000-0005-0000-0000-0000A37A0000}"/>
    <cellStyle name="Comma 3 4 3 3 3 2 2 4" xfId="9809" xr:uid="{00000000-0005-0000-0000-0000A47A0000}"/>
    <cellStyle name="Comma 3 4 3 3 3 2 2 4 2" xfId="33088" xr:uid="{00000000-0005-0000-0000-0000A57A0000}"/>
    <cellStyle name="Comma 3 4 3 3 3 2 2 5" xfId="12257" xr:uid="{00000000-0005-0000-0000-0000A67A0000}"/>
    <cellStyle name="Comma 3 4 3 3 3 2 2 5 2" xfId="35536" xr:uid="{00000000-0005-0000-0000-0000A77A0000}"/>
    <cellStyle name="Comma 3 4 3 3 3 2 2 6" xfId="14705" xr:uid="{00000000-0005-0000-0000-0000A87A0000}"/>
    <cellStyle name="Comma 3 4 3 3 3 2 2 6 2" xfId="37984" xr:uid="{00000000-0005-0000-0000-0000A97A0000}"/>
    <cellStyle name="Comma 3 4 3 3 3 2 2 7" xfId="18400" xr:uid="{00000000-0005-0000-0000-0000AA7A0000}"/>
    <cellStyle name="Comma 3 4 3 3 3 2 2 7 2" xfId="41678" xr:uid="{00000000-0005-0000-0000-0000AB7A0000}"/>
    <cellStyle name="Comma 3 4 3 3 3 2 2 8" xfId="25744" xr:uid="{00000000-0005-0000-0000-0000AC7A0000}"/>
    <cellStyle name="Comma 3 4 3 3 3 2 2 9" xfId="46574" xr:uid="{00000000-0005-0000-0000-0000AD7A0000}"/>
    <cellStyle name="Comma 3 4 3 3 3 2 3" xfId="3689" xr:uid="{00000000-0005-0000-0000-0000AE7A0000}"/>
    <cellStyle name="Comma 3 4 3 3 3 2 3 2" xfId="17176" xr:uid="{00000000-0005-0000-0000-0000AF7A0000}"/>
    <cellStyle name="Comma 3 4 3 3 3 2 3 2 2" xfId="40454" xr:uid="{00000000-0005-0000-0000-0000B07A0000}"/>
    <cellStyle name="Comma 3 4 3 3 3 2 3 3" xfId="47798" xr:uid="{00000000-0005-0000-0000-0000B17A0000}"/>
    <cellStyle name="Comma 3 4 3 3 3 2 3 4" xfId="26968" xr:uid="{00000000-0005-0000-0000-0000B27A0000}"/>
    <cellStyle name="Comma 3 4 3 3 3 2 4" xfId="6137" xr:uid="{00000000-0005-0000-0000-0000B37A0000}"/>
    <cellStyle name="Comma 3 4 3 3 3 2 4 2" xfId="19624" xr:uid="{00000000-0005-0000-0000-0000B47A0000}"/>
    <cellStyle name="Comma 3 4 3 3 3 2 4 2 2" xfId="42902" xr:uid="{00000000-0005-0000-0000-0000B57A0000}"/>
    <cellStyle name="Comma 3 4 3 3 3 2 4 3" xfId="29416" xr:uid="{00000000-0005-0000-0000-0000B67A0000}"/>
    <cellStyle name="Comma 3 4 3 3 3 2 5" xfId="8585" xr:uid="{00000000-0005-0000-0000-0000B77A0000}"/>
    <cellStyle name="Comma 3 4 3 3 3 2 5 2" xfId="31864" xr:uid="{00000000-0005-0000-0000-0000B87A0000}"/>
    <cellStyle name="Comma 3 4 3 3 3 2 6" xfId="11033" xr:uid="{00000000-0005-0000-0000-0000B97A0000}"/>
    <cellStyle name="Comma 3 4 3 3 3 2 6 2" xfId="34312" xr:uid="{00000000-0005-0000-0000-0000BA7A0000}"/>
    <cellStyle name="Comma 3 4 3 3 3 2 7" xfId="13481" xr:uid="{00000000-0005-0000-0000-0000BB7A0000}"/>
    <cellStyle name="Comma 3 4 3 3 3 2 7 2" xfId="36760" xr:uid="{00000000-0005-0000-0000-0000BC7A0000}"/>
    <cellStyle name="Comma 3 4 3 3 3 2 8" xfId="15952" xr:uid="{00000000-0005-0000-0000-0000BD7A0000}"/>
    <cellStyle name="Comma 3 4 3 3 3 2 8 2" xfId="39230" xr:uid="{00000000-0005-0000-0000-0000BE7A0000}"/>
    <cellStyle name="Comma 3 4 3 3 3 2 9" xfId="24520" xr:uid="{00000000-0005-0000-0000-0000BF7A0000}"/>
    <cellStyle name="Comma 3 4 3 3 3 3" xfId="1853" xr:uid="{00000000-0005-0000-0000-0000C07A0000}"/>
    <cellStyle name="Comma 3 4 3 3 3 3 10" xfId="22684" xr:uid="{00000000-0005-0000-0000-0000C17A0000}"/>
    <cellStyle name="Comma 3 4 3 3 3 3 2" xfId="4301" xr:uid="{00000000-0005-0000-0000-0000C27A0000}"/>
    <cellStyle name="Comma 3 4 3 3 3 3 2 2" xfId="20236" xr:uid="{00000000-0005-0000-0000-0000C37A0000}"/>
    <cellStyle name="Comma 3 4 3 3 3 3 2 2 2" xfId="43514" xr:uid="{00000000-0005-0000-0000-0000C47A0000}"/>
    <cellStyle name="Comma 3 4 3 3 3 3 2 3" xfId="48410" xr:uid="{00000000-0005-0000-0000-0000C57A0000}"/>
    <cellStyle name="Comma 3 4 3 3 3 3 2 4" xfId="27580" xr:uid="{00000000-0005-0000-0000-0000C67A0000}"/>
    <cellStyle name="Comma 3 4 3 3 3 3 3" xfId="6749" xr:uid="{00000000-0005-0000-0000-0000C77A0000}"/>
    <cellStyle name="Comma 3 4 3 3 3 3 3 2" xfId="30028" xr:uid="{00000000-0005-0000-0000-0000C87A0000}"/>
    <cellStyle name="Comma 3 4 3 3 3 3 4" xfId="9197" xr:uid="{00000000-0005-0000-0000-0000C97A0000}"/>
    <cellStyle name="Comma 3 4 3 3 3 3 4 2" xfId="32476" xr:uid="{00000000-0005-0000-0000-0000CA7A0000}"/>
    <cellStyle name="Comma 3 4 3 3 3 3 5" xfId="11645" xr:uid="{00000000-0005-0000-0000-0000CB7A0000}"/>
    <cellStyle name="Comma 3 4 3 3 3 3 5 2" xfId="34924" xr:uid="{00000000-0005-0000-0000-0000CC7A0000}"/>
    <cellStyle name="Comma 3 4 3 3 3 3 6" xfId="14093" xr:uid="{00000000-0005-0000-0000-0000CD7A0000}"/>
    <cellStyle name="Comma 3 4 3 3 3 3 6 2" xfId="37372" xr:uid="{00000000-0005-0000-0000-0000CE7A0000}"/>
    <cellStyle name="Comma 3 4 3 3 3 3 7" xfId="17788" xr:uid="{00000000-0005-0000-0000-0000CF7A0000}"/>
    <cellStyle name="Comma 3 4 3 3 3 3 7 2" xfId="41066" xr:uid="{00000000-0005-0000-0000-0000D07A0000}"/>
    <cellStyle name="Comma 3 4 3 3 3 3 8" xfId="25132" xr:uid="{00000000-0005-0000-0000-0000D17A0000}"/>
    <cellStyle name="Comma 3 4 3 3 3 3 9" xfId="45962" xr:uid="{00000000-0005-0000-0000-0000D27A0000}"/>
    <cellStyle name="Comma 3 4 3 3 3 4" xfId="3077" xr:uid="{00000000-0005-0000-0000-0000D37A0000}"/>
    <cellStyle name="Comma 3 4 3 3 3 4 2" xfId="16564" xr:uid="{00000000-0005-0000-0000-0000D47A0000}"/>
    <cellStyle name="Comma 3 4 3 3 3 4 2 2" xfId="39842" xr:uid="{00000000-0005-0000-0000-0000D57A0000}"/>
    <cellStyle name="Comma 3 4 3 3 3 4 3" xfId="47186" xr:uid="{00000000-0005-0000-0000-0000D67A0000}"/>
    <cellStyle name="Comma 3 4 3 3 3 4 4" xfId="26356" xr:uid="{00000000-0005-0000-0000-0000D77A0000}"/>
    <cellStyle name="Comma 3 4 3 3 3 5" xfId="5525" xr:uid="{00000000-0005-0000-0000-0000D87A0000}"/>
    <cellStyle name="Comma 3 4 3 3 3 5 2" xfId="19012" xr:uid="{00000000-0005-0000-0000-0000D97A0000}"/>
    <cellStyle name="Comma 3 4 3 3 3 5 2 2" xfId="42290" xr:uid="{00000000-0005-0000-0000-0000DA7A0000}"/>
    <cellStyle name="Comma 3 4 3 3 3 5 3" xfId="28804" xr:uid="{00000000-0005-0000-0000-0000DB7A0000}"/>
    <cellStyle name="Comma 3 4 3 3 3 6" xfId="7973" xr:uid="{00000000-0005-0000-0000-0000DC7A0000}"/>
    <cellStyle name="Comma 3 4 3 3 3 6 2" xfId="31252" xr:uid="{00000000-0005-0000-0000-0000DD7A0000}"/>
    <cellStyle name="Comma 3 4 3 3 3 7" xfId="10421" xr:uid="{00000000-0005-0000-0000-0000DE7A0000}"/>
    <cellStyle name="Comma 3 4 3 3 3 7 2" xfId="33700" xr:uid="{00000000-0005-0000-0000-0000DF7A0000}"/>
    <cellStyle name="Comma 3 4 3 3 3 8" xfId="12869" xr:uid="{00000000-0005-0000-0000-0000E07A0000}"/>
    <cellStyle name="Comma 3 4 3 3 3 8 2" xfId="36148" xr:uid="{00000000-0005-0000-0000-0000E17A0000}"/>
    <cellStyle name="Comma 3 4 3 3 3 9" xfId="15340" xr:uid="{00000000-0005-0000-0000-0000E27A0000}"/>
    <cellStyle name="Comma 3 4 3 3 3 9 2" xfId="38618" xr:uid="{00000000-0005-0000-0000-0000E37A0000}"/>
    <cellStyle name="Comma 3 4 3 3 4" xfId="833" xr:uid="{00000000-0005-0000-0000-0000E47A0000}"/>
    <cellStyle name="Comma 3 4 3 3 4 10" xfId="44942" xr:uid="{00000000-0005-0000-0000-0000E57A0000}"/>
    <cellStyle name="Comma 3 4 3 3 4 11" xfId="21664" xr:uid="{00000000-0005-0000-0000-0000E67A0000}"/>
    <cellStyle name="Comma 3 4 3 3 4 2" xfId="2057" xr:uid="{00000000-0005-0000-0000-0000E77A0000}"/>
    <cellStyle name="Comma 3 4 3 3 4 2 10" xfId="22888" xr:uid="{00000000-0005-0000-0000-0000E87A0000}"/>
    <cellStyle name="Comma 3 4 3 3 4 2 2" xfId="4505" xr:uid="{00000000-0005-0000-0000-0000E97A0000}"/>
    <cellStyle name="Comma 3 4 3 3 4 2 2 2" xfId="20440" xr:uid="{00000000-0005-0000-0000-0000EA7A0000}"/>
    <cellStyle name="Comma 3 4 3 3 4 2 2 2 2" xfId="43718" xr:uid="{00000000-0005-0000-0000-0000EB7A0000}"/>
    <cellStyle name="Comma 3 4 3 3 4 2 2 3" xfId="48614" xr:uid="{00000000-0005-0000-0000-0000EC7A0000}"/>
    <cellStyle name="Comma 3 4 3 3 4 2 2 4" xfId="27784" xr:uid="{00000000-0005-0000-0000-0000ED7A0000}"/>
    <cellStyle name="Comma 3 4 3 3 4 2 3" xfId="6953" xr:uid="{00000000-0005-0000-0000-0000EE7A0000}"/>
    <cellStyle name="Comma 3 4 3 3 4 2 3 2" xfId="30232" xr:uid="{00000000-0005-0000-0000-0000EF7A0000}"/>
    <cellStyle name="Comma 3 4 3 3 4 2 4" xfId="9401" xr:uid="{00000000-0005-0000-0000-0000F07A0000}"/>
    <cellStyle name="Comma 3 4 3 3 4 2 4 2" xfId="32680" xr:uid="{00000000-0005-0000-0000-0000F17A0000}"/>
    <cellStyle name="Comma 3 4 3 3 4 2 5" xfId="11849" xr:uid="{00000000-0005-0000-0000-0000F27A0000}"/>
    <cellStyle name="Comma 3 4 3 3 4 2 5 2" xfId="35128" xr:uid="{00000000-0005-0000-0000-0000F37A0000}"/>
    <cellStyle name="Comma 3 4 3 3 4 2 6" xfId="14297" xr:uid="{00000000-0005-0000-0000-0000F47A0000}"/>
    <cellStyle name="Comma 3 4 3 3 4 2 6 2" xfId="37576" xr:uid="{00000000-0005-0000-0000-0000F57A0000}"/>
    <cellStyle name="Comma 3 4 3 3 4 2 7" xfId="17992" xr:uid="{00000000-0005-0000-0000-0000F67A0000}"/>
    <cellStyle name="Comma 3 4 3 3 4 2 7 2" xfId="41270" xr:uid="{00000000-0005-0000-0000-0000F77A0000}"/>
    <cellStyle name="Comma 3 4 3 3 4 2 8" xfId="25336" xr:uid="{00000000-0005-0000-0000-0000F87A0000}"/>
    <cellStyle name="Comma 3 4 3 3 4 2 9" xfId="46166" xr:uid="{00000000-0005-0000-0000-0000F97A0000}"/>
    <cellStyle name="Comma 3 4 3 3 4 3" xfId="3281" xr:uid="{00000000-0005-0000-0000-0000FA7A0000}"/>
    <cellStyle name="Comma 3 4 3 3 4 3 2" xfId="16768" xr:uid="{00000000-0005-0000-0000-0000FB7A0000}"/>
    <cellStyle name="Comma 3 4 3 3 4 3 2 2" xfId="40046" xr:uid="{00000000-0005-0000-0000-0000FC7A0000}"/>
    <cellStyle name="Comma 3 4 3 3 4 3 3" xfId="47390" xr:uid="{00000000-0005-0000-0000-0000FD7A0000}"/>
    <cellStyle name="Comma 3 4 3 3 4 3 4" xfId="26560" xr:uid="{00000000-0005-0000-0000-0000FE7A0000}"/>
    <cellStyle name="Comma 3 4 3 3 4 4" xfId="5729" xr:uid="{00000000-0005-0000-0000-0000FF7A0000}"/>
    <cellStyle name="Comma 3 4 3 3 4 4 2" xfId="19216" xr:uid="{00000000-0005-0000-0000-0000007B0000}"/>
    <cellStyle name="Comma 3 4 3 3 4 4 2 2" xfId="42494" xr:uid="{00000000-0005-0000-0000-0000017B0000}"/>
    <cellStyle name="Comma 3 4 3 3 4 4 3" xfId="29008" xr:uid="{00000000-0005-0000-0000-0000027B0000}"/>
    <cellStyle name="Comma 3 4 3 3 4 5" xfId="8177" xr:uid="{00000000-0005-0000-0000-0000037B0000}"/>
    <cellStyle name="Comma 3 4 3 3 4 5 2" xfId="31456" xr:uid="{00000000-0005-0000-0000-0000047B0000}"/>
    <cellStyle name="Comma 3 4 3 3 4 6" xfId="10625" xr:uid="{00000000-0005-0000-0000-0000057B0000}"/>
    <cellStyle name="Comma 3 4 3 3 4 6 2" xfId="33904" xr:uid="{00000000-0005-0000-0000-0000067B0000}"/>
    <cellStyle name="Comma 3 4 3 3 4 7" xfId="13073" xr:uid="{00000000-0005-0000-0000-0000077B0000}"/>
    <cellStyle name="Comma 3 4 3 3 4 7 2" xfId="36352" xr:uid="{00000000-0005-0000-0000-0000087B0000}"/>
    <cellStyle name="Comma 3 4 3 3 4 8" xfId="15544" xr:uid="{00000000-0005-0000-0000-0000097B0000}"/>
    <cellStyle name="Comma 3 4 3 3 4 8 2" xfId="38822" xr:uid="{00000000-0005-0000-0000-00000A7B0000}"/>
    <cellStyle name="Comma 3 4 3 3 4 9" xfId="24112" xr:uid="{00000000-0005-0000-0000-00000B7B0000}"/>
    <cellStyle name="Comma 3 4 3 3 5" xfId="1445" xr:uid="{00000000-0005-0000-0000-00000C7B0000}"/>
    <cellStyle name="Comma 3 4 3 3 5 10" xfId="22276" xr:uid="{00000000-0005-0000-0000-00000D7B0000}"/>
    <cellStyle name="Comma 3 4 3 3 5 2" xfId="3893" xr:uid="{00000000-0005-0000-0000-00000E7B0000}"/>
    <cellStyle name="Comma 3 4 3 3 5 2 2" xfId="19828" xr:uid="{00000000-0005-0000-0000-00000F7B0000}"/>
    <cellStyle name="Comma 3 4 3 3 5 2 2 2" xfId="43106" xr:uid="{00000000-0005-0000-0000-0000107B0000}"/>
    <cellStyle name="Comma 3 4 3 3 5 2 3" xfId="48002" xr:uid="{00000000-0005-0000-0000-0000117B0000}"/>
    <cellStyle name="Comma 3 4 3 3 5 2 4" xfId="27172" xr:uid="{00000000-0005-0000-0000-0000127B0000}"/>
    <cellStyle name="Comma 3 4 3 3 5 3" xfId="6341" xr:uid="{00000000-0005-0000-0000-0000137B0000}"/>
    <cellStyle name="Comma 3 4 3 3 5 3 2" xfId="29620" xr:uid="{00000000-0005-0000-0000-0000147B0000}"/>
    <cellStyle name="Comma 3 4 3 3 5 4" xfId="8789" xr:uid="{00000000-0005-0000-0000-0000157B0000}"/>
    <cellStyle name="Comma 3 4 3 3 5 4 2" xfId="32068" xr:uid="{00000000-0005-0000-0000-0000167B0000}"/>
    <cellStyle name="Comma 3 4 3 3 5 5" xfId="11237" xr:uid="{00000000-0005-0000-0000-0000177B0000}"/>
    <cellStyle name="Comma 3 4 3 3 5 5 2" xfId="34516" xr:uid="{00000000-0005-0000-0000-0000187B0000}"/>
    <cellStyle name="Comma 3 4 3 3 5 6" xfId="13685" xr:uid="{00000000-0005-0000-0000-0000197B0000}"/>
    <cellStyle name="Comma 3 4 3 3 5 6 2" xfId="36964" xr:uid="{00000000-0005-0000-0000-00001A7B0000}"/>
    <cellStyle name="Comma 3 4 3 3 5 7" xfId="17380" xr:uid="{00000000-0005-0000-0000-00001B7B0000}"/>
    <cellStyle name="Comma 3 4 3 3 5 7 2" xfId="40658" xr:uid="{00000000-0005-0000-0000-00001C7B0000}"/>
    <cellStyle name="Comma 3 4 3 3 5 8" xfId="24724" xr:uid="{00000000-0005-0000-0000-00001D7B0000}"/>
    <cellStyle name="Comma 3 4 3 3 5 9" xfId="45554" xr:uid="{00000000-0005-0000-0000-00001E7B0000}"/>
    <cellStyle name="Comma 3 4 3 3 6" xfId="2669" xr:uid="{00000000-0005-0000-0000-00001F7B0000}"/>
    <cellStyle name="Comma 3 4 3 3 6 2" xfId="16156" xr:uid="{00000000-0005-0000-0000-0000207B0000}"/>
    <cellStyle name="Comma 3 4 3 3 6 2 2" xfId="39434" xr:uid="{00000000-0005-0000-0000-0000217B0000}"/>
    <cellStyle name="Comma 3 4 3 3 6 3" xfId="46778" xr:uid="{00000000-0005-0000-0000-0000227B0000}"/>
    <cellStyle name="Comma 3 4 3 3 6 4" xfId="25948" xr:uid="{00000000-0005-0000-0000-0000237B0000}"/>
    <cellStyle name="Comma 3 4 3 3 7" xfId="5117" xr:uid="{00000000-0005-0000-0000-0000247B0000}"/>
    <cellStyle name="Comma 3 4 3 3 7 2" xfId="18604" xr:uid="{00000000-0005-0000-0000-0000257B0000}"/>
    <cellStyle name="Comma 3 4 3 3 7 2 2" xfId="41882" xr:uid="{00000000-0005-0000-0000-0000267B0000}"/>
    <cellStyle name="Comma 3 4 3 3 7 3" xfId="28396" xr:uid="{00000000-0005-0000-0000-0000277B0000}"/>
    <cellStyle name="Comma 3 4 3 3 8" xfId="7565" xr:uid="{00000000-0005-0000-0000-0000287B0000}"/>
    <cellStyle name="Comma 3 4 3 3 8 2" xfId="30844" xr:uid="{00000000-0005-0000-0000-0000297B0000}"/>
    <cellStyle name="Comma 3 4 3 3 9" xfId="10013" xr:uid="{00000000-0005-0000-0000-00002A7B0000}"/>
    <cellStyle name="Comma 3 4 3 3 9 2" xfId="33292" xr:uid="{00000000-0005-0000-0000-00002B7B0000}"/>
    <cellStyle name="Comma 3 4 3 4" xfId="289" xr:uid="{00000000-0005-0000-0000-00002C7B0000}"/>
    <cellStyle name="Comma 3 4 3 4 10" xfId="23568" xr:uid="{00000000-0005-0000-0000-00002D7B0000}"/>
    <cellStyle name="Comma 3 4 3 4 11" xfId="44398" xr:uid="{00000000-0005-0000-0000-00002E7B0000}"/>
    <cellStyle name="Comma 3 4 3 4 12" xfId="21120" xr:uid="{00000000-0005-0000-0000-00002F7B0000}"/>
    <cellStyle name="Comma 3 4 3 4 2" xfId="901" xr:uid="{00000000-0005-0000-0000-0000307B0000}"/>
    <cellStyle name="Comma 3 4 3 4 2 10" xfId="45010" xr:uid="{00000000-0005-0000-0000-0000317B0000}"/>
    <cellStyle name="Comma 3 4 3 4 2 11" xfId="21732" xr:uid="{00000000-0005-0000-0000-0000327B0000}"/>
    <cellStyle name="Comma 3 4 3 4 2 2" xfId="2125" xr:uid="{00000000-0005-0000-0000-0000337B0000}"/>
    <cellStyle name="Comma 3 4 3 4 2 2 10" xfId="22956" xr:uid="{00000000-0005-0000-0000-0000347B0000}"/>
    <cellStyle name="Comma 3 4 3 4 2 2 2" xfId="4573" xr:uid="{00000000-0005-0000-0000-0000357B0000}"/>
    <cellStyle name="Comma 3 4 3 4 2 2 2 2" xfId="20508" xr:uid="{00000000-0005-0000-0000-0000367B0000}"/>
    <cellStyle name="Comma 3 4 3 4 2 2 2 2 2" xfId="43786" xr:uid="{00000000-0005-0000-0000-0000377B0000}"/>
    <cellStyle name="Comma 3 4 3 4 2 2 2 3" xfId="48682" xr:uid="{00000000-0005-0000-0000-0000387B0000}"/>
    <cellStyle name="Comma 3 4 3 4 2 2 2 4" xfId="27852" xr:uid="{00000000-0005-0000-0000-0000397B0000}"/>
    <cellStyle name="Comma 3 4 3 4 2 2 3" xfId="7021" xr:uid="{00000000-0005-0000-0000-00003A7B0000}"/>
    <cellStyle name="Comma 3 4 3 4 2 2 3 2" xfId="30300" xr:uid="{00000000-0005-0000-0000-00003B7B0000}"/>
    <cellStyle name="Comma 3 4 3 4 2 2 4" xfId="9469" xr:uid="{00000000-0005-0000-0000-00003C7B0000}"/>
    <cellStyle name="Comma 3 4 3 4 2 2 4 2" xfId="32748" xr:uid="{00000000-0005-0000-0000-00003D7B0000}"/>
    <cellStyle name="Comma 3 4 3 4 2 2 5" xfId="11917" xr:uid="{00000000-0005-0000-0000-00003E7B0000}"/>
    <cellStyle name="Comma 3 4 3 4 2 2 5 2" xfId="35196" xr:uid="{00000000-0005-0000-0000-00003F7B0000}"/>
    <cellStyle name="Comma 3 4 3 4 2 2 6" xfId="14365" xr:uid="{00000000-0005-0000-0000-0000407B0000}"/>
    <cellStyle name="Comma 3 4 3 4 2 2 6 2" xfId="37644" xr:uid="{00000000-0005-0000-0000-0000417B0000}"/>
    <cellStyle name="Comma 3 4 3 4 2 2 7" xfId="18060" xr:uid="{00000000-0005-0000-0000-0000427B0000}"/>
    <cellStyle name="Comma 3 4 3 4 2 2 7 2" xfId="41338" xr:uid="{00000000-0005-0000-0000-0000437B0000}"/>
    <cellStyle name="Comma 3 4 3 4 2 2 8" xfId="25404" xr:uid="{00000000-0005-0000-0000-0000447B0000}"/>
    <cellStyle name="Comma 3 4 3 4 2 2 9" xfId="46234" xr:uid="{00000000-0005-0000-0000-0000457B0000}"/>
    <cellStyle name="Comma 3 4 3 4 2 3" xfId="3349" xr:uid="{00000000-0005-0000-0000-0000467B0000}"/>
    <cellStyle name="Comma 3 4 3 4 2 3 2" xfId="16836" xr:uid="{00000000-0005-0000-0000-0000477B0000}"/>
    <cellStyle name="Comma 3 4 3 4 2 3 2 2" xfId="40114" xr:uid="{00000000-0005-0000-0000-0000487B0000}"/>
    <cellStyle name="Comma 3 4 3 4 2 3 3" xfId="47458" xr:uid="{00000000-0005-0000-0000-0000497B0000}"/>
    <cellStyle name="Comma 3 4 3 4 2 3 4" xfId="26628" xr:uid="{00000000-0005-0000-0000-00004A7B0000}"/>
    <cellStyle name="Comma 3 4 3 4 2 4" xfId="5797" xr:uid="{00000000-0005-0000-0000-00004B7B0000}"/>
    <cellStyle name="Comma 3 4 3 4 2 4 2" xfId="19284" xr:uid="{00000000-0005-0000-0000-00004C7B0000}"/>
    <cellStyle name="Comma 3 4 3 4 2 4 2 2" xfId="42562" xr:uid="{00000000-0005-0000-0000-00004D7B0000}"/>
    <cellStyle name="Comma 3 4 3 4 2 4 3" xfId="29076" xr:uid="{00000000-0005-0000-0000-00004E7B0000}"/>
    <cellStyle name="Comma 3 4 3 4 2 5" xfId="8245" xr:uid="{00000000-0005-0000-0000-00004F7B0000}"/>
    <cellStyle name="Comma 3 4 3 4 2 5 2" xfId="31524" xr:uid="{00000000-0005-0000-0000-0000507B0000}"/>
    <cellStyle name="Comma 3 4 3 4 2 6" xfId="10693" xr:uid="{00000000-0005-0000-0000-0000517B0000}"/>
    <cellStyle name="Comma 3 4 3 4 2 6 2" xfId="33972" xr:uid="{00000000-0005-0000-0000-0000527B0000}"/>
    <cellStyle name="Comma 3 4 3 4 2 7" xfId="13141" xr:uid="{00000000-0005-0000-0000-0000537B0000}"/>
    <cellStyle name="Comma 3 4 3 4 2 7 2" xfId="36420" xr:uid="{00000000-0005-0000-0000-0000547B0000}"/>
    <cellStyle name="Comma 3 4 3 4 2 8" xfId="15612" xr:uid="{00000000-0005-0000-0000-0000557B0000}"/>
    <cellStyle name="Comma 3 4 3 4 2 8 2" xfId="38890" xr:uid="{00000000-0005-0000-0000-0000567B0000}"/>
    <cellStyle name="Comma 3 4 3 4 2 9" xfId="24180" xr:uid="{00000000-0005-0000-0000-0000577B0000}"/>
    <cellStyle name="Comma 3 4 3 4 3" xfId="1513" xr:uid="{00000000-0005-0000-0000-0000587B0000}"/>
    <cellStyle name="Comma 3 4 3 4 3 10" xfId="22344" xr:uid="{00000000-0005-0000-0000-0000597B0000}"/>
    <cellStyle name="Comma 3 4 3 4 3 2" xfId="3961" xr:uid="{00000000-0005-0000-0000-00005A7B0000}"/>
    <cellStyle name="Comma 3 4 3 4 3 2 2" xfId="19896" xr:uid="{00000000-0005-0000-0000-00005B7B0000}"/>
    <cellStyle name="Comma 3 4 3 4 3 2 2 2" xfId="43174" xr:uid="{00000000-0005-0000-0000-00005C7B0000}"/>
    <cellStyle name="Comma 3 4 3 4 3 2 3" xfId="48070" xr:uid="{00000000-0005-0000-0000-00005D7B0000}"/>
    <cellStyle name="Comma 3 4 3 4 3 2 4" xfId="27240" xr:uid="{00000000-0005-0000-0000-00005E7B0000}"/>
    <cellStyle name="Comma 3 4 3 4 3 3" xfId="6409" xr:uid="{00000000-0005-0000-0000-00005F7B0000}"/>
    <cellStyle name="Comma 3 4 3 4 3 3 2" xfId="29688" xr:uid="{00000000-0005-0000-0000-0000607B0000}"/>
    <cellStyle name="Comma 3 4 3 4 3 4" xfId="8857" xr:uid="{00000000-0005-0000-0000-0000617B0000}"/>
    <cellStyle name="Comma 3 4 3 4 3 4 2" xfId="32136" xr:uid="{00000000-0005-0000-0000-0000627B0000}"/>
    <cellStyle name="Comma 3 4 3 4 3 5" xfId="11305" xr:uid="{00000000-0005-0000-0000-0000637B0000}"/>
    <cellStyle name="Comma 3 4 3 4 3 5 2" xfId="34584" xr:uid="{00000000-0005-0000-0000-0000647B0000}"/>
    <cellStyle name="Comma 3 4 3 4 3 6" xfId="13753" xr:uid="{00000000-0005-0000-0000-0000657B0000}"/>
    <cellStyle name="Comma 3 4 3 4 3 6 2" xfId="37032" xr:uid="{00000000-0005-0000-0000-0000667B0000}"/>
    <cellStyle name="Comma 3 4 3 4 3 7" xfId="17448" xr:uid="{00000000-0005-0000-0000-0000677B0000}"/>
    <cellStyle name="Comma 3 4 3 4 3 7 2" xfId="40726" xr:uid="{00000000-0005-0000-0000-0000687B0000}"/>
    <cellStyle name="Comma 3 4 3 4 3 8" xfId="24792" xr:uid="{00000000-0005-0000-0000-0000697B0000}"/>
    <cellStyle name="Comma 3 4 3 4 3 9" xfId="45622" xr:uid="{00000000-0005-0000-0000-00006A7B0000}"/>
    <cellStyle name="Comma 3 4 3 4 4" xfId="2737" xr:uid="{00000000-0005-0000-0000-00006B7B0000}"/>
    <cellStyle name="Comma 3 4 3 4 4 2" xfId="16224" xr:uid="{00000000-0005-0000-0000-00006C7B0000}"/>
    <cellStyle name="Comma 3 4 3 4 4 2 2" xfId="39502" xr:uid="{00000000-0005-0000-0000-00006D7B0000}"/>
    <cellStyle name="Comma 3 4 3 4 4 3" xfId="46846" xr:uid="{00000000-0005-0000-0000-00006E7B0000}"/>
    <cellStyle name="Comma 3 4 3 4 4 4" xfId="26016" xr:uid="{00000000-0005-0000-0000-00006F7B0000}"/>
    <cellStyle name="Comma 3 4 3 4 5" xfId="5185" xr:uid="{00000000-0005-0000-0000-0000707B0000}"/>
    <cellStyle name="Comma 3 4 3 4 5 2" xfId="18672" xr:uid="{00000000-0005-0000-0000-0000717B0000}"/>
    <cellStyle name="Comma 3 4 3 4 5 2 2" xfId="41950" xr:uid="{00000000-0005-0000-0000-0000727B0000}"/>
    <cellStyle name="Comma 3 4 3 4 5 3" xfId="28464" xr:uid="{00000000-0005-0000-0000-0000737B0000}"/>
    <cellStyle name="Comma 3 4 3 4 6" xfId="7633" xr:uid="{00000000-0005-0000-0000-0000747B0000}"/>
    <cellStyle name="Comma 3 4 3 4 6 2" xfId="30912" xr:uid="{00000000-0005-0000-0000-0000757B0000}"/>
    <cellStyle name="Comma 3 4 3 4 7" xfId="10081" xr:uid="{00000000-0005-0000-0000-0000767B0000}"/>
    <cellStyle name="Comma 3 4 3 4 7 2" xfId="33360" xr:uid="{00000000-0005-0000-0000-0000777B0000}"/>
    <cellStyle name="Comma 3 4 3 4 8" xfId="12529" xr:uid="{00000000-0005-0000-0000-0000787B0000}"/>
    <cellStyle name="Comma 3 4 3 4 8 2" xfId="35808" xr:uid="{00000000-0005-0000-0000-0000797B0000}"/>
    <cellStyle name="Comma 3 4 3 4 9" xfId="15000" xr:uid="{00000000-0005-0000-0000-00007A7B0000}"/>
    <cellStyle name="Comma 3 4 3 4 9 2" xfId="38278" xr:uid="{00000000-0005-0000-0000-00007B7B0000}"/>
    <cellStyle name="Comma 3 4 3 5" xfId="493" xr:uid="{00000000-0005-0000-0000-00007C7B0000}"/>
    <cellStyle name="Comma 3 4 3 5 10" xfId="23772" xr:uid="{00000000-0005-0000-0000-00007D7B0000}"/>
    <cellStyle name="Comma 3 4 3 5 11" xfId="44602" xr:uid="{00000000-0005-0000-0000-00007E7B0000}"/>
    <cellStyle name="Comma 3 4 3 5 12" xfId="21324" xr:uid="{00000000-0005-0000-0000-00007F7B0000}"/>
    <cellStyle name="Comma 3 4 3 5 2" xfId="1105" xr:uid="{00000000-0005-0000-0000-0000807B0000}"/>
    <cellStyle name="Comma 3 4 3 5 2 10" xfId="45214" xr:uid="{00000000-0005-0000-0000-0000817B0000}"/>
    <cellStyle name="Comma 3 4 3 5 2 11" xfId="21936" xr:uid="{00000000-0005-0000-0000-0000827B0000}"/>
    <cellStyle name="Comma 3 4 3 5 2 2" xfId="2329" xr:uid="{00000000-0005-0000-0000-0000837B0000}"/>
    <cellStyle name="Comma 3 4 3 5 2 2 10" xfId="23160" xr:uid="{00000000-0005-0000-0000-0000847B0000}"/>
    <cellStyle name="Comma 3 4 3 5 2 2 2" xfId="4777" xr:uid="{00000000-0005-0000-0000-0000857B0000}"/>
    <cellStyle name="Comma 3 4 3 5 2 2 2 2" xfId="20712" xr:uid="{00000000-0005-0000-0000-0000867B0000}"/>
    <cellStyle name="Comma 3 4 3 5 2 2 2 2 2" xfId="43990" xr:uid="{00000000-0005-0000-0000-0000877B0000}"/>
    <cellStyle name="Comma 3 4 3 5 2 2 2 3" xfId="48886" xr:uid="{00000000-0005-0000-0000-0000887B0000}"/>
    <cellStyle name="Comma 3 4 3 5 2 2 2 4" xfId="28056" xr:uid="{00000000-0005-0000-0000-0000897B0000}"/>
    <cellStyle name="Comma 3 4 3 5 2 2 3" xfId="7225" xr:uid="{00000000-0005-0000-0000-00008A7B0000}"/>
    <cellStyle name="Comma 3 4 3 5 2 2 3 2" xfId="30504" xr:uid="{00000000-0005-0000-0000-00008B7B0000}"/>
    <cellStyle name="Comma 3 4 3 5 2 2 4" xfId="9673" xr:uid="{00000000-0005-0000-0000-00008C7B0000}"/>
    <cellStyle name="Comma 3 4 3 5 2 2 4 2" xfId="32952" xr:uid="{00000000-0005-0000-0000-00008D7B0000}"/>
    <cellStyle name="Comma 3 4 3 5 2 2 5" xfId="12121" xr:uid="{00000000-0005-0000-0000-00008E7B0000}"/>
    <cellStyle name="Comma 3 4 3 5 2 2 5 2" xfId="35400" xr:uid="{00000000-0005-0000-0000-00008F7B0000}"/>
    <cellStyle name="Comma 3 4 3 5 2 2 6" xfId="14569" xr:uid="{00000000-0005-0000-0000-0000907B0000}"/>
    <cellStyle name="Comma 3 4 3 5 2 2 6 2" xfId="37848" xr:uid="{00000000-0005-0000-0000-0000917B0000}"/>
    <cellStyle name="Comma 3 4 3 5 2 2 7" xfId="18264" xr:uid="{00000000-0005-0000-0000-0000927B0000}"/>
    <cellStyle name="Comma 3 4 3 5 2 2 7 2" xfId="41542" xr:uid="{00000000-0005-0000-0000-0000937B0000}"/>
    <cellStyle name="Comma 3 4 3 5 2 2 8" xfId="25608" xr:uid="{00000000-0005-0000-0000-0000947B0000}"/>
    <cellStyle name="Comma 3 4 3 5 2 2 9" xfId="46438" xr:uid="{00000000-0005-0000-0000-0000957B0000}"/>
    <cellStyle name="Comma 3 4 3 5 2 3" xfId="3553" xr:uid="{00000000-0005-0000-0000-0000967B0000}"/>
    <cellStyle name="Comma 3 4 3 5 2 3 2" xfId="17040" xr:uid="{00000000-0005-0000-0000-0000977B0000}"/>
    <cellStyle name="Comma 3 4 3 5 2 3 2 2" xfId="40318" xr:uid="{00000000-0005-0000-0000-0000987B0000}"/>
    <cellStyle name="Comma 3 4 3 5 2 3 3" xfId="47662" xr:uid="{00000000-0005-0000-0000-0000997B0000}"/>
    <cellStyle name="Comma 3 4 3 5 2 3 4" xfId="26832" xr:uid="{00000000-0005-0000-0000-00009A7B0000}"/>
    <cellStyle name="Comma 3 4 3 5 2 4" xfId="6001" xr:uid="{00000000-0005-0000-0000-00009B7B0000}"/>
    <cellStyle name="Comma 3 4 3 5 2 4 2" xfId="19488" xr:uid="{00000000-0005-0000-0000-00009C7B0000}"/>
    <cellStyle name="Comma 3 4 3 5 2 4 2 2" xfId="42766" xr:uid="{00000000-0005-0000-0000-00009D7B0000}"/>
    <cellStyle name="Comma 3 4 3 5 2 4 3" xfId="29280" xr:uid="{00000000-0005-0000-0000-00009E7B0000}"/>
    <cellStyle name="Comma 3 4 3 5 2 5" xfId="8449" xr:uid="{00000000-0005-0000-0000-00009F7B0000}"/>
    <cellStyle name="Comma 3 4 3 5 2 5 2" xfId="31728" xr:uid="{00000000-0005-0000-0000-0000A07B0000}"/>
    <cellStyle name="Comma 3 4 3 5 2 6" xfId="10897" xr:uid="{00000000-0005-0000-0000-0000A17B0000}"/>
    <cellStyle name="Comma 3 4 3 5 2 6 2" xfId="34176" xr:uid="{00000000-0005-0000-0000-0000A27B0000}"/>
    <cellStyle name="Comma 3 4 3 5 2 7" xfId="13345" xr:uid="{00000000-0005-0000-0000-0000A37B0000}"/>
    <cellStyle name="Comma 3 4 3 5 2 7 2" xfId="36624" xr:uid="{00000000-0005-0000-0000-0000A47B0000}"/>
    <cellStyle name="Comma 3 4 3 5 2 8" xfId="15816" xr:uid="{00000000-0005-0000-0000-0000A57B0000}"/>
    <cellStyle name="Comma 3 4 3 5 2 8 2" xfId="39094" xr:uid="{00000000-0005-0000-0000-0000A67B0000}"/>
    <cellStyle name="Comma 3 4 3 5 2 9" xfId="24384" xr:uid="{00000000-0005-0000-0000-0000A77B0000}"/>
    <cellStyle name="Comma 3 4 3 5 3" xfId="1717" xr:uid="{00000000-0005-0000-0000-0000A87B0000}"/>
    <cellStyle name="Comma 3 4 3 5 3 10" xfId="22548" xr:uid="{00000000-0005-0000-0000-0000A97B0000}"/>
    <cellStyle name="Comma 3 4 3 5 3 2" xfId="4165" xr:uid="{00000000-0005-0000-0000-0000AA7B0000}"/>
    <cellStyle name="Comma 3 4 3 5 3 2 2" xfId="20100" xr:uid="{00000000-0005-0000-0000-0000AB7B0000}"/>
    <cellStyle name="Comma 3 4 3 5 3 2 2 2" xfId="43378" xr:uid="{00000000-0005-0000-0000-0000AC7B0000}"/>
    <cellStyle name="Comma 3 4 3 5 3 2 3" xfId="48274" xr:uid="{00000000-0005-0000-0000-0000AD7B0000}"/>
    <cellStyle name="Comma 3 4 3 5 3 2 4" xfId="27444" xr:uid="{00000000-0005-0000-0000-0000AE7B0000}"/>
    <cellStyle name="Comma 3 4 3 5 3 3" xfId="6613" xr:uid="{00000000-0005-0000-0000-0000AF7B0000}"/>
    <cellStyle name="Comma 3 4 3 5 3 3 2" xfId="29892" xr:uid="{00000000-0005-0000-0000-0000B07B0000}"/>
    <cellStyle name="Comma 3 4 3 5 3 4" xfId="9061" xr:uid="{00000000-0005-0000-0000-0000B17B0000}"/>
    <cellStyle name="Comma 3 4 3 5 3 4 2" xfId="32340" xr:uid="{00000000-0005-0000-0000-0000B27B0000}"/>
    <cellStyle name="Comma 3 4 3 5 3 5" xfId="11509" xr:uid="{00000000-0005-0000-0000-0000B37B0000}"/>
    <cellStyle name="Comma 3 4 3 5 3 5 2" xfId="34788" xr:uid="{00000000-0005-0000-0000-0000B47B0000}"/>
    <cellStyle name="Comma 3 4 3 5 3 6" xfId="13957" xr:uid="{00000000-0005-0000-0000-0000B57B0000}"/>
    <cellStyle name="Comma 3 4 3 5 3 6 2" xfId="37236" xr:uid="{00000000-0005-0000-0000-0000B67B0000}"/>
    <cellStyle name="Comma 3 4 3 5 3 7" xfId="17652" xr:uid="{00000000-0005-0000-0000-0000B77B0000}"/>
    <cellStyle name="Comma 3 4 3 5 3 7 2" xfId="40930" xr:uid="{00000000-0005-0000-0000-0000B87B0000}"/>
    <cellStyle name="Comma 3 4 3 5 3 8" xfId="24996" xr:uid="{00000000-0005-0000-0000-0000B97B0000}"/>
    <cellStyle name="Comma 3 4 3 5 3 9" xfId="45826" xr:uid="{00000000-0005-0000-0000-0000BA7B0000}"/>
    <cellStyle name="Comma 3 4 3 5 4" xfId="2941" xr:uid="{00000000-0005-0000-0000-0000BB7B0000}"/>
    <cellStyle name="Comma 3 4 3 5 4 2" xfId="16428" xr:uid="{00000000-0005-0000-0000-0000BC7B0000}"/>
    <cellStyle name="Comma 3 4 3 5 4 2 2" xfId="39706" xr:uid="{00000000-0005-0000-0000-0000BD7B0000}"/>
    <cellStyle name="Comma 3 4 3 5 4 3" xfId="47050" xr:uid="{00000000-0005-0000-0000-0000BE7B0000}"/>
    <cellStyle name="Comma 3 4 3 5 4 4" xfId="26220" xr:uid="{00000000-0005-0000-0000-0000BF7B0000}"/>
    <cellStyle name="Comma 3 4 3 5 5" xfId="5389" xr:uid="{00000000-0005-0000-0000-0000C07B0000}"/>
    <cellStyle name="Comma 3 4 3 5 5 2" xfId="18876" xr:uid="{00000000-0005-0000-0000-0000C17B0000}"/>
    <cellStyle name="Comma 3 4 3 5 5 2 2" xfId="42154" xr:uid="{00000000-0005-0000-0000-0000C27B0000}"/>
    <cellStyle name="Comma 3 4 3 5 5 3" xfId="28668" xr:uid="{00000000-0005-0000-0000-0000C37B0000}"/>
    <cellStyle name="Comma 3 4 3 5 6" xfId="7837" xr:uid="{00000000-0005-0000-0000-0000C47B0000}"/>
    <cellStyle name="Comma 3 4 3 5 6 2" xfId="31116" xr:uid="{00000000-0005-0000-0000-0000C57B0000}"/>
    <cellStyle name="Comma 3 4 3 5 7" xfId="10285" xr:uid="{00000000-0005-0000-0000-0000C67B0000}"/>
    <cellStyle name="Comma 3 4 3 5 7 2" xfId="33564" xr:uid="{00000000-0005-0000-0000-0000C77B0000}"/>
    <cellStyle name="Comma 3 4 3 5 8" xfId="12733" xr:uid="{00000000-0005-0000-0000-0000C87B0000}"/>
    <cellStyle name="Comma 3 4 3 5 8 2" xfId="36012" xr:uid="{00000000-0005-0000-0000-0000C97B0000}"/>
    <cellStyle name="Comma 3 4 3 5 9" xfId="15204" xr:uid="{00000000-0005-0000-0000-0000CA7B0000}"/>
    <cellStyle name="Comma 3 4 3 5 9 2" xfId="38482" xr:uid="{00000000-0005-0000-0000-0000CB7B0000}"/>
    <cellStyle name="Comma 3 4 3 6" xfId="697" xr:uid="{00000000-0005-0000-0000-0000CC7B0000}"/>
    <cellStyle name="Comma 3 4 3 6 10" xfId="44806" xr:uid="{00000000-0005-0000-0000-0000CD7B0000}"/>
    <cellStyle name="Comma 3 4 3 6 11" xfId="21528" xr:uid="{00000000-0005-0000-0000-0000CE7B0000}"/>
    <cellStyle name="Comma 3 4 3 6 2" xfId="1921" xr:uid="{00000000-0005-0000-0000-0000CF7B0000}"/>
    <cellStyle name="Comma 3 4 3 6 2 10" xfId="22752" xr:uid="{00000000-0005-0000-0000-0000D07B0000}"/>
    <cellStyle name="Comma 3 4 3 6 2 2" xfId="4369" xr:uid="{00000000-0005-0000-0000-0000D17B0000}"/>
    <cellStyle name="Comma 3 4 3 6 2 2 2" xfId="20304" xr:uid="{00000000-0005-0000-0000-0000D27B0000}"/>
    <cellStyle name="Comma 3 4 3 6 2 2 2 2" xfId="43582" xr:uid="{00000000-0005-0000-0000-0000D37B0000}"/>
    <cellStyle name="Comma 3 4 3 6 2 2 3" xfId="48478" xr:uid="{00000000-0005-0000-0000-0000D47B0000}"/>
    <cellStyle name="Comma 3 4 3 6 2 2 4" xfId="27648" xr:uid="{00000000-0005-0000-0000-0000D57B0000}"/>
    <cellStyle name="Comma 3 4 3 6 2 3" xfId="6817" xr:uid="{00000000-0005-0000-0000-0000D67B0000}"/>
    <cellStyle name="Comma 3 4 3 6 2 3 2" xfId="30096" xr:uid="{00000000-0005-0000-0000-0000D77B0000}"/>
    <cellStyle name="Comma 3 4 3 6 2 4" xfId="9265" xr:uid="{00000000-0005-0000-0000-0000D87B0000}"/>
    <cellStyle name="Comma 3 4 3 6 2 4 2" xfId="32544" xr:uid="{00000000-0005-0000-0000-0000D97B0000}"/>
    <cellStyle name="Comma 3 4 3 6 2 5" xfId="11713" xr:uid="{00000000-0005-0000-0000-0000DA7B0000}"/>
    <cellStyle name="Comma 3 4 3 6 2 5 2" xfId="34992" xr:uid="{00000000-0005-0000-0000-0000DB7B0000}"/>
    <cellStyle name="Comma 3 4 3 6 2 6" xfId="14161" xr:uid="{00000000-0005-0000-0000-0000DC7B0000}"/>
    <cellStyle name="Comma 3 4 3 6 2 6 2" xfId="37440" xr:uid="{00000000-0005-0000-0000-0000DD7B0000}"/>
    <cellStyle name="Comma 3 4 3 6 2 7" xfId="17856" xr:uid="{00000000-0005-0000-0000-0000DE7B0000}"/>
    <cellStyle name="Comma 3 4 3 6 2 7 2" xfId="41134" xr:uid="{00000000-0005-0000-0000-0000DF7B0000}"/>
    <cellStyle name="Comma 3 4 3 6 2 8" xfId="25200" xr:uid="{00000000-0005-0000-0000-0000E07B0000}"/>
    <cellStyle name="Comma 3 4 3 6 2 9" xfId="46030" xr:uid="{00000000-0005-0000-0000-0000E17B0000}"/>
    <cellStyle name="Comma 3 4 3 6 3" xfId="3145" xr:uid="{00000000-0005-0000-0000-0000E27B0000}"/>
    <cellStyle name="Comma 3 4 3 6 3 2" xfId="16632" xr:uid="{00000000-0005-0000-0000-0000E37B0000}"/>
    <cellStyle name="Comma 3 4 3 6 3 2 2" xfId="39910" xr:uid="{00000000-0005-0000-0000-0000E47B0000}"/>
    <cellStyle name="Comma 3 4 3 6 3 3" xfId="47254" xr:uid="{00000000-0005-0000-0000-0000E57B0000}"/>
    <cellStyle name="Comma 3 4 3 6 3 4" xfId="26424" xr:uid="{00000000-0005-0000-0000-0000E67B0000}"/>
    <cellStyle name="Comma 3 4 3 6 4" xfId="5593" xr:uid="{00000000-0005-0000-0000-0000E77B0000}"/>
    <cellStyle name="Comma 3 4 3 6 4 2" xfId="19080" xr:uid="{00000000-0005-0000-0000-0000E87B0000}"/>
    <cellStyle name="Comma 3 4 3 6 4 2 2" xfId="42358" xr:uid="{00000000-0005-0000-0000-0000E97B0000}"/>
    <cellStyle name="Comma 3 4 3 6 4 3" xfId="28872" xr:uid="{00000000-0005-0000-0000-0000EA7B0000}"/>
    <cellStyle name="Comma 3 4 3 6 5" xfId="8041" xr:uid="{00000000-0005-0000-0000-0000EB7B0000}"/>
    <cellStyle name="Comma 3 4 3 6 5 2" xfId="31320" xr:uid="{00000000-0005-0000-0000-0000EC7B0000}"/>
    <cellStyle name="Comma 3 4 3 6 6" xfId="10489" xr:uid="{00000000-0005-0000-0000-0000ED7B0000}"/>
    <cellStyle name="Comma 3 4 3 6 6 2" xfId="33768" xr:uid="{00000000-0005-0000-0000-0000EE7B0000}"/>
    <cellStyle name="Comma 3 4 3 6 7" xfId="12937" xr:uid="{00000000-0005-0000-0000-0000EF7B0000}"/>
    <cellStyle name="Comma 3 4 3 6 7 2" xfId="36216" xr:uid="{00000000-0005-0000-0000-0000F07B0000}"/>
    <cellStyle name="Comma 3 4 3 6 8" xfId="15408" xr:uid="{00000000-0005-0000-0000-0000F17B0000}"/>
    <cellStyle name="Comma 3 4 3 6 8 2" xfId="38686" xr:uid="{00000000-0005-0000-0000-0000F27B0000}"/>
    <cellStyle name="Comma 3 4 3 6 9" xfId="23976" xr:uid="{00000000-0005-0000-0000-0000F37B0000}"/>
    <cellStyle name="Comma 3 4 3 7" xfId="1309" xr:uid="{00000000-0005-0000-0000-0000F47B0000}"/>
    <cellStyle name="Comma 3 4 3 7 10" xfId="22140" xr:uid="{00000000-0005-0000-0000-0000F57B0000}"/>
    <cellStyle name="Comma 3 4 3 7 2" xfId="3757" xr:uid="{00000000-0005-0000-0000-0000F67B0000}"/>
    <cellStyle name="Comma 3 4 3 7 2 2" xfId="19692" xr:uid="{00000000-0005-0000-0000-0000F77B0000}"/>
    <cellStyle name="Comma 3 4 3 7 2 2 2" xfId="42970" xr:uid="{00000000-0005-0000-0000-0000F87B0000}"/>
    <cellStyle name="Comma 3 4 3 7 2 3" xfId="47866" xr:uid="{00000000-0005-0000-0000-0000F97B0000}"/>
    <cellStyle name="Comma 3 4 3 7 2 4" xfId="27036" xr:uid="{00000000-0005-0000-0000-0000FA7B0000}"/>
    <cellStyle name="Comma 3 4 3 7 3" xfId="6205" xr:uid="{00000000-0005-0000-0000-0000FB7B0000}"/>
    <cellStyle name="Comma 3 4 3 7 3 2" xfId="29484" xr:uid="{00000000-0005-0000-0000-0000FC7B0000}"/>
    <cellStyle name="Comma 3 4 3 7 4" xfId="8653" xr:uid="{00000000-0005-0000-0000-0000FD7B0000}"/>
    <cellStyle name="Comma 3 4 3 7 4 2" xfId="31932" xr:uid="{00000000-0005-0000-0000-0000FE7B0000}"/>
    <cellStyle name="Comma 3 4 3 7 5" xfId="11101" xr:uid="{00000000-0005-0000-0000-0000FF7B0000}"/>
    <cellStyle name="Comma 3 4 3 7 5 2" xfId="34380" xr:uid="{00000000-0005-0000-0000-0000007C0000}"/>
    <cellStyle name="Comma 3 4 3 7 6" xfId="13549" xr:uid="{00000000-0005-0000-0000-0000017C0000}"/>
    <cellStyle name="Comma 3 4 3 7 6 2" xfId="36828" xr:uid="{00000000-0005-0000-0000-0000027C0000}"/>
    <cellStyle name="Comma 3 4 3 7 7" xfId="17244" xr:uid="{00000000-0005-0000-0000-0000037C0000}"/>
    <cellStyle name="Comma 3 4 3 7 7 2" xfId="40522" xr:uid="{00000000-0005-0000-0000-0000047C0000}"/>
    <cellStyle name="Comma 3 4 3 7 8" xfId="24588" xr:uid="{00000000-0005-0000-0000-0000057C0000}"/>
    <cellStyle name="Comma 3 4 3 7 9" xfId="45418" xr:uid="{00000000-0005-0000-0000-0000067C0000}"/>
    <cellStyle name="Comma 3 4 3 8" xfId="2533" xr:uid="{00000000-0005-0000-0000-0000077C0000}"/>
    <cellStyle name="Comma 3 4 3 8 2" xfId="16020" xr:uid="{00000000-0005-0000-0000-0000087C0000}"/>
    <cellStyle name="Comma 3 4 3 8 2 2" xfId="39298" xr:uid="{00000000-0005-0000-0000-0000097C0000}"/>
    <cellStyle name="Comma 3 4 3 8 3" xfId="46642" xr:uid="{00000000-0005-0000-0000-00000A7C0000}"/>
    <cellStyle name="Comma 3 4 3 8 4" xfId="25812" xr:uid="{00000000-0005-0000-0000-00000B7C0000}"/>
    <cellStyle name="Comma 3 4 3 9" xfId="4981" xr:uid="{00000000-0005-0000-0000-00000C7C0000}"/>
    <cellStyle name="Comma 3 4 3 9 2" xfId="18468" xr:uid="{00000000-0005-0000-0000-00000D7C0000}"/>
    <cellStyle name="Comma 3 4 3 9 2 2" xfId="41746" xr:uid="{00000000-0005-0000-0000-00000E7C0000}"/>
    <cellStyle name="Comma 3 4 3 9 3" xfId="28260" xr:uid="{00000000-0005-0000-0000-00000F7C0000}"/>
    <cellStyle name="Comma 3 4 4" xfId="102" xr:uid="{00000000-0005-0000-0000-0000107C0000}"/>
    <cellStyle name="Comma 3 4 4 10" xfId="7446" xr:uid="{00000000-0005-0000-0000-0000117C0000}"/>
    <cellStyle name="Comma 3 4 4 10 2" xfId="30725" xr:uid="{00000000-0005-0000-0000-0000127C0000}"/>
    <cellStyle name="Comma 3 4 4 11" xfId="9894" xr:uid="{00000000-0005-0000-0000-0000137C0000}"/>
    <cellStyle name="Comma 3 4 4 11 2" xfId="33173" xr:uid="{00000000-0005-0000-0000-0000147C0000}"/>
    <cellStyle name="Comma 3 4 4 12" xfId="12342" xr:uid="{00000000-0005-0000-0000-0000157C0000}"/>
    <cellStyle name="Comma 3 4 4 12 2" xfId="35621" xr:uid="{00000000-0005-0000-0000-0000167C0000}"/>
    <cellStyle name="Comma 3 4 4 13" xfId="14813" xr:uid="{00000000-0005-0000-0000-0000177C0000}"/>
    <cellStyle name="Comma 3 4 4 13 2" xfId="38091" xr:uid="{00000000-0005-0000-0000-0000187C0000}"/>
    <cellStyle name="Comma 3 4 4 14" xfId="23381" xr:uid="{00000000-0005-0000-0000-0000197C0000}"/>
    <cellStyle name="Comma 3 4 4 15" xfId="44211" xr:uid="{00000000-0005-0000-0000-00001A7C0000}"/>
    <cellStyle name="Comma 3 4 4 16" xfId="20933" xr:uid="{00000000-0005-0000-0000-00001B7C0000}"/>
    <cellStyle name="Comma 3 4 4 2" xfId="170" xr:uid="{00000000-0005-0000-0000-00001C7C0000}"/>
    <cellStyle name="Comma 3 4 4 2 10" xfId="12410" xr:uid="{00000000-0005-0000-0000-00001D7C0000}"/>
    <cellStyle name="Comma 3 4 4 2 10 2" xfId="35689" xr:uid="{00000000-0005-0000-0000-00001E7C0000}"/>
    <cellStyle name="Comma 3 4 4 2 11" xfId="14881" xr:uid="{00000000-0005-0000-0000-00001F7C0000}"/>
    <cellStyle name="Comma 3 4 4 2 11 2" xfId="38159" xr:uid="{00000000-0005-0000-0000-0000207C0000}"/>
    <cellStyle name="Comma 3 4 4 2 12" xfId="23449" xr:uid="{00000000-0005-0000-0000-0000217C0000}"/>
    <cellStyle name="Comma 3 4 4 2 13" xfId="44279" xr:uid="{00000000-0005-0000-0000-0000227C0000}"/>
    <cellStyle name="Comma 3 4 4 2 14" xfId="21001" xr:uid="{00000000-0005-0000-0000-0000237C0000}"/>
    <cellStyle name="Comma 3 4 4 2 2" xfId="374" xr:uid="{00000000-0005-0000-0000-0000247C0000}"/>
    <cellStyle name="Comma 3 4 4 2 2 10" xfId="23653" xr:uid="{00000000-0005-0000-0000-0000257C0000}"/>
    <cellStyle name="Comma 3 4 4 2 2 11" xfId="44483" xr:uid="{00000000-0005-0000-0000-0000267C0000}"/>
    <cellStyle name="Comma 3 4 4 2 2 12" xfId="21205" xr:uid="{00000000-0005-0000-0000-0000277C0000}"/>
    <cellStyle name="Comma 3 4 4 2 2 2" xfId="986" xr:uid="{00000000-0005-0000-0000-0000287C0000}"/>
    <cellStyle name="Comma 3 4 4 2 2 2 10" xfId="45095" xr:uid="{00000000-0005-0000-0000-0000297C0000}"/>
    <cellStyle name="Comma 3 4 4 2 2 2 11" xfId="21817" xr:uid="{00000000-0005-0000-0000-00002A7C0000}"/>
    <cellStyle name="Comma 3 4 4 2 2 2 2" xfId="2210" xr:uid="{00000000-0005-0000-0000-00002B7C0000}"/>
    <cellStyle name="Comma 3 4 4 2 2 2 2 10" xfId="23041" xr:uid="{00000000-0005-0000-0000-00002C7C0000}"/>
    <cellStyle name="Comma 3 4 4 2 2 2 2 2" xfId="4658" xr:uid="{00000000-0005-0000-0000-00002D7C0000}"/>
    <cellStyle name="Comma 3 4 4 2 2 2 2 2 2" xfId="20593" xr:uid="{00000000-0005-0000-0000-00002E7C0000}"/>
    <cellStyle name="Comma 3 4 4 2 2 2 2 2 2 2" xfId="43871" xr:uid="{00000000-0005-0000-0000-00002F7C0000}"/>
    <cellStyle name="Comma 3 4 4 2 2 2 2 2 3" xfId="48767" xr:uid="{00000000-0005-0000-0000-0000307C0000}"/>
    <cellStyle name="Comma 3 4 4 2 2 2 2 2 4" xfId="27937" xr:uid="{00000000-0005-0000-0000-0000317C0000}"/>
    <cellStyle name="Comma 3 4 4 2 2 2 2 3" xfId="7106" xr:uid="{00000000-0005-0000-0000-0000327C0000}"/>
    <cellStyle name="Comma 3 4 4 2 2 2 2 3 2" xfId="30385" xr:uid="{00000000-0005-0000-0000-0000337C0000}"/>
    <cellStyle name="Comma 3 4 4 2 2 2 2 4" xfId="9554" xr:uid="{00000000-0005-0000-0000-0000347C0000}"/>
    <cellStyle name="Comma 3 4 4 2 2 2 2 4 2" xfId="32833" xr:uid="{00000000-0005-0000-0000-0000357C0000}"/>
    <cellStyle name="Comma 3 4 4 2 2 2 2 5" xfId="12002" xr:uid="{00000000-0005-0000-0000-0000367C0000}"/>
    <cellStyle name="Comma 3 4 4 2 2 2 2 5 2" xfId="35281" xr:uid="{00000000-0005-0000-0000-0000377C0000}"/>
    <cellStyle name="Comma 3 4 4 2 2 2 2 6" xfId="14450" xr:uid="{00000000-0005-0000-0000-0000387C0000}"/>
    <cellStyle name="Comma 3 4 4 2 2 2 2 6 2" xfId="37729" xr:uid="{00000000-0005-0000-0000-0000397C0000}"/>
    <cellStyle name="Comma 3 4 4 2 2 2 2 7" xfId="18145" xr:uid="{00000000-0005-0000-0000-00003A7C0000}"/>
    <cellStyle name="Comma 3 4 4 2 2 2 2 7 2" xfId="41423" xr:uid="{00000000-0005-0000-0000-00003B7C0000}"/>
    <cellStyle name="Comma 3 4 4 2 2 2 2 8" xfId="25489" xr:uid="{00000000-0005-0000-0000-00003C7C0000}"/>
    <cellStyle name="Comma 3 4 4 2 2 2 2 9" xfId="46319" xr:uid="{00000000-0005-0000-0000-00003D7C0000}"/>
    <cellStyle name="Comma 3 4 4 2 2 2 3" xfId="3434" xr:uid="{00000000-0005-0000-0000-00003E7C0000}"/>
    <cellStyle name="Comma 3 4 4 2 2 2 3 2" xfId="16921" xr:uid="{00000000-0005-0000-0000-00003F7C0000}"/>
    <cellStyle name="Comma 3 4 4 2 2 2 3 2 2" xfId="40199" xr:uid="{00000000-0005-0000-0000-0000407C0000}"/>
    <cellStyle name="Comma 3 4 4 2 2 2 3 3" xfId="47543" xr:uid="{00000000-0005-0000-0000-0000417C0000}"/>
    <cellStyle name="Comma 3 4 4 2 2 2 3 4" xfId="26713" xr:uid="{00000000-0005-0000-0000-0000427C0000}"/>
    <cellStyle name="Comma 3 4 4 2 2 2 4" xfId="5882" xr:uid="{00000000-0005-0000-0000-0000437C0000}"/>
    <cellStyle name="Comma 3 4 4 2 2 2 4 2" xfId="19369" xr:uid="{00000000-0005-0000-0000-0000447C0000}"/>
    <cellStyle name="Comma 3 4 4 2 2 2 4 2 2" xfId="42647" xr:uid="{00000000-0005-0000-0000-0000457C0000}"/>
    <cellStyle name="Comma 3 4 4 2 2 2 4 3" xfId="29161" xr:uid="{00000000-0005-0000-0000-0000467C0000}"/>
    <cellStyle name="Comma 3 4 4 2 2 2 5" xfId="8330" xr:uid="{00000000-0005-0000-0000-0000477C0000}"/>
    <cellStyle name="Comma 3 4 4 2 2 2 5 2" xfId="31609" xr:uid="{00000000-0005-0000-0000-0000487C0000}"/>
    <cellStyle name="Comma 3 4 4 2 2 2 6" xfId="10778" xr:uid="{00000000-0005-0000-0000-0000497C0000}"/>
    <cellStyle name="Comma 3 4 4 2 2 2 6 2" xfId="34057" xr:uid="{00000000-0005-0000-0000-00004A7C0000}"/>
    <cellStyle name="Comma 3 4 4 2 2 2 7" xfId="13226" xr:uid="{00000000-0005-0000-0000-00004B7C0000}"/>
    <cellStyle name="Comma 3 4 4 2 2 2 7 2" xfId="36505" xr:uid="{00000000-0005-0000-0000-00004C7C0000}"/>
    <cellStyle name="Comma 3 4 4 2 2 2 8" xfId="15697" xr:uid="{00000000-0005-0000-0000-00004D7C0000}"/>
    <cellStyle name="Comma 3 4 4 2 2 2 8 2" xfId="38975" xr:uid="{00000000-0005-0000-0000-00004E7C0000}"/>
    <cellStyle name="Comma 3 4 4 2 2 2 9" xfId="24265" xr:uid="{00000000-0005-0000-0000-00004F7C0000}"/>
    <cellStyle name="Comma 3 4 4 2 2 3" xfId="1598" xr:uid="{00000000-0005-0000-0000-0000507C0000}"/>
    <cellStyle name="Comma 3 4 4 2 2 3 10" xfId="22429" xr:uid="{00000000-0005-0000-0000-0000517C0000}"/>
    <cellStyle name="Comma 3 4 4 2 2 3 2" xfId="4046" xr:uid="{00000000-0005-0000-0000-0000527C0000}"/>
    <cellStyle name="Comma 3 4 4 2 2 3 2 2" xfId="19981" xr:uid="{00000000-0005-0000-0000-0000537C0000}"/>
    <cellStyle name="Comma 3 4 4 2 2 3 2 2 2" xfId="43259" xr:uid="{00000000-0005-0000-0000-0000547C0000}"/>
    <cellStyle name="Comma 3 4 4 2 2 3 2 3" xfId="48155" xr:uid="{00000000-0005-0000-0000-0000557C0000}"/>
    <cellStyle name="Comma 3 4 4 2 2 3 2 4" xfId="27325" xr:uid="{00000000-0005-0000-0000-0000567C0000}"/>
    <cellStyle name="Comma 3 4 4 2 2 3 3" xfId="6494" xr:uid="{00000000-0005-0000-0000-0000577C0000}"/>
    <cellStyle name="Comma 3 4 4 2 2 3 3 2" xfId="29773" xr:uid="{00000000-0005-0000-0000-0000587C0000}"/>
    <cellStyle name="Comma 3 4 4 2 2 3 4" xfId="8942" xr:uid="{00000000-0005-0000-0000-0000597C0000}"/>
    <cellStyle name="Comma 3 4 4 2 2 3 4 2" xfId="32221" xr:uid="{00000000-0005-0000-0000-00005A7C0000}"/>
    <cellStyle name="Comma 3 4 4 2 2 3 5" xfId="11390" xr:uid="{00000000-0005-0000-0000-00005B7C0000}"/>
    <cellStyle name="Comma 3 4 4 2 2 3 5 2" xfId="34669" xr:uid="{00000000-0005-0000-0000-00005C7C0000}"/>
    <cellStyle name="Comma 3 4 4 2 2 3 6" xfId="13838" xr:uid="{00000000-0005-0000-0000-00005D7C0000}"/>
    <cellStyle name="Comma 3 4 4 2 2 3 6 2" xfId="37117" xr:uid="{00000000-0005-0000-0000-00005E7C0000}"/>
    <cellStyle name="Comma 3 4 4 2 2 3 7" xfId="17533" xr:uid="{00000000-0005-0000-0000-00005F7C0000}"/>
    <cellStyle name="Comma 3 4 4 2 2 3 7 2" xfId="40811" xr:uid="{00000000-0005-0000-0000-0000607C0000}"/>
    <cellStyle name="Comma 3 4 4 2 2 3 8" xfId="24877" xr:uid="{00000000-0005-0000-0000-0000617C0000}"/>
    <cellStyle name="Comma 3 4 4 2 2 3 9" xfId="45707" xr:uid="{00000000-0005-0000-0000-0000627C0000}"/>
    <cellStyle name="Comma 3 4 4 2 2 4" xfId="2822" xr:uid="{00000000-0005-0000-0000-0000637C0000}"/>
    <cellStyle name="Comma 3 4 4 2 2 4 2" xfId="16309" xr:uid="{00000000-0005-0000-0000-0000647C0000}"/>
    <cellStyle name="Comma 3 4 4 2 2 4 2 2" xfId="39587" xr:uid="{00000000-0005-0000-0000-0000657C0000}"/>
    <cellStyle name="Comma 3 4 4 2 2 4 3" xfId="46931" xr:uid="{00000000-0005-0000-0000-0000667C0000}"/>
    <cellStyle name="Comma 3 4 4 2 2 4 4" xfId="26101" xr:uid="{00000000-0005-0000-0000-0000677C0000}"/>
    <cellStyle name="Comma 3 4 4 2 2 5" xfId="5270" xr:uid="{00000000-0005-0000-0000-0000687C0000}"/>
    <cellStyle name="Comma 3 4 4 2 2 5 2" xfId="18757" xr:uid="{00000000-0005-0000-0000-0000697C0000}"/>
    <cellStyle name="Comma 3 4 4 2 2 5 2 2" xfId="42035" xr:uid="{00000000-0005-0000-0000-00006A7C0000}"/>
    <cellStyle name="Comma 3 4 4 2 2 5 3" xfId="28549" xr:uid="{00000000-0005-0000-0000-00006B7C0000}"/>
    <cellStyle name="Comma 3 4 4 2 2 6" xfId="7718" xr:uid="{00000000-0005-0000-0000-00006C7C0000}"/>
    <cellStyle name="Comma 3 4 4 2 2 6 2" xfId="30997" xr:uid="{00000000-0005-0000-0000-00006D7C0000}"/>
    <cellStyle name="Comma 3 4 4 2 2 7" xfId="10166" xr:uid="{00000000-0005-0000-0000-00006E7C0000}"/>
    <cellStyle name="Comma 3 4 4 2 2 7 2" xfId="33445" xr:uid="{00000000-0005-0000-0000-00006F7C0000}"/>
    <cellStyle name="Comma 3 4 4 2 2 8" xfId="12614" xr:uid="{00000000-0005-0000-0000-0000707C0000}"/>
    <cellStyle name="Comma 3 4 4 2 2 8 2" xfId="35893" xr:uid="{00000000-0005-0000-0000-0000717C0000}"/>
    <cellStyle name="Comma 3 4 4 2 2 9" xfId="15085" xr:uid="{00000000-0005-0000-0000-0000727C0000}"/>
    <cellStyle name="Comma 3 4 4 2 2 9 2" xfId="38363" xr:uid="{00000000-0005-0000-0000-0000737C0000}"/>
    <cellStyle name="Comma 3 4 4 2 3" xfId="578" xr:uid="{00000000-0005-0000-0000-0000747C0000}"/>
    <cellStyle name="Comma 3 4 4 2 3 10" xfId="23857" xr:uid="{00000000-0005-0000-0000-0000757C0000}"/>
    <cellStyle name="Comma 3 4 4 2 3 11" xfId="44687" xr:uid="{00000000-0005-0000-0000-0000767C0000}"/>
    <cellStyle name="Comma 3 4 4 2 3 12" xfId="21409" xr:uid="{00000000-0005-0000-0000-0000777C0000}"/>
    <cellStyle name="Comma 3 4 4 2 3 2" xfId="1190" xr:uid="{00000000-0005-0000-0000-0000787C0000}"/>
    <cellStyle name="Comma 3 4 4 2 3 2 10" xfId="45299" xr:uid="{00000000-0005-0000-0000-0000797C0000}"/>
    <cellStyle name="Comma 3 4 4 2 3 2 11" xfId="22021" xr:uid="{00000000-0005-0000-0000-00007A7C0000}"/>
    <cellStyle name="Comma 3 4 4 2 3 2 2" xfId="2414" xr:uid="{00000000-0005-0000-0000-00007B7C0000}"/>
    <cellStyle name="Comma 3 4 4 2 3 2 2 10" xfId="23245" xr:uid="{00000000-0005-0000-0000-00007C7C0000}"/>
    <cellStyle name="Comma 3 4 4 2 3 2 2 2" xfId="4862" xr:uid="{00000000-0005-0000-0000-00007D7C0000}"/>
    <cellStyle name="Comma 3 4 4 2 3 2 2 2 2" xfId="20797" xr:uid="{00000000-0005-0000-0000-00007E7C0000}"/>
    <cellStyle name="Comma 3 4 4 2 3 2 2 2 2 2" xfId="44075" xr:uid="{00000000-0005-0000-0000-00007F7C0000}"/>
    <cellStyle name="Comma 3 4 4 2 3 2 2 2 3" xfId="48971" xr:uid="{00000000-0005-0000-0000-0000807C0000}"/>
    <cellStyle name="Comma 3 4 4 2 3 2 2 2 4" xfId="28141" xr:uid="{00000000-0005-0000-0000-0000817C0000}"/>
    <cellStyle name="Comma 3 4 4 2 3 2 2 3" xfId="7310" xr:uid="{00000000-0005-0000-0000-0000827C0000}"/>
    <cellStyle name="Comma 3 4 4 2 3 2 2 3 2" xfId="30589" xr:uid="{00000000-0005-0000-0000-0000837C0000}"/>
    <cellStyle name="Comma 3 4 4 2 3 2 2 4" xfId="9758" xr:uid="{00000000-0005-0000-0000-0000847C0000}"/>
    <cellStyle name="Comma 3 4 4 2 3 2 2 4 2" xfId="33037" xr:uid="{00000000-0005-0000-0000-0000857C0000}"/>
    <cellStyle name="Comma 3 4 4 2 3 2 2 5" xfId="12206" xr:uid="{00000000-0005-0000-0000-0000867C0000}"/>
    <cellStyle name="Comma 3 4 4 2 3 2 2 5 2" xfId="35485" xr:uid="{00000000-0005-0000-0000-0000877C0000}"/>
    <cellStyle name="Comma 3 4 4 2 3 2 2 6" xfId="14654" xr:uid="{00000000-0005-0000-0000-0000887C0000}"/>
    <cellStyle name="Comma 3 4 4 2 3 2 2 6 2" xfId="37933" xr:uid="{00000000-0005-0000-0000-0000897C0000}"/>
    <cellStyle name="Comma 3 4 4 2 3 2 2 7" xfId="18349" xr:uid="{00000000-0005-0000-0000-00008A7C0000}"/>
    <cellStyle name="Comma 3 4 4 2 3 2 2 7 2" xfId="41627" xr:uid="{00000000-0005-0000-0000-00008B7C0000}"/>
    <cellStyle name="Comma 3 4 4 2 3 2 2 8" xfId="25693" xr:uid="{00000000-0005-0000-0000-00008C7C0000}"/>
    <cellStyle name="Comma 3 4 4 2 3 2 2 9" xfId="46523" xr:uid="{00000000-0005-0000-0000-00008D7C0000}"/>
    <cellStyle name="Comma 3 4 4 2 3 2 3" xfId="3638" xr:uid="{00000000-0005-0000-0000-00008E7C0000}"/>
    <cellStyle name="Comma 3 4 4 2 3 2 3 2" xfId="17125" xr:uid="{00000000-0005-0000-0000-00008F7C0000}"/>
    <cellStyle name="Comma 3 4 4 2 3 2 3 2 2" xfId="40403" xr:uid="{00000000-0005-0000-0000-0000907C0000}"/>
    <cellStyle name="Comma 3 4 4 2 3 2 3 3" xfId="47747" xr:uid="{00000000-0005-0000-0000-0000917C0000}"/>
    <cellStyle name="Comma 3 4 4 2 3 2 3 4" xfId="26917" xr:uid="{00000000-0005-0000-0000-0000927C0000}"/>
    <cellStyle name="Comma 3 4 4 2 3 2 4" xfId="6086" xr:uid="{00000000-0005-0000-0000-0000937C0000}"/>
    <cellStyle name="Comma 3 4 4 2 3 2 4 2" xfId="19573" xr:uid="{00000000-0005-0000-0000-0000947C0000}"/>
    <cellStyle name="Comma 3 4 4 2 3 2 4 2 2" xfId="42851" xr:uid="{00000000-0005-0000-0000-0000957C0000}"/>
    <cellStyle name="Comma 3 4 4 2 3 2 4 3" xfId="29365" xr:uid="{00000000-0005-0000-0000-0000967C0000}"/>
    <cellStyle name="Comma 3 4 4 2 3 2 5" xfId="8534" xr:uid="{00000000-0005-0000-0000-0000977C0000}"/>
    <cellStyle name="Comma 3 4 4 2 3 2 5 2" xfId="31813" xr:uid="{00000000-0005-0000-0000-0000987C0000}"/>
    <cellStyle name="Comma 3 4 4 2 3 2 6" xfId="10982" xr:uid="{00000000-0005-0000-0000-0000997C0000}"/>
    <cellStyle name="Comma 3 4 4 2 3 2 6 2" xfId="34261" xr:uid="{00000000-0005-0000-0000-00009A7C0000}"/>
    <cellStyle name="Comma 3 4 4 2 3 2 7" xfId="13430" xr:uid="{00000000-0005-0000-0000-00009B7C0000}"/>
    <cellStyle name="Comma 3 4 4 2 3 2 7 2" xfId="36709" xr:uid="{00000000-0005-0000-0000-00009C7C0000}"/>
    <cellStyle name="Comma 3 4 4 2 3 2 8" xfId="15901" xr:uid="{00000000-0005-0000-0000-00009D7C0000}"/>
    <cellStyle name="Comma 3 4 4 2 3 2 8 2" xfId="39179" xr:uid="{00000000-0005-0000-0000-00009E7C0000}"/>
    <cellStyle name="Comma 3 4 4 2 3 2 9" xfId="24469" xr:uid="{00000000-0005-0000-0000-00009F7C0000}"/>
    <cellStyle name="Comma 3 4 4 2 3 3" xfId="1802" xr:uid="{00000000-0005-0000-0000-0000A07C0000}"/>
    <cellStyle name="Comma 3 4 4 2 3 3 10" xfId="22633" xr:uid="{00000000-0005-0000-0000-0000A17C0000}"/>
    <cellStyle name="Comma 3 4 4 2 3 3 2" xfId="4250" xr:uid="{00000000-0005-0000-0000-0000A27C0000}"/>
    <cellStyle name="Comma 3 4 4 2 3 3 2 2" xfId="20185" xr:uid="{00000000-0005-0000-0000-0000A37C0000}"/>
    <cellStyle name="Comma 3 4 4 2 3 3 2 2 2" xfId="43463" xr:uid="{00000000-0005-0000-0000-0000A47C0000}"/>
    <cellStyle name="Comma 3 4 4 2 3 3 2 3" xfId="48359" xr:uid="{00000000-0005-0000-0000-0000A57C0000}"/>
    <cellStyle name="Comma 3 4 4 2 3 3 2 4" xfId="27529" xr:uid="{00000000-0005-0000-0000-0000A67C0000}"/>
    <cellStyle name="Comma 3 4 4 2 3 3 3" xfId="6698" xr:uid="{00000000-0005-0000-0000-0000A77C0000}"/>
    <cellStyle name="Comma 3 4 4 2 3 3 3 2" xfId="29977" xr:uid="{00000000-0005-0000-0000-0000A87C0000}"/>
    <cellStyle name="Comma 3 4 4 2 3 3 4" xfId="9146" xr:uid="{00000000-0005-0000-0000-0000A97C0000}"/>
    <cellStyle name="Comma 3 4 4 2 3 3 4 2" xfId="32425" xr:uid="{00000000-0005-0000-0000-0000AA7C0000}"/>
    <cellStyle name="Comma 3 4 4 2 3 3 5" xfId="11594" xr:uid="{00000000-0005-0000-0000-0000AB7C0000}"/>
    <cellStyle name="Comma 3 4 4 2 3 3 5 2" xfId="34873" xr:uid="{00000000-0005-0000-0000-0000AC7C0000}"/>
    <cellStyle name="Comma 3 4 4 2 3 3 6" xfId="14042" xr:uid="{00000000-0005-0000-0000-0000AD7C0000}"/>
    <cellStyle name="Comma 3 4 4 2 3 3 6 2" xfId="37321" xr:uid="{00000000-0005-0000-0000-0000AE7C0000}"/>
    <cellStyle name="Comma 3 4 4 2 3 3 7" xfId="17737" xr:uid="{00000000-0005-0000-0000-0000AF7C0000}"/>
    <cellStyle name="Comma 3 4 4 2 3 3 7 2" xfId="41015" xr:uid="{00000000-0005-0000-0000-0000B07C0000}"/>
    <cellStyle name="Comma 3 4 4 2 3 3 8" xfId="25081" xr:uid="{00000000-0005-0000-0000-0000B17C0000}"/>
    <cellStyle name="Comma 3 4 4 2 3 3 9" xfId="45911" xr:uid="{00000000-0005-0000-0000-0000B27C0000}"/>
    <cellStyle name="Comma 3 4 4 2 3 4" xfId="3026" xr:uid="{00000000-0005-0000-0000-0000B37C0000}"/>
    <cellStyle name="Comma 3 4 4 2 3 4 2" xfId="16513" xr:uid="{00000000-0005-0000-0000-0000B47C0000}"/>
    <cellStyle name="Comma 3 4 4 2 3 4 2 2" xfId="39791" xr:uid="{00000000-0005-0000-0000-0000B57C0000}"/>
    <cellStyle name="Comma 3 4 4 2 3 4 3" xfId="47135" xr:uid="{00000000-0005-0000-0000-0000B67C0000}"/>
    <cellStyle name="Comma 3 4 4 2 3 4 4" xfId="26305" xr:uid="{00000000-0005-0000-0000-0000B77C0000}"/>
    <cellStyle name="Comma 3 4 4 2 3 5" xfId="5474" xr:uid="{00000000-0005-0000-0000-0000B87C0000}"/>
    <cellStyle name="Comma 3 4 4 2 3 5 2" xfId="18961" xr:uid="{00000000-0005-0000-0000-0000B97C0000}"/>
    <cellStyle name="Comma 3 4 4 2 3 5 2 2" xfId="42239" xr:uid="{00000000-0005-0000-0000-0000BA7C0000}"/>
    <cellStyle name="Comma 3 4 4 2 3 5 3" xfId="28753" xr:uid="{00000000-0005-0000-0000-0000BB7C0000}"/>
    <cellStyle name="Comma 3 4 4 2 3 6" xfId="7922" xr:uid="{00000000-0005-0000-0000-0000BC7C0000}"/>
    <cellStyle name="Comma 3 4 4 2 3 6 2" xfId="31201" xr:uid="{00000000-0005-0000-0000-0000BD7C0000}"/>
    <cellStyle name="Comma 3 4 4 2 3 7" xfId="10370" xr:uid="{00000000-0005-0000-0000-0000BE7C0000}"/>
    <cellStyle name="Comma 3 4 4 2 3 7 2" xfId="33649" xr:uid="{00000000-0005-0000-0000-0000BF7C0000}"/>
    <cellStyle name="Comma 3 4 4 2 3 8" xfId="12818" xr:uid="{00000000-0005-0000-0000-0000C07C0000}"/>
    <cellStyle name="Comma 3 4 4 2 3 8 2" xfId="36097" xr:uid="{00000000-0005-0000-0000-0000C17C0000}"/>
    <cellStyle name="Comma 3 4 4 2 3 9" xfId="15289" xr:uid="{00000000-0005-0000-0000-0000C27C0000}"/>
    <cellStyle name="Comma 3 4 4 2 3 9 2" xfId="38567" xr:uid="{00000000-0005-0000-0000-0000C37C0000}"/>
    <cellStyle name="Comma 3 4 4 2 4" xfId="782" xr:uid="{00000000-0005-0000-0000-0000C47C0000}"/>
    <cellStyle name="Comma 3 4 4 2 4 10" xfId="44891" xr:uid="{00000000-0005-0000-0000-0000C57C0000}"/>
    <cellStyle name="Comma 3 4 4 2 4 11" xfId="21613" xr:uid="{00000000-0005-0000-0000-0000C67C0000}"/>
    <cellStyle name="Comma 3 4 4 2 4 2" xfId="2006" xr:uid="{00000000-0005-0000-0000-0000C77C0000}"/>
    <cellStyle name="Comma 3 4 4 2 4 2 10" xfId="22837" xr:uid="{00000000-0005-0000-0000-0000C87C0000}"/>
    <cellStyle name="Comma 3 4 4 2 4 2 2" xfId="4454" xr:uid="{00000000-0005-0000-0000-0000C97C0000}"/>
    <cellStyle name="Comma 3 4 4 2 4 2 2 2" xfId="20389" xr:uid="{00000000-0005-0000-0000-0000CA7C0000}"/>
    <cellStyle name="Comma 3 4 4 2 4 2 2 2 2" xfId="43667" xr:uid="{00000000-0005-0000-0000-0000CB7C0000}"/>
    <cellStyle name="Comma 3 4 4 2 4 2 2 3" xfId="48563" xr:uid="{00000000-0005-0000-0000-0000CC7C0000}"/>
    <cellStyle name="Comma 3 4 4 2 4 2 2 4" xfId="27733" xr:uid="{00000000-0005-0000-0000-0000CD7C0000}"/>
    <cellStyle name="Comma 3 4 4 2 4 2 3" xfId="6902" xr:uid="{00000000-0005-0000-0000-0000CE7C0000}"/>
    <cellStyle name="Comma 3 4 4 2 4 2 3 2" xfId="30181" xr:uid="{00000000-0005-0000-0000-0000CF7C0000}"/>
    <cellStyle name="Comma 3 4 4 2 4 2 4" xfId="9350" xr:uid="{00000000-0005-0000-0000-0000D07C0000}"/>
    <cellStyle name="Comma 3 4 4 2 4 2 4 2" xfId="32629" xr:uid="{00000000-0005-0000-0000-0000D17C0000}"/>
    <cellStyle name="Comma 3 4 4 2 4 2 5" xfId="11798" xr:uid="{00000000-0005-0000-0000-0000D27C0000}"/>
    <cellStyle name="Comma 3 4 4 2 4 2 5 2" xfId="35077" xr:uid="{00000000-0005-0000-0000-0000D37C0000}"/>
    <cellStyle name="Comma 3 4 4 2 4 2 6" xfId="14246" xr:uid="{00000000-0005-0000-0000-0000D47C0000}"/>
    <cellStyle name="Comma 3 4 4 2 4 2 6 2" xfId="37525" xr:uid="{00000000-0005-0000-0000-0000D57C0000}"/>
    <cellStyle name="Comma 3 4 4 2 4 2 7" xfId="17941" xr:uid="{00000000-0005-0000-0000-0000D67C0000}"/>
    <cellStyle name="Comma 3 4 4 2 4 2 7 2" xfId="41219" xr:uid="{00000000-0005-0000-0000-0000D77C0000}"/>
    <cellStyle name="Comma 3 4 4 2 4 2 8" xfId="25285" xr:uid="{00000000-0005-0000-0000-0000D87C0000}"/>
    <cellStyle name="Comma 3 4 4 2 4 2 9" xfId="46115" xr:uid="{00000000-0005-0000-0000-0000D97C0000}"/>
    <cellStyle name="Comma 3 4 4 2 4 3" xfId="3230" xr:uid="{00000000-0005-0000-0000-0000DA7C0000}"/>
    <cellStyle name="Comma 3 4 4 2 4 3 2" xfId="16717" xr:uid="{00000000-0005-0000-0000-0000DB7C0000}"/>
    <cellStyle name="Comma 3 4 4 2 4 3 2 2" xfId="39995" xr:uid="{00000000-0005-0000-0000-0000DC7C0000}"/>
    <cellStyle name="Comma 3 4 4 2 4 3 3" xfId="47339" xr:uid="{00000000-0005-0000-0000-0000DD7C0000}"/>
    <cellStyle name="Comma 3 4 4 2 4 3 4" xfId="26509" xr:uid="{00000000-0005-0000-0000-0000DE7C0000}"/>
    <cellStyle name="Comma 3 4 4 2 4 4" xfId="5678" xr:uid="{00000000-0005-0000-0000-0000DF7C0000}"/>
    <cellStyle name="Comma 3 4 4 2 4 4 2" xfId="19165" xr:uid="{00000000-0005-0000-0000-0000E07C0000}"/>
    <cellStyle name="Comma 3 4 4 2 4 4 2 2" xfId="42443" xr:uid="{00000000-0005-0000-0000-0000E17C0000}"/>
    <cellStyle name="Comma 3 4 4 2 4 4 3" xfId="28957" xr:uid="{00000000-0005-0000-0000-0000E27C0000}"/>
    <cellStyle name="Comma 3 4 4 2 4 5" xfId="8126" xr:uid="{00000000-0005-0000-0000-0000E37C0000}"/>
    <cellStyle name="Comma 3 4 4 2 4 5 2" xfId="31405" xr:uid="{00000000-0005-0000-0000-0000E47C0000}"/>
    <cellStyle name="Comma 3 4 4 2 4 6" xfId="10574" xr:uid="{00000000-0005-0000-0000-0000E57C0000}"/>
    <cellStyle name="Comma 3 4 4 2 4 6 2" xfId="33853" xr:uid="{00000000-0005-0000-0000-0000E67C0000}"/>
    <cellStyle name="Comma 3 4 4 2 4 7" xfId="13022" xr:uid="{00000000-0005-0000-0000-0000E77C0000}"/>
    <cellStyle name="Comma 3 4 4 2 4 7 2" xfId="36301" xr:uid="{00000000-0005-0000-0000-0000E87C0000}"/>
    <cellStyle name="Comma 3 4 4 2 4 8" xfId="15493" xr:uid="{00000000-0005-0000-0000-0000E97C0000}"/>
    <cellStyle name="Comma 3 4 4 2 4 8 2" xfId="38771" xr:uid="{00000000-0005-0000-0000-0000EA7C0000}"/>
    <cellStyle name="Comma 3 4 4 2 4 9" xfId="24061" xr:uid="{00000000-0005-0000-0000-0000EB7C0000}"/>
    <cellStyle name="Comma 3 4 4 2 5" xfId="1394" xr:uid="{00000000-0005-0000-0000-0000EC7C0000}"/>
    <cellStyle name="Comma 3 4 4 2 5 10" xfId="22225" xr:uid="{00000000-0005-0000-0000-0000ED7C0000}"/>
    <cellStyle name="Comma 3 4 4 2 5 2" xfId="3842" xr:uid="{00000000-0005-0000-0000-0000EE7C0000}"/>
    <cellStyle name="Comma 3 4 4 2 5 2 2" xfId="19777" xr:uid="{00000000-0005-0000-0000-0000EF7C0000}"/>
    <cellStyle name="Comma 3 4 4 2 5 2 2 2" xfId="43055" xr:uid="{00000000-0005-0000-0000-0000F07C0000}"/>
    <cellStyle name="Comma 3 4 4 2 5 2 3" xfId="47951" xr:uid="{00000000-0005-0000-0000-0000F17C0000}"/>
    <cellStyle name="Comma 3 4 4 2 5 2 4" xfId="27121" xr:uid="{00000000-0005-0000-0000-0000F27C0000}"/>
    <cellStyle name="Comma 3 4 4 2 5 3" xfId="6290" xr:uid="{00000000-0005-0000-0000-0000F37C0000}"/>
    <cellStyle name="Comma 3 4 4 2 5 3 2" xfId="29569" xr:uid="{00000000-0005-0000-0000-0000F47C0000}"/>
    <cellStyle name="Comma 3 4 4 2 5 4" xfId="8738" xr:uid="{00000000-0005-0000-0000-0000F57C0000}"/>
    <cellStyle name="Comma 3 4 4 2 5 4 2" xfId="32017" xr:uid="{00000000-0005-0000-0000-0000F67C0000}"/>
    <cellStyle name="Comma 3 4 4 2 5 5" xfId="11186" xr:uid="{00000000-0005-0000-0000-0000F77C0000}"/>
    <cellStyle name="Comma 3 4 4 2 5 5 2" xfId="34465" xr:uid="{00000000-0005-0000-0000-0000F87C0000}"/>
    <cellStyle name="Comma 3 4 4 2 5 6" xfId="13634" xr:uid="{00000000-0005-0000-0000-0000F97C0000}"/>
    <cellStyle name="Comma 3 4 4 2 5 6 2" xfId="36913" xr:uid="{00000000-0005-0000-0000-0000FA7C0000}"/>
    <cellStyle name="Comma 3 4 4 2 5 7" xfId="17329" xr:uid="{00000000-0005-0000-0000-0000FB7C0000}"/>
    <cellStyle name="Comma 3 4 4 2 5 7 2" xfId="40607" xr:uid="{00000000-0005-0000-0000-0000FC7C0000}"/>
    <cellStyle name="Comma 3 4 4 2 5 8" xfId="24673" xr:uid="{00000000-0005-0000-0000-0000FD7C0000}"/>
    <cellStyle name="Comma 3 4 4 2 5 9" xfId="45503" xr:uid="{00000000-0005-0000-0000-0000FE7C0000}"/>
    <cellStyle name="Comma 3 4 4 2 6" xfId="2618" xr:uid="{00000000-0005-0000-0000-0000FF7C0000}"/>
    <cellStyle name="Comma 3 4 4 2 6 2" xfId="16105" xr:uid="{00000000-0005-0000-0000-0000007D0000}"/>
    <cellStyle name="Comma 3 4 4 2 6 2 2" xfId="39383" xr:uid="{00000000-0005-0000-0000-0000017D0000}"/>
    <cellStyle name="Comma 3 4 4 2 6 3" xfId="46727" xr:uid="{00000000-0005-0000-0000-0000027D0000}"/>
    <cellStyle name="Comma 3 4 4 2 6 4" xfId="25897" xr:uid="{00000000-0005-0000-0000-0000037D0000}"/>
    <cellStyle name="Comma 3 4 4 2 7" xfId="5066" xr:uid="{00000000-0005-0000-0000-0000047D0000}"/>
    <cellStyle name="Comma 3 4 4 2 7 2" xfId="18553" xr:uid="{00000000-0005-0000-0000-0000057D0000}"/>
    <cellStyle name="Comma 3 4 4 2 7 2 2" xfId="41831" xr:uid="{00000000-0005-0000-0000-0000067D0000}"/>
    <cellStyle name="Comma 3 4 4 2 7 3" xfId="28345" xr:uid="{00000000-0005-0000-0000-0000077D0000}"/>
    <cellStyle name="Comma 3 4 4 2 8" xfId="7514" xr:uid="{00000000-0005-0000-0000-0000087D0000}"/>
    <cellStyle name="Comma 3 4 4 2 8 2" xfId="30793" xr:uid="{00000000-0005-0000-0000-0000097D0000}"/>
    <cellStyle name="Comma 3 4 4 2 9" xfId="9962" xr:uid="{00000000-0005-0000-0000-00000A7D0000}"/>
    <cellStyle name="Comma 3 4 4 2 9 2" xfId="33241" xr:uid="{00000000-0005-0000-0000-00000B7D0000}"/>
    <cellStyle name="Comma 3 4 4 3" xfId="238" xr:uid="{00000000-0005-0000-0000-00000C7D0000}"/>
    <cellStyle name="Comma 3 4 4 3 10" xfId="12478" xr:uid="{00000000-0005-0000-0000-00000D7D0000}"/>
    <cellStyle name="Comma 3 4 4 3 10 2" xfId="35757" xr:uid="{00000000-0005-0000-0000-00000E7D0000}"/>
    <cellStyle name="Comma 3 4 4 3 11" xfId="14949" xr:uid="{00000000-0005-0000-0000-00000F7D0000}"/>
    <cellStyle name="Comma 3 4 4 3 11 2" xfId="38227" xr:uid="{00000000-0005-0000-0000-0000107D0000}"/>
    <cellStyle name="Comma 3 4 4 3 12" xfId="23517" xr:uid="{00000000-0005-0000-0000-0000117D0000}"/>
    <cellStyle name="Comma 3 4 4 3 13" xfId="44347" xr:uid="{00000000-0005-0000-0000-0000127D0000}"/>
    <cellStyle name="Comma 3 4 4 3 14" xfId="21069" xr:uid="{00000000-0005-0000-0000-0000137D0000}"/>
    <cellStyle name="Comma 3 4 4 3 2" xfId="442" xr:uid="{00000000-0005-0000-0000-0000147D0000}"/>
    <cellStyle name="Comma 3 4 4 3 2 10" xfId="23721" xr:uid="{00000000-0005-0000-0000-0000157D0000}"/>
    <cellStyle name="Comma 3 4 4 3 2 11" xfId="44551" xr:uid="{00000000-0005-0000-0000-0000167D0000}"/>
    <cellStyle name="Comma 3 4 4 3 2 12" xfId="21273" xr:uid="{00000000-0005-0000-0000-0000177D0000}"/>
    <cellStyle name="Comma 3 4 4 3 2 2" xfId="1054" xr:uid="{00000000-0005-0000-0000-0000187D0000}"/>
    <cellStyle name="Comma 3 4 4 3 2 2 10" xfId="45163" xr:uid="{00000000-0005-0000-0000-0000197D0000}"/>
    <cellStyle name="Comma 3 4 4 3 2 2 11" xfId="21885" xr:uid="{00000000-0005-0000-0000-00001A7D0000}"/>
    <cellStyle name="Comma 3 4 4 3 2 2 2" xfId="2278" xr:uid="{00000000-0005-0000-0000-00001B7D0000}"/>
    <cellStyle name="Comma 3 4 4 3 2 2 2 10" xfId="23109" xr:uid="{00000000-0005-0000-0000-00001C7D0000}"/>
    <cellStyle name="Comma 3 4 4 3 2 2 2 2" xfId="4726" xr:uid="{00000000-0005-0000-0000-00001D7D0000}"/>
    <cellStyle name="Comma 3 4 4 3 2 2 2 2 2" xfId="20661" xr:uid="{00000000-0005-0000-0000-00001E7D0000}"/>
    <cellStyle name="Comma 3 4 4 3 2 2 2 2 2 2" xfId="43939" xr:uid="{00000000-0005-0000-0000-00001F7D0000}"/>
    <cellStyle name="Comma 3 4 4 3 2 2 2 2 3" xfId="48835" xr:uid="{00000000-0005-0000-0000-0000207D0000}"/>
    <cellStyle name="Comma 3 4 4 3 2 2 2 2 4" xfId="28005" xr:uid="{00000000-0005-0000-0000-0000217D0000}"/>
    <cellStyle name="Comma 3 4 4 3 2 2 2 3" xfId="7174" xr:uid="{00000000-0005-0000-0000-0000227D0000}"/>
    <cellStyle name="Comma 3 4 4 3 2 2 2 3 2" xfId="30453" xr:uid="{00000000-0005-0000-0000-0000237D0000}"/>
    <cellStyle name="Comma 3 4 4 3 2 2 2 4" xfId="9622" xr:uid="{00000000-0005-0000-0000-0000247D0000}"/>
    <cellStyle name="Comma 3 4 4 3 2 2 2 4 2" xfId="32901" xr:uid="{00000000-0005-0000-0000-0000257D0000}"/>
    <cellStyle name="Comma 3 4 4 3 2 2 2 5" xfId="12070" xr:uid="{00000000-0005-0000-0000-0000267D0000}"/>
    <cellStyle name="Comma 3 4 4 3 2 2 2 5 2" xfId="35349" xr:uid="{00000000-0005-0000-0000-0000277D0000}"/>
    <cellStyle name="Comma 3 4 4 3 2 2 2 6" xfId="14518" xr:uid="{00000000-0005-0000-0000-0000287D0000}"/>
    <cellStyle name="Comma 3 4 4 3 2 2 2 6 2" xfId="37797" xr:uid="{00000000-0005-0000-0000-0000297D0000}"/>
    <cellStyle name="Comma 3 4 4 3 2 2 2 7" xfId="18213" xr:uid="{00000000-0005-0000-0000-00002A7D0000}"/>
    <cellStyle name="Comma 3 4 4 3 2 2 2 7 2" xfId="41491" xr:uid="{00000000-0005-0000-0000-00002B7D0000}"/>
    <cellStyle name="Comma 3 4 4 3 2 2 2 8" xfId="25557" xr:uid="{00000000-0005-0000-0000-00002C7D0000}"/>
    <cellStyle name="Comma 3 4 4 3 2 2 2 9" xfId="46387" xr:uid="{00000000-0005-0000-0000-00002D7D0000}"/>
    <cellStyle name="Comma 3 4 4 3 2 2 3" xfId="3502" xr:uid="{00000000-0005-0000-0000-00002E7D0000}"/>
    <cellStyle name="Comma 3 4 4 3 2 2 3 2" xfId="16989" xr:uid="{00000000-0005-0000-0000-00002F7D0000}"/>
    <cellStyle name="Comma 3 4 4 3 2 2 3 2 2" xfId="40267" xr:uid="{00000000-0005-0000-0000-0000307D0000}"/>
    <cellStyle name="Comma 3 4 4 3 2 2 3 3" xfId="47611" xr:uid="{00000000-0005-0000-0000-0000317D0000}"/>
    <cellStyle name="Comma 3 4 4 3 2 2 3 4" xfId="26781" xr:uid="{00000000-0005-0000-0000-0000327D0000}"/>
    <cellStyle name="Comma 3 4 4 3 2 2 4" xfId="5950" xr:uid="{00000000-0005-0000-0000-0000337D0000}"/>
    <cellStyle name="Comma 3 4 4 3 2 2 4 2" xfId="19437" xr:uid="{00000000-0005-0000-0000-0000347D0000}"/>
    <cellStyle name="Comma 3 4 4 3 2 2 4 2 2" xfId="42715" xr:uid="{00000000-0005-0000-0000-0000357D0000}"/>
    <cellStyle name="Comma 3 4 4 3 2 2 4 3" xfId="29229" xr:uid="{00000000-0005-0000-0000-0000367D0000}"/>
    <cellStyle name="Comma 3 4 4 3 2 2 5" xfId="8398" xr:uid="{00000000-0005-0000-0000-0000377D0000}"/>
    <cellStyle name="Comma 3 4 4 3 2 2 5 2" xfId="31677" xr:uid="{00000000-0005-0000-0000-0000387D0000}"/>
    <cellStyle name="Comma 3 4 4 3 2 2 6" xfId="10846" xr:uid="{00000000-0005-0000-0000-0000397D0000}"/>
    <cellStyle name="Comma 3 4 4 3 2 2 6 2" xfId="34125" xr:uid="{00000000-0005-0000-0000-00003A7D0000}"/>
    <cellStyle name="Comma 3 4 4 3 2 2 7" xfId="13294" xr:uid="{00000000-0005-0000-0000-00003B7D0000}"/>
    <cellStyle name="Comma 3 4 4 3 2 2 7 2" xfId="36573" xr:uid="{00000000-0005-0000-0000-00003C7D0000}"/>
    <cellStyle name="Comma 3 4 4 3 2 2 8" xfId="15765" xr:uid="{00000000-0005-0000-0000-00003D7D0000}"/>
    <cellStyle name="Comma 3 4 4 3 2 2 8 2" xfId="39043" xr:uid="{00000000-0005-0000-0000-00003E7D0000}"/>
    <cellStyle name="Comma 3 4 4 3 2 2 9" xfId="24333" xr:uid="{00000000-0005-0000-0000-00003F7D0000}"/>
    <cellStyle name="Comma 3 4 4 3 2 3" xfId="1666" xr:uid="{00000000-0005-0000-0000-0000407D0000}"/>
    <cellStyle name="Comma 3 4 4 3 2 3 10" xfId="22497" xr:uid="{00000000-0005-0000-0000-0000417D0000}"/>
    <cellStyle name="Comma 3 4 4 3 2 3 2" xfId="4114" xr:uid="{00000000-0005-0000-0000-0000427D0000}"/>
    <cellStyle name="Comma 3 4 4 3 2 3 2 2" xfId="20049" xr:uid="{00000000-0005-0000-0000-0000437D0000}"/>
    <cellStyle name="Comma 3 4 4 3 2 3 2 2 2" xfId="43327" xr:uid="{00000000-0005-0000-0000-0000447D0000}"/>
    <cellStyle name="Comma 3 4 4 3 2 3 2 3" xfId="48223" xr:uid="{00000000-0005-0000-0000-0000457D0000}"/>
    <cellStyle name="Comma 3 4 4 3 2 3 2 4" xfId="27393" xr:uid="{00000000-0005-0000-0000-0000467D0000}"/>
    <cellStyle name="Comma 3 4 4 3 2 3 3" xfId="6562" xr:uid="{00000000-0005-0000-0000-0000477D0000}"/>
    <cellStyle name="Comma 3 4 4 3 2 3 3 2" xfId="29841" xr:uid="{00000000-0005-0000-0000-0000487D0000}"/>
    <cellStyle name="Comma 3 4 4 3 2 3 4" xfId="9010" xr:uid="{00000000-0005-0000-0000-0000497D0000}"/>
    <cellStyle name="Comma 3 4 4 3 2 3 4 2" xfId="32289" xr:uid="{00000000-0005-0000-0000-00004A7D0000}"/>
    <cellStyle name="Comma 3 4 4 3 2 3 5" xfId="11458" xr:uid="{00000000-0005-0000-0000-00004B7D0000}"/>
    <cellStyle name="Comma 3 4 4 3 2 3 5 2" xfId="34737" xr:uid="{00000000-0005-0000-0000-00004C7D0000}"/>
    <cellStyle name="Comma 3 4 4 3 2 3 6" xfId="13906" xr:uid="{00000000-0005-0000-0000-00004D7D0000}"/>
    <cellStyle name="Comma 3 4 4 3 2 3 6 2" xfId="37185" xr:uid="{00000000-0005-0000-0000-00004E7D0000}"/>
    <cellStyle name="Comma 3 4 4 3 2 3 7" xfId="17601" xr:uid="{00000000-0005-0000-0000-00004F7D0000}"/>
    <cellStyle name="Comma 3 4 4 3 2 3 7 2" xfId="40879" xr:uid="{00000000-0005-0000-0000-0000507D0000}"/>
    <cellStyle name="Comma 3 4 4 3 2 3 8" xfId="24945" xr:uid="{00000000-0005-0000-0000-0000517D0000}"/>
    <cellStyle name="Comma 3 4 4 3 2 3 9" xfId="45775" xr:uid="{00000000-0005-0000-0000-0000527D0000}"/>
    <cellStyle name="Comma 3 4 4 3 2 4" xfId="2890" xr:uid="{00000000-0005-0000-0000-0000537D0000}"/>
    <cellStyle name="Comma 3 4 4 3 2 4 2" xfId="16377" xr:uid="{00000000-0005-0000-0000-0000547D0000}"/>
    <cellStyle name="Comma 3 4 4 3 2 4 2 2" xfId="39655" xr:uid="{00000000-0005-0000-0000-0000557D0000}"/>
    <cellStyle name="Comma 3 4 4 3 2 4 3" xfId="46999" xr:uid="{00000000-0005-0000-0000-0000567D0000}"/>
    <cellStyle name="Comma 3 4 4 3 2 4 4" xfId="26169" xr:uid="{00000000-0005-0000-0000-0000577D0000}"/>
    <cellStyle name="Comma 3 4 4 3 2 5" xfId="5338" xr:uid="{00000000-0005-0000-0000-0000587D0000}"/>
    <cellStyle name="Comma 3 4 4 3 2 5 2" xfId="18825" xr:uid="{00000000-0005-0000-0000-0000597D0000}"/>
    <cellStyle name="Comma 3 4 4 3 2 5 2 2" xfId="42103" xr:uid="{00000000-0005-0000-0000-00005A7D0000}"/>
    <cellStyle name="Comma 3 4 4 3 2 5 3" xfId="28617" xr:uid="{00000000-0005-0000-0000-00005B7D0000}"/>
    <cellStyle name="Comma 3 4 4 3 2 6" xfId="7786" xr:uid="{00000000-0005-0000-0000-00005C7D0000}"/>
    <cellStyle name="Comma 3 4 4 3 2 6 2" xfId="31065" xr:uid="{00000000-0005-0000-0000-00005D7D0000}"/>
    <cellStyle name="Comma 3 4 4 3 2 7" xfId="10234" xr:uid="{00000000-0005-0000-0000-00005E7D0000}"/>
    <cellStyle name="Comma 3 4 4 3 2 7 2" xfId="33513" xr:uid="{00000000-0005-0000-0000-00005F7D0000}"/>
    <cellStyle name="Comma 3 4 4 3 2 8" xfId="12682" xr:uid="{00000000-0005-0000-0000-0000607D0000}"/>
    <cellStyle name="Comma 3 4 4 3 2 8 2" xfId="35961" xr:uid="{00000000-0005-0000-0000-0000617D0000}"/>
    <cellStyle name="Comma 3 4 4 3 2 9" xfId="15153" xr:uid="{00000000-0005-0000-0000-0000627D0000}"/>
    <cellStyle name="Comma 3 4 4 3 2 9 2" xfId="38431" xr:uid="{00000000-0005-0000-0000-0000637D0000}"/>
    <cellStyle name="Comma 3 4 4 3 3" xfId="646" xr:uid="{00000000-0005-0000-0000-0000647D0000}"/>
    <cellStyle name="Comma 3 4 4 3 3 10" xfId="23925" xr:uid="{00000000-0005-0000-0000-0000657D0000}"/>
    <cellStyle name="Comma 3 4 4 3 3 11" xfId="44755" xr:uid="{00000000-0005-0000-0000-0000667D0000}"/>
    <cellStyle name="Comma 3 4 4 3 3 12" xfId="21477" xr:uid="{00000000-0005-0000-0000-0000677D0000}"/>
    <cellStyle name="Comma 3 4 4 3 3 2" xfId="1258" xr:uid="{00000000-0005-0000-0000-0000687D0000}"/>
    <cellStyle name="Comma 3 4 4 3 3 2 10" xfId="45367" xr:uid="{00000000-0005-0000-0000-0000697D0000}"/>
    <cellStyle name="Comma 3 4 4 3 3 2 11" xfId="22089" xr:uid="{00000000-0005-0000-0000-00006A7D0000}"/>
    <cellStyle name="Comma 3 4 4 3 3 2 2" xfId="2482" xr:uid="{00000000-0005-0000-0000-00006B7D0000}"/>
    <cellStyle name="Comma 3 4 4 3 3 2 2 10" xfId="23313" xr:uid="{00000000-0005-0000-0000-00006C7D0000}"/>
    <cellStyle name="Comma 3 4 4 3 3 2 2 2" xfId="4930" xr:uid="{00000000-0005-0000-0000-00006D7D0000}"/>
    <cellStyle name="Comma 3 4 4 3 3 2 2 2 2" xfId="20865" xr:uid="{00000000-0005-0000-0000-00006E7D0000}"/>
    <cellStyle name="Comma 3 4 4 3 3 2 2 2 2 2" xfId="44143" xr:uid="{00000000-0005-0000-0000-00006F7D0000}"/>
    <cellStyle name="Comma 3 4 4 3 3 2 2 2 3" xfId="49039" xr:uid="{00000000-0005-0000-0000-0000707D0000}"/>
    <cellStyle name="Comma 3 4 4 3 3 2 2 2 4" xfId="28209" xr:uid="{00000000-0005-0000-0000-0000717D0000}"/>
    <cellStyle name="Comma 3 4 4 3 3 2 2 3" xfId="7378" xr:uid="{00000000-0005-0000-0000-0000727D0000}"/>
    <cellStyle name="Comma 3 4 4 3 3 2 2 3 2" xfId="30657" xr:uid="{00000000-0005-0000-0000-0000737D0000}"/>
    <cellStyle name="Comma 3 4 4 3 3 2 2 4" xfId="9826" xr:uid="{00000000-0005-0000-0000-0000747D0000}"/>
    <cellStyle name="Comma 3 4 4 3 3 2 2 4 2" xfId="33105" xr:uid="{00000000-0005-0000-0000-0000757D0000}"/>
    <cellStyle name="Comma 3 4 4 3 3 2 2 5" xfId="12274" xr:uid="{00000000-0005-0000-0000-0000767D0000}"/>
    <cellStyle name="Comma 3 4 4 3 3 2 2 5 2" xfId="35553" xr:uid="{00000000-0005-0000-0000-0000777D0000}"/>
    <cellStyle name="Comma 3 4 4 3 3 2 2 6" xfId="14722" xr:uid="{00000000-0005-0000-0000-0000787D0000}"/>
    <cellStyle name="Comma 3 4 4 3 3 2 2 6 2" xfId="38001" xr:uid="{00000000-0005-0000-0000-0000797D0000}"/>
    <cellStyle name="Comma 3 4 4 3 3 2 2 7" xfId="18417" xr:uid="{00000000-0005-0000-0000-00007A7D0000}"/>
    <cellStyle name="Comma 3 4 4 3 3 2 2 7 2" xfId="41695" xr:uid="{00000000-0005-0000-0000-00007B7D0000}"/>
    <cellStyle name="Comma 3 4 4 3 3 2 2 8" xfId="25761" xr:uid="{00000000-0005-0000-0000-00007C7D0000}"/>
    <cellStyle name="Comma 3 4 4 3 3 2 2 9" xfId="46591" xr:uid="{00000000-0005-0000-0000-00007D7D0000}"/>
    <cellStyle name="Comma 3 4 4 3 3 2 3" xfId="3706" xr:uid="{00000000-0005-0000-0000-00007E7D0000}"/>
    <cellStyle name="Comma 3 4 4 3 3 2 3 2" xfId="17193" xr:uid="{00000000-0005-0000-0000-00007F7D0000}"/>
    <cellStyle name="Comma 3 4 4 3 3 2 3 2 2" xfId="40471" xr:uid="{00000000-0005-0000-0000-0000807D0000}"/>
    <cellStyle name="Comma 3 4 4 3 3 2 3 3" xfId="47815" xr:uid="{00000000-0005-0000-0000-0000817D0000}"/>
    <cellStyle name="Comma 3 4 4 3 3 2 3 4" xfId="26985" xr:uid="{00000000-0005-0000-0000-0000827D0000}"/>
    <cellStyle name="Comma 3 4 4 3 3 2 4" xfId="6154" xr:uid="{00000000-0005-0000-0000-0000837D0000}"/>
    <cellStyle name="Comma 3 4 4 3 3 2 4 2" xfId="19641" xr:uid="{00000000-0005-0000-0000-0000847D0000}"/>
    <cellStyle name="Comma 3 4 4 3 3 2 4 2 2" xfId="42919" xr:uid="{00000000-0005-0000-0000-0000857D0000}"/>
    <cellStyle name="Comma 3 4 4 3 3 2 4 3" xfId="29433" xr:uid="{00000000-0005-0000-0000-0000867D0000}"/>
    <cellStyle name="Comma 3 4 4 3 3 2 5" xfId="8602" xr:uid="{00000000-0005-0000-0000-0000877D0000}"/>
    <cellStyle name="Comma 3 4 4 3 3 2 5 2" xfId="31881" xr:uid="{00000000-0005-0000-0000-0000887D0000}"/>
    <cellStyle name="Comma 3 4 4 3 3 2 6" xfId="11050" xr:uid="{00000000-0005-0000-0000-0000897D0000}"/>
    <cellStyle name="Comma 3 4 4 3 3 2 6 2" xfId="34329" xr:uid="{00000000-0005-0000-0000-00008A7D0000}"/>
    <cellStyle name="Comma 3 4 4 3 3 2 7" xfId="13498" xr:uid="{00000000-0005-0000-0000-00008B7D0000}"/>
    <cellStyle name="Comma 3 4 4 3 3 2 7 2" xfId="36777" xr:uid="{00000000-0005-0000-0000-00008C7D0000}"/>
    <cellStyle name="Comma 3 4 4 3 3 2 8" xfId="15969" xr:uid="{00000000-0005-0000-0000-00008D7D0000}"/>
    <cellStyle name="Comma 3 4 4 3 3 2 8 2" xfId="39247" xr:uid="{00000000-0005-0000-0000-00008E7D0000}"/>
    <cellStyle name="Comma 3 4 4 3 3 2 9" xfId="24537" xr:uid="{00000000-0005-0000-0000-00008F7D0000}"/>
    <cellStyle name="Comma 3 4 4 3 3 3" xfId="1870" xr:uid="{00000000-0005-0000-0000-0000907D0000}"/>
    <cellStyle name="Comma 3 4 4 3 3 3 10" xfId="22701" xr:uid="{00000000-0005-0000-0000-0000917D0000}"/>
    <cellStyle name="Comma 3 4 4 3 3 3 2" xfId="4318" xr:uid="{00000000-0005-0000-0000-0000927D0000}"/>
    <cellStyle name="Comma 3 4 4 3 3 3 2 2" xfId="20253" xr:uid="{00000000-0005-0000-0000-0000937D0000}"/>
    <cellStyle name="Comma 3 4 4 3 3 3 2 2 2" xfId="43531" xr:uid="{00000000-0005-0000-0000-0000947D0000}"/>
    <cellStyle name="Comma 3 4 4 3 3 3 2 3" xfId="48427" xr:uid="{00000000-0005-0000-0000-0000957D0000}"/>
    <cellStyle name="Comma 3 4 4 3 3 3 2 4" xfId="27597" xr:uid="{00000000-0005-0000-0000-0000967D0000}"/>
    <cellStyle name="Comma 3 4 4 3 3 3 3" xfId="6766" xr:uid="{00000000-0005-0000-0000-0000977D0000}"/>
    <cellStyle name="Comma 3 4 4 3 3 3 3 2" xfId="30045" xr:uid="{00000000-0005-0000-0000-0000987D0000}"/>
    <cellStyle name="Comma 3 4 4 3 3 3 4" xfId="9214" xr:uid="{00000000-0005-0000-0000-0000997D0000}"/>
    <cellStyle name="Comma 3 4 4 3 3 3 4 2" xfId="32493" xr:uid="{00000000-0005-0000-0000-00009A7D0000}"/>
    <cellStyle name="Comma 3 4 4 3 3 3 5" xfId="11662" xr:uid="{00000000-0005-0000-0000-00009B7D0000}"/>
    <cellStyle name="Comma 3 4 4 3 3 3 5 2" xfId="34941" xr:uid="{00000000-0005-0000-0000-00009C7D0000}"/>
    <cellStyle name="Comma 3 4 4 3 3 3 6" xfId="14110" xr:uid="{00000000-0005-0000-0000-00009D7D0000}"/>
    <cellStyle name="Comma 3 4 4 3 3 3 6 2" xfId="37389" xr:uid="{00000000-0005-0000-0000-00009E7D0000}"/>
    <cellStyle name="Comma 3 4 4 3 3 3 7" xfId="17805" xr:uid="{00000000-0005-0000-0000-00009F7D0000}"/>
    <cellStyle name="Comma 3 4 4 3 3 3 7 2" xfId="41083" xr:uid="{00000000-0005-0000-0000-0000A07D0000}"/>
    <cellStyle name="Comma 3 4 4 3 3 3 8" xfId="25149" xr:uid="{00000000-0005-0000-0000-0000A17D0000}"/>
    <cellStyle name="Comma 3 4 4 3 3 3 9" xfId="45979" xr:uid="{00000000-0005-0000-0000-0000A27D0000}"/>
    <cellStyle name="Comma 3 4 4 3 3 4" xfId="3094" xr:uid="{00000000-0005-0000-0000-0000A37D0000}"/>
    <cellStyle name="Comma 3 4 4 3 3 4 2" xfId="16581" xr:uid="{00000000-0005-0000-0000-0000A47D0000}"/>
    <cellStyle name="Comma 3 4 4 3 3 4 2 2" xfId="39859" xr:uid="{00000000-0005-0000-0000-0000A57D0000}"/>
    <cellStyle name="Comma 3 4 4 3 3 4 3" xfId="47203" xr:uid="{00000000-0005-0000-0000-0000A67D0000}"/>
    <cellStyle name="Comma 3 4 4 3 3 4 4" xfId="26373" xr:uid="{00000000-0005-0000-0000-0000A77D0000}"/>
    <cellStyle name="Comma 3 4 4 3 3 5" xfId="5542" xr:uid="{00000000-0005-0000-0000-0000A87D0000}"/>
    <cellStyle name="Comma 3 4 4 3 3 5 2" xfId="19029" xr:uid="{00000000-0005-0000-0000-0000A97D0000}"/>
    <cellStyle name="Comma 3 4 4 3 3 5 2 2" xfId="42307" xr:uid="{00000000-0005-0000-0000-0000AA7D0000}"/>
    <cellStyle name="Comma 3 4 4 3 3 5 3" xfId="28821" xr:uid="{00000000-0005-0000-0000-0000AB7D0000}"/>
    <cellStyle name="Comma 3 4 4 3 3 6" xfId="7990" xr:uid="{00000000-0005-0000-0000-0000AC7D0000}"/>
    <cellStyle name="Comma 3 4 4 3 3 6 2" xfId="31269" xr:uid="{00000000-0005-0000-0000-0000AD7D0000}"/>
    <cellStyle name="Comma 3 4 4 3 3 7" xfId="10438" xr:uid="{00000000-0005-0000-0000-0000AE7D0000}"/>
    <cellStyle name="Comma 3 4 4 3 3 7 2" xfId="33717" xr:uid="{00000000-0005-0000-0000-0000AF7D0000}"/>
    <cellStyle name="Comma 3 4 4 3 3 8" xfId="12886" xr:uid="{00000000-0005-0000-0000-0000B07D0000}"/>
    <cellStyle name="Comma 3 4 4 3 3 8 2" xfId="36165" xr:uid="{00000000-0005-0000-0000-0000B17D0000}"/>
    <cellStyle name="Comma 3 4 4 3 3 9" xfId="15357" xr:uid="{00000000-0005-0000-0000-0000B27D0000}"/>
    <cellStyle name="Comma 3 4 4 3 3 9 2" xfId="38635" xr:uid="{00000000-0005-0000-0000-0000B37D0000}"/>
    <cellStyle name="Comma 3 4 4 3 4" xfId="850" xr:uid="{00000000-0005-0000-0000-0000B47D0000}"/>
    <cellStyle name="Comma 3 4 4 3 4 10" xfId="44959" xr:uid="{00000000-0005-0000-0000-0000B57D0000}"/>
    <cellStyle name="Comma 3 4 4 3 4 11" xfId="21681" xr:uid="{00000000-0005-0000-0000-0000B67D0000}"/>
    <cellStyle name="Comma 3 4 4 3 4 2" xfId="2074" xr:uid="{00000000-0005-0000-0000-0000B77D0000}"/>
    <cellStyle name="Comma 3 4 4 3 4 2 10" xfId="22905" xr:uid="{00000000-0005-0000-0000-0000B87D0000}"/>
    <cellStyle name="Comma 3 4 4 3 4 2 2" xfId="4522" xr:uid="{00000000-0005-0000-0000-0000B97D0000}"/>
    <cellStyle name="Comma 3 4 4 3 4 2 2 2" xfId="20457" xr:uid="{00000000-0005-0000-0000-0000BA7D0000}"/>
    <cellStyle name="Comma 3 4 4 3 4 2 2 2 2" xfId="43735" xr:uid="{00000000-0005-0000-0000-0000BB7D0000}"/>
    <cellStyle name="Comma 3 4 4 3 4 2 2 3" xfId="48631" xr:uid="{00000000-0005-0000-0000-0000BC7D0000}"/>
    <cellStyle name="Comma 3 4 4 3 4 2 2 4" xfId="27801" xr:uid="{00000000-0005-0000-0000-0000BD7D0000}"/>
    <cellStyle name="Comma 3 4 4 3 4 2 3" xfId="6970" xr:uid="{00000000-0005-0000-0000-0000BE7D0000}"/>
    <cellStyle name="Comma 3 4 4 3 4 2 3 2" xfId="30249" xr:uid="{00000000-0005-0000-0000-0000BF7D0000}"/>
    <cellStyle name="Comma 3 4 4 3 4 2 4" xfId="9418" xr:uid="{00000000-0005-0000-0000-0000C07D0000}"/>
    <cellStyle name="Comma 3 4 4 3 4 2 4 2" xfId="32697" xr:uid="{00000000-0005-0000-0000-0000C17D0000}"/>
    <cellStyle name="Comma 3 4 4 3 4 2 5" xfId="11866" xr:uid="{00000000-0005-0000-0000-0000C27D0000}"/>
    <cellStyle name="Comma 3 4 4 3 4 2 5 2" xfId="35145" xr:uid="{00000000-0005-0000-0000-0000C37D0000}"/>
    <cellStyle name="Comma 3 4 4 3 4 2 6" xfId="14314" xr:uid="{00000000-0005-0000-0000-0000C47D0000}"/>
    <cellStyle name="Comma 3 4 4 3 4 2 6 2" xfId="37593" xr:uid="{00000000-0005-0000-0000-0000C57D0000}"/>
    <cellStyle name="Comma 3 4 4 3 4 2 7" xfId="18009" xr:uid="{00000000-0005-0000-0000-0000C67D0000}"/>
    <cellStyle name="Comma 3 4 4 3 4 2 7 2" xfId="41287" xr:uid="{00000000-0005-0000-0000-0000C77D0000}"/>
    <cellStyle name="Comma 3 4 4 3 4 2 8" xfId="25353" xr:uid="{00000000-0005-0000-0000-0000C87D0000}"/>
    <cellStyle name="Comma 3 4 4 3 4 2 9" xfId="46183" xr:uid="{00000000-0005-0000-0000-0000C97D0000}"/>
    <cellStyle name="Comma 3 4 4 3 4 3" xfId="3298" xr:uid="{00000000-0005-0000-0000-0000CA7D0000}"/>
    <cellStyle name="Comma 3 4 4 3 4 3 2" xfId="16785" xr:uid="{00000000-0005-0000-0000-0000CB7D0000}"/>
    <cellStyle name="Comma 3 4 4 3 4 3 2 2" xfId="40063" xr:uid="{00000000-0005-0000-0000-0000CC7D0000}"/>
    <cellStyle name="Comma 3 4 4 3 4 3 3" xfId="47407" xr:uid="{00000000-0005-0000-0000-0000CD7D0000}"/>
    <cellStyle name="Comma 3 4 4 3 4 3 4" xfId="26577" xr:uid="{00000000-0005-0000-0000-0000CE7D0000}"/>
    <cellStyle name="Comma 3 4 4 3 4 4" xfId="5746" xr:uid="{00000000-0005-0000-0000-0000CF7D0000}"/>
    <cellStyle name="Comma 3 4 4 3 4 4 2" xfId="19233" xr:uid="{00000000-0005-0000-0000-0000D07D0000}"/>
    <cellStyle name="Comma 3 4 4 3 4 4 2 2" xfId="42511" xr:uid="{00000000-0005-0000-0000-0000D17D0000}"/>
    <cellStyle name="Comma 3 4 4 3 4 4 3" xfId="29025" xr:uid="{00000000-0005-0000-0000-0000D27D0000}"/>
    <cellStyle name="Comma 3 4 4 3 4 5" xfId="8194" xr:uid="{00000000-0005-0000-0000-0000D37D0000}"/>
    <cellStyle name="Comma 3 4 4 3 4 5 2" xfId="31473" xr:uid="{00000000-0005-0000-0000-0000D47D0000}"/>
    <cellStyle name="Comma 3 4 4 3 4 6" xfId="10642" xr:uid="{00000000-0005-0000-0000-0000D57D0000}"/>
    <cellStyle name="Comma 3 4 4 3 4 6 2" xfId="33921" xr:uid="{00000000-0005-0000-0000-0000D67D0000}"/>
    <cellStyle name="Comma 3 4 4 3 4 7" xfId="13090" xr:uid="{00000000-0005-0000-0000-0000D77D0000}"/>
    <cellStyle name="Comma 3 4 4 3 4 7 2" xfId="36369" xr:uid="{00000000-0005-0000-0000-0000D87D0000}"/>
    <cellStyle name="Comma 3 4 4 3 4 8" xfId="15561" xr:uid="{00000000-0005-0000-0000-0000D97D0000}"/>
    <cellStyle name="Comma 3 4 4 3 4 8 2" xfId="38839" xr:uid="{00000000-0005-0000-0000-0000DA7D0000}"/>
    <cellStyle name="Comma 3 4 4 3 4 9" xfId="24129" xr:uid="{00000000-0005-0000-0000-0000DB7D0000}"/>
    <cellStyle name="Comma 3 4 4 3 5" xfId="1462" xr:uid="{00000000-0005-0000-0000-0000DC7D0000}"/>
    <cellStyle name="Comma 3 4 4 3 5 10" xfId="22293" xr:uid="{00000000-0005-0000-0000-0000DD7D0000}"/>
    <cellStyle name="Comma 3 4 4 3 5 2" xfId="3910" xr:uid="{00000000-0005-0000-0000-0000DE7D0000}"/>
    <cellStyle name="Comma 3 4 4 3 5 2 2" xfId="19845" xr:uid="{00000000-0005-0000-0000-0000DF7D0000}"/>
    <cellStyle name="Comma 3 4 4 3 5 2 2 2" xfId="43123" xr:uid="{00000000-0005-0000-0000-0000E07D0000}"/>
    <cellStyle name="Comma 3 4 4 3 5 2 3" xfId="48019" xr:uid="{00000000-0005-0000-0000-0000E17D0000}"/>
    <cellStyle name="Comma 3 4 4 3 5 2 4" xfId="27189" xr:uid="{00000000-0005-0000-0000-0000E27D0000}"/>
    <cellStyle name="Comma 3 4 4 3 5 3" xfId="6358" xr:uid="{00000000-0005-0000-0000-0000E37D0000}"/>
    <cellStyle name="Comma 3 4 4 3 5 3 2" xfId="29637" xr:uid="{00000000-0005-0000-0000-0000E47D0000}"/>
    <cellStyle name="Comma 3 4 4 3 5 4" xfId="8806" xr:uid="{00000000-0005-0000-0000-0000E57D0000}"/>
    <cellStyle name="Comma 3 4 4 3 5 4 2" xfId="32085" xr:uid="{00000000-0005-0000-0000-0000E67D0000}"/>
    <cellStyle name="Comma 3 4 4 3 5 5" xfId="11254" xr:uid="{00000000-0005-0000-0000-0000E77D0000}"/>
    <cellStyle name="Comma 3 4 4 3 5 5 2" xfId="34533" xr:uid="{00000000-0005-0000-0000-0000E87D0000}"/>
    <cellStyle name="Comma 3 4 4 3 5 6" xfId="13702" xr:uid="{00000000-0005-0000-0000-0000E97D0000}"/>
    <cellStyle name="Comma 3 4 4 3 5 6 2" xfId="36981" xr:uid="{00000000-0005-0000-0000-0000EA7D0000}"/>
    <cellStyle name="Comma 3 4 4 3 5 7" xfId="17397" xr:uid="{00000000-0005-0000-0000-0000EB7D0000}"/>
    <cellStyle name="Comma 3 4 4 3 5 7 2" xfId="40675" xr:uid="{00000000-0005-0000-0000-0000EC7D0000}"/>
    <cellStyle name="Comma 3 4 4 3 5 8" xfId="24741" xr:uid="{00000000-0005-0000-0000-0000ED7D0000}"/>
    <cellStyle name="Comma 3 4 4 3 5 9" xfId="45571" xr:uid="{00000000-0005-0000-0000-0000EE7D0000}"/>
    <cellStyle name="Comma 3 4 4 3 6" xfId="2686" xr:uid="{00000000-0005-0000-0000-0000EF7D0000}"/>
    <cellStyle name="Comma 3 4 4 3 6 2" xfId="16173" xr:uid="{00000000-0005-0000-0000-0000F07D0000}"/>
    <cellStyle name="Comma 3 4 4 3 6 2 2" xfId="39451" xr:uid="{00000000-0005-0000-0000-0000F17D0000}"/>
    <cellStyle name="Comma 3 4 4 3 6 3" xfId="46795" xr:uid="{00000000-0005-0000-0000-0000F27D0000}"/>
    <cellStyle name="Comma 3 4 4 3 6 4" xfId="25965" xr:uid="{00000000-0005-0000-0000-0000F37D0000}"/>
    <cellStyle name="Comma 3 4 4 3 7" xfId="5134" xr:uid="{00000000-0005-0000-0000-0000F47D0000}"/>
    <cellStyle name="Comma 3 4 4 3 7 2" xfId="18621" xr:uid="{00000000-0005-0000-0000-0000F57D0000}"/>
    <cellStyle name="Comma 3 4 4 3 7 2 2" xfId="41899" xr:uid="{00000000-0005-0000-0000-0000F67D0000}"/>
    <cellStyle name="Comma 3 4 4 3 7 3" xfId="28413" xr:uid="{00000000-0005-0000-0000-0000F77D0000}"/>
    <cellStyle name="Comma 3 4 4 3 8" xfId="7582" xr:uid="{00000000-0005-0000-0000-0000F87D0000}"/>
    <cellStyle name="Comma 3 4 4 3 8 2" xfId="30861" xr:uid="{00000000-0005-0000-0000-0000F97D0000}"/>
    <cellStyle name="Comma 3 4 4 3 9" xfId="10030" xr:uid="{00000000-0005-0000-0000-0000FA7D0000}"/>
    <cellStyle name="Comma 3 4 4 3 9 2" xfId="33309" xr:uid="{00000000-0005-0000-0000-0000FB7D0000}"/>
    <cellStyle name="Comma 3 4 4 4" xfId="306" xr:uid="{00000000-0005-0000-0000-0000FC7D0000}"/>
    <cellStyle name="Comma 3 4 4 4 10" xfId="23585" xr:uid="{00000000-0005-0000-0000-0000FD7D0000}"/>
    <cellStyle name="Comma 3 4 4 4 11" xfId="44415" xr:uid="{00000000-0005-0000-0000-0000FE7D0000}"/>
    <cellStyle name="Comma 3 4 4 4 12" xfId="21137" xr:uid="{00000000-0005-0000-0000-0000FF7D0000}"/>
    <cellStyle name="Comma 3 4 4 4 2" xfId="918" xr:uid="{00000000-0005-0000-0000-0000007E0000}"/>
    <cellStyle name="Comma 3 4 4 4 2 10" xfId="45027" xr:uid="{00000000-0005-0000-0000-0000017E0000}"/>
    <cellStyle name="Comma 3 4 4 4 2 11" xfId="21749" xr:uid="{00000000-0005-0000-0000-0000027E0000}"/>
    <cellStyle name="Comma 3 4 4 4 2 2" xfId="2142" xr:uid="{00000000-0005-0000-0000-0000037E0000}"/>
    <cellStyle name="Comma 3 4 4 4 2 2 10" xfId="22973" xr:uid="{00000000-0005-0000-0000-0000047E0000}"/>
    <cellStyle name="Comma 3 4 4 4 2 2 2" xfId="4590" xr:uid="{00000000-0005-0000-0000-0000057E0000}"/>
    <cellStyle name="Comma 3 4 4 4 2 2 2 2" xfId="20525" xr:uid="{00000000-0005-0000-0000-0000067E0000}"/>
    <cellStyle name="Comma 3 4 4 4 2 2 2 2 2" xfId="43803" xr:uid="{00000000-0005-0000-0000-0000077E0000}"/>
    <cellStyle name="Comma 3 4 4 4 2 2 2 3" xfId="48699" xr:uid="{00000000-0005-0000-0000-0000087E0000}"/>
    <cellStyle name="Comma 3 4 4 4 2 2 2 4" xfId="27869" xr:uid="{00000000-0005-0000-0000-0000097E0000}"/>
    <cellStyle name="Comma 3 4 4 4 2 2 3" xfId="7038" xr:uid="{00000000-0005-0000-0000-00000A7E0000}"/>
    <cellStyle name="Comma 3 4 4 4 2 2 3 2" xfId="30317" xr:uid="{00000000-0005-0000-0000-00000B7E0000}"/>
    <cellStyle name="Comma 3 4 4 4 2 2 4" xfId="9486" xr:uid="{00000000-0005-0000-0000-00000C7E0000}"/>
    <cellStyle name="Comma 3 4 4 4 2 2 4 2" xfId="32765" xr:uid="{00000000-0005-0000-0000-00000D7E0000}"/>
    <cellStyle name="Comma 3 4 4 4 2 2 5" xfId="11934" xr:uid="{00000000-0005-0000-0000-00000E7E0000}"/>
    <cellStyle name="Comma 3 4 4 4 2 2 5 2" xfId="35213" xr:uid="{00000000-0005-0000-0000-00000F7E0000}"/>
    <cellStyle name="Comma 3 4 4 4 2 2 6" xfId="14382" xr:uid="{00000000-0005-0000-0000-0000107E0000}"/>
    <cellStyle name="Comma 3 4 4 4 2 2 6 2" xfId="37661" xr:uid="{00000000-0005-0000-0000-0000117E0000}"/>
    <cellStyle name="Comma 3 4 4 4 2 2 7" xfId="18077" xr:uid="{00000000-0005-0000-0000-0000127E0000}"/>
    <cellStyle name="Comma 3 4 4 4 2 2 7 2" xfId="41355" xr:uid="{00000000-0005-0000-0000-0000137E0000}"/>
    <cellStyle name="Comma 3 4 4 4 2 2 8" xfId="25421" xr:uid="{00000000-0005-0000-0000-0000147E0000}"/>
    <cellStyle name="Comma 3 4 4 4 2 2 9" xfId="46251" xr:uid="{00000000-0005-0000-0000-0000157E0000}"/>
    <cellStyle name="Comma 3 4 4 4 2 3" xfId="3366" xr:uid="{00000000-0005-0000-0000-0000167E0000}"/>
    <cellStyle name="Comma 3 4 4 4 2 3 2" xfId="16853" xr:uid="{00000000-0005-0000-0000-0000177E0000}"/>
    <cellStyle name="Comma 3 4 4 4 2 3 2 2" xfId="40131" xr:uid="{00000000-0005-0000-0000-0000187E0000}"/>
    <cellStyle name="Comma 3 4 4 4 2 3 3" xfId="47475" xr:uid="{00000000-0005-0000-0000-0000197E0000}"/>
    <cellStyle name="Comma 3 4 4 4 2 3 4" xfId="26645" xr:uid="{00000000-0005-0000-0000-00001A7E0000}"/>
    <cellStyle name="Comma 3 4 4 4 2 4" xfId="5814" xr:uid="{00000000-0005-0000-0000-00001B7E0000}"/>
    <cellStyle name="Comma 3 4 4 4 2 4 2" xfId="19301" xr:uid="{00000000-0005-0000-0000-00001C7E0000}"/>
    <cellStyle name="Comma 3 4 4 4 2 4 2 2" xfId="42579" xr:uid="{00000000-0005-0000-0000-00001D7E0000}"/>
    <cellStyle name="Comma 3 4 4 4 2 4 3" xfId="29093" xr:uid="{00000000-0005-0000-0000-00001E7E0000}"/>
    <cellStyle name="Comma 3 4 4 4 2 5" xfId="8262" xr:uid="{00000000-0005-0000-0000-00001F7E0000}"/>
    <cellStyle name="Comma 3 4 4 4 2 5 2" xfId="31541" xr:uid="{00000000-0005-0000-0000-0000207E0000}"/>
    <cellStyle name="Comma 3 4 4 4 2 6" xfId="10710" xr:uid="{00000000-0005-0000-0000-0000217E0000}"/>
    <cellStyle name="Comma 3 4 4 4 2 6 2" xfId="33989" xr:uid="{00000000-0005-0000-0000-0000227E0000}"/>
    <cellStyle name="Comma 3 4 4 4 2 7" xfId="13158" xr:uid="{00000000-0005-0000-0000-0000237E0000}"/>
    <cellStyle name="Comma 3 4 4 4 2 7 2" xfId="36437" xr:uid="{00000000-0005-0000-0000-0000247E0000}"/>
    <cellStyle name="Comma 3 4 4 4 2 8" xfId="15629" xr:uid="{00000000-0005-0000-0000-0000257E0000}"/>
    <cellStyle name="Comma 3 4 4 4 2 8 2" xfId="38907" xr:uid="{00000000-0005-0000-0000-0000267E0000}"/>
    <cellStyle name="Comma 3 4 4 4 2 9" xfId="24197" xr:uid="{00000000-0005-0000-0000-0000277E0000}"/>
    <cellStyle name="Comma 3 4 4 4 3" xfId="1530" xr:uid="{00000000-0005-0000-0000-0000287E0000}"/>
    <cellStyle name="Comma 3 4 4 4 3 10" xfId="22361" xr:uid="{00000000-0005-0000-0000-0000297E0000}"/>
    <cellStyle name="Comma 3 4 4 4 3 2" xfId="3978" xr:uid="{00000000-0005-0000-0000-00002A7E0000}"/>
    <cellStyle name="Comma 3 4 4 4 3 2 2" xfId="19913" xr:uid="{00000000-0005-0000-0000-00002B7E0000}"/>
    <cellStyle name="Comma 3 4 4 4 3 2 2 2" xfId="43191" xr:uid="{00000000-0005-0000-0000-00002C7E0000}"/>
    <cellStyle name="Comma 3 4 4 4 3 2 3" xfId="48087" xr:uid="{00000000-0005-0000-0000-00002D7E0000}"/>
    <cellStyle name="Comma 3 4 4 4 3 2 4" xfId="27257" xr:uid="{00000000-0005-0000-0000-00002E7E0000}"/>
    <cellStyle name="Comma 3 4 4 4 3 3" xfId="6426" xr:uid="{00000000-0005-0000-0000-00002F7E0000}"/>
    <cellStyle name="Comma 3 4 4 4 3 3 2" xfId="29705" xr:uid="{00000000-0005-0000-0000-0000307E0000}"/>
    <cellStyle name="Comma 3 4 4 4 3 4" xfId="8874" xr:uid="{00000000-0005-0000-0000-0000317E0000}"/>
    <cellStyle name="Comma 3 4 4 4 3 4 2" xfId="32153" xr:uid="{00000000-0005-0000-0000-0000327E0000}"/>
    <cellStyle name="Comma 3 4 4 4 3 5" xfId="11322" xr:uid="{00000000-0005-0000-0000-0000337E0000}"/>
    <cellStyle name="Comma 3 4 4 4 3 5 2" xfId="34601" xr:uid="{00000000-0005-0000-0000-0000347E0000}"/>
    <cellStyle name="Comma 3 4 4 4 3 6" xfId="13770" xr:uid="{00000000-0005-0000-0000-0000357E0000}"/>
    <cellStyle name="Comma 3 4 4 4 3 6 2" xfId="37049" xr:uid="{00000000-0005-0000-0000-0000367E0000}"/>
    <cellStyle name="Comma 3 4 4 4 3 7" xfId="17465" xr:uid="{00000000-0005-0000-0000-0000377E0000}"/>
    <cellStyle name="Comma 3 4 4 4 3 7 2" xfId="40743" xr:uid="{00000000-0005-0000-0000-0000387E0000}"/>
    <cellStyle name="Comma 3 4 4 4 3 8" xfId="24809" xr:uid="{00000000-0005-0000-0000-0000397E0000}"/>
    <cellStyle name="Comma 3 4 4 4 3 9" xfId="45639" xr:uid="{00000000-0005-0000-0000-00003A7E0000}"/>
    <cellStyle name="Comma 3 4 4 4 4" xfId="2754" xr:uid="{00000000-0005-0000-0000-00003B7E0000}"/>
    <cellStyle name="Comma 3 4 4 4 4 2" xfId="16241" xr:uid="{00000000-0005-0000-0000-00003C7E0000}"/>
    <cellStyle name="Comma 3 4 4 4 4 2 2" xfId="39519" xr:uid="{00000000-0005-0000-0000-00003D7E0000}"/>
    <cellStyle name="Comma 3 4 4 4 4 3" xfId="46863" xr:uid="{00000000-0005-0000-0000-00003E7E0000}"/>
    <cellStyle name="Comma 3 4 4 4 4 4" xfId="26033" xr:uid="{00000000-0005-0000-0000-00003F7E0000}"/>
    <cellStyle name="Comma 3 4 4 4 5" xfId="5202" xr:uid="{00000000-0005-0000-0000-0000407E0000}"/>
    <cellStyle name="Comma 3 4 4 4 5 2" xfId="18689" xr:uid="{00000000-0005-0000-0000-0000417E0000}"/>
    <cellStyle name="Comma 3 4 4 4 5 2 2" xfId="41967" xr:uid="{00000000-0005-0000-0000-0000427E0000}"/>
    <cellStyle name="Comma 3 4 4 4 5 3" xfId="28481" xr:uid="{00000000-0005-0000-0000-0000437E0000}"/>
    <cellStyle name="Comma 3 4 4 4 6" xfId="7650" xr:uid="{00000000-0005-0000-0000-0000447E0000}"/>
    <cellStyle name="Comma 3 4 4 4 6 2" xfId="30929" xr:uid="{00000000-0005-0000-0000-0000457E0000}"/>
    <cellStyle name="Comma 3 4 4 4 7" xfId="10098" xr:uid="{00000000-0005-0000-0000-0000467E0000}"/>
    <cellStyle name="Comma 3 4 4 4 7 2" xfId="33377" xr:uid="{00000000-0005-0000-0000-0000477E0000}"/>
    <cellStyle name="Comma 3 4 4 4 8" xfId="12546" xr:uid="{00000000-0005-0000-0000-0000487E0000}"/>
    <cellStyle name="Comma 3 4 4 4 8 2" xfId="35825" xr:uid="{00000000-0005-0000-0000-0000497E0000}"/>
    <cellStyle name="Comma 3 4 4 4 9" xfId="15017" xr:uid="{00000000-0005-0000-0000-00004A7E0000}"/>
    <cellStyle name="Comma 3 4 4 4 9 2" xfId="38295" xr:uid="{00000000-0005-0000-0000-00004B7E0000}"/>
    <cellStyle name="Comma 3 4 4 5" xfId="510" xr:uid="{00000000-0005-0000-0000-00004C7E0000}"/>
    <cellStyle name="Comma 3 4 4 5 10" xfId="23789" xr:uid="{00000000-0005-0000-0000-00004D7E0000}"/>
    <cellStyle name="Comma 3 4 4 5 11" xfId="44619" xr:uid="{00000000-0005-0000-0000-00004E7E0000}"/>
    <cellStyle name="Comma 3 4 4 5 12" xfId="21341" xr:uid="{00000000-0005-0000-0000-00004F7E0000}"/>
    <cellStyle name="Comma 3 4 4 5 2" xfId="1122" xr:uid="{00000000-0005-0000-0000-0000507E0000}"/>
    <cellStyle name="Comma 3 4 4 5 2 10" xfId="45231" xr:uid="{00000000-0005-0000-0000-0000517E0000}"/>
    <cellStyle name="Comma 3 4 4 5 2 11" xfId="21953" xr:uid="{00000000-0005-0000-0000-0000527E0000}"/>
    <cellStyle name="Comma 3 4 4 5 2 2" xfId="2346" xr:uid="{00000000-0005-0000-0000-0000537E0000}"/>
    <cellStyle name="Comma 3 4 4 5 2 2 10" xfId="23177" xr:uid="{00000000-0005-0000-0000-0000547E0000}"/>
    <cellStyle name="Comma 3 4 4 5 2 2 2" xfId="4794" xr:uid="{00000000-0005-0000-0000-0000557E0000}"/>
    <cellStyle name="Comma 3 4 4 5 2 2 2 2" xfId="20729" xr:uid="{00000000-0005-0000-0000-0000567E0000}"/>
    <cellStyle name="Comma 3 4 4 5 2 2 2 2 2" xfId="44007" xr:uid="{00000000-0005-0000-0000-0000577E0000}"/>
    <cellStyle name="Comma 3 4 4 5 2 2 2 3" xfId="48903" xr:uid="{00000000-0005-0000-0000-0000587E0000}"/>
    <cellStyle name="Comma 3 4 4 5 2 2 2 4" xfId="28073" xr:uid="{00000000-0005-0000-0000-0000597E0000}"/>
    <cellStyle name="Comma 3 4 4 5 2 2 3" xfId="7242" xr:uid="{00000000-0005-0000-0000-00005A7E0000}"/>
    <cellStyle name="Comma 3 4 4 5 2 2 3 2" xfId="30521" xr:uid="{00000000-0005-0000-0000-00005B7E0000}"/>
    <cellStyle name="Comma 3 4 4 5 2 2 4" xfId="9690" xr:uid="{00000000-0005-0000-0000-00005C7E0000}"/>
    <cellStyle name="Comma 3 4 4 5 2 2 4 2" xfId="32969" xr:uid="{00000000-0005-0000-0000-00005D7E0000}"/>
    <cellStyle name="Comma 3 4 4 5 2 2 5" xfId="12138" xr:uid="{00000000-0005-0000-0000-00005E7E0000}"/>
    <cellStyle name="Comma 3 4 4 5 2 2 5 2" xfId="35417" xr:uid="{00000000-0005-0000-0000-00005F7E0000}"/>
    <cellStyle name="Comma 3 4 4 5 2 2 6" xfId="14586" xr:uid="{00000000-0005-0000-0000-0000607E0000}"/>
    <cellStyle name="Comma 3 4 4 5 2 2 6 2" xfId="37865" xr:uid="{00000000-0005-0000-0000-0000617E0000}"/>
    <cellStyle name="Comma 3 4 4 5 2 2 7" xfId="18281" xr:uid="{00000000-0005-0000-0000-0000627E0000}"/>
    <cellStyle name="Comma 3 4 4 5 2 2 7 2" xfId="41559" xr:uid="{00000000-0005-0000-0000-0000637E0000}"/>
    <cellStyle name="Comma 3 4 4 5 2 2 8" xfId="25625" xr:uid="{00000000-0005-0000-0000-0000647E0000}"/>
    <cellStyle name="Comma 3 4 4 5 2 2 9" xfId="46455" xr:uid="{00000000-0005-0000-0000-0000657E0000}"/>
    <cellStyle name="Comma 3 4 4 5 2 3" xfId="3570" xr:uid="{00000000-0005-0000-0000-0000667E0000}"/>
    <cellStyle name="Comma 3 4 4 5 2 3 2" xfId="17057" xr:uid="{00000000-0005-0000-0000-0000677E0000}"/>
    <cellStyle name="Comma 3 4 4 5 2 3 2 2" xfId="40335" xr:uid="{00000000-0005-0000-0000-0000687E0000}"/>
    <cellStyle name="Comma 3 4 4 5 2 3 3" xfId="47679" xr:uid="{00000000-0005-0000-0000-0000697E0000}"/>
    <cellStyle name="Comma 3 4 4 5 2 3 4" xfId="26849" xr:uid="{00000000-0005-0000-0000-00006A7E0000}"/>
    <cellStyle name="Comma 3 4 4 5 2 4" xfId="6018" xr:uid="{00000000-0005-0000-0000-00006B7E0000}"/>
    <cellStyle name="Comma 3 4 4 5 2 4 2" xfId="19505" xr:uid="{00000000-0005-0000-0000-00006C7E0000}"/>
    <cellStyle name="Comma 3 4 4 5 2 4 2 2" xfId="42783" xr:uid="{00000000-0005-0000-0000-00006D7E0000}"/>
    <cellStyle name="Comma 3 4 4 5 2 4 3" xfId="29297" xr:uid="{00000000-0005-0000-0000-00006E7E0000}"/>
    <cellStyle name="Comma 3 4 4 5 2 5" xfId="8466" xr:uid="{00000000-0005-0000-0000-00006F7E0000}"/>
    <cellStyle name="Comma 3 4 4 5 2 5 2" xfId="31745" xr:uid="{00000000-0005-0000-0000-0000707E0000}"/>
    <cellStyle name="Comma 3 4 4 5 2 6" xfId="10914" xr:uid="{00000000-0005-0000-0000-0000717E0000}"/>
    <cellStyle name="Comma 3 4 4 5 2 6 2" xfId="34193" xr:uid="{00000000-0005-0000-0000-0000727E0000}"/>
    <cellStyle name="Comma 3 4 4 5 2 7" xfId="13362" xr:uid="{00000000-0005-0000-0000-0000737E0000}"/>
    <cellStyle name="Comma 3 4 4 5 2 7 2" xfId="36641" xr:uid="{00000000-0005-0000-0000-0000747E0000}"/>
    <cellStyle name="Comma 3 4 4 5 2 8" xfId="15833" xr:uid="{00000000-0005-0000-0000-0000757E0000}"/>
    <cellStyle name="Comma 3 4 4 5 2 8 2" xfId="39111" xr:uid="{00000000-0005-0000-0000-0000767E0000}"/>
    <cellStyle name="Comma 3 4 4 5 2 9" xfId="24401" xr:uid="{00000000-0005-0000-0000-0000777E0000}"/>
    <cellStyle name="Comma 3 4 4 5 3" xfId="1734" xr:uid="{00000000-0005-0000-0000-0000787E0000}"/>
    <cellStyle name="Comma 3 4 4 5 3 10" xfId="22565" xr:uid="{00000000-0005-0000-0000-0000797E0000}"/>
    <cellStyle name="Comma 3 4 4 5 3 2" xfId="4182" xr:uid="{00000000-0005-0000-0000-00007A7E0000}"/>
    <cellStyle name="Comma 3 4 4 5 3 2 2" xfId="20117" xr:uid="{00000000-0005-0000-0000-00007B7E0000}"/>
    <cellStyle name="Comma 3 4 4 5 3 2 2 2" xfId="43395" xr:uid="{00000000-0005-0000-0000-00007C7E0000}"/>
    <cellStyle name="Comma 3 4 4 5 3 2 3" xfId="48291" xr:uid="{00000000-0005-0000-0000-00007D7E0000}"/>
    <cellStyle name="Comma 3 4 4 5 3 2 4" xfId="27461" xr:uid="{00000000-0005-0000-0000-00007E7E0000}"/>
    <cellStyle name="Comma 3 4 4 5 3 3" xfId="6630" xr:uid="{00000000-0005-0000-0000-00007F7E0000}"/>
    <cellStyle name="Comma 3 4 4 5 3 3 2" xfId="29909" xr:uid="{00000000-0005-0000-0000-0000807E0000}"/>
    <cellStyle name="Comma 3 4 4 5 3 4" xfId="9078" xr:uid="{00000000-0005-0000-0000-0000817E0000}"/>
    <cellStyle name="Comma 3 4 4 5 3 4 2" xfId="32357" xr:uid="{00000000-0005-0000-0000-0000827E0000}"/>
    <cellStyle name="Comma 3 4 4 5 3 5" xfId="11526" xr:uid="{00000000-0005-0000-0000-0000837E0000}"/>
    <cellStyle name="Comma 3 4 4 5 3 5 2" xfId="34805" xr:uid="{00000000-0005-0000-0000-0000847E0000}"/>
    <cellStyle name="Comma 3 4 4 5 3 6" xfId="13974" xr:uid="{00000000-0005-0000-0000-0000857E0000}"/>
    <cellStyle name="Comma 3 4 4 5 3 6 2" xfId="37253" xr:uid="{00000000-0005-0000-0000-0000867E0000}"/>
    <cellStyle name="Comma 3 4 4 5 3 7" xfId="17669" xr:uid="{00000000-0005-0000-0000-0000877E0000}"/>
    <cellStyle name="Comma 3 4 4 5 3 7 2" xfId="40947" xr:uid="{00000000-0005-0000-0000-0000887E0000}"/>
    <cellStyle name="Comma 3 4 4 5 3 8" xfId="25013" xr:uid="{00000000-0005-0000-0000-0000897E0000}"/>
    <cellStyle name="Comma 3 4 4 5 3 9" xfId="45843" xr:uid="{00000000-0005-0000-0000-00008A7E0000}"/>
    <cellStyle name="Comma 3 4 4 5 4" xfId="2958" xr:uid="{00000000-0005-0000-0000-00008B7E0000}"/>
    <cellStyle name="Comma 3 4 4 5 4 2" xfId="16445" xr:uid="{00000000-0005-0000-0000-00008C7E0000}"/>
    <cellStyle name="Comma 3 4 4 5 4 2 2" xfId="39723" xr:uid="{00000000-0005-0000-0000-00008D7E0000}"/>
    <cellStyle name="Comma 3 4 4 5 4 3" xfId="47067" xr:uid="{00000000-0005-0000-0000-00008E7E0000}"/>
    <cellStyle name="Comma 3 4 4 5 4 4" xfId="26237" xr:uid="{00000000-0005-0000-0000-00008F7E0000}"/>
    <cellStyle name="Comma 3 4 4 5 5" xfId="5406" xr:uid="{00000000-0005-0000-0000-0000907E0000}"/>
    <cellStyle name="Comma 3 4 4 5 5 2" xfId="18893" xr:uid="{00000000-0005-0000-0000-0000917E0000}"/>
    <cellStyle name="Comma 3 4 4 5 5 2 2" xfId="42171" xr:uid="{00000000-0005-0000-0000-0000927E0000}"/>
    <cellStyle name="Comma 3 4 4 5 5 3" xfId="28685" xr:uid="{00000000-0005-0000-0000-0000937E0000}"/>
    <cellStyle name="Comma 3 4 4 5 6" xfId="7854" xr:uid="{00000000-0005-0000-0000-0000947E0000}"/>
    <cellStyle name="Comma 3 4 4 5 6 2" xfId="31133" xr:uid="{00000000-0005-0000-0000-0000957E0000}"/>
    <cellStyle name="Comma 3 4 4 5 7" xfId="10302" xr:uid="{00000000-0005-0000-0000-0000967E0000}"/>
    <cellStyle name="Comma 3 4 4 5 7 2" xfId="33581" xr:uid="{00000000-0005-0000-0000-0000977E0000}"/>
    <cellStyle name="Comma 3 4 4 5 8" xfId="12750" xr:uid="{00000000-0005-0000-0000-0000987E0000}"/>
    <cellStyle name="Comma 3 4 4 5 8 2" xfId="36029" xr:uid="{00000000-0005-0000-0000-0000997E0000}"/>
    <cellStyle name="Comma 3 4 4 5 9" xfId="15221" xr:uid="{00000000-0005-0000-0000-00009A7E0000}"/>
    <cellStyle name="Comma 3 4 4 5 9 2" xfId="38499" xr:uid="{00000000-0005-0000-0000-00009B7E0000}"/>
    <cellStyle name="Comma 3 4 4 6" xfId="714" xr:uid="{00000000-0005-0000-0000-00009C7E0000}"/>
    <cellStyle name="Comma 3 4 4 6 10" xfId="44823" xr:uid="{00000000-0005-0000-0000-00009D7E0000}"/>
    <cellStyle name="Comma 3 4 4 6 11" xfId="21545" xr:uid="{00000000-0005-0000-0000-00009E7E0000}"/>
    <cellStyle name="Comma 3 4 4 6 2" xfId="1938" xr:uid="{00000000-0005-0000-0000-00009F7E0000}"/>
    <cellStyle name="Comma 3 4 4 6 2 10" xfId="22769" xr:uid="{00000000-0005-0000-0000-0000A07E0000}"/>
    <cellStyle name="Comma 3 4 4 6 2 2" xfId="4386" xr:uid="{00000000-0005-0000-0000-0000A17E0000}"/>
    <cellStyle name="Comma 3 4 4 6 2 2 2" xfId="20321" xr:uid="{00000000-0005-0000-0000-0000A27E0000}"/>
    <cellStyle name="Comma 3 4 4 6 2 2 2 2" xfId="43599" xr:uid="{00000000-0005-0000-0000-0000A37E0000}"/>
    <cellStyle name="Comma 3 4 4 6 2 2 3" xfId="48495" xr:uid="{00000000-0005-0000-0000-0000A47E0000}"/>
    <cellStyle name="Comma 3 4 4 6 2 2 4" xfId="27665" xr:uid="{00000000-0005-0000-0000-0000A57E0000}"/>
    <cellStyle name="Comma 3 4 4 6 2 3" xfId="6834" xr:uid="{00000000-0005-0000-0000-0000A67E0000}"/>
    <cellStyle name="Comma 3 4 4 6 2 3 2" xfId="30113" xr:uid="{00000000-0005-0000-0000-0000A77E0000}"/>
    <cellStyle name="Comma 3 4 4 6 2 4" xfId="9282" xr:uid="{00000000-0005-0000-0000-0000A87E0000}"/>
    <cellStyle name="Comma 3 4 4 6 2 4 2" xfId="32561" xr:uid="{00000000-0005-0000-0000-0000A97E0000}"/>
    <cellStyle name="Comma 3 4 4 6 2 5" xfId="11730" xr:uid="{00000000-0005-0000-0000-0000AA7E0000}"/>
    <cellStyle name="Comma 3 4 4 6 2 5 2" xfId="35009" xr:uid="{00000000-0005-0000-0000-0000AB7E0000}"/>
    <cellStyle name="Comma 3 4 4 6 2 6" xfId="14178" xr:uid="{00000000-0005-0000-0000-0000AC7E0000}"/>
    <cellStyle name="Comma 3 4 4 6 2 6 2" xfId="37457" xr:uid="{00000000-0005-0000-0000-0000AD7E0000}"/>
    <cellStyle name="Comma 3 4 4 6 2 7" xfId="17873" xr:uid="{00000000-0005-0000-0000-0000AE7E0000}"/>
    <cellStyle name="Comma 3 4 4 6 2 7 2" xfId="41151" xr:uid="{00000000-0005-0000-0000-0000AF7E0000}"/>
    <cellStyle name="Comma 3 4 4 6 2 8" xfId="25217" xr:uid="{00000000-0005-0000-0000-0000B07E0000}"/>
    <cellStyle name="Comma 3 4 4 6 2 9" xfId="46047" xr:uid="{00000000-0005-0000-0000-0000B17E0000}"/>
    <cellStyle name="Comma 3 4 4 6 3" xfId="3162" xr:uid="{00000000-0005-0000-0000-0000B27E0000}"/>
    <cellStyle name="Comma 3 4 4 6 3 2" xfId="16649" xr:uid="{00000000-0005-0000-0000-0000B37E0000}"/>
    <cellStyle name="Comma 3 4 4 6 3 2 2" xfId="39927" xr:uid="{00000000-0005-0000-0000-0000B47E0000}"/>
    <cellStyle name="Comma 3 4 4 6 3 3" xfId="47271" xr:uid="{00000000-0005-0000-0000-0000B57E0000}"/>
    <cellStyle name="Comma 3 4 4 6 3 4" xfId="26441" xr:uid="{00000000-0005-0000-0000-0000B67E0000}"/>
    <cellStyle name="Comma 3 4 4 6 4" xfId="5610" xr:uid="{00000000-0005-0000-0000-0000B77E0000}"/>
    <cellStyle name="Comma 3 4 4 6 4 2" xfId="19097" xr:uid="{00000000-0005-0000-0000-0000B87E0000}"/>
    <cellStyle name="Comma 3 4 4 6 4 2 2" xfId="42375" xr:uid="{00000000-0005-0000-0000-0000B97E0000}"/>
    <cellStyle name="Comma 3 4 4 6 4 3" xfId="28889" xr:uid="{00000000-0005-0000-0000-0000BA7E0000}"/>
    <cellStyle name="Comma 3 4 4 6 5" xfId="8058" xr:uid="{00000000-0005-0000-0000-0000BB7E0000}"/>
    <cellStyle name="Comma 3 4 4 6 5 2" xfId="31337" xr:uid="{00000000-0005-0000-0000-0000BC7E0000}"/>
    <cellStyle name="Comma 3 4 4 6 6" xfId="10506" xr:uid="{00000000-0005-0000-0000-0000BD7E0000}"/>
    <cellStyle name="Comma 3 4 4 6 6 2" xfId="33785" xr:uid="{00000000-0005-0000-0000-0000BE7E0000}"/>
    <cellStyle name="Comma 3 4 4 6 7" xfId="12954" xr:uid="{00000000-0005-0000-0000-0000BF7E0000}"/>
    <cellStyle name="Comma 3 4 4 6 7 2" xfId="36233" xr:uid="{00000000-0005-0000-0000-0000C07E0000}"/>
    <cellStyle name="Comma 3 4 4 6 8" xfId="15425" xr:uid="{00000000-0005-0000-0000-0000C17E0000}"/>
    <cellStyle name="Comma 3 4 4 6 8 2" xfId="38703" xr:uid="{00000000-0005-0000-0000-0000C27E0000}"/>
    <cellStyle name="Comma 3 4 4 6 9" xfId="23993" xr:uid="{00000000-0005-0000-0000-0000C37E0000}"/>
    <cellStyle name="Comma 3 4 4 7" xfId="1326" xr:uid="{00000000-0005-0000-0000-0000C47E0000}"/>
    <cellStyle name="Comma 3 4 4 7 10" xfId="22157" xr:uid="{00000000-0005-0000-0000-0000C57E0000}"/>
    <cellStyle name="Comma 3 4 4 7 2" xfId="3774" xr:uid="{00000000-0005-0000-0000-0000C67E0000}"/>
    <cellStyle name="Comma 3 4 4 7 2 2" xfId="19709" xr:uid="{00000000-0005-0000-0000-0000C77E0000}"/>
    <cellStyle name="Comma 3 4 4 7 2 2 2" xfId="42987" xr:uid="{00000000-0005-0000-0000-0000C87E0000}"/>
    <cellStyle name="Comma 3 4 4 7 2 3" xfId="47883" xr:uid="{00000000-0005-0000-0000-0000C97E0000}"/>
    <cellStyle name="Comma 3 4 4 7 2 4" xfId="27053" xr:uid="{00000000-0005-0000-0000-0000CA7E0000}"/>
    <cellStyle name="Comma 3 4 4 7 3" xfId="6222" xr:uid="{00000000-0005-0000-0000-0000CB7E0000}"/>
    <cellStyle name="Comma 3 4 4 7 3 2" xfId="29501" xr:uid="{00000000-0005-0000-0000-0000CC7E0000}"/>
    <cellStyle name="Comma 3 4 4 7 4" xfId="8670" xr:uid="{00000000-0005-0000-0000-0000CD7E0000}"/>
    <cellStyle name="Comma 3 4 4 7 4 2" xfId="31949" xr:uid="{00000000-0005-0000-0000-0000CE7E0000}"/>
    <cellStyle name="Comma 3 4 4 7 5" xfId="11118" xr:uid="{00000000-0005-0000-0000-0000CF7E0000}"/>
    <cellStyle name="Comma 3 4 4 7 5 2" xfId="34397" xr:uid="{00000000-0005-0000-0000-0000D07E0000}"/>
    <cellStyle name="Comma 3 4 4 7 6" xfId="13566" xr:uid="{00000000-0005-0000-0000-0000D17E0000}"/>
    <cellStyle name="Comma 3 4 4 7 6 2" xfId="36845" xr:uid="{00000000-0005-0000-0000-0000D27E0000}"/>
    <cellStyle name="Comma 3 4 4 7 7" xfId="17261" xr:uid="{00000000-0005-0000-0000-0000D37E0000}"/>
    <cellStyle name="Comma 3 4 4 7 7 2" xfId="40539" xr:uid="{00000000-0005-0000-0000-0000D47E0000}"/>
    <cellStyle name="Comma 3 4 4 7 8" xfId="24605" xr:uid="{00000000-0005-0000-0000-0000D57E0000}"/>
    <cellStyle name="Comma 3 4 4 7 9" xfId="45435" xr:uid="{00000000-0005-0000-0000-0000D67E0000}"/>
    <cellStyle name="Comma 3 4 4 8" xfId="2550" xr:uid="{00000000-0005-0000-0000-0000D77E0000}"/>
    <cellStyle name="Comma 3 4 4 8 2" xfId="16037" xr:uid="{00000000-0005-0000-0000-0000D87E0000}"/>
    <cellStyle name="Comma 3 4 4 8 2 2" xfId="39315" xr:uid="{00000000-0005-0000-0000-0000D97E0000}"/>
    <cellStyle name="Comma 3 4 4 8 3" xfId="46659" xr:uid="{00000000-0005-0000-0000-0000DA7E0000}"/>
    <cellStyle name="Comma 3 4 4 8 4" xfId="25829" xr:uid="{00000000-0005-0000-0000-0000DB7E0000}"/>
    <cellStyle name="Comma 3 4 4 9" xfId="4998" xr:uid="{00000000-0005-0000-0000-0000DC7E0000}"/>
    <cellStyle name="Comma 3 4 4 9 2" xfId="18485" xr:uid="{00000000-0005-0000-0000-0000DD7E0000}"/>
    <cellStyle name="Comma 3 4 4 9 2 2" xfId="41763" xr:uid="{00000000-0005-0000-0000-0000DE7E0000}"/>
    <cellStyle name="Comma 3 4 4 9 3" xfId="28277" xr:uid="{00000000-0005-0000-0000-0000DF7E0000}"/>
    <cellStyle name="Comma 3 4 5" xfId="119" xr:uid="{00000000-0005-0000-0000-0000E07E0000}"/>
    <cellStyle name="Comma 3 4 5 10" xfId="12359" xr:uid="{00000000-0005-0000-0000-0000E17E0000}"/>
    <cellStyle name="Comma 3 4 5 10 2" xfId="35638" xr:uid="{00000000-0005-0000-0000-0000E27E0000}"/>
    <cellStyle name="Comma 3 4 5 11" xfId="14830" xr:uid="{00000000-0005-0000-0000-0000E37E0000}"/>
    <cellStyle name="Comma 3 4 5 11 2" xfId="38108" xr:uid="{00000000-0005-0000-0000-0000E47E0000}"/>
    <cellStyle name="Comma 3 4 5 12" xfId="23398" xr:uid="{00000000-0005-0000-0000-0000E57E0000}"/>
    <cellStyle name="Comma 3 4 5 13" xfId="44228" xr:uid="{00000000-0005-0000-0000-0000E67E0000}"/>
    <cellStyle name="Comma 3 4 5 14" xfId="20950" xr:uid="{00000000-0005-0000-0000-0000E77E0000}"/>
    <cellStyle name="Comma 3 4 5 2" xfId="323" xr:uid="{00000000-0005-0000-0000-0000E87E0000}"/>
    <cellStyle name="Comma 3 4 5 2 10" xfId="23602" xr:uid="{00000000-0005-0000-0000-0000E97E0000}"/>
    <cellStyle name="Comma 3 4 5 2 11" xfId="44432" xr:uid="{00000000-0005-0000-0000-0000EA7E0000}"/>
    <cellStyle name="Comma 3 4 5 2 12" xfId="21154" xr:uid="{00000000-0005-0000-0000-0000EB7E0000}"/>
    <cellStyle name="Comma 3 4 5 2 2" xfId="935" xr:uid="{00000000-0005-0000-0000-0000EC7E0000}"/>
    <cellStyle name="Comma 3 4 5 2 2 10" xfId="45044" xr:uid="{00000000-0005-0000-0000-0000ED7E0000}"/>
    <cellStyle name="Comma 3 4 5 2 2 11" xfId="21766" xr:uid="{00000000-0005-0000-0000-0000EE7E0000}"/>
    <cellStyle name="Comma 3 4 5 2 2 2" xfId="2159" xr:uid="{00000000-0005-0000-0000-0000EF7E0000}"/>
    <cellStyle name="Comma 3 4 5 2 2 2 10" xfId="22990" xr:uid="{00000000-0005-0000-0000-0000F07E0000}"/>
    <cellStyle name="Comma 3 4 5 2 2 2 2" xfId="4607" xr:uid="{00000000-0005-0000-0000-0000F17E0000}"/>
    <cellStyle name="Comma 3 4 5 2 2 2 2 2" xfId="20542" xr:uid="{00000000-0005-0000-0000-0000F27E0000}"/>
    <cellStyle name="Comma 3 4 5 2 2 2 2 2 2" xfId="43820" xr:uid="{00000000-0005-0000-0000-0000F37E0000}"/>
    <cellStyle name="Comma 3 4 5 2 2 2 2 3" xfId="48716" xr:uid="{00000000-0005-0000-0000-0000F47E0000}"/>
    <cellStyle name="Comma 3 4 5 2 2 2 2 4" xfId="27886" xr:uid="{00000000-0005-0000-0000-0000F57E0000}"/>
    <cellStyle name="Comma 3 4 5 2 2 2 3" xfId="7055" xr:uid="{00000000-0005-0000-0000-0000F67E0000}"/>
    <cellStyle name="Comma 3 4 5 2 2 2 3 2" xfId="30334" xr:uid="{00000000-0005-0000-0000-0000F77E0000}"/>
    <cellStyle name="Comma 3 4 5 2 2 2 4" xfId="9503" xr:uid="{00000000-0005-0000-0000-0000F87E0000}"/>
    <cellStyle name="Comma 3 4 5 2 2 2 4 2" xfId="32782" xr:uid="{00000000-0005-0000-0000-0000F97E0000}"/>
    <cellStyle name="Comma 3 4 5 2 2 2 5" xfId="11951" xr:uid="{00000000-0005-0000-0000-0000FA7E0000}"/>
    <cellStyle name="Comma 3 4 5 2 2 2 5 2" xfId="35230" xr:uid="{00000000-0005-0000-0000-0000FB7E0000}"/>
    <cellStyle name="Comma 3 4 5 2 2 2 6" xfId="14399" xr:uid="{00000000-0005-0000-0000-0000FC7E0000}"/>
    <cellStyle name="Comma 3 4 5 2 2 2 6 2" xfId="37678" xr:uid="{00000000-0005-0000-0000-0000FD7E0000}"/>
    <cellStyle name="Comma 3 4 5 2 2 2 7" xfId="18094" xr:uid="{00000000-0005-0000-0000-0000FE7E0000}"/>
    <cellStyle name="Comma 3 4 5 2 2 2 7 2" xfId="41372" xr:uid="{00000000-0005-0000-0000-0000FF7E0000}"/>
    <cellStyle name="Comma 3 4 5 2 2 2 8" xfId="25438" xr:uid="{00000000-0005-0000-0000-0000007F0000}"/>
    <cellStyle name="Comma 3 4 5 2 2 2 9" xfId="46268" xr:uid="{00000000-0005-0000-0000-0000017F0000}"/>
    <cellStyle name="Comma 3 4 5 2 2 3" xfId="3383" xr:uid="{00000000-0005-0000-0000-0000027F0000}"/>
    <cellStyle name="Comma 3 4 5 2 2 3 2" xfId="16870" xr:uid="{00000000-0005-0000-0000-0000037F0000}"/>
    <cellStyle name="Comma 3 4 5 2 2 3 2 2" xfId="40148" xr:uid="{00000000-0005-0000-0000-0000047F0000}"/>
    <cellStyle name="Comma 3 4 5 2 2 3 3" xfId="47492" xr:uid="{00000000-0005-0000-0000-0000057F0000}"/>
    <cellStyle name="Comma 3 4 5 2 2 3 4" xfId="26662" xr:uid="{00000000-0005-0000-0000-0000067F0000}"/>
    <cellStyle name="Comma 3 4 5 2 2 4" xfId="5831" xr:uid="{00000000-0005-0000-0000-0000077F0000}"/>
    <cellStyle name="Comma 3 4 5 2 2 4 2" xfId="19318" xr:uid="{00000000-0005-0000-0000-0000087F0000}"/>
    <cellStyle name="Comma 3 4 5 2 2 4 2 2" xfId="42596" xr:uid="{00000000-0005-0000-0000-0000097F0000}"/>
    <cellStyle name="Comma 3 4 5 2 2 4 3" xfId="29110" xr:uid="{00000000-0005-0000-0000-00000A7F0000}"/>
    <cellStyle name="Comma 3 4 5 2 2 5" xfId="8279" xr:uid="{00000000-0005-0000-0000-00000B7F0000}"/>
    <cellStyle name="Comma 3 4 5 2 2 5 2" xfId="31558" xr:uid="{00000000-0005-0000-0000-00000C7F0000}"/>
    <cellStyle name="Comma 3 4 5 2 2 6" xfId="10727" xr:uid="{00000000-0005-0000-0000-00000D7F0000}"/>
    <cellStyle name="Comma 3 4 5 2 2 6 2" xfId="34006" xr:uid="{00000000-0005-0000-0000-00000E7F0000}"/>
    <cellStyle name="Comma 3 4 5 2 2 7" xfId="13175" xr:uid="{00000000-0005-0000-0000-00000F7F0000}"/>
    <cellStyle name="Comma 3 4 5 2 2 7 2" xfId="36454" xr:uid="{00000000-0005-0000-0000-0000107F0000}"/>
    <cellStyle name="Comma 3 4 5 2 2 8" xfId="15646" xr:uid="{00000000-0005-0000-0000-0000117F0000}"/>
    <cellStyle name="Comma 3 4 5 2 2 8 2" xfId="38924" xr:uid="{00000000-0005-0000-0000-0000127F0000}"/>
    <cellStyle name="Comma 3 4 5 2 2 9" xfId="24214" xr:uid="{00000000-0005-0000-0000-0000137F0000}"/>
    <cellStyle name="Comma 3 4 5 2 3" xfId="1547" xr:uid="{00000000-0005-0000-0000-0000147F0000}"/>
    <cellStyle name="Comma 3 4 5 2 3 10" xfId="22378" xr:uid="{00000000-0005-0000-0000-0000157F0000}"/>
    <cellStyle name="Comma 3 4 5 2 3 2" xfId="3995" xr:uid="{00000000-0005-0000-0000-0000167F0000}"/>
    <cellStyle name="Comma 3 4 5 2 3 2 2" xfId="19930" xr:uid="{00000000-0005-0000-0000-0000177F0000}"/>
    <cellStyle name="Comma 3 4 5 2 3 2 2 2" xfId="43208" xr:uid="{00000000-0005-0000-0000-0000187F0000}"/>
    <cellStyle name="Comma 3 4 5 2 3 2 3" xfId="48104" xr:uid="{00000000-0005-0000-0000-0000197F0000}"/>
    <cellStyle name="Comma 3 4 5 2 3 2 4" xfId="27274" xr:uid="{00000000-0005-0000-0000-00001A7F0000}"/>
    <cellStyle name="Comma 3 4 5 2 3 3" xfId="6443" xr:uid="{00000000-0005-0000-0000-00001B7F0000}"/>
    <cellStyle name="Comma 3 4 5 2 3 3 2" xfId="29722" xr:uid="{00000000-0005-0000-0000-00001C7F0000}"/>
    <cellStyle name="Comma 3 4 5 2 3 4" xfId="8891" xr:uid="{00000000-0005-0000-0000-00001D7F0000}"/>
    <cellStyle name="Comma 3 4 5 2 3 4 2" xfId="32170" xr:uid="{00000000-0005-0000-0000-00001E7F0000}"/>
    <cellStyle name="Comma 3 4 5 2 3 5" xfId="11339" xr:uid="{00000000-0005-0000-0000-00001F7F0000}"/>
    <cellStyle name="Comma 3 4 5 2 3 5 2" xfId="34618" xr:uid="{00000000-0005-0000-0000-0000207F0000}"/>
    <cellStyle name="Comma 3 4 5 2 3 6" xfId="13787" xr:uid="{00000000-0005-0000-0000-0000217F0000}"/>
    <cellStyle name="Comma 3 4 5 2 3 6 2" xfId="37066" xr:uid="{00000000-0005-0000-0000-0000227F0000}"/>
    <cellStyle name="Comma 3 4 5 2 3 7" xfId="17482" xr:uid="{00000000-0005-0000-0000-0000237F0000}"/>
    <cellStyle name="Comma 3 4 5 2 3 7 2" xfId="40760" xr:uid="{00000000-0005-0000-0000-0000247F0000}"/>
    <cellStyle name="Comma 3 4 5 2 3 8" xfId="24826" xr:uid="{00000000-0005-0000-0000-0000257F0000}"/>
    <cellStyle name="Comma 3 4 5 2 3 9" xfId="45656" xr:uid="{00000000-0005-0000-0000-0000267F0000}"/>
    <cellStyle name="Comma 3 4 5 2 4" xfId="2771" xr:uid="{00000000-0005-0000-0000-0000277F0000}"/>
    <cellStyle name="Comma 3 4 5 2 4 2" xfId="16258" xr:uid="{00000000-0005-0000-0000-0000287F0000}"/>
    <cellStyle name="Comma 3 4 5 2 4 2 2" xfId="39536" xr:uid="{00000000-0005-0000-0000-0000297F0000}"/>
    <cellStyle name="Comma 3 4 5 2 4 3" xfId="46880" xr:uid="{00000000-0005-0000-0000-00002A7F0000}"/>
    <cellStyle name="Comma 3 4 5 2 4 4" xfId="26050" xr:uid="{00000000-0005-0000-0000-00002B7F0000}"/>
    <cellStyle name="Comma 3 4 5 2 5" xfId="5219" xr:uid="{00000000-0005-0000-0000-00002C7F0000}"/>
    <cellStyle name="Comma 3 4 5 2 5 2" xfId="18706" xr:uid="{00000000-0005-0000-0000-00002D7F0000}"/>
    <cellStyle name="Comma 3 4 5 2 5 2 2" xfId="41984" xr:uid="{00000000-0005-0000-0000-00002E7F0000}"/>
    <cellStyle name="Comma 3 4 5 2 5 3" xfId="28498" xr:uid="{00000000-0005-0000-0000-00002F7F0000}"/>
    <cellStyle name="Comma 3 4 5 2 6" xfId="7667" xr:uid="{00000000-0005-0000-0000-0000307F0000}"/>
    <cellStyle name="Comma 3 4 5 2 6 2" xfId="30946" xr:uid="{00000000-0005-0000-0000-0000317F0000}"/>
    <cellStyle name="Comma 3 4 5 2 7" xfId="10115" xr:uid="{00000000-0005-0000-0000-0000327F0000}"/>
    <cellStyle name="Comma 3 4 5 2 7 2" xfId="33394" xr:uid="{00000000-0005-0000-0000-0000337F0000}"/>
    <cellStyle name="Comma 3 4 5 2 8" xfId="12563" xr:uid="{00000000-0005-0000-0000-0000347F0000}"/>
    <cellStyle name="Comma 3 4 5 2 8 2" xfId="35842" xr:uid="{00000000-0005-0000-0000-0000357F0000}"/>
    <cellStyle name="Comma 3 4 5 2 9" xfId="15034" xr:uid="{00000000-0005-0000-0000-0000367F0000}"/>
    <cellStyle name="Comma 3 4 5 2 9 2" xfId="38312" xr:uid="{00000000-0005-0000-0000-0000377F0000}"/>
    <cellStyle name="Comma 3 4 5 3" xfId="527" xr:uid="{00000000-0005-0000-0000-0000387F0000}"/>
    <cellStyle name="Comma 3 4 5 3 10" xfId="23806" xr:uid="{00000000-0005-0000-0000-0000397F0000}"/>
    <cellStyle name="Comma 3 4 5 3 11" xfId="44636" xr:uid="{00000000-0005-0000-0000-00003A7F0000}"/>
    <cellStyle name="Comma 3 4 5 3 12" xfId="21358" xr:uid="{00000000-0005-0000-0000-00003B7F0000}"/>
    <cellStyle name="Comma 3 4 5 3 2" xfId="1139" xr:uid="{00000000-0005-0000-0000-00003C7F0000}"/>
    <cellStyle name="Comma 3 4 5 3 2 10" xfId="45248" xr:uid="{00000000-0005-0000-0000-00003D7F0000}"/>
    <cellStyle name="Comma 3 4 5 3 2 11" xfId="21970" xr:uid="{00000000-0005-0000-0000-00003E7F0000}"/>
    <cellStyle name="Comma 3 4 5 3 2 2" xfId="2363" xr:uid="{00000000-0005-0000-0000-00003F7F0000}"/>
    <cellStyle name="Comma 3 4 5 3 2 2 10" xfId="23194" xr:uid="{00000000-0005-0000-0000-0000407F0000}"/>
    <cellStyle name="Comma 3 4 5 3 2 2 2" xfId="4811" xr:uid="{00000000-0005-0000-0000-0000417F0000}"/>
    <cellStyle name="Comma 3 4 5 3 2 2 2 2" xfId="20746" xr:uid="{00000000-0005-0000-0000-0000427F0000}"/>
    <cellStyle name="Comma 3 4 5 3 2 2 2 2 2" xfId="44024" xr:uid="{00000000-0005-0000-0000-0000437F0000}"/>
    <cellStyle name="Comma 3 4 5 3 2 2 2 3" xfId="48920" xr:uid="{00000000-0005-0000-0000-0000447F0000}"/>
    <cellStyle name="Comma 3 4 5 3 2 2 2 4" xfId="28090" xr:uid="{00000000-0005-0000-0000-0000457F0000}"/>
    <cellStyle name="Comma 3 4 5 3 2 2 3" xfId="7259" xr:uid="{00000000-0005-0000-0000-0000467F0000}"/>
    <cellStyle name="Comma 3 4 5 3 2 2 3 2" xfId="30538" xr:uid="{00000000-0005-0000-0000-0000477F0000}"/>
    <cellStyle name="Comma 3 4 5 3 2 2 4" xfId="9707" xr:uid="{00000000-0005-0000-0000-0000487F0000}"/>
    <cellStyle name="Comma 3 4 5 3 2 2 4 2" xfId="32986" xr:uid="{00000000-0005-0000-0000-0000497F0000}"/>
    <cellStyle name="Comma 3 4 5 3 2 2 5" xfId="12155" xr:uid="{00000000-0005-0000-0000-00004A7F0000}"/>
    <cellStyle name="Comma 3 4 5 3 2 2 5 2" xfId="35434" xr:uid="{00000000-0005-0000-0000-00004B7F0000}"/>
    <cellStyle name="Comma 3 4 5 3 2 2 6" xfId="14603" xr:uid="{00000000-0005-0000-0000-00004C7F0000}"/>
    <cellStyle name="Comma 3 4 5 3 2 2 6 2" xfId="37882" xr:uid="{00000000-0005-0000-0000-00004D7F0000}"/>
    <cellStyle name="Comma 3 4 5 3 2 2 7" xfId="18298" xr:uid="{00000000-0005-0000-0000-00004E7F0000}"/>
    <cellStyle name="Comma 3 4 5 3 2 2 7 2" xfId="41576" xr:uid="{00000000-0005-0000-0000-00004F7F0000}"/>
    <cellStyle name="Comma 3 4 5 3 2 2 8" xfId="25642" xr:uid="{00000000-0005-0000-0000-0000507F0000}"/>
    <cellStyle name="Comma 3 4 5 3 2 2 9" xfId="46472" xr:uid="{00000000-0005-0000-0000-0000517F0000}"/>
    <cellStyle name="Comma 3 4 5 3 2 3" xfId="3587" xr:uid="{00000000-0005-0000-0000-0000527F0000}"/>
    <cellStyle name="Comma 3 4 5 3 2 3 2" xfId="17074" xr:uid="{00000000-0005-0000-0000-0000537F0000}"/>
    <cellStyle name="Comma 3 4 5 3 2 3 2 2" xfId="40352" xr:uid="{00000000-0005-0000-0000-0000547F0000}"/>
    <cellStyle name="Comma 3 4 5 3 2 3 3" xfId="47696" xr:uid="{00000000-0005-0000-0000-0000557F0000}"/>
    <cellStyle name="Comma 3 4 5 3 2 3 4" xfId="26866" xr:uid="{00000000-0005-0000-0000-0000567F0000}"/>
    <cellStyle name="Comma 3 4 5 3 2 4" xfId="6035" xr:uid="{00000000-0005-0000-0000-0000577F0000}"/>
    <cellStyle name="Comma 3 4 5 3 2 4 2" xfId="19522" xr:uid="{00000000-0005-0000-0000-0000587F0000}"/>
    <cellStyle name="Comma 3 4 5 3 2 4 2 2" xfId="42800" xr:uid="{00000000-0005-0000-0000-0000597F0000}"/>
    <cellStyle name="Comma 3 4 5 3 2 4 3" xfId="29314" xr:uid="{00000000-0005-0000-0000-00005A7F0000}"/>
    <cellStyle name="Comma 3 4 5 3 2 5" xfId="8483" xr:uid="{00000000-0005-0000-0000-00005B7F0000}"/>
    <cellStyle name="Comma 3 4 5 3 2 5 2" xfId="31762" xr:uid="{00000000-0005-0000-0000-00005C7F0000}"/>
    <cellStyle name="Comma 3 4 5 3 2 6" xfId="10931" xr:uid="{00000000-0005-0000-0000-00005D7F0000}"/>
    <cellStyle name="Comma 3 4 5 3 2 6 2" xfId="34210" xr:uid="{00000000-0005-0000-0000-00005E7F0000}"/>
    <cellStyle name="Comma 3 4 5 3 2 7" xfId="13379" xr:uid="{00000000-0005-0000-0000-00005F7F0000}"/>
    <cellStyle name="Comma 3 4 5 3 2 7 2" xfId="36658" xr:uid="{00000000-0005-0000-0000-0000607F0000}"/>
    <cellStyle name="Comma 3 4 5 3 2 8" xfId="15850" xr:uid="{00000000-0005-0000-0000-0000617F0000}"/>
    <cellStyle name="Comma 3 4 5 3 2 8 2" xfId="39128" xr:uid="{00000000-0005-0000-0000-0000627F0000}"/>
    <cellStyle name="Comma 3 4 5 3 2 9" xfId="24418" xr:uid="{00000000-0005-0000-0000-0000637F0000}"/>
    <cellStyle name="Comma 3 4 5 3 3" xfId="1751" xr:uid="{00000000-0005-0000-0000-0000647F0000}"/>
    <cellStyle name="Comma 3 4 5 3 3 10" xfId="22582" xr:uid="{00000000-0005-0000-0000-0000657F0000}"/>
    <cellStyle name="Comma 3 4 5 3 3 2" xfId="4199" xr:uid="{00000000-0005-0000-0000-0000667F0000}"/>
    <cellStyle name="Comma 3 4 5 3 3 2 2" xfId="20134" xr:uid="{00000000-0005-0000-0000-0000677F0000}"/>
    <cellStyle name="Comma 3 4 5 3 3 2 2 2" xfId="43412" xr:uid="{00000000-0005-0000-0000-0000687F0000}"/>
    <cellStyle name="Comma 3 4 5 3 3 2 3" xfId="48308" xr:uid="{00000000-0005-0000-0000-0000697F0000}"/>
    <cellStyle name="Comma 3 4 5 3 3 2 4" xfId="27478" xr:uid="{00000000-0005-0000-0000-00006A7F0000}"/>
    <cellStyle name="Comma 3 4 5 3 3 3" xfId="6647" xr:uid="{00000000-0005-0000-0000-00006B7F0000}"/>
    <cellStyle name="Comma 3 4 5 3 3 3 2" xfId="29926" xr:uid="{00000000-0005-0000-0000-00006C7F0000}"/>
    <cellStyle name="Comma 3 4 5 3 3 4" xfId="9095" xr:uid="{00000000-0005-0000-0000-00006D7F0000}"/>
    <cellStyle name="Comma 3 4 5 3 3 4 2" xfId="32374" xr:uid="{00000000-0005-0000-0000-00006E7F0000}"/>
    <cellStyle name="Comma 3 4 5 3 3 5" xfId="11543" xr:uid="{00000000-0005-0000-0000-00006F7F0000}"/>
    <cellStyle name="Comma 3 4 5 3 3 5 2" xfId="34822" xr:uid="{00000000-0005-0000-0000-0000707F0000}"/>
    <cellStyle name="Comma 3 4 5 3 3 6" xfId="13991" xr:uid="{00000000-0005-0000-0000-0000717F0000}"/>
    <cellStyle name="Comma 3 4 5 3 3 6 2" xfId="37270" xr:uid="{00000000-0005-0000-0000-0000727F0000}"/>
    <cellStyle name="Comma 3 4 5 3 3 7" xfId="17686" xr:uid="{00000000-0005-0000-0000-0000737F0000}"/>
    <cellStyle name="Comma 3 4 5 3 3 7 2" xfId="40964" xr:uid="{00000000-0005-0000-0000-0000747F0000}"/>
    <cellStyle name="Comma 3 4 5 3 3 8" xfId="25030" xr:uid="{00000000-0005-0000-0000-0000757F0000}"/>
    <cellStyle name="Comma 3 4 5 3 3 9" xfId="45860" xr:uid="{00000000-0005-0000-0000-0000767F0000}"/>
    <cellStyle name="Comma 3 4 5 3 4" xfId="2975" xr:uid="{00000000-0005-0000-0000-0000777F0000}"/>
    <cellStyle name="Comma 3 4 5 3 4 2" xfId="16462" xr:uid="{00000000-0005-0000-0000-0000787F0000}"/>
    <cellStyle name="Comma 3 4 5 3 4 2 2" xfId="39740" xr:uid="{00000000-0005-0000-0000-0000797F0000}"/>
    <cellStyle name="Comma 3 4 5 3 4 3" xfId="47084" xr:uid="{00000000-0005-0000-0000-00007A7F0000}"/>
    <cellStyle name="Comma 3 4 5 3 4 4" xfId="26254" xr:uid="{00000000-0005-0000-0000-00007B7F0000}"/>
    <cellStyle name="Comma 3 4 5 3 5" xfId="5423" xr:uid="{00000000-0005-0000-0000-00007C7F0000}"/>
    <cellStyle name="Comma 3 4 5 3 5 2" xfId="18910" xr:uid="{00000000-0005-0000-0000-00007D7F0000}"/>
    <cellStyle name="Comma 3 4 5 3 5 2 2" xfId="42188" xr:uid="{00000000-0005-0000-0000-00007E7F0000}"/>
    <cellStyle name="Comma 3 4 5 3 5 3" xfId="28702" xr:uid="{00000000-0005-0000-0000-00007F7F0000}"/>
    <cellStyle name="Comma 3 4 5 3 6" xfId="7871" xr:uid="{00000000-0005-0000-0000-0000807F0000}"/>
    <cellStyle name="Comma 3 4 5 3 6 2" xfId="31150" xr:uid="{00000000-0005-0000-0000-0000817F0000}"/>
    <cellStyle name="Comma 3 4 5 3 7" xfId="10319" xr:uid="{00000000-0005-0000-0000-0000827F0000}"/>
    <cellStyle name="Comma 3 4 5 3 7 2" xfId="33598" xr:uid="{00000000-0005-0000-0000-0000837F0000}"/>
    <cellStyle name="Comma 3 4 5 3 8" xfId="12767" xr:uid="{00000000-0005-0000-0000-0000847F0000}"/>
    <cellStyle name="Comma 3 4 5 3 8 2" xfId="36046" xr:uid="{00000000-0005-0000-0000-0000857F0000}"/>
    <cellStyle name="Comma 3 4 5 3 9" xfId="15238" xr:uid="{00000000-0005-0000-0000-0000867F0000}"/>
    <cellStyle name="Comma 3 4 5 3 9 2" xfId="38516" xr:uid="{00000000-0005-0000-0000-0000877F0000}"/>
    <cellStyle name="Comma 3 4 5 4" xfId="731" xr:uid="{00000000-0005-0000-0000-0000887F0000}"/>
    <cellStyle name="Comma 3 4 5 4 10" xfId="44840" xr:uid="{00000000-0005-0000-0000-0000897F0000}"/>
    <cellStyle name="Comma 3 4 5 4 11" xfId="21562" xr:uid="{00000000-0005-0000-0000-00008A7F0000}"/>
    <cellStyle name="Comma 3 4 5 4 2" xfId="1955" xr:uid="{00000000-0005-0000-0000-00008B7F0000}"/>
    <cellStyle name="Comma 3 4 5 4 2 10" xfId="22786" xr:uid="{00000000-0005-0000-0000-00008C7F0000}"/>
    <cellStyle name="Comma 3 4 5 4 2 2" xfId="4403" xr:uid="{00000000-0005-0000-0000-00008D7F0000}"/>
    <cellStyle name="Comma 3 4 5 4 2 2 2" xfId="20338" xr:uid="{00000000-0005-0000-0000-00008E7F0000}"/>
    <cellStyle name="Comma 3 4 5 4 2 2 2 2" xfId="43616" xr:uid="{00000000-0005-0000-0000-00008F7F0000}"/>
    <cellStyle name="Comma 3 4 5 4 2 2 3" xfId="48512" xr:uid="{00000000-0005-0000-0000-0000907F0000}"/>
    <cellStyle name="Comma 3 4 5 4 2 2 4" xfId="27682" xr:uid="{00000000-0005-0000-0000-0000917F0000}"/>
    <cellStyle name="Comma 3 4 5 4 2 3" xfId="6851" xr:uid="{00000000-0005-0000-0000-0000927F0000}"/>
    <cellStyle name="Comma 3 4 5 4 2 3 2" xfId="30130" xr:uid="{00000000-0005-0000-0000-0000937F0000}"/>
    <cellStyle name="Comma 3 4 5 4 2 4" xfId="9299" xr:uid="{00000000-0005-0000-0000-0000947F0000}"/>
    <cellStyle name="Comma 3 4 5 4 2 4 2" xfId="32578" xr:uid="{00000000-0005-0000-0000-0000957F0000}"/>
    <cellStyle name="Comma 3 4 5 4 2 5" xfId="11747" xr:uid="{00000000-0005-0000-0000-0000967F0000}"/>
    <cellStyle name="Comma 3 4 5 4 2 5 2" xfId="35026" xr:uid="{00000000-0005-0000-0000-0000977F0000}"/>
    <cellStyle name="Comma 3 4 5 4 2 6" xfId="14195" xr:uid="{00000000-0005-0000-0000-0000987F0000}"/>
    <cellStyle name="Comma 3 4 5 4 2 6 2" xfId="37474" xr:uid="{00000000-0005-0000-0000-0000997F0000}"/>
    <cellStyle name="Comma 3 4 5 4 2 7" xfId="17890" xr:uid="{00000000-0005-0000-0000-00009A7F0000}"/>
    <cellStyle name="Comma 3 4 5 4 2 7 2" xfId="41168" xr:uid="{00000000-0005-0000-0000-00009B7F0000}"/>
    <cellStyle name="Comma 3 4 5 4 2 8" xfId="25234" xr:uid="{00000000-0005-0000-0000-00009C7F0000}"/>
    <cellStyle name="Comma 3 4 5 4 2 9" xfId="46064" xr:uid="{00000000-0005-0000-0000-00009D7F0000}"/>
    <cellStyle name="Comma 3 4 5 4 3" xfId="3179" xr:uid="{00000000-0005-0000-0000-00009E7F0000}"/>
    <cellStyle name="Comma 3 4 5 4 3 2" xfId="16666" xr:uid="{00000000-0005-0000-0000-00009F7F0000}"/>
    <cellStyle name="Comma 3 4 5 4 3 2 2" xfId="39944" xr:uid="{00000000-0005-0000-0000-0000A07F0000}"/>
    <cellStyle name="Comma 3 4 5 4 3 3" xfId="47288" xr:uid="{00000000-0005-0000-0000-0000A17F0000}"/>
    <cellStyle name="Comma 3 4 5 4 3 4" xfId="26458" xr:uid="{00000000-0005-0000-0000-0000A27F0000}"/>
    <cellStyle name="Comma 3 4 5 4 4" xfId="5627" xr:uid="{00000000-0005-0000-0000-0000A37F0000}"/>
    <cellStyle name="Comma 3 4 5 4 4 2" xfId="19114" xr:uid="{00000000-0005-0000-0000-0000A47F0000}"/>
    <cellStyle name="Comma 3 4 5 4 4 2 2" xfId="42392" xr:uid="{00000000-0005-0000-0000-0000A57F0000}"/>
    <cellStyle name="Comma 3 4 5 4 4 3" xfId="28906" xr:uid="{00000000-0005-0000-0000-0000A67F0000}"/>
    <cellStyle name="Comma 3 4 5 4 5" xfId="8075" xr:uid="{00000000-0005-0000-0000-0000A77F0000}"/>
    <cellStyle name="Comma 3 4 5 4 5 2" xfId="31354" xr:uid="{00000000-0005-0000-0000-0000A87F0000}"/>
    <cellStyle name="Comma 3 4 5 4 6" xfId="10523" xr:uid="{00000000-0005-0000-0000-0000A97F0000}"/>
    <cellStyle name="Comma 3 4 5 4 6 2" xfId="33802" xr:uid="{00000000-0005-0000-0000-0000AA7F0000}"/>
    <cellStyle name="Comma 3 4 5 4 7" xfId="12971" xr:uid="{00000000-0005-0000-0000-0000AB7F0000}"/>
    <cellStyle name="Comma 3 4 5 4 7 2" xfId="36250" xr:uid="{00000000-0005-0000-0000-0000AC7F0000}"/>
    <cellStyle name="Comma 3 4 5 4 8" xfId="15442" xr:uid="{00000000-0005-0000-0000-0000AD7F0000}"/>
    <cellStyle name="Comma 3 4 5 4 8 2" xfId="38720" xr:uid="{00000000-0005-0000-0000-0000AE7F0000}"/>
    <cellStyle name="Comma 3 4 5 4 9" xfId="24010" xr:uid="{00000000-0005-0000-0000-0000AF7F0000}"/>
    <cellStyle name="Comma 3 4 5 5" xfId="1343" xr:uid="{00000000-0005-0000-0000-0000B07F0000}"/>
    <cellStyle name="Comma 3 4 5 5 10" xfId="22174" xr:uid="{00000000-0005-0000-0000-0000B17F0000}"/>
    <cellStyle name="Comma 3 4 5 5 2" xfId="3791" xr:uid="{00000000-0005-0000-0000-0000B27F0000}"/>
    <cellStyle name="Comma 3 4 5 5 2 2" xfId="19726" xr:uid="{00000000-0005-0000-0000-0000B37F0000}"/>
    <cellStyle name="Comma 3 4 5 5 2 2 2" xfId="43004" xr:uid="{00000000-0005-0000-0000-0000B47F0000}"/>
    <cellStyle name="Comma 3 4 5 5 2 3" xfId="47900" xr:uid="{00000000-0005-0000-0000-0000B57F0000}"/>
    <cellStyle name="Comma 3 4 5 5 2 4" xfId="27070" xr:uid="{00000000-0005-0000-0000-0000B67F0000}"/>
    <cellStyle name="Comma 3 4 5 5 3" xfId="6239" xr:uid="{00000000-0005-0000-0000-0000B77F0000}"/>
    <cellStyle name="Comma 3 4 5 5 3 2" xfId="29518" xr:uid="{00000000-0005-0000-0000-0000B87F0000}"/>
    <cellStyle name="Comma 3 4 5 5 4" xfId="8687" xr:uid="{00000000-0005-0000-0000-0000B97F0000}"/>
    <cellStyle name="Comma 3 4 5 5 4 2" xfId="31966" xr:uid="{00000000-0005-0000-0000-0000BA7F0000}"/>
    <cellStyle name="Comma 3 4 5 5 5" xfId="11135" xr:uid="{00000000-0005-0000-0000-0000BB7F0000}"/>
    <cellStyle name="Comma 3 4 5 5 5 2" xfId="34414" xr:uid="{00000000-0005-0000-0000-0000BC7F0000}"/>
    <cellStyle name="Comma 3 4 5 5 6" xfId="13583" xr:uid="{00000000-0005-0000-0000-0000BD7F0000}"/>
    <cellStyle name="Comma 3 4 5 5 6 2" xfId="36862" xr:uid="{00000000-0005-0000-0000-0000BE7F0000}"/>
    <cellStyle name="Comma 3 4 5 5 7" xfId="17278" xr:uid="{00000000-0005-0000-0000-0000BF7F0000}"/>
    <cellStyle name="Comma 3 4 5 5 7 2" xfId="40556" xr:uid="{00000000-0005-0000-0000-0000C07F0000}"/>
    <cellStyle name="Comma 3 4 5 5 8" xfId="24622" xr:uid="{00000000-0005-0000-0000-0000C17F0000}"/>
    <cellStyle name="Comma 3 4 5 5 9" xfId="45452" xr:uid="{00000000-0005-0000-0000-0000C27F0000}"/>
    <cellStyle name="Comma 3 4 5 6" xfId="2567" xr:uid="{00000000-0005-0000-0000-0000C37F0000}"/>
    <cellStyle name="Comma 3 4 5 6 2" xfId="16054" xr:uid="{00000000-0005-0000-0000-0000C47F0000}"/>
    <cellStyle name="Comma 3 4 5 6 2 2" xfId="39332" xr:uid="{00000000-0005-0000-0000-0000C57F0000}"/>
    <cellStyle name="Comma 3 4 5 6 3" xfId="46676" xr:uid="{00000000-0005-0000-0000-0000C67F0000}"/>
    <cellStyle name="Comma 3 4 5 6 4" xfId="25846" xr:uid="{00000000-0005-0000-0000-0000C77F0000}"/>
    <cellStyle name="Comma 3 4 5 7" xfId="5015" xr:uid="{00000000-0005-0000-0000-0000C87F0000}"/>
    <cellStyle name="Comma 3 4 5 7 2" xfId="18502" xr:uid="{00000000-0005-0000-0000-0000C97F0000}"/>
    <cellStyle name="Comma 3 4 5 7 2 2" xfId="41780" xr:uid="{00000000-0005-0000-0000-0000CA7F0000}"/>
    <cellStyle name="Comma 3 4 5 7 3" xfId="28294" xr:uid="{00000000-0005-0000-0000-0000CB7F0000}"/>
    <cellStyle name="Comma 3 4 5 8" xfId="7463" xr:uid="{00000000-0005-0000-0000-0000CC7F0000}"/>
    <cellStyle name="Comma 3 4 5 8 2" xfId="30742" xr:uid="{00000000-0005-0000-0000-0000CD7F0000}"/>
    <cellStyle name="Comma 3 4 5 9" xfId="9911" xr:uid="{00000000-0005-0000-0000-0000CE7F0000}"/>
    <cellStyle name="Comma 3 4 5 9 2" xfId="33190" xr:uid="{00000000-0005-0000-0000-0000CF7F0000}"/>
    <cellStyle name="Comma 3 4 6" xfId="187" xr:uid="{00000000-0005-0000-0000-0000D07F0000}"/>
    <cellStyle name="Comma 3 4 6 10" xfId="12427" xr:uid="{00000000-0005-0000-0000-0000D17F0000}"/>
    <cellStyle name="Comma 3 4 6 10 2" xfId="35706" xr:uid="{00000000-0005-0000-0000-0000D27F0000}"/>
    <cellStyle name="Comma 3 4 6 11" xfId="14898" xr:uid="{00000000-0005-0000-0000-0000D37F0000}"/>
    <cellStyle name="Comma 3 4 6 11 2" xfId="38176" xr:uid="{00000000-0005-0000-0000-0000D47F0000}"/>
    <cellStyle name="Comma 3 4 6 12" xfId="23466" xr:uid="{00000000-0005-0000-0000-0000D57F0000}"/>
    <cellStyle name="Comma 3 4 6 13" xfId="44296" xr:uid="{00000000-0005-0000-0000-0000D67F0000}"/>
    <cellStyle name="Comma 3 4 6 14" xfId="21018" xr:uid="{00000000-0005-0000-0000-0000D77F0000}"/>
    <cellStyle name="Comma 3 4 6 2" xfId="391" xr:uid="{00000000-0005-0000-0000-0000D87F0000}"/>
    <cellStyle name="Comma 3 4 6 2 10" xfId="23670" xr:uid="{00000000-0005-0000-0000-0000D97F0000}"/>
    <cellStyle name="Comma 3 4 6 2 11" xfId="44500" xr:uid="{00000000-0005-0000-0000-0000DA7F0000}"/>
    <cellStyle name="Comma 3 4 6 2 12" xfId="21222" xr:uid="{00000000-0005-0000-0000-0000DB7F0000}"/>
    <cellStyle name="Comma 3 4 6 2 2" xfId="1003" xr:uid="{00000000-0005-0000-0000-0000DC7F0000}"/>
    <cellStyle name="Comma 3 4 6 2 2 10" xfId="45112" xr:uid="{00000000-0005-0000-0000-0000DD7F0000}"/>
    <cellStyle name="Comma 3 4 6 2 2 11" xfId="21834" xr:uid="{00000000-0005-0000-0000-0000DE7F0000}"/>
    <cellStyle name="Comma 3 4 6 2 2 2" xfId="2227" xr:uid="{00000000-0005-0000-0000-0000DF7F0000}"/>
    <cellStyle name="Comma 3 4 6 2 2 2 10" xfId="23058" xr:uid="{00000000-0005-0000-0000-0000E07F0000}"/>
    <cellStyle name="Comma 3 4 6 2 2 2 2" xfId="4675" xr:uid="{00000000-0005-0000-0000-0000E17F0000}"/>
    <cellStyle name="Comma 3 4 6 2 2 2 2 2" xfId="20610" xr:uid="{00000000-0005-0000-0000-0000E27F0000}"/>
    <cellStyle name="Comma 3 4 6 2 2 2 2 2 2" xfId="43888" xr:uid="{00000000-0005-0000-0000-0000E37F0000}"/>
    <cellStyle name="Comma 3 4 6 2 2 2 2 3" xfId="48784" xr:uid="{00000000-0005-0000-0000-0000E47F0000}"/>
    <cellStyle name="Comma 3 4 6 2 2 2 2 4" xfId="27954" xr:uid="{00000000-0005-0000-0000-0000E57F0000}"/>
    <cellStyle name="Comma 3 4 6 2 2 2 3" xfId="7123" xr:uid="{00000000-0005-0000-0000-0000E67F0000}"/>
    <cellStyle name="Comma 3 4 6 2 2 2 3 2" xfId="30402" xr:uid="{00000000-0005-0000-0000-0000E77F0000}"/>
    <cellStyle name="Comma 3 4 6 2 2 2 4" xfId="9571" xr:uid="{00000000-0005-0000-0000-0000E87F0000}"/>
    <cellStyle name="Comma 3 4 6 2 2 2 4 2" xfId="32850" xr:uid="{00000000-0005-0000-0000-0000E97F0000}"/>
    <cellStyle name="Comma 3 4 6 2 2 2 5" xfId="12019" xr:uid="{00000000-0005-0000-0000-0000EA7F0000}"/>
    <cellStyle name="Comma 3 4 6 2 2 2 5 2" xfId="35298" xr:uid="{00000000-0005-0000-0000-0000EB7F0000}"/>
    <cellStyle name="Comma 3 4 6 2 2 2 6" xfId="14467" xr:uid="{00000000-0005-0000-0000-0000EC7F0000}"/>
    <cellStyle name="Comma 3 4 6 2 2 2 6 2" xfId="37746" xr:uid="{00000000-0005-0000-0000-0000ED7F0000}"/>
    <cellStyle name="Comma 3 4 6 2 2 2 7" xfId="18162" xr:uid="{00000000-0005-0000-0000-0000EE7F0000}"/>
    <cellStyle name="Comma 3 4 6 2 2 2 7 2" xfId="41440" xr:uid="{00000000-0005-0000-0000-0000EF7F0000}"/>
    <cellStyle name="Comma 3 4 6 2 2 2 8" xfId="25506" xr:uid="{00000000-0005-0000-0000-0000F07F0000}"/>
    <cellStyle name="Comma 3 4 6 2 2 2 9" xfId="46336" xr:uid="{00000000-0005-0000-0000-0000F17F0000}"/>
    <cellStyle name="Comma 3 4 6 2 2 3" xfId="3451" xr:uid="{00000000-0005-0000-0000-0000F27F0000}"/>
    <cellStyle name="Comma 3 4 6 2 2 3 2" xfId="16938" xr:uid="{00000000-0005-0000-0000-0000F37F0000}"/>
    <cellStyle name="Comma 3 4 6 2 2 3 2 2" xfId="40216" xr:uid="{00000000-0005-0000-0000-0000F47F0000}"/>
    <cellStyle name="Comma 3 4 6 2 2 3 3" xfId="47560" xr:uid="{00000000-0005-0000-0000-0000F57F0000}"/>
    <cellStyle name="Comma 3 4 6 2 2 3 4" xfId="26730" xr:uid="{00000000-0005-0000-0000-0000F67F0000}"/>
    <cellStyle name="Comma 3 4 6 2 2 4" xfId="5899" xr:uid="{00000000-0005-0000-0000-0000F77F0000}"/>
    <cellStyle name="Comma 3 4 6 2 2 4 2" xfId="19386" xr:uid="{00000000-0005-0000-0000-0000F87F0000}"/>
    <cellStyle name="Comma 3 4 6 2 2 4 2 2" xfId="42664" xr:uid="{00000000-0005-0000-0000-0000F97F0000}"/>
    <cellStyle name="Comma 3 4 6 2 2 4 3" xfId="29178" xr:uid="{00000000-0005-0000-0000-0000FA7F0000}"/>
    <cellStyle name="Comma 3 4 6 2 2 5" xfId="8347" xr:uid="{00000000-0005-0000-0000-0000FB7F0000}"/>
    <cellStyle name="Comma 3 4 6 2 2 5 2" xfId="31626" xr:uid="{00000000-0005-0000-0000-0000FC7F0000}"/>
    <cellStyle name="Comma 3 4 6 2 2 6" xfId="10795" xr:uid="{00000000-0005-0000-0000-0000FD7F0000}"/>
    <cellStyle name="Comma 3 4 6 2 2 6 2" xfId="34074" xr:uid="{00000000-0005-0000-0000-0000FE7F0000}"/>
    <cellStyle name="Comma 3 4 6 2 2 7" xfId="13243" xr:uid="{00000000-0005-0000-0000-0000FF7F0000}"/>
    <cellStyle name="Comma 3 4 6 2 2 7 2" xfId="36522" xr:uid="{00000000-0005-0000-0000-000000800000}"/>
    <cellStyle name="Comma 3 4 6 2 2 8" xfId="15714" xr:uid="{00000000-0005-0000-0000-000001800000}"/>
    <cellStyle name="Comma 3 4 6 2 2 8 2" xfId="38992" xr:uid="{00000000-0005-0000-0000-000002800000}"/>
    <cellStyle name="Comma 3 4 6 2 2 9" xfId="24282" xr:uid="{00000000-0005-0000-0000-000003800000}"/>
    <cellStyle name="Comma 3 4 6 2 3" xfId="1615" xr:uid="{00000000-0005-0000-0000-000004800000}"/>
    <cellStyle name="Comma 3 4 6 2 3 10" xfId="22446" xr:uid="{00000000-0005-0000-0000-000005800000}"/>
    <cellStyle name="Comma 3 4 6 2 3 2" xfId="4063" xr:uid="{00000000-0005-0000-0000-000006800000}"/>
    <cellStyle name="Comma 3 4 6 2 3 2 2" xfId="19998" xr:uid="{00000000-0005-0000-0000-000007800000}"/>
    <cellStyle name="Comma 3 4 6 2 3 2 2 2" xfId="43276" xr:uid="{00000000-0005-0000-0000-000008800000}"/>
    <cellStyle name="Comma 3 4 6 2 3 2 3" xfId="48172" xr:uid="{00000000-0005-0000-0000-000009800000}"/>
    <cellStyle name="Comma 3 4 6 2 3 2 4" xfId="27342" xr:uid="{00000000-0005-0000-0000-00000A800000}"/>
    <cellStyle name="Comma 3 4 6 2 3 3" xfId="6511" xr:uid="{00000000-0005-0000-0000-00000B800000}"/>
    <cellStyle name="Comma 3 4 6 2 3 3 2" xfId="29790" xr:uid="{00000000-0005-0000-0000-00000C800000}"/>
    <cellStyle name="Comma 3 4 6 2 3 4" xfId="8959" xr:uid="{00000000-0005-0000-0000-00000D800000}"/>
    <cellStyle name="Comma 3 4 6 2 3 4 2" xfId="32238" xr:uid="{00000000-0005-0000-0000-00000E800000}"/>
    <cellStyle name="Comma 3 4 6 2 3 5" xfId="11407" xr:uid="{00000000-0005-0000-0000-00000F800000}"/>
    <cellStyle name="Comma 3 4 6 2 3 5 2" xfId="34686" xr:uid="{00000000-0005-0000-0000-000010800000}"/>
    <cellStyle name="Comma 3 4 6 2 3 6" xfId="13855" xr:uid="{00000000-0005-0000-0000-000011800000}"/>
    <cellStyle name="Comma 3 4 6 2 3 6 2" xfId="37134" xr:uid="{00000000-0005-0000-0000-000012800000}"/>
    <cellStyle name="Comma 3 4 6 2 3 7" xfId="17550" xr:uid="{00000000-0005-0000-0000-000013800000}"/>
    <cellStyle name="Comma 3 4 6 2 3 7 2" xfId="40828" xr:uid="{00000000-0005-0000-0000-000014800000}"/>
    <cellStyle name="Comma 3 4 6 2 3 8" xfId="24894" xr:uid="{00000000-0005-0000-0000-000015800000}"/>
    <cellStyle name="Comma 3 4 6 2 3 9" xfId="45724" xr:uid="{00000000-0005-0000-0000-000016800000}"/>
    <cellStyle name="Comma 3 4 6 2 4" xfId="2839" xr:uid="{00000000-0005-0000-0000-000017800000}"/>
    <cellStyle name="Comma 3 4 6 2 4 2" xfId="16326" xr:uid="{00000000-0005-0000-0000-000018800000}"/>
    <cellStyle name="Comma 3 4 6 2 4 2 2" xfId="39604" xr:uid="{00000000-0005-0000-0000-000019800000}"/>
    <cellStyle name="Comma 3 4 6 2 4 3" xfId="46948" xr:uid="{00000000-0005-0000-0000-00001A800000}"/>
    <cellStyle name="Comma 3 4 6 2 4 4" xfId="26118" xr:uid="{00000000-0005-0000-0000-00001B800000}"/>
    <cellStyle name="Comma 3 4 6 2 5" xfId="5287" xr:uid="{00000000-0005-0000-0000-00001C800000}"/>
    <cellStyle name="Comma 3 4 6 2 5 2" xfId="18774" xr:uid="{00000000-0005-0000-0000-00001D800000}"/>
    <cellStyle name="Comma 3 4 6 2 5 2 2" xfId="42052" xr:uid="{00000000-0005-0000-0000-00001E800000}"/>
    <cellStyle name="Comma 3 4 6 2 5 3" xfId="28566" xr:uid="{00000000-0005-0000-0000-00001F800000}"/>
    <cellStyle name="Comma 3 4 6 2 6" xfId="7735" xr:uid="{00000000-0005-0000-0000-000020800000}"/>
    <cellStyle name="Comma 3 4 6 2 6 2" xfId="31014" xr:uid="{00000000-0005-0000-0000-000021800000}"/>
    <cellStyle name="Comma 3 4 6 2 7" xfId="10183" xr:uid="{00000000-0005-0000-0000-000022800000}"/>
    <cellStyle name="Comma 3 4 6 2 7 2" xfId="33462" xr:uid="{00000000-0005-0000-0000-000023800000}"/>
    <cellStyle name="Comma 3 4 6 2 8" xfId="12631" xr:uid="{00000000-0005-0000-0000-000024800000}"/>
    <cellStyle name="Comma 3 4 6 2 8 2" xfId="35910" xr:uid="{00000000-0005-0000-0000-000025800000}"/>
    <cellStyle name="Comma 3 4 6 2 9" xfId="15102" xr:uid="{00000000-0005-0000-0000-000026800000}"/>
    <cellStyle name="Comma 3 4 6 2 9 2" xfId="38380" xr:uid="{00000000-0005-0000-0000-000027800000}"/>
    <cellStyle name="Comma 3 4 6 3" xfId="595" xr:uid="{00000000-0005-0000-0000-000028800000}"/>
    <cellStyle name="Comma 3 4 6 3 10" xfId="23874" xr:uid="{00000000-0005-0000-0000-000029800000}"/>
    <cellStyle name="Comma 3 4 6 3 11" xfId="44704" xr:uid="{00000000-0005-0000-0000-00002A800000}"/>
    <cellStyle name="Comma 3 4 6 3 12" xfId="21426" xr:uid="{00000000-0005-0000-0000-00002B800000}"/>
    <cellStyle name="Comma 3 4 6 3 2" xfId="1207" xr:uid="{00000000-0005-0000-0000-00002C800000}"/>
    <cellStyle name="Comma 3 4 6 3 2 10" xfId="45316" xr:uid="{00000000-0005-0000-0000-00002D800000}"/>
    <cellStyle name="Comma 3 4 6 3 2 11" xfId="22038" xr:uid="{00000000-0005-0000-0000-00002E800000}"/>
    <cellStyle name="Comma 3 4 6 3 2 2" xfId="2431" xr:uid="{00000000-0005-0000-0000-00002F800000}"/>
    <cellStyle name="Comma 3 4 6 3 2 2 10" xfId="23262" xr:uid="{00000000-0005-0000-0000-000030800000}"/>
    <cellStyle name="Comma 3 4 6 3 2 2 2" xfId="4879" xr:uid="{00000000-0005-0000-0000-000031800000}"/>
    <cellStyle name="Comma 3 4 6 3 2 2 2 2" xfId="20814" xr:uid="{00000000-0005-0000-0000-000032800000}"/>
    <cellStyle name="Comma 3 4 6 3 2 2 2 2 2" xfId="44092" xr:uid="{00000000-0005-0000-0000-000033800000}"/>
    <cellStyle name="Comma 3 4 6 3 2 2 2 3" xfId="48988" xr:uid="{00000000-0005-0000-0000-000034800000}"/>
    <cellStyle name="Comma 3 4 6 3 2 2 2 4" xfId="28158" xr:uid="{00000000-0005-0000-0000-000035800000}"/>
    <cellStyle name="Comma 3 4 6 3 2 2 3" xfId="7327" xr:uid="{00000000-0005-0000-0000-000036800000}"/>
    <cellStyle name="Comma 3 4 6 3 2 2 3 2" xfId="30606" xr:uid="{00000000-0005-0000-0000-000037800000}"/>
    <cellStyle name="Comma 3 4 6 3 2 2 4" xfId="9775" xr:uid="{00000000-0005-0000-0000-000038800000}"/>
    <cellStyle name="Comma 3 4 6 3 2 2 4 2" xfId="33054" xr:uid="{00000000-0005-0000-0000-000039800000}"/>
    <cellStyle name="Comma 3 4 6 3 2 2 5" xfId="12223" xr:uid="{00000000-0005-0000-0000-00003A800000}"/>
    <cellStyle name="Comma 3 4 6 3 2 2 5 2" xfId="35502" xr:uid="{00000000-0005-0000-0000-00003B800000}"/>
    <cellStyle name="Comma 3 4 6 3 2 2 6" xfId="14671" xr:uid="{00000000-0005-0000-0000-00003C800000}"/>
    <cellStyle name="Comma 3 4 6 3 2 2 6 2" xfId="37950" xr:uid="{00000000-0005-0000-0000-00003D800000}"/>
    <cellStyle name="Comma 3 4 6 3 2 2 7" xfId="18366" xr:uid="{00000000-0005-0000-0000-00003E800000}"/>
    <cellStyle name="Comma 3 4 6 3 2 2 7 2" xfId="41644" xr:uid="{00000000-0005-0000-0000-00003F800000}"/>
    <cellStyle name="Comma 3 4 6 3 2 2 8" xfId="25710" xr:uid="{00000000-0005-0000-0000-000040800000}"/>
    <cellStyle name="Comma 3 4 6 3 2 2 9" xfId="46540" xr:uid="{00000000-0005-0000-0000-000041800000}"/>
    <cellStyle name="Comma 3 4 6 3 2 3" xfId="3655" xr:uid="{00000000-0005-0000-0000-000042800000}"/>
    <cellStyle name="Comma 3 4 6 3 2 3 2" xfId="17142" xr:uid="{00000000-0005-0000-0000-000043800000}"/>
    <cellStyle name="Comma 3 4 6 3 2 3 2 2" xfId="40420" xr:uid="{00000000-0005-0000-0000-000044800000}"/>
    <cellStyle name="Comma 3 4 6 3 2 3 3" xfId="47764" xr:uid="{00000000-0005-0000-0000-000045800000}"/>
    <cellStyle name="Comma 3 4 6 3 2 3 4" xfId="26934" xr:uid="{00000000-0005-0000-0000-000046800000}"/>
    <cellStyle name="Comma 3 4 6 3 2 4" xfId="6103" xr:uid="{00000000-0005-0000-0000-000047800000}"/>
    <cellStyle name="Comma 3 4 6 3 2 4 2" xfId="19590" xr:uid="{00000000-0005-0000-0000-000048800000}"/>
    <cellStyle name="Comma 3 4 6 3 2 4 2 2" xfId="42868" xr:uid="{00000000-0005-0000-0000-000049800000}"/>
    <cellStyle name="Comma 3 4 6 3 2 4 3" xfId="29382" xr:uid="{00000000-0005-0000-0000-00004A800000}"/>
    <cellStyle name="Comma 3 4 6 3 2 5" xfId="8551" xr:uid="{00000000-0005-0000-0000-00004B800000}"/>
    <cellStyle name="Comma 3 4 6 3 2 5 2" xfId="31830" xr:uid="{00000000-0005-0000-0000-00004C800000}"/>
    <cellStyle name="Comma 3 4 6 3 2 6" xfId="10999" xr:uid="{00000000-0005-0000-0000-00004D800000}"/>
    <cellStyle name="Comma 3 4 6 3 2 6 2" xfId="34278" xr:uid="{00000000-0005-0000-0000-00004E800000}"/>
    <cellStyle name="Comma 3 4 6 3 2 7" xfId="13447" xr:uid="{00000000-0005-0000-0000-00004F800000}"/>
    <cellStyle name="Comma 3 4 6 3 2 7 2" xfId="36726" xr:uid="{00000000-0005-0000-0000-000050800000}"/>
    <cellStyle name="Comma 3 4 6 3 2 8" xfId="15918" xr:uid="{00000000-0005-0000-0000-000051800000}"/>
    <cellStyle name="Comma 3 4 6 3 2 8 2" xfId="39196" xr:uid="{00000000-0005-0000-0000-000052800000}"/>
    <cellStyle name="Comma 3 4 6 3 2 9" xfId="24486" xr:uid="{00000000-0005-0000-0000-000053800000}"/>
    <cellStyle name="Comma 3 4 6 3 3" xfId="1819" xr:uid="{00000000-0005-0000-0000-000054800000}"/>
    <cellStyle name="Comma 3 4 6 3 3 10" xfId="22650" xr:uid="{00000000-0005-0000-0000-000055800000}"/>
    <cellStyle name="Comma 3 4 6 3 3 2" xfId="4267" xr:uid="{00000000-0005-0000-0000-000056800000}"/>
    <cellStyle name="Comma 3 4 6 3 3 2 2" xfId="20202" xr:uid="{00000000-0005-0000-0000-000057800000}"/>
    <cellStyle name="Comma 3 4 6 3 3 2 2 2" xfId="43480" xr:uid="{00000000-0005-0000-0000-000058800000}"/>
    <cellStyle name="Comma 3 4 6 3 3 2 3" xfId="48376" xr:uid="{00000000-0005-0000-0000-000059800000}"/>
    <cellStyle name="Comma 3 4 6 3 3 2 4" xfId="27546" xr:uid="{00000000-0005-0000-0000-00005A800000}"/>
    <cellStyle name="Comma 3 4 6 3 3 3" xfId="6715" xr:uid="{00000000-0005-0000-0000-00005B800000}"/>
    <cellStyle name="Comma 3 4 6 3 3 3 2" xfId="29994" xr:uid="{00000000-0005-0000-0000-00005C800000}"/>
    <cellStyle name="Comma 3 4 6 3 3 4" xfId="9163" xr:uid="{00000000-0005-0000-0000-00005D800000}"/>
    <cellStyle name="Comma 3 4 6 3 3 4 2" xfId="32442" xr:uid="{00000000-0005-0000-0000-00005E800000}"/>
    <cellStyle name="Comma 3 4 6 3 3 5" xfId="11611" xr:uid="{00000000-0005-0000-0000-00005F800000}"/>
    <cellStyle name="Comma 3 4 6 3 3 5 2" xfId="34890" xr:uid="{00000000-0005-0000-0000-000060800000}"/>
    <cellStyle name="Comma 3 4 6 3 3 6" xfId="14059" xr:uid="{00000000-0005-0000-0000-000061800000}"/>
    <cellStyle name="Comma 3 4 6 3 3 6 2" xfId="37338" xr:uid="{00000000-0005-0000-0000-000062800000}"/>
    <cellStyle name="Comma 3 4 6 3 3 7" xfId="17754" xr:uid="{00000000-0005-0000-0000-000063800000}"/>
    <cellStyle name="Comma 3 4 6 3 3 7 2" xfId="41032" xr:uid="{00000000-0005-0000-0000-000064800000}"/>
    <cellStyle name="Comma 3 4 6 3 3 8" xfId="25098" xr:uid="{00000000-0005-0000-0000-000065800000}"/>
    <cellStyle name="Comma 3 4 6 3 3 9" xfId="45928" xr:uid="{00000000-0005-0000-0000-000066800000}"/>
    <cellStyle name="Comma 3 4 6 3 4" xfId="3043" xr:uid="{00000000-0005-0000-0000-000067800000}"/>
    <cellStyle name="Comma 3 4 6 3 4 2" xfId="16530" xr:uid="{00000000-0005-0000-0000-000068800000}"/>
    <cellStyle name="Comma 3 4 6 3 4 2 2" xfId="39808" xr:uid="{00000000-0005-0000-0000-000069800000}"/>
    <cellStyle name="Comma 3 4 6 3 4 3" xfId="47152" xr:uid="{00000000-0005-0000-0000-00006A800000}"/>
    <cellStyle name="Comma 3 4 6 3 4 4" xfId="26322" xr:uid="{00000000-0005-0000-0000-00006B800000}"/>
    <cellStyle name="Comma 3 4 6 3 5" xfId="5491" xr:uid="{00000000-0005-0000-0000-00006C800000}"/>
    <cellStyle name="Comma 3 4 6 3 5 2" xfId="18978" xr:uid="{00000000-0005-0000-0000-00006D800000}"/>
    <cellStyle name="Comma 3 4 6 3 5 2 2" xfId="42256" xr:uid="{00000000-0005-0000-0000-00006E800000}"/>
    <cellStyle name="Comma 3 4 6 3 5 3" xfId="28770" xr:uid="{00000000-0005-0000-0000-00006F800000}"/>
    <cellStyle name="Comma 3 4 6 3 6" xfId="7939" xr:uid="{00000000-0005-0000-0000-000070800000}"/>
    <cellStyle name="Comma 3 4 6 3 6 2" xfId="31218" xr:uid="{00000000-0005-0000-0000-000071800000}"/>
    <cellStyle name="Comma 3 4 6 3 7" xfId="10387" xr:uid="{00000000-0005-0000-0000-000072800000}"/>
    <cellStyle name="Comma 3 4 6 3 7 2" xfId="33666" xr:uid="{00000000-0005-0000-0000-000073800000}"/>
    <cellStyle name="Comma 3 4 6 3 8" xfId="12835" xr:uid="{00000000-0005-0000-0000-000074800000}"/>
    <cellStyle name="Comma 3 4 6 3 8 2" xfId="36114" xr:uid="{00000000-0005-0000-0000-000075800000}"/>
    <cellStyle name="Comma 3 4 6 3 9" xfId="15306" xr:uid="{00000000-0005-0000-0000-000076800000}"/>
    <cellStyle name="Comma 3 4 6 3 9 2" xfId="38584" xr:uid="{00000000-0005-0000-0000-000077800000}"/>
    <cellStyle name="Comma 3 4 6 4" xfId="799" xr:uid="{00000000-0005-0000-0000-000078800000}"/>
    <cellStyle name="Comma 3 4 6 4 10" xfId="44908" xr:uid="{00000000-0005-0000-0000-000079800000}"/>
    <cellStyle name="Comma 3 4 6 4 11" xfId="21630" xr:uid="{00000000-0005-0000-0000-00007A800000}"/>
    <cellStyle name="Comma 3 4 6 4 2" xfId="2023" xr:uid="{00000000-0005-0000-0000-00007B800000}"/>
    <cellStyle name="Comma 3 4 6 4 2 10" xfId="22854" xr:uid="{00000000-0005-0000-0000-00007C800000}"/>
    <cellStyle name="Comma 3 4 6 4 2 2" xfId="4471" xr:uid="{00000000-0005-0000-0000-00007D800000}"/>
    <cellStyle name="Comma 3 4 6 4 2 2 2" xfId="20406" xr:uid="{00000000-0005-0000-0000-00007E800000}"/>
    <cellStyle name="Comma 3 4 6 4 2 2 2 2" xfId="43684" xr:uid="{00000000-0005-0000-0000-00007F800000}"/>
    <cellStyle name="Comma 3 4 6 4 2 2 3" xfId="48580" xr:uid="{00000000-0005-0000-0000-000080800000}"/>
    <cellStyle name="Comma 3 4 6 4 2 2 4" xfId="27750" xr:uid="{00000000-0005-0000-0000-000081800000}"/>
    <cellStyle name="Comma 3 4 6 4 2 3" xfId="6919" xr:uid="{00000000-0005-0000-0000-000082800000}"/>
    <cellStyle name="Comma 3 4 6 4 2 3 2" xfId="30198" xr:uid="{00000000-0005-0000-0000-000083800000}"/>
    <cellStyle name="Comma 3 4 6 4 2 4" xfId="9367" xr:uid="{00000000-0005-0000-0000-000084800000}"/>
    <cellStyle name="Comma 3 4 6 4 2 4 2" xfId="32646" xr:uid="{00000000-0005-0000-0000-000085800000}"/>
    <cellStyle name="Comma 3 4 6 4 2 5" xfId="11815" xr:uid="{00000000-0005-0000-0000-000086800000}"/>
    <cellStyle name="Comma 3 4 6 4 2 5 2" xfId="35094" xr:uid="{00000000-0005-0000-0000-000087800000}"/>
    <cellStyle name="Comma 3 4 6 4 2 6" xfId="14263" xr:uid="{00000000-0005-0000-0000-000088800000}"/>
    <cellStyle name="Comma 3 4 6 4 2 6 2" xfId="37542" xr:uid="{00000000-0005-0000-0000-000089800000}"/>
    <cellStyle name="Comma 3 4 6 4 2 7" xfId="17958" xr:uid="{00000000-0005-0000-0000-00008A800000}"/>
    <cellStyle name="Comma 3 4 6 4 2 7 2" xfId="41236" xr:uid="{00000000-0005-0000-0000-00008B800000}"/>
    <cellStyle name="Comma 3 4 6 4 2 8" xfId="25302" xr:uid="{00000000-0005-0000-0000-00008C800000}"/>
    <cellStyle name="Comma 3 4 6 4 2 9" xfId="46132" xr:uid="{00000000-0005-0000-0000-00008D800000}"/>
    <cellStyle name="Comma 3 4 6 4 3" xfId="3247" xr:uid="{00000000-0005-0000-0000-00008E800000}"/>
    <cellStyle name="Comma 3 4 6 4 3 2" xfId="16734" xr:uid="{00000000-0005-0000-0000-00008F800000}"/>
    <cellStyle name="Comma 3 4 6 4 3 2 2" xfId="40012" xr:uid="{00000000-0005-0000-0000-000090800000}"/>
    <cellStyle name="Comma 3 4 6 4 3 3" xfId="47356" xr:uid="{00000000-0005-0000-0000-000091800000}"/>
    <cellStyle name="Comma 3 4 6 4 3 4" xfId="26526" xr:uid="{00000000-0005-0000-0000-000092800000}"/>
    <cellStyle name="Comma 3 4 6 4 4" xfId="5695" xr:uid="{00000000-0005-0000-0000-000093800000}"/>
    <cellStyle name="Comma 3 4 6 4 4 2" xfId="19182" xr:uid="{00000000-0005-0000-0000-000094800000}"/>
    <cellStyle name="Comma 3 4 6 4 4 2 2" xfId="42460" xr:uid="{00000000-0005-0000-0000-000095800000}"/>
    <cellStyle name="Comma 3 4 6 4 4 3" xfId="28974" xr:uid="{00000000-0005-0000-0000-000096800000}"/>
    <cellStyle name="Comma 3 4 6 4 5" xfId="8143" xr:uid="{00000000-0005-0000-0000-000097800000}"/>
    <cellStyle name="Comma 3 4 6 4 5 2" xfId="31422" xr:uid="{00000000-0005-0000-0000-000098800000}"/>
    <cellStyle name="Comma 3 4 6 4 6" xfId="10591" xr:uid="{00000000-0005-0000-0000-000099800000}"/>
    <cellStyle name="Comma 3 4 6 4 6 2" xfId="33870" xr:uid="{00000000-0005-0000-0000-00009A800000}"/>
    <cellStyle name="Comma 3 4 6 4 7" xfId="13039" xr:uid="{00000000-0005-0000-0000-00009B800000}"/>
    <cellStyle name="Comma 3 4 6 4 7 2" xfId="36318" xr:uid="{00000000-0005-0000-0000-00009C800000}"/>
    <cellStyle name="Comma 3 4 6 4 8" xfId="15510" xr:uid="{00000000-0005-0000-0000-00009D800000}"/>
    <cellStyle name="Comma 3 4 6 4 8 2" xfId="38788" xr:uid="{00000000-0005-0000-0000-00009E800000}"/>
    <cellStyle name="Comma 3 4 6 4 9" xfId="24078" xr:uid="{00000000-0005-0000-0000-00009F800000}"/>
    <cellStyle name="Comma 3 4 6 5" xfId="1411" xr:uid="{00000000-0005-0000-0000-0000A0800000}"/>
    <cellStyle name="Comma 3 4 6 5 10" xfId="22242" xr:uid="{00000000-0005-0000-0000-0000A1800000}"/>
    <cellStyle name="Comma 3 4 6 5 2" xfId="3859" xr:uid="{00000000-0005-0000-0000-0000A2800000}"/>
    <cellStyle name="Comma 3 4 6 5 2 2" xfId="19794" xr:uid="{00000000-0005-0000-0000-0000A3800000}"/>
    <cellStyle name="Comma 3 4 6 5 2 2 2" xfId="43072" xr:uid="{00000000-0005-0000-0000-0000A4800000}"/>
    <cellStyle name="Comma 3 4 6 5 2 3" xfId="47968" xr:uid="{00000000-0005-0000-0000-0000A5800000}"/>
    <cellStyle name="Comma 3 4 6 5 2 4" xfId="27138" xr:uid="{00000000-0005-0000-0000-0000A6800000}"/>
    <cellStyle name="Comma 3 4 6 5 3" xfId="6307" xr:uid="{00000000-0005-0000-0000-0000A7800000}"/>
    <cellStyle name="Comma 3 4 6 5 3 2" xfId="29586" xr:uid="{00000000-0005-0000-0000-0000A8800000}"/>
    <cellStyle name="Comma 3 4 6 5 4" xfId="8755" xr:uid="{00000000-0005-0000-0000-0000A9800000}"/>
    <cellStyle name="Comma 3 4 6 5 4 2" xfId="32034" xr:uid="{00000000-0005-0000-0000-0000AA800000}"/>
    <cellStyle name="Comma 3 4 6 5 5" xfId="11203" xr:uid="{00000000-0005-0000-0000-0000AB800000}"/>
    <cellStyle name="Comma 3 4 6 5 5 2" xfId="34482" xr:uid="{00000000-0005-0000-0000-0000AC800000}"/>
    <cellStyle name="Comma 3 4 6 5 6" xfId="13651" xr:uid="{00000000-0005-0000-0000-0000AD800000}"/>
    <cellStyle name="Comma 3 4 6 5 6 2" xfId="36930" xr:uid="{00000000-0005-0000-0000-0000AE800000}"/>
    <cellStyle name="Comma 3 4 6 5 7" xfId="17346" xr:uid="{00000000-0005-0000-0000-0000AF800000}"/>
    <cellStyle name="Comma 3 4 6 5 7 2" xfId="40624" xr:uid="{00000000-0005-0000-0000-0000B0800000}"/>
    <cellStyle name="Comma 3 4 6 5 8" xfId="24690" xr:uid="{00000000-0005-0000-0000-0000B1800000}"/>
    <cellStyle name="Comma 3 4 6 5 9" xfId="45520" xr:uid="{00000000-0005-0000-0000-0000B2800000}"/>
    <cellStyle name="Comma 3 4 6 6" xfId="2635" xr:uid="{00000000-0005-0000-0000-0000B3800000}"/>
    <cellStyle name="Comma 3 4 6 6 2" xfId="16122" xr:uid="{00000000-0005-0000-0000-0000B4800000}"/>
    <cellStyle name="Comma 3 4 6 6 2 2" xfId="39400" xr:uid="{00000000-0005-0000-0000-0000B5800000}"/>
    <cellStyle name="Comma 3 4 6 6 3" xfId="46744" xr:uid="{00000000-0005-0000-0000-0000B6800000}"/>
    <cellStyle name="Comma 3 4 6 6 4" xfId="25914" xr:uid="{00000000-0005-0000-0000-0000B7800000}"/>
    <cellStyle name="Comma 3 4 6 7" xfId="5083" xr:uid="{00000000-0005-0000-0000-0000B8800000}"/>
    <cellStyle name="Comma 3 4 6 7 2" xfId="18570" xr:uid="{00000000-0005-0000-0000-0000B9800000}"/>
    <cellStyle name="Comma 3 4 6 7 2 2" xfId="41848" xr:uid="{00000000-0005-0000-0000-0000BA800000}"/>
    <cellStyle name="Comma 3 4 6 7 3" xfId="28362" xr:uid="{00000000-0005-0000-0000-0000BB800000}"/>
    <cellStyle name="Comma 3 4 6 8" xfId="7531" xr:uid="{00000000-0005-0000-0000-0000BC800000}"/>
    <cellStyle name="Comma 3 4 6 8 2" xfId="30810" xr:uid="{00000000-0005-0000-0000-0000BD800000}"/>
    <cellStyle name="Comma 3 4 6 9" xfId="9979" xr:uid="{00000000-0005-0000-0000-0000BE800000}"/>
    <cellStyle name="Comma 3 4 6 9 2" xfId="33258" xr:uid="{00000000-0005-0000-0000-0000BF800000}"/>
    <cellStyle name="Comma 3 4 7" xfId="255" xr:uid="{00000000-0005-0000-0000-0000C0800000}"/>
    <cellStyle name="Comma 3 4 7 10" xfId="23534" xr:uid="{00000000-0005-0000-0000-0000C1800000}"/>
    <cellStyle name="Comma 3 4 7 11" xfId="44364" xr:uid="{00000000-0005-0000-0000-0000C2800000}"/>
    <cellStyle name="Comma 3 4 7 12" xfId="21086" xr:uid="{00000000-0005-0000-0000-0000C3800000}"/>
    <cellStyle name="Comma 3 4 7 2" xfId="867" xr:uid="{00000000-0005-0000-0000-0000C4800000}"/>
    <cellStyle name="Comma 3 4 7 2 10" xfId="44976" xr:uid="{00000000-0005-0000-0000-0000C5800000}"/>
    <cellStyle name="Comma 3 4 7 2 11" xfId="21698" xr:uid="{00000000-0005-0000-0000-0000C6800000}"/>
    <cellStyle name="Comma 3 4 7 2 2" xfId="2091" xr:uid="{00000000-0005-0000-0000-0000C7800000}"/>
    <cellStyle name="Comma 3 4 7 2 2 10" xfId="22922" xr:uid="{00000000-0005-0000-0000-0000C8800000}"/>
    <cellStyle name="Comma 3 4 7 2 2 2" xfId="4539" xr:uid="{00000000-0005-0000-0000-0000C9800000}"/>
    <cellStyle name="Comma 3 4 7 2 2 2 2" xfId="20474" xr:uid="{00000000-0005-0000-0000-0000CA800000}"/>
    <cellStyle name="Comma 3 4 7 2 2 2 2 2" xfId="43752" xr:uid="{00000000-0005-0000-0000-0000CB800000}"/>
    <cellStyle name="Comma 3 4 7 2 2 2 3" xfId="48648" xr:uid="{00000000-0005-0000-0000-0000CC800000}"/>
    <cellStyle name="Comma 3 4 7 2 2 2 4" xfId="27818" xr:uid="{00000000-0005-0000-0000-0000CD800000}"/>
    <cellStyle name="Comma 3 4 7 2 2 3" xfId="6987" xr:uid="{00000000-0005-0000-0000-0000CE800000}"/>
    <cellStyle name="Comma 3 4 7 2 2 3 2" xfId="30266" xr:uid="{00000000-0005-0000-0000-0000CF800000}"/>
    <cellStyle name="Comma 3 4 7 2 2 4" xfId="9435" xr:uid="{00000000-0005-0000-0000-0000D0800000}"/>
    <cellStyle name="Comma 3 4 7 2 2 4 2" xfId="32714" xr:uid="{00000000-0005-0000-0000-0000D1800000}"/>
    <cellStyle name="Comma 3 4 7 2 2 5" xfId="11883" xr:uid="{00000000-0005-0000-0000-0000D2800000}"/>
    <cellStyle name="Comma 3 4 7 2 2 5 2" xfId="35162" xr:uid="{00000000-0005-0000-0000-0000D3800000}"/>
    <cellStyle name="Comma 3 4 7 2 2 6" xfId="14331" xr:uid="{00000000-0005-0000-0000-0000D4800000}"/>
    <cellStyle name="Comma 3 4 7 2 2 6 2" xfId="37610" xr:uid="{00000000-0005-0000-0000-0000D5800000}"/>
    <cellStyle name="Comma 3 4 7 2 2 7" xfId="18026" xr:uid="{00000000-0005-0000-0000-0000D6800000}"/>
    <cellStyle name="Comma 3 4 7 2 2 7 2" xfId="41304" xr:uid="{00000000-0005-0000-0000-0000D7800000}"/>
    <cellStyle name="Comma 3 4 7 2 2 8" xfId="25370" xr:uid="{00000000-0005-0000-0000-0000D8800000}"/>
    <cellStyle name="Comma 3 4 7 2 2 9" xfId="46200" xr:uid="{00000000-0005-0000-0000-0000D9800000}"/>
    <cellStyle name="Comma 3 4 7 2 3" xfId="3315" xr:uid="{00000000-0005-0000-0000-0000DA800000}"/>
    <cellStyle name="Comma 3 4 7 2 3 2" xfId="16802" xr:uid="{00000000-0005-0000-0000-0000DB800000}"/>
    <cellStyle name="Comma 3 4 7 2 3 2 2" xfId="40080" xr:uid="{00000000-0005-0000-0000-0000DC800000}"/>
    <cellStyle name="Comma 3 4 7 2 3 3" xfId="47424" xr:uid="{00000000-0005-0000-0000-0000DD800000}"/>
    <cellStyle name="Comma 3 4 7 2 3 4" xfId="26594" xr:uid="{00000000-0005-0000-0000-0000DE800000}"/>
    <cellStyle name="Comma 3 4 7 2 4" xfId="5763" xr:uid="{00000000-0005-0000-0000-0000DF800000}"/>
    <cellStyle name="Comma 3 4 7 2 4 2" xfId="19250" xr:uid="{00000000-0005-0000-0000-0000E0800000}"/>
    <cellStyle name="Comma 3 4 7 2 4 2 2" xfId="42528" xr:uid="{00000000-0005-0000-0000-0000E1800000}"/>
    <cellStyle name="Comma 3 4 7 2 4 3" xfId="29042" xr:uid="{00000000-0005-0000-0000-0000E2800000}"/>
    <cellStyle name="Comma 3 4 7 2 5" xfId="8211" xr:uid="{00000000-0005-0000-0000-0000E3800000}"/>
    <cellStyle name="Comma 3 4 7 2 5 2" xfId="31490" xr:uid="{00000000-0005-0000-0000-0000E4800000}"/>
    <cellStyle name="Comma 3 4 7 2 6" xfId="10659" xr:uid="{00000000-0005-0000-0000-0000E5800000}"/>
    <cellStyle name="Comma 3 4 7 2 6 2" xfId="33938" xr:uid="{00000000-0005-0000-0000-0000E6800000}"/>
    <cellStyle name="Comma 3 4 7 2 7" xfId="13107" xr:uid="{00000000-0005-0000-0000-0000E7800000}"/>
    <cellStyle name="Comma 3 4 7 2 7 2" xfId="36386" xr:uid="{00000000-0005-0000-0000-0000E8800000}"/>
    <cellStyle name="Comma 3 4 7 2 8" xfId="15578" xr:uid="{00000000-0005-0000-0000-0000E9800000}"/>
    <cellStyle name="Comma 3 4 7 2 8 2" xfId="38856" xr:uid="{00000000-0005-0000-0000-0000EA800000}"/>
    <cellStyle name="Comma 3 4 7 2 9" xfId="24146" xr:uid="{00000000-0005-0000-0000-0000EB800000}"/>
    <cellStyle name="Comma 3 4 7 3" xfId="1479" xr:uid="{00000000-0005-0000-0000-0000EC800000}"/>
    <cellStyle name="Comma 3 4 7 3 10" xfId="22310" xr:uid="{00000000-0005-0000-0000-0000ED800000}"/>
    <cellStyle name="Comma 3 4 7 3 2" xfId="3927" xr:uid="{00000000-0005-0000-0000-0000EE800000}"/>
    <cellStyle name="Comma 3 4 7 3 2 2" xfId="19862" xr:uid="{00000000-0005-0000-0000-0000EF800000}"/>
    <cellStyle name="Comma 3 4 7 3 2 2 2" xfId="43140" xr:uid="{00000000-0005-0000-0000-0000F0800000}"/>
    <cellStyle name="Comma 3 4 7 3 2 3" xfId="48036" xr:uid="{00000000-0005-0000-0000-0000F1800000}"/>
    <cellStyle name="Comma 3 4 7 3 2 4" xfId="27206" xr:uid="{00000000-0005-0000-0000-0000F2800000}"/>
    <cellStyle name="Comma 3 4 7 3 3" xfId="6375" xr:uid="{00000000-0005-0000-0000-0000F3800000}"/>
    <cellStyle name="Comma 3 4 7 3 3 2" xfId="29654" xr:uid="{00000000-0005-0000-0000-0000F4800000}"/>
    <cellStyle name="Comma 3 4 7 3 4" xfId="8823" xr:uid="{00000000-0005-0000-0000-0000F5800000}"/>
    <cellStyle name="Comma 3 4 7 3 4 2" xfId="32102" xr:uid="{00000000-0005-0000-0000-0000F6800000}"/>
    <cellStyle name="Comma 3 4 7 3 5" xfId="11271" xr:uid="{00000000-0005-0000-0000-0000F7800000}"/>
    <cellStyle name="Comma 3 4 7 3 5 2" xfId="34550" xr:uid="{00000000-0005-0000-0000-0000F8800000}"/>
    <cellStyle name="Comma 3 4 7 3 6" xfId="13719" xr:uid="{00000000-0005-0000-0000-0000F9800000}"/>
    <cellStyle name="Comma 3 4 7 3 6 2" xfId="36998" xr:uid="{00000000-0005-0000-0000-0000FA800000}"/>
    <cellStyle name="Comma 3 4 7 3 7" xfId="17414" xr:uid="{00000000-0005-0000-0000-0000FB800000}"/>
    <cellStyle name="Comma 3 4 7 3 7 2" xfId="40692" xr:uid="{00000000-0005-0000-0000-0000FC800000}"/>
    <cellStyle name="Comma 3 4 7 3 8" xfId="24758" xr:uid="{00000000-0005-0000-0000-0000FD800000}"/>
    <cellStyle name="Comma 3 4 7 3 9" xfId="45588" xr:uid="{00000000-0005-0000-0000-0000FE800000}"/>
    <cellStyle name="Comma 3 4 7 4" xfId="2703" xr:uid="{00000000-0005-0000-0000-0000FF800000}"/>
    <cellStyle name="Comma 3 4 7 4 2" xfId="16190" xr:uid="{00000000-0005-0000-0000-000000810000}"/>
    <cellStyle name="Comma 3 4 7 4 2 2" xfId="39468" xr:uid="{00000000-0005-0000-0000-000001810000}"/>
    <cellStyle name="Comma 3 4 7 4 3" xfId="46812" xr:uid="{00000000-0005-0000-0000-000002810000}"/>
    <cellStyle name="Comma 3 4 7 4 4" xfId="25982" xr:uid="{00000000-0005-0000-0000-000003810000}"/>
    <cellStyle name="Comma 3 4 7 5" xfId="5151" xr:uid="{00000000-0005-0000-0000-000004810000}"/>
    <cellStyle name="Comma 3 4 7 5 2" xfId="18638" xr:uid="{00000000-0005-0000-0000-000005810000}"/>
    <cellStyle name="Comma 3 4 7 5 2 2" xfId="41916" xr:uid="{00000000-0005-0000-0000-000006810000}"/>
    <cellStyle name="Comma 3 4 7 5 3" xfId="28430" xr:uid="{00000000-0005-0000-0000-000007810000}"/>
    <cellStyle name="Comma 3 4 7 6" xfId="7599" xr:uid="{00000000-0005-0000-0000-000008810000}"/>
    <cellStyle name="Comma 3 4 7 6 2" xfId="30878" xr:uid="{00000000-0005-0000-0000-000009810000}"/>
    <cellStyle name="Comma 3 4 7 7" xfId="10047" xr:uid="{00000000-0005-0000-0000-00000A810000}"/>
    <cellStyle name="Comma 3 4 7 7 2" xfId="33326" xr:uid="{00000000-0005-0000-0000-00000B810000}"/>
    <cellStyle name="Comma 3 4 7 8" xfId="12495" xr:uid="{00000000-0005-0000-0000-00000C810000}"/>
    <cellStyle name="Comma 3 4 7 8 2" xfId="35774" xr:uid="{00000000-0005-0000-0000-00000D810000}"/>
    <cellStyle name="Comma 3 4 7 9" xfId="14966" xr:uid="{00000000-0005-0000-0000-00000E810000}"/>
    <cellStyle name="Comma 3 4 7 9 2" xfId="38244" xr:uid="{00000000-0005-0000-0000-00000F810000}"/>
    <cellStyle name="Comma 3 4 8" xfId="459" xr:uid="{00000000-0005-0000-0000-000010810000}"/>
    <cellStyle name="Comma 3 4 8 10" xfId="23738" xr:uid="{00000000-0005-0000-0000-000011810000}"/>
    <cellStyle name="Comma 3 4 8 11" xfId="44568" xr:uid="{00000000-0005-0000-0000-000012810000}"/>
    <cellStyle name="Comma 3 4 8 12" xfId="21290" xr:uid="{00000000-0005-0000-0000-000013810000}"/>
    <cellStyle name="Comma 3 4 8 2" xfId="1071" xr:uid="{00000000-0005-0000-0000-000014810000}"/>
    <cellStyle name="Comma 3 4 8 2 10" xfId="45180" xr:uid="{00000000-0005-0000-0000-000015810000}"/>
    <cellStyle name="Comma 3 4 8 2 11" xfId="21902" xr:uid="{00000000-0005-0000-0000-000016810000}"/>
    <cellStyle name="Comma 3 4 8 2 2" xfId="2295" xr:uid="{00000000-0005-0000-0000-000017810000}"/>
    <cellStyle name="Comma 3 4 8 2 2 10" xfId="23126" xr:uid="{00000000-0005-0000-0000-000018810000}"/>
    <cellStyle name="Comma 3 4 8 2 2 2" xfId="4743" xr:uid="{00000000-0005-0000-0000-000019810000}"/>
    <cellStyle name="Comma 3 4 8 2 2 2 2" xfId="20678" xr:uid="{00000000-0005-0000-0000-00001A810000}"/>
    <cellStyle name="Comma 3 4 8 2 2 2 2 2" xfId="43956" xr:uid="{00000000-0005-0000-0000-00001B810000}"/>
    <cellStyle name="Comma 3 4 8 2 2 2 3" xfId="48852" xr:uid="{00000000-0005-0000-0000-00001C810000}"/>
    <cellStyle name="Comma 3 4 8 2 2 2 4" xfId="28022" xr:uid="{00000000-0005-0000-0000-00001D810000}"/>
    <cellStyle name="Comma 3 4 8 2 2 3" xfId="7191" xr:uid="{00000000-0005-0000-0000-00001E810000}"/>
    <cellStyle name="Comma 3 4 8 2 2 3 2" xfId="30470" xr:uid="{00000000-0005-0000-0000-00001F810000}"/>
    <cellStyle name="Comma 3 4 8 2 2 4" xfId="9639" xr:uid="{00000000-0005-0000-0000-000020810000}"/>
    <cellStyle name="Comma 3 4 8 2 2 4 2" xfId="32918" xr:uid="{00000000-0005-0000-0000-000021810000}"/>
    <cellStyle name="Comma 3 4 8 2 2 5" xfId="12087" xr:uid="{00000000-0005-0000-0000-000022810000}"/>
    <cellStyle name="Comma 3 4 8 2 2 5 2" xfId="35366" xr:uid="{00000000-0005-0000-0000-000023810000}"/>
    <cellStyle name="Comma 3 4 8 2 2 6" xfId="14535" xr:uid="{00000000-0005-0000-0000-000024810000}"/>
    <cellStyle name="Comma 3 4 8 2 2 6 2" xfId="37814" xr:uid="{00000000-0005-0000-0000-000025810000}"/>
    <cellStyle name="Comma 3 4 8 2 2 7" xfId="18230" xr:uid="{00000000-0005-0000-0000-000026810000}"/>
    <cellStyle name="Comma 3 4 8 2 2 7 2" xfId="41508" xr:uid="{00000000-0005-0000-0000-000027810000}"/>
    <cellStyle name="Comma 3 4 8 2 2 8" xfId="25574" xr:uid="{00000000-0005-0000-0000-000028810000}"/>
    <cellStyle name="Comma 3 4 8 2 2 9" xfId="46404" xr:uid="{00000000-0005-0000-0000-000029810000}"/>
    <cellStyle name="Comma 3 4 8 2 3" xfId="3519" xr:uid="{00000000-0005-0000-0000-00002A810000}"/>
    <cellStyle name="Comma 3 4 8 2 3 2" xfId="17006" xr:uid="{00000000-0005-0000-0000-00002B810000}"/>
    <cellStyle name="Comma 3 4 8 2 3 2 2" xfId="40284" xr:uid="{00000000-0005-0000-0000-00002C810000}"/>
    <cellStyle name="Comma 3 4 8 2 3 3" xfId="47628" xr:uid="{00000000-0005-0000-0000-00002D810000}"/>
    <cellStyle name="Comma 3 4 8 2 3 4" xfId="26798" xr:uid="{00000000-0005-0000-0000-00002E810000}"/>
    <cellStyle name="Comma 3 4 8 2 4" xfId="5967" xr:uid="{00000000-0005-0000-0000-00002F810000}"/>
    <cellStyle name="Comma 3 4 8 2 4 2" xfId="19454" xr:uid="{00000000-0005-0000-0000-000030810000}"/>
    <cellStyle name="Comma 3 4 8 2 4 2 2" xfId="42732" xr:uid="{00000000-0005-0000-0000-000031810000}"/>
    <cellStyle name="Comma 3 4 8 2 4 3" xfId="29246" xr:uid="{00000000-0005-0000-0000-000032810000}"/>
    <cellStyle name="Comma 3 4 8 2 5" xfId="8415" xr:uid="{00000000-0005-0000-0000-000033810000}"/>
    <cellStyle name="Comma 3 4 8 2 5 2" xfId="31694" xr:uid="{00000000-0005-0000-0000-000034810000}"/>
    <cellStyle name="Comma 3 4 8 2 6" xfId="10863" xr:uid="{00000000-0005-0000-0000-000035810000}"/>
    <cellStyle name="Comma 3 4 8 2 6 2" xfId="34142" xr:uid="{00000000-0005-0000-0000-000036810000}"/>
    <cellStyle name="Comma 3 4 8 2 7" xfId="13311" xr:uid="{00000000-0005-0000-0000-000037810000}"/>
    <cellStyle name="Comma 3 4 8 2 7 2" xfId="36590" xr:uid="{00000000-0005-0000-0000-000038810000}"/>
    <cellStyle name="Comma 3 4 8 2 8" xfId="15782" xr:uid="{00000000-0005-0000-0000-000039810000}"/>
    <cellStyle name="Comma 3 4 8 2 8 2" xfId="39060" xr:uid="{00000000-0005-0000-0000-00003A810000}"/>
    <cellStyle name="Comma 3 4 8 2 9" xfId="24350" xr:uid="{00000000-0005-0000-0000-00003B810000}"/>
    <cellStyle name="Comma 3 4 8 3" xfId="1683" xr:uid="{00000000-0005-0000-0000-00003C810000}"/>
    <cellStyle name="Comma 3 4 8 3 10" xfId="22514" xr:uid="{00000000-0005-0000-0000-00003D810000}"/>
    <cellStyle name="Comma 3 4 8 3 2" xfId="4131" xr:uid="{00000000-0005-0000-0000-00003E810000}"/>
    <cellStyle name="Comma 3 4 8 3 2 2" xfId="20066" xr:uid="{00000000-0005-0000-0000-00003F810000}"/>
    <cellStyle name="Comma 3 4 8 3 2 2 2" xfId="43344" xr:uid="{00000000-0005-0000-0000-000040810000}"/>
    <cellStyle name="Comma 3 4 8 3 2 3" xfId="48240" xr:uid="{00000000-0005-0000-0000-000041810000}"/>
    <cellStyle name="Comma 3 4 8 3 2 4" xfId="27410" xr:uid="{00000000-0005-0000-0000-000042810000}"/>
    <cellStyle name="Comma 3 4 8 3 3" xfId="6579" xr:uid="{00000000-0005-0000-0000-000043810000}"/>
    <cellStyle name="Comma 3 4 8 3 3 2" xfId="29858" xr:uid="{00000000-0005-0000-0000-000044810000}"/>
    <cellStyle name="Comma 3 4 8 3 4" xfId="9027" xr:uid="{00000000-0005-0000-0000-000045810000}"/>
    <cellStyle name="Comma 3 4 8 3 4 2" xfId="32306" xr:uid="{00000000-0005-0000-0000-000046810000}"/>
    <cellStyle name="Comma 3 4 8 3 5" xfId="11475" xr:uid="{00000000-0005-0000-0000-000047810000}"/>
    <cellStyle name="Comma 3 4 8 3 5 2" xfId="34754" xr:uid="{00000000-0005-0000-0000-000048810000}"/>
    <cellStyle name="Comma 3 4 8 3 6" xfId="13923" xr:uid="{00000000-0005-0000-0000-000049810000}"/>
    <cellStyle name="Comma 3 4 8 3 6 2" xfId="37202" xr:uid="{00000000-0005-0000-0000-00004A810000}"/>
    <cellStyle name="Comma 3 4 8 3 7" xfId="17618" xr:uid="{00000000-0005-0000-0000-00004B810000}"/>
    <cellStyle name="Comma 3 4 8 3 7 2" xfId="40896" xr:uid="{00000000-0005-0000-0000-00004C810000}"/>
    <cellStyle name="Comma 3 4 8 3 8" xfId="24962" xr:uid="{00000000-0005-0000-0000-00004D810000}"/>
    <cellStyle name="Comma 3 4 8 3 9" xfId="45792" xr:uid="{00000000-0005-0000-0000-00004E810000}"/>
    <cellStyle name="Comma 3 4 8 4" xfId="2907" xr:uid="{00000000-0005-0000-0000-00004F810000}"/>
    <cellStyle name="Comma 3 4 8 4 2" xfId="16394" xr:uid="{00000000-0005-0000-0000-000050810000}"/>
    <cellStyle name="Comma 3 4 8 4 2 2" xfId="39672" xr:uid="{00000000-0005-0000-0000-000051810000}"/>
    <cellStyle name="Comma 3 4 8 4 3" xfId="47016" xr:uid="{00000000-0005-0000-0000-000052810000}"/>
    <cellStyle name="Comma 3 4 8 4 4" xfId="26186" xr:uid="{00000000-0005-0000-0000-000053810000}"/>
    <cellStyle name="Comma 3 4 8 5" xfId="5355" xr:uid="{00000000-0005-0000-0000-000054810000}"/>
    <cellStyle name="Comma 3 4 8 5 2" xfId="18842" xr:uid="{00000000-0005-0000-0000-000055810000}"/>
    <cellStyle name="Comma 3 4 8 5 2 2" xfId="42120" xr:uid="{00000000-0005-0000-0000-000056810000}"/>
    <cellStyle name="Comma 3 4 8 5 3" xfId="28634" xr:uid="{00000000-0005-0000-0000-000057810000}"/>
    <cellStyle name="Comma 3 4 8 6" xfId="7803" xr:uid="{00000000-0005-0000-0000-000058810000}"/>
    <cellStyle name="Comma 3 4 8 6 2" xfId="31082" xr:uid="{00000000-0005-0000-0000-000059810000}"/>
    <cellStyle name="Comma 3 4 8 7" xfId="10251" xr:uid="{00000000-0005-0000-0000-00005A810000}"/>
    <cellStyle name="Comma 3 4 8 7 2" xfId="33530" xr:uid="{00000000-0005-0000-0000-00005B810000}"/>
    <cellStyle name="Comma 3 4 8 8" xfId="12699" xr:uid="{00000000-0005-0000-0000-00005C810000}"/>
    <cellStyle name="Comma 3 4 8 8 2" xfId="35978" xr:uid="{00000000-0005-0000-0000-00005D810000}"/>
    <cellStyle name="Comma 3 4 8 9" xfId="15170" xr:uid="{00000000-0005-0000-0000-00005E810000}"/>
    <cellStyle name="Comma 3 4 8 9 2" xfId="38448" xr:uid="{00000000-0005-0000-0000-00005F810000}"/>
    <cellStyle name="Comma 3 4 9" xfId="663" xr:uid="{00000000-0005-0000-0000-000060810000}"/>
    <cellStyle name="Comma 3 4 9 10" xfId="44772" xr:uid="{00000000-0005-0000-0000-000061810000}"/>
    <cellStyle name="Comma 3 4 9 11" xfId="21494" xr:uid="{00000000-0005-0000-0000-000062810000}"/>
    <cellStyle name="Comma 3 4 9 2" xfId="1887" xr:uid="{00000000-0005-0000-0000-000063810000}"/>
    <cellStyle name="Comma 3 4 9 2 10" xfId="22718" xr:uid="{00000000-0005-0000-0000-000064810000}"/>
    <cellStyle name="Comma 3 4 9 2 2" xfId="4335" xr:uid="{00000000-0005-0000-0000-000065810000}"/>
    <cellStyle name="Comma 3 4 9 2 2 2" xfId="20270" xr:uid="{00000000-0005-0000-0000-000066810000}"/>
    <cellStyle name="Comma 3 4 9 2 2 2 2" xfId="43548" xr:uid="{00000000-0005-0000-0000-000067810000}"/>
    <cellStyle name="Comma 3 4 9 2 2 3" xfId="48444" xr:uid="{00000000-0005-0000-0000-000068810000}"/>
    <cellStyle name="Comma 3 4 9 2 2 4" xfId="27614" xr:uid="{00000000-0005-0000-0000-000069810000}"/>
    <cellStyle name="Comma 3 4 9 2 3" xfId="6783" xr:uid="{00000000-0005-0000-0000-00006A810000}"/>
    <cellStyle name="Comma 3 4 9 2 3 2" xfId="30062" xr:uid="{00000000-0005-0000-0000-00006B810000}"/>
    <cellStyle name="Comma 3 4 9 2 4" xfId="9231" xr:uid="{00000000-0005-0000-0000-00006C810000}"/>
    <cellStyle name="Comma 3 4 9 2 4 2" xfId="32510" xr:uid="{00000000-0005-0000-0000-00006D810000}"/>
    <cellStyle name="Comma 3 4 9 2 5" xfId="11679" xr:uid="{00000000-0005-0000-0000-00006E810000}"/>
    <cellStyle name="Comma 3 4 9 2 5 2" xfId="34958" xr:uid="{00000000-0005-0000-0000-00006F810000}"/>
    <cellStyle name="Comma 3 4 9 2 6" xfId="14127" xr:uid="{00000000-0005-0000-0000-000070810000}"/>
    <cellStyle name="Comma 3 4 9 2 6 2" xfId="37406" xr:uid="{00000000-0005-0000-0000-000071810000}"/>
    <cellStyle name="Comma 3 4 9 2 7" xfId="17822" xr:uid="{00000000-0005-0000-0000-000072810000}"/>
    <cellStyle name="Comma 3 4 9 2 7 2" xfId="41100" xr:uid="{00000000-0005-0000-0000-000073810000}"/>
    <cellStyle name="Comma 3 4 9 2 8" xfId="25166" xr:uid="{00000000-0005-0000-0000-000074810000}"/>
    <cellStyle name="Comma 3 4 9 2 9" xfId="45996" xr:uid="{00000000-0005-0000-0000-000075810000}"/>
    <cellStyle name="Comma 3 4 9 3" xfId="3111" xr:uid="{00000000-0005-0000-0000-000076810000}"/>
    <cellStyle name="Comma 3 4 9 3 2" xfId="16598" xr:uid="{00000000-0005-0000-0000-000077810000}"/>
    <cellStyle name="Comma 3 4 9 3 2 2" xfId="39876" xr:uid="{00000000-0005-0000-0000-000078810000}"/>
    <cellStyle name="Comma 3 4 9 3 3" xfId="47220" xr:uid="{00000000-0005-0000-0000-000079810000}"/>
    <cellStyle name="Comma 3 4 9 3 4" xfId="26390" xr:uid="{00000000-0005-0000-0000-00007A810000}"/>
    <cellStyle name="Comma 3 4 9 4" xfId="5559" xr:uid="{00000000-0005-0000-0000-00007B810000}"/>
    <cellStyle name="Comma 3 4 9 4 2" xfId="19046" xr:uid="{00000000-0005-0000-0000-00007C810000}"/>
    <cellStyle name="Comma 3 4 9 4 2 2" xfId="42324" xr:uid="{00000000-0005-0000-0000-00007D810000}"/>
    <cellStyle name="Comma 3 4 9 4 3" xfId="28838" xr:uid="{00000000-0005-0000-0000-00007E810000}"/>
    <cellStyle name="Comma 3 4 9 5" xfId="8007" xr:uid="{00000000-0005-0000-0000-00007F810000}"/>
    <cellStyle name="Comma 3 4 9 5 2" xfId="31286" xr:uid="{00000000-0005-0000-0000-000080810000}"/>
    <cellStyle name="Comma 3 4 9 6" xfId="10455" xr:uid="{00000000-0005-0000-0000-000081810000}"/>
    <cellStyle name="Comma 3 4 9 6 2" xfId="33734" xr:uid="{00000000-0005-0000-0000-000082810000}"/>
    <cellStyle name="Comma 3 4 9 7" xfId="12903" xr:uid="{00000000-0005-0000-0000-000083810000}"/>
    <cellStyle name="Comma 3 4 9 7 2" xfId="36182" xr:uid="{00000000-0005-0000-0000-000084810000}"/>
    <cellStyle name="Comma 3 4 9 8" xfId="15374" xr:uid="{00000000-0005-0000-0000-000085810000}"/>
    <cellStyle name="Comma 3 4 9 8 2" xfId="38652" xr:uid="{00000000-0005-0000-0000-000086810000}"/>
    <cellStyle name="Comma 3 4 9 9" xfId="23942" xr:uid="{00000000-0005-0000-0000-000087810000}"/>
    <cellStyle name="Comma 3 5" xfId="53" xr:uid="{00000000-0005-0000-0000-000088810000}"/>
    <cellStyle name="Comma 3 5 10" xfId="1277" xr:uid="{00000000-0005-0000-0000-000089810000}"/>
    <cellStyle name="Comma 3 5 10 10" xfId="22108" xr:uid="{00000000-0005-0000-0000-00008A810000}"/>
    <cellStyle name="Comma 3 5 10 2" xfId="3725" xr:uid="{00000000-0005-0000-0000-00008B810000}"/>
    <cellStyle name="Comma 3 5 10 2 2" xfId="17212" xr:uid="{00000000-0005-0000-0000-00008C810000}"/>
    <cellStyle name="Comma 3 5 10 2 2 2" xfId="40490" xr:uid="{00000000-0005-0000-0000-00008D810000}"/>
    <cellStyle name="Comma 3 5 10 2 3" xfId="47834" xr:uid="{00000000-0005-0000-0000-00008E810000}"/>
    <cellStyle name="Comma 3 5 10 2 4" xfId="27004" xr:uid="{00000000-0005-0000-0000-00008F810000}"/>
    <cellStyle name="Comma 3 5 10 3" xfId="6173" xr:uid="{00000000-0005-0000-0000-000090810000}"/>
    <cellStyle name="Comma 3 5 10 3 2" xfId="19660" xr:uid="{00000000-0005-0000-0000-000091810000}"/>
    <cellStyle name="Comma 3 5 10 3 2 2" xfId="42938" xr:uid="{00000000-0005-0000-0000-000092810000}"/>
    <cellStyle name="Comma 3 5 10 3 3" xfId="29452" xr:uid="{00000000-0005-0000-0000-000093810000}"/>
    <cellStyle name="Comma 3 5 10 4" xfId="8621" xr:uid="{00000000-0005-0000-0000-000094810000}"/>
    <cellStyle name="Comma 3 5 10 4 2" xfId="31900" xr:uid="{00000000-0005-0000-0000-000095810000}"/>
    <cellStyle name="Comma 3 5 10 5" xfId="11069" xr:uid="{00000000-0005-0000-0000-000096810000}"/>
    <cellStyle name="Comma 3 5 10 5 2" xfId="34348" xr:uid="{00000000-0005-0000-0000-000097810000}"/>
    <cellStyle name="Comma 3 5 10 6" xfId="13517" xr:uid="{00000000-0005-0000-0000-000098810000}"/>
    <cellStyle name="Comma 3 5 10 6 2" xfId="36796" xr:uid="{00000000-0005-0000-0000-000099810000}"/>
    <cellStyle name="Comma 3 5 10 7" xfId="14764" xr:uid="{00000000-0005-0000-0000-00009A810000}"/>
    <cellStyle name="Comma 3 5 10 7 2" xfId="38042" xr:uid="{00000000-0005-0000-0000-00009B810000}"/>
    <cellStyle name="Comma 3 5 10 8" xfId="24556" xr:uid="{00000000-0005-0000-0000-00009C810000}"/>
    <cellStyle name="Comma 3 5 10 9" xfId="45386" xr:uid="{00000000-0005-0000-0000-00009D810000}"/>
    <cellStyle name="Comma 3 5 11" xfId="2501" xr:uid="{00000000-0005-0000-0000-00009E810000}"/>
    <cellStyle name="Comma 3 5 11 2" xfId="15988" xr:uid="{00000000-0005-0000-0000-00009F810000}"/>
    <cellStyle name="Comma 3 5 11 2 2" xfId="39266" xr:uid="{00000000-0005-0000-0000-0000A0810000}"/>
    <cellStyle name="Comma 3 5 11 3" xfId="46610" xr:uid="{00000000-0005-0000-0000-0000A1810000}"/>
    <cellStyle name="Comma 3 5 11 4" xfId="25780" xr:uid="{00000000-0005-0000-0000-0000A2810000}"/>
    <cellStyle name="Comma 3 5 12" xfId="4949" xr:uid="{00000000-0005-0000-0000-0000A3810000}"/>
    <cellStyle name="Comma 3 5 12 2" xfId="18436" xr:uid="{00000000-0005-0000-0000-0000A4810000}"/>
    <cellStyle name="Comma 3 5 12 2 2" xfId="41714" xr:uid="{00000000-0005-0000-0000-0000A5810000}"/>
    <cellStyle name="Comma 3 5 12 3" xfId="28228" xr:uid="{00000000-0005-0000-0000-0000A6810000}"/>
    <cellStyle name="Comma 3 5 13" xfId="7397" xr:uid="{00000000-0005-0000-0000-0000A7810000}"/>
    <cellStyle name="Comma 3 5 13 2" xfId="30676" xr:uid="{00000000-0005-0000-0000-0000A8810000}"/>
    <cellStyle name="Comma 3 5 14" xfId="9845" xr:uid="{00000000-0005-0000-0000-0000A9810000}"/>
    <cellStyle name="Comma 3 5 14 2" xfId="33124" xr:uid="{00000000-0005-0000-0000-0000AA810000}"/>
    <cellStyle name="Comma 3 5 15" xfId="12293" xr:uid="{00000000-0005-0000-0000-0000AB810000}"/>
    <cellStyle name="Comma 3 5 15 2" xfId="35572" xr:uid="{00000000-0005-0000-0000-0000AC810000}"/>
    <cellStyle name="Comma 3 5 16" xfId="14747" xr:uid="{00000000-0005-0000-0000-0000AD810000}"/>
    <cellStyle name="Comma 3 5 16 2" xfId="38025" xr:uid="{00000000-0005-0000-0000-0000AE810000}"/>
    <cellStyle name="Comma 3 5 17" xfId="23332" xr:uid="{00000000-0005-0000-0000-0000AF810000}"/>
    <cellStyle name="Comma 3 5 18" xfId="44162" xr:uid="{00000000-0005-0000-0000-0000B0810000}"/>
    <cellStyle name="Comma 3 5 19" xfId="20884" xr:uid="{00000000-0005-0000-0000-0000B1810000}"/>
    <cellStyle name="Comma 3 5 2" xfId="70" xr:uid="{00000000-0005-0000-0000-0000B2810000}"/>
    <cellStyle name="Comma 3 5 2 10" xfId="7414" xr:uid="{00000000-0005-0000-0000-0000B3810000}"/>
    <cellStyle name="Comma 3 5 2 10 2" xfId="30693" xr:uid="{00000000-0005-0000-0000-0000B4810000}"/>
    <cellStyle name="Comma 3 5 2 11" xfId="9862" xr:uid="{00000000-0005-0000-0000-0000B5810000}"/>
    <cellStyle name="Comma 3 5 2 11 2" xfId="33141" xr:uid="{00000000-0005-0000-0000-0000B6810000}"/>
    <cellStyle name="Comma 3 5 2 12" xfId="12310" xr:uid="{00000000-0005-0000-0000-0000B7810000}"/>
    <cellStyle name="Comma 3 5 2 12 2" xfId="35589" xr:uid="{00000000-0005-0000-0000-0000B8810000}"/>
    <cellStyle name="Comma 3 5 2 13" xfId="14781" xr:uid="{00000000-0005-0000-0000-0000B9810000}"/>
    <cellStyle name="Comma 3 5 2 13 2" xfId="38059" xr:uid="{00000000-0005-0000-0000-0000BA810000}"/>
    <cellStyle name="Comma 3 5 2 14" xfId="23349" xr:uid="{00000000-0005-0000-0000-0000BB810000}"/>
    <cellStyle name="Comma 3 5 2 15" xfId="44179" xr:uid="{00000000-0005-0000-0000-0000BC810000}"/>
    <cellStyle name="Comma 3 5 2 16" xfId="20901" xr:uid="{00000000-0005-0000-0000-0000BD810000}"/>
    <cellStyle name="Comma 3 5 2 2" xfId="138" xr:uid="{00000000-0005-0000-0000-0000BE810000}"/>
    <cellStyle name="Comma 3 5 2 2 10" xfId="12378" xr:uid="{00000000-0005-0000-0000-0000BF810000}"/>
    <cellStyle name="Comma 3 5 2 2 10 2" xfId="35657" xr:uid="{00000000-0005-0000-0000-0000C0810000}"/>
    <cellStyle name="Comma 3 5 2 2 11" xfId="14849" xr:uid="{00000000-0005-0000-0000-0000C1810000}"/>
    <cellStyle name="Comma 3 5 2 2 11 2" xfId="38127" xr:uid="{00000000-0005-0000-0000-0000C2810000}"/>
    <cellStyle name="Comma 3 5 2 2 12" xfId="23417" xr:uid="{00000000-0005-0000-0000-0000C3810000}"/>
    <cellStyle name="Comma 3 5 2 2 13" xfId="44247" xr:uid="{00000000-0005-0000-0000-0000C4810000}"/>
    <cellStyle name="Comma 3 5 2 2 14" xfId="20969" xr:uid="{00000000-0005-0000-0000-0000C5810000}"/>
    <cellStyle name="Comma 3 5 2 2 2" xfId="342" xr:uid="{00000000-0005-0000-0000-0000C6810000}"/>
    <cellStyle name="Comma 3 5 2 2 2 10" xfId="23621" xr:uid="{00000000-0005-0000-0000-0000C7810000}"/>
    <cellStyle name="Comma 3 5 2 2 2 11" xfId="44451" xr:uid="{00000000-0005-0000-0000-0000C8810000}"/>
    <cellStyle name="Comma 3 5 2 2 2 12" xfId="21173" xr:uid="{00000000-0005-0000-0000-0000C9810000}"/>
    <cellStyle name="Comma 3 5 2 2 2 2" xfId="954" xr:uid="{00000000-0005-0000-0000-0000CA810000}"/>
    <cellStyle name="Comma 3 5 2 2 2 2 10" xfId="45063" xr:uid="{00000000-0005-0000-0000-0000CB810000}"/>
    <cellStyle name="Comma 3 5 2 2 2 2 11" xfId="21785" xr:uid="{00000000-0005-0000-0000-0000CC810000}"/>
    <cellStyle name="Comma 3 5 2 2 2 2 2" xfId="2178" xr:uid="{00000000-0005-0000-0000-0000CD810000}"/>
    <cellStyle name="Comma 3 5 2 2 2 2 2 10" xfId="23009" xr:uid="{00000000-0005-0000-0000-0000CE810000}"/>
    <cellStyle name="Comma 3 5 2 2 2 2 2 2" xfId="4626" xr:uid="{00000000-0005-0000-0000-0000CF810000}"/>
    <cellStyle name="Comma 3 5 2 2 2 2 2 2 2" xfId="20561" xr:uid="{00000000-0005-0000-0000-0000D0810000}"/>
    <cellStyle name="Comma 3 5 2 2 2 2 2 2 2 2" xfId="43839" xr:uid="{00000000-0005-0000-0000-0000D1810000}"/>
    <cellStyle name="Comma 3 5 2 2 2 2 2 2 3" xfId="48735" xr:uid="{00000000-0005-0000-0000-0000D2810000}"/>
    <cellStyle name="Comma 3 5 2 2 2 2 2 2 4" xfId="27905" xr:uid="{00000000-0005-0000-0000-0000D3810000}"/>
    <cellStyle name="Comma 3 5 2 2 2 2 2 3" xfId="7074" xr:uid="{00000000-0005-0000-0000-0000D4810000}"/>
    <cellStyle name="Comma 3 5 2 2 2 2 2 3 2" xfId="30353" xr:uid="{00000000-0005-0000-0000-0000D5810000}"/>
    <cellStyle name="Comma 3 5 2 2 2 2 2 4" xfId="9522" xr:uid="{00000000-0005-0000-0000-0000D6810000}"/>
    <cellStyle name="Comma 3 5 2 2 2 2 2 4 2" xfId="32801" xr:uid="{00000000-0005-0000-0000-0000D7810000}"/>
    <cellStyle name="Comma 3 5 2 2 2 2 2 5" xfId="11970" xr:uid="{00000000-0005-0000-0000-0000D8810000}"/>
    <cellStyle name="Comma 3 5 2 2 2 2 2 5 2" xfId="35249" xr:uid="{00000000-0005-0000-0000-0000D9810000}"/>
    <cellStyle name="Comma 3 5 2 2 2 2 2 6" xfId="14418" xr:uid="{00000000-0005-0000-0000-0000DA810000}"/>
    <cellStyle name="Comma 3 5 2 2 2 2 2 6 2" xfId="37697" xr:uid="{00000000-0005-0000-0000-0000DB810000}"/>
    <cellStyle name="Comma 3 5 2 2 2 2 2 7" xfId="18113" xr:uid="{00000000-0005-0000-0000-0000DC810000}"/>
    <cellStyle name="Comma 3 5 2 2 2 2 2 7 2" xfId="41391" xr:uid="{00000000-0005-0000-0000-0000DD810000}"/>
    <cellStyle name="Comma 3 5 2 2 2 2 2 8" xfId="25457" xr:uid="{00000000-0005-0000-0000-0000DE810000}"/>
    <cellStyle name="Comma 3 5 2 2 2 2 2 9" xfId="46287" xr:uid="{00000000-0005-0000-0000-0000DF810000}"/>
    <cellStyle name="Comma 3 5 2 2 2 2 3" xfId="3402" xr:uid="{00000000-0005-0000-0000-0000E0810000}"/>
    <cellStyle name="Comma 3 5 2 2 2 2 3 2" xfId="16889" xr:uid="{00000000-0005-0000-0000-0000E1810000}"/>
    <cellStyle name="Comma 3 5 2 2 2 2 3 2 2" xfId="40167" xr:uid="{00000000-0005-0000-0000-0000E2810000}"/>
    <cellStyle name="Comma 3 5 2 2 2 2 3 3" xfId="47511" xr:uid="{00000000-0005-0000-0000-0000E3810000}"/>
    <cellStyle name="Comma 3 5 2 2 2 2 3 4" xfId="26681" xr:uid="{00000000-0005-0000-0000-0000E4810000}"/>
    <cellStyle name="Comma 3 5 2 2 2 2 4" xfId="5850" xr:uid="{00000000-0005-0000-0000-0000E5810000}"/>
    <cellStyle name="Comma 3 5 2 2 2 2 4 2" xfId="19337" xr:uid="{00000000-0005-0000-0000-0000E6810000}"/>
    <cellStyle name="Comma 3 5 2 2 2 2 4 2 2" xfId="42615" xr:uid="{00000000-0005-0000-0000-0000E7810000}"/>
    <cellStyle name="Comma 3 5 2 2 2 2 4 3" xfId="29129" xr:uid="{00000000-0005-0000-0000-0000E8810000}"/>
    <cellStyle name="Comma 3 5 2 2 2 2 5" xfId="8298" xr:uid="{00000000-0005-0000-0000-0000E9810000}"/>
    <cellStyle name="Comma 3 5 2 2 2 2 5 2" xfId="31577" xr:uid="{00000000-0005-0000-0000-0000EA810000}"/>
    <cellStyle name="Comma 3 5 2 2 2 2 6" xfId="10746" xr:uid="{00000000-0005-0000-0000-0000EB810000}"/>
    <cellStyle name="Comma 3 5 2 2 2 2 6 2" xfId="34025" xr:uid="{00000000-0005-0000-0000-0000EC810000}"/>
    <cellStyle name="Comma 3 5 2 2 2 2 7" xfId="13194" xr:uid="{00000000-0005-0000-0000-0000ED810000}"/>
    <cellStyle name="Comma 3 5 2 2 2 2 7 2" xfId="36473" xr:uid="{00000000-0005-0000-0000-0000EE810000}"/>
    <cellStyle name="Comma 3 5 2 2 2 2 8" xfId="15665" xr:uid="{00000000-0005-0000-0000-0000EF810000}"/>
    <cellStyle name="Comma 3 5 2 2 2 2 8 2" xfId="38943" xr:uid="{00000000-0005-0000-0000-0000F0810000}"/>
    <cellStyle name="Comma 3 5 2 2 2 2 9" xfId="24233" xr:uid="{00000000-0005-0000-0000-0000F1810000}"/>
    <cellStyle name="Comma 3 5 2 2 2 3" xfId="1566" xr:uid="{00000000-0005-0000-0000-0000F2810000}"/>
    <cellStyle name="Comma 3 5 2 2 2 3 10" xfId="22397" xr:uid="{00000000-0005-0000-0000-0000F3810000}"/>
    <cellStyle name="Comma 3 5 2 2 2 3 2" xfId="4014" xr:uid="{00000000-0005-0000-0000-0000F4810000}"/>
    <cellStyle name="Comma 3 5 2 2 2 3 2 2" xfId="19949" xr:uid="{00000000-0005-0000-0000-0000F5810000}"/>
    <cellStyle name="Comma 3 5 2 2 2 3 2 2 2" xfId="43227" xr:uid="{00000000-0005-0000-0000-0000F6810000}"/>
    <cellStyle name="Comma 3 5 2 2 2 3 2 3" xfId="48123" xr:uid="{00000000-0005-0000-0000-0000F7810000}"/>
    <cellStyle name="Comma 3 5 2 2 2 3 2 4" xfId="27293" xr:uid="{00000000-0005-0000-0000-0000F8810000}"/>
    <cellStyle name="Comma 3 5 2 2 2 3 3" xfId="6462" xr:uid="{00000000-0005-0000-0000-0000F9810000}"/>
    <cellStyle name="Comma 3 5 2 2 2 3 3 2" xfId="29741" xr:uid="{00000000-0005-0000-0000-0000FA810000}"/>
    <cellStyle name="Comma 3 5 2 2 2 3 4" xfId="8910" xr:uid="{00000000-0005-0000-0000-0000FB810000}"/>
    <cellStyle name="Comma 3 5 2 2 2 3 4 2" xfId="32189" xr:uid="{00000000-0005-0000-0000-0000FC810000}"/>
    <cellStyle name="Comma 3 5 2 2 2 3 5" xfId="11358" xr:uid="{00000000-0005-0000-0000-0000FD810000}"/>
    <cellStyle name="Comma 3 5 2 2 2 3 5 2" xfId="34637" xr:uid="{00000000-0005-0000-0000-0000FE810000}"/>
    <cellStyle name="Comma 3 5 2 2 2 3 6" xfId="13806" xr:uid="{00000000-0005-0000-0000-0000FF810000}"/>
    <cellStyle name="Comma 3 5 2 2 2 3 6 2" xfId="37085" xr:uid="{00000000-0005-0000-0000-000000820000}"/>
    <cellStyle name="Comma 3 5 2 2 2 3 7" xfId="17501" xr:uid="{00000000-0005-0000-0000-000001820000}"/>
    <cellStyle name="Comma 3 5 2 2 2 3 7 2" xfId="40779" xr:uid="{00000000-0005-0000-0000-000002820000}"/>
    <cellStyle name="Comma 3 5 2 2 2 3 8" xfId="24845" xr:uid="{00000000-0005-0000-0000-000003820000}"/>
    <cellStyle name="Comma 3 5 2 2 2 3 9" xfId="45675" xr:uid="{00000000-0005-0000-0000-000004820000}"/>
    <cellStyle name="Comma 3 5 2 2 2 4" xfId="2790" xr:uid="{00000000-0005-0000-0000-000005820000}"/>
    <cellStyle name="Comma 3 5 2 2 2 4 2" xfId="16277" xr:uid="{00000000-0005-0000-0000-000006820000}"/>
    <cellStyle name="Comma 3 5 2 2 2 4 2 2" xfId="39555" xr:uid="{00000000-0005-0000-0000-000007820000}"/>
    <cellStyle name="Comma 3 5 2 2 2 4 3" xfId="46899" xr:uid="{00000000-0005-0000-0000-000008820000}"/>
    <cellStyle name="Comma 3 5 2 2 2 4 4" xfId="26069" xr:uid="{00000000-0005-0000-0000-000009820000}"/>
    <cellStyle name="Comma 3 5 2 2 2 5" xfId="5238" xr:uid="{00000000-0005-0000-0000-00000A820000}"/>
    <cellStyle name="Comma 3 5 2 2 2 5 2" xfId="18725" xr:uid="{00000000-0005-0000-0000-00000B820000}"/>
    <cellStyle name="Comma 3 5 2 2 2 5 2 2" xfId="42003" xr:uid="{00000000-0005-0000-0000-00000C820000}"/>
    <cellStyle name="Comma 3 5 2 2 2 5 3" xfId="28517" xr:uid="{00000000-0005-0000-0000-00000D820000}"/>
    <cellStyle name="Comma 3 5 2 2 2 6" xfId="7686" xr:uid="{00000000-0005-0000-0000-00000E820000}"/>
    <cellStyle name="Comma 3 5 2 2 2 6 2" xfId="30965" xr:uid="{00000000-0005-0000-0000-00000F820000}"/>
    <cellStyle name="Comma 3 5 2 2 2 7" xfId="10134" xr:uid="{00000000-0005-0000-0000-000010820000}"/>
    <cellStyle name="Comma 3 5 2 2 2 7 2" xfId="33413" xr:uid="{00000000-0005-0000-0000-000011820000}"/>
    <cellStyle name="Comma 3 5 2 2 2 8" xfId="12582" xr:uid="{00000000-0005-0000-0000-000012820000}"/>
    <cellStyle name="Comma 3 5 2 2 2 8 2" xfId="35861" xr:uid="{00000000-0005-0000-0000-000013820000}"/>
    <cellStyle name="Comma 3 5 2 2 2 9" xfId="15053" xr:uid="{00000000-0005-0000-0000-000014820000}"/>
    <cellStyle name="Comma 3 5 2 2 2 9 2" xfId="38331" xr:uid="{00000000-0005-0000-0000-000015820000}"/>
    <cellStyle name="Comma 3 5 2 2 3" xfId="546" xr:uid="{00000000-0005-0000-0000-000016820000}"/>
    <cellStyle name="Comma 3 5 2 2 3 10" xfId="23825" xr:uid="{00000000-0005-0000-0000-000017820000}"/>
    <cellStyle name="Comma 3 5 2 2 3 11" xfId="44655" xr:uid="{00000000-0005-0000-0000-000018820000}"/>
    <cellStyle name="Comma 3 5 2 2 3 12" xfId="21377" xr:uid="{00000000-0005-0000-0000-000019820000}"/>
    <cellStyle name="Comma 3 5 2 2 3 2" xfId="1158" xr:uid="{00000000-0005-0000-0000-00001A820000}"/>
    <cellStyle name="Comma 3 5 2 2 3 2 10" xfId="45267" xr:uid="{00000000-0005-0000-0000-00001B820000}"/>
    <cellStyle name="Comma 3 5 2 2 3 2 11" xfId="21989" xr:uid="{00000000-0005-0000-0000-00001C820000}"/>
    <cellStyle name="Comma 3 5 2 2 3 2 2" xfId="2382" xr:uid="{00000000-0005-0000-0000-00001D820000}"/>
    <cellStyle name="Comma 3 5 2 2 3 2 2 10" xfId="23213" xr:uid="{00000000-0005-0000-0000-00001E820000}"/>
    <cellStyle name="Comma 3 5 2 2 3 2 2 2" xfId="4830" xr:uid="{00000000-0005-0000-0000-00001F820000}"/>
    <cellStyle name="Comma 3 5 2 2 3 2 2 2 2" xfId="20765" xr:uid="{00000000-0005-0000-0000-000020820000}"/>
    <cellStyle name="Comma 3 5 2 2 3 2 2 2 2 2" xfId="44043" xr:uid="{00000000-0005-0000-0000-000021820000}"/>
    <cellStyle name="Comma 3 5 2 2 3 2 2 2 3" xfId="48939" xr:uid="{00000000-0005-0000-0000-000022820000}"/>
    <cellStyle name="Comma 3 5 2 2 3 2 2 2 4" xfId="28109" xr:uid="{00000000-0005-0000-0000-000023820000}"/>
    <cellStyle name="Comma 3 5 2 2 3 2 2 3" xfId="7278" xr:uid="{00000000-0005-0000-0000-000024820000}"/>
    <cellStyle name="Comma 3 5 2 2 3 2 2 3 2" xfId="30557" xr:uid="{00000000-0005-0000-0000-000025820000}"/>
    <cellStyle name="Comma 3 5 2 2 3 2 2 4" xfId="9726" xr:uid="{00000000-0005-0000-0000-000026820000}"/>
    <cellStyle name="Comma 3 5 2 2 3 2 2 4 2" xfId="33005" xr:uid="{00000000-0005-0000-0000-000027820000}"/>
    <cellStyle name="Comma 3 5 2 2 3 2 2 5" xfId="12174" xr:uid="{00000000-0005-0000-0000-000028820000}"/>
    <cellStyle name="Comma 3 5 2 2 3 2 2 5 2" xfId="35453" xr:uid="{00000000-0005-0000-0000-000029820000}"/>
    <cellStyle name="Comma 3 5 2 2 3 2 2 6" xfId="14622" xr:uid="{00000000-0005-0000-0000-00002A820000}"/>
    <cellStyle name="Comma 3 5 2 2 3 2 2 6 2" xfId="37901" xr:uid="{00000000-0005-0000-0000-00002B820000}"/>
    <cellStyle name="Comma 3 5 2 2 3 2 2 7" xfId="18317" xr:uid="{00000000-0005-0000-0000-00002C820000}"/>
    <cellStyle name="Comma 3 5 2 2 3 2 2 7 2" xfId="41595" xr:uid="{00000000-0005-0000-0000-00002D820000}"/>
    <cellStyle name="Comma 3 5 2 2 3 2 2 8" xfId="25661" xr:uid="{00000000-0005-0000-0000-00002E820000}"/>
    <cellStyle name="Comma 3 5 2 2 3 2 2 9" xfId="46491" xr:uid="{00000000-0005-0000-0000-00002F820000}"/>
    <cellStyle name="Comma 3 5 2 2 3 2 3" xfId="3606" xr:uid="{00000000-0005-0000-0000-000030820000}"/>
    <cellStyle name="Comma 3 5 2 2 3 2 3 2" xfId="17093" xr:uid="{00000000-0005-0000-0000-000031820000}"/>
    <cellStyle name="Comma 3 5 2 2 3 2 3 2 2" xfId="40371" xr:uid="{00000000-0005-0000-0000-000032820000}"/>
    <cellStyle name="Comma 3 5 2 2 3 2 3 3" xfId="47715" xr:uid="{00000000-0005-0000-0000-000033820000}"/>
    <cellStyle name="Comma 3 5 2 2 3 2 3 4" xfId="26885" xr:uid="{00000000-0005-0000-0000-000034820000}"/>
    <cellStyle name="Comma 3 5 2 2 3 2 4" xfId="6054" xr:uid="{00000000-0005-0000-0000-000035820000}"/>
    <cellStyle name="Comma 3 5 2 2 3 2 4 2" xfId="19541" xr:uid="{00000000-0005-0000-0000-000036820000}"/>
    <cellStyle name="Comma 3 5 2 2 3 2 4 2 2" xfId="42819" xr:uid="{00000000-0005-0000-0000-000037820000}"/>
    <cellStyle name="Comma 3 5 2 2 3 2 4 3" xfId="29333" xr:uid="{00000000-0005-0000-0000-000038820000}"/>
    <cellStyle name="Comma 3 5 2 2 3 2 5" xfId="8502" xr:uid="{00000000-0005-0000-0000-000039820000}"/>
    <cellStyle name="Comma 3 5 2 2 3 2 5 2" xfId="31781" xr:uid="{00000000-0005-0000-0000-00003A820000}"/>
    <cellStyle name="Comma 3 5 2 2 3 2 6" xfId="10950" xr:uid="{00000000-0005-0000-0000-00003B820000}"/>
    <cellStyle name="Comma 3 5 2 2 3 2 6 2" xfId="34229" xr:uid="{00000000-0005-0000-0000-00003C820000}"/>
    <cellStyle name="Comma 3 5 2 2 3 2 7" xfId="13398" xr:uid="{00000000-0005-0000-0000-00003D820000}"/>
    <cellStyle name="Comma 3 5 2 2 3 2 7 2" xfId="36677" xr:uid="{00000000-0005-0000-0000-00003E820000}"/>
    <cellStyle name="Comma 3 5 2 2 3 2 8" xfId="15869" xr:uid="{00000000-0005-0000-0000-00003F820000}"/>
    <cellStyle name="Comma 3 5 2 2 3 2 8 2" xfId="39147" xr:uid="{00000000-0005-0000-0000-000040820000}"/>
    <cellStyle name="Comma 3 5 2 2 3 2 9" xfId="24437" xr:uid="{00000000-0005-0000-0000-000041820000}"/>
    <cellStyle name="Comma 3 5 2 2 3 3" xfId="1770" xr:uid="{00000000-0005-0000-0000-000042820000}"/>
    <cellStyle name="Comma 3 5 2 2 3 3 10" xfId="22601" xr:uid="{00000000-0005-0000-0000-000043820000}"/>
    <cellStyle name="Comma 3 5 2 2 3 3 2" xfId="4218" xr:uid="{00000000-0005-0000-0000-000044820000}"/>
    <cellStyle name="Comma 3 5 2 2 3 3 2 2" xfId="20153" xr:uid="{00000000-0005-0000-0000-000045820000}"/>
    <cellStyle name="Comma 3 5 2 2 3 3 2 2 2" xfId="43431" xr:uid="{00000000-0005-0000-0000-000046820000}"/>
    <cellStyle name="Comma 3 5 2 2 3 3 2 3" xfId="48327" xr:uid="{00000000-0005-0000-0000-000047820000}"/>
    <cellStyle name="Comma 3 5 2 2 3 3 2 4" xfId="27497" xr:uid="{00000000-0005-0000-0000-000048820000}"/>
    <cellStyle name="Comma 3 5 2 2 3 3 3" xfId="6666" xr:uid="{00000000-0005-0000-0000-000049820000}"/>
    <cellStyle name="Comma 3 5 2 2 3 3 3 2" xfId="29945" xr:uid="{00000000-0005-0000-0000-00004A820000}"/>
    <cellStyle name="Comma 3 5 2 2 3 3 4" xfId="9114" xr:uid="{00000000-0005-0000-0000-00004B820000}"/>
    <cellStyle name="Comma 3 5 2 2 3 3 4 2" xfId="32393" xr:uid="{00000000-0005-0000-0000-00004C820000}"/>
    <cellStyle name="Comma 3 5 2 2 3 3 5" xfId="11562" xr:uid="{00000000-0005-0000-0000-00004D820000}"/>
    <cellStyle name="Comma 3 5 2 2 3 3 5 2" xfId="34841" xr:uid="{00000000-0005-0000-0000-00004E820000}"/>
    <cellStyle name="Comma 3 5 2 2 3 3 6" xfId="14010" xr:uid="{00000000-0005-0000-0000-00004F820000}"/>
    <cellStyle name="Comma 3 5 2 2 3 3 6 2" xfId="37289" xr:uid="{00000000-0005-0000-0000-000050820000}"/>
    <cellStyle name="Comma 3 5 2 2 3 3 7" xfId="17705" xr:uid="{00000000-0005-0000-0000-000051820000}"/>
    <cellStyle name="Comma 3 5 2 2 3 3 7 2" xfId="40983" xr:uid="{00000000-0005-0000-0000-000052820000}"/>
    <cellStyle name="Comma 3 5 2 2 3 3 8" xfId="25049" xr:uid="{00000000-0005-0000-0000-000053820000}"/>
    <cellStyle name="Comma 3 5 2 2 3 3 9" xfId="45879" xr:uid="{00000000-0005-0000-0000-000054820000}"/>
    <cellStyle name="Comma 3 5 2 2 3 4" xfId="2994" xr:uid="{00000000-0005-0000-0000-000055820000}"/>
    <cellStyle name="Comma 3 5 2 2 3 4 2" xfId="16481" xr:uid="{00000000-0005-0000-0000-000056820000}"/>
    <cellStyle name="Comma 3 5 2 2 3 4 2 2" xfId="39759" xr:uid="{00000000-0005-0000-0000-000057820000}"/>
    <cellStyle name="Comma 3 5 2 2 3 4 3" xfId="47103" xr:uid="{00000000-0005-0000-0000-000058820000}"/>
    <cellStyle name="Comma 3 5 2 2 3 4 4" xfId="26273" xr:uid="{00000000-0005-0000-0000-000059820000}"/>
    <cellStyle name="Comma 3 5 2 2 3 5" xfId="5442" xr:uid="{00000000-0005-0000-0000-00005A820000}"/>
    <cellStyle name="Comma 3 5 2 2 3 5 2" xfId="18929" xr:uid="{00000000-0005-0000-0000-00005B820000}"/>
    <cellStyle name="Comma 3 5 2 2 3 5 2 2" xfId="42207" xr:uid="{00000000-0005-0000-0000-00005C820000}"/>
    <cellStyle name="Comma 3 5 2 2 3 5 3" xfId="28721" xr:uid="{00000000-0005-0000-0000-00005D820000}"/>
    <cellStyle name="Comma 3 5 2 2 3 6" xfId="7890" xr:uid="{00000000-0005-0000-0000-00005E820000}"/>
    <cellStyle name="Comma 3 5 2 2 3 6 2" xfId="31169" xr:uid="{00000000-0005-0000-0000-00005F820000}"/>
    <cellStyle name="Comma 3 5 2 2 3 7" xfId="10338" xr:uid="{00000000-0005-0000-0000-000060820000}"/>
    <cellStyle name="Comma 3 5 2 2 3 7 2" xfId="33617" xr:uid="{00000000-0005-0000-0000-000061820000}"/>
    <cellStyle name="Comma 3 5 2 2 3 8" xfId="12786" xr:uid="{00000000-0005-0000-0000-000062820000}"/>
    <cellStyle name="Comma 3 5 2 2 3 8 2" xfId="36065" xr:uid="{00000000-0005-0000-0000-000063820000}"/>
    <cellStyle name="Comma 3 5 2 2 3 9" xfId="15257" xr:uid="{00000000-0005-0000-0000-000064820000}"/>
    <cellStyle name="Comma 3 5 2 2 3 9 2" xfId="38535" xr:uid="{00000000-0005-0000-0000-000065820000}"/>
    <cellStyle name="Comma 3 5 2 2 4" xfId="750" xr:uid="{00000000-0005-0000-0000-000066820000}"/>
    <cellStyle name="Comma 3 5 2 2 4 10" xfId="44859" xr:uid="{00000000-0005-0000-0000-000067820000}"/>
    <cellStyle name="Comma 3 5 2 2 4 11" xfId="21581" xr:uid="{00000000-0005-0000-0000-000068820000}"/>
    <cellStyle name="Comma 3 5 2 2 4 2" xfId="1974" xr:uid="{00000000-0005-0000-0000-000069820000}"/>
    <cellStyle name="Comma 3 5 2 2 4 2 10" xfId="22805" xr:uid="{00000000-0005-0000-0000-00006A820000}"/>
    <cellStyle name="Comma 3 5 2 2 4 2 2" xfId="4422" xr:uid="{00000000-0005-0000-0000-00006B820000}"/>
    <cellStyle name="Comma 3 5 2 2 4 2 2 2" xfId="20357" xr:uid="{00000000-0005-0000-0000-00006C820000}"/>
    <cellStyle name="Comma 3 5 2 2 4 2 2 2 2" xfId="43635" xr:uid="{00000000-0005-0000-0000-00006D820000}"/>
    <cellStyle name="Comma 3 5 2 2 4 2 2 3" xfId="48531" xr:uid="{00000000-0005-0000-0000-00006E820000}"/>
    <cellStyle name="Comma 3 5 2 2 4 2 2 4" xfId="27701" xr:uid="{00000000-0005-0000-0000-00006F820000}"/>
    <cellStyle name="Comma 3 5 2 2 4 2 3" xfId="6870" xr:uid="{00000000-0005-0000-0000-000070820000}"/>
    <cellStyle name="Comma 3 5 2 2 4 2 3 2" xfId="30149" xr:uid="{00000000-0005-0000-0000-000071820000}"/>
    <cellStyle name="Comma 3 5 2 2 4 2 4" xfId="9318" xr:uid="{00000000-0005-0000-0000-000072820000}"/>
    <cellStyle name="Comma 3 5 2 2 4 2 4 2" xfId="32597" xr:uid="{00000000-0005-0000-0000-000073820000}"/>
    <cellStyle name="Comma 3 5 2 2 4 2 5" xfId="11766" xr:uid="{00000000-0005-0000-0000-000074820000}"/>
    <cellStyle name="Comma 3 5 2 2 4 2 5 2" xfId="35045" xr:uid="{00000000-0005-0000-0000-000075820000}"/>
    <cellStyle name="Comma 3 5 2 2 4 2 6" xfId="14214" xr:uid="{00000000-0005-0000-0000-000076820000}"/>
    <cellStyle name="Comma 3 5 2 2 4 2 6 2" xfId="37493" xr:uid="{00000000-0005-0000-0000-000077820000}"/>
    <cellStyle name="Comma 3 5 2 2 4 2 7" xfId="17909" xr:uid="{00000000-0005-0000-0000-000078820000}"/>
    <cellStyle name="Comma 3 5 2 2 4 2 7 2" xfId="41187" xr:uid="{00000000-0005-0000-0000-000079820000}"/>
    <cellStyle name="Comma 3 5 2 2 4 2 8" xfId="25253" xr:uid="{00000000-0005-0000-0000-00007A820000}"/>
    <cellStyle name="Comma 3 5 2 2 4 2 9" xfId="46083" xr:uid="{00000000-0005-0000-0000-00007B820000}"/>
    <cellStyle name="Comma 3 5 2 2 4 3" xfId="3198" xr:uid="{00000000-0005-0000-0000-00007C820000}"/>
    <cellStyle name="Comma 3 5 2 2 4 3 2" xfId="16685" xr:uid="{00000000-0005-0000-0000-00007D820000}"/>
    <cellStyle name="Comma 3 5 2 2 4 3 2 2" xfId="39963" xr:uid="{00000000-0005-0000-0000-00007E820000}"/>
    <cellStyle name="Comma 3 5 2 2 4 3 3" xfId="47307" xr:uid="{00000000-0005-0000-0000-00007F820000}"/>
    <cellStyle name="Comma 3 5 2 2 4 3 4" xfId="26477" xr:uid="{00000000-0005-0000-0000-000080820000}"/>
    <cellStyle name="Comma 3 5 2 2 4 4" xfId="5646" xr:uid="{00000000-0005-0000-0000-000081820000}"/>
    <cellStyle name="Comma 3 5 2 2 4 4 2" xfId="19133" xr:uid="{00000000-0005-0000-0000-000082820000}"/>
    <cellStyle name="Comma 3 5 2 2 4 4 2 2" xfId="42411" xr:uid="{00000000-0005-0000-0000-000083820000}"/>
    <cellStyle name="Comma 3 5 2 2 4 4 3" xfId="28925" xr:uid="{00000000-0005-0000-0000-000084820000}"/>
    <cellStyle name="Comma 3 5 2 2 4 5" xfId="8094" xr:uid="{00000000-0005-0000-0000-000085820000}"/>
    <cellStyle name="Comma 3 5 2 2 4 5 2" xfId="31373" xr:uid="{00000000-0005-0000-0000-000086820000}"/>
    <cellStyle name="Comma 3 5 2 2 4 6" xfId="10542" xr:uid="{00000000-0005-0000-0000-000087820000}"/>
    <cellStyle name="Comma 3 5 2 2 4 6 2" xfId="33821" xr:uid="{00000000-0005-0000-0000-000088820000}"/>
    <cellStyle name="Comma 3 5 2 2 4 7" xfId="12990" xr:uid="{00000000-0005-0000-0000-000089820000}"/>
    <cellStyle name="Comma 3 5 2 2 4 7 2" xfId="36269" xr:uid="{00000000-0005-0000-0000-00008A820000}"/>
    <cellStyle name="Comma 3 5 2 2 4 8" xfId="15461" xr:uid="{00000000-0005-0000-0000-00008B820000}"/>
    <cellStyle name="Comma 3 5 2 2 4 8 2" xfId="38739" xr:uid="{00000000-0005-0000-0000-00008C820000}"/>
    <cellStyle name="Comma 3 5 2 2 4 9" xfId="24029" xr:uid="{00000000-0005-0000-0000-00008D820000}"/>
    <cellStyle name="Comma 3 5 2 2 5" xfId="1362" xr:uid="{00000000-0005-0000-0000-00008E820000}"/>
    <cellStyle name="Comma 3 5 2 2 5 10" xfId="22193" xr:uid="{00000000-0005-0000-0000-00008F820000}"/>
    <cellStyle name="Comma 3 5 2 2 5 2" xfId="3810" xr:uid="{00000000-0005-0000-0000-000090820000}"/>
    <cellStyle name="Comma 3 5 2 2 5 2 2" xfId="19745" xr:uid="{00000000-0005-0000-0000-000091820000}"/>
    <cellStyle name="Comma 3 5 2 2 5 2 2 2" xfId="43023" xr:uid="{00000000-0005-0000-0000-000092820000}"/>
    <cellStyle name="Comma 3 5 2 2 5 2 3" xfId="47919" xr:uid="{00000000-0005-0000-0000-000093820000}"/>
    <cellStyle name="Comma 3 5 2 2 5 2 4" xfId="27089" xr:uid="{00000000-0005-0000-0000-000094820000}"/>
    <cellStyle name="Comma 3 5 2 2 5 3" xfId="6258" xr:uid="{00000000-0005-0000-0000-000095820000}"/>
    <cellStyle name="Comma 3 5 2 2 5 3 2" xfId="29537" xr:uid="{00000000-0005-0000-0000-000096820000}"/>
    <cellStyle name="Comma 3 5 2 2 5 4" xfId="8706" xr:uid="{00000000-0005-0000-0000-000097820000}"/>
    <cellStyle name="Comma 3 5 2 2 5 4 2" xfId="31985" xr:uid="{00000000-0005-0000-0000-000098820000}"/>
    <cellStyle name="Comma 3 5 2 2 5 5" xfId="11154" xr:uid="{00000000-0005-0000-0000-000099820000}"/>
    <cellStyle name="Comma 3 5 2 2 5 5 2" xfId="34433" xr:uid="{00000000-0005-0000-0000-00009A820000}"/>
    <cellStyle name="Comma 3 5 2 2 5 6" xfId="13602" xr:uid="{00000000-0005-0000-0000-00009B820000}"/>
    <cellStyle name="Comma 3 5 2 2 5 6 2" xfId="36881" xr:uid="{00000000-0005-0000-0000-00009C820000}"/>
    <cellStyle name="Comma 3 5 2 2 5 7" xfId="17297" xr:uid="{00000000-0005-0000-0000-00009D820000}"/>
    <cellStyle name="Comma 3 5 2 2 5 7 2" xfId="40575" xr:uid="{00000000-0005-0000-0000-00009E820000}"/>
    <cellStyle name="Comma 3 5 2 2 5 8" xfId="24641" xr:uid="{00000000-0005-0000-0000-00009F820000}"/>
    <cellStyle name="Comma 3 5 2 2 5 9" xfId="45471" xr:uid="{00000000-0005-0000-0000-0000A0820000}"/>
    <cellStyle name="Comma 3 5 2 2 6" xfId="2586" xr:uid="{00000000-0005-0000-0000-0000A1820000}"/>
    <cellStyle name="Comma 3 5 2 2 6 2" xfId="16073" xr:uid="{00000000-0005-0000-0000-0000A2820000}"/>
    <cellStyle name="Comma 3 5 2 2 6 2 2" xfId="39351" xr:uid="{00000000-0005-0000-0000-0000A3820000}"/>
    <cellStyle name="Comma 3 5 2 2 6 3" xfId="46695" xr:uid="{00000000-0005-0000-0000-0000A4820000}"/>
    <cellStyle name="Comma 3 5 2 2 6 4" xfId="25865" xr:uid="{00000000-0005-0000-0000-0000A5820000}"/>
    <cellStyle name="Comma 3 5 2 2 7" xfId="5034" xr:uid="{00000000-0005-0000-0000-0000A6820000}"/>
    <cellStyle name="Comma 3 5 2 2 7 2" xfId="18521" xr:uid="{00000000-0005-0000-0000-0000A7820000}"/>
    <cellStyle name="Comma 3 5 2 2 7 2 2" xfId="41799" xr:uid="{00000000-0005-0000-0000-0000A8820000}"/>
    <cellStyle name="Comma 3 5 2 2 7 3" xfId="28313" xr:uid="{00000000-0005-0000-0000-0000A9820000}"/>
    <cellStyle name="Comma 3 5 2 2 8" xfId="7482" xr:uid="{00000000-0005-0000-0000-0000AA820000}"/>
    <cellStyle name="Comma 3 5 2 2 8 2" xfId="30761" xr:uid="{00000000-0005-0000-0000-0000AB820000}"/>
    <cellStyle name="Comma 3 5 2 2 9" xfId="9930" xr:uid="{00000000-0005-0000-0000-0000AC820000}"/>
    <cellStyle name="Comma 3 5 2 2 9 2" xfId="33209" xr:uid="{00000000-0005-0000-0000-0000AD820000}"/>
    <cellStyle name="Comma 3 5 2 3" xfId="206" xr:uid="{00000000-0005-0000-0000-0000AE820000}"/>
    <cellStyle name="Comma 3 5 2 3 10" xfId="12446" xr:uid="{00000000-0005-0000-0000-0000AF820000}"/>
    <cellStyle name="Comma 3 5 2 3 10 2" xfId="35725" xr:uid="{00000000-0005-0000-0000-0000B0820000}"/>
    <cellStyle name="Comma 3 5 2 3 11" xfId="14917" xr:uid="{00000000-0005-0000-0000-0000B1820000}"/>
    <cellStyle name="Comma 3 5 2 3 11 2" xfId="38195" xr:uid="{00000000-0005-0000-0000-0000B2820000}"/>
    <cellStyle name="Comma 3 5 2 3 12" xfId="23485" xr:uid="{00000000-0005-0000-0000-0000B3820000}"/>
    <cellStyle name="Comma 3 5 2 3 13" xfId="44315" xr:uid="{00000000-0005-0000-0000-0000B4820000}"/>
    <cellStyle name="Comma 3 5 2 3 14" xfId="21037" xr:uid="{00000000-0005-0000-0000-0000B5820000}"/>
    <cellStyle name="Comma 3 5 2 3 2" xfId="410" xr:uid="{00000000-0005-0000-0000-0000B6820000}"/>
    <cellStyle name="Comma 3 5 2 3 2 10" xfId="23689" xr:uid="{00000000-0005-0000-0000-0000B7820000}"/>
    <cellStyle name="Comma 3 5 2 3 2 11" xfId="44519" xr:uid="{00000000-0005-0000-0000-0000B8820000}"/>
    <cellStyle name="Comma 3 5 2 3 2 12" xfId="21241" xr:uid="{00000000-0005-0000-0000-0000B9820000}"/>
    <cellStyle name="Comma 3 5 2 3 2 2" xfId="1022" xr:uid="{00000000-0005-0000-0000-0000BA820000}"/>
    <cellStyle name="Comma 3 5 2 3 2 2 10" xfId="45131" xr:uid="{00000000-0005-0000-0000-0000BB820000}"/>
    <cellStyle name="Comma 3 5 2 3 2 2 11" xfId="21853" xr:uid="{00000000-0005-0000-0000-0000BC820000}"/>
    <cellStyle name="Comma 3 5 2 3 2 2 2" xfId="2246" xr:uid="{00000000-0005-0000-0000-0000BD820000}"/>
    <cellStyle name="Comma 3 5 2 3 2 2 2 10" xfId="23077" xr:uid="{00000000-0005-0000-0000-0000BE820000}"/>
    <cellStyle name="Comma 3 5 2 3 2 2 2 2" xfId="4694" xr:uid="{00000000-0005-0000-0000-0000BF820000}"/>
    <cellStyle name="Comma 3 5 2 3 2 2 2 2 2" xfId="20629" xr:uid="{00000000-0005-0000-0000-0000C0820000}"/>
    <cellStyle name="Comma 3 5 2 3 2 2 2 2 2 2" xfId="43907" xr:uid="{00000000-0005-0000-0000-0000C1820000}"/>
    <cellStyle name="Comma 3 5 2 3 2 2 2 2 3" xfId="48803" xr:uid="{00000000-0005-0000-0000-0000C2820000}"/>
    <cellStyle name="Comma 3 5 2 3 2 2 2 2 4" xfId="27973" xr:uid="{00000000-0005-0000-0000-0000C3820000}"/>
    <cellStyle name="Comma 3 5 2 3 2 2 2 3" xfId="7142" xr:uid="{00000000-0005-0000-0000-0000C4820000}"/>
    <cellStyle name="Comma 3 5 2 3 2 2 2 3 2" xfId="30421" xr:uid="{00000000-0005-0000-0000-0000C5820000}"/>
    <cellStyle name="Comma 3 5 2 3 2 2 2 4" xfId="9590" xr:uid="{00000000-0005-0000-0000-0000C6820000}"/>
    <cellStyle name="Comma 3 5 2 3 2 2 2 4 2" xfId="32869" xr:uid="{00000000-0005-0000-0000-0000C7820000}"/>
    <cellStyle name="Comma 3 5 2 3 2 2 2 5" xfId="12038" xr:uid="{00000000-0005-0000-0000-0000C8820000}"/>
    <cellStyle name="Comma 3 5 2 3 2 2 2 5 2" xfId="35317" xr:uid="{00000000-0005-0000-0000-0000C9820000}"/>
    <cellStyle name="Comma 3 5 2 3 2 2 2 6" xfId="14486" xr:uid="{00000000-0005-0000-0000-0000CA820000}"/>
    <cellStyle name="Comma 3 5 2 3 2 2 2 6 2" xfId="37765" xr:uid="{00000000-0005-0000-0000-0000CB820000}"/>
    <cellStyle name="Comma 3 5 2 3 2 2 2 7" xfId="18181" xr:uid="{00000000-0005-0000-0000-0000CC820000}"/>
    <cellStyle name="Comma 3 5 2 3 2 2 2 7 2" xfId="41459" xr:uid="{00000000-0005-0000-0000-0000CD820000}"/>
    <cellStyle name="Comma 3 5 2 3 2 2 2 8" xfId="25525" xr:uid="{00000000-0005-0000-0000-0000CE820000}"/>
    <cellStyle name="Comma 3 5 2 3 2 2 2 9" xfId="46355" xr:uid="{00000000-0005-0000-0000-0000CF820000}"/>
    <cellStyle name="Comma 3 5 2 3 2 2 3" xfId="3470" xr:uid="{00000000-0005-0000-0000-0000D0820000}"/>
    <cellStyle name="Comma 3 5 2 3 2 2 3 2" xfId="16957" xr:uid="{00000000-0005-0000-0000-0000D1820000}"/>
    <cellStyle name="Comma 3 5 2 3 2 2 3 2 2" xfId="40235" xr:uid="{00000000-0005-0000-0000-0000D2820000}"/>
    <cellStyle name="Comma 3 5 2 3 2 2 3 3" xfId="47579" xr:uid="{00000000-0005-0000-0000-0000D3820000}"/>
    <cellStyle name="Comma 3 5 2 3 2 2 3 4" xfId="26749" xr:uid="{00000000-0005-0000-0000-0000D4820000}"/>
    <cellStyle name="Comma 3 5 2 3 2 2 4" xfId="5918" xr:uid="{00000000-0005-0000-0000-0000D5820000}"/>
    <cellStyle name="Comma 3 5 2 3 2 2 4 2" xfId="19405" xr:uid="{00000000-0005-0000-0000-0000D6820000}"/>
    <cellStyle name="Comma 3 5 2 3 2 2 4 2 2" xfId="42683" xr:uid="{00000000-0005-0000-0000-0000D7820000}"/>
    <cellStyle name="Comma 3 5 2 3 2 2 4 3" xfId="29197" xr:uid="{00000000-0005-0000-0000-0000D8820000}"/>
    <cellStyle name="Comma 3 5 2 3 2 2 5" xfId="8366" xr:uid="{00000000-0005-0000-0000-0000D9820000}"/>
    <cellStyle name="Comma 3 5 2 3 2 2 5 2" xfId="31645" xr:uid="{00000000-0005-0000-0000-0000DA820000}"/>
    <cellStyle name="Comma 3 5 2 3 2 2 6" xfId="10814" xr:uid="{00000000-0005-0000-0000-0000DB820000}"/>
    <cellStyle name="Comma 3 5 2 3 2 2 6 2" xfId="34093" xr:uid="{00000000-0005-0000-0000-0000DC820000}"/>
    <cellStyle name="Comma 3 5 2 3 2 2 7" xfId="13262" xr:uid="{00000000-0005-0000-0000-0000DD820000}"/>
    <cellStyle name="Comma 3 5 2 3 2 2 7 2" xfId="36541" xr:uid="{00000000-0005-0000-0000-0000DE820000}"/>
    <cellStyle name="Comma 3 5 2 3 2 2 8" xfId="15733" xr:uid="{00000000-0005-0000-0000-0000DF820000}"/>
    <cellStyle name="Comma 3 5 2 3 2 2 8 2" xfId="39011" xr:uid="{00000000-0005-0000-0000-0000E0820000}"/>
    <cellStyle name="Comma 3 5 2 3 2 2 9" xfId="24301" xr:uid="{00000000-0005-0000-0000-0000E1820000}"/>
    <cellStyle name="Comma 3 5 2 3 2 3" xfId="1634" xr:uid="{00000000-0005-0000-0000-0000E2820000}"/>
    <cellStyle name="Comma 3 5 2 3 2 3 10" xfId="22465" xr:uid="{00000000-0005-0000-0000-0000E3820000}"/>
    <cellStyle name="Comma 3 5 2 3 2 3 2" xfId="4082" xr:uid="{00000000-0005-0000-0000-0000E4820000}"/>
    <cellStyle name="Comma 3 5 2 3 2 3 2 2" xfId="20017" xr:uid="{00000000-0005-0000-0000-0000E5820000}"/>
    <cellStyle name="Comma 3 5 2 3 2 3 2 2 2" xfId="43295" xr:uid="{00000000-0005-0000-0000-0000E6820000}"/>
    <cellStyle name="Comma 3 5 2 3 2 3 2 3" xfId="48191" xr:uid="{00000000-0005-0000-0000-0000E7820000}"/>
    <cellStyle name="Comma 3 5 2 3 2 3 2 4" xfId="27361" xr:uid="{00000000-0005-0000-0000-0000E8820000}"/>
    <cellStyle name="Comma 3 5 2 3 2 3 3" xfId="6530" xr:uid="{00000000-0005-0000-0000-0000E9820000}"/>
    <cellStyle name="Comma 3 5 2 3 2 3 3 2" xfId="29809" xr:uid="{00000000-0005-0000-0000-0000EA820000}"/>
    <cellStyle name="Comma 3 5 2 3 2 3 4" xfId="8978" xr:uid="{00000000-0005-0000-0000-0000EB820000}"/>
    <cellStyle name="Comma 3 5 2 3 2 3 4 2" xfId="32257" xr:uid="{00000000-0005-0000-0000-0000EC820000}"/>
    <cellStyle name="Comma 3 5 2 3 2 3 5" xfId="11426" xr:uid="{00000000-0005-0000-0000-0000ED820000}"/>
    <cellStyle name="Comma 3 5 2 3 2 3 5 2" xfId="34705" xr:uid="{00000000-0005-0000-0000-0000EE820000}"/>
    <cellStyle name="Comma 3 5 2 3 2 3 6" xfId="13874" xr:uid="{00000000-0005-0000-0000-0000EF820000}"/>
    <cellStyle name="Comma 3 5 2 3 2 3 6 2" xfId="37153" xr:uid="{00000000-0005-0000-0000-0000F0820000}"/>
    <cellStyle name="Comma 3 5 2 3 2 3 7" xfId="17569" xr:uid="{00000000-0005-0000-0000-0000F1820000}"/>
    <cellStyle name="Comma 3 5 2 3 2 3 7 2" xfId="40847" xr:uid="{00000000-0005-0000-0000-0000F2820000}"/>
    <cellStyle name="Comma 3 5 2 3 2 3 8" xfId="24913" xr:uid="{00000000-0005-0000-0000-0000F3820000}"/>
    <cellStyle name="Comma 3 5 2 3 2 3 9" xfId="45743" xr:uid="{00000000-0005-0000-0000-0000F4820000}"/>
    <cellStyle name="Comma 3 5 2 3 2 4" xfId="2858" xr:uid="{00000000-0005-0000-0000-0000F5820000}"/>
    <cellStyle name="Comma 3 5 2 3 2 4 2" xfId="16345" xr:uid="{00000000-0005-0000-0000-0000F6820000}"/>
    <cellStyle name="Comma 3 5 2 3 2 4 2 2" xfId="39623" xr:uid="{00000000-0005-0000-0000-0000F7820000}"/>
    <cellStyle name="Comma 3 5 2 3 2 4 3" xfId="46967" xr:uid="{00000000-0005-0000-0000-0000F8820000}"/>
    <cellStyle name="Comma 3 5 2 3 2 4 4" xfId="26137" xr:uid="{00000000-0005-0000-0000-0000F9820000}"/>
    <cellStyle name="Comma 3 5 2 3 2 5" xfId="5306" xr:uid="{00000000-0005-0000-0000-0000FA820000}"/>
    <cellStyle name="Comma 3 5 2 3 2 5 2" xfId="18793" xr:uid="{00000000-0005-0000-0000-0000FB820000}"/>
    <cellStyle name="Comma 3 5 2 3 2 5 2 2" xfId="42071" xr:uid="{00000000-0005-0000-0000-0000FC820000}"/>
    <cellStyle name="Comma 3 5 2 3 2 5 3" xfId="28585" xr:uid="{00000000-0005-0000-0000-0000FD820000}"/>
    <cellStyle name="Comma 3 5 2 3 2 6" xfId="7754" xr:uid="{00000000-0005-0000-0000-0000FE820000}"/>
    <cellStyle name="Comma 3 5 2 3 2 6 2" xfId="31033" xr:uid="{00000000-0005-0000-0000-0000FF820000}"/>
    <cellStyle name="Comma 3 5 2 3 2 7" xfId="10202" xr:uid="{00000000-0005-0000-0000-000000830000}"/>
    <cellStyle name="Comma 3 5 2 3 2 7 2" xfId="33481" xr:uid="{00000000-0005-0000-0000-000001830000}"/>
    <cellStyle name="Comma 3 5 2 3 2 8" xfId="12650" xr:uid="{00000000-0005-0000-0000-000002830000}"/>
    <cellStyle name="Comma 3 5 2 3 2 8 2" xfId="35929" xr:uid="{00000000-0005-0000-0000-000003830000}"/>
    <cellStyle name="Comma 3 5 2 3 2 9" xfId="15121" xr:uid="{00000000-0005-0000-0000-000004830000}"/>
    <cellStyle name="Comma 3 5 2 3 2 9 2" xfId="38399" xr:uid="{00000000-0005-0000-0000-000005830000}"/>
    <cellStyle name="Comma 3 5 2 3 3" xfId="614" xr:uid="{00000000-0005-0000-0000-000006830000}"/>
    <cellStyle name="Comma 3 5 2 3 3 10" xfId="23893" xr:uid="{00000000-0005-0000-0000-000007830000}"/>
    <cellStyle name="Comma 3 5 2 3 3 11" xfId="44723" xr:uid="{00000000-0005-0000-0000-000008830000}"/>
    <cellStyle name="Comma 3 5 2 3 3 12" xfId="21445" xr:uid="{00000000-0005-0000-0000-000009830000}"/>
    <cellStyle name="Comma 3 5 2 3 3 2" xfId="1226" xr:uid="{00000000-0005-0000-0000-00000A830000}"/>
    <cellStyle name="Comma 3 5 2 3 3 2 10" xfId="45335" xr:uid="{00000000-0005-0000-0000-00000B830000}"/>
    <cellStyle name="Comma 3 5 2 3 3 2 11" xfId="22057" xr:uid="{00000000-0005-0000-0000-00000C830000}"/>
    <cellStyle name="Comma 3 5 2 3 3 2 2" xfId="2450" xr:uid="{00000000-0005-0000-0000-00000D830000}"/>
    <cellStyle name="Comma 3 5 2 3 3 2 2 10" xfId="23281" xr:uid="{00000000-0005-0000-0000-00000E830000}"/>
    <cellStyle name="Comma 3 5 2 3 3 2 2 2" xfId="4898" xr:uid="{00000000-0005-0000-0000-00000F830000}"/>
    <cellStyle name="Comma 3 5 2 3 3 2 2 2 2" xfId="20833" xr:uid="{00000000-0005-0000-0000-000010830000}"/>
    <cellStyle name="Comma 3 5 2 3 3 2 2 2 2 2" xfId="44111" xr:uid="{00000000-0005-0000-0000-000011830000}"/>
    <cellStyle name="Comma 3 5 2 3 3 2 2 2 3" xfId="49007" xr:uid="{00000000-0005-0000-0000-000012830000}"/>
    <cellStyle name="Comma 3 5 2 3 3 2 2 2 4" xfId="28177" xr:uid="{00000000-0005-0000-0000-000013830000}"/>
    <cellStyle name="Comma 3 5 2 3 3 2 2 3" xfId="7346" xr:uid="{00000000-0005-0000-0000-000014830000}"/>
    <cellStyle name="Comma 3 5 2 3 3 2 2 3 2" xfId="30625" xr:uid="{00000000-0005-0000-0000-000015830000}"/>
    <cellStyle name="Comma 3 5 2 3 3 2 2 4" xfId="9794" xr:uid="{00000000-0005-0000-0000-000016830000}"/>
    <cellStyle name="Comma 3 5 2 3 3 2 2 4 2" xfId="33073" xr:uid="{00000000-0005-0000-0000-000017830000}"/>
    <cellStyle name="Comma 3 5 2 3 3 2 2 5" xfId="12242" xr:uid="{00000000-0005-0000-0000-000018830000}"/>
    <cellStyle name="Comma 3 5 2 3 3 2 2 5 2" xfId="35521" xr:uid="{00000000-0005-0000-0000-000019830000}"/>
    <cellStyle name="Comma 3 5 2 3 3 2 2 6" xfId="14690" xr:uid="{00000000-0005-0000-0000-00001A830000}"/>
    <cellStyle name="Comma 3 5 2 3 3 2 2 6 2" xfId="37969" xr:uid="{00000000-0005-0000-0000-00001B830000}"/>
    <cellStyle name="Comma 3 5 2 3 3 2 2 7" xfId="18385" xr:uid="{00000000-0005-0000-0000-00001C830000}"/>
    <cellStyle name="Comma 3 5 2 3 3 2 2 7 2" xfId="41663" xr:uid="{00000000-0005-0000-0000-00001D830000}"/>
    <cellStyle name="Comma 3 5 2 3 3 2 2 8" xfId="25729" xr:uid="{00000000-0005-0000-0000-00001E830000}"/>
    <cellStyle name="Comma 3 5 2 3 3 2 2 9" xfId="46559" xr:uid="{00000000-0005-0000-0000-00001F830000}"/>
    <cellStyle name="Comma 3 5 2 3 3 2 3" xfId="3674" xr:uid="{00000000-0005-0000-0000-000020830000}"/>
    <cellStyle name="Comma 3 5 2 3 3 2 3 2" xfId="17161" xr:uid="{00000000-0005-0000-0000-000021830000}"/>
    <cellStyle name="Comma 3 5 2 3 3 2 3 2 2" xfId="40439" xr:uid="{00000000-0005-0000-0000-000022830000}"/>
    <cellStyle name="Comma 3 5 2 3 3 2 3 3" xfId="47783" xr:uid="{00000000-0005-0000-0000-000023830000}"/>
    <cellStyle name="Comma 3 5 2 3 3 2 3 4" xfId="26953" xr:uid="{00000000-0005-0000-0000-000024830000}"/>
    <cellStyle name="Comma 3 5 2 3 3 2 4" xfId="6122" xr:uid="{00000000-0005-0000-0000-000025830000}"/>
    <cellStyle name="Comma 3 5 2 3 3 2 4 2" xfId="19609" xr:uid="{00000000-0005-0000-0000-000026830000}"/>
    <cellStyle name="Comma 3 5 2 3 3 2 4 2 2" xfId="42887" xr:uid="{00000000-0005-0000-0000-000027830000}"/>
    <cellStyle name="Comma 3 5 2 3 3 2 4 3" xfId="29401" xr:uid="{00000000-0005-0000-0000-000028830000}"/>
    <cellStyle name="Comma 3 5 2 3 3 2 5" xfId="8570" xr:uid="{00000000-0005-0000-0000-000029830000}"/>
    <cellStyle name="Comma 3 5 2 3 3 2 5 2" xfId="31849" xr:uid="{00000000-0005-0000-0000-00002A830000}"/>
    <cellStyle name="Comma 3 5 2 3 3 2 6" xfId="11018" xr:uid="{00000000-0005-0000-0000-00002B830000}"/>
    <cellStyle name="Comma 3 5 2 3 3 2 6 2" xfId="34297" xr:uid="{00000000-0005-0000-0000-00002C830000}"/>
    <cellStyle name="Comma 3 5 2 3 3 2 7" xfId="13466" xr:uid="{00000000-0005-0000-0000-00002D830000}"/>
    <cellStyle name="Comma 3 5 2 3 3 2 7 2" xfId="36745" xr:uid="{00000000-0005-0000-0000-00002E830000}"/>
    <cellStyle name="Comma 3 5 2 3 3 2 8" xfId="15937" xr:uid="{00000000-0005-0000-0000-00002F830000}"/>
    <cellStyle name="Comma 3 5 2 3 3 2 8 2" xfId="39215" xr:uid="{00000000-0005-0000-0000-000030830000}"/>
    <cellStyle name="Comma 3 5 2 3 3 2 9" xfId="24505" xr:uid="{00000000-0005-0000-0000-000031830000}"/>
    <cellStyle name="Comma 3 5 2 3 3 3" xfId="1838" xr:uid="{00000000-0005-0000-0000-000032830000}"/>
    <cellStyle name="Comma 3 5 2 3 3 3 10" xfId="22669" xr:uid="{00000000-0005-0000-0000-000033830000}"/>
    <cellStyle name="Comma 3 5 2 3 3 3 2" xfId="4286" xr:uid="{00000000-0005-0000-0000-000034830000}"/>
    <cellStyle name="Comma 3 5 2 3 3 3 2 2" xfId="20221" xr:uid="{00000000-0005-0000-0000-000035830000}"/>
    <cellStyle name="Comma 3 5 2 3 3 3 2 2 2" xfId="43499" xr:uid="{00000000-0005-0000-0000-000036830000}"/>
    <cellStyle name="Comma 3 5 2 3 3 3 2 3" xfId="48395" xr:uid="{00000000-0005-0000-0000-000037830000}"/>
    <cellStyle name="Comma 3 5 2 3 3 3 2 4" xfId="27565" xr:uid="{00000000-0005-0000-0000-000038830000}"/>
    <cellStyle name="Comma 3 5 2 3 3 3 3" xfId="6734" xr:uid="{00000000-0005-0000-0000-000039830000}"/>
    <cellStyle name="Comma 3 5 2 3 3 3 3 2" xfId="30013" xr:uid="{00000000-0005-0000-0000-00003A830000}"/>
    <cellStyle name="Comma 3 5 2 3 3 3 4" xfId="9182" xr:uid="{00000000-0005-0000-0000-00003B830000}"/>
    <cellStyle name="Comma 3 5 2 3 3 3 4 2" xfId="32461" xr:uid="{00000000-0005-0000-0000-00003C830000}"/>
    <cellStyle name="Comma 3 5 2 3 3 3 5" xfId="11630" xr:uid="{00000000-0005-0000-0000-00003D830000}"/>
    <cellStyle name="Comma 3 5 2 3 3 3 5 2" xfId="34909" xr:uid="{00000000-0005-0000-0000-00003E830000}"/>
    <cellStyle name="Comma 3 5 2 3 3 3 6" xfId="14078" xr:uid="{00000000-0005-0000-0000-00003F830000}"/>
    <cellStyle name="Comma 3 5 2 3 3 3 6 2" xfId="37357" xr:uid="{00000000-0005-0000-0000-000040830000}"/>
    <cellStyle name="Comma 3 5 2 3 3 3 7" xfId="17773" xr:uid="{00000000-0005-0000-0000-000041830000}"/>
    <cellStyle name="Comma 3 5 2 3 3 3 7 2" xfId="41051" xr:uid="{00000000-0005-0000-0000-000042830000}"/>
    <cellStyle name="Comma 3 5 2 3 3 3 8" xfId="25117" xr:uid="{00000000-0005-0000-0000-000043830000}"/>
    <cellStyle name="Comma 3 5 2 3 3 3 9" xfId="45947" xr:uid="{00000000-0005-0000-0000-000044830000}"/>
    <cellStyle name="Comma 3 5 2 3 3 4" xfId="3062" xr:uid="{00000000-0005-0000-0000-000045830000}"/>
    <cellStyle name="Comma 3 5 2 3 3 4 2" xfId="16549" xr:uid="{00000000-0005-0000-0000-000046830000}"/>
    <cellStyle name="Comma 3 5 2 3 3 4 2 2" xfId="39827" xr:uid="{00000000-0005-0000-0000-000047830000}"/>
    <cellStyle name="Comma 3 5 2 3 3 4 3" xfId="47171" xr:uid="{00000000-0005-0000-0000-000048830000}"/>
    <cellStyle name="Comma 3 5 2 3 3 4 4" xfId="26341" xr:uid="{00000000-0005-0000-0000-000049830000}"/>
    <cellStyle name="Comma 3 5 2 3 3 5" xfId="5510" xr:uid="{00000000-0005-0000-0000-00004A830000}"/>
    <cellStyle name="Comma 3 5 2 3 3 5 2" xfId="18997" xr:uid="{00000000-0005-0000-0000-00004B830000}"/>
    <cellStyle name="Comma 3 5 2 3 3 5 2 2" xfId="42275" xr:uid="{00000000-0005-0000-0000-00004C830000}"/>
    <cellStyle name="Comma 3 5 2 3 3 5 3" xfId="28789" xr:uid="{00000000-0005-0000-0000-00004D830000}"/>
    <cellStyle name="Comma 3 5 2 3 3 6" xfId="7958" xr:uid="{00000000-0005-0000-0000-00004E830000}"/>
    <cellStyle name="Comma 3 5 2 3 3 6 2" xfId="31237" xr:uid="{00000000-0005-0000-0000-00004F830000}"/>
    <cellStyle name="Comma 3 5 2 3 3 7" xfId="10406" xr:uid="{00000000-0005-0000-0000-000050830000}"/>
    <cellStyle name="Comma 3 5 2 3 3 7 2" xfId="33685" xr:uid="{00000000-0005-0000-0000-000051830000}"/>
    <cellStyle name="Comma 3 5 2 3 3 8" xfId="12854" xr:uid="{00000000-0005-0000-0000-000052830000}"/>
    <cellStyle name="Comma 3 5 2 3 3 8 2" xfId="36133" xr:uid="{00000000-0005-0000-0000-000053830000}"/>
    <cellStyle name="Comma 3 5 2 3 3 9" xfId="15325" xr:uid="{00000000-0005-0000-0000-000054830000}"/>
    <cellStyle name="Comma 3 5 2 3 3 9 2" xfId="38603" xr:uid="{00000000-0005-0000-0000-000055830000}"/>
    <cellStyle name="Comma 3 5 2 3 4" xfId="818" xr:uid="{00000000-0005-0000-0000-000056830000}"/>
    <cellStyle name="Comma 3 5 2 3 4 10" xfId="44927" xr:uid="{00000000-0005-0000-0000-000057830000}"/>
    <cellStyle name="Comma 3 5 2 3 4 11" xfId="21649" xr:uid="{00000000-0005-0000-0000-000058830000}"/>
    <cellStyle name="Comma 3 5 2 3 4 2" xfId="2042" xr:uid="{00000000-0005-0000-0000-000059830000}"/>
    <cellStyle name="Comma 3 5 2 3 4 2 10" xfId="22873" xr:uid="{00000000-0005-0000-0000-00005A830000}"/>
    <cellStyle name="Comma 3 5 2 3 4 2 2" xfId="4490" xr:uid="{00000000-0005-0000-0000-00005B830000}"/>
    <cellStyle name="Comma 3 5 2 3 4 2 2 2" xfId="20425" xr:uid="{00000000-0005-0000-0000-00005C830000}"/>
    <cellStyle name="Comma 3 5 2 3 4 2 2 2 2" xfId="43703" xr:uid="{00000000-0005-0000-0000-00005D830000}"/>
    <cellStyle name="Comma 3 5 2 3 4 2 2 3" xfId="48599" xr:uid="{00000000-0005-0000-0000-00005E830000}"/>
    <cellStyle name="Comma 3 5 2 3 4 2 2 4" xfId="27769" xr:uid="{00000000-0005-0000-0000-00005F830000}"/>
    <cellStyle name="Comma 3 5 2 3 4 2 3" xfId="6938" xr:uid="{00000000-0005-0000-0000-000060830000}"/>
    <cellStyle name="Comma 3 5 2 3 4 2 3 2" xfId="30217" xr:uid="{00000000-0005-0000-0000-000061830000}"/>
    <cellStyle name="Comma 3 5 2 3 4 2 4" xfId="9386" xr:uid="{00000000-0005-0000-0000-000062830000}"/>
    <cellStyle name="Comma 3 5 2 3 4 2 4 2" xfId="32665" xr:uid="{00000000-0005-0000-0000-000063830000}"/>
    <cellStyle name="Comma 3 5 2 3 4 2 5" xfId="11834" xr:uid="{00000000-0005-0000-0000-000064830000}"/>
    <cellStyle name="Comma 3 5 2 3 4 2 5 2" xfId="35113" xr:uid="{00000000-0005-0000-0000-000065830000}"/>
    <cellStyle name="Comma 3 5 2 3 4 2 6" xfId="14282" xr:uid="{00000000-0005-0000-0000-000066830000}"/>
    <cellStyle name="Comma 3 5 2 3 4 2 6 2" xfId="37561" xr:uid="{00000000-0005-0000-0000-000067830000}"/>
    <cellStyle name="Comma 3 5 2 3 4 2 7" xfId="17977" xr:uid="{00000000-0005-0000-0000-000068830000}"/>
    <cellStyle name="Comma 3 5 2 3 4 2 7 2" xfId="41255" xr:uid="{00000000-0005-0000-0000-000069830000}"/>
    <cellStyle name="Comma 3 5 2 3 4 2 8" xfId="25321" xr:uid="{00000000-0005-0000-0000-00006A830000}"/>
    <cellStyle name="Comma 3 5 2 3 4 2 9" xfId="46151" xr:uid="{00000000-0005-0000-0000-00006B830000}"/>
    <cellStyle name="Comma 3 5 2 3 4 3" xfId="3266" xr:uid="{00000000-0005-0000-0000-00006C830000}"/>
    <cellStyle name="Comma 3 5 2 3 4 3 2" xfId="16753" xr:uid="{00000000-0005-0000-0000-00006D830000}"/>
    <cellStyle name="Comma 3 5 2 3 4 3 2 2" xfId="40031" xr:uid="{00000000-0005-0000-0000-00006E830000}"/>
    <cellStyle name="Comma 3 5 2 3 4 3 3" xfId="47375" xr:uid="{00000000-0005-0000-0000-00006F830000}"/>
    <cellStyle name="Comma 3 5 2 3 4 3 4" xfId="26545" xr:uid="{00000000-0005-0000-0000-000070830000}"/>
    <cellStyle name="Comma 3 5 2 3 4 4" xfId="5714" xr:uid="{00000000-0005-0000-0000-000071830000}"/>
    <cellStyle name="Comma 3 5 2 3 4 4 2" xfId="19201" xr:uid="{00000000-0005-0000-0000-000072830000}"/>
    <cellStyle name="Comma 3 5 2 3 4 4 2 2" xfId="42479" xr:uid="{00000000-0005-0000-0000-000073830000}"/>
    <cellStyle name="Comma 3 5 2 3 4 4 3" xfId="28993" xr:uid="{00000000-0005-0000-0000-000074830000}"/>
    <cellStyle name="Comma 3 5 2 3 4 5" xfId="8162" xr:uid="{00000000-0005-0000-0000-000075830000}"/>
    <cellStyle name="Comma 3 5 2 3 4 5 2" xfId="31441" xr:uid="{00000000-0005-0000-0000-000076830000}"/>
    <cellStyle name="Comma 3 5 2 3 4 6" xfId="10610" xr:uid="{00000000-0005-0000-0000-000077830000}"/>
    <cellStyle name="Comma 3 5 2 3 4 6 2" xfId="33889" xr:uid="{00000000-0005-0000-0000-000078830000}"/>
    <cellStyle name="Comma 3 5 2 3 4 7" xfId="13058" xr:uid="{00000000-0005-0000-0000-000079830000}"/>
    <cellStyle name="Comma 3 5 2 3 4 7 2" xfId="36337" xr:uid="{00000000-0005-0000-0000-00007A830000}"/>
    <cellStyle name="Comma 3 5 2 3 4 8" xfId="15529" xr:uid="{00000000-0005-0000-0000-00007B830000}"/>
    <cellStyle name="Comma 3 5 2 3 4 8 2" xfId="38807" xr:uid="{00000000-0005-0000-0000-00007C830000}"/>
    <cellStyle name="Comma 3 5 2 3 4 9" xfId="24097" xr:uid="{00000000-0005-0000-0000-00007D830000}"/>
    <cellStyle name="Comma 3 5 2 3 5" xfId="1430" xr:uid="{00000000-0005-0000-0000-00007E830000}"/>
    <cellStyle name="Comma 3 5 2 3 5 10" xfId="22261" xr:uid="{00000000-0005-0000-0000-00007F830000}"/>
    <cellStyle name="Comma 3 5 2 3 5 2" xfId="3878" xr:uid="{00000000-0005-0000-0000-000080830000}"/>
    <cellStyle name="Comma 3 5 2 3 5 2 2" xfId="19813" xr:uid="{00000000-0005-0000-0000-000081830000}"/>
    <cellStyle name="Comma 3 5 2 3 5 2 2 2" xfId="43091" xr:uid="{00000000-0005-0000-0000-000082830000}"/>
    <cellStyle name="Comma 3 5 2 3 5 2 3" xfId="47987" xr:uid="{00000000-0005-0000-0000-000083830000}"/>
    <cellStyle name="Comma 3 5 2 3 5 2 4" xfId="27157" xr:uid="{00000000-0005-0000-0000-000084830000}"/>
    <cellStyle name="Comma 3 5 2 3 5 3" xfId="6326" xr:uid="{00000000-0005-0000-0000-000085830000}"/>
    <cellStyle name="Comma 3 5 2 3 5 3 2" xfId="29605" xr:uid="{00000000-0005-0000-0000-000086830000}"/>
    <cellStyle name="Comma 3 5 2 3 5 4" xfId="8774" xr:uid="{00000000-0005-0000-0000-000087830000}"/>
    <cellStyle name="Comma 3 5 2 3 5 4 2" xfId="32053" xr:uid="{00000000-0005-0000-0000-000088830000}"/>
    <cellStyle name="Comma 3 5 2 3 5 5" xfId="11222" xr:uid="{00000000-0005-0000-0000-000089830000}"/>
    <cellStyle name="Comma 3 5 2 3 5 5 2" xfId="34501" xr:uid="{00000000-0005-0000-0000-00008A830000}"/>
    <cellStyle name="Comma 3 5 2 3 5 6" xfId="13670" xr:uid="{00000000-0005-0000-0000-00008B830000}"/>
    <cellStyle name="Comma 3 5 2 3 5 6 2" xfId="36949" xr:uid="{00000000-0005-0000-0000-00008C830000}"/>
    <cellStyle name="Comma 3 5 2 3 5 7" xfId="17365" xr:uid="{00000000-0005-0000-0000-00008D830000}"/>
    <cellStyle name="Comma 3 5 2 3 5 7 2" xfId="40643" xr:uid="{00000000-0005-0000-0000-00008E830000}"/>
    <cellStyle name="Comma 3 5 2 3 5 8" xfId="24709" xr:uid="{00000000-0005-0000-0000-00008F830000}"/>
    <cellStyle name="Comma 3 5 2 3 5 9" xfId="45539" xr:uid="{00000000-0005-0000-0000-000090830000}"/>
    <cellStyle name="Comma 3 5 2 3 6" xfId="2654" xr:uid="{00000000-0005-0000-0000-000091830000}"/>
    <cellStyle name="Comma 3 5 2 3 6 2" xfId="16141" xr:uid="{00000000-0005-0000-0000-000092830000}"/>
    <cellStyle name="Comma 3 5 2 3 6 2 2" xfId="39419" xr:uid="{00000000-0005-0000-0000-000093830000}"/>
    <cellStyle name="Comma 3 5 2 3 6 3" xfId="46763" xr:uid="{00000000-0005-0000-0000-000094830000}"/>
    <cellStyle name="Comma 3 5 2 3 6 4" xfId="25933" xr:uid="{00000000-0005-0000-0000-000095830000}"/>
    <cellStyle name="Comma 3 5 2 3 7" xfId="5102" xr:uid="{00000000-0005-0000-0000-000096830000}"/>
    <cellStyle name="Comma 3 5 2 3 7 2" xfId="18589" xr:uid="{00000000-0005-0000-0000-000097830000}"/>
    <cellStyle name="Comma 3 5 2 3 7 2 2" xfId="41867" xr:uid="{00000000-0005-0000-0000-000098830000}"/>
    <cellStyle name="Comma 3 5 2 3 7 3" xfId="28381" xr:uid="{00000000-0005-0000-0000-000099830000}"/>
    <cellStyle name="Comma 3 5 2 3 8" xfId="7550" xr:uid="{00000000-0005-0000-0000-00009A830000}"/>
    <cellStyle name="Comma 3 5 2 3 8 2" xfId="30829" xr:uid="{00000000-0005-0000-0000-00009B830000}"/>
    <cellStyle name="Comma 3 5 2 3 9" xfId="9998" xr:uid="{00000000-0005-0000-0000-00009C830000}"/>
    <cellStyle name="Comma 3 5 2 3 9 2" xfId="33277" xr:uid="{00000000-0005-0000-0000-00009D830000}"/>
    <cellStyle name="Comma 3 5 2 4" xfId="274" xr:uid="{00000000-0005-0000-0000-00009E830000}"/>
    <cellStyle name="Comma 3 5 2 4 10" xfId="23553" xr:uid="{00000000-0005-0000-0000-00009F830000}"/>
    <cellStyle name="Comma 3 5 2 4 11" xfId="44383" xr:uid="{00000000-0005-0000-0000-0000A0830000}"/>
    <cellStyle name="Comma 3 5 2 4 12" xfId="21105" xr:uid="{00000000-0005-0000-0000-0000A1830000}"/>
    <cellStyle name="Comma 3 5 2 4 2" xfId="886" xr:uid="{00000000-0005-0000-0000-0000A2830000}"/>
    <cellStyle name="Comma 3 5 2 4 2 10" xfId="44995" xr:uid="{00000000-0005-0000-0000-0000A3830000}"/>
    <cellStyle name="Comma 3 5 2 4 2 11" xfId="21717" xr:uid="{00000000-0005-0000-0000-0000A4830000}"/>
    <cellStyle name="Comma 3 5 2 4 2 2" xfId="2110" xr:uid="{00000000-0005-0000-0000-0000A5830000}"/>
    <cellStyle name="Comma 3 5 2 4 2 2 10" xfId="22941" xr:uid="{00000000-0005-0000-0000-0000A6830000}"/>
    <cellStyle name="Comma 3 5 2 4 2 2 2" xfId="4558" xr:uid="{00000000-0005-0000-0000-0000A7830000}"/>
    <cellStyle name="Comma 3 5 2 4 2 2 2 2" xfId="20493" xr:uid="{00000000-0005-0000-0000-0000A8830000}"/>
    <cellStyle name="Comma 3 5 2 4 2 2 2 2 2" xfId="43771" xr:uid="{00000000-0005-0000-0000-0000A9830000}"/>
    <cellStyle name="Comma 3 5 2 4 2 2 2 3" xfId="48667" xr:uid="{00000000-0005-0000-0000-0000AA830000}"/>
    <cellStyle name="Comma 3 5 2 4 2 2 2 4" xfId="27837" xr:uid="{00000000-0005-0000-0000-0000AB830000}"/>
    <cellStyle name="Comma 3 5 2 4 2 2 3" xfId="7006" xr:uid="{00000000-0005-0000-0000-0000AC830000}"/>
    <cellStyle name="Comma 3 5 2 4 2 2 3 2" xfId="30285" xr:uid="{00000000-0005-0000-0000-0000AD830000}"/>
    <cellStyle name="Comma 3 5 2 4 2 2 4" xfId="9454" xr:uid="{00000000-0005-0000-0000-0000AE830000}"/>
    <cellStyle name="Comma 3 5 2 4 2 2 4 2" xfId="32733" xr:uid="{00000000-0005-0000-0000-0000AF830000}"/>
    <cellStyle name="Comma 3 5 2 4 2 2 5" xfId="11902" xr:uid="{00000000-0005-0000-0000-0000B0830000}"/>
    <cellStyle name="Comma 3 5 2 4 2 2 5 2" xfId="35181" xr:uid="{00000000-0005-0000-0000-0000B1830000}"/>
    <cellStyle name="Comma 3 5 2 4 2 2 6" xfId="14350" xr:uid="{00000000-0005-0000-0000-0000B2830000}"/>
    <cellStyle name="Comma 3 5 2 4 2 2 6 2" xfId="37629" xr:uid="{00000000-0005-0000-0000-0000B3830000}"/>
    <cellStyle name="Comma 3 5 2 4 2 2 7" xfId="18045" xr:uid="{00000000-0005-0000-0000-0000B4830000}"/>
    <cellStyle name="Comma 3 5 2 4 2 2 7 2" xfId="41323" xr:uid="{00000000-0005-0000-0000-0000B5830000}"/>
    <cellStyle name="Comma 3 5 2 4 2 2 8" xfId="25389" xr:uid="{00000000-0005-0000-0000-0000B6830000}"/>
    <cellStyle name="Comma 3 5 2 4 2 2 9" xfId="46219" xr:uid="{00000000-0005-0000-0000-0000B7830000}"/>
    <cellStyle name="Comma 3 5 2 4 2 3" xfId="3334" xr:uid="{00000000-0005-0000-0000-0000B8830000}"/>
    <cellStyle name="Comma 3 5 2 4 2 3 2" xfId="16821" xr:uid="{00000000-0005-0000-0000-0000B9830000}"/>
    <cellStyle name="Comma 3 5 2 4 2 3 2 2" xfId="40099" xr:uid="{00000000-0005-0000-0000-0000BA830000}"/>
    <cellStyle name="Comma 3 5 2 4 2 3 3" xfId="47443" xr:uid="{00000000-0005-0000-0000-0000BB830000}"/>
    <cellStyle name="Comma 3 5 2 4 2 3 4" xfId="26613" xr:uid="{00000000-0005-0000-0000-0000BC830000}"/>
    <cellStyle name="Comma 3 5 2 4 2 4" xfId="5782" xr:uid="{00000000-0005-0000-0000-0000BD830000}"/>
    <cellStyle name="Comma 3 5 2 4 2 4 2" xfId="19269" xr:uid="{00000000-0005-0000-0000-0000BE830000}"/>
    <cellStyle name="Comma 3 5 2 4 2 4 2 2" xfId="42547" xr:uid="{00000000-0005-0000-0000-0000BF830000}"/>
    <cellStyle name="Comma 3 5 2 4 2 4 3" xfId="29061" xr:uid="{00000000-0005-0000-0000-0000C0830000}"/>
    <cellStyle name="Comma 3 5 2 4 2 5" xfId="8230" xr:uid="{00000000-0005-0000-0000-0000C1830000}"/>
    <cellStyle name="Comma 3 5 2 4 2 5 2" xfId="31509" xr:uid="{00000000-0005-0000-0000-0000C2830000}"/>
    <cellStyle name="Comma 3 5 2 4 2 6" xfId="10678" xr:uid="{00000000-0005-0000-0000-0000C3830000}"/>
    <cellStyle name="Comma 3 5 2 4 2 6 2" xfId="33957" xr:uid="{00000000-0005-0000-0000-0000C4830000}"/>
    <cellStyle name="Comma 3 5 2 4 2 7" xfId="13126" xr:uid="{00000000-0005-0000-0000-0000C5830000}"/>
    <cellStyle name="Comma 3 5 2 4 2 7 2" xfId="36405" xr:uid="{00000000-0005-0000-0000-0000C6830000}"/>
    <cellStyle name="Comma 3 5 2 4 2 8" xfId="15597" xr:uid="{00000000-0005-0000-0000-0000C7830000}"/>
    <cellStyle name="Comma 3 5 2 4 2 8 2" xfId="38875" xr:uid="{00000000-0005-0000-0000-0000C8830000}"/>
    <cellStyle name="Comma 3 5 2 4 2 9" xfId="24165" xr:uid="{00000000-0005-0000-0000-0000C9830000}"/>
    <cellStyle name="Comma 3 5 2 4 3" xfId="1498" xr:uid="{00000000-0005-0000-0000-0000CA830000}"/>
    <cellStyle name="Comma 3 5 2 4 3 10" xfId="22329" xr:uid="{00000000-0005-0000-0000-0000CB830000}"/>
    <cellStyle name="Comma 3 5 2 4 3 2" xfId="3946" xr:uid="{00000000-0005-0000-0000-0000CC830000}"/>
    <cellStyle name="Comma 3 5 2 4 3 2 2" xfId="19881" xr:uid="{00000000-0005-0000-0000-0000CD830000}"/>
    <cellStyle name="Comma 3 5 2 4 3 2 2 2" xfId="43159" xr:uid="{00000000-0005-0000-0000-0000CE830000}"/>
    <cellStyle name="Comma 3 5 2 4 3 2 3" xfId="48055" xr:uid="{00000000-0005-0000-0000-0000CF830000}"/>
    <cellStyle name="Comma 3 5 2 4 3 2 4" xfId="27225" xr:uid="{00000000-0005-0000-0000-0000D0830000}"/>
    <cellStyle name="Comma 3 5 2 4 3 3" xfId="6394" xr:uid="{00000000-0005-0000-0000-0000D1830000}"/>
    <cellStyle name="Comma 3 5 2 4 3 3 2" xfId="29673" xr:uid="{00000000-0005-0000-0000-0000D2830000}"/>
    <cellStyle name="Comma 3 5 2 4 3 4" xfId="8842" xr:uid="{00000000-0005-0000-0000-0000D3830000}"/>
    <cellStyle name="Comma 3 5 2 4 3 4 2" xfId="32121" xr:uid="{00000000-0005-0000-0000-0000D4830000}"/>
    <cellStyle name="Comma 3 5 2 4 3 5" xfId="11290" xr:uid="{00000000-0005-0000-0000-0000D5830000}"/>
    <cellStyle name="Comma 3 5 2 4 3 5 2" xfId="34569" xr:uid="{00000000-0005-0000-0000-0000D6830000}"/>
    <cellStyle name="Comma 3 5 2 4 3 6" xfId="13738" xr:uid="{00000000-0005-0000-0000-0000D7830000}"/>
    <cellStyle name="Comma 3 5 2 4 3 6 2" xfId="37017" xr:uid="{00000000-0005-0000-0000-0000D8830000}"/>
    <cellStyle name="Comma 3 5 2 4 3 7" xfId="17433" xr:uid="{00000000-0005-0000-0000-0000D9830000}"/>
    <cellStyle name="Comma 3 5 2 4 3 7 2" xfId="40711" xr:uid="{00000000-0005-0000-0000-0000DA830000}"/>
    <cellStyle name="Comma 3 5 2 4 3 8" xfId="24777" xr:uid="{00000000-0005-0000-0000-0000DB830000}"/>
    <cellStyle name="Comma 3 5 2 4 3 9" xfId="45607" xr:uid="{00000000-0005-0000-0000-0000DC830000}"/>
    <cellStyle name="Comma 3 5 2 4 4" xfId="2722" xr:uid="{00000000-0005-0000-0000-0000DD830000}"/>
    <cellStyle name="Comma 3 5 2 4 4 2" xfId="16209" xr:uid="{00000000-0005-0000-0000-0000DE830000}"/>
    <cellStyle name="Comma 3 5 2 4 4 2 2" xfId="39487" xr:uid="{00000000-0005-0000-0000-0000DF830000}"/>
    <cellStyle name="Comma 3 5 2 4 4 3" xfId="46831" xr:uid="{00000000-0005-0000-0000-0000E0830000}"/>
    <cellStyle name="Comma 3 5 2 4 4 4" xfId="26001" xr:uid="{00000000-0005-0000-0000-0000E1830000}"/>
    <cellStyle name="Comma 3 5 2 4 5" xfId="5170" xr:uid="{00000000-0005-0000-0000-0000E2830000}"/>
    <cellStyle name="Comma 3 5 2 4 5 2" xfId="18657" xr:uid="{00000000-0005-0000-0000-0000E3830000}"/>
    <cellStyle name="Comma 3 5 2 4 5 2 2" xfId="41935" xr:uid="{00000000-0005-0000-0000-0000E4830000}"/>
    <cellStyle name="Comma 3 5 2 4 5 3" xfId="28449" xr:uid="{00000000-0005-0000-0000-0000E5830000}"/>
    <cellStyle name="Comma 3 5 2 4 6" xfId="7618" xr:uid="{00000000-0005-0000-0000-0000E6830000}"/>
    <cellStyle name="Comma 3 5 2 4 6 2" xfId="30897" xr:uid="{00000000-0005-0000-0000-0000E7830000}"/>
    <cellStyle name="Comma 3 5 2 4 7" xfId="10066" xr:uid="{00000000-0005-0000-0000-0000E8830000}"/>
    <cellStyle name="Comma 3 5 2 4 7 2" xfId="33345" xr:uid="{00000000-0005-0000-0000-0000E9830000}"/>
    <cellStyle name="Comma 3 5 2 4 8" xfId="12514" xr:uid="{00000000-0005-0000-0000-0000EA830000}"/>
    <cellStyle name="Comma 3 5 2 4 8 2" xfId="35793" xr:uid="{00000000-0005-0000-0000-0000EB830000}"/>
    <cellStyle name="Comma 3 5 2 4 9" xfId="14985" xr:uid="{00000000-0005-0000-0000-0000EC830000}"/>
    <cellStyle name="Comma 3 5 2 4 9 2" xfId="38263" xr:uid="{00000000-0005-0000-0000-0000ED830000}"/>
    <cellStyle name="Comma 3 5 2 5" xfId="478" xr:uid="{00000000-0005-0000-0000-0000EE830000}"/>
    <cellStyle name="Comma 3 5 2 5 10" xfId="23757" xr:uid="{00000000-0005-0000-0000-0000EF830000}"/>
    <cellStyle name="Comma 3 5 2 5 11" xfId="44587" xr:uid="{00000000-0005-0000-0000-0000F0830000}"/>
    <cellStyle name="Comma 3 5 2 5 12" xfId="21309" xr:uid="{00000000-0005-0000-0000-0000F1830000}"/>
    <cellStyle name="Comma 3 5 2 5 2" xfId="1090" xr:uid="{00000000-0005-0000-0000-0000F2830000}"/>
    <cellStyle name="Comma 3 5 2 5 2 10" xfId="45199" xr:uid="{00000000-0005-0000-0000-0000F3830000}"/>
    <cellStyle name="Comma 3 5 2 5 2 11" xfId="21921" xr:uid="{00000000-0005-0000-0000-0000F4830000}"/>
    <cellStyle name="Comma 3 5 2 5 2 2" xfId="2314" xr:uid="{00000000-0005-0000-0000-0000F5830000}"/>
    <cellStyle name="Comma 3 5 2 5 2 2 10" xfId="23145" xr:uid="{00000000-0005-0000-0000-0000F6830000}"/>
    <cellStyle name="Comma 3 5 2 5 2 2 2" xfId="4762" xr:uid="{00000000-0005-0000-0000-0000F7830000}"/>
    <cellStyle name="Comma 3 5 2 5 2 2 2 2" xfId="20697" xr:uid="{00000000-0005-0000-0000-0000F8830000}"/>
    <cellStyle name="Comma 3 5 2 5 2 2 2 2 2" xfId="43975" xr:uid="{00000000-0005-0000-0000-0000F9830000}"/>
    <cellStyle name="Comma 3 5 2 5 2 2 2 3" xfId="48871" xr:uid="{00000000-0005-0000-0000-0000FA830000}"/>
    <cellStyle name="Comma 3 5 2 5 2 2 2 4" xfId="28041" xr:uid="{00000000-0005-0000-0000-0000FB830000}"/>
    <cellStyle name="Comma 3 5 2 5 2 2 3" xfId="7210" xr:uid="{00000000-0005-0000-0000-0000FC830000}"/>
    <cellStyle name="Comma 3 5 2 5 2 2 3 2" xfId="30489" xr:uid="{00000000-0005-0000-0000-0000FD830000}"/>
    <cellStyle name="Comma 3 5 2 5 2 2 4" xfId="9658" xr:uid="{00000000-0005-0000-0000-0000FE830000}"/>
    <cellStyle name="Comma 3 5 2 5 2 2 4 2" xfId="32937" xr:uid="{00000000-0005-0000-0000-0000FF830000}"/>
    <cellStyle name="Comma 3 5 2 5 2 2 5" xfId="12106" xr:uid="{00000000-0005-0000-0000-000000840000}"/>
    <cellStyle name="Comma 3 5 2 5 2 2 5 2" xfId="35385" xr:uid="{00000000-0005-0000-0000-000001840000}"/>
    <cellStyle name="Comma 3 5 2 5 2 2 6" xfId="14554" xr:uid="{00000000-0005-0000-0000-000002840000}"/>
    <cellStyle name="Comma 3 5 2 5 2 2 6 2" xfId="37833" xr:uid="{00000000-0005-0000-0000-000003840000}"/>
    <cellStyle name="Comma 3 5 2 5 2 2 7" xfId="18249" xr:uid="{00000000-0005-0000-0000-000004840000}"/>
    <cellStyle name="Comma 3 5 2 5 2 2 7 2" xfId="41527" xr:uid="{00000000-0005-0000-0000-000005840000}"/>
    <cellStyle name="Comma 3 5 2 5 2 2 8" xfId="25593" xr:uid="{00000000-0005-0000-0000-000006840000}"/>
    <cellStyle name="Comma 3 5 2 5 2 2 9" xfId="46423" xr:uid="{00000000-0005-0000-0000-000007840000}"/>
    <cellStyle name="Comma 3 5 2 5 2 3" xfId="3538" xr:uid="{00000000-0005-0000-0000-000008840000}"/>
    <cellStyle name="Comma 3 5 2 5 2 3 2" xfId="17025" xr:uid="{00000000-0005-0000-0000-000009840000}"/>
    <cellStyle name="Comma 3 5 2 5 2 3 2 2" xfId="40303" xr:uid="{00000000-0005-0000-0000-00000A840000}"/>
    <cellStyle name="Comma 3 5 2 5 2 3 3" xfId="47647" xr:uid="{00000000-0005-0000-0000-00000B840000}"/>
    <cellStyle name="Comma 3 5 2 5 2 3 4" xfId="26817" xr:uid="{00000000-0005-0000-0000-00000C840000}"/>
    <cellStyle name="Comma 3 5 2 5 2 4" xfId="5986" xr:uid="{00000000-0005-0000-0000-00000D840000}"/>
    <cellStyle name="Comma 3 5 2 5 2 4 2" xfId="19473" xr:uid="{00000000-0005-0000-0000-00000E840000}"/>
    <cellStyle name="Comma 3 5 2 5 2 4 2 2" xfId="42751" xr:uid="{00000000-0005-0000-0000-00000F840000}"/>
    <cellStyle name="Comma 3 5 2 5 2 4 3" xfId="29265" xr:uid="{00000000-0005-0000-0000-000010840000}"/>
    <cellStyle name="Comma 3 5 2 5 2 5" xfId="8434" xr:uid="{00000000-0005-0000-0000-000011840000}"/>
    <cellStyle name="Comma 3 5 2 5 2 5 2" xfId="31713" xr:uid="{00000000-0005-0000-0000-000012840000}"/>
    <cellStyle name="Comma 3 5 2 5 2 6" xfId="10882" xr:uid="{00000000-0005-0000-0000-000013840000}"/>
    <cellStyle name="Comma 3 5 2 5 2 6 2" xfId="34161" xr:uid="{00000000-0005-0000-0000-000014840000}"/>
    <cellStyle name="Comma 3 5 2 5 2 7" xfId="13330" xr:uid="{00000000-0005-0000-0000-000015840000}"/>
    <cellStyle name="Comma 3 5 2 5 2 7 2" xfId="36609" xr:uid="{00000000-0005-0000-0000-000016840000}"/>
    <cellStyle name="Comma 3 5 2 5 2 8" xfId="15801" xr:uid="{00000000-0005-0000-0000-000017840000}"/>
    <cellStyle name="Comma 3 5 2 5 2 8 2" xfId="39079" xr:uid="{00000000-0005-0000-0000-000018840000}"/>
    <cellStyle name="Comma 3 5 2 5 2 9" xfId="24369" xr:uid="{00000000-0005-0000-0000-000019840000}"/>
    <cellStyle name="Comma 3 5 2 5 3" xfId="1702" xr:uid="{00000000-0005-0000-0000-00001A840000}"/>
    <cellStyle name="Comma 3 5 2 5 3 10" xfId="22533" xr:uid="{00000000-0005-0000-0000-00001B840000}"/>
    <cellStyle name="Comma 3 5 2 5 3 2" xfId="4150" xr:uid="{00000000-0005-0000-0000-00001C840000}"/>
    <cellStyle name="Comma 3 5 2 5 3 2 2" xfId="20085" xr:uid="{00000000-0005-0000-0000-00001D840000}"/>
    <cellStyle name="Comma 3 5 2 5 3 2 2 2" xfId="43363" xr:uid="{00000000-0005-0000-0000-00001E840000}"/>
    <cellStyle name="Comma 3 5 2 5 3 2 3" xfId="48259" xr:uid="{00000000-0005-0000-0000-00001F840000}"/>
    <cellStyle name="Comma 3 5 2 5 3 2 4" xfId="27429" xr:uid="{00000000-0005-0000-0000-000020840000}"/>
    <cellStyle name="Comma 3 5 2 5 3 3" xfId="6598" xr:uid="{00000000-0005-0000-0000-000021840000}"/>
    <cellStyle name="Comma 3 5 2 5 3 3 2" xfId="29877" xr:uid="{00000000-0005-0000-0000-000022840000}"/>
    <cellStyle name="Comma 3 5 2 5 3 4" xfId="9046" xr:uid="{00000000-0005-0000-0000-000023840000}"/>
    <cellStyle name="Comma 3 5 2 5 3 4 2" xfId="32325" xr:uid="{00000000-0005-0000-0000-000024840000}"/>
    <cellStyle name="Comma 3 5 2 5 3 5" xfId="11494" xr:uid="{00000000-0005-0000-0000-000025840000}"/>
    <cellStyle name="Comma 3 5 2 5 3 5 2" xfId="34773" xr:uid="{00000000-0005-0000-0000-000026840000}"/>
    <cellStyle name="Comma 3 5 2 5 3 6" xfId="13942" xr:uid="{00000000-0005-0000-0000-000027840000}"/>
    <cellStyle name="Comma 3 5 2 5 3 6 2" xfId="37221" xr:uid="{00000000-0005-0000-0000-000028840000}"/>
    <cellStyle name="Comma 3 5 2 5 3 7" xfId="17637" xr:uid="{00000000-0005-0000-0000-000029840000}"/>
    <cellStyle name="Comma 3 5 2 5 3 7 2" xfId="40915" xr:uid="{00000000-0005-0000-0000-00002A840000}"/>
    <cellStyle name="Comma 3 5 2 5 3 8" xfId="24981" xr:uid="{00000000-0005-0000-0000-00002B840000}"/>
    <cellStyle name="Comma 3 5 2 5 3 9" xfId="45811" xr:uid="{00000000-0005-0000-0000-00002C840000}"/>
    <cellStyle name="Comma 3 5 2 5 4" xfId="2926" xr:uid="{00000000-0005-0000-0000-00002D840000}"/>
    <cellStyle name="Comma 3 5 2 5 4 2" xfId="16413" xr:uid="{00000000-0005-0000-0000-00002E840000}"/>
    <cellStyle name="Comma 3 5 2 5 4 2 2" xfId="39691" xr:uid="{00000000-0005-0000-0000-00002F840000}"/>
    <cellStyle name="Comma 3 5 2 5 4 3" xfId="47035" xr:uid="{00000000-0005-0000-0000-000030840000}"/>
    <cellStyle name="Comma 3 5 2 5 4 4" xfId="26205" xr:uid="{00000000-0005-0000-0000-000031840000}"/>
    <cellStyle name="Comma 3 5 2 5 5" xfId="5374" xr:uid="{00000000-0005-0000-0000-000032840000}"/>
    <cellStyle name="Comma 3 5 2 5 5 2" xfId="18861" xr:uid="{00000000-0005-0000-0000-000033840000}"/>
    <cellStyle name="Comma 3 5 2 5 5 2 2" xfId="42139" xr:uid="{00000000-0005-0000-0000-000034840000}"/>
    <cellStyle name="Comma 3 5 2 5 5 3" xfId="28653" xr:uid="{00000000-0005-0000-0000-000035840000}"/>
    <cellStyle name="Comma 3 5 2 5 6" xfId="7822" xr:uid="{00000000-0005-0000-0000-000036840000}"/>
    <cellStyle name="Comma 3 5 2 5 6 2" xfId="31101" xr:uid="{00000000-0005-0000-0000-000037840000}"/>
    <cellStyle name="Comma 3 5 2 5 7" xfId="10270" xr:uid="{00000000-0005-0000-0000-000038840000}"/>
    <cellStyle name="Comma 3 5 2 5 7 2" xfId="33549" xr:uid="{00000000-0005-0000-0000-000039840000}"/>
    <cellStyle name="Comma 3 5 2 5 8" xfId="12718" xr:uid="{00000000-0005-0000-0000-00003A840000}"/>
    <cellStyle name="Comma 3 5 2 5 8 2" xfId="35997" xr:uid="{00000000-0005-0000-0000-00003B840000}"/>
    <cellStyle name="Comma 3 5 2 5 9" xfId="15189" xr:uid="{00000000-0005-0000-0000-00003C840000}"/>
    <cellStyle name="Comma 3 5 2 5 9 2" xfId="38467" xr:uid="{00000000-0005-0000-0000-00003D840000}"/>
    <cellStyle name="Comma 3 5 2 6" xfId="682" xr:uid="{00000000-0005-0000-0000-00003E840000}"/>
    <cellStyle name="Comma 3 5 2 6 10" xfId="44791" xr:uid="{00000000-0005-0000-0000-00003F840000}"/>
    <cellStyle name="Comma 3 5 2 6 11" xfId="21513" xr:uid="{00000000-0005-0000-0000-000040840000}"/>
    <cellStyle name="Comma 3 5 2 6 2" xfId="1906" xr:uid="{00000000-0005-0000-0000-000041840000}"/>
    <cellStyle name="Comma 3 5 2 6 2 10" xfId="22737" xr:uid="{00000000-0005-0000-0000-000042840000}"/>
    <cellStyle name="Comma 3 5 2 6 2 2" xfId="4354" xr:uid="{00000000-0005-0000-0000-000043840000}"/>
    <cellStyle name="Comma 3 5 2 6 2 2 2" xfId="20289" xr:uid="{00000000-0005-0000-0000-000044840000}"/>
    <cellStyle name="Comma 3 5 2 6 2 2 2 2" xfId="43567" xr:uid="{00000000-0005-0000-0000-000045840000}"/>
    <cellStyle name="Comma 3 5 2 6 2 2 3" xfId="48463" xr:uid="{00000000-0005-0000-0000-000046840000}"/>
    <cellStyle name="Comma 3 5 2 6 2 2 4" xfId="27633" xr:uid="{00000000-0005-0000-0000-000047840000}"/>
    <cellStyle name="Comma 3 5 2 6 2 3" xfId="6802" xr:uid="{00000000-0005-0000-0000-000048840000}"/>
    <cellStyle name="Comma 3 5 2 6 2 3 2" xfId="30081" xr:uid="{00000000-0005-0000-0000-000049840000}"/>
    <cellStyle name="Comma 3 5 2 6 2 4" xfId="9250" xr:uid="{00000000-0005-0000-0000-00004A840000}"/>
    <cellStyle name="Comma 3 5 2 6 2 4 2" xfId="32529" xr:uid="{00000000-0005-0000-0000-00004B840000}"/>
    <cellStyle name="Comma 3 5 2 6 2 5" xfId="11698" xr:uid="{00000000-0005-0000-0000-00004C840000}"/>
    <cellStyle name="Comma 3 5 2 6 2 5 2" xfId="34977" xr:uid="{00000000-0005-0000-0000-00004D840000}"/>
    <cellStyle name="Comma 3 5 2 6 2 6" xfId="14146" xr:uid="{00000000-0005-0000-0000-00004E840000}"/>
    <cellStyle name="Comma 3 5 2 6 2 6 2" xfId="37425" xr:uid="{00000000-0005-0000-0000-00004F840000}"/>
    <cellStyle name="Comma 3 5 2 6 2 7" xfId="17841" xr:uid="{00000000-0005-0000-0000-000050840000}"/>
    <cellStyle name="Comma 3 5 2 6 2 7 2" xfId="41119" xr:uid="{00000000-0005-0000-0000-000051840000}"/>
    <cellStyle name="Comma 3 5 2 6 2 8" xfId="25185" xr:uid="{00000000-0005-0000-0000-000052840000}"/>
    <cellStyle name="Comma 3 5 2 6 2 9" xfId="46015" xr:uid="{00000000-0005-0000-0000-000053840000}"/>
    <cellStyle name="Comma 3 5 2 6 3" xfId="3130" xr:uid="{00000000-0005-0000-0000-000054840000}"/>
    <cellStyle name="Comma 3 5 2 6 3 2" xfId="16617" xr:uid="{00000000-0005-0000-0000-000055840000}"/>
    <cellStyle name="Comma 3 5 2 6 3 2 2" xfId="39895" xr:uid="{00000000-0005-0000-0000-000056840000}"/>
    <cellStyle name="Comma 3 5 2 6 3 3" xfId="47239" xr:uid="{00000000-0005-0000-0000-000057840000}"/>
    <cellStyle name="Comma 3 5 2 6 3 4" xfId="26409" xr:uid="{00000000-0005-0000-0000-000058840000}"/>
    <cellStyle name="Comma 3 5 2 6 4" xfId="5578" xr:uid="{00000000-0005-0000-0000-000059840000}"/>
    <cellStyle name="Comma 3 5 2 6 4 2" xfId="19065" xr:uid="{00000000-0005-0000-0000-00005A840000}"/>
    <cellStyle name="Comma 3 5 2 6 4 2 2" xfId="42343" xr:uid="{00000000-0005-0000-0000-00005B840000}"/>
    <cellStyle name="Comma 3 5 2 6 4 3" xfId="28857" xr:uid="{00000000-0005-0000-0000-00005C840000}"/>
    <cellStyle name="Comma 3 5 2 6 5" xfId="8026" xr:uid="{00000000-0005-0000-0000-00005D840000}"/>
    <cellStyle name="Comma 3 5 2 6 5 2" xfId="31305" xr:uid="{00000000-0005-0000-0000-00005E840000}"/>
    <cellStyle name="Comma 3 5 2 6 6" xfId="10474" xr:uid="{00000000-0005-0000-0000-00005F840000}"/>
    <cellStyle name="Comma 3 5 2 6 6 2" xfId="33753" xr:uid="{00000000-0005-0000-0000-000060840000}"/>
    <cellStyle name="Comma 3 5 2 6 7" xfId="12922" xr:uid="{00000000-0005-0000-0000-000061840000}"/>
    <cellStyle name="Comma 3 5 2 6 7 2" xfId="36201" xr:uid="{00000000-0005-0000-0000-000062840000}"/>
    <cellStyle name="Comma 3 5 2 6 8" xfId="15393" xr:uid="{00000000-0005-0000-0000-000063840000}"/>
    <cellStyle name="Comma 3 5 2 6 8 2" xfId="38671" xr:uid="{00000000-0005-0000-0000-000064840000}"/>
    <cellStyle name="Comma 3 5 2 6 9" xfId="23961" xr:uid="{00000000-0005-0000-0000-000065840000}"/>
    <cellStyle name="Comma 3 5 2 7" xfId="1294" xr:uid="{00000000-0005-0000-0000-000066840000}"/>
    <cellStyle name="Comma 3 5 2 7 10" xfId="22125" xr:uid="{00000000-0005-0000-0000-000067840000}"/>
    <cellStyle name="Comma 3 5 2 7 2" xfId="3742" xr:uid="{00000000-0005-0000-0000-000068840000}"/>
    <cellStyle name="Comma 3 5 2 7 2 2" xfId="19677" xr:uid="{00000000-0005-0000-0000-000069840000}"/>
    <cellStyle name="Comma 3 5 2 7 2 2 2" xfId="42955" xr:uid="{00000000-0005-0000-0000-00006A840000}"/>
    <cellStyle name="Comma 3 5 2 7 2 3" xfId="47851" xr:uid="{00000000-0005-0000-0000-00006B840000}"/>
    <cellStyle name="Comma 3 5 2 7 2 4" xfId="27021" xr:uid="{00000000-0005-0000-0000-00006C840000}"/>
    <cellStyle name="Comma 3 5 2 7 3" xfId="6190" xr:uid="{00000000-0005-0000-0000-00006D840000}"/>
    <cellStyle name="Comma 3 5 2 7 3 2" xfId="29469" xr:uid="{00000000-0005-0000-0000-00006E840000}"/>
    <cellStyle name="Comma 3 5 2 7 4" xfId="8638" xr:uid="{00000000-0005-0000-0000-00006F840000}"/>
    <cellStyle name="Comma 3 5 2 7 4 2" xfId="31917" xr:uid="{00000000-0005-0000-0000-000070840000}"/>
    <cellStyle name="Comma 3 5 2 7 5" xfId="11086" xr:uid="{00000000-0005-0000-0000-000071840000}"/>
    <cellStyle name="Comma 3 5 2 7 5 2" xfId="34365" xr:uid="{00000000-0005-0000-0000-000072840000}"/>
    <cellStyle name="Comma 3 5 2 7 6" xfId="13534" xr:uid="{00000000-0005-0000-0000-000073840000}"/>
    <cellStyle name="Comma 3 5 2 7 6 2" xfId="36813" xr:uid="{00000000-0005-0000-0000-000074840000}"/>
    <cellStyle name="Comma 3 5 2 7 7" xfId="17229" xr:uid="{00000000-0005-0000-0000-000075840000}"/>
    <cellStyle name="Comma 3 5 2 7 7 2" xfId="40507" xr:uid="{00000000-0005-0000-0000-000076840000}"/>
    <cellStyle name="Comma 3 5 2 7 8" xfId="24573" xr:uid="{00000000-0005-0000-0000-000077840000}"/>
    <cellStyle name="Comma 3 5 2 7 9" xfId="45403" xr:uid="{00000000-0005-0000-0000-000078840000}"/>
    <cellStyle name="Comma 3 5 2 8" xfId="2518" xr:uid="{00000000-0005-0000-0000-000079840000}"/>
    <cellStyle name="Comma 3 5 2 8 2" xfId="16005" xr:uid="{00000000-0005-0000-0000-00007A840000}"/>
    <cellStyle name="Comma 3 5 2 8 2 2" xfId="39283" xr:uid="{00000000-0005-0000-0000-00007B840000}"/>
    <cellStyle name="Comma 3 5 2 8 3" xfId="46627" xr:uid="{00000000-0005-0000-0000-00007C840000}"/>
    <cellStyle name="Comma 3 5 2 8 4" xfId="25797" xr:uid="{00000000-0005-0000-0000-00007D840000}"/>
    <cellStyle name="Comma 3 5 2 9" xfId="4966" xr:uid="{00000000-0005-0000-0000-00007E840000}"/>
    <cellStyle name="Comma 3 5 2 9 2" xfId="18453" xr:uid="{00000000-0005-0000-0000-00007F840000}"/>
    <cellStyle name="Comma 3 5 2 9 2 2" xfId="41731" xr:uid="{00000000-0005-0000-0000-000080840000}"/>
    <cellStyle name="Comma 3 5 2 9 3" xfId="28245" xr:uid="{00000000-0005-0000-0000-000081840000}"/>
    <cellStyle name="Comma 3 5 3" xfId="87" xr:uid="{00000000-0005-0000-0000-000082840000}"/>
    <cellStyle name="Comma 3 5 3 10" xfId="7431" xr:uid="{00000000-0005-0000-0000-000083840000}"/>
    <cellStyle name="Comma 3 5 3 10 2" xfId="30710" xr:uid="{00000000-0005-0000-0000-000084840000}"/>
    <cellStyle name="Comma 3 5 3 11" xfId="9879" xr:uid="{00000000-0005-0000-0000-000085840000}"/>
    <cellStyle name="Comma 3 5 3 11 2" xfId="33158" xr:uid="{00000000-0005-0000-0000-000086840000}"/>
    <cellStyle name="Comma 3 5 3 12" xfId="12327" xr:uid="{00000000-0005-0000-0000-000087840000}"/>
    <cellStyle name="Comma 3 5 3 12 2" xfId="35606" xr:uid="{00000000-0005-0000-0000-000088840000}"/>
    <cellStyle name="Comma 3 5 3 13" xfId="14798" xr:uid="{00000000-0005-0000-0000-000089840000}"/>
    <cellStyle name="Comma 3 5 3 13 2" xfId="38076" xr:uid="{00000000-0005-0000-0000-00008A840000}"/>
    <cellStyle name="Comma 3 5 3 14" xfId="23366" xr:uid="{00000000-0005-0000-0000-00008B840000}"/>
    <cellStyle name="Comma 3 5 3 15" xfId="44196" xr:uid="{00000000-0005-0000-0000-00008C840000}"/>
    <cellStyle name="Comma 3 5 3 16" xfId="20918" xr:uid="{00000000-0005-0000-0000-00008D840000}"/>
    <cellStyle name="Comma 3 5 3 2" xfId="155" xr:uid="{00000000-0005-0000-0000-00008E840000}"/>
    <cellStyle name="Comma 3 5 3 2 10" xfId="12395" xr:uid="{00000000-0005-0000-0000-00008F840000}"/>
    <cellStyle name="Comma 3 5 3 2 10 2" xfId="35674" xr:uid="{00000000-0005-0000-0000-000090840000}"/>
    <cellStyle name="Comma 3 5 3 2 11" xfId="14866" xr:uid="{00000000-0005-0000-0000-000091840000}"/>
    <cellStyle name="Comma 3 5 3 2 11 2" xfId="38144" xr:uid="{00000000-0005-0000-0000-000092840000}"/>
    <cellStyle name="Comma 3 5 3 2 12" xfId="23434" xr:uid="{00000000-0005-0000-0000-000093840000}"/>
    <cellStyle name="Comma 3 5 3 2 13" xfId="44264" xr:uid="{00000000-0005-0000-0000-000094840000}"/>
    <cellStyle name="Comma 3 5 3 2 14" xfId="20986" xr:uid="{00000000-0005-0000-0000-000095840000}"/>
    <cellStyle name="Comma 3 5 3 2 2" xfId="359" xr:uid="{00000000-0005-0000-0000-000096840000}"/>
    <cellStyle name="Comma 3 5 3 2 2 10" xfId="23638" xr:uid="{00000000-0005-0000-0000-000097840000}"/>
    <cellStyle name="Comma 3 5 3 2 2 11" xfId="44468" xr:uid="{00000000-0005-0000-0000-000098840000}"/>
    <cellStyle name="Comma 3 5 3 2 2 12" xfId="21190" xr:uid="{00000000-0005-0000-0000-000099840000}"/>
    <cellStyle name="Comma 3 5 3 2 2 2" xfId="971" xr:uid="{00000000-0005-0000-0000-00009A840000}"/>
    <cellStyle name="Comma 3 5 3 2 2 2 10" xfId="45080" xr:uid="{00000000-0005-0000-0000-00009B840000}"/>
    <cellStyle name="Comma 3 5 3 2 2 2 11" xfId="21802" xr:uid="{00000000-0005-0000-0000-00009C840000}"/>
    <cellStyle name="Comma 3 5 3 2 2 2 2" xfId="2195" xr:uid="{00000000-0005-0000-0000-00009D840000}"/>
    <cellStyle name="Comma 3 5 3 2 2 2 2 10" xfId="23026" xr:uid="{00000000-0005-0000-0000-00009E840000}"/>
    <cellStyle name="Comma 3 5 3 2 2 2 2 2" xfId="4643" xr:uid="{00000000-0005-0000-0000-00009F840000}"/>
    <cellStyle name="Comma 3 5 3 2 2 2 2 2 2" xfId="20578" xr:uid="{00000000-0005-0000-0000-0000A0840000}"/>
    <cellStyle name="Comma 3 5 3 2 2 2 2 2 2 2" xfId="43856" xr:uid="{00000000-0005-0000-0000-0000A1840000}"/>
    <cellStyle name="Comma 3 5 3 2 2 2 2 2 3" xfId="48752" xr:uid="{00000000-0005-0000-0000-0000A2840000}"/>
    <cellStyle name="Comma 3 5 3 2 2 2 2 2 4" xfId="27922" xr:uid="{00000000-0005-0000-0000-0000A3840000}"/>
    <cellStyle name="Comma 3 5 3 2 2 2 2 3" xfId="7091" xr:uid="{00000000-0005-0000-0000-0000A4840000}"/>
    <cellStyle name="Comma 3 5 3 2 2 2 2 3 2" xfId="30370" xr:uid="{00000000-0005-0000-0000-0000A5840000}"/>
    <cellStyle name="Comma 3 5 3 2 2 2 2 4" xfId="9539" xr:uid="{00000000-0005-0000-0000-0000A6840000}"/>
    <cellStyle name="Comma 3 5 3 2 2 2 2 4 2" xfId="32818" xr:uid="{00000000-0005-0000-0000-0000A7840000}"/>
    <cellStyle name="Comma 3 5 3 2 2 2 2 5" xfId="11987" xr:uid="{00000000-0005-0000-0000-0000A8840000}"/>
    <cellStyle name="Comma 3 5 3 2 2 2 2 5 2" xfId="35266" xr:uid="{00000000-0005-0000-0000-0000A9840000}"/>
    <cellStyle name="Comma 3 5 3 2 2 2 2 6" xfId="14435" xr:uid="{00000000-0005-0000-0000-0000AA840000}"/>
    <cellStyle name="Comma 3 5 3 2 2 2 2 6 2" xfId="37714" xr:uid="{00000000-0005-0000-0000-0000AB840000}"/>
    <cellStyle name="Comma 3 5 3 2 2 2 2 7" xfId="18130" xr:uid="{00000000-0005-0000-0000-0000AC840000}"/>
    <cellStyle name="Comma 3 5 3 2 2 2 2 7 2" xfId="41408" xr:uid="{00000000-0005-0000-0000-0000AD840000}"/>
    <cellStyle name="Comma 3 5 3 2 2 2 2 8" xfId="25474" xr:uid="{00000000-0005-0000-0000-0000AE840000}"/>
    <cellStyle name="Comma 3 5 3 2 2 2 2 9" xfId="46304" xr:uid="{00000000-0005-0000-0000-0000AF840000}"/>
    <cellStyle name="Comma 3 5 3 2 2 2 3" xfId="3419" xr:uid="{00000000-0005-0000-0000-0000B0840000}"/>
    <cellStyle name="Comma 3 5 3 2 2 2 3 2" xfId="16906" xr:uid="{00000000-0005-0000-0000-0000B1840000}"/>
    <cellStyle name="Comma 3 5 3 2 2 2 3 2 2" xfId="40184" xr:uid="{00000000-0005-0000-0000-0000B2840000}"/>
    <cellStyle name="Comma 3 5 3 2 2 2 3 3" xfId="47528" xr:uid="{00000000-0005-0000-0000-0000B3840000}"/>
    <cellStyle name="Comma 3 5 3 2 2 2 3 4" xfId="26698" xr:uid="{00000000-0005-0000-0000-0000B4840000}"/>
    <cellStyle name="Comma 3 5 3 2 2 2 4" xfId="5867" xr:uid="{00000000-0005-0000-0000-0000B5840000}"/>
    <cellStyle name="Comma 3 5 3 2 2 2 4 2" xfId="19354" xr:uid="{00000000-0005-0000-0000-0000B6840000}"/>
    <cellStyle name="Comma 3 5 3 2 2 2 4 2 2" xfId="42632" xr:uid="{00000000-0005-0000-0000-0000B7840000}"/>
    <cellStyle name="Comma 3 5 3 2 2 2 4 3" xfId="29146" xr:uid="{00000000-0005-0000-0000-0000B8840000}"/>
    <cellStyle name="Comma 3 5 3 2 2 2 5" xfId="8315" xr:uid="{00000000-0005-0000-0000-0000B9840000}"/>
    <cellStyle name="Comma 3 5 3 2 2 2 5 2" xfId="31594" xr:uid="{00000000-0005-0000-0000-0000BA840000}"/>
    <cellStyle name="Comma 3 5 3 2 2 2 6" xfId="10763" xr:uid="{00000000-0005-0000-0000-0000BB840000}"/>
    <cellStyle name="Comma 3 5 3 2 2 2 6 2" xfId="34042" xr:uid="{00000000-0005-0000-0000-0000BC840000}"/>
    <cellStyle name="Comma 3 5 3 2 2 2 7" xfId="13211" xr:uid="{00000000-0005-0000-0000-0000BD840000}"/>
    <cellStyle name="Comma 3 5 3 2 2 2 7 2" xfId="36490" xr:uid="{00000000-0005-0000-0000-0000BE840000}"/>
    <cellStyle name="Comma 3 5 3 2 2 2 8" xfId="15682" xr:uid="{00000000-0005-0000-0000-0000BF840000}"/>
    <cellStyle name="Comma 3 5 3 2 2 2 8 2" xfId="38960" xr:uid="{00000000-0005-0000-0000-0000C0840000}"/>
    <cellStyle name="Comma 3 5 3 2 2 2 9" xfId="24250" xr:uid="{00000000-0005-0000-0000-0000C1840000}"/>
    <cellStyle name="Comma 3 5 3 2 2 3" xfId="1583" xr:uid="{00000000-0005-0000-0000-0000C2840000}"/>
    <cellStyle name="Comma 3 5 3 2 2 3 10" xfId="22414" xr:uid="{00000000-0005-0000-0000-0000C3840000}"/>
    <cellStyle name="Comma 3 5 3 2 2 3 2" xfId="4031" xr:uid="{00000000-0005-0000-0000-0000C4840000}"/>
    <cellStyle name="Comma 3 5 3 2 2 3 2 2" xfId="19966" xr:uid="{00000000-0005-0000-0000-0000C5840000}"/>
    <cellStyle name="Comma 3 5 3 2 2 3 2 2 2" xfId="43244" xr:uid="{00000000-0005-0000-0000-0000C6840000}"/>
    <cellStyle name="Comma 3 5 3 2 2 3 2 3" xfId="48140" xr:uid="{00000000-0005-0000-0000-0000C7840000}"/>
    <cellStyle name="Comma 3 5 3 2 2 3 2 4" xfId="27310" xr:uid="{00000000-0005-0000-0000-0000C8840000}"/>
    <cellStyle name="Comma 3 5 3 2 2 3 3" xfId="6479" xr:uid="{00000000-0005-0000-0000-0000C9840000}"/>
    <cellStyle name="Comma 3 5 3 2 2 3 3 2" xfId="29758" xr:uid="{00000000-0005-0000-0000-0000CA840000}"/>
    <cellStyle name="Comma 3 5 3 2 2 3 4" xfId="8927" xr:uid="{00000000-0005-0000-0000-0000CB840000}"/>
    <cellStyle name="Comma 3 5 3 2 2 3 4 2" xfId="32206" xr:uid="{00000000-0005-0000-0000-0000CC840000}"/>
    <cellStyle name="Comma 3 5 3 2 2 3 5" xfId="11375" xr:uid="{00000000-0005-0000-0000-0000CD840000}"/>
    <cellStyle name="Comma 3 5 3 2 2 3 5 2" xfId="34654" xr:uid="{00000000-0005-0000-0000-0000CE840000}"/>
    <cellStyle name="Comma 3 5 3 2 2 3 6" xfId="13823" xr:uid="{00000000-0005-0000-0000-0000CF840000}"/>
    <cellStyle name="Comma 3 5 3 2 2 3 6 2" xfId="37102" xr:uid="{00000000-0005-0000-0000-0000D0840000}"/>
    <cellStyle name="Comma 3 5 3 2 2 3 7" xfId="17518" xr:uid="{00000000-0005-0000-0000-0000D1840000}"/>
    <cellStyle name="Comma 3 5 3 2 2 3 7 2" xfId="40796" xr:uid="{00000000-0005-0000-0000-0000D2840000}"/>
    <cellStyle name="Comma 3 5 3 2 2 3 8" xfId="24862" xr:uid="{00000000-0005-0000-0000-0000D3840000}"/>
    <cellStyle name="Comma 3 5 3 2 2 3 9" xfId="45692" xr:uid="{00000000-0005-0000-0000-0000D4840000}"/>
    <cellStyle name="Comma 3 5 3 2 2 4" xfId="2807" xr:uid="{00000000-0005-0000-0000-0000D5840000}"/>
    <cellStyle name="Comma 3 5 3 2 2 4 2" xfId="16294" xr:uid="{00000000-0005-0000-0000-0000D6840000}"/>
    <cellStyle name="Comma 3 5 3 2 2 4 2 2" xfId="39572" xr:uid="{00000000-0005-0000-0000-0000D7840000}"/>
    <cellStyle name="Comma 3 5 3 2 2 4 3" xfId="46916" xr:uid="{00000000-0005-0000-0000-0000D8840000}"/>
    <cellStyle name="Comma 3 5 3 2 2 4 4" xfId="26086" xr:uid="{00000000-0005-0000-0000-0000D9840000}"/>
    <cellStyle name="Comma 3 5 3 2 2 5" xfId="5255" xr:uid="{00000000-0005-0000-0000-0000DA840000}"/>
    <cellStyle name="Comma 3 5 3 2 2 5 2" xfId="18742" xr:uid="{00000000-0005-0000-0000-0000DB840000}"/>
    <cellStyle name="Comma 3 5 3 2 2 5 2 2" xfId="42020" xr:uid="{00000000-0005-0000-0000-0000DC840000}"/>
    <cellStyle name="Comma 3 5 3 2 2 5 3" xfId="28534" xr:uid="{00000000-0005-0000-0000-0000DD840000}"/>
    <cellStyle name="Comma 3 5 3 2 2 6" xfId="7703" xr:uid="{00000000-0005-0000-0000-0000DE840000}"/>
    <cellStyle name="Comma 3 5 3 2 2 6 2" xfId="30982" xr:uid="{00000000-0005-0000-0000-0000DF840000}"/>
    <cellStyle name="Comma 3 5 3 2 2 7" xfId="10151" xr:uid="{00000000-0005-0000-0000-0000E0840000}"/>
    <cellStyle name="Comma 3 5 3 2 2 7 2" xfId="33430" xr:uid="{00000000-0005-0000-0000-0000E1840000}"/>
    <cellStyle name="Comma 3 5 3 2 2 8" xfId="12599" xr:uid="{00000000-0005-0000-0000-0000E2840000}"/>
    <cellStyle name="Comma 3 5 3 2 2 8 2" xfId="35878" xr:uid="{00000000-0005-0000-0000-0000E3840000}"/>
    <cellStyle name="Comma 3 5 3 2 2 9" xfId="15070" xr:uid="{00000000-0005-0000-0000-0000E4840000}"/>
    <cellStyle name="Comma 3 5 3 2 2 9 2" xfId="38348" xr:uid="{00000000-0005-0000-0000-0000E5840000}"/>
    <cellStyle name="Comma 3 5 3 2 3" xfId="563" xr:uid="{00000000-0005-0000-0000-0000E6840000}"/>
    <cellStyle name="Comma 3 5 3 2 3 10" xfId="23842" xr:uid="{00000000-0005-0000-0000-0000E7840000}"/>
    <cellStyle name="Comma 3 5 3 2 3 11" xfId="44672" xr:uid="{00000000-0005-0000-0000-0000E8840000}"/>
    <cellStyle name="Comma 3 5 3 2 3 12" xfId="21394" xr:uid="{00000000-0005-0000-0000-0000E9840000}"/>
    <cellStyle name="Comma 3 5 3 2 3 2" xfId="1175" xr:uid="{00000000-0005-0000-0000-0000EA840000}"/>
    <cellStyle name="Comma 3 5 3 2 3 2 10" xfId="45284" xr:uid="{00000000-0005-0000-0000-0000EB840000}"/>
    <cellStyle name="Comma 3 5 3 2 3 2 11" xfId="22006" xr:uid="{00000000-0005-0000-0000-0000EC840000}"/>
    <cellStyle name="Comma 3 5 3 2 3 2 2" xfId="2399" xr:uid="{00000000-0005-0000-0000-0000ED840000}"/>
    <cellStyle name="Comma 3 5 3 2 3 2 2 10" xfId="23230" xr:uid="{00000000-0005-0000-0000-0000EE840000}"/>
    <cellStyle name="Comma 3 5 3 2 3 2 2 2" xfId="4847" xr:uid="{00000000-0005-0000-0000-0000EF840000}"/>
    <cellStyle name="Comma 3 5 3 2 3 2 2 2 2" xfId="20782" xr:uid="{00000000-0005-0000-0000-0000F0840000}"/>
    <cellStyle name="Comma 3 5 3 2 3 2 2 2 2 2" xfId="44060" xr:uid="{00000000-0005-0000-0000-0000F1840000}"/>
    <cellStyle name="Comma 3 5 3 2 3 2 2 2 3" xfId="48956" xr:uid="{00000000-0005-0000-0000-0000F2840000}"/>
    <cellStyle name="Comma 3 5 3 2 3 2 2 2 4" xfId="28126" xr:uid="{00000000-0005-0000-0000-0000F3840000}"/>
    <cellStyle name="Comma 3 5 3 2 3 2 2 3" xfId="7295" xr:uid="{00000000-0005-0000-0000-0000F4840000}"/>
    <cellStyle name="Comma 3 5 3 2 3 2 2 3 2" xfId="30574" xr:uid="{00000000-0005-0000-0000-0000F5840000}"/>
    <cellStyle name="Comma 3 5 3 2 3 2 2 4" xfId="9743" xr:uid="{00000000-0005-0000-0000-0000F6840000}"/>
    <cellStyle name="Comma 3 5 3 2 3 2 2 4 2" xfId="33022" xr:uid="{00000000-0005-0000-0000-0000F7840000}"/>
    <cellStyle name="Comma 3 5 3 2 3 2 2 5" xfId="12191" xr:uid="{00000000-0005-0000-0000-0000F8840000}"/>
    <cellStyle name="Comma 3 5 3 2 3 2 2 5 2" xfId="35470" xr:uid="{00000000-0005-0000-0000-0000F9840000}"/>
    <cellStyle name="Comma 3 5 3 2 3 2 2 6" xfId="14639" xr:uid="{00000000-0005-0000-0000-0000FA840000}"/>
    <cellStyle name="Comma 3 5 3 2 3 2 2 6 2" xfId="37918" xr:uid="{00000000-0005-0000-0000-0000FB840000}"/>
    <cellStyle name="Comma 3 5 3 2 3 2 2 7" xfId="18334" xr:uid="{00000000-0005-0000-0000-0000FC840000}"/>
    <cellStyle name="Comma 3 5 3 2 3 2 2 7 2" xfId="41612" xr:uid="{00000000-0005-0000-0000-0000FD840000}"/>
    <cellStyle name="Comma 3 5 3 2 3 2 2 8" xfId="25678" xr:uid="{00000000-0005-0000-0000-0000FE840000}"/>
    <cellStyle name="Comma 3 5 3 2 3 2 2 9" xfId="46508" xr:uid="{00000000-0005-0000-0000-0000FF840000}"/>
    <cellStyle name="Comma 3 5 3 2 3 2 3" xfId="3623" xr:uid="{00000000-0005-0000-0000-000000850000}"/>
    <cellStyle name="Comma 3 5 3 2 3 2 3 2" xfId="17110" xr:uid="{00000000-0005-0000-0000-000001850000}"/>
    <cellStyle name="Comma 3 5 3 2 3 2 3 2 2" xfId="40388" xr:uid="{00000000-0005-0000-0000-000002850000}"/>
    <cellStyle name="Comma 3 5 3 2 3 2 3 3" xfId="47732" xr:uid="{00000000-0005-0000-0000-000003850000}"/>
    <cellStyle name="Comma 3 5 3 2 3 2 3 4" xfId="26902" xr:uid="{00000000-0005-0000-0000-000004850000}"/>
    <cellStyle name="Comma 3 5 3 2 3 2 4" xfId="6071" xr:uid="{00000000-0005-0000-0000-000005850000}"/>
    <cellStyle name="Comma 3 5 3 2 3 2 4 2" xfId="19558" xr:uid="{00000000-0005-0000-0000-000006850000}"/>
    <cellStyle name="Comma 3 5 3 2 3 2 4 2 2" xfId="42836" xr:uid="{00000000-0005-0000-0000-000007850000}"/>
    <cellStyle name="Comma 3 5 3 2 3 2 4 3" xfId="29350" xr:uid="{00000000-0005-0000-0000-000008850000}"/>
    <cellStyle name="Comma 3 5 3 2 3 2 5" xfId="8519" xr:uid="{00000000-0005-0000-0000-000009850000}"/>
    <cellStyle name="Comma 3 5 3 2 3 2 5 2" xfId="31798" xr:uid="{00000000-0005-0000-0000-00000A850000}"/>
    <cellStyle name="Comma 3 5 3 2 3 2 6" xfId="10967" xr:uid="{00000000-0005-0000-0000-00000B850000}"/>
    <cellStyle name="Comma 3 5 3 2 3 2 6 2" xfId="34246" xr:uid="{00000000-0005-0000-0000-00000C850000}"/>
    <cellStyle name="Comma 3 5 3 2 3 2 7" xfId="13415" xr:uid="{00000000-0005-0000-0000-00000D850000}"/>
    <cellStyle name="Comma 3 5 3 2 3 2 7 2" xfId="36694" xr:uid="{00000000-0005-0000-0000-00000E850000}"/>
    <cellStyle name="Comma 3 5 3 2 3 2 8" xfId="15886" xr:uid="{00000000-0005-0000-0000-00000F850000}"/>
    <cellStyle name="Comma 3 5 3 2 3 2 8 2" xfId="39164" xr:uid="{00000000-0005-0000-0000-000010850000}"/>
    <cellStyle name="Comma 3 5 3 2 3 2 9" xfId="24454" xr:uid="{00000000-0005-0000-0000-000011850000}"/>
    <cellStyle name="Comma 3 5 3 2 3 3" xfId="1787" xr:uid="{00000000-0005-0000-0000-000012850000}"/>
    <cellStyle name="Comma 3 5 3 2 3 3 10" xfId="22618" xr:uid="{00000000-0005-0000-0000-000013850000}"/>
    <cellStyle name="Comma 3 5 3 2 3 3 2" xfId="4235" xr:uid="{00000000-0005-0000-0000-000014850000}"/>
    <cellStyle name="Comma 3 5 3 2 3 3 2 2" xfId="20170" xr:uid="{00000000-0005-0000-0000-000015850000}"/>
    <cellStyle name="Comma 3 5 3 2 3 3 2 2 2" xfId="43448" xr:uid="{00000000-0005-0000-0000-000016850000}"/>
    <cellStyle name="Comma 3 5 3 2 3 3 2 3" xfId="48344" xr:uid="{00000000-0005-0000-0000-000017850000}"/>
    <cellStyle name="Comma 3 5 3 2 3 3 2 4" xfId="27514" xr:uid="{00000000-0005-0000-0000-000018850000}"/>
    <cellStyle name="Comma 3 5 3 2 3 3 3" xfId="6683" xr:uid="{00000000-0005-0000-0000-000019850000}"/>
    <cellStyle name="Comma 3 5 3 2 3 3 3 2" xfId="29962" xr:uid="{00000000-0005-0000-0000-00001A850000}"/>
    <cellStyle name="Comma 3 5 3 2 3 3 4" xfId="9131" xr:uid="{00000000-0005-0000-0000-00001B850000}"/>
    <cellStyle name="Comma 3 5 3 2 3 3 4 2" xfId="32410" xr:uid="{00000000-0005-0000-0000-00001C850000}"/>
    <cellStyle name="Comma 3 5 3 2 3 3 5" xfId="11579" xr:uid="{00000000-0005-0000-0000-00001D850000}"/>
    <cellStyle name="Comma 3 5 3 2 3 3 5 2" xfId="34858" xr:uid="{00000000-0005-0000-0000-00001E850000}"/>
    <cellStyle name="Comma 3 5 3 2 3 3 6" xfId="14027" xr:uid="{00000000-0005-0000-0000-00001F850000}"/>
    <cellStyle name="Comma 3 5 3 2 3 3 6 2" xfId="37306" xr:uid="{00000000-0005-0000-0000-000020850000}"/>
    <cellStyle name="Comma 3 5 3 2 3 3 7" xfId="17722" xr:uid="{00000000-0005-0000-0000-000021850000}"/>
    <cellStyle name="Comma 3 5 3 2 3 3 7 2" xfId="41000" xr:uid="{00000000-0005-0000-0000-000022850000}"/>
    <cellStyle name="Comma 3 5 3 2 3 3 8" xfId="25066" xr:uid="{00000000-0005-0000-0000-000023850000}"/>
    <cellStyle name="Comma 3 5 3 2 3 3 9" xfId="45896" xr:uid="{00000000-0005-0000-0000-000024850000}"/>
    <cellStyle name="Comma 3 5 3 2 3 4" xfId="3011" xr:uid="{00000000-0005-0000-0000-000025850000}"/>
    <cellStyle name="Comma 3 5 3 2 3 4 2" xfId="16498" xr:uid="{00000000-0005-0000-0000-000026850000}"/>
    <cellStyle name="Comma 3 5 3 2 3 4 2 2" xfId="39776" xr:uid="{00000000-0005-0000-0000-000027850000}"/>
    <cellStyle name="Comma 3 5 3 2 3 4 3" xfId="47120" xr:uid="{00000000-0005-0000-0000-000028850000}"/>
    <cellStyle name="Comma 3 5 3 2 3 4 4" xfId="26290" xr:uid="{00000000-0005-0000-0000-000029850000}"/>
    <cellStyle name="Comma 3 5 3 2 3 5" xfId="5459" xr:uid="{00000000-0005-0000-0000-00002A850000}"/>
    <cellStyle name="Comma 3 5 3 2 3 5 2" xfId="18946" xr:uid="{00000000-0005-0000-0000-00002B850000}"/>
    <cellStyle name="Comma 3 5 3 2 3 5 2 2" xfId="42224" xr:uid="{00000000-0005-0000-0000-00002C850000}"/>
    <cellStyle name="Comma 3 5 3 2 3 5 3" xfId="28738" xr:uid="{00000000-0005-0000-0000-00002D850000}"/>
    <cellStyle name="Comma 3 5 3 2 3 6" xfId="7907" xr:uid="{00000000-0005-0000-0000-00002E850000}"/>
    <cellStyle name="Comma 3 5 3 2 3 6 2" xfId="31186" xr:uid="{00000000-0005-0000-0000-00002F850000}"/>
    <cellStyle name="Comma 3 5 3 2 3 7" xfId="10355" xr:uid="{00000000-0005-0000-0000-000030850000}"/>
    <cellStyle name="Comma 3 5 3 2 3 7 2" xfId="33634" xr:uid="{00000000-0005-0000-0000-000031850000}"/>
    <cellStyle name="Comma 3 5 3 2 3 8" xfId="12803" xr:uid="{00000000-0005-0000-0000-000032850000}"/>
    <cellStyle name="Comma 3 5 3 2 3 8 2" xfId="36082" xr:uid="{00000000-0005-0000-0000-000033850000}"/>
    <cellStyle name="Comma 3 5 3 2 3 9" xfId="15274" xr:uid="{00000000-0005-0000-0000-000034850000}"/>
    <cellStyle name="Comma 3 5 3 2 3 9 2" xfId="38552" xr:uid="{00000000-0005-0000-0000-000035850000}"/>
    <cellStyle name="Comma 3 5 3 2 4" xfId="767" xr:uid="{00000000-0005-0000-0000-000036850000}"/>
    <cellStyle name="Comma 3 5 3 2 4 10" xfId="44876" xr:uid="{00000000-0005-0000-0000-000037850000}"/>
    <cellStyle name="Comma 3 5 3 2 4 11" xfId="21598" xr:uid="{00000000-0005-0000-0000-000038850000}"/>
    <cellStyle name="Comma 3 5 3 2 4 2" xfId="1991" xr:uid="{00000000-0005-0000-0000-000039850000}"/>
    <cellStyle name="Comma 3 5 3 2 4 2 10" xfId="22822" xr:uid="{00000000-0005-0000-0000-00003A850000}"/>
    <cellStyle name="Comma 3 5 3 2 4 2 2" xfId="4439" xr:uid="{00000000-0005-0000-0000-00003B850000}"/>
    <cellStyle name="Comma 3 5 3 2 4 2 2 2" xfId="20374" xr:uid="{00000000-0005-0000-0000-00003C850000}"/>
    <cellStyle name="Comma 3 5 3 2 4 2 2 2 2" xfId="43652" xr:uid="{00000000-0005-0000-0000-00003D850000}"/>
    <cellStyle name="Comma 3 5 3 2 4 2 2 3" xfId="48548" xr:uid="{00000000-0005-0000-0000-00003E850000}"/>
    <cellStyle name="Comma 3 5 3 2 4 2 2 4" xfId="27718" xr:uid="{00000000-0005-0000-0000-00003F850000}"/>
    <cellStyle name="Comma 3 5 3 2 4 2 3" xfId="6887" xr:uid="{00000000-0005-0000-0000-000040850000}"/>
    <cellStyle name="Comma 3 5 3 2 4 2 3 2" xfId="30166" xr:uid="{00000000-0005-0000-0000-000041850000}"/>
    <cellStyle name="Comma 3 5 3 2 4 2 4" xfId="9335" xr:uid="{00000000-0005-0000-0000-000042850000}"/>
    <cellStyle name="Comma 3 5 3 2 4 2 4 2" xfId="32614" xr:uid="{00000000-0005-0000-0000-000043850000}"/>
    <cellStyle name="Comma 3 5 3 2 4 2 5" xfId="11783" xr:uid="{00000000-0005-0000-0000-000044850000}"/>
    <cellStyle name="Comma 3 5 3 2 4 2 5 2" xfId="35062" xr:uid="{00000000-0005-0000-0000-000045850000}"/>
    <cellStyle name="Comma 3 5 3 2 4 2 6" xfId="14231" xr:uid="{00000000-0005-0000-0000-000046850000}"/>
    <cellStyle name="Comma 3 5 3 2 4 2 6 2" xfId="37510" xr:uid="{00000000-0005-0000-0000-000047850000}"/>
    <cellStyle name="Comma 3 5 3 2 4 2 7" xfId="17926" xr:uid="{00000000-0005-0000-0000-000048850000}"/>
    <cellStyle name="Comma 3 5 3 2 4 2 7 2" xfId="41204" xr:uid="{00000000-0005-0000-0000-000049850000}"/>
    <cellStyle name="Comma 3 5 3 2 4 2 8" xfId="25270" xr:uid="{00000000-0005-0000-0000-00004A850000}"/>
    <cellStyle name="Comma 3 5 3 2 4 2 9" xfId="46100" xr:uid="{00000000-0005-0000-0000-00004B850000}"/>
    <cellStyle name="Comma 3 5 3 2 4 3" xfId="3215" xr:uid="{00000000-0005-0000-0000-00004C850000}"/>
    <cellStyle name="Comma 3 5 3 2 4 3 2" xfId="16702" xr:uid="{00000000-0005-0000-0000-00004D850000}"/>
    <cellStyle name="Comma 3 5 3 2 4 3 2 2" xfId="39980" xr:uid="{00000000-0005-0000-0000-00004E850000}"/>
    <cellStyle name="Comma 3 5 3 2 4 3 3" xfId="47324" xr:uid="{00000000-0005-0000-0000-00004F850000}"/>
    <cellStyle name="Comma 3 5 3 2 4 3 4" xfId="26494" xr:uid="{00000000-0005-0000-0000-000050850000}"/>
    <cellStyle name="Comma 3 5 3 2 4 4" xfId="5663" xr:uid="{00000000-0005-0000-0000-000051850000}"/>
    <cellStyle name="Comma 3 5 3 2 4 4 2" xfId="19150" xr:uid="{00000000-0005-0000-0000-000052850000}"/>
    <cellStyle name="Comma 3 5 3 2 4 4 2 2" xfId="42428" xr:uid="{00000000-0005-0000-0000-000053850000}"/>
    <cellStyle name="Comma 3 5 3 2 4 4 3" xfId="28942" xr:uid="{00000000-0005-0000-0000-000054850000}"/>
    <cellStyle name="Comma 3 5 3 2 4 5" xfId="8111" xr:uid="{00000000-0005-0000-0000-000055850000}"/>
    <cellStyle name="Comma 3 5 3 2 4 5 2" xfId="31390" xr:uid="{00000000-0005-0000-0000-000056850000}"/>
    <cellStyle name="Comma 3 5 3 2 4 6" xfId="10559" xr:uid="{00000000-0005-0000-0000-000057850000}"/>
    <cellStyle name="Comma 3 5 3 2 4 6 2" xfId="33838" xr:uid="{00000000-0005-0000-0000-000058850000}"/>
    <cellStyle name="Comma 3 5 3 2 4 7" xfId="13007" xr:uid="{00000000-0005-0000-0000-000059850000}"/>
    <cellStyle name="Comma 3 5 3 2 4 7 2" xfId="36286" xr:uid="{00000000-0005-0000-0000-00005A850000}"/>
    <cellStyle name="Comma 3 5 3 2 4 8" xfId="15478" xr:uid="{00000000-0005-0000-0000-00005B850000}"/>
    <cellStyle name="Comma 3 5 3 2 4 8 2" xfId="38756" xr:uid="{00000000-0005-0000-0000-00005C850000}"/>
    <cellStyle name="Comma 3 5 3 2 4 9" xfId="24046" xr:uid="{00000000-0005-0000-0000-00005D850000}"/>
    <cellStyle name="Comma 3 5 3 2 5" xfId="1379" xr:uid="{00000000-0005-0000-0000-00005E850000}"/>
    <cellStyle name="Comma 3 5 3 2 5 10" xfId="22210" xr:uid="{00000000-0005-0000-0000-00005F850000}"/>
    <cellStyle name="Comma 3 5 3 2 5 2" xfId="3827" xr:uid="{00000000-0005-0000-0000-000060850000}"/>
    <cellStyle name="Comma 3 5 3 2 5 2 2" xfId="19762" xr:uid="{00000000-0005-0000-0000-000061850000}"/>
    <cellStyle name="Comma 3 5 3 2 5 2 2 2" xfId="43040" xr:uid="{00000000-0005-0000-0000-000062850000}"/>
    <cellStyle name="Comma 3 5 3 2 5 2 3" xfId="47936" xr:uid="{00000000-0005-0000-0000-000063850000}"/>
    <cellStyle name="Comma 3 5 3 2 5 2 4" xfId="27106" xr:uid="{00000000-0005-0000-0000-000064850000}"/>
    <cellStyle name="Comma 3 5 3 2 5 3" xfId="6275" xr:uid="{00000000-0005-0000-0000-000065850000}"/>
    <cellStyle name="Comma 3 5 3 2 5 3 2" xfId="29554" xr:uid="{00000000-0005-0000-0000-000066850000}"/>
    <cellStyle name="Comma 3 5 3 2 5 4" xfId="8723" xr:uid="{00000000-0005-0000-0000-000067850000}"/>
    <cellStyle name="Comma 3 5 3 2 5 4 2" xfId="32002" xr:uid="{00000000-0005-0000-0000-000068850000}"/>
    <cellStyle name="Comma 3 5 3 2 5 5" xfId="11171" xr:uid="{00000000-0005-0000-0000-000069850000}"/>
    <cellStyle name="Comma 3 5 3 2 5 5 2" xfId="34450" xr:uid="{00000000-0005-0000-0000-00006A850000}"/>
    <cellStyle name="Comma 3 5 3 2 5 6" xfId="13619" xr:uid="{00000000-0005-0000-0000-00006B850000}"/>
    <cellStyle name="Comma 3 5 3 2 5 6 2" xfId="36898" xr:uid="{00000000-0005-0000-0000-00006C850000}"/>
    <cellStyle name="Comma 3 5 3 2 5 7" xfId="17314" xr:uid="{00000000-0005-0000-0000-00006D850000}"/>
    <cellStyle name="Comma 3 5 3 2 5 7 2" xfId="40592" xr:uid="{00000000-0005-0000-0000-00006E850000}"/>
    <cellStyle name="Comma 3 5 3 2 5 8" xfId="24658" xr:uid="{00000000-0005-0000-0000-00006F850000}"/>
    <cellStyle name="Comma 3 5 3 2 5 9" xfId="45488" xr:uid="{00000000-0005-0000-0000-000070850000}"/>
    <cellStyle name="Comma 3 5 3 2 6" xfId="2603" xr:uid="{00000000-0005-0000-0000-000071850000}"/>
    <cellStyle name="Comma 3 5 3 2 6 2" xfId="16090" xr:uid="{00000000-0005-0000-0000-000072850000}"/>
    <cellStyle name="Comma 3 5 3 2 6 2 2" xfId="39368" xr:uid="{00000000-0005-0000-0000-000073850000}"/>
    <cellStyle name="Comma 3 5 3 2 6 3" xfId="46712" xr:uid="{00000000-0005-0000-0000-000074850000}"/>
    <cellStyle name="Comma 3 5 3 2 6 4" xfId="25882" xr:uid="{00000000-0005-0000-0000-000075850000}"/>
    <cellStyle name="Comma 3 5 3 2 7" xfId="5051" xr:uid="{00000000-0005-0000-0000-000076850000}"/>
    <cellStyle name="Comma 3 5 3 2 7 2" xfId="18538" xr:uid="{00000000-0005-0000-0000-000077850000}"/>
    <cellStyle name="Comma 3 5 3 2 7 2 2" xfId="41816" xr:uid="{00000000-0005-0000-0000-000078850000}"/>
    <cellStyle name="Comma 3 5 3 2 7 3" xfId="28330" xr:uid="{00000000-0005-0000-0000-000079850000}"/>
    <cellStyle name="Comma 3 5 3 2 8" xfId="7499" xr:uid="{00000000-0005-0000-0000-00007A850000}"/>
    <cellStyle name="Comma 3 5 3 2 8 2" xfId="30778" xr:uid="{00000000-0005-0000-0000-00007B850000}"/>
    <cellStyle name="Comma 3 5 3 2 9" xfId="9947" xr:uid="{00000000-0005-0000-0000-00007C850000}"/>
    <cellStyle name="Comma 3 5 3 2 9 2" xfId="33226" xr:uid="{00000000-0005-0000-0000-00007D850000}"/>
    <cellStyle name="Comma 3 5 3 3" xfId="223" xr:uid="{00000000-0005-0000-0000-00007E850000}"/>
    <cellStyle name="Comma 3 5 3 3 10" xfId="12463" xr:uid="{00000000-0005-0000-0000-00007F850000}"/>
    <cellStyle name="Comma 3 5 3 3 10 2" xfId="35742" xr:uid="{00000000-0005-0000-0000-000080850000}"/>
    <cellStyle name="Comma 3 5 3 3 11" xfId="14934" xr:uid="{00000000-0005-0000-0000-000081850000}"/>
    <cellStyle name="Comma 3 5 3 3 11 2" xfId="38212" xr:uid="{00000000-0005-0000-0000-000082850000}"/>
    <cellStyle name="Comma 3 5 3 3 12" xfId="23502" xr:uid="{00000000-0005-0000-0000-000083850000}"/>
    <cellStyle name="Comma 3 5 3 3 13" xfId="44332" xr:uid="{00000000-0005-0000-0000-000084850000}"/>
    <cellStyle name="Comma 3 5 3 3 14" xfId="21054" xr:uid="{00000000-0005-0000-0000-000085850000}"/>
    <cellStyle name="Comma 3 5 3 3 2" xfId="427" xr:uid="{00000000-0005-0000-0000-000086850000}"/>
    <cellStyle name="Comma 3 5 3 3 2 10" xfId="23706" xr:uid="{00000000-0005-0000-0000-000087850000}"/>
    <cellStyle name="Comma 3 5 3 3 2 11" xfId="44536" xr:uid="{00000000-0005-0000-0000-000088850000}"/>
    <cellStyle name="Comma 3 5 3 3 2 12" xfId="21258" xr:uid="{00000000-0005-0000-0000-000089850000}"/>
    <cellStyle name="Comma 3 5 3 3 2 2" xfId="1039" xr:uid="{00000000-0005-0000-0000-00008A850000}"/>
    <cellStyle name="Comma 3 5 3 3 2 2 10" xfId="45148" xr:uid="{00000000-0005-0000-0000-00008B850000}"/>
    <cellStyle name="Comma 3 5 3 3 2 2 11" xfId="21870" xr:uid="{00000000-0005-0000-0000-00008C850000}"/>
    <cellStyle name="Comma 3 5 3 3 2 2 2" xfId="2263" xr:uid="{00000000-0005-0000-0000-00008D850000}"/>
    <cellStyle name="Comma 3 5 3 3 2 2 2 10" xfId="23094" xr:uid="{00000000-0005-0000-0000-00008E850000}"/>
    <cellStyle name="Comma 3 5 3 3 2 2 2 2" xfId="4711" xr:uid="{00000000-0005-0000-0000-00008F850000}"/>
    <cellStyle name="Comma 3 5 3 3 2 2 2 2 2" xfId="20646" xr:uid="{00000000-0005-0000-0000-000090850000}"/>
    <cellStyle name="Comma 3 5 3 3 2 2 2 2 2 2" xfId="43924" xr:uid="{00000000-0005-0000-0000-000091850000}"/>
    <cellStyle name="Comma 3 5 3 3 2 2 2 2 3" xfId="48820" xr:uid="{00000000-0005-0000-0000-000092850000}"/>
    <cellStyle name="Comma 3 5 3 3 2 2 2 2 4" xfId="27990" xr:uid="{00000000-0005-0000-0000-000093850000}"/>
    <cellStyle name="Comma 3 5 3 3 2 2 2 3" xfId="7159" xr:uid="{00000000-0005-0000-0000-000094850000}"/>
    <cellStyle name="Comma 3 5 3 3 2 2 2 3 2" xfId="30438" xr:uid="{00000000-0005-0000-0000-000095850000}"/>
    <cellStyle name="Comma 3 5 3 3 2 2 2 4" xfId="9607" xr:uid="{00000000-0005-0000-0000-000096850000}"/>
    <cellStyle name="Comma 3 5 3 3 2 2 2 4 2" xfId="32886" xr:uid="{00000000-0005-0000-0000-000097850000}"/>
    <cellStyle name="Comma 3 5 3 3 2 2 2 5" xfId="12055" xr:uid="{00000000-0005-0000-0000-000098850000}"/>
    <cellStyle name="Comma 3 5 3 3 2 2 2 5 2" xfId="35334" xr:uid="{00000000-0005-0000-0000-000099850000}"/>
    <cellStyle name="Comma 3 5 3 3 2 2 2 6" xfId="14503" xr:uid="{00000000-0005-0000-0000-00009A850000}"/>
    <cellStyle name="Comma 3 5 3 3 2 2 2 6 2" xfId="37782" xr:uid="{00000000-0005-0000-0000-00009B850000}"/>
    <cellStyle name="Comma 3 5 3 3 2 2 2 7" xfId="18198" xr:uid="{00000000-0005-0000-0000-00009C850000}"/>
    <cellStyle name="Comma 3 5 3 3 2 2 2 7 2" xfId="41476" xr:uid="{00000000-0005-0000-0000-00009D850000}"/>
    <cellStyle name="Comma 3 5 3 3 2 2 2 8" xfId="25542" xr:uid="{00000000-0005-0000-0000-00009E850000}"/>
    <cellStyle name="Comma 3 5 3 3 2 2 2 9" xfId="46372" xr:uid="{00000000-0005-0000-0000-00009F850000}"/>
    <cellStyle name="Comma 3 5 3 3 2 2 3" xfId="3487" xr:uid="{00000000-0005-0000-0000-0000A0850000}"/>
    <cellStyle name="Comma 3 5 3 3 2 2 3 2" xfId="16974" xr:uid="{00000000-0005-0000-0000-0000A1850000}"/>
    <cellStyle name="Comma 3 5 3 3 2 2 3 2 2" xfId="40252" xr:uid="{00000000-0005-0000-0000-0000A2850000}"/>
    <cellStyle name="Comma 3 5 3 3 2 2 3 3" xfId="47596" xr:uid="{00000000-0005-0000-0000-0000A3850000}"/>
    <cellStyle name="Comma 3 5 3 3 2 2 3 4" xfId="26766" xr:uid="{00000000-0005-0000-0000-0000A4850000}"/>
    <cellStyle name="Comma 3 5 3 3 2 2 4" xfId="5935" xr:uid="{00000000-0005-0000-0000-0000A5850000}"/>
    <cellStyle name="Comma 3 5 3 3 2 2 4 2" xfId="19422" xr:uid="{00000000-0005-0000-0000-0000A6850000}"/>
    <cellStyle name="Comma 3 5 3 3 2 2 4 2 2" xfId="42700" xr:uid="{00000000-0005-0000-0000-0000A7850000}"/>
    <cellStyle name="Comma 3 5 3 3 2 2 4 3" xfId="29214" xr:uid="{00000000-0005-0000-0000-0000A8850000}"/>
    <cellStyle name="Comma 3 5 3 3 2 2 5" xfId="8383" xr:uid="{00000000-0005-0000-0000-0000A9850000}"/>
    <cellStyle name="Comma 3 5 3 3 2 2 5 2" xfId="31662" xr:uid="{00000000-0005-0000-0000-0000AA850000}"/>
    <cellStyle name="Comma 3 5 3 3 2 2 6" xfId="10831" xr:uid="{00000000-0005-0000-0000-0000AB850000}"/>
    <cellStyle name="Comma 3 5 3 3 2 2 6 2" xfId="34110" xr:uid="{00000000-0005-0000-0000-0000AC850000}"/>
    <cellStyle name="Comma 3 5 3 3 2 2 7" xfId="13279" xr:uid="{00000000-0005-0000-0000-0000AD850000}"/>
    <cellStyle name="Comma 3 5 3 3 2 2 7 2" xfId="36558" xr:uid="{00000000-0005-0000-0000-0000AE850000}"/>
    <cellStyle name="Comma 3 5 3 3 2 2 8" xfId="15750" xr:uid="{00000000-0005-0000-0000-0000AF850000}"/>
    <cellStyle name="Comma 3 5 3 3 2 2 8 2" xfId="39028" xr:uid="{00000000-0005-0000-0000-0000B0850000}"/>
    <cellStyle name="Comma 3 5 3 3 2 2 9" xfId="24318" xr:uid="{00000000-0005-0000-0000-0000B1850000}"/>
    <cellStyle name="Comma 3 5 3 3 2 3" xfId="1651" xr:uid="{00000000-0005-0000-0000-0000B2850000}"/>
    <cellStyle name="Comma 3 5 3 3 2 3 10" xfId="22482" xr:uid="{00000000-0005-0000-0000-0000B3850000}"/>
    <cellStyle name="Comma 3 5 3 3 2 3 2" xfId="4099" xr:uid="{00000000-0005-0000-0000-0000B4850000}"/>
    <cellStyle name="Comma 3 5 3 3 2 3 2 2" xfId="20034" xr:uid="{00000000-0005-0000-0000-0000B5850000}"/>
    <cellStyle name="Comma 3 5 3 3 2 3 2 2 2" xfId="43312" xr:uid="{00000000-0005-0000-0000-0000B6850000}"/>
    <cellStyle name="Comma 3 5 3 3 2 3 2 3" xfId="48208" xr:uid="{00000000-0005-0000-0000-0000B7850000}"/>
    <cellStyle name="Comma 3 5 3 3 2 3 2 4" xfId="27378" xr:uid="{00000000-0005-0000-0000-0000B8850000}"/>
    <cellStyle name="Comma 3 5 3 3 2 3 3" xfId="6547" xr:uid="{00000000-0005-0000-0000-0000B9850000}"/>
    <cellStyle name="Comma 3 5 3 3 2 3 3 2" xfId="29826" xr:uid="{00000000-0005-0000-0000-0000BA850000}"/>
    <cellStyle name="Comma 3 5 3 3 2 3 4" xfId="8995" xr:uid="{00000000-0005-0000-0000-0000BB850000}"/>
    <cellStyle name="Comma 3 5 3 3 2 3 4 2" xfId="32274" xr:uid="{00000000-0005-0000-0000-0000BC850000}"/>
    <cellStyle name="Comma 3 5 3 3 2 3 5" xfId="11443" xr:uid="{00000000-0005-0000-0000-0000BD850000}"/>
    <cellStyle name="Comma 3 5 3 3 2 3 5 2" xfId="34722" xr:uid="{00000000-0005-0000-0000-0000BE850000}"/>
    <cellStyle name="Comma 3 5 3 3 2 3 6" xfId="13891" xr:uid="{00000000-0005-0000-0000-0000BF850000}"/>
    <cellStyle name="Comma 3 5 3 3 2 3 6 2" xfId="37170" xr:uid="{00000000-0005-0000-0000-0000C0850000}"/>
    <cellStyle name="Comma 3 5 3 3 2 3 7" xfId="17586" xr:uid="{00000000-0005-0000-0000-0000C1850000}"/>
    <cellStyle name="Comma 3 5 3 3 2 3 7 2" xfId="40864" xr:uid="{00000000-0005-0000-0000-0000C2850000}"/>
    <cellStyle name="Comma 3 5 3 3 2 3 8" xfId="24930" xr:uid="{00000000-0005-0000-0000-0000C3850000}"/>
    <cellStyle name="Comma 3 5 3 3 2 3 9" xfId="45760" xr:uid="{00000000-0005-0000-0000-0000C4850000}"/>
    <cellStyle name="Comma 3 5 3 3 2 4" xfId="2875" xr:uid="{00000000-0005-0000-0000-0000C5850000}"/>
    <cellStyle name="Comma 3 5 3 3 2 4 2" xfId="16362" xr:uid="{00000000-0005-0000-0000-0000C6850000}"/>
    <cellStyle name="Comma 3 5 3 3 2 4 2 2" xfId="39640" xr:uid="{00000000-0005-0000-0000-0000C7850000}"/>
    <cellStyle name="Comma 3 5 3 3 2 4 3" xfId="46984" xr:uid="{00000000-0005-0000-0000-0000C8850000}"/>
    <cellStyle name="Comma 3 5 3 3 2 4 4" xfId="26154" xr:uid="{00000000-0005-0000-0000-0000C9850000}"/>
    <cellStyle name="Comma 3 5 3 3 2 5" xfId="5323" xr:uid="{00000000-0005-0000-0000-0000CA850000}"/>
    <cellStyle name="Comma 3 5 3 3 2 5 2" xfId="18810" xr:uid="{00000000-0005-0000-0000-0000CB850000}"/>
    <cellStyle name="Comma 3 5 3 3 2 5 2 2" xfId="42088" xr:uid="{00000000-0005-0000-0000-0000CC850000}"/>
    <cellStyle name="Comma 3 5 3 3 2 5 3" xfId="28602" xr:uid="{00000000-0005-0000-0000-0000CD850000}"/>
    <cellStyle name="Comma 3 5 3 3 2 6" xfId="7771" xr:uid="{00000000-0005-0000-0000-0000CE850000}"/>
    <cellStyle name="Comma 3 5 3 3 2 6 2" xfId="31050" xr:uid="{00000000-0005-0000-0000-0000CF850000}"/>
    <cellStyle name="Comma 3 5 3 3 2 7" xfId="10219" xr:uid="{00000000-0005-0000-0000-0000D0850000}"/>
    <cellStyle name="Comma 3 5 3 3 2 7 2" xfId="33498" xr:uid="{00000000-0005-0000-0000-0000D1850000}"/>
    <cellStyle name="Comma 3 5 3 3 2 8" xfId="12667" xr:uid="{00000000-0005-0000-0000-0000D2850000}"/>
    <cellStyle name="Comma 3 5 3 3 2 8 2" xfId="35946" xr:uid="{00000000-0005-0000-0000-0000D3850000}"/>
    <cellStyle name="Comma 3 5 3 3 2 9" xfId="15138" xr:uid="{00000000-0005-0000-0000-0000D4850000}"/>
    <cellStyle name="Comma 3 5 3 3 2 9 2" xfId="38416" xr:uid="{00000000-0005-0000-0000-0000D5850000}"/>
    <cellStyle name="Comma 3 5 3 3 3" xfId="631" xr:uid="{00000000-0005-0000-0000-0000D6850000}"/>
    <cellStyle name="Comma 3 5 3 3 3 10" xfId="23910" xr:uid="{00000000-0005-0000-0000-0000D7850000}"/>
    <cellStyle name="Comma 3 5 3 3 3 11" xfId="44740" xr:uid="{00000000-0005-0000-0000-0000D8850000}"/>
    <cellStyle name="Comma 3 5 3 3 3 12" xfId="21462" xr:uid="{00000000-0005-0000-0000-0000D9850000}"/>
    <cellStyle name="Comma 3 5 3 3 3 2" xfId="1243" xr:uid="{00000000-0005-0000-0000-0000DA850000}"/>
    <cellStyle name="Comma 3 5 3 3 3 2 10" xfId="45352" xr:uid="{00000000-0005-0000-0000-0000DB850000}"/>
    <cellStyle name="Comma 3 5 3 3 3 2 11" xfId="22074" xr:uid="{00000000-0005-0000-0000-0000DC850000}"/>
    <cellStyle name="Comma 3 5 3 3 3 2 2" xfId="2467" xr:uid="{00000000-0005-0000-0000-0000DD850000}"/>
    <cellStyle name="Comma 3 5 3 3 3 2 2 10" xfId="23298" xr:uid="{00000000-0005-0000-0000-0000DE850000}"/>
    <cellStyle name="Comma 3 5 3 3 3 2 2 2" xfId="4915" xr:uid="{00000000-0005-0000-0000-0000DF850000}"/>
    <cellStyle name="Comma 3 5 3 3 3 2 2 2 2" xfId="20850" xr:uid="{00000000-0005-0000-0000-0000E0850000}"/>
    <cellStyle name="Comma 3 5 3 3 3 2 2 2 2 2" xfId="44128" xr:uid="{00000000-0005-0000-0000-0000E1850000}"/>
    <cellStyle name="Comma 3 5 3 3 3 2 2 2 3" xfId="49024" xr:uid="{00000000-0005-0000-0000-0000E2850000}"/>
    <cellStyle name="Comma 3 5 3 3 3 2 2 2 4" xfId="28194" xr:uid="{00000000-0005-0000-0000-0000E3850000}"/>
    <cellStyle name="Comma 3 5 3 3 3 2 2 3" xfId="7363" xr:uid="{00000000-0005-0000-0000-0000E4850000}"/>
    <cellStyle name="Comma 3 5 3 3 3 2 2 3 2" xfId="30642" xr:uid="{00000000-0005-0000-0000-0000E5850000}"/>
    <cellStyle name="Comma 3 5 3 3 3 2 2 4" xfId="9811" xr:uid="{00000000-0005-0000-0000-0000E6850000}"/>
    <cellStyle name="Comma 3 5 3 3 3 2 2 4 2" xfId="33090" xr:uid="{00000000-0005-0000-0000-0000E7850000}"/>
    <cellStyle name="Comma 3 5 3 3 3 2 2 5" xfId="12259" xr:uid="{00000000-0005-0000-0000-0000E8850000}"/>
    <cellStyle name="Comma 3 5 3 3 3 2 2 5 2" xfId="35538" xr:uid="{00000000-0005-0000-0000-0000E9850000}"/>
    <cellStyle name="Comma 3 5 3 3 3 2 2 6" xfId="14707" xr:uid="{00000000-0005-0000-0000-0000EA850000}"/>
    <cellStyle name="Comma 3 5 3 3 3 2 2 6 2" xfId="37986" xr:uid="{00000000-0005-0000-0000-0000EB850000}"/>
    <cellStyle name="Comma 3 5 3 3 3 2 2 7" xfId="18402" xr:uid="{00000000-0005-0000-0000-0000EC850000}"/>
    <cellStyle name="Comma 3 5 3 3 3 2 2 7 2" xfId="41680" xr:uid="{00000000-0005-0000-0000-0000ED850000}"/>
    <cellStyle name="Comma 3 5 3 3 3 2 2 8" xfId="25746" xr:uid="{00000000-0005-0000-0000-0000EE850000}"/>
    <cellStyle name="Comma 3 5 3 3 3 2 2 9" xfId="46576" xr:uid="{00000000-0005-0000-0000-0000EF850000}"/>
    <cellStyle name="Comma 3 5 3 3 3 2 3" xfId="3691" xr:uid="{00000000-0005-0000-0000-0000F0850000}"/>
    <cellStyle name="Comma 3 5 3 3 3 2 3 2" xfId="17178" xr:uid="{00000000-0005-0000-0000-0000F1850000}"/>
    <cellStyle name="Comma 3 5 3 3 3 2 3 2 2" xfId="40456" xr:uid="{00000000-0005-0000-0000-0000F2850000}"/>
    <cellStyle name="Comma 3 5 3 3 3 2 3 3" xfId="47800" xr:uid="{00000000-0005-0000-0000-0000F3850000}"/>
    <cellStyle name="Comma 3 5 3 3 3 2 3 4" xfId="26970" xr:uid="{00000000-0005-0000-0000-0000F4850000}"/>
    <cellStyle name="Comma 3 5 3 3 3 2 4" xfId="6139" xr:uid="{00000000-0005-0000-0000-0000F5850000}"/>
    <cellStyle name="Comma 3 5 3 3 3 2 4 2" xfId="19626" xr:uid="{00000000-0005-0000-0000-0000F6850000}"/>
    <cellStyle name="Comma 3 5 3 3 3 2 4 2 2" xfId="42904" xr:uid="{00000000-0005-0000-0000-0000F7850000}"/>
    <cellStyle name="Comma 3 5 3 3 3 2 4 3" xfId="29418" xr:uid="{00000000-0005-0000-0000-0000F8850000}"/>
    <cellStyle name="Comma 3 5 3 3 3 2 5" xfId="8587" xr:uid="{00000000-0005-0000-0000-0000F9850000}"/>
    <cellStyle name="Comma 3 5 3 3 3 2 5 2" xfId="31866" xr:uid="{00000000-0005-0000-0000-0000FA850000}"/>
    <cellStyle name="Comma 3 5 3 3 3 2 6" xfId="11035" xr:uid="{00000000-0005-0000-0000-0000FB850000}"/>
    <cellStyle name="Comma 3 5 3 3 3 2 6 2" xfId="34314" xr:uid="{00000000-0005-0000-0000-0000FC850000}"/>
    <cellStyle name="Comma 3 5 3 3 3 2 7" xfId="13483" xr:uid="{00000000-0005-0000-0000-0000FD850000}"/>
    <cellStyle name="Comma 3 5 3 3 3 2 7 2" xfId="36762" xr:uid="{00000000-0005-0000-0000-0000FE850000}"/>
    <cellStyle name="Comma 3 5 3 3 3 2 8" xfId="15954" xr:uid="{00000000-0005-0000-0000-0000FF850000}"/>
    <cellStyle name="Comma 3 5 3 3 3 2 8 2" xfId="39232" xr:uid="{00000000-0005-0000-0000-000000860000}"/>
    <cellStyle name="Comma 3 5 3 3 3 2 9" xfId="24522" xr:uid="{00000000-0005-0000-0000-000001860000}"/>
    <cellStyle name="Comma 3 5 3 3 3 3" xfId="1855" xr:uid="{00000000-0005-0000-0000-000002860000}"/>
    <cellStyle name="Comma 3 5 3 3 3 3 10" xfId="22686" xr:uid="{00000000-0005-0000-0000-000003860000}"/>
    <cellStyle name="Comma 3 5 3 3 3 3 2" xfId="4303" xr:uid="{00000000-0005-0000-0000-000004860000}"/>
    <cellStyle name="Comma 3 5 3 3 3 3 2 2" xfId="20238" xr:uid="{00000000-0005-0000-0000-000005860000}"/>
    <cellStyle name="Comma 3 5 3 3 3 3 2 2 2" xfId="43516" xr:uid="{00000000-0005-0000-0000-000006860000}"/>
    <cellStyle name="Comma 3 5 3 3 3 3 2 3" xfId="48412" xr:uid="{00000000-0005-0000-0000-000007860000}"/>
    <cellStyle name="Comma 3 5 3 3 3 3 2 4" xfId="27582" xr:uid="{00000000-0005-0000-0000-000008860000}"/>
    <cellStyle name="Comma 3 5 3 3 3 3 3" xfId="6751" xr:uid="{00000000-0005-0000-0000-000009860000}"/>
    <cellStyle name="Comma 3 5 3 3 3 3 3 2" xfId="30030" xr:uid="{00000000-0005-0000-0000-00000A860000}"/>
    <cellStyle name="Comma 3 5 3 3 3 3 4" xfId="9199" xr:uid="{00000000-0005-0000-0000-00000B860000}"/>
    <cellStyle name="Comma 3 5 3 3 3 3 4 2" xfId="32478" xr:uid="{00000000-0005-0000-0000-00000C860000}"/>
    <cellStyle name="Comma 3 5 3 3 3 3 5" xfId="11647" xr:uid="{00000000-0005-0000-0000-00000D860000}"/>
    <cellStyle name="Comma 3 5 3 3 3 3 5 2" xfId="34926" xr:uid="{00000000-0005-0000-0000-00000E860000}"/>
    <cellStyle name="Comma 3 5 3 3 3 3 6" xfId="14095" xr:uid="{00000000-0005-0000-0000-00000F860000}"/>
    <cellStyle name="Comma 3 5 3 3 3 3 6 2" xfId="37374" xr:uid="{00000000-0005-0000-0000-000010860000}"/>
    <cellStyle name="Comma 3 5 3 3 3 3 7" xfId="17790" xr:uid="{00000000-0005-0000-0000-000011860000}"/>
    <cellStyle name="Comma 3 5 3 3 3 3 7 2" xfId="41068" xr:uid="{00000000-0005-0000-0000-000012860000}"/>
    <cellStyle name="Comma 3 5 3 3 3 3 8" xfId="25134" xr:uid="{00000000-0005-0000-0000-000013860000}"/>
    <cellStyle name="Comma 3 5 3 3 3 3 9" xfId="45964" xr:uid="{00000000-0005-0000-0000-000014860000}"/>
    <cellStyle name="Comma 3 5 3 3 3 4" xfId="3079" xr:uid="{00000000-0005-0000-0000-000015860000}"/>
    <cellStyle name="Comma 3 5 3 3 3 4 2" xfId="16566" xr:uid="{00000000-0005-0000-0000-000016860000}"/>
    <cellStyle name="Comma 3 5 3 3 3 4 2 2" xfId="39844" xr:uid="{00000000-0005-0000-0000-000017860000}"/>
    <cellStyle name="Comma 3 5 3 3 3 4 3" xfId="47188" xr:uid="{00000000-0005-0000-0000-000018860000}"/>
    <cellStyle name="Comma 3 5 3 3 3 4 4" xfId="26358" xr:uid="{00000000-0005-0000-0000-000019860000}"/>
    <cellStyle name="Comma 3 5 3 3 3 5" xfId="5527" xr:uid="{00000000-0005-0000-0000-00001A860000}"/>
    <cellStyle name="Comma 3 5 3 3 3 5 2" xfId="19014" xr:uid="{00000000-0005-0000-0000-00001B860000}"/>
    <cellStyle name="Comma 3 5 3 3 3 5 2 2" xfId="42292" xr:uid="{00000000-0005-0000-0000-00001C860000}"/>
    <cellStyle name="Comma 3 5 3 3 3 5 3" xfId="28806" xr:uid="{00000000-0005-0000-0000-00001D860000}"/>
    <cellStyle name="Comma 3 5 3 3 3 6" xfId="7975" xr:uid="{00000000-0005-0000-0000-00001E860000}"/>
    <cellStyle name="Comma 3 5 3 3 3 6 2" xfId="31254" xr:uid="{00000000-0005-0000-0000-00001F860000}"/>
    <cellStyle name="Comma 3 5 3 3 3 7" xfId="10423" xr:uid="{00000000-0005-0000-0000-000020860000}"/>
    <cellStyle name="Comma 3 5 3 3 3 7 2" xfId="33702" xr:uid="{00000000-0005-0000-0000-000021860000}"/>
    <cellStyle name="Comma 3 5 3 3 3 8" xfId="12871" xr:uid="{00000000-0005-0000-0000-000022860000}"/>
    <cellStyle name="Comma 3 5 3 3 3 8 2" xfId="36150" xr:uid="{00000000-0005-0000-0000-000023860000}"/>
    <cellStyle name="Comma 3 5 3 3 3 9" xfId="15342" xr:uid="{00000000-0005-0000-0000-000024860000}"/>
    <cellStyle name="Comma 3 5 3 3 3 9 2" xfId="38620" xr:uid="{00000000-0005-0000-0000-000025860000}"/>
    <cellStyle name="Comma 3 5 3 3 4" xfId="835" xr:uid="{00000000-0005-0000-0000-000026860000}"/>
    <cellStyle name="Comma 3 5 3 3 4 10" xfId="44944" xr:uid="{00000000-0005-0000-0000-000027860000}"/>
    <cellStyle name="Comma 3 5 3 3 4 11" xfId="21666" xr:uid="{00000000-0005-0000-0000-000028860000}"/>
    <cellStyle name="Comma 3 5 3 3 4 2" xfId="2059" xr:uid="{00000000-0005-0000-0000-000029860000}"/>
    <cellStyle name="Comma 3 5 3 3 4 2 10" xfId="22890" xr:uid="{00000000-0005-0000-0000-00002A860000}"/>
    <cellStyle name="Comma 3 5 3 3 4 2 2" xfId="4507" xr:uid="{00000000-0005-0000-0000-00002B860000}"/>
    <cellStyle name="Comma 3 5 3 3 4 2 2 2" xfId="20442" xr:uid="{00000000-0005-0000-0000-00002C860000}"/>
    <cellStyle name="Comma 3 5 3 3 4 2 2 2 2" xfId="43720" xr:uid="{00000000-0005-0000-0000-00002D860000}"/>
    <cellStyle name="Comma 3 5 3 3 4 2 2 3" xfId="48616" xr:uid="{00000000-0005-0000-0000-00002E860000}"/>
    <cellStyle name="Comma 3 5 3 3 4 2 2 4" xfId="27786" xr:uid="{00000000-0005-0000-0000-00002F860000}"/>
    <cellStyle name="Comma 3 5 3 3 4 2 3" xfId="6955" xr:uid="{00000000-0005-0000-0000-000030860000}"/>
    <cellStyle name="Comma 3 5 3 3 4 2 3 2" xfId="30234" xr:uid="{00000000-0005-0000-0000-000031860000}"/>
    <cellStyle name="Comma 3 5 3 3 4 2 4" xfId="9403" xr:uid="{00000000-0005-0000-0000-000032860000}"/>
    <cellStyle name="Comma 3 5 3 3 4 2 4 2" xfId="32682" xr:uid="{00000000-0005-0000-0000-000033860000}"/>
    <cellStyle name="Comma 3 5 3 3 4 2 5" xfId="11851" xr:uid="{00000000-0005-0000-0000-000034860000}"/>
    <cellStyle name="Comma 3 5 3 3 4 2 5 2" xfId="35130" xr:uid="{00000000-0005-0000-0000-000035860000}"/>
    <cellStyle name="Comma 3 5 3 3 4 2 6" xfId="14299" xr:uid="{00000000-0005-0000-0000-000036860000}"/>
    <cellStyle name="Comma 3 5 3 3 4 2 6 2" xfId="37578" xr:uid="{00000000-0005-0000-0000-000037860000}"/>
    <cellStyle name="Comma 3 5 3 3 4 2 7" xfId="17994" xr:uid="{00000000-0005-0000-0000-000038860000}"/>
    <cellStyle name="Comma 3 5 3 3 4 2 7 2" xfId="41272" xr:uid="{00000000-0005-0000-0000-000039860000}"/>
    <cellStyle name="Comma 3 5 3 3 4 2 8" xfId="25338" xr:uid="{00000000-0005-0000-0000-00003A860000}"/>
    <cellStyle name="Comma 3 5 3 3 4 2 9" xfId="46168" xr:uid="{00000000-0005-0000-0000-00003B860000}"/>
    <cellStyle name="Comma 3 5 3 3 4 3" xfId="3283" xr:uid="{00000000-0005-0000-0000-00003C860000}"/>
    <cellStyle name="Comma 3 5 3 3 4 3 2" xfId="16770" xr:uid="{00000000-0005-0000-0000-00003D860000}"/>
    <cellStyle name="Comma 3 5 3 3 4 3 2 2" xfId="40048" xr:uid="{00000000-0005-0000-0000-00003E860000}"/>
    <cellStyle name="Comma 3 5 3 3 4 3 3" xfId="47392" xr:uid="{00000000-0005-0000-0000-00003F860000}"/>
    <cellStyle name="Comma 3 5 3 3 4 3 4" xfId="26562" xr:uid="{00000000-0005-0000-0000-000040860000}"/>
    <cellStyle name="Comma 3 5 3 3 4 4" xfId="5731" xr:uid="{00000000-0005-0000-0000-000041860000}"/>
    <cellStyle name="Comma 3 5 3 3 4 4 2" xfId="19218" xr:uid="{00000000-0005-0000-0000-000042860000}"/>
    <cellStyle name="Comma 3 5 3 3 4 4 2 2" xfId="42496" xr:uid="{00000000-0005-0000-0000-000043860000}"/>
    <cellStyle name="Comma 3 5 3 3 4 4 3" xfId="29010" xr:uid="{00000000-0005-0000-0000-000044860000}"/>
    <cellStyle name="Comma 3 5 3 3 4 5" xfId="8179" xr:uid="{00000000-0005-0000-0000-000045860000}"/>
    <cellStyle name="Comma 3 5 3 3 4 5 2" xfId="31458" xr:uid="{00000000-0005-0000-0000-000046860000}"/>
    <cellStyle name="Comma 3 5 3 3 4 6" xfId="10627" xr:uid="{00000000-0005-0000-0000-000047860000}"/>
    <cellStyle name="Comma 3 5 3 3 4 6 2" xfId="33906" xr:uid="{00000000-0005-0000-0000-000048860000}"/>
    <cellStyle name="Comma 3 5 3 3 4 7" xfId="13075" xr:uid="{00000000-0005-0000-0000-000049860000}"/>
    <cellStyle name="Comma 3 5 3 3 4 7 2" xfId="36354" xr:uid="{00000000-0005-0000-0000-00004A860000}"/>
    <cellStyle name="Comma 3 5 3 3 4 8" xfId="15546" xr:uid="{00000000-0005-0000-0000-00004B860000}"/>
    <cellStyle name="Comma 3 5 3 3 4 8 2" xfId="38824" xr:uid="{00000000-0005-0000-0000-00004C860000}"/>
    <cellStyle name="Comma 3 5 3 3 4 9" xfId="24114" xr:uid="{00000000-0005-0000-0000-00004D860000}"/>
    <cellStyle name="Comma 3 5 3 3 5" xfId="1447" xr:uid="{00000000-0005-0000-0000-00004E860000}"/>
    <cellStyle name="Comma 3 5 3 3 5 10" xfId="22278" xr:uid="{00000000-0005-0000-0000-00004F860000}"/>
    <cellStyle name="Comma 3 5 3 3 5 2" xfId="3895" xr:uid="{00000000-0005-0000-0000-000050860000}"/>
    <cellStyle name="Comma 3 5 3 3 5 2 2" xfId="19830" xr:uid="{00000000-0005-0000-0000-000051860000}"/>
    <cellStyle name="Comma 3 5 3 3 5 2 2 2" xfId="43108" xr:uid="{00000000-0005-0000-0000-000052860000}"/>
    <cellStyle name="Comma 3 5 3 3 5 2 3" xfId="48004" xr:uid="{00000000-0005-0000-0000-000053860000}"/>
    <cellStyle name="Comma 3 5 3 3 5 2 4" xfId="27174" xr:uid="{00000000-0005-0000-0000-000054860000}"/>
    <cellStyle name="Comma 3 5 3 3 5 3" xfId="6343" xr:uid="{00000000-0005-0000-0000-000055860000}"/>
    <cellStyle name="Comma 3 5 3 3 5 3 2" xfId="29622" xr:uid="{00000000-0005-0000-0000-000056860000}"/>
    <cellStyle name="Comma 3 5 3 3 5 4" xfId="8791" xr:uid="{00000000-0005-0000-0000-000057860000}"/>
    <cellStyle name="Comma 3 5 3 3 5 4 2" xfId="32070" xr:uid="{00000000-0005-0000-0000-000058860000}"/>
    <cellStyle name="Comma 3 5 3 3 5 5" xfId="11239" xr:uid="{00000000-0005-0000-0000-000059860000}"/>
    <cellStyle name="Comma 3 5 3 3 5 5 2" xfId="34518" xr:uid="{00000000-0005-0000-0000-00005A860000}"/>
    <cellStyle name="Comma 3 5 3 3 5 6" xfId="13687" xr:uid="{00000000-0005-0000-0000-00005B860000}"/>
    <cellStyle name="Comma 3 5 3 3 5 6 2" xfId="36966" xr:uid="{00000000-0005-0000-0000-00005C860000}"/>
    <cellStyle name="Comma 3 5 3 3 5 7" xfId="17382" xr:uid="{00000000-0005-0000-0000-00005D860000}"/>
    <cellStyle name="Comma 3 5 3 3 5 7 2" xfId="40660" xr:uid="{00000000-0005-0000-0000-00005E860000}"/>
    <cellStyle name="Comma 3 5 3 3 5 8" xfId="24726" xr:uid="{00000000-0005-0000-0000-00005F860000}"/>
    <cellStyle name="Comma 3 5 3 3 5 9" xfId="45556" xr:uid="{00000000-0005-0000-0000-000060860000}"/>
    <cellStyle name="Comma 3 5 3 3 6" xfId="2671" xr:uid="{00000000-0005-0000-0000-000061860000}"/>
    <cellStyle name="Comma 3 5 3 3 6 2" xfId="16158" xr:uid="{00000000-0005-0000-0000-000062860000}"/>
    <cellStyle name="Comma 3 5 3 3 6 2 2" xfId="39436" xr:uid="{00000000-0005-0000-0000-000063860000}"/>
    <cellStyle name="Comma 3 5 3 3 6 3" xfId="46780" xr:uid="{00000000-0005-0000-0000-000064860000}"/>
    <cellStyle name="Comma 3 5 3 3 6 4" xfId="25950" xr:uid="{00000000-0005-0000-0000-000065860000}"/>
    <cellStyle name="Comma 3 5 3 3 7" xfId="5119" xr:uid="{00000000-0005-0000-0000-000066860000}"/>
    <cellStyle name="Comma 3 5 3 3 7 2" xfId="18606" xr:uid="{00000000-0005-0000-0000-000067860000}"/>
    <cellStyle name="Comma 3 5 3 3 7 2 2" xfId="41884" xr:uid="{00000000-0005-0000-0000-000068860000}"/>
    <cellStyle name="Comma 3 5 3 3 7 3" xfId="28398" xr:uid="{00000000-0005-0000-0000-000069860000}"/>
    <cellStyle name="Comma 3 5 3 3 8" xfId="7567" xr:uid="{00000000-0005-0000-0000-00006A860000}"/>
    <cellStyle name="Comma 3 5 3 3 8 2" xfId="30846" xr:uid="{00000000-0005-0000-0000-00006B860000}"/>
    <cellStyle name="Comma 3 5 3 3 9" xfId="10015" xr:uid="{00000000-0005-0000-0000-00006C860000}"/>
    <cellStyle name="Comma 3 5 3 3 9 2" xfId="33294" xr:uid="{00000000-0005-0000-0000-00006D860000}"/>
    <cellStyle name="Comma 3 5 3 4" xfId="291" xr:uid="{00000000-0005-0000-0000-00006E860000}"/>
    <cellStyle name="Comma 3 5 3 4 10" xfId="23570" xr:uid="{00000000-0005-0000-0000-00006F860000}"/>
    <cellStyle name="Comma 3 5 3 4 11" xfId="44400" xr:uid="{00000000-0005-0000-0000-000070860000}"/>
    <cellStyle name="Comma 3 5 3 4 12" xfId="21122" xr:uid="{00000000-0005-0000-0000-000071860000}"/>
    <cellStyle name="Comma 3 5 3 4 2" xfId="903" xr:uid="{00000000-0005-0000-0000-000072860000}"/>
    <cellStyle name="Comma 3 5 3 4 2 10" xfId="45012" xr:uid="{00000000-0005-0000-0000-000073860000}"/>
    <cellStyle name="Comma 3 5 3 4 2 11" xfId="21734" xr:uid="{00000000-0005-0000-0000-000074860000}"/>
    <cellStyle name="Comma 3 5 3 4 2 2" xfId="2127" xr:uid="{00000000-0005-0000-0000-000075860000}"/>
    <cellStyle name="Comma 3 5 3 4 2 2 10" xfId="22958" xr:uid="{00000000-0005-0000-0000-000076860000}"/>
    <cellStyle name="Comma 3 5 3 4 2 2 2" xfId="4575" xr:uid="{00000000-0005-0000-0000-000077860000}"/>
    <cellStyle name="Comma 3 5 3 4 2 2 2 2" xfId="20510" xr:uid="{00000000-0005-0000-0000-000078860000}"/>
    <cellStyle name="Comma 3 5 3 4 2 2 2 2 2" xfId="43788" xr:uid="{00000000-0005-0000-0000-000079860000}"/>
    <cellStyle name="Comma 3 5 3 4 2 2 2 3" xfId="48684" xr:uid="{00000000-0005-0000-0000-00007A860000}"/>
    <cellStyle name="Comma 3 5 3 4 2 2 2 4" xfId="27854" xr:uid="{00000000-0005-0000-0000-00007B860000}"/>
    <cellStyle name="Comma 3 5 3 4 2 2 3" xfId="7023" xr:uid="{00000000-0005-0000-0000-00007C860000}"/>
    <cellStyle name="Comma 3 5 3 4 2 2 3 2" xfId="30302" xr:uid="{00000000-0005-0000-0000-00007D860000}"/>
    <cellStyle name="Comma 3 5 3 4 2 2 4" xfId="9471" xr:uid="{00000000-0005-0000-0000-00007E860000}"/>
    <cellStyle name="Comma 3 5 3 4 2 2 4 2" xfId="32750" xr:uid="{00000000-0005-0000-0000-00007F860000}"/>
    <cellStyle name="Comma 3 5 3 4 2 2 5" xfId="11919" xr:uid="{00000000-0005-0000-0000-000080860000}"/>
    <cellStyle name="Comma 3 5 3 4 2 2 5 2" xfId="35198" xr:uid="{00000000-0005-0000-0000-000081860000}"/>
    <cellStyle name="Comma 3 5 3 4 2 2 6" xfId="14367" xr:uid="{00000000-0005-0000-0000-000082860000}"/>
    <cellStyle name="Comma 3 5 3 4 2 2 6 2" xfId="37646" xr:uid="{00000000-0005-0000-0000-000083860000}"/>
    <cellStyle name="Comma 3 5 3 4 2 2 7" xfId="18062" xr:uid="{00000000-0005-0000-0000-000084860000}"/>
    <cellStyle name="Comma 3 5 3 4 2 2 7 2" xfId="41340" xr:uid="{00000000-0005-0000-0000-000085860000}"/>
    <cellStyle name="Comma 3 5 3 4 2 2 8" xfId="25406" xr:uid="{00000000-0005-0000-0000-000086860000}"/>
    <cellStyle name="Comma 3 5 3 4 2 2 9" xfId="46236" xr:uid="{00000000-0005-0000-0000-000087860000}"/>
    <cellStyle name="Comma 3 5 3 4 2 3" xfId="3351" xr:uid="{00000000-0005-0000-0000-000088860000}"/>
    <cellStyle name="Comma 3 5 3 4 2 3 2" xfId="16838" xr:uid="{00000000-0005-0000-0000-000089860000}"/>
    <cellStyle name="Comma 3 5 3 4 2 3 2 2" xfId="40116" xr:uid="{00000000-0005-0000-0000-00008A860000}"/>
    <cellStyle name="Comma 3 5 3 4 2 3 3" xfId="47460" xr:uid="{00000000-0005-0000-0000-00008B860000}"/>
    <cellStyle name="Comma 3 5 3 4 2 3 4" xfId="26630" xr:uid="{00000000-0005-0000-0000-00008C860000}"/>
    <cellStyle name="Comma 3 5 3 4 2 4" xfId="5799" xr:uid="{00000000-0005-0000-0000-00008D860000}"/>
    <cellStyle name="Comma 3 5 3 4 2 4 2" xfId="19286" xr:uid="{00000000-0005-0000-0000-00008E860000}"/>
    <cellStyle name="Comma 3 5 3 4 2 4 2 2" xfId="42564" xr:uid="{00000000-0005-0000-0000-00008F860000}"/>
    <cellStyle name="Comma 3 5 3 4 2 4 3" xfId="29078" xr:uid="{00000000-0005-0000-0000-000090860000}"/>
    <cellStyle name="Comma 3 5 3 4 2 5" xfId="8247" xr:uid="{00000000-0005-0000-0000-000091860000}"/>
    <cellStyle name="Comma 3 5 3 4 2 5 2" xfId="31526" xr:uid="{00000000-0005-0000-0000-000092860000}"/>
    <cellStyle name="Comma 3 5 3 4 2 6" xfId="10695" xr:uid="{00000000-0005-0000-0000-000093860000}"/>
    <cellStyle name="Comma 3 5 3 4 2 6 2" xfId="33974" xr:uid="{00000000-0005-0000-0000-000094860000}"/>
    <cellStyle name="Comma 3 5 3 4 2 7" xfId="13143" xr:uid="{00000000-0005-0000-0000-000095860000}"/>
    <cellStyle name="Comma 3 5 3 4 2 7 2" xfId="36422" xr:uid="{00000000-0005-0000-0000-000096860000}"/>
    <cellStyle name="Comma 3 5 3 4 2 8" xfId="15614" xr:uid="{00000000-0005-0000-0000-000097860000}"/>
    <cellStyle name="Comma 3 5 3 4 2 8 2" xfId="38892" xr:uid="{00000000-0005-0000-0000-000098860000}"/>
    <cellStyle name="Comma 3 5 3 4 2 9" xfId="24182" xr:uid="{00000000-0005-0000-0000-000099860000}"/>
    <cellStyle name="Comma 3 5 3 4 3" xfId="1515" xr:uid="{00000000-0005-0000-0000-00009A860000}"/>
    <cellStyle name="Comma 3 5 3 4 3 10" xfId="22346" xr:uid="{00000000-0005-0000-0000-00009B860000}"/>
    <cellStyle name="Comma 3 5 3 4 3 2" xfId="3963" xr:uid="{00000000-0005-0000-0000-00009C860000}"/>
    <cellStyle name="Comma 3 5 3 4 3 2 2" xfId="19898" xr:uid="{00000000-0005-0000-0000-00009D860000}"/>
    <cellStyle name="Comma 3 5 3 4 3 2 2 2" xfId="43176" xr:uid="{00000000-0005-0000-0000-00009E860000}"/>
    <cellStyle name="Comma 3 5 3 4 3 2 3" xfId="48072" xr:uid="{00000000-0005-0000-0000-00009F860000}"/>
    <cellStyle name="Comma 3 5 3 4 3 2 4" xfId="27242" xr:uid="{00000000-0005-0000-0000-0000A0860000}"/>
    <cellStyle name="Comma 3 5 3 4 3 3" xfId="6411" xr:uid="{00000000-0005-0000-0000-0000A1860000}"/>
    <cellStyle name="Comma 3 5 3 4 3 3 2" xfId="29690" xr:uid="{00000000-0005-0000-0000-0000A2860000}"/>
    <cellStyle name="Comma 3 5 3 4 3 4" xfId="8859" xr:uid="{00000000-0005-0000-0000-0000A3860000}"/>
    <cellStyle name="Comma 3 5 3 4 3 4 2" xfId="32138" xr:uid="{00000000-0005-0000-0000-0000A4860000}"/>
    <cellStyle name="Comma 3 5 3 4 3 5" xfId="11307" xr:uid="{00000000-0005-0000-0000-0000A5860000}"/>
    <cellStyle name="Comma 3 5 3 4 3 5 2" xfId="34586" xr:uid="{00000000-0005-0000-0000-0000A6860000}"/>
    <cellStyle name="Comma 3 5 3 4 3 6" xfId="13755" xr:uid="{00000000-0005-0000-0000-0000A7860000}"/>
    <cellStyle name="Comma 3 5 3 4 3 6 2" xfId="37034" xr:uid="{00000000-0005-0000-0000-0000A8860000}"/>
    <cellStyle name="Comma 3 5 3 4 3 7" xfId="17450" xr:uid="{00000000-0005-0000-0000-0000A9860000}"/>
    <cellStyle name="Comma 3 5 3 4 3 7 2" xfId="40728" xr:uid="{00000000-0005-0000-0000-0000AA860000}"/>
    <cellStyle name="Comma 3 5 3 4 3 8" xfId="24794" xr:uid="{00000000-0005-0000-0000-0000AB860000}"/>
    <cellStyle name="Comma 3 5 3 4 3 9" xfId="45624" xr:uid="{00000000-0005-0000-0000-0000AC860000}"/>
    <cellStyle name="Comma 3 5 3 4 4" xfId="2739" xr:uid="{00000000-0005-0000-0000-0000AD860000}"/>
    <cellStyle name="Comma 3 5 3 4 4 2" xfId="16226" xr:uid="{00000000-0005-0000-0000-0000AE860000}"/>
    <cellStyle name="Comma 3 5 3 4 4 2 2" xfId="39504" xr:uid="{00000000-0005-0000-0000-0000AF860000}"/>
    <cellStyle name="Comma 3 5 3 4 4 3" xfId="46848" xr:uid="{00000000-0005-0000-0000-0000B0860000}"/>
    <cellStyle name="Comma 3 5 3 4 4 4" xfId="26018" xr:uid="{00000000-0005-0000-0000-0000B1860000}"/>
    <cellStyle name="Comma 3 5 3 4 5" xfId="5187" xr:uid="{00000000-0005-0000-0000-0000B2860000}"/>
    <cellStyle name="Comma 3 5 3 4 5 2" xfId="18674" xr:uid="{00000000-0005-0000-0000-0000B3860000}"/>
    <cellStyle name="Comma 3 5 3 4 5 2 2" xfId="41952" xr:uid="{00000000-0005-0000-0000-0000B4860000}"/>
    <cellStyle name="Comma 3 5 3 4 5 3" xfId="28466" xr:uid="{00000000-0005-0000-0000-0000B5860000}"/>
    <cellStyle name="Comma 3 5 3 4 6" xfId="7635" xr:uid="{00000000-0005-0000-0000-0000B6860000}"/>
    <cellStyle name="Comma 3 5 3 4 6 2" xfId="30914" xr:uid="{00000000-0005-0000-0000-0000B7860000}"/>
    <cellStyle name="Comma 3 5 3 4 7" xfId="10083" xr:uid="{00000000-0005-0000-0000-0000B8860000}"/>
    <cellStyle name="Comma 3 5 3 4 7 2" xfId="33362" xr:uid="{00000000-0005-0000-0000-0000B9860000}"/>
    <cellStyle name="Comma 3 5 3 4 8" xfId="12531" xr:uid="{00000000-0005-0000-0000-0000BA860000}"/>
    <cellStyle name="Comma 3 5 3 4 8 2" xfId="35810" xr:uid="{00000000-0005-0000-0000-0000BB860000}"/>
    <cellStyle name="Comma 3 5 3 4 9" xfId="15002" xr:uid="{00000000-0005-0000-0000-0000BC860000}"/>
    <cellStyle name="Comma 3 5 3 4 9 2" xfId="38280" xr:uid="{00000000-0005-0000-0000-0000BD860000}"/>
    <cellStyle name="Comma 3 5 3 5" xfId="495" xr:uid="{00000000-0005-0000-0000-0000BE860000}"/>
    <cellStyle name="Comma 3 5 3 5 10" xfId="23774" xr:uid="{00000000-0005-0000-0000-0000BF860000}"/>
    <cellStyle name="Comma 3 5 3 5 11" xfId="44604" xr:uid="{00000000-0005-0000-0000-0000C0860000}"/>
    <cellStyle name="Comma 3 5 3 5 12" xfId="21326" xr:uid="{00000000-0005-0000-0000-0000C1860000}"/>
    <cellStyle name="Comma 3 5 3 5 2" xfId="1107" xr:uid="{00000000-0005-0000-0000-0000C2860000}"/>
    <cellStyle name="Comma 3 5 3 5 2 10" xfId="45216" xr:uid="{00000000-0005-0000-0000-0000C3860000}"/>
    <cellStyle name="Comma 3 5 3 5 2 11" xfId="21938" xr:uid="{00000000-0005-0000-0000-0000C4860000}"/>
    <cellStyle name="Comma 3 5 3 5 2 2" xfId="2331" xr:uid="{00000000-0005-0000-0000-0000C5860000}"/>
    <cellStyle name="Comma 3 5 3 5 2 2 10" xfId="23162" xr:uid="{00000000-0005-0000-0000-0000C6860000}"/>
    <cellStyle name="Comma 3 5 3 5 2 2 2" xfId="4779" xr:uid="{00000000-0005-0000-0000-0000C7860000}"/>
    <cellStyle name="Comma 3 5 3 5 2 2 2 2" xfId="20714" xr:uid="{00000000-0005-0000-0000-0000C8860000}"/>
    <cellStyle name="Comma 3 5 3 5 2 2 2 2 2" xfId="43992" xr:uid="{00000000-0005-0000-0000-0000C9860000}"/>
    <cellStyle name="Comma 3 5 3 5 2 2 2 3" xfId="48888" xr:uid="{00000000-0005-0000-0000-0000CA860000}"/>
    <cellStyle name="Comma 3 5 3 5 2 2 2 4" xfId="28058" xr:uid="{00000000-0005-0000-0000-0000CB860000}"/>
    <cellStyle name="Comma 3 5 3 5 2 2 3" xfId="7227" xr:uid="{00000000-0005-0000-0000-0000CC860000}"/>
    <cellStyle name="Comma 3 5 3 5 2 2 3 2" xfId="30506" xr:uid="{00000000-0005-0000-0000-0000CD860000}"/>
    <cellStyle name="Comma 3 5 3 5 2 2 4" xfId="9675" xr:uid="{00000000-0005-0000-0000-0000CE860000}"/>
    <cellStyle name="Comma 3 5 3 5 2 2 4 2" xfId="32954" xr:uid="{00000000-0005-0000-0000-0000CF860000}"/>
    <cellStyle name="Comma 3 5 3 5 2 2 5" xfId="12123" xr:uid="{00000000-0005-0000-0000-0000D0860000}"/>
    <cellStyle name="Comma 3 5 3 5 2 2 5 2" xfId="35402" xr:uid="{00000000-0005-0000-0000-0000D1860000}"/>
    <cellStyle name="Comma 3 5 3 5 2 2 6" xfId="14571" xr:uid="{00000000-0005-0000-0000-0000D2860000}"/>
    <cellStyle name="Comma 3 5 3 5 2 2 6 2" xfId="37850" xr:uid="{00000000-0005-0000-0000-0000D3860000}"/>
    <cellStyle name="Comma 3 5 3 5 2 2 7" xfId="18266" xr:uid="{00000000-0005-0000-0000-0000D4860000}"/>
    <cellStyle name="Comma 3 5 3 5 2 2 7 2" xfId="41544" xr:uid="{00000000-0005-0000-0000-0000D5860000}"/>
    <cellStyle name="Comma 3 5 3 5 2 2 8" xfId="25610" xr:uid="{00000000-0005-0000-0000-0000D6860000}"/>
    <cellStyle name="Comma 3 5 3 5 2 2 9" xfId="46440" xr:uid="{00000000-0005-0000-0000-0000D7860000}"/>
    <cellStyle name="Comma 3 5 3 5 2 3" xfId="3555" xr:uid="{00000000-0005-0000-0000-0000D8860000}"/>
    <cellStyle name="Comma 3 5 3 5 2 3 2" xfId="17042" xr:uid="{00000000-0005-0000-0000-0000D9860000}"/>
    <cellStyle name="Comma 3 5 3 5 2 3 2 2" xfId="40320" xr:uid="{00000000-0005-0000-0000-0000DA860000}"/>
    <cellStyle name="Comma 3 5 3 5 2 3 3" xfId="47664" xr:uid="{00000000-0005-0000-0000-0000DB860000}"/>
    <cellStyle name="Comma 3 5 3 5 2 3 4" xfId="26834" xr:uid="{00000000-0005-0000-0000-0000DC860000}"/>
    <cellStyle name="Comma 3 5 3 5 2 4" xfId="6003" xr:uid="{00000000-0005-0000-0000-0000DD860000}"/>
    <cellStyle name="Comma 3 5 3 5 2 4 2" xfId="19490" xr:uid="{00000000-0005-0000-0000-0000DE860000}"/>
    <cellStyle name="Comma 3 5 3 5 2 4 2 2" xfId="42768" xr:uid="{00000000-0005-0000-0000-0000DF860000}"/>
    <cellStyle name="Comma 3 5 3 5 2 4 3" xfId="29282" xr:uid="{00000000-0005-0000-0000-0000E0860000}"/>
    <cellStyle name="Comma 3 5 3 5 2 5" xfId="8451" xr:uid="{00000000-0005-0000-0000-0000E1860000}"/>
    <cellStyle name="Comma 3 5 3 5 2 5 2" xfId="31730" xr:uid="{00000000-0005-0000-0000-0000E2860000}"/>
    <cellStyle name="Comma 3 5 3 5 2 6" xfId="10899" xr:uid="{00000000-0005-0000-0000-0000E3860000}"/>
    <cellStyle name="Comma 3 5 3 5 2 6 2" xfId="34178" xr:uid="{00000000-0005-0000-0000-0000E4860000}"/>
    <cellStyle name="Comma 3 5 3 5 2 7" xfId="13347" xr:uid="{00000000-0005-0000-0000-0000E5860000}"/>
    <cellStyle name="Comma 3 5 3 5 2 7 2" xfId="36626" xr:uid="{00000000-0005-0000-0000-0000E6860000}"/>
    <cellStyle name="Comma 3 5 3 5 2 8" xfId="15818" xr:uid="{00000000-0005-0000-0000-0000E7860000}"/>
    <cellStyle name="Comma 3 5 3 5 2 8 2" xfId="39096" xr:uid="{00000000-0005-0000-0000-0000E8860000}"/>
    <cellStyle name="Comma 3 5 3 5 2 9" xfId="24386" xr:uid="{00000000-0005-0000-0000-0000E9860000}"/>
    <cellStyle name="Comma 3 5 3 5 3" xfId="1719" xr:uid="{00000000-0005-0000-0000-0000EA860000}"/>
    <cellStyle name="Comma 3 5 3 5 3 10" xfId="22550" xr:uid="{00000000-0005-0000-0000-0000EB860000}"/>
    <cellStyle name="Comma 3 5 3 5 3 2" xfId="4167" xr:uid="{00000000-0005-0000-0000-0000EC860000}"/>
    <cellStyle name="Comma 3 5 3 5 3 2 2" xfId="20102" xr:uid="{00000000-0005-0000-0000-0000ED860000}"/>
    <cellStyle name="Comma 3 5 3 5 3 2 2 2" xfId="43380" xr:uid="{00000000-0005-0000-0000-0000EE860000}"/>
    <cellStyle name="Comma 3 5 3 5 3 2 3" xfId="48276" xr:uid="{00000000-0005-0000-0000-0000EF860000}"/>
    <cellStyle name="Comma 3 5 3 5 3 2 4" xfId="27446" xr:uid="{00000000-0005-0000-0000-0000F0860000}"/>
    <cellStyle name="Comma 3 5 3 5 3 3" xfId="6615" xr:uid="{00000000-0005-0000-0000-0000F1860000}"/>
    <cellStyle name="Comma 3 5 3 5 3 3 2" xfId="29894" xr:uid="{00000000-0005-0000-0000-0000F2860000}"/>
    <cellStyle name="Comma 3 5 3 5 3 4" xfId="9063" xr:uid="{00000000-0005-0000-0000-0000F3860000}"/>
    <cellStyle name="Comma 3 5 3 5 3 4 2" xfId="32342" xr:uid="{00000000-0005-0000-0000-0000F4860000}"/>
    <cellStyle name="Comma 3 5 3 5 3 5" xfId="11511" xr:uid="{00000000-0005-0000-0000-0000F5860000}"/>
    <cellStyle name="Comma 3 5 3 5 3 5 2" xfId="34790" xr:uid="{00000000-0005-0000-0000-0000F6860000}"/>
    <cellStyle name="Comma 3 5 3 5 3 6" xfId="13959" xr:uid="{00000000-0005-0000-0000-0000F7860000}"/>
    <cellStyle name="Comma 3 5 3 5 3 6 2" xfId="37238" xr:uid="{00000000-0005-0000-0000-0000F8860000}"/>
    <cellStyle name="Comma 3 5 3 5 3 7" xfId="17654" xr:uid="{00000000-0005-0000-0000-0000F9860000}"/>
    <cellStyle name="Comma 3 5 3 5 3 7 2" xfId="40932" xr:uid="{00000000-0005-0000-0000-0000FA860000}"/>
    <cellStyle name="Comma 3 5 3 5 3 8" xfId="24998" xr:uid="{00000000-0005-0000-0000-0000FB860000}"/>
    <cellStyle name="Comma 3 5 3 5 3 9" xfId="45828" xr:uid="{00000000-0005-0000-0000-0000FC860000}"/>
    <cellStyle name="Comma 3 5 3 5 4" xfId="2943" xr:uid="{00000000-0005-0000-0000-0000FD860000}"/>
    <cellStyle name="Comma 3 5 3 5 4 2" xfId="16430" xr:uid="{00000000-0005-0000-0000-0000FE860000}"/>
    <cellStyle name="Comma 3 5 3 5 4 2 2" xfId="39708" xr:uid="{00000000-0005-0000-0000-0000FF860000}"/>
    <cellStyle name="Comma 3 5 3 5 4 3" xfId="47052" xr:uid="{00000000-0005-0000-0000-000000870000}"/>
    <cellStyle name="Comma 3 5 3 5 4 4" xfId="26222" xr:uid="{00000000-0005-0000-0000-000001870000}"/>
    <cellStyle name="Comma 3 5 3 5 5" xfId="5391" xr:uid="{00000000-0005-0000-0000-000002870000}"/>
    <cellStyle name="Comma 3 5 3 5 5 2" xfId="18878" xr:uid="{00000000-0005-0000-0000-000003870000}"/>
    <cellStyle name="Comma 3 5 3 5 5 2 2" xfId="42156" xr:uid="{00000000-0005-0000-0000-000004870000}"/>
    <cellStyle name="Comma 3 5 3 5 5 3" xfId="28670" xr:uid="{00000000-0005-0000-0000-000005870000}"/>
    <cellStyle name="Comma 3 5 3 5 6" xfId="7839" xr:uid="{00000000-0005-0000-0000-000006870000}"/>
    <cellStyle name="Comma 3 5 3 5 6 2" xfId="31118" xr:uid="{00000000-0005-0000-0000-000007870000}"/>
    <cellStyle name="Comma 3 5 3 5 7" xfId="10287" xr:uid="{00000000-0005-0000-0000-000008870000}"/>
    <cellStyle name="Comma 3 5 3 5 7 2" xfId="33566" xr:uid="{00000000-0005-0000-0000-000009870000}"/>
    <cellStyle name="Comma 3 5 3 5 8" xfId="12735" xr:uid="{00000000-0005-0000-0000-00000A870000}"/>
    <cellStyle name="Comma 3 5 3 5 8 2" xfId="36014" xr:uid="{00000000-0005-0000-0000-00000B870000}"/>
    <cellStyle name="Comma 3 5 3 5 9" xfId="15206" xr:uid="{00000000-0005-0000-0000-00000C870000}"/>
    <cellStyle name="Comma 3 5 3 5 9 2" xfId="38484" xr:uid="{00000000-0005-0000-0000-00000D870000}"/>
    <cellStyle name="Comma 3 5 3 6" xfId="699" xr:uid="{00000000-0005-0000-0000-00000E870000}"/>
    <cellStyle name="Comma 3 5 3 6 10" xfId="44808" xr:uid="{00000000-0005-0000-0000-00000F870000}"/>
    <cellStyle name="Comma 3 5 3 6 11" xfId="21530" xr:uid="{00000000-0005-0000-0000-000010870000}"/>
    <cellStyle name="Comma 3 5 3 6 2" xfId="1923" xr:uid="{00000000-0005-0000-0000-000011870000}"/>
    <cellStyle name="Comma 3 5 3 6 2 10" xfId="22754" xr:uid="{00000000-0005-0000-0000-000012870000}"/>
    <cellStyle name="Comma 3 5 3 6 2 2" xfId="4371" xr:uid="{00000000-0005-0000-0000-000013870000}"/>
    <cellStyle name="Comma 3 5 3 6 2 2 2" xfId="20306" xr:uid="{00000000-0005-0000-0000-000014870000}"/>
    <cellStyle name="Comma 3 5 3 6 2 2 2 2" xfId="43584" xr:uid="{00000000-0005-0000-0000-000015870000}"/>
    <cellStyle name="Comma 3 5 3 6 2 2 3" xfId="48480" xr:uid="{00000000-0005-0000-0000-000016870000}"/>
    <cellStyle name="Comma 3 5 3 6 2 2 4" xfId="27650" xr:uid="{00000000-0005-0000-0000-000017870000}"/>
    <cellStyle name="Comma 3 5 3 6 2 3" xfId="6819" xr:uid="{00000000-0005-0000-0000-000018870000}"/>
    <cellStyle name="Comma 3 5 3 6 2 3 2" xfId="30098" xr:uid="{00000000-0005-0000-0000-000019870000}"/>
    <cellStyle name="Comma 3 5 3 6 2 4" xfId="9267" xr:uid="{00000000-0005-0000-0000-00001A870000}"/>
    <cellStyle name="Comma 3 5 3 6 2 4 2" xfId="32546" xr:uid="{00000000-0005-0000-0000-00001B870000}"/>
    <cellStyle name="Comma 3 5 3 6 2 5" xfId="11715" xr:uid="{00000000-0005-0000-0000-00001C870000}"/>
    <cellStyle name="Comma 3 5 3 6 2 5 2" xfId="34994" xr:uid="{00000000-0005-0000-0000-00001D870000}"/>
    <cellStyle name="Comma 3 5 3 6 2 6" xfId="14163" xr:uid="{00000000-0005-0000-0000-00001E870000}"/>
    <cellStyle name="Comma 3 5 3 6 2 6 2" xfId="37442" xr:uid="{00000000-0005-0000-0000-00001F870000}"/>
    <cellStyle name="Comma 3 5 3 6 2 7" xfId="17858" xr:uid="{00000000-0005-0000-0000-000020870000}"/>
    <cellStyle name="Comma 3 5 3 6 2 7 2" xfId="41136" xr:uid="{00000000-0005-0000-0000-000021870000}"/>
    <cellStyle name="Comma 3 5 3 6 2 8" xfId="25202" xr:uid="{00000000-0005-0000-0000-000022870000}"/>
    <cellStyle name="Comma 3 5 3 6 2 9" xfId="46032" xr:uid="{00000000-0005-0000-0000-000023870000}"/>
    <cellStyle name="Comma 3 5 3 6 3" xfId="3147" xr:uid="{00000000-0005-0000-0000-000024870000}"/>
    <cellStyle name="Comma 3 5 3 6 3 2" xfId="16634" xr:uid="{00000000-0005-0000-0000-000025870000}"/>
    <cellStyle name="Comma 3 5 3 6 3 2 2" xfId="39912" xr:uid="{00000000-0005-0000-0000-000026870000}"/>
    <cellStyle name="Comma 3 5 3 6 3 3" xfId="47256" xr:uid="{00000000-0005-0000-0000-000027870000}"/>
    <cellStyle name="Comma 3 5 3 6 3 4" xfId="26426" xr:uid="{00000000-0005-0000-0000-000028870000}"/>
    <cellStyle name="Comma 3 5 3 6 4" xfId="5595" xr:uid="{00000000-0005-0000-0000-000029870000}"/>
    <cellStyle name="Comma 3 5 3 6 4 2" xfId="19082" xr:uid="{00000000-0005-0000-0000-00002A870000}"/>
    <cellStyle name="Comma 3 5 3 6 4 2 2" xfId="42360" xr:uid="{00000000-0005-0000-0000-00002B870000}"/>
    <cellStyle name="Comma 3 5 3 6 4 3" xfId="28874" xr:uid="{00000000-0005-0000-0000-00002C870000}"/>
    <cellStyle name="Comma 3 5 3 6 5" xfId="8043" xr:uid="{00000000-0005-0000-0000-00002D870000}"/>
    <cellStyle name="Comma 3 5 3 6 5 2" xfId="31322" xr:uid="{00000000-0005-0000-0000-00002E870000}"/>
    <cellStyle name="Comma 3 5 3 6 6" xfId="10491" xr:uid="{00000000-0005-0000-0000-00002F870000}"/>
    <cellStyle name="Comma 3 5 3 6 6 2" xfId="33770" xr:uid="{00000000-0005-0000-0000-000030870000}"/>
    <cellStyle name="Comma 3 5 3 6 7" xfId="12939" xr:uid="{00000000-0005-0000-0000-000031870000}"/>
    <cellStyle name="Comma 3 5 3 6 7 2" xfId="36218" xr:uid="{00000000-0005-0000-0000-000032870000}"/>
    <cellStyle name="Comma 3 5 3 6 8" xfId="15410" xr:uid="{00000000-0005-0000-0000-000033870000}"/>
    <cellStyle name="Comma 3 5 3 6 8 2" xfId="38688" xr:uid="{00000000-0005-0000-0000-000034870000}"/>
    <cellStyle name="Comma 3 5 3 6 9" xfId="23978" xr:uid="{00000000-0005-0000-0000-000035870000}"/>
    <cellStyle name="Comma 3 5 3 7" xfId="1311" xr:uid="{00000000-0005-0000-0000-000036870000}"/>
    <cellStyle name="Comma 3 5 3 7 10" xfId="22142" xr:uid="{00000000-0005-0000-0000-000037870000}"/>
    <cellStyle name="Comma 3 5 3 7 2" xfId="3759" xr:uid="{00000000-0005-0000-0000-000038870000}"/>
    <cellStyle name="Comma 3 5 3 7 2 2" xfId="19694" xr:uid="{00000000-0005-0000-0000-000039870000}"/>
    <cellStyle name="Comma 3 5 3 7 2 2 2" xfId="42972" xr:uid="{00000000-0005-0000-0000-00003A870000}"/>
    <cellStyle name="Comma 3 5 3 7 2 3" xfId="47868" xr:uid="{00000000-0005-0000-0000-00003B870000}"/>
    <cellStyle name="Comma 3 5 3 7 2 4" xfId="27038" xr:uid="{00000000-0005-0000-0000-00003C870000}"/>
    <cellStyle name="Comma 3 5 3 7 3" xfId="6207" xr:uid="{00000000-0005-0000-0000-00003D870000}"/>
    <cellStyle name="Comma 3 5 3 7 3 2" xfId="29486" xr:uid="{00000000-0005-0000-0000-00003E870000}"/>
    <cellStyle name="Comma 3 5 3 7 4" xfId="8655" xr:uid="{00000000-0005-0000-0000-00003F870000}"/>
    <cellStyle name="Comma 3 5 3 7 4 2" xfId="31934" xr:uid="{00000000-0005-0000-0000-000040870000}"/>
    <cellStyle name="Comma 3 5 3 7 5" xfId="11103" xr:uid="{00000000-0005-0000-0000-000041870000}"/>
    <cellStyle name="Comma 3 5 3 7 5 2" xfId="34382" xr:uid="{00000000-0005-0000-0000-000042870000}"/>
    <cellStyle name="Comma 3 5 3 7 6" xfId="13551" xr:uid="{00000000-0005-0000-0000-000043870000}"/>
    <cellStyle name="Comma 3 5 3 7 6 2" xfId="36830" xr:uid="{00000000-0005-0000-0000-000044870000}"/>
    <cellStyle name="Comma 3 5 3 7 7" xfId="17246" xr:uid="{00000000-0005-0000-0000-000045870000}"/>
    <cellStyle name="Comma 3 5 3 7 7 2" xfId="40524" xr:uid="{00000000-0005-0000-0000-000046870000}"/>
    <cellStyle name="Comma 3 5 3 7 8" xfId="24590" xr:uid="{00000000-0005-0000-0000-000047870000}"/>
    <cellStyle name="Comma 3 5 3 7 9" xfId="45420" xr:uid="{00000000-0005-0000-0000-000048870000}"/>
    <cellStyle name="Comma 3 5 3 8" xfId="2535" xr:uid="{00000000-0005-0000-0000-000049870000}"/>
    <cellStyle name="Comma 3 5 3 8 2" xfId="16022" xr:uid="{00000000-0005-0000-0000-00004A870000}"/>
    <cellStyle name="Comma 3 5 3 8 2 2" xfId="39300" xr:uid="{00000000-0005-0000-0000-00004B870000}"/>
    <cellStyle name="Comma 3 5 3 8 3" xfId="46644" xr:uid="{00000000-0005-0000-0000-00004C870000}"/>
    <cellStyle name="Comma 3 5 3 8 4" xfId="25814" xr:uid="{00000000-0005-0000-0000-00004D870000}"/>
    <cellStyle name="Comma 3 5 3 9" xfId="4983" xr:uid="{00000000-0005-0000-0000-00004E870000}"/>
    <cellStyle name="Comma 3 5 3 9 2" xfId="18470" xr:uid="{00000000-0005-0000-0000-00004F870000}"/>
    <cellStyle name="Comma 3 5 3 9 2 2" xfId="41748" xr:uid="{00000000-0005-0000-0000-000050870000}"/>
    <cellStyle name="Comma 3 5 3 9 3" xfId="28262" xr:uid="{00000000-0005-0000-0000-000051870000}"/>
    <cellStyle name="Comma 3 5 4" xfId="104" xr:uid="{00000000-0005-0000-0000-000052870000}"/>
    <cellStyle name="Comma 3 5 4 10" xfId="7448" xr:uid="{00000000-0005-0000-0000-000053870000}"/>
    <cellStyle name="Comma 3 5 4 10 2" xfId="30727" xr:uid="{00000000-0005-0000-0000-000054870000}"/>
    <cellStyle name="Comma 3 5 4 11" xfId="9896" xr:uid="{00000000-0005-0000-0000-000055870000}"/>
    <cellStyle name="Comma 3 5 4 11 2" xfId="33175" xr:uid="{00000000-0005-0000-0000-000056870000}"/>
    <cellStyle name="Comma 3 5 4 12" xfId="12344" xr:uid="{00000000-0005-0000-0000-000057870000}"/>
    <cellStyle name="Comma 3 5 4 12 2" xfId="35623" xr:uid="{00000000-0005-0000-0000-000058870000}"/>
    <cellStyle name="Comma 3 5 4 13" xfId="14815" xr:uid="{00000000-0005-0000-0000-000059870000}"/>
    <cellStyle name="Comma 3 5 4 13 2" xfId="38093" xr:uid="{00000000-0005-0000-0000-00005A870000}"/>
    <cellStyle name="Comma 3 5 4 14" xfId="23383" xr:uid="{00000000-0005-0000-0000-00005B870000}"/>
    <cellStyle name="Comma 3 5 4 15" xfId="44213" xr:uid="{00000000-0005-0000-0000-00005C870000}"/>
    <cellStyle name="Comma 3 5 4 16" xfId="20935" xr:uid="{00000000-0005-0000-0000-00005D870000}"/>
    <cellStyle name="Comma 3 5 4 2" xfId="172" xr:uid="{00000000-0005-0000-0000-00005E870000}"/>
    <cellStyle name="Comma 3 5 4 2 10" xfId="12412" xr:uid="{00000000-0005-0000-0000-00005F870000}"/>
    <cellStyle name="Comma 3 5 4 2 10 2" xfId="35691" xr:uid="{00000000-0005-0000-0000-000060870000}"/>
    <cellStyle name="Comma 3 5 4 2 11" xfId="14883" xr:uid="{00000000-0005-0000-0000-000061870000}"/>
    <cellStyle name="Comma 3 5 4 2 11 2" xfId="38161" xr:uid="{00000000-0005-0000-0000-000062870000}"/>
    <cellStyle name="Comma 3 5 4 2 12" xfId="23451" xr:uid="{00000000-0005-0000-0000-000063870000}"/>
    <cellStyle name="Comma 3 5 4 2 13" xfId="44281" xr:uid="{00000000-0005-0000-0000-000064870000}"/>
    <cellStyle name="Comma 3 5 4 2 14" xfId="21003" xr:uid="{00000000-0005-0000-0000-000065870000}"/>
    <cellStyle name="Comma 3 5 4 2 2" xfId="376" xr:uid="{00000000-0005-0000-0000-000066870000}"/>
    <cellStyle name="Comma 3 5 4 2 2 10" xfId="23655" xr:uid="{00000000-0005-0000-0000-000067870000}"/>
    <cellStyle name="Comma 3 5 4 2 2 11" xfId="44485" xr:uid="{00000000-0005-0000-0000-000068870000}"/>
    <cellStyle name="Comma 3 5 4 2 2 12" xfId="21207" xr:uid="{00000000-0005-0000-0000-000069870000}"/>
    <cellStyle name="Comma 3 5 4 2 2 2" xfId="988" xr:uid="{00000000-0005-0000-0000-00006A870000}"/>
    <cellStyle name="Comma 3 5 4 2 2 2 10" xfId="45097" xr:uid="{00000000-0005-0000-0000-00006B870000}"/>
    <cellStyle name="Comma 3 5 4 2 2 2 11" xfId="21819" xr:uid="{00000000-0005-0000-0000-00006C870000}"/>
    <cellStyle name="Comma 3 5 4 2 2 2 2" xfId="2212" xr:uid="{00000000-0005-0000-0000-00006D870000}"/>
    <cellStyle name="Comma 3 5 4 2 2 2 2 10" xfId="23043" xr:uid="{00000000-0005-0000-0000-00006E870000}"/>
    <cellStyle name="Comma 3 5 4 2 2 2 2 2" xfId="4660" xr:uid="{00000000-0005-0000-0000-00006F870000}"/>
    <cellStyle name="Comma 3 5 4 2 2 2 2 2 2" xfId="20595" xr:uid="{00000000-0005-0000-0000-000070870000}"/>
    <cellStyle name="Comma 3 5 4 2 2 2 2 2 2 2" xfId="43873" xr:uid="{00000000-0005-0000-0000-000071870000}"/>
    <cellStyle name="Comma 3 5 4 2 2 2 2 2 3" xfId="48769" xr:uid="{00000000-0005-0000-0000-000072870000}"/>
    <cellStyle name="Comma 3 5 4 2 2 2 2 2 4" xfId="27939" xr:uid="{00000000-0005-0000-0000-000073870000}"/>
    <cellStyle name="Comma 3 5 4 2 2 2 2 3" xfId="7108" xr:uid="{00000000-0005-0000-0000-000074870000}"/>
    <cellStyle name="Comma 3 5 4 2 2 2 2 3 2" xfId="30387" xr:uid="{00000000-0005-0000-0000-000075870000}"/>
    <cellStyle name="Comma 3 5 4 2 2 2 2 4" xfId="9556" xr:uid="{00000000-0005-0000-0000-000076870000}"/>
    <cellStyle name="Comma 3 5 4 2 2 2 2 4 2" xfId="32835" xr:uid="{00000000-0005-0000-0000-000077870000}"/>
    <cellStyle name="Comma 3 5 4 2 2 2 2 5" xfId="12004" xr:uid="{00000000-0005-0000-0000-000078870000}"/>
    <cellStyle name="Comma 3 5 4 2 2 2 2 5 2" xfId="35283" xr:uid="{00000000-0005-0000-0000-000079870000}"/>
    <cellStyle name="Comma 3 5 4 2 2 2 2 6" xfId="14452" xr:uid="{00000000-0005-0000-0000-00007A870000}"/>
    <cellStyle name="Comma 3 5 4 2 2 2 2 6 2" xfId="37731" xr:uid="{00000000-0005-0000-0000-00007B870000}"/>
    <cellStyle name="Comma 3 5 4 2 2 2 2 7" xfId="18147" xr:uid="{00000000-0005-0000-0000-00007C870000}"/>
    <cellStyle name="Comma 3 5 4 2 2 2 2 7 2" xfId="41425" xr:uid="{00000000-0005-0000-0000-00007D870000}"/>
    <cellStyle name="Comma 3 5 4 2 2 2 2 8" xfId="25491" xr:uid="{00000000-0005-0000-0000-00007E870000}"/>
    <cellStyle name="Comma 3 5 4 2 2 2 2 9" xfId="46321" xr:uid="{00000000-0005-0000-0000-00007F870000}"/>
    <cellStyle name="Comma 3 5 4 2 2 2 3" xfId="3436" xr:uid="{00000000-0005-0000-0000-000080870000}"/>
    <cellStyle name="Comma 3 5 4 2 2 2 3 2" xfId="16923" xr:uid="{00000000-0005-0000-0000-000081870000}"/>
    <cellStyle name="Comma 3 5 4 2 2 2 3 2 2" xfId="40201" xr:uid="{00000000-0005-0000-0000-000082870000}"/>
    <cellStyle name="Comma 3 5 4 2 2 2 3 3" xfId="47545" xr:uid="{00000000-0005-0000-0000-000083870000}"/>
    <cellStyle name="Comma 3 5 4 2 2 2 3 4" xfId="26715" xr:uid="{00000000-0005-0000-0000-000084870000}"/>
    <cellStyle name="Comma 3 5 4 2 2 2 4" xfId="5884" xr:uid="{00000000-0005-0000-0000-000085870000}"/>
    <cellStyle name="Comma 3 5 4 2 2 2 4 2" xfId="19371" xr:uid="{00000000-0005-0000-0000-000086870000}"/>
    <cellStyle name="Comma 3 5 4 2 2 2 4 2 2" xfId="42649" xr:uid="{00000000-0005-0000-0000-000087870000}"/>
    <cellStyle name="Comma 3 5 4 2 2 2 4 3" xfId="29163" xr:uid="{00000000-0005-0000-0000-000088870000}"/>
    <cellStyle name="Comma 3 5 4 2 2 2 5" xfId="8332" xr:uid="{00000000-0005-0000-0000-000089870000}"/>
    <cellStyle name="Comma 3 5 4 2 2 2 5 2" xfId="31611" xr:uid="{00000000-0005-0000-0000-00008A870000}"/>
    <cellStyle name="Comma 3 5 4 2 2 2 6" xfId="10780" xr:uid="{00000000-0005-0000-0000-00008B870000}"/>
    <cellStyle name="Comma 3 5 4 2 2 2 6 2" xfId="34059" xr:uid="{00000000-0005-0000-0000-00008C870000}"/>
    <cellStyle name="Comma 3 5 4 2 2 2 7" xfId="13228" xr:uid="{00000000-0005-0000-0000-00008D870000}"/>
    <cellStyle name="Comma 3 5 4 2 2 2 7 2" xfId="36507" xr:uid="{00000000-0005-0000-0000-00008E870000}"/>
    <cellStyle name="Comma 3 5 4 2 2 2 8" xfId="15699" xr:uid="{00000000-0005-0000-0000-00008F870000}"/>
    <cellStyle name="Comma 3 5 4 2 2 2 8 2" xfId="38977" xr:uid="{00000000-0005-0000-0000-000090870000}"/>
    <cellStyle name="Comma 3 5 4 2 2 2 9" xfId="24267" xr:uid="{00000000-0005-0000-0000-000091870000}"/>
    <cellStyle name="Comma 3 5 4 2 2 3" xfId="1600" xr:uid="{00000000-0005-0000-0000-000092870000}"/>
    <cellStyle name="Comma 3 5 4 2 2 3 10" xfId="22431" xr:uid="{00000000-0005-0000-0000-000093870000}"/>
    <cellStyle name="Comma 3 5 4 2 2 3 2" xfId="4048" xr:uid="{00000000-0005-0000-0000-000094870000}"/>
    <cellStyle name="Comma 3 5 4 2 2 3 2 2" xfId="19983" xr:uid="{00000000-0005-0000-0000-000095870000}"/>
    <cellStyle name="Comma 3 5 4 2 2 3 2 2 2" xfId="43261" xr:uid="{00000000-0005-0000-0000-000096870000}"/>
    <cellStyle name="Comma 3 5 4 2 2 3 2 3" xfId="48157" xr:uid="{00000000-0005-0000-0000-000097870000}"/>
    <cellStyle name="Comma 3 5 4 2 2 3 2 4" xfId="27327" xr:uid="{00000000-0005-0000-0000-000098870000}"/>
    <cellStyle name="Comma 3 5 4 2 2 3 3" xfId="6496" xr:uid="{00000000-0005-0000-0000-000099870000}"/>
    <cellStyle name="Comma 3 5 4 2 2 3 3 2" xfId="29775" xr:uid="{00000000-0005-0000-0000-00009A870000}"/>
    <cellStyle name="Comma 3 5 4 2 2 3 4" xfId="8944" xr:uid="{00000000-0005-0000-0000-00009B870000}"/>
    <cellStyle name="Comma 3 5 4 2 2 3 4 2" xfId="32223" xr:uid="{00000000-0005-0000-0000-00009C870000}"/>
    <cellStyle name="Comma 3 5 4 2 2 3 5" xfId="11392" xr:uid="{00000000-0005-0000-0000-00009D870000}"/>
    <cellStyle name="Comma 3 5 4 2 2 3 5 2" xfId="34671" xr:uid="{00000000-0005-0000-0000-00009E870000}"/>
    <cellStyle name="Comma 3 5 4 2 2 3 6" xfId="13840" xr:uid="{00000000-0005-0000-0000-00009F870000}"/>
    <cellStyle name="Comma 3 5 4 2 2 3 6 2" xfId="37119" xr:uid="{00000000-0005-0000-0000-0000A0870000}"/>
    <cellStyle name="Comma 3 5 4 2 2 3 7" xfId="17535" xr:uid="{00000000-0005-0000-0000-0000A1870000}"/>
    <cellStyle name="Comma 3 5 4 2 2 3 7 2" xfId="40813" xr:uid="{00000000-0005-0000-0000-0000A2870000}"/>
    <cellStyle name="Comma 3 5 4 2 2 3 8" xfId="24879" xr:uid="{00000000-0005-0000-0000-0000A3870000}"/>
    <cellStyle name="Comma 3 5 4 2 2 3 9" xfId="45709" xr:uid="{00000000-0005-0000-0000-0000A4870000}"/>
    <cellStyle name="Comma 3 5 4 2 2 4" xfId="2824" xr:uid="{00000000-0005-0000-0000-0000A5870000}"/>
    <cellStyle name="Comma 3 5 4 2 2 4 2" xfId="16311" xr:uid="{00000000-0005-0000-0000-0000A6870000}"/>
    <cellStyle name="Comma 3 5 4 2 2 4 2 2" xfId="39589" xr:uid="{00000000-0005-0000-0000-0000A7870000}"/>
    <cellStyle name="Comma 3 5 4 2 2 4 3" xfId="46933" xr:uid="{00000000-0005-0000-0000-0000A8870000}"/>
    <cellStyle name="Comma 3 5 4 2 2 4 4" xfId="26103" xr:uid="{00000000-0005-0000-0000-0000A9870000}"/>
    <cellStyle name="Comma 3 5 4 2 2 5" xfId="5272" xr:uid="{00000000-0005-0000-0000-0000AA870000}"/>
    <cellStyle name="Comma 3 5 4 2 2 5 2" xfId="18759" xr:uid="{00000000-0005-0000-0000-0000AB870000}"/>
    <cellStyle name="Comma 3 5 4 2 2 5 2 2" xfId="42037" xr:uid="{00000000-0005-0000-0000-0000AC870000}"/>
    <cellStyle name="Comma 3 5 4 2 2 5 3" xfId="28551" xr:uid="{00000000-0005-0000-0000-0000AD870000}"/>
    <cellStyle name="Comma 3 5 4 2 2 6" xfId="7720" xr:uid="{00000000-0005-0000-0000-0000AE870000}"/>
    <cellStyle name="Comma 3 5 4 2 2 6 2" xfId="30999" xr:uid="{00000000-0005-0000-0000-0000AF870000}"/>
    <cellStyle name="Comma 3 5 4 2 2 7" xfId="10168" xr:uid="{00000000-0005-0000-0000-0000B0870000}"/>
    <cellStyle name="Comma 3 5 4 2 2 7 2" xfId="33447" xr:uid="{00000000-0005-0000-0000-0000B1870000}"/>
    <cellStyle name="Comma 3 5 4 2 2 8" xfId="12616" xr:uid="{00000000-0005-0000-0000-0000B2870000}"/>
    <cellStyle name="Comma 3 5 4 2 2 8 2" xfId="35895" xr:uid="{00000000-0005-0000-0000-0000B3870000}"/>
    <cellStyle name="Comma 3 5 4 2 2 9" xfId="15087" xr:uid="{00000000-0005-0000-0000-0000B4870000}"/>
    <cellStyle name="Comma 3 5 4 2 2 9 2" xfId="38365" xr:uid="{00000000-0005-0000-0000-0000B5870000}"/>
    <cellStyle name="Comma 3 5 4 2 3" xfId="580" xr:uid="{00000000-0005-0000-0000-0000B6870000}"/>
    <cellStyle name="Comma 3 5 4 2 3 10" xfId="23859" xr:uid="{00000000-0005-0000-0000-0000B7870000}"/>
    <cellStyle name="Comma 3 5 4 2 3 11" xfId="44689" xr:uid="{00000000-0005-0000-0000-0000B8870000}"/>
    <cellStyle name="Comma 3 5 4 2 3 12" xfId="21411" xr:uid="{00000000-0005-0000-0000-0000B9870000}"/>
    <cellStyle name="Comma 3 5 4 2 3 2" xfId="1192" xr:uid="{00000000-0005-0000-0000-0000BA870000}"/>
    <cellStyle name="Comma 3 5 4 2 3 2 10" xfId="45301" xr:uid="{00000000-0005-0000-0000-0000BB870000}"/>
    <cellStyle name="Comma 3 5 4 2 3 2 11" xfId="22023" xr:uid="{00000000-0005-0000-0000-0000BC870000}"/>
    <cellStyle name="Comma 3 5 4 2 3 2 2" xfId="2416" xr:uid="{00000000-0005-0000-0000-0000BD870000}"/>
    <cellStyle name="Comma 3 5 4 2 3 2 2 10" xfId="23247" xr:uid="{00000000-0005-0000-0000-0000BE870000}"/>
    <cellStyle name="Comma 3 5 4 2 3 2 2 2" xfId="4864" xr:uid="{00000000-0005-0000-0000-0000BF870000}"/>
    <cellStyle name="Comma 3 5 4 2 3 2 2 2 2" xfId="20799" xr:uid="{00000000-0005-0000-0000-0000C0870000}"/>
    <cellStyle name="Comma 3 5 4 2 3 2 2 2 2 2" xfId="44077" xr:uid="{00000000-0005-0000-0000-0000C1870000}"/>
    <cellStyle name="Comma 3 5 4 2 3 2 2 2 3" xfId="48973" xr:uid="{00000000-0005-0000-0000-0000C2870000}"/>
    <cellStyle name="Comma 3 5 4 2 3 2 2 2 4" xfId="28143" xr:uid="{00000000-0005-0000-0000-0000C3870000}"/>
    <cellStyle name="Comma 3 5 4 2 3 2 2 3" xfId="7312" xr:uid="{00000000-0005-0000-0000-0000C4870000}"/>
    <cellStyle name="Comma 3 5 4 2 3 2 2 3 2" xfId="30591" xr:uid="{00000000-0005-0000-0000-0000C5870000}"/>
    <cellStyle name="Comma 3 5 4 2 3 2 2 4" xfId="9760" xr:uid="{00000000-0005-0000-0000-0000C6870000}"/>
    <cellStyle name="Comma 3 5 4 2 3 2 2 4 2" xfId="33039" xr:uid="{00000000-0005-0000-0000-0000C7870000}"/>
    <cellStyle name="Comma 3 5 4 2 3 2 2 5" xfId="12208" xr:uid="{00000000-0005-0000-0000-0000C8870000}"/>
    <cellStyle name="Comma 3 5 4 2 3 2 2 5 2" xfId="35487" xr:uid="{00000000-0005-0000-0000-0000C9870000}"/>
    <cellStyle name="Comma 3 5 4 2 3 2 2 6" xfId="14656" xr:uid="{00000000-0005-0000-0000-0000CA870000}"/>
    <cellStyle name="Comma 3 5 4 2 3 2 2 6 2" xfId="37935" xr:uid="{00000000-0005-0000-0000-0000CB870000}"/>
    <cellStyle name="Comma 3 5 4 2 3 2 2 7" xfId="18351" xr:uid="{00000000-0005-0000-0000-0000CC870000}"/>
    <cellStyle name="Comma 3 5 4 2 3 2 2 7 2" xfId="41629" xr:uid="{00000000-0005-0000-0000-0000CD870000}"/>
    <cellStyle name="Comma 3 5 4 2 3 2 2 8" xfId="25695" xr:uid="{00000000-0005-0000-0000-0000CE870000}"/>
    <cellStyle name="Comma 3 5 4 2 3 2 2 9" xfId="46525" xr:uid="{00000000-0005-0000-0000-0000CF870000}"/>
    <cellStyle name="Comma 3 5 4 2 3 2 3" xfId="3640" xr:uid="{00000000-0005-0000-0000-0000D0870000}"/>
    <cellStyle name="Comma 3 5 4 2 3 2 3 2" xfId="17127" xr:uid="{00000000-0005-0000-0000-0000D1870000}"/>
    <cellStyle name="Comma 3 5 4 2 3 2 3 2 2" xfId="40405" xr:uid="{00000000-0005-0000-0000-0000D2870000}"/>
    <cellStyle name="Comma 3 5 4 2 3 2 3 3" xfId="47749" xr:uid="{00000000-0005-0000-0000-0000D3870000}"/>
    <cellStyle name="Comma 3 5 4 2 3 2 3 4" xfId="26919" xr:uid="{00000000-0005-0000-0000-0000D4870000}"/>
    <cellStyle name="Comma 3 5 4 2 3 2 4" xfId="6088" xr:uid="{00000000-0005-0000-0000-0000D5870000}"/>
    <cellStyle name="Comma 3 5 4 2 3 2 4 2" xfId="19575" xr:uid="{00000000-0005-0000-0000-0000D6870000}"/>
    <cellStyle name="Comma 3 5 4 2 3 2 4 2 2" xfId="42853" xr:uid="{00000000-0005-0000-0000-0000D7870000}"/>
    <cellStyle name="Comma 3 5 4 2 3 2 4 3" xfId="29367" xr:uid="{00000000-0005-0000-0000-0000D8870000}"/>
    <cellStyle name="Comma 3 5 4 2 3 2 5" xfId="8536" xr:uid="{00000000-0005-0000-0000-0000D9870000}"/>
    <cellStyle name="Comma 3 5 4 2 3 2 5 2" xfId="31815" xr:uid="{00000000-0005-0000-0000-0000DA870000}"/>
    <cellStyle name="Comma 3 5 4 2 3 2 6" xfId="10984" xr:uid="{00000000-0005-0000-0000-0000DB870000}"/>
    <cellStyle name="Comma 3 5 4 2 3 2 6 2" xfId="34263" xr:uid="{00000000-0005-0000-0000-0000DC870000}"/>
    <cellStyle name="Comma 3 5 4 2 3 2 7" xfId="13432" xr:uid="{00000000-0005-0000-0000-0000DD870000}"/>
    <cellStyle name="Comma 3 5 4 2 3 2 7 2" xfId="36711" xr:uid="{00000000-0005-0000-0000-0000DE870000}"/>
    <cellStyle name="Comma 3 5 4 2 3 2 8" xfId="15903" xr:uid="{00000000-0005-0000-0000-0000DF870000}"/>
    <cellStyle name="Comma 3 5 4 2 3 2 8 2" xfId="39181" xr:uid="{00000000-0005-0000-0000-0000E0870000}"/>
    <cellStyle name="Comma 3 5 4 2 3 2 9" xfId="24471" xr:uid="{00000000-0005-0000-0000-0000E1870000}"/>
    <cellStyle name="Comma 3 5 4 2 3 3" xfId="1804" xr:uid="{00000000-0005-0000-0000-0000E2870000}"/>
    <cellStyle name="Comma 3 5 4 2 3 3 10" xfId="22635" xr:uid="{00000000-0005-0000-0000-0000E3870000}"/>
    <cellStyle name="Comma 3 5 4 2 3 3 2" xfId="4252" xr:uid="{00000000-0005-0000-0000-0000E4870000}"/>
    <cellStyle name="Comma 3 5 4 2 3 3 2 2" xfId="20187" xr:uid="{00000000-0005-0000-0000-0000E5870000}"/>
    <cellStyle name="Comma 3 5 4 2 3 3 2 2 2" xfId="43465" xr:uid="{00000000-0005-0000-0000-0000E6870000}"/>
    <cellStyle name="Comma 3 5 4 2 3 3 2 3" xfId="48361" xr:uid="{00000000-0005-0000-0000-0000E7870000}"/>
    <cellStyle name="Comma 3 5 4 2 3 3 2 4" xfId="27531" xr:uid="{00000000-0005-0000-0000-0000E8870000}"/>
    <cellStyle name="Comma 3 5 4 2 3 3 3" xfId="6700" xr:uid="{00000000-0005-0000-0000-0000E9870000}"/>
    <cellStyle name="Comma 3 5 4 2 3 3 3 2" xfId="29979" xr:uid="{00000000-0005-0000-0000-0000EA870000}"/>
    <cellStyle name="Comma 3 5 4 2 3 3 4" xfId="9148" xr:uid="{00000000-0005-0000-0000-0000EB870000}"/>
    <cellStyle name="Comma 3 5 4 2 3 3 4 2" xfId="32427" xr:uid="{00000000-0005-0000-0000-0000EC870000}"/>
    <cellStyle name="Comma 3 5 4 2 3 3 5" xfId="11596" xr:uid="{00000000-0005-0000-0000-0000ED870000}"/>
    <cellStyle name="Comma 3 5 4 2 3 3 5 2" xfId="34875" xr:uid="{00000000-0005-0000-0000-0000EE870000}"/>
    <cellStyle name="Comma 3 5 4 2 3 3 6" xfId="14044" xr:uid="{00000000-0005-0000-0000-0000EF870000}"/>
    <cellStyle name="Comma 3 5 4 2 3 3 6 2" xfId="37323" xr:uid="{00000000-0005-0000-0000-0000F0870000}"/>
    <cellStyle name="Comma 3 5 4 2 3 3 7" xfId="17739" xr:uid="{00000000-0005-0000-0000-0000F1870000}"/>
    <cellStyle name="Comma 3 5 4 2 3 3 7 2" xfId="41017" xr:uid="{00000000-0005-0000-0000-0000F2870000}"/>
    <cellStyle name="Comma 3 5 4 2 3 3 8" xfId="25083" xr:uid="{00000000-0005-0000-0000-0000F3870000}"/>
    <cellStyle name="Comma 3 5 4 2 3 3 9" xfId="45913" xr:uid="{00000000-0005-0000-0000-0000F4870000}"/>
    <cellStyle name="Comma 3 5 4 2 3 4" xfId="3028" xr:uid="{00000000-0005-0000-0000-0000F5870000}"/>
    <cellStyle name="Comma 3 5 4 2 3 4 2" xfId="16515" xr:uid="{00000000-0005-0000-0000-0000F6870000}"/>
    <cellStyle name="Comma 3 5 4 2 3 4 2 2" xfId="39793" xr:uid="{00000000-0005-0000-0000-0000F7870000}"/>
    <cellStyle name="Comma 3 5 4 2 3 4 3" xfId="47137" xr:uid="{00000000-0005-0000-0000-0000F8870000}"/>
    <cellStyle name="Comma 3 5 4 2 3 4 4" xfId="26307" xr:uid="{00000000-0005-0000-0000-0000F9870000}"/>
    <cellStyle name="Comma 3 5 4 2 3 5" xfId="5476" xr:uid="{00000000-0005-0000-0000-0000FA870000}"/>
    <cellStyle name="Comma 3 5 4 2 3 5 2" xfId="18963" xr:uid="{00000000-0005-0000-0000-0000FB870000}"/>
    <cellStyle name="Comma 3 5 4 2 3 5 2 2" xfId="42241" xr:uid="{00000000-0005-0000-0000-0000FC870000}"/>
    <cellStyle name="Comma 3 5 4 2 3 5 3" xfId="28755" xr:uid="{00000000-0005-0000-0000-0000FD870000}"/>
    <cellStyle name="Comma 3 5 4 2 3 6" xfId="7924" xr:uid="{00000000-0005-0000-0000-0000FE870000}"/>
    <cellStyle name="Comma 3 5 4 2 3 6 2" xfId="31203" xr:uid="{00000000-0005-0000-0000-0000FF870000}"/>
    <cellStyle name="Comma 3 5 4 2 3 7" xfId="10372" xr:uid="{00000000-0005-0000-0000-000000880000}"/>
    <cellStyle name="Comma 3 5 4 2 3 7 2" xfId="33651" xr:uid="{00000000-0005-0000-0000-000001880000}"/>
    <cellStyle name="Comma 3 5 4 2 3 8" xfId="12820" xr:uid="{00000000-0005-0000-0000-000002880000}"/>
    <cellStyle name="Comma 3 5 4 2 3 8 2" xfId="36099" xr:uid="{00000000-0005-0000-0000-000003880000}"/>
    <cellStyle name="Comma 3 5 4 2 3 9" xfId="15291" xr:uid="{00000000-0005-0000-0000-000004880000}"/>
    <cellStyle name="Comma 3 5 4 2 3 9 2" xfId="38569" xr:uid="{00000000-0005-0000-0000-000005880000}"/>
    <cellStyle name="Comma 3 5 4 2 4" xfId="784" xr:uid="{00000000-0005-0000-0000-000006880000}"/>
    <cellStyle name="Comma 3 5 4 2 4 10" xfId="44893" xr:uid="{00000000-0005-0000-0000-000007880000}"/>
    <cellStyle name="Comma 3 5 4 2 4 11" xfId="21615" xr:uid="{00000000-0005-0000-0000-000008880000}"/>
    <cellStyle name="Comma 3 5 4 2 4 2" xfId="2008" xr:uid="{00000000-0005-0000-0000-000009880000}"/>
    <cellStyle name="Comma 3 5 4 2 4 2 10" xfId="22839" xr:uid="{00000000-0005-0000-0000-00000A880000}"/>
    <cellStyle name="Comma 3 5 4 2 4 2 2" xfId="4456" xr:uid="{00000000-0005-0000-0000-00000B880000}"/>
    <cellStyle name="Comma 3 5 4 2 4 2 2 2" xfId="20391" xr:uid="{00000000-0005-0000-0000-00000C880000}"/>
    <cellStyle name="Comma 3 5 4 2 4 2 2 2 2" xfId="43669" xr:uid="{00000000-0005-0000-0000-00000D880000}"/>
    <cellStyle name="Comma 3 5 4 2 4 2 2 3" xfId="48565" xr:uid="{00000000-0005-0000-0000-00000E880000}"/>
    <cellStyle name="Comma 3 5 4 2 4 2 2 4" xfId="27735" xr:uid="{00000000-0005-0000-0000-00000F880000}"/>
    <cellStyle name="Comma 3 5 4 2 4 2 3" xfId="6904" xr:uid="{00000000-0005-0000-0000-000010880000}"/>
    <cellStyle name="Comma 3 5 4 2 4 2 3 2" xfId="30183" xr:uid="{00000000-0005-0000-0000-000011880000}"/>
    <cellStyle name="Comma 3 5 4 2 4 2 4" xfId="9352" xr:uid="{00000000-0005-0000-0000-000012880000}"/>
    <cellStyle name="Comma 3 5 4 2 4 2 4 2" xfId="32631" xr:uid="{00000000-0005-0000-0000-000013880000}"/>
    <cellStyle name="Comma 3 5 4 2 4 2 5" xfId="11800" xr:uid="{00000000-0005-0000-0000-000014880000}"/>
    <cellStyle name="Comma 3 5 4 2 4 2 5 2" xfId="35079" xr:uid="{00000000-0005-0000-0000-000015880000}"/>
    <cellStyle name="Comma 3 5 4 2 4 2 6" xfId="14248" xr:uid="{00000000-0005-0000-0000-000016880000}"/>
    <cellStyle name="Comma 3 5 4 2 4 2 6 2" xfId="37527" xr:uid="{00000000-0005-0000-0000-000017880000}"/>
    <cellStyle name="Comma 3 5 4 2 4 2 7" xfId="17943" xr:uid="{00000000-0005-0000-0000-000018880000}"/>
    <cellStyle name="Comma 3 5 4 2 4 2 7 2" xfId="41221" xr:uid="{00000000-0005-0000-0000-000019880000}"/>
    <cellStyle name="Comma 3 5 4 2 4 2 8" xfId="25287" xr:uid="{00000000-0005-0000-0000-00001A880000}"/>
    <cellStyle name="Comma 3 5 4 2 4 2 9" xfId="46117" xr:uid="{00000000-0005-0000-0000-00001B880000}"/>
    <cellStyle name="Comma 3 5 4 2 4 3" xfId="3232" xr:uid="{00000000-0005-0000-0000-00001C880000}"/>
    <cellStyle name="Comma 3 5 4 2 4 3 2" xfId="16719" xr:uid="{00000000-0005-0000-0000-00001D880000}"/>
    <cellStyle name="Comma 3 5 4 2 4 3 2 2" xfId="39997" xr:uid="{00000000-0005-0000-0000-00001E880000}"/>
    <cellStyle name="Comma 3 5 4 2 4 3 3" xfId="47341" xr:uid="{00000000-0005-0000-0000-00001F880000}"/>
    <cellStyle name="Comma 3 5 4 2 4 3 4" xfId="26511" xr:uid="{00000000-0005-0000-0000-000020880000}"/>
    <cellStyle name="Comma 3 5 4 2 4 4" xfId="5680" xr:uid="{00000000-0005-0000-0000-000021880000}"/>
    <cellStyle name="Comma 3 5 4 2 4 4 2" xfId="19167" xr:uid="{00000000-0005-0000-0000-000022880000}"/>
    <cellStyle name="Comma 3 5 4 2 4 4 2 2" xfId="42445" xr:uid="{00000000-0005-0000-0000-000023880000}"/>
    <cellStyle name="Comma 3 5 4 2 4 4 3" xfId="28959" xr:uid="{00000000-0005-0000-0000-000024880000}"/>
    <cellStyle name="Comma 3 5 4 2 4 5" xfId="8128" xr:uid="{00000000-0005-0000-0000-000025880000}"/>
    <cellStyle name="Comma 3 5 4 2 4 5 2" xfId="31407" xr:uid="{00000000-0005-0000-0000-000026880000}"/>
    <cellStyle name="Comma 3 5 4 2 4 6" xfId="10576" xr:uid="{00000000-0005-0000-0000-000027880000}"/>
    <cellStyle name="Comma 3 5 4 2 4 6 2" xfId="33855" xr:uid="{00000000-0005-0000-0000-000028880000}"/>
    <cellStyle name="Comma 3 5 4 2 4 7" xfId="13024" xr:uid="{00000000-0005-0000-0000-000029880000}"/>
    <cellStyle name="Comma 3 5 4 2 4 7 2" xfId="36303" xr:uid="{00000000-0005-0000-0000-00002A880000}"/>
    <cellStyle name="Comma 3 5 4 2 4 8" xfId="15495" xr:uid="{00000000-0005-0000-0000-00002B880000}"/>
    <cellStyle name="Comma 3 5 4 2 4 8 2" xfId="38773" xr:uid="{00000000-0005-0000-0000-00002C880000}"/>
    <cellStyle name="Comma 3 5 4 2 4 9" xfId="24063" xr:uid="{00000000-0005-0000-0000-00002D880000}"/>
    <cellStyle name="Comma 3 5 4 2 5" xfId="1396" xr:uid="{00000000-0005-0000-0000-00002E880000}"/>
    <cellStyle name="Comma 3 5 4 2 5 10" xfId="22227" xr:uid="{00000000-0005-0000-0000-00002F880000}"/>
    <cellStyle name="Comma 3 5 4 2 5 2" xfId="3844" xr:uid="{00000000-0005-0000-0000-000030880000}"/>
    <cellStyle name="Comma 3 5 4 2 5 2 2" xfId="19779" xr:uid="{00000000-0005-0000-0000-000031880000}"/>
    <cellStyle name="Comma 3 5 4 2 5 2 2 2" xfId="43057" xr:uid="{00000000-0005-0000-0000-000032880000}"/>
    <cellStyle name="Comma 3 5 4 2 5 2 3" xfId="47953" xr:uid="{00000000-0005-0000-0000-000033880000}"/>
    <cellStyle name="Comma 3 5 4 2 5 2 4" xfId="27123" xr:uid="{00000000-0005-0000-0000-000034880000}"/>
    <cellStyle name="Comma 3 5 4 2 5 3" xfId="6292" xr:uid="{00000000-0005-0000-0000-000035880000}"/>
    <cellStyle name="Comma 3 5 4 2 5 3 2" xfId="29571" xr:uid="{00000000-0005-0000-0000-000036880000}"/>
    <cellStyle name="Comma 3 5 4 2 5 4" xfId="8740" xr:uid="{00000000-0005-0000-0000-000037880000}"/>
    <cellStyle name="Comma 3 5 4 2 5 4 2" xfId="32019" xr:uid="{00000000-0005-0000-0000-000038880000}"/>
    <cellStyle name="Comma 3 5 4 2 5 5" xfId="11188" xr:uid="{00000000-0005-0000-0000-000039880000}"/>
    <cellStyle name="Comma 3 5 4 2 5 5 2" xfId="34467" xr:uid="{00000000-0005-0000-0000-00003A880000}"/>
    <cellStyle name="Comma 3 5 4 2 5 6" xfId="13636" xr:uid="{00000000-0005-0000-0000-00003B880000}"/>
    <cellStyle name="Comma 3 5 4 2 5 6 2" xfId="36915" xr:uid="{00000000-0005-0000-0000-00003C880000}"/>
    <cellStyle name="Comma 3 5 4 2 5 7" xfId="17331" xr:uid="{00000000-0005-0000-0000-00003D880000}"/>
    <cellStyle name="Comma 3 5 4 2 5 7 2" xfId="40609" xr:uid="{00000000-0005-0000-0000-00003E880000}"/>
    <cellStyle name="Comma 3 5 4 2 5 8" xfId="24675" xr:uid="{00000000-0005-0000-0000-00003F880000}"/>
    <cellStyle name="Comma 3 5 4 2 5 9" xfId="45505" xr:uid="{00000000-0005-0000-0000-000040880000}"/>
    <cellStyle name="Comma 3 5 4 2 6" xfId="2620" xr:uid="{00000000-0005-0000-0000-000041880000}"/>
    <cellStyle name="Comma 3 5 4 2 6 2" xfId="16107" xr:uid="{00000000-0005-0000-0000-000042880000}"/>
    <cellStyle name="Comma 3 5 4 2 6 2 2" xfId="39385" xr:uid="{00000000-0005-0000-0000-000043880000}"/>
    <cellStyle name="Comma 3 5 4 2 6 3" xfId="46729" xr:uid="{00000000-0005-0000-0000-000044880000}"/>
    <cellStyle name="Comma 3 5 4 2 6 4" xfId="25899" xr:uid="{00000000-0005-0000-0000-000045880000}"/>
    <cellStyle name="Comma 3 5 4 2 7" xfId="5068" xr:uid="{00000000-0005-0000-0000-000046880000}"/>
    <cellStyle name="Comma 3 5 4 2 7 2" xfId="18555" xr:uid="{00000000-0005-0000-0000-000047880000}"/>
    <cellStyle name="Comma 3 5 4 2 7 2 2" xfId="41833" xr:uid="{00000000-0005-0000-0000-000048880000}"/>
    <cellStyle name="Comma 3 5 4 2 7 3" xfId="28347" xr:uid="{00000000-0005-0000-0000-000049880000}"/>
    <cellStyle name="Comma 3 5 4 2 8" xfId="7516" xr:uid="{00000000-0005-0000-0000-00004A880000}"/>
    <cellStyle name="Comma 3 5 4 2 8 2" xfId="30795" xr:uid="{00000000-0005-0000-0000-00004B880000}"/>
    <cellStyle name="Comma 3 5 4 2 9" xfId="9964" xr:uid="{00000000-0005-0000-0000-00004C880000}"/>
    <cellStyle name="Comma 3 5 4 2 9 2" xfId="33243" xr:uid="{00000000-0005-0000-0000-00004D880000}"/>
    <cellStyle name="Comma 3 5 4 3" xfId="240" xr:uid="{00000000-0005-0000-0000-00004E880000}"/>
    <cellStyle name="Comma 3 5 4 3 10" xfId="12480" xr:uid="{00000000-0005-0000-0000-00004F880000}"/>
    <cellStyle name="Comma 3 5 4 3 10 2" xfId="35759" xr:uid="{00000000-0005-0000-0000-000050880000}"/>
    <cellStyle name="Comma 3 5 4 3 11" xfId="14951" xr:uid="{00000000-0005-0000-0000-000051880000}"/>
    <cellStyle name="Comma 3 5 4 3 11 2" xfId="38229" xr:uid="{00000000-0005-0000-0000-000052880000}"/>
    <cellStyle name="Comma 3 5 4 3 12" xfId="23519" xr:uid="{00000000-0005-0000-0000-000053880000}"/>
    <cellStyle name="Comma 3 5 4 3 13" xfId="44349" xr:uid="{00000000-0005-0000-0000-000054880000}"/>
    <cellStyle name="Comma 3 5 4 3 14" xfId="21071" xr:uid="{00000000-0005-0000-0000-000055880000}"/>
    <cellStyle name="Comma 3 5 4 3 2" xfId="444" xr:uid="{00000000-0005-0000-0000-000056880000}"/>
    <cellStyle name="Comma 3 5 4 3 2 10" xfId="23723" xr:uid="{00000000-0005-0000-0000-000057880000}"/>
    <cellStyle name="Comma 3 5 4 3 2 11" xfId="44553" xr:uid="{00000000-0005-0000-0000-000058880000}"/>
    <cellStyle name="Comma 3 5 4 3 2 12" xfId="21275" xr:uid="{00000000-0005-0000-0000-000059880000}"/>
    <cellStyle name="Comma 3 5 4 3 2 2" xfId="1056" xr:uid="{00000000-0005-0000-0000-00005A880000}"/>
    <cellStyle name="Comma 3 5 4 3 2 2 10" xfId="45165" xr:uid="{00000000-0005-0000-0000-00005B880000}"/>
    <cellStyle name="Comma 3 5 4 3 2 2 11" xfId="21887" xr:uid="{00000000-0005-0000-0000-00005C880000}"/>
    <cellStyle name="Comma 3 5 4 3 2 2 2" xfId="2280" xr:uid="{00000000-0005-0000-0000-00005D880000}"/>
    <cellStyle name="Comma 3 5 4 3 2 2 2 10" xfId="23111" xr:uid="{00000000-0005-0000-0000-00005E880000}"/>
    <cellStyle name="Comma 3 5 4 3 2 2 2 2" xfId="4728" xr:uid="{00000000-0005-0000-0000-00005F880000}"/>
    <cellStyle name="Comma 3 5 4 3 2 2 2 2 2" xfId="20663" xr:uid="{00000000-0005-0000-0000-000060880000}"/>
    <cellStyle name="Comma 3 5 4 3 2 2 2 2 2 2" xfId="43941" xr:uid="{00000000-0005-0000-0000-000061880000}"/>
    <cellStyle name="Comma 3 5 4 3 2 2 2 2 3" xfId="48837" xr:uid="{00000000-0005-0000-0000-000062880000}"/>
    <cellStyle name="Comma 3 5 4 3 2 2 2 2 4" xfId="28007" xr:uid="{00000000-0005-0000-0000-000063880000}"/>
    <cellStyle name="Comma 3 5 4 3 2 2 2 3" xfId="7176" xr:uid="{00000000-0005-0000-0000-000064880000}"/>
    <cellStyle name="Comma 3 5 4 3 2 2 2 3 2" xfId="30455" xr:uid="{00000000-0005-0000-0000-000065880000}"/>
    <cellStyle name="Comma 3 5 4 3 2 2 2 4" xfId="9624" xr:uid="{00000000-0005-0000-0000-000066880000}"/>
    <cellStyle name="Comma 3 5 4 3 2 2 2 4 2" xfId="32903" xr:uid="{00000000-0005-0000-0000-000067880000}"/>
    <cellStyle name="Comma 3 5 4 3 2 2 2 5" xfId="12072" xr:uid="{00000000-0005-0000-0000-000068880000}"/>
    <cellStyle name="Comma 3 5 4 3 2 2 2 5 2" xfId="35351" xr:uid="{00000000-0005-0000-0000-000069880000}"/>
    <cellStyle name="Comma 3 5 4 3 2 2 2 6" xfId="14520" xr:uid="{00000000-0005-0000-0000-00006A880000}"/>
    <cellStyle name="Comma 3 5 4 3 2 2 2 6 2" xfId="37799" xr:uid="{00000000-0005-0000-0000-00006B880000}"/>
    <cellStyle name="Comma 3 5 4 3 2 2 2 7" xfId="18215" xr:uid="{00000000-0005-0000-0000-00006C880000}"/>
    <cellStyle name="Comma 3 5 4 3 2 2 2 7 2" xfId="41493" xr:uid="{00000000-0005-0000-0000-00006D880000}"/>
    <cellStyle name="Comma 3 5 4 3 2 2 2 8" xfId="25559" xr:uid="{00000000-0005-0000-0000-00006E880000}"/>
    <cellStyle name="Comma 3 5 4 3 2 2 2 9" xfId="46389" xr:uid="{00000000-0005-0000-0000-00006F880000}"/>
    <cellStyle name="Comma 3 5 4 3 2 2 3" xfId="3504" xr:uid="{00000000-0005-0000-0000-000070880000}"/>
    <cellStyle name="Comma 3 5 4 3 2 2 3 2" xfId="16991" xr:uid="{00000000-0005-0000-0000-000071880000}"/>
    <cellStyle name="Comma 3 5 4 3 2 2 3 2 2" xfId="40269" xr:uid="{00000000-0005-0000-0000-000072880000}"/>
    <cellStyle name="Comma 3 5 4 3 2 2 3 3" xfId="47613" xr:uid="{00000000-0005-0000-0000-000073880000}"/>
    <cellStyle name="Comma 3 5 4 3 2 2 3 4" xfId="26783" xr:uid="{00000000-0005-0000-0000-000074880000}"/>
    <cellStyle name="Comma 3 5 4 3 2 2 4" xfId="5952" xr:uid="{00000000-0005-0000-0000-000075880000}"/>
    <cellStyle name="Comma 3 5 4 3 2 2 4 2" xfId="19439" xr:uid="{00000000-0005-0000-0000-000076880000}"/>
    <cellStyle name="Comma 3 5 4 3 2 2 4 2 2" xfId="42717" xr:uid="{00000000-0005-0000-0000-000077880000}"/>
    <cellStyle name="Comma 3 5 4 3 2 2 4 3" xfId="29231" xr:uid="{00000000-0005-0000-0000-000078880000}"/>
    <cellStyle name="Comma 3 5 4 3 2 2 5" xfId="8400" xr:uid="{00000000-0005-0000-0000-000079880000}"/>
    <cellStyle name="Comma 3 5 4 3 2 2 5 2" xfId="31679" xr:uid="{00000000-0005-0000-0000-00007A880000}"/>
    <cellStyle name="Comma 3 5 4 3 2 2 6" xfId="10848" xr:uid="{00000000-0005-0000-0000-00007B880000}"/>
    <cellStyle name="Comma 3 5 4 3 2 2 6 2" xfId="34127" xr:uid="{00000000-0005-0000-0000-00007C880000}"/>
    <cellStyle name="Comma 3 5 4 3 2 2 7" xfId="13296" xr:uid="{00000000-0005-0000-0000-00007D880000}"/>
    <cellStyle name="Comma 3 5 4 3 2 2 7 2" xfId="36575" xr:uid="{00000000-0005-0000-0000-00007E880000}"/>
    <cellStyle name="Comma 3 5 4 3 2 2 8" xfId="15767" xr:uid="{00000000-0005-0000-0000-00007F880000}"/>
    <cellStyle name="Comma 3 5 4 3 2 2 8 2" xfId="39045" xr:uid="{00000000-0005-0000-0000-000080880000}"/>
    <cellStyle name="Comma 3 5 4 3 2 2 9" xfId="24335" xr:uid="{00000000-0005-0000-0000-000081880000}"/>
    <cellStyle name="Comma 3 5 4 3 2 3" xfId="1668" xr:uid="{00000000-0005-0000-0000-000082880000}"/>
    <cellStyle name="Comma 3 5 4 3 2 3 10" xfId="22499" xr:uid="{00000000-0005-0000-0000-000083880000}"/>
    <cellStyle name="Comma 3 5 4 3 2 3 2" xfId="4116" xr:uid="{00000000-0005-0000-0000-000084880000}"/>
    <cellStyle name="Comma 3 5 4 3 2 3 2 2" xfId="20051" xr:uid="{00000000-0005-0000-0000-000085880000}"/>
    <cellStyle name="Comma 3 5 4 3 2 3 2 2 2" xfId="43329" xr:uid="{00000000-0005-0000-0000-000086880000}"/>
    <cellStyle name="Comma 3 5 4 3 2 3 2 3" xfId="48225" xr:uid="{00000000-0005-0000-0000-000087880000}"/>
    <cellStyle name="Comma 3 5 4 3 2 3 2 4" xfId="27395" xr:uid="{00000000-0005-0000-0000-000088880000}"/>
    <cellStyle name="Comma 3 5 4 3 2 3 3" xfId="6564" xr:uid="{00000000-0005-0000-0000-000089880000}"/>
    <cellStyle name="Comma 3 5 4 3 2 3 3 2" xfId="29843" xr:uid="{00000000-0005-0000-0000-00008A880000}"/>
    <cellStyle name="Comma 3 5 4 3 2 3 4" xfId="9012" xr:uid="{00000000-0005-0000-0000-00008B880000}"/>
    <cellStyle name="Comma 3 5 4 3 2 3 4 2" xfId="32291" xr:uid="{00000000-0005-0000-0000-00008C880000}"/>
    <cellStyle name="Comma 3 5 4 3 2 3 5" xfId="11460" xr:uid="{00000000-0005-0000-0000-00008D880000}"/>
    <cellStyle name="Comma 3 5 4 3 2 3 5 2" xfId="34739" xr:uid="{00000000-0005-0000-0000-00008E880000}"/>
    <cellStyle name="Comma 3 5 4 3 2 3 6" xfId="13908" xr:uid="{00000000-0005-0000-0000-00008F880000}"/>
    <cellStyle name="Comma 3 5 4 3 2 3 6 2" xfId="37187" xr:uid="{00000000-0005-0000-0000-000090880000}"/>
    <cellStyle name="Comma 3 5 4 3 2 3 7" xfId="17603" xr:uid="{00000000-0005-0000-0000-000091880000}"/>
    <cellStyle name="Comma 3 5 4 3 2 3 7 2" xfId="40881" xr:uid="{00000000-0005-0000-0000-000092880000}"/>
    <cellStyle name="Comma 3 5 4 3 2 3 8" xfId="24947" xr:uid="{00000000-0005-0000-0000-000093880000}"/>
    <cellStyle name="Comma 3 5 4 3 2 3 9" xfId="45777" xr:uid="{00000000-0005-0000-0000-000094880000}"/>
    <cellStyle name="Comma 3 5 4 3 2 4" xfId="2892" xr:uid="{00000000-0005-0000-0000-000095880000}"/>
    <cellStyle name="Comma 3 5 4 3 2 4 2" xfId="16379" xr:uid="{00000000-0005-0000-0000-000096880000}"/>
    <cellStyle name="Comma 3 5 4 3 2 4 2 2" xfId="39657" xr:uid="{00000000-0005-0000-0000-000097880000}"/>
    <cellStyle name="Comma 3 5 4 3 2 4 3" xfId="47001" xr:uid="{00000000-0005-0000-0000-000098880000}"/>
    <cellStyle name="Comma 3 5 4 3 2 4 4" xfId="26171" xr:uid="{00000000-0005-0000-0000-000099880000}"/>
    <cellStyle name="Comma 3 5 4 3 2 5" xfId="5340" xr:uid="{00000000-0005-0000-0000-00009A880000}"/>
    <cellStyle name="Comma 3 5 4 3 2 5 2" xfId="18827" xr:uid="{00000000-0005-0000-0000-00009B880000}"/>
    <cellStyle name="Comma 3 5 4 3 2 5 2 2" xfId="42105" xr:uid="{00000000-0005-0000-0000-00009C880000}"/>
    <cellStyle name="Comma 3 5 4 3 2 5 3" xfId="28619" xr:uid="{00000000-0005-0000-0000-00009D880000}"/>
    <cellStyle name="Comma 3 5 4 3 2 6" xfId="7788" xr:uid="{00000000-0005-0000-0000-00009E880000}"/>
    <cellStyle name="Comma 3 5 4 3 2 6 2" xfId="31067" xr:uid="{00000000-0005-0000-0000-00009F880000}"/>
    <cellStyle name="Comma 3 5 4 3 2 7" xfId="10236" xr:uid="{00000000-0005-0000-0000-0000A0880000}"/>
    <cellStyle name="Comma 3 5 4 3 2 7 2" xfId="33515" xr:uid="{00000000-0005-0000-0000-0000A1880000}"/>
    <cellStyle name="Comma 3 5 4 3 2 8" xfId="12684" xr:uid="{00000000-0005-0000-0000-0000A2880000}"/>
    <cellStyle name="Comma 3 5 4 3 2 8 2" xfId="35963" xr:uid="{00000000-0005-0000-0000-0000A3880000}"/>
    <cellStyle name="Comma 3 5 4 3 2 9" xfId="15155" xr:uid="{00000000-0005-0000-0000-0000A4880000}"/>
    <cellStyle name="Comma 3 5 4 3 2 9 2" xfId="38433" xr:uid="{00000000-0005-0000-0000-0000A5880000}"/>
    <cellStyle name="Comma 3 5 4 3 3" xfId="648" xr:uid="{00000000-0005-0000-0000-0000A6880000}"/>
    <cellStyle name="Comma 3 5 4 3 3 10" xfId="23927" xr:uid="{00000000-0005-0000-0000-0000A7880000}"/>
    <cellStyle name="Comma 3 5 4 3 3 11" xfId="44757" xr:uid="{00000000-0005-0000-0000-0000A8880000}"/>
    <cellStyle name="Comma 3 5 4 3 3 12" xfId="21479" xr:uid="{00000000-0005-0000-0000-0000A9880000}"/>
    <cellStyle name="Comma 3 5 4 3 3 2" xfId="1260" xr:uid="{00000000-0005-0000-0000-0000AA880000}"/>
    <cellStyle name="Comma 3 5 4 3 3 2 10" xfId="45369" xr:uid="{00000000-0005-0000-0000-0000AB880000}"/>
    <cellStyle name="Comma 3 5 4 3 3 2 11" xfId="22091" xr:uid="{00000000-0005-0000-0000-0000AC880000}"/>
    <cellStyle name="Comma 3 5 4 3 3 2 2" xfId="2484" xr:uid="{00000000-0005-0000-0000-0000AD880000}"/>
    <cellStyle name="Comma 3 5 4 3 3 2 2 10" xfId="23315" xr:uid="{00000000-0005-0000-0000-0000AE880000}"/>
    <cellStyle name="Comma 3 5 4 3 3 2 2 2" xfId="4932" xr:uid="{00000000-0005-0000-0000-0000AF880000}"/>
    <cellStyle name="Comma 3 5 4 3 3 2 2 2 2" xfId="20867" xr:uid="{00000000-0005-0000-0000-0000B0880000}"/>
    <cellStyle name="Comma 3 5 4 3 3 2 2 2 2 2" xfId="44145" xr:uid="{00000000-0005-0000-0000-0000B1880000}"/>
    <cellStyle name="Comma 3 5 4 3 3 2 2 2 3" xfId="49041" xr:uid="{00000000-0005-0000-0000-0000B2880000}"/>
    <cellStyle name="Comma 3 5 4 3 3 2 2 2 4" xfId="28211" xr:uid="{00000000-0005-0000-0000-0000B3880000}"/>
    <cellStyle name="Comma 3 5 4 3 3 2 2 3" xfId="7380" xr:uid="{00000000-0005-0000-0000-0000B4880000}"/>
    <cellStyle name="Comma 3 5 4 3 3 2 2 3 2" xfId="30659" xr:uid="{00000000-0005-0000-0000-0000B5880000}"/>
    <cellStyle name="Comma 3 5 4 3 3 2 2 4" xfId="9828" xr:uid="{00000000-0005-0000-0000-0000B6880000}"/>
    <cellStyle name="Comma 3 5 4 3 3 2 2 4 2" xfId="33107" xr:uid="{00000000-0005-0000-0000-0000B7880000}"/>
    <cellStyle name="Comma 3 5 4 3 3 2 2 5" xfId="12276" xr:uid="{00000000-0005-0000-0000-0000B8880000}"/>
    <cellStyle name="Comma 3 5 4 3 3 2 2 5 2" xfId="35555" xr:uid="{00000000-0005-0000-0000-0000B9880000}"/>
    <cellStyle name="Comma 3 5 4 3 3 2 2 6" xfId="14724" xr:uid="{00000000-0005-0000-0000-0000BA880000}"/>
    <cellStyle name="Comma 3 5 4 3 3 2 2 6 2" xfId="38003" xr:uid="{00000000-0005-0000-0000-0000BB880000}"/>
    <cellStyle name="Comma 3 5 4 3 3 2 2 7" xfId="18419" xr:uid="{00000000-0005-0000-0000-0000BC880000}"/>
    <cellStyle name="Comma 3 5 4 3 3 2 2 7 2" xfId="41697" xr:uid="{00000000-0005-0000-0000-0000BD880000}"/>
    <cellStyle name="Comma 3 5 4 3 3 2 2 8" xfId="25763" xr:uid="{00000000-0005-0000-0000-0000BE880000}"/>
    <cellStyle name="Comma 3 5 4 3 3 2 2 9" xfId="46593" xr:uid="{00000000-0005-0000-0000-0000BF880000}"/>
    <cellStyle name="Comma 3 5 4 3 3 2 3" xfId="3708" xr:uid="{00000000-0005-0000-0000-0000C0880000}"/>
    <cellStyle name="Comma 3 5 4 3 3 2 3 2" xfId="17195" xr:uid="{00000000-0005-0000-0000-0000C1880000}"/>
    <cellStyle name="Comma 3 5 4 3 3 2 3 2 2" xfId="40473" xr:uid="{00000000-0005-0000-0000-0000C2880000}"/>
    <cellStyle name="Comma 3 5 4 3 3 2 3 3" xfId="47817" xr:uid="{00000000-0005-0000-0000-0000C3880000}"/>
    <cellStyle name="Comma 3 5 4 3 3 2 3 4" xfId="26987" xr:uid="{00000000-0005-0000-0000-0000C4880000}"/>
    <cellStyle name="Comma 3 5 4 3 3 2 4" xfId="6156" xr:uid="{00000000-0005-0000-0000-0000C5880000}"/>
    <cellStyle name="Comma 3 5 4 3 3 2 4 2" xfId="19643" xr:uid="{00000000-0005-0000-0000-0000C6880000}"/>
    <cellStyle name="Comma 3 5 4 3 3 2 4 2 2" xfId="42921" xr:uid="{00000000-0005-0000-0000-0000C7880000}"/>
    <cellStyle name="Comma 3 5 4 3 3 2 4 3" xfId="29435" xr:uid="{00000000-0005-0000-0000-0000C8880000}"/>
    <cellStyle name="Comma 3 5 4 3 3 2 5" xfId="8604" xr:uid="{00000000-0005-0000-0000-0000C9880000}"/>
    <cellStyle name="Comma 3 5 4 3 3 2 5 2" xfId="31883" xr:uid="{00000000-0005-0000-0000-0000CA880000}"/>
    <cellStyle name="Comma 3 5 4 3 3 2 6" xfId="11052" xr:uid="{00000000-0005-0000-0000-0000CB880000}"/>
    <cellStyle name="Comma 3 5 4 3 3 2 6 2" xfId="34331" xr:uid="{00000000-0005-0000-0000-0000CC880000}"/>
    <cellStyle name="Comma 3 5 4 3 3 2 7" xfId="13500" xr:uid="{00000000-0005-0000-0000-0000CD880000}"/>
    <cellStyle name="Comma 3 5 4 3 3 2 7 2" xfId="36779" xr:uid="{00000000-0005-0000-0000-0000CE880000}"/>
    <cellStyle name="Comma 3 5 4 3 3 2 8" xfId="15971" xr:uid="{00000000-0005-0000-0000-0000CF880000}"/>
    <cellStyle name="Comma 3 5 4 3 3 2 8 2" xfId="39249" xr:uid="{00000000-0005-0000-0000-0000D0880000}"/>
    <cellStyle name="Comma 3 5 4 3 3 2 9" xfId="24539" xr:uid="{00000000-0005-0000-0000-0000D1880000}"/>
    <cellStyle name="Comma 3 5 4 3 3 3" xfId="1872" xr:uid="{00000000-0005-0000-0000-0000D2880000}"/>
    <cellStyle name="Comma 3 5 4 3 3 3 10" xfId="22703" xr:uid="{00000000-0005-0000-0000-0000D3880000}"/>
    <cellStyle name="Comma 3 5 4 3 3 3 2" xfId="4320" xr:uid="{00000000-0005-0000-0000-0000D4880000}"/>
    <cellStyle name="Comma 3 5 4 3 3 3 2 2" xfId="20255" xr:uid="{00000000-0005-0000-0000-0000D5880000}"/>
    <cellStyle name="Comma 3 5 4 3 3 3 2 2 2" xfId="43533" xr:uid="{00000000-0005-0000-0000-0000D6880000}"/>
    <cellStyle name="Comma 3 5 4 3 3 3 2 3" xfId="48429" xr:uid="{00000000-0005-0000-0000-0000D7880000}"/>
    <cellStyle name="Comma 3 5 4 3 3 3 2 4" xfId="27599" xr:uid="{00000000-0005-0000-0000-0000D8880000}"/>
    <cellStyle name="Comma 3 5 4 3 3 3 3" xfId="6768" xr:uid="{00000000-0005-0000-0000-0000D9880000}"/>
    <cellStyle name="Comma 3 5 4 3 3 3 3 2" xfId="30047" xr:uid="{00000000-0005-0000-0000-0000DA880000}"/>
    <cellStyle name="Comma 3 5 4 3 3 3 4" xfId="9216" xr:uid="{00000000-0005-0000-0000-0000DB880000}"/>
    <cellStyle name="Comma 3 5 4 3 3 3 4 2" xfId="32495" xr:uid="{00000000-0005-0000-0000-0000DC880000}"/>
    <cellStyle name="Comma 3 5 4 3 3 3 5" xfId="11664" xr:uid="{00000000-0005-0000-0000-0000DD880000}"/>
    <cellStyle name="Comma 3 5 4 3 3 3 5 2" xfId="34943" xr:uid="{00000000-0005-0000-0000-0000DE880000}"/>
    <cellStyle name="Comma 3 5 4 3 3 3 6" xfId="14112" xr:uid="{00000000-0005-0000-0000-0000DF880000}"/>
    <cellStyle name="Comma 3 5 4 3 3 3 6 2" xfId="37391" xr:uid="{00000000-0005-0000-0000-0000E0880000}"/>
    <cellStyle name="Comma 3 5 4 3 3 3 7" xfId="17807" xr:uid="{00000000-0005-0000-0000-0000E1880000}"/>
    <cellStyle name="Comma 3 5 4 3 3 3 7 2" xfId="41085" xr:uid="{00000000-0005-0000-0000-0000E2880000}"/>
    <cellStyle name="Comma 3 5 4 3 3 3 8" xfId="25151" xr:uid="{00000000-0005-0000-0000-0000E3880000}"/>
    <cellStyle name="Comma 3 5 4 3 3 3 9" xfId="45981" xr:uid="{00000000-0005-0000-0000-0000E4880000}"/>
    <cellStyle name="Comma 3 5 4 3 3 4" xfId="3096" xr:uid="{00000000-0005-0000-0000-0000E5880000}"/>
    <cellStyle name="Comma 3 5 4 3 3 4 2" xfId="16583" xr:uid="{00000000-0005-0000-0000-0000E6880000}"/>
    <cellStyle name="Comma 3 5 4 3 3 4 2 2" xfId="39861" xr:uid="{00000000-0005-0000-0000-0000E7880000}"/>
    <cellStyle name="Comma 3 5 4 3 3 4 3" xfId="47205" xr:uid="{00000000-0005-0000-0000-0000E8880000}"/>
    <cellStyle name="Comma 3 5 4 3 3 4 4" xfId="26375" xr:uid="{00000000-0005-0000-0000-0000E9880000}"/>
    <cellStyle name="Comma 3 5 4 3 3 5" xfId="5544" xr:uid="{00000000-0005-0000-0000-0000EA880000}"/>
    <cellStyle name="Comma 3 5 4 3 3 5 2" xfId="19031" xr:uid="{00000000-0005-0000-0000-0000EB880000}"/>
    <cellStyle name="Comma 3 5 4 3 3 5 2 2" xfId="42309" xr:uid="{00000000-0005-0000-0000-0000EC880000}"/>
    <cellStyle name="Comma 3 5 4 3 3 5 3" xfId="28823" xr:uid="{00000000-0005-0000-0000-0000ED880000}"/>
    <cellStyle name="Comma 3 5 4 3 3 6" xfId="7992" xr:uid="{00000000-0005-0000-0000-0000EE880000}"/>
    <cellStyle name="Comma 3 5 4 3 3 6 2" xfId="31271" xr:uid="{00000000-0005-0000-0000-0000EF880000}"/>
    <cellStyle name="Comma 3 5 4 3 3 7" xfId="10440" xr:uid="{00000000-0005-0000-0000-0000F0880000}"/>
    <cellStyle name="Comma 3 5 4 3 3 7 2" xfId="33719" xr:uid="{00000000-0005-0000-0000-0000F1880000}"/>
    <cellStyle name="Comma 3 5 4 3 3 8" xfId="12888" xr:uid="{00000000-0005-0000-0000-0000F2880000}"/>
    <cellStyle name="Comma 3 5 4 3 3 8 2" xfId="36167" xr:uid="{00000000-0005-0000-0000-0000F3880000}"/>
    <cellStyle name="Comma 3 5 4 3 3 9" xfId="15359" xr:uid="{00000000-0005-0000-0000-0000F4880000}"/>
    <cellStyle name="Comma 3 5 4 3 3 9 2" xfId="38637" xr:uid="{00000000-0005-0000-0000-0000F5880000}"/>
    <cellStyle name="Comma 3 5 4 3 4" xfId="852" xr:uid="{00000000-0005-0000-0000-0000F6880000}"/>
    <cellStyle name="Comma 3 5 4 3 4 10" xfId="44961" xr:uid="{00000000-0005-0000-0000-0000F7880000}"/>
    <cellStyle name="Comma 3 5 4 3 4 11" xfId="21683" xr:uid="{00000000-0005-0000-0000-0000F8880000}"/>
    <cellStyle name="Comma 3 5 4 3 4 2" xfId="2076" xr:uid="{00000000-0005-0000-0000-0000F9880000}"/>
    <cellStyle name="Comma 3 5 4 3 4 2 10" xfId="22907" xr:uid="{00000000-0005-0000-0000-0000FA880000}"/>
    <cellStyle name="Comma 3 5 4 3 4 2 2" xfId="4524" xr:uid="{00000000-0005-0000-0000-0000FB880000}"/>
    <cellStyle name="Comma 3 5 4 3 4 2 2 2" xfId="20459" xr:uid="{00000000-0005-0000-0000-0000FC880000}"/>
    <cellStyle name="Comma 3 5 4 3 4 2 2 2 2" xfId="43737" xr:uid="{00000000-0005-0000-0000-0000FD880000}"/>
    <cellStyle name="Comma 3 5 4 3 4 2 2 3" xfId="48633" xr:uid="{00000000-0005-0000-0000-0000FE880000}"/>
    <cellStyle name="Comma 3 5 4 3 4 2 2 4" xfId="27803" xr:uid="{00000000-0005-0000-0000-0000FF880000}"/>
    <cellStyle name="Comma 3 5 4 3 4 2 3" xfId="6972" xr:uid="{00000000-0005-0000-0000-000000890000}"/>
    <cellStyle name="Comma 3 5 4 3 4 2 3 2" xfId="30251" xr:uid="{00000000-0005-0000-0000-000001890000}"/>
    <cellStyle name="Comma 3 5 4 3 4 2 4" xfId="9420" xr:uid="{00000000-0005-0000-0000-000002890000}"/>
    <cellStyle name="Comma 3 5 4 3 4 2 4 2" xfId="32699" xr:uid="{00000000-0005-0000-0000-000003890000}"/>
    <cellStyle name="Comma 3 5 4 3 4 2 5" xfId="11868" xr:uid="{00000000-0005-0000-0000-000004890000}"/>
    <cellStyle name="Comma 3 5 4 3 4 2 5 2" xfId="35147" xr:uid="{00000000-0005-0000-0000-000005890000}"/>
    <cellStyle name="Comma 3 5 4 3 4 2 6" xfId="14316" xr:uid="{00000000-0005-0000-0000-000006890000}"/>
    <cellStyle name="Comma 3 5 4 3 4 2 6 2" xfId="37595" xr:uid="{00000000-0005-0000-0000-000007890000}"/>
    <cellStyle name="Comma 3 5 4 3 4 2 7" xfId="18011" xr:uid="{00000000-0005-0000-0000-000008890000}"/>
    <cellStyle name="Comma 3 5 4 3 4 2 7 2" xfId="41289" xr:uid="{00000000-0005-0000-0000-000009890000}"/>
    <cellStyle name="Comma 3 5 4 3 4 2 8" xfId="25355" xr:uid="{00000000-0005-0000-0000-00000A890000}"/>
    <cellStyle name="Comma 3 5 4 3 4 2 9" xfId="46185" xr:uid="{00000000-0005-0000-0000-00000B890000}"/>
    <cellStyle name="Comma 3 5 4 3 4 3" xfId="3300" xr:uid="{00000000-0005-0000-0000-00000C890000}"/>
    <cellStyle name="Comma 3 5 4 3 4 3 2" xfId="16787" xr:uid="{00000000-0005-0000-0000-00000D890000}"/>
    <cellStyle name="Comma 3 5 4 3 4 3 2 2" xfId="40065" xr:uid="{00000000-0005-0000-0000-00000E890000}"/>
    <cellStyle name="Comma 3 5 4 3 4 3 3" xfId="47409" xr:uid="{00000000-0005-0000-0000-00000F890000}"/>
    <cellStyle name="Comma 3 5 4 3 4 3 4" xfId="26579" xr:uid="{00000000-0005-0000-0000-000010890000}"/>
    <cellStyle name="Comma 3 5 4 3 4 4" xfId="5748" xr:uid="{00000000-0005-0000-0000-000011890000}"/>
    <cellStyle name="Comma 3 5 4 3 4 4 2" xfId="19235" xr:uid="{00000000-0005-0000-0000-000012890000}"/>
    <cellStyle name="Comma 3 5 4 3 4 4 2 2" xfId="42513" xr:uid="{00000000-0005-0000-0000-000013890000}"/>
    <cellStyle name="Comma 3 5 4 3 4 4 3" xfId="29027" xr:uid="{00000000-0005-0000-0000-000014890000}"/>
    <cellStyle name="Comma 3 5 4 3 4 5" xfId="8196" xr:uid="{00000000-0005-0000-0000-000015890000}"/>
    <cellStyle name="Comma 3 5 4 3 4 5 2" xfId="31475" xr:uid="{00000000-0005-0000-0000-000016890000}"/>
    <cellStyle name="Comma 3 5 4 3 4 6" xfId="10644" xr:uid="{00000000-0005-0000-0000-000017890000}"/>
    <cellStyle name="Comma 3 5 4 3 4 6 2" xfId="33923" xr:uid="{00000000-0005-0000-0000-000018890000}"/>
    <cellStyle name="Comma 3 5 4 3 4 7" xfId="13092" xr:uid="{00000000-0005-0000-0000-000019890000}"/>
    <cellStyle name="Comma 3 5 4 3 4 7 2" xfId="36371" xr:uid="{00000000-0005-0000-0000-00001A890000}"/>
    <cellStyle name="Comma 3 5 4 3 4 8" xfId="15563" xr:uid="{00000000-0005-0000-0000-00001B890000}"/>
    <cellStyle name="Comma 3 5 4 3 4 8 2" xfId="38841" xr:uid="{00000000-0005-0000-0000-00001C890000}"/>
    <cellStyle name="Comma 3 5 4 3 4 9" xfId="24131" xr:uid="{00000000-0005-0000-0000-00001D890000}"/>
    <cellStyle name="Comma 3 5 4 3 5" xfId="1464" xr:uid="{00000000-0005-0000-0000-00001E890000}"/>
    <cellStyle name="Comma 3 5 4 3 5 10" xfId="22295" xr:uid="{00000000-0005-0000-0000-00001F890000}"/>
    <cellStyle name="Comma 3 5 4 3 5 2" xfId="3912" xr:uid="{00000000-0005-0000-0000-000020890000}"/>
    <cellStyle name="Comma 3 5 4 3 5 2 2" xfId="19847" xr:uid="{00000000-0005-0000-0000-000021890000}"/>
    <cellStyle name="Comma 3 5 4 3 5 2 2 2" xfId="43125" xr:uid="{00000000-0005-0000-0000-000022890000}"/>
    <cellStyle name="Comma 3 5 4 3 5 2 3" xfId="48021" xr:uid="{00000000-0005-0000-0000-000023890000}"/>
    <cellStyle name="Comma 3 5 4 3 5 2 4" xfId="27191" xr:uid="{00000000-0005-0000-0000-000024890000}"/>
    <cellStyle name="Comma 3 5 4 3 5 3" xfId="6360" xr:uid="{00000000-0005-0000-0000-000025890000}"/>
    <cellStyle name="Comma 3 5 4 3 5 3 2" xfId="29639" xr:uid="{00000000-0005-0000-0000-000026890000}"/>
    <cellStyle name="Comma 3 5 4 3 5 4" xfId="8808" xr:uid="{00000000-0005-0000-0000-000027890000}"/>
    <cellStyle name="Comma 3 5 4 3 5 4 2" xfId="32087" xr:uid="{00000000-0005-0000-0000-000028890000}"/>
    <cellStyle name="Comma 3 5 4 3 5 5" xfId="11256" xr:uid="{00000000-0005-0000-0000-000029890000}"/>
    <cellStyle name="Comma 3 5 4 3 5 5 2" xfId="34535" xr:uid="{00000000-0005-0000-0000-00002A890000}"/>
    <cellStyle name="Comma 3 5 4 3 5 6" xfId="13704" xr:uid="{00000000-0005-0000-0000-00002B890000}"/>
    <cellStyle name="Comma 3 5 4 3 5 6 2" xfId="36983" xr:uid="{00000000-0005-0000-0000-00002C890000}"/>
    <cellStyle name="Comma 3 5 4 3 5 7" xfId="17399" xr:uid="{00000000-0005-0000-0000-00002D890000}"/>
    <cellStyle name="Comma 3 5 4 3 5 7 2" xfId="40677" xr:uid="{00000000-0005-0000-0000-00002E890000}"/>
    <cellStyle name="Comma 3 5 4 3 5 8" xfId="24743" xr:uid="{00000000-0005-0000-0000-00002F890000}"/>
    <cellStyle name="Comma 3 5 4 3 5 9" xfId="45573" xr:uid="{00000000-0005-0000-0000-000030890000}"/>
    <cellStyle name="Comma 3 5 4 3 6" xfId="2688" xr:uid="{00000000-0005-0000-0000-000031890000}"/>
    <cellStyle name="Comma 3 5 4 3 6 2" xfId="16175" xr:uid="{00000000-0005-0000-0000-000032890000}"/>
    <cellStyle name="Comma 3 5 4 3 6 2 2" xfId="39453" xr:uid="{00000000-0005-0000-0000-000033890000}"/>
    <cellStyle name="Comma 3 5 4 3 6 3" xfId="46797" xr:uid="{00000000-0005-0000-0000-000034890000}"/>
    <cellStyle name="Comma 3 5 4 3 6 4" xfId="25967" xr:uid="{00000000-0005-0000-0000-000035890000}"/>
    <cellStyle name="Comma 3 5 4 3 7" xfId="5136" xr:uid="{00000000-0005-0000-0000-000036890000}"/>
    <cellStyle name="Comma 3 5 4 3 7 2" xfId="18623" xr:uid="{00000000-0005-0000-0000-000037890000}"/>
    <cellStyle name="Comma 3 5 4 3 7 2 2" xfId="41901" xr:uid="{00000000-0005-0000-0000-000038890000}"/>
    <cellStyle name="Comma 3 5 4 3 7 3" xfId="28415" xr:uid="{00000000-0005-0000-0000-000039890000}"/>
    <cellStyle name="Comma 3 5 4 3 8" xfId="7584" xr:uid="{00000000-0005-0000-0000-00003A890000}"/>
    <cellStyle name="Comma 3 5 4 3 8 2" xfId="30863" xr:uid="{00000000-0005-0000-0000-00003B890000}"/>
    <cellStyle name="Comma 3 5 4 3 9" xfId="10032" xr:uid="{00000000-0005-0000-0000-00003C890000}"/>
    <cellStyle name="Comma 3 5 4 3 9 2" xfId="33311" xr:uid="{00000000-0005-0000-0000-00003D890000}"/>
    <cellStyle name="Comma 3 5 4 4" xfId="308" xr:uid="{00000000-0005-0000-0000-00003E890000}"/>
    <cellStyle name="Comma 3 5 4 4 10" xfId="23587" xr:uid="{00000000-0005-0000-0000-00003F890000}"/>
    <cellStyle name="Comma 3 5 4 4 11" xfId="44417" xr:uid="{00000000-0005-0000-0000-000040890000}"/>
    <cellStyle name="Comma 3 5 4 4 12" xfId="21139" xr:uid="{00000000-0005-0000-0000-000041890000}"/>
    <cellStyle name="Comma 3 5 4 4 2" xfId="920" xr:uid="{00000000-0005-0000-0000-000042890000}"/>
    <cellStyle name="Comma 3 5 4 4 2 10" xfId="45029" xr:uid="{00000000-0005-0000-0000-000043890000}"/>
    <cellStyle name="Comma 3 5 4 4 2 11" xfId="21751" xr:uid="{00000000-0005-0000-0000-000044890000}"/>
    <cellStyle name="Comma 3 5 4 4 2 2" xfId="2144" xr:uid="{00000000-0005-0000-0000-000045890000}"/>
    <cellStyle name="Comma 3 5 4 4 2 2 10" xfId="22975" xr:uid="{00000000-0005-0000-0000-000046890000}"/>
    <cellStyle name="Comma 3 5 4 4 2 2 2" xfId="4592" xr:uid="{00000000-0005-0000-0000-000047890000}"/>
    <cellStyle name="Comma 3 5 4 4 2 2 2 2" xfId="20527" xr:uid="{00000000-0005-0000-0000-000048890000}"/>
    <cellStyle name="Comma 3 5 4 4 2 2 2 2 2" xfId="43805" xr:uid="{00000000-0005-0000-0000-000049890000}"/>
    <cellStyle name="Comma 3 5 4 4 2 2 2 3" xfId="48701" xr:uid="{00000000-0005-0000-0000-00004A890000}"/>
    <cellStyle name="Comma 3 5 4 4 2 2 2 4" xfId="27871" xr:uid="{00000000-0005-0000-0000-00004B890000}"/>
    <cellStyle name="Comma 3 5 4 4 2 2 3" xfId="7040" xr:uid="{00000000-0005-0000-0000-00004C890000}"/>
    <cellStyle name="Comma 3 5 4 4 2 2 3 2" xfId="30319" xr:uid="{00000000-0005-0000-0000-00004D890000}"/>
    <cellStyle name="Comma 3 5 4 4 2 2 4" xfId="9488" xr:uid="{00000000-0005-0000-0000-00004E890000}"/>
    <cellStyle name="Comma 3 5 4 4 2 2 4 2" xfId="32767" xr:uid="{00000000-0005-0000-0000-00004F890000}"/>
    <cellStyle name="Comma 3 5 4 4 2 2 5" xfId="11936" xr:uid="{00000000-0005-0000-0000-000050890000}"/>
    <cellStyle name="Comma 3 5 4 4 2 2 5 2" xfId="35215" xr:uid="{00000000-0005-0000-0000-000051890000}"/>
    <cellStyle name="Comma 3 5 4 4 2 2 6" xfId="14384" xr:uid="{00000000-0005-0000-0000-000052890000}"/>
    <cellStyle name="Comma 3 5 4 4 2 2 6 2" xfId="37663" xr:uid="{00000000-0005-0000-0000-000053890000}"/>
    <cellStyle name="Comma 3 5 4 4 2 2 7" xfId="18079" xr:uid="{00000000-0005-0000-0000-000054890000}"/>
    <cellStyle name="Comma 3 5 4 4 2 2 7 2" xfId="41357" xr:uid="{00000000-0005-0000-0000-000055890000}"/>
    <cellStyle name="Comma 3 5 4 4 2 2 8" xfId="25423" xr:uid="{00000000-0005-0000-0000-000056890000}"/>
    <cellStyle name="Comma 3 5 4 4 2 2 9" xfId="46253" xr:uid="{00000000-0005-0000-0000-000057890000}"/>
    <cellStyle name="Comma 3 5 4 4 2 3" xfId="3368" xr:uid="{00000000-0005-0000-0000-000058890000}"/>
    <cellStyle name="Comma 3 5 4 4 2 3 2" xfId="16855" xr:uid="{00000000-0005-0000-0000-000059890000}"/>
    <cellStyle name="Comma 3 5 4 4 2 3 2 2" xfId="40133" xr:uid="{00000000-0005-0000-0000-00005A890000}"/>
    <cellStyle name="Comma 3 5 4 4 2 3 3" xfId="47477" xr:uid="{00000000-0005-0000-0000-00005B890000}"/>
    <cellStyle name="Comma 3 5 4 4 2 3 4" xfId="26647" xr:uid="{00000000-0005-0000-0000-00005C890000}"/>
    <cellStyle name="Comma 3 5 4 4 2 4" xfId="5816" xr:uid="{00000000-0005-0000-0000-00005D890000}"/>
    <cellStyle name="Comma 3 5 4 4 2 4 2" xfId="19303" xr:uid="{00000000-0005-0000-0000-00005E890000}"/>
    <cellStyle name="Comma 3 5 4 4 2 4 2 2" xfId="42581" xr:uid="{00000000-0005-0000-0000-00005F890000}"/>
    <cellStyle name="Comma 3 5 4 4 2 4 3" xfId="29095" xr:uid="{00000000-0005-0000-0000-000060890000}"/>
    <cellStyle name="Comma 3 5 4 4 2 5" xfId="8264" xr:uid="{00000000-0005-0000-0000-000061890000}"/>
    <cellStyle name="Comma 3 5 4 4 2 5 2" xfId="31543" xr:uid="{00000000-0005-0000-0000-000062890000}"/>
    <cellStyle name="Comma 3 5 4 4 2 6" xfId="10712" xr:uid="{00000000-0005-0000-0000-000063890000}"/>
    <cellStyle name="Comma 3 5 4 4 2 6 2" xfId="33991" xr:uid="{00000000-0005-0000-0000-000064890000}"/>
    <cellStyle name="Comma 3 5 4 4 2 7" xfId="13160" xr:uid="{00000000-0005-0000-0000-000065890000}"/>
    <cellStyle name="Comma 3 5 4 4 2 7 2" xfId="36439" xr:uid="{00000000-0005-0000-0000-000066890000}"/>
    <cellStyle name="Comma 3 5 4 4 2 8" xfId="15631" xr:uid="{00000000-0005-0000-0000-000067890000}"/>
    <cellStyle name="Comma 3 5 4 4 2 8 2" xfId="38909" xr:uid="{00000000-0005-0000-0000-000068890000}"/>
    <cellStyle name="Comma 3 5 4 4 2 9" xfId="24199" xr:uid="{00000000-0005-0000-0000-000069890000}"/>
    <cellStyle name="Comma 3 5 4 4 3" xfId="1532" xr:uid="{00000000-0005-0000-0000-00006A890000}"/>
    <cellStyle name="Comma 3 5 4 4 3 10" xfId="22363" xr:uid="{00000000-0005-0000-0000-00006B890000}"/>
    <cellStyle name="Comma 3 5 4 4 3 2" xfId="3980" xr:uid="{00000000-0005-0000-0000-00006C890000}"/>
    <cellStyle name="Comma 3 5 4 4 3 2 2" xfId="19915" xr:uid="{00000000-0005-0000-0000-00006D890000}"/>
    <cellStyle name="Comma 3 5 4 4 3 2 2 2" xfId="43193" xr:uid="{00000000-0005-0000-0000-00006E890000}"/>
    <cellStyle name="Comma 3 5 4 4 3 2 3" xfId="48089" xr:uid="{00000000-0005-0000-0000-00006F890000}"/>
    <cellStyle name="Comma 3 5 4 4 3 2 4" xfId="27259" xr:uid="{00000000-0005-0000-0000-000070890000}"/>
    <cellStyle name="Comma 3 5 4 4 3 3" xfId="6428" xr:uid="{00000000-0005-0000-0000-000071890000}"/>
    <cellStyle name="Comma 3 5 4 4 3 3 2" xfId="29707" xr:uid="{00000000-0005-0000-0000-000072890000}"/>
    <cellStyle name="Comma 3 5 4 4 3 4" xfId="8876" xr:uid="{00000000-0005-0000-0000-000073890000}"/>
    <cellStyle name="Comma 3 5 4 4 3 4 2" xfId="32155" xr:uid="{00000000-0005-0000-0000-000074890000}"/>
    <cellStyle name="Comma 3 5 4 4 3 5" xfId="11324" xr:uid="{00000000-0005-0000-0000-000075890000}"/>
    <cellStyle name="Comma 3 5 4 4 3 5 2" xfId="34603" xr:uid="{00000000-0005-0000-0000-000076890000}"/>
    <cellStyle name="Comma 3 5 4 4 3 6" xfId="13772" xr:uid="{00000000-0005-0000-0000-000077890000}"/>
    <cellStyle name="Comma 3 5 4 4 3 6 2" xfId="37051" xr:uid="{00000000-0005-0000-0000-000078890000}"/>
    <cellStyle name="Comma 3 5 4 4 3 7" xfId="17467" xr:uid="{00000000-0005-0000-0000-000079890000}"/>
    <cellStyle name="Comma 3 5 4 4 3 7 2" xfId="40745" xr:uid="{00000000-0005-0000-0000-00007A890000}"/>
    <cellStyle name="Comma 3 5 4 4 3 8" xfId="24811" xr:uid="{00000000-0005-0000-0000-00007B890000}"/>
    <cellStyle name="Comma 3 5 4 4 3 9" xfId="45641" xr:uid="{00000000-0005-0000-0000-00007C890000}"/>
    <cellStyle name="Comma 3 5 4 4 4" xfId="2756" xr:uid="{00000000-0005-0000-0000-00007D890000}"/>
    <cellStyle name="Comma 3 5 4 4 4 2" xfId="16243" xr:uid="{00000000-0005-0000-0000-00007E890000}"/>
    <cellStyle name="Comma 3 5 4 4 4 2 2" xfId="39521" xr:uid="{00000000-0005-0000-0000-00007F890000}"/>
    <cellStyle name="Comma 3 5 4 4 4 3" xfId="46865" xr:uid="{00000000-0005-0000-0000-000080890000}"/>
    <cellStyle name="Comma 3 5 4 4 4 4" xfId="26035" xr:uid="{00000000-0005-0000-0000-000081890000}"/>
    <cellStyle name="Comma 3 5 4 4 5" xfId="5204" xr:uid="{00000000-0005-0000-0000-000082890000}"/>
    <cellStyle name="Comma 3 5 4 4 5 2" xfId="18691" xr:uid="{00000000-0005-0000-0000-000083890000}"/>
    <cellStyle name="Comma 3 5 4 4 5 2 2" xfId="41969" xr:uid="{00000000-0005-0000-0000-000084890000}"/>
    <cellStyle name="Comma 3 5 4 4 5 3" xfId="28483" xr:uid="{00000000-0005-0000-0000-000085890000}"/>
    <cellStyle name="Comma 3 5 4 4 6" xfId="7652" xr:uid="{00000000-0005-0000-0000-000086890000}"/>
    <cellStyle name="Comma 3 5 4 4 6 2" xfId="30931" xr:uid="{00000000-0005-0000-0000-000087890000}"/>
    <cellStyle name="Comma 3 5 4 4 7" xfId="10100" xr:uid="{00000000-0005-0000-0000-000088890000}"/>
    <cellStyle name="Comma 3 5 4 4 7 2" xfId="33379" xr:uid="{00000000-0005-0000-0000-000089890000}"/>
    <cellStyle name="Comma 3 5 4 4 8" xfId="12548" xr:uid="{00000000-0005-0000-0000-00008A890000}"/>
    <cellStyle name="Comma 3 5 4 4 8 2" xfId="35827" xr:uid="{00000000-0005-0000-0000-00008B890000}"/>
    <cellStyle name="Comma 3 5 4 4 9" xfId="15019" xr:uid="{00000000-0005-0000-0000-00008C890000}"/>
    <cellStyle name="Comma 3 5 4 4 9 2" xfId="38297" xr:uid="{00000000-0005-0000-0000-00008D890000}"/>
    <cellStyle name="Comma 3 5 4 5" xfId="512" xr:uid="{00000000-0005-0000-0000-00008E890000}"/>
    <cellStyle name="Comma 3 5 4 5 10" xfId="23791" xr:uid="{00000000-0005-0000-0000-00008F890000}"/>
    <cellStyle name="Comma 3 5 4 5 11" xfId="44621" xr:uid="{00000000-0005-0000-0000-000090890000}"/>
    <cellStyle name="Comma 3 5 4 5 12" xfId="21343" xr:uid="{00000000-0005-0000-0000-000091890000}"/>
    <cellStyle name="Comma 3 5 4 5 2" xfId="1124" xr:uid="{00000000-0005-0000-0000-000092890000}"/>
    <cellStyle name="Comma 3 5 4 5 2 10" xfId="45233" xr:uid="{00000000-0005-0000-0000-000093890000}"/>
    <cellStyle name="Comma 3 5 4 5 2 11" xfId="21955" xr:uid="{00000000-0005-0000-0000-000094890000}"/>
    <cellStyle name="Comma 3 5 4 5 2 2" xfId="2348" xr:uid="{00000000-0005-0000-0000-000095890000}"/>
    <cellStyle name="Comma 3 5 4 5 2 2 10" xfId="23179" xr:uid="{00000000-0005-0000-0000-000096890000}"/>
    <cellStyle name="Comma 3 5 4 5 2 2 2" xfId="4796" xr:uid="{00000000-0005-0000-0000-000097890000}"/>
    <cellStyle name="Comma 3 5 4 5 2 2 2 2" xfId="20731" xr:uid="{00000000-0005-0000-0000-000098890000}"/>
    <cellStyle name="Comma 3 5 4 5 2 2 2 2 2" xfId="44009" xr:uid="{00000000-0005-0000-0000-000099890000}"/>
    <cellStyle name="Comma 3 5 4 5 2 2 2 3" xfId="48905" xr:uid="{00000000-0005-0000-0000-00009A890000}"/>
    <cellStyle name="Comma 3 5 4 5 2 2 2 4" xfId="28075" xr:uid="{00000000-0005-0000-0000-00009B890000}"/>
    <cellStyle name="Comma 3 5 4 5 2 2 3" xfId="7244" xr:uid="{00000000-0005-0000-0000-00009C890000}"/>
    <cellStyle name="Comma 3 5 4 5 2 2 3 2" xfId="30523" xr:uid="{00000000-0005-0000-0000-00009D890000}"/>
    <cellStyle name="Comma 3 5 4 5 2 2 4" xfId="9692" xr:uid="{00000000-0005-0000-0000-00009E890000}"/>
    <cellStyle name="Comma 3 5 4 5 2 2 4 2" xfId="32971" xr:uid="{00000000-0005-0000-0000-00009F890000}"/>
    <cellStyle name="Comma 3 5 4 5 2 2 5" xfId="12140" xr:uid="{00000000-0005-0000-0000-0000A0890000}"/>
    <cellStyle name="Comma 3 5 4 5 2 2 5 2" xfId="35419" xr:uid="{00000000-0005-0000-0000-0000A1890000}"/>
    <cellStyle name="Comma 3 5 4 5 2 2 6" xfId="14588" xr:uid="{00000000-0005-0000-0000-0000A2890000}"/>
    <cellStyle name="Comma 3 5 4 5 2 2 6 2" xfId="37867" xr:uid="{00000000-0005-0000-0000-0000A3890000}"/>
    <cellStyle name="Comma 3 5 4 5 2 2 7" xfId="18283" xr:uid="{00000000-0005-0000-0000-0000A4890000}"/>
    <cellStyle name="Comma 3 5 4 5 2 2 7 2" xfId="41561" xr:uid="{00000000-0005-0000-0000-0000A5890000}"/>
    <cellStyle name="Comma 3 5 4 5 2 2 8" xfId="25627" xr:uid="{00000000-0005-0000-0000-0000A6890000}"/>
    <cellStyle name="Comma 3 5 4 5 2 2 9" xfId="46457" xr:uid="{00000000-0005-0000-0000-0000A7890000}"/>
    <cellStyle name="Comma 3 5 4 5 2 3" xfId="3572" xr:uid="{00000000-0005-0000-0000-0000A8890000}"/>
    <cellStyle name="Comma 3 5 4 5 2 3 2" xfId="17059" xr:uid="{00000000-0005-0000-0000-0000A9890000}"/>
    <cellStyle name="Comma 3 5 4 5 2 3 2 2" xfId="40337" xr:uid="{00000000-0005-0000-0000-0000AA890000}"/>
    <cellStyle name="Comma 3 5 4 5 2 3 3" xfId="47681" xr:uid="{00000000-0005-0000-0000-0000AB890000}"/>
    <cellStyle name="Comma 3 5 4 5 2 3 4" xfId="26851" xr:uid="{00000000-0005-0000-0000-0000AC890000}"/>
    <cellStyle name="Comma 3 5 4 5 2 4" xfId="6020" xr:uid="{00000000-0005-0000-0000-0000AD890000}"/>
    <cellStyle name="Comma 3 5 4 5 2 4 2" xfId="19507" xr:uid="{00000000-0005-0000-0000-0000AE890000}"/>
    <cellStyle name="Comma 3 5 4 5 2 4 2 2" xfId="42785" xr:uid="{00000000-0005-0000-0000-0000AF890000}"/>
    <cellStyle name="Comma 3 5 4 5 2 4 3" xfId="29299" xr:uid="{00000000-0005-0000-0000-0000B0890000}"/>
    <cellStyle name="Comma 3 5 4 5 2 5" xfId="8468" xr:uid="{00000000-0005-0000-0000-0000B1890000}"/>
    <cellStyle name="Comma 3 5 4 5 2 5 2" xfId="31747" xr:uid="{00000000-0005-0000-0000-0000B2890000}"/>
    <cellStyle name="Comma 3 5 4 5 2 6" xfId="10916" xr:uid="{00000000-0005-0000-0000-0000B3890000}"/>
    <cellStyle name="Comma 3 5 4 5 2 6 2" xfId="34195" xr:uid="{00000000-0005-0000-0000-0000B4890000}"/>
    <cellStyle name="Comma 3 5 4 5 2 7" xfId="13364" xr:uid="{00000000-0005-0000-0000-0000B5890000}"/>
    <cellStyle name="Comma 3 5 4 5 2 7 2" xfId="36643" xr:uid="{00000000-0005-0000-0000-0000B6890000}"/>
    <cellStyle name="Comma 3 5 4 5 2 8" xfId="15835" xr:uid="{00000000-0005-0000-0000-0000B7890000}"/>
    <cellStyle name="Comma 3 5 4 5 2 8 2" xfId="39113" xr:uid="{00000000-0005-0000-0000-0000B8890000}"/>
    <cellStyle name="Comma 3 5 4 5 2 9" xfId="24403" xr:uid="{00000000-0005-0000-0000-0000B9890000}"/>
    <cellStyle name="Comma 3 5 4 5 3" xfId="1736" xr:uid="{00000000-0005-0000-0000-0000BA890000}"/>
    <cellStyle name="Comma 3 5 4 5 3 10" xfId="22567" xr:uid="{00000000-0005-0000-0000-0000BB890000}"/>
    <cellStyle name="Comma 3 5 4 5 3 2" xfId="4184" xr:uid="{00000000-0005-0000-0000-0000BC890000}"/>
    <cellStyle name="Comma 3 5 4 5 3 2 2" xfId="20119" xr:uid="{00000000-0005-0000-0000-0000BD890000}"/>
    <cellStyle name="Comma 3 5 4 5 3 2 2 2" xfId="43397" xr:uid="{00000000-0005-0000-0000-0000BE890000}"/>
    <cellStyle name="Comma 3 5 4 5 3 2 3" xfId="48293" xr:uid="{00000000-0005-0000-0000-0000BF890000}"/>
    <cellStyle name="Comma 3 5 4 5 3 2 4" xfId="27463" xr:uid="{00000000-0005-0000-0000-0000C0890000}"/>
    <cellStyle name="Comma 3 5 4 5 3 3" xfId="6632" xr:uid="{00000000-0005-0000-0000-0000C1890000}"/>
    <cellStyle name="Comma 3 5 4 5 3 3 2" xfId="29911" xr:uid="{00000000-0005-0000-0000-0000C2890000}"/>
    <cellStyle name="Comma 3 5 4 5 3 4" xfId="9080" xr:uid="{00000000-0005-0000-0000-0000C3890000}"/>
    <cellStyle name="Comma 3 5 4 5 3 4 2" xfId="32359" xr:uid="{00000000-0005-0000-0000-0000C4890000}"/>
    <cellStyle name="Comma 3 5 4 5 3 5" xfId="11528" xr:uid="{00000000-0005-0000-0000-0000C5890000}"/>
    <cellStyle name="Comma 3 5 4 5 3 5 2" xfId="34807" xr:uid="{00000000-0005-0000-0000-0000C6890000}"/>
    <cellStyle name="Comma 3 5 4 5 3 6" xfId="13976" xr:uid="{00000000-0005-0000-0000-0000C7890000}"/>
    <cellStyle name="Comma 3 5 4 5 3 6 2" xfId="37255" xr:uid="{00000000-0005-0000-0000-0000C8890000}"/>
    <cellStyle name="Comma 3 5 4 5 3 7" xfId="17671" xr:uid="{00000000-0005-0000-0000-0000C9890000}"/>
    <cellStyle name="Comma 3 5 4 5 3 7 2" xfId="40949" xr:uid="{00000000-0005-0000-0000-0000CA890000}"/>
    <cellStyle name="Comma 3 5 4 5 3 8" xfId="25015" xr:uid="{00000000-0005-0000-0000-0000CB890000}"/>
    <cellStyle name="Comma 3 5 4 5 3 9" xfId="45845" xr:uid="{00000000-0005-0000-0000-0000CC890000}"/>
    <cellStyle name="Comma 3 5 4 5 4" xfId="2960" xr:uid="{00000000-0005-0000-0000-0000CD890000}"/>
    <cellStyle name="Comma 3 5 4 5 4 2" xfId="16447" xr:uid="{00000000-0005-0000-0000-0000CE890000}"/>
    <cellStyle name="Comma 3 5 4 5 4 2 2" xfId="39725" xr:uid="{00000000-0005-0000-0000-0000CF890000}"/>
    <cellStyle name="Comma 3 5 4 5 4 3" xfId="47069" xr:uid="{00000000-0005-0000-0000-0000D0890000}"/>
    <cellStyle name="Comma 3 5 4 5 4 4" xfId="26239" xr:uid="{00000000-0005-0000-0000-0000D1890000}"/>
    <cellStyle name="Comma 3 5 4 5 5" xfId="5408" xr:uid="{00000000-0005-0000-0000-0000D2890000}"/>
    <cellStyle name="Comma 3 5 4 5 5 2" xfId="18895" xr:uid="{00000000-0005-0000-0000-0000D3890000}"/>
    <cellStyle name="Comma 3 5 4 5 5 2 2" xfId="42173" xr:uid="{00000000-0005-0000-0000-0000D4890000}"/>
    <cellStyle name="Comma 3 5 4 5 5 3" xfId="28687" xr:uid="{00000000-0005-0000-0000-0000D5890000}"/>
    <cellStyle name="Comma 3 5 4 5 6" xfId="7856" xr:uid="{00000000-0005-0000-0000-0000D6890000}"/>
    <cellStyle name="Comma 3 5 4 5 6 2" xfId="31135" xr:uid="{00000000-0005-0000-0000-0000D7890000}"/>
    <cellStyle name="Comma 3 5 4 5 7" xfId="10304" xr:uid="{00000000-0005-0000-0000-0000D8890000}"/>
    <cellStyle name="Comma 3 5 4 5 7 2" xfId="33583" xr:uid="{00000000-0005-0000-0000-0000D9890000}"/>
    <cellStyle name="Comma 3 5 4 5 8" xfId="12752" xr:uid="{00000000-0005-0000-0000-0000DA890000}"/>
    <cellStyle name="Comma 3 5 4 5 8 2" xfId="36031" xr:uid="{00000000-0005-0000-0000-0000DB890000}"/>
    <cellStyle name="Comma 3 5 4 5 9" xfId="15223" xr:uid="{00000000-0005-0000-0000-0000DC890000}"/>
    <cellStyle name="Comma 3 5 4 5 9 2" xfId="38501" xr:uid="{00000000-0005-0000-0000-0000DD890000}"/>
    <cellStyle name="Comma 3 5 4 6" xfId="716" xr:uid="{00000000-0005-0000-0000-0000DE890000}"/>
    <cellStyle name="Comma 3 5 4 6 10" xfId="44825" xr:uid="{00000000-0005-0000-0000-0000DF890000}"/>
    <cellStyle name="Comma 3 5 4 6 11" xfId="21547" xr:uid="{00000000-0005-0000-0000-0000E0890000}"/>
    <cellStyle name="Comma 3 5 4 6 2" xfId="1940" xr:uid="{00000000-0005-0000-0000-0000E1890000}"/>
    <cellStyle name="Comma 3 5 4 6 2 10" xfId="22771" xr:uid="{00000000-0005-0000-0000-0000E2890000}"/>
    <cellStyle name="Comma 3 5 4 6 2 2" xfId="4388" xr:uid="{00000000-0005-0000-0000-0000E3890000}"/>
    <cellStyle name="Comma 3 5 4 6 2 2 2" xfId="20323" xr:uid="{00000000-0005-0000-0000-0000E4890000}"/>
    <cellStyle name="Comma 3 5 4 6 2 2 2 2" xfId="43601" xr:uid="{00000000-0005-0000-0000-0000E5890000}"/>
    <cellStyle name="Comma 3 5 4 6 2 2 3" xfId="48497" xr:uid="{00000000-0005-0000-0000-0000E6890000}"/>
    <cellStyle name="Comma 3 5 4 6 2 2 4" xfId="27667" xr:uid="{00000000-0005-0000-0000-0000E7890000}"/>
    <cellStyle name="Comma 3 5 4 6 2 3" xfId="6836" xr:uid="{00000000-0005-0000-0000-0000E8890000}"/>
    <cellStyle name="Comma 3 5 4 6 2 3 2" xfId="30115" xr:uid="{00000000-0005-0000-0000-0000E9890000}"/>
    <cellStyle name="Comma 3 5 4 6 2 4" xfId="9284" xr:uid="{00000000-0005-0000-0000-0000EA890000}"/>
    <cellStyle name="Comma 3 5 4 6 2 4 2" xfId="32563" xr:uid="{00000000-0005-0000-0000-0000EB890000}"/>
    <cellStyle name="Comma 3 5 4 6 2 5" xfId="11732" xr:uid="{00000000-0005-0000-0000-0000EC890000}"/>
    <cellStyle name="Comma 3 5 4 6 2 5 2" xfId="35011" xr:uid="{00000000-0005-0000-0000-0000ED890000}"/>
    <cellStyle name="Comma 3 5 4 6 2 6" xfId="14180" xr:uid="{00000000-0005-0000-0000-0000EE890000}"/>
    <cellStyle name="Comma 3 5 4 6 2 6 2" xfId="37459" xr:uid="{00000000-0005-0000-0000-0000EF890000}"/>
    <cellStyle name="Comma 3 5 4 6 2 7" xfId="17875" xr:uid="{00000000-0005-0000-0000-0000F0890000}"/>
    <cellStyle name="Comma 3 5 4 6 2 7 2" xfId="41153" xr:uid="{00000000-0005-0000-0000-0000F1890000}"/>
    <cellStyle name="Comma 3 5 4 6 2 8" xfId="25219" xr:uid="{00000000-0005-0000-0000-0000F2890000}"/>
    <cellStyle name="Comma 3 5 4 6 2 9" xfId="46049" xr:uid="{00000000-0005-0000-0000-0000F3890000}"/>
    <cellStyle name="Comma 3 5 4 6 3" xfId="3164" xr:uid="{00000000-0005-0000-0000-0000F4890000}"/>
    <cellStyle name="Comma 3 5 4 6 3 2" xfId="16651" xr:uid="{00000000-0005-0000-0000-0000F5890000}"/>
    <cellStyle name="Comma 3 5 4 6 3 2 2" xfId="39929" xr:uid="{00000000-0005-0000-0000-0000F6890000}"/>
    <cellStyle name="Comma 3 5 4 6 3 3" xfId="47273" xr:uid="{00000000-0005-0000-0000-0000F7890000}"/>
    <cellStyle name="Comma 3 5 4 6 3 4" xfId="26443" xr:uid="{00000000-0005-0000-0000-0000F8890000}"/>
    <cellStyle name="Comma 3 5 4 6 4" xfId="5612" xr:uid="{00000000-0005-0000-0000-0000F9890000}"/>
    <cellStyle name="Comma 3 5 4 6 4 2" xfId="19099" xr:uid="{00000000-0005-0000-0000-0000FA890000}"/>
    <cellStyle name="Comma 3 5 4 6 4 2 2" xfId="42377" xr:uid="{00000000-0005-0000-0000-0000FB890000}"/>
    <cellStyle name="Comma 3 5 4 6 4 3" xfId="28891" xr:uid="{00000000-0005-0000-0000-0000FC890000}"/>
    <cellStyle name="Comma 3 5 4 6 5" xfId="8060" xr:uid="{00000000-0005-0000-0000-0000FD890000}"/>
    <cellStyle name="Comma 3 5 4 6 5 2" xfId="31339" xr:uid="{00000000-0005-0000-0000-0000FE890000}"/>
    <cellStyle name="Comma 3 5 4 6 6" xfId="10508" xr:uid="{00000000-0005-0000-0000-0000FF890000}"/>
    <cellStyle name="Comma 3 5 4 6 6 2" xfId="33787" xr:uid="{00000000-0005-0000-0000-0000008A0000}"/>
    <cellStyle name="Comma 3 5 4 6 7" xfId="12956" xr:uid="{00000000-0005-0000-0000-0000018A0000}"/>
    <cellStyle name="Comma 3 5 4 6 7 2" xfId="36235" xr:uid="{00000000-0005-0000-0000-0000028A0000}"/>
    <cellStyle name="Comma 3 5 4 6 8" xfId="15427" xr:uid="{00000000-0005-0000-0000-0000038A0000}"/>
    <cellStyle name="Comma 3 5 4 6 8 2" xfId="38705" xr:uid="{00000000-0005-0000-0000-0000048A0000}"/>
    <cellStyle name="Comma 3 5 4 6 9" xfId="23995" xr:uid="{00000000-0005-0000-0000-0000058A0000}"/>
    <cellStyle name="Comma 3 5 4 7" xfId="1328" xr:uid="{00000000-0005-0000-0000-0000068A0000}"/>
    <cellStyle name="Comma 3 5 4 7 10" xfId="22159" xr:uid="{00000000-0005-0000-0000-0000078A0000}"/>
    <cellStyle name="Comma 3 5 4 7 2" xfId="3776" xr:uid="{00000000-0005-0000-0000-0000088A0000}"/>
    <cellStyle name="Comma 3 5 4 7 2 2" xfId="19711" xr:uid="{00000000-0005-0000-0000-0000098A0000}"/>
    <cellStyle name="Comma 3 5 4 7 2 2 2" xfId="42989" xr:uid="{00000000-0005-0000-0000-00000A8A0000}"/>
    <cellStyle name="Comma 3 5 4 7 2 3" xfId="47885" xr:uid="{00000000-0005-0000-0000-00000B8A0000}"/>
    <cellStyle name="Comma 3 5 4 7 2 4" xfId="27055" xr:uid="{00000000-0005-0000-0000-00000C8A0000}"/>
    <cellStyle name="Comma 3 5 4 7 3" xfId="6224" xr:uid="{00000000-0005-0000-0000-00000D8A0000}"/>
    <cellStyle name="Comma 3 5 4 7 3 2" xfId="29503" xr:uid="{00000000-0005-0000-0000-00000E8A0000}"/>
    <cellStyle name="Comma 3 5 4 7 4" xfId="8672" xr:uid="{00000000-0005-0000-0000-00000F8A0000}"/>
    <cellStyle name="Comma 3 5 4 7 4 2" xfId="31951" xr:uid="{00000000-0005-0000-0000-0000108A0000}"/>
    <cellStyle name="Comma 3 5 4 7 5" xfId="11120" xr:uid="{00000000-0005-0000-0000-0000118A0000}"/>
    <cellStyle name="Comma 3 5 4 7 5 2" xfId="34399" xr:uid="{00000000-0005-0000-0000-0000128A0000}"/>
    <cellStyle name="Comma 3 5 4 7 6" xfId="13568" xr:uid="{00000000-0005-0000-0000-0000138A0000}"/>
    <cellStyle name="Comma 3 5 4 7 6 2" xfId="36847" xr:uid="{00000000-0005-0000-0000-0000148A0000}"/>
    <cellStyle name="Comma 3 5 4 7 7" xfId="17263" xr:uid="{00000000-0005-0000-0000-0000158A0000}"/>
    <cellStyle name="Comma 3 5 4 7 7 2" xfId="40541" xr:uid="{00000000-0005-0000-0000-0000168A0000}"/>
    <cellStyle name="Comma 3 5 4 7 8" xfId="24607" xr:uid="{00000000-0005-0000-0000-0000178A0000}"/>
    <cellStyle name="Comma 3 5 4 7 9" xfId="45437" xr:uid="{00000000-0005-0000-0000-0000188A0000}"/>
    <cellStyle name="Comma 3 5 4 8" xfId="2552" xr:uid="{00000000-0005-0000-0000-0000198A0000}"/>
    <cellStyle name="Comma 3 5 4 8 2" xfId="16039" xr:uid="{00000000-0005-0000-0000-00001A8A0000}"/>
    <cellStyle name="Comma 3 5 4 8 2 2" xfId="39317" xr:uid="{00000000-0005-0000-0000-00001B8A0000}"/>
    <cellStyle name="Comma 3 5 4 8 3" xfId="46661" xr:uid="{00000000-0005-0000-0000-00001C8A0000}"/>
    <cellStyle name="Comma 3 5 4 8 4" xfId="25831" xr:uid="{00000000-0005-0000-0000-00001D8A0000}"/>
    <cellStyle name="Comma 3 5 4 9" xfId="5000" xr:uid="{00000000-0005-0000-0000-00001E8A0000}"/>
    <cellStyle name="Comma 3 5 4 9 2" xfId="18487" xr:uid="{00000000-0005-0000-0000-00001F8A0000}"/>
    <cellStyle name="Comma 3 5 4 9 2 2" xfId="41765" xr:uid="{00000000-0005-0000-0000-0000208A0000}"/>
    <cellStyle name="Comma 3 5 4 9 3" xfId="28279" xr:uid="{00000000-0005-0000-0000-0000218A0000}"/>
    <cellStyle name="Comma 3 5 5" xfId="121" xr:uid="{00000000-0005-0000-0000-0000228A0000}"/>
    <cellStyle name="Comma 3 5 5 10" xfId="12361" xr:uid="{00000000-0005-0000-0000-0000238A0000}"/>
    <cellStyle name="Comma 3 5 5 10 2" xfId="35640" xr:uid="{00000000-0005-0000-0000-0000248A0000}"/>
    <cellStyle name="Comma 3 5 5 11" xfId="14832" xr:uid="{00000000-0005-0000-0000-0000258A0000}"/>
    <cellStyle name="Comma 3 5 5 11 2" xfId="38110" xr:uid="{00000000-0005-0000-0000-0000268A0000}"/>
    <cellStyle name="Comma 3 5 5 12" xfId="23400" xr:uid="{00000000-0005-0000-0000-0000278A0000}"/>
    <cellStyle name="Comma 3 5 5 13" xfId="44230" xr:uid="{00000000-0005-0000-0000-0000288A0000}"/>
    <cellStyle name="Comma 3 5 5 14" xfId="20952" xr:uid="{00000000-0005-0000-0000-0000298A0000}"/>
    <cellStyle name="Comma 3 5 5 2" xfId="325" xr:uid="{00000000-0005-0000-0000-00002A8A0000}"/>
    <cellStyle name="Comma 3 5 5 2 10" xfId="23604" xr:uid="{00000000-0005-0000-0000-00002B8A0000}"/>
    <cellStyle name="Comma 3 5 5 2 11" xfId="44434" xr:uid="{00000000-0005-0000-0000-00002C8A0000}"/>
    <cellStyle name="Comma 3 5 5 2 12" xfId="21156" xr:uid="{00000000-0005-0000-0000-00002D8A0000}"/>
    <cellStyle name="Comma 3 5 5 2 2" xfId="937" xr:uid="{00000000-0005-0000-0000-00002E8A0000}"/>
    <cellStyle name="Comma 3 5 5 2 2 10" xfId="45046" xr:uid="{00000000-0005-0000-0000-00002F8A0000}"/>
    <cellStyle name="Comma 3 5 5 2 2 11" xfId="21768" xr:uid="{00000000-0005-0000-0000-0000308A0000}"/>
    <cellStyle name="Comma 3 5 5 2 2 2" xfId="2161" xr:uid="{00000000-0005-0000-0000-0000318A0000}"/>
    <cellStyle name="Comma 3 5 5 2 2 2 10" xfId="22992" xr:uid="{00000000-0005-0000-0000-0000328A0000}"/>
    <cellStyle name="Comma 3 5 5 2 2 2 2" xfId="4609" xr:uid="{00000000-0005-0000-0000-0000338A0000}"/>
    <cellStyle name="Comma 3 5 5 2 2 2 2 2" xfId="20544" xr:uid="{00000000-0005-0000-0000-0000348A0000}"/>
    <cellStyle name="Comma 3 5 5 2 2 2 2 2 2" xfId="43822" xr:uid="{00000000-0005-0000-0000-0000358A0000}"/>
    <cellStyle name="Comma 3 5 5 2 2 2 2 3" xfId="48718" xr:uid="{00000000-0005-0000-0000-0000368A0000}"/>
    <cellStyle name="Comma 3 5 5 2 2 2 2 4" xfId="27888" xr:uid="{00000000-0005-0000-0000-0000378A0000}"/>
    <cellStyle name="Comma 3 5 5 2 2 2 3" xfId="7057" xr:uid="{00000000-0005-0000-0000-0000388A0000}"/>
    <cellStyle name="Comma 3 5 5 2 2 2 3 2" xfId="30336" xr:uid="{00000000-0005-0000-0000-0000398A0000}"/>
    <cellStyle name="Comma 3 5 5 2 2 2 4" xfId="9505" xr:uid="{00000000-0005-0000-0000-00003A8A0000}"/>
    <cellStyle name="Comma 3 5 5 2 2 2 4 2" xfId="32784" xr:uid="{00000000-0005-0000-0000-00003B8A0000}"/>
    <cellStyle name="Comma 3 5 5 2 2 2 5" xfId="11953" xr:uid="{00000000-0005-0000-0000-00003C8A0000}"/>
    <cellStyle name="Comma 3 5 5 2 2 2 5 2" xfId="35232" xr:uid="{00000000-0005-0000-0000-00003D8A0000}"/>
    <cellStyle name="Comma 3 5 5 2 2 2 6" xfId="14401" xr:uid="{00000000-0005-0000-0000-00003E8A0000}"/>
    <cellStyle name="Comma 3 5 5 2 2 2 6 2" xfId="37680" xr:uid="{00000000-0005-0000-0000-00003F8A0000}"/>
    <cellStyle name="Comma 3 5 5 2 2 2 7" xfId="18096" xr:uid="{00000000-0005-0000-0000-0000408A0000}"/>
    <cellStyle name="Comma 3 5 5 2 2 2 7 2" xfId="41374" xr:uid="{00000000-0005-0000-0000-0000418A0000}"/>
    <cellStyle name="Comma 3 5 5 2 2 2 8" xfId="25440" xr:uid="{00000000-0005-0000-0000-0000428A0000}"/>
    <cellStyle name="Comma 3 5 5 2 2 2 9" xfId="46270" xr:uid="{00000000-0005-0000-0000-0000438A0000}"/>
    <cellStyle name="Comma 3 5 5 2 2 3" xfId="3385" xr:uid="{00000000-0005-0000-0000-0000448A0000}"/>
    <cellStyle name="Comma 3 5 5 2 2 3 2" xfId="16872" xr:uid="{00000000-0005-0000-0000-0000458A0000}"/>
    <cellStyle name="Comma 3 5 5 2 2 3 2 2" xfId="40150" xr:uid="{00000000-0005-0000-0000-0000468A0000}"/>
    <cellStyle name="Comma 3 5 5 2 2 3 3" xfId="47494" xr:uid="{00000000-0005-0000-0000-0000478A0000}"/>
    <cellStyle name="Comma 3 5 5 2 2 3 4" xfId="26664" xr:uid="{00000000-0005-0000-0000-0000488A0000}"/>
    <cellStyle name="Comma 3 5 5 2 2 4" xfId="5833" xr:uid="{00000000-0005-0000-0000-0000498A0000}"/>
    <cellStyle name="Comma 3 5 5 2 2 4 2" xfId="19320" xr:uid="{00000000-0005-0000-0000-00004A8A0000}"/>
    <cellStyle name="Comma 3 5 5 2 2 4 2 2" xfId="42598" xr:uid="{00000000-0005-0000-0000-00004B8A0000}"/>
    <cellStyle name="Comma 3 5 5 2 2 4 3" xfId="29112" xr:uid="{00000000-0005-0000-0000-00004C8A0000}"/>
    <cellStyle name="Comma 3 5 5 2 2 5" xfId="8281" xr:uid="{00000000-0005-0000-0000-00004D8A0000}"/>
    <cellStyle name="Comma 3 5 5 2 2 5 2" xfId="31560" xr:uid="{00000000-0005-0000-0000-00004E8A0000}"/>
    <cellStyle name="Comma 3 5 5 2 2 6" xfId="10729" xr:uid="{00000000-0005-0000-0000-00004F8A0000}"/>
    <cellStyle name="Comma 3 5 5 2 2 6 2" xfId="34008" xr:uid="{00000000-0005-0000-0000-0000508A0000}"/>
    <cellStyle name="Comma 3 5 5 2 2 7" xfId="13177" xr:uid="{00000000-0005-0000-0000-0000518A0000}"/>
    <cellStyle name="Comma 3 5 5 2 2 7 2" xfId="36456" xr:uid="{00000000-0005-0000-0000-0000528A0000}"/>
    <cellStyle name="Comma 3 5 5 2 2 8" xfId="15648" xr:uid="{00000000-0005-0000-0000-0000538A0000}"/>
    <cellStyle name="Comma 3 5 5 2 2 8 2" xfId="38926" xr:uid="{00000000-0005-0000-0000-0000548A0000}"/>
    <cellStyle name="Comma 3 5 5 2 2 9" xfId="24216" xr:uid="{00000000-0005-0000-0000-0000558A0000}"/>
    <cellStyle name="Comma 3 5 5 2 3" xfId="1549" xr:uid="{00000000-0005-0000-0000-0000568A0000}"/>
    <cellStyle name="Comma 3 5 5 2 3 10" xfId="22380" xr:uid="{00000000-0005-0000-0000-0000578A0000}"/>
    <cellStyle name="Comma 3 5 5 2 3 2" xfId="3997" xr:uid="{00000000-0005-0000-0000-0000588A0000}"/>
    <cellStyle name="Comma 3 5 5 2 3 2 2" xfId="19932" xr:uid="{00000000-0005-0000-0000-0000598A0000}"/>
    <cellStyle name="Comma 3 5 5 2 3 2 2 2" xfId="43210" xr:uid="{00000000-0005-0000-0000-00005A8A0000}"/>
    <cellStyle name="Comma 3 5 5 2 3 2 3" xfId="48106" xr:uid="{00000000-0005-0000-0000-00005B8A0000}"/>
    <cellStyle name="Comma 3 5 5 2 3 2 4" xfId="27276" xr:uid="{00000000-0005-0000-0000-00005C8A0000}"/>
    <cellStyle name="Comma 3 5 5 2 3 3" xfId="6445" xr:uid="{00000000-0005-0000-0000-00005D8A0000}"/>
    <cellStyle name="Comma 3 5 5 2 3 3 2" xfId="29724" xr:uid="{00000000-0005-0000-0000-00005E8A0000}"/>
    <cellStyle name="Comma 3 5 5 2 3 4" xfId="8893" xr:uid="{00000000-0005-0000-0000-00005F8A0000}"/>
    <cellStyle name="Comma 3 5 5 2 3 4 2" xfId="32172" xr:uid="{00000000-0005-0000-0000-0000608A0000}"/>
    <cellStyle name="Comma 3 5 5 2 3 5" xfId="11341" xr:uid="{00000000-0005-0000-0000-0000618A0000}"/>
    <cellStyle name="Comma 3 5 5 2 3 5 2" xfId="34620" xr:uid="{00000000-0005-0000-0000-0000628A0000}"/>
    <cellStyle name="Comma 3 5 5 2 3 6" xfId="13789" xr:uid="{00000000-0005-0000-0000-0000638A0000}"/>
    <cellStyle name="Comma 3 5 5 2 3 6 2" xfId="37068" xr:uid="{00000000-0005-0000-0000-0000648A0000}"/>
    <cellStyle name="Comma 3 5 5 2 3 7" xfId="17484" xr:uid="{00000000-0005-0000-0000-0000658A0000}"/>
    <cellStyle name="Comma 3 5 5 2 3 7 2" xfId="40762" xr:uid="{00000000-0005-0000-0000-0000668A0000}"/>
    <cellStyle name="Comma 3 5 5 2 3 8" xfId="24828" xr:uid="{00000000-0005-0000-0000-0000678A0000}"/>
    <cellStyle name="Comma 3 5 5 2 3 9" xfId="45658" xr:uid="{00000000-0005-0000-0000-0000688A0000}"/>
    <cellStyle name="Comma 3 5 5 2 4" xfId="2773" xr:uid="{00000000-0005-0000-0000-0000698A0000}"/>
    <cellStyle name="Comma 3 5 5 2 4 2" xfId="16260" xr:uid="{00000000-0005-0000-0000-00006A8A0000}"/>
    <cellStyle name="Comma 3 5 5 2 4 2 2" xfId="39538" xr:uid="{00000000-0005-0000-0000-00006B8A0000}"/>
    <cellStyle name="Comma 3 5 5 2 4 3" xfId="46882" xr:uid="{00000000-0005-0000-0000-00006C8A0000}"/>
    <cellStyle name="Comma 3 5 5 2 4 4" xfId="26052" xr:uid="{00000000-0005-0000-0000-00006D8A0000}"/>
    <cellStyle name="Comma 3 5 5 2 5" xfId="5221" xr:uid="{00000000-0005-0000-0000-00006E8A0000}"/>
    <cellStyle name="Comma 3 5 5 2 5 2" xfId="18708" xr:uid="{00000000-0005-0000-0000-00006F8A0000}"/>
    <cellStyle name="Comma 3 5 5 2 5 2 2" xfId="41986" xr:uid="{00000000-0005-0000-0000-0000708A0000}"/>
    <cellStyle name="Comma 3 5 5 2 5 3" xfId="28500" xr:uid="{00000000-0005-0000-0000-0000718A0000}"/>
    <cellStyle name="Comma 3 5 5 2 6" xfId="7669" xr:uid="{00000000-0005-0000-0000-0000728A0000}"/>
    <cellStyle name="Comma 3 5 5 2 6 2" xfId="30948" xr:uid="{00000000-0005-0000-0000-0000738A0000}"/>
    <cellStyle name="Comma 3 5 5 2 7" xfId="10117" xr:uid="{00000000-0005-0000-0000-0000748A0000}"/>
    <cellStyle name="Comma 3 5 5 2 7 2" xfId="33396" xr:uid="{00000000-0005-0000-0000-0000758A0000}"/>
    <cellStyle name="Comma 3 5 5 2 8" xfId="12565" xr:uid="{00000000-0005-0000-0000-0000768A0000}"/>
    <cellStyle name="Comma 3 5 5 2 8 2" xfId="35844" xr:uid="{00000000-0005-0000-0000-0000778A0000}"/>
    <cellStyle name="Comma 3 5 5 2 9" xfId="15036" xr:uid="{00000000-0005-0000-0000-0000788A0000}"/>
    <cellStyle name="Comma 3 5 5 2 9 2" xfId="38314" xr:uid="{00000000-0005-0000-0000-0000798A0000}"/>
    <cellStyle name="Comma 3 5 5 3" xfId="529" xr:uid="{00000000-0005-0000-0000-00007A8A0000}"/>
    <cellStyle name="Comma 3 5 5 3 10" xfId="23808" xr:uid="{00000000-0005-0000-0000-00007B8A0000}"/>
    <cellStyle name="Comma 3 5 5 3 11" xfId="44638" xr:uid="{00000000-0005-0000-0000-00007C8A0000}"/>
    <cellStyle name="Comma 3 5 5 3 12" xfId="21360" xr:uid="{00000000-0005-0000-0000-00007D8A0000}"/>
    <cellStyle name="Comma 3 5 5 3 2" xfId="1141" xr:uid="{00000000-0005-0000-0000-00007E8A0000}"/>
    <cellStyle name="Comma 3 5 5 3 2 10" xfId="45250" xr:uid="{00000000-0005-0000-0000-00007F8A0000}"/>
    <cellStyle name="Comma 3 5 5 3 2 11" xfId="21972" xr:uid="{00000000-0005-0000-0000-0000808A0000}"/>
    <cellStyle name="Comma 3 5 5 3 2 2" xfId="2365" xr:uid="{00000000-0005-0000-0000-0000818A0000}"/>
    <cellStyle name="Comma 3 5 5 3 2 2 10" xfId="23196" xr:uid="{00000000-0005-0000-0000-0000828A0000}"/>
    <cellStyle name="Comma 3 5 5 3 2 2 2" xfId="4813" xr:uid="{00000000-0005-0000-0000-0000838A0000}"/>
    <cellStyle name="Comma 3 5 5 3 2 2 2 2" xfId="20748" xr:uid="{00000000-0005-0000-0000-0000848A0000}"/>
    <cellStyle name="Comma 3 5 5 3 2 2 2 2 2" xfId="44026" xr:uid="{00000000-0005-0000-0000-0000858A0000}"/>
    <cellStyle name="Comma 3 5 5 3 2 2 2 3" xfId="48922" xr:uid="{00000000-0005-0000-0000-0000868A0000}"/>
    <cellStyle name="Comma 3 5 5 3 2 2 2 4" xfId="28092" xr:uid="{00000000-0005-0000-0000-0000878A0000}"/>
    <cellStyle name="Comma 3 5 5 3 2 2 3" xfId="7261" xr:uid="{00000000-0005-0000-0000-0000888A0000}"/>
    <cellStyle name="Comma 3 5 5 3 2 2 3 2" xfId="30540" xr:uid="{00000000-0005-0000-0000-0000898A0000}"/>
    <cellStyle name="Comma 3 5 5 3 2 2 4" xfId="9709" xr:uid="{00000000-0005-0000-0000-00008A8A0000}"/>
    <cellStyle name="Comma 3 5 5 3 2 2 4 2" xfId="32988" xr:uid="{00000000-0005-0000-0000-00008B8A0000}"/>
    <cellStyle name="Comma 3 5 5 3 2 2 5" xfId="12157" xr:uid="{00000000-0005-0000-0000-00008C8A0000}"/>
    <cellStyle name="Comma 3 5 5 3 2 2 5 2" xfId="35436" xr:uid="{00000000-0005-0000-0000-00008D8A0000}"/>
    <cellStyle name="Comma 3 5 5 3 2 2 6" xfId="14605" xr:uid="{00000000-0005-0000-0000-00008E8A0000}"/>
    <cellStyle name="Comma 3 5 5 3 2 2 6 2" xfId="37884" xr:uid="{00000000-0005-0000-0000-00008F8A0000}"/>
    <cellStyle name="Comma 3 5 5 3 2 2 7" xfId="18300" xr:uid="{00000000-0005-0000-0000-0000908A0000}"/>
    <cellStyle name="Comma 3 5 5 3 2 2 7 2" xfId="41578" xr:uid="{00000000-0005-0000-0000-0000918A0000}"/>
    <cellStyle name="Comma 3 5 5 3 2 2 8" xfId="25644" xr:uid="{00000000-0005-0000-0000-0000928A0000}"/>
    <cellStyle name="Comma 3 5 5 3 2 2 9" xfId="46474" xr:uid="{00000000-0005-0000-0000-0000938A0000}"/>
    <cellStyle name="Comma 3 5 5 3 2 3" xfId="3589" xr:uid="{00000000-0005-0000-0000-0000948A0000}"/>
    <cellStyle name="Comma 3 5 5 3 2 3 2" xfId="17076" xr:uid="{00000000-0005-0000-0000-0000958A0000}"/>
    <cellStyle name="Comma 3 5 5 3 2 3 2 2" xfId="40354" xr:uid="{00000000-0005-0000-0000-0000968A0000}"/>
    <cellStyle name="Comma 3 5 5 3 2 3 3" xfId="47698" xr:uid="{00000000-0005-0000-0000-0000978A0000}"/>
    <cellStyle name="Comma 3 5 5 3 2 3 4" xfId="26868" xr:uid="{00000000-0005-0000-0000-0000988A0000}"/>
    <cellStyle name="Comma 3 5 5 3 2 4" xfId="6037" xr:uid="{00000000-0005-0000-0000-0000998A0000}"/>
    <cellStyle name="Comma 3 5 5 3 2 4 2" xfId="19524" xr:uid="{00000000-0005-0000-0000-00009A8A0000}"/>
    <cellStyle name="Comma 3 5 5 3 2 4 2 2" xfId="42802" xr:uid="{00000000-0005-0000-0000-00009B8A0000}"/>
    <cellStyle name="Comma 3 5 5 3 2 4 3" xfId="29316" xr:uid="{00000000-0005-0000-0000-00009C8A0000}"/>
    <cellStyle name="Comma 3 5 5 3 2 5" xfId="8485" xr:uid="{00000000-0005-0000-0000-00009D8A0000}"/>
    <cellStyle name="Comma 3 5 5 3 2 5 2" xfId="31764" xr:uid="{00000000-0005-0000-0000-00009E8A0000}"/>
    <cellStyle name="Comma 3 5 5 3 2 6" xfId="10933" xr:uid="{00000000-0005-0000-0000-00009F8A0000}"/>
    <cellStyle name="Comma 3 5 5 3 2 6 2" xfId="34212" xr:uid="{00000000-0005-0000-0000-0000A08A0000}"/>
    <cellStyle name="Comma 3 5 5 3 2 7" xfId="13381" xr:uid="{00000000-0005-0000-0000-0000A18A0000}"/>
    <cellStyle name="Comma 3 5 5 3 2 7 2" xfId="36660" xr:uid="{00000000-0005-0000-0000-0000A28A0000}"/>
    <cellStyle name="Comma 3 5 5 3 2 8" xfId="15852" xr:uid="{00000000-0005-0000-0000-0000A38A0000}"/>
    <cellStyle name="Comma 3 5 5 3 2 8 2" xfId="39130" xr:uid="{00000000-0005-0000-0000-0000A48A0000}"/>
    <cellStyle name="Comma 3 5 5 3 2 9" xfId="24420" xr:uid="{00000000-0005-0000-0000-0000A58A0000}"/>
    <cellStyle name="Comma 3 5 5 3 3" xfId="1753" xr:uid="{00000000-0005-0000-0000-0000A68A0000}"/>
    <cellStyle name="Comma 3 5 5 3 3 10" xfId="22584" xr:uid="{00000000-0005-0000-0000-0000A78A0000}"/>
    <cellStyle name="Comma 3 5 5 3 3 2" xfId="4201" xr:uid="{00000000-0005-0000-0000-0000A88A0000}"/>
    <cellStyle name="Comma 3 5 5 3 3 2 2" xfId="20136" xr:uid="{00000000-0005-0000-0000-0000A98A0000}"/>
    <cellStyle name="Comma 3 5 5 3 3 2 2 2" xfId="43414" xr:uid="{00000000-0005-0000-0000-0000AA8A0000}"/>
    <cellStyle name="Comma 3 5 5 3 3 2 3" xfId="48310" xr:uid="{00000000-0005-0000-0000-0000AB8A0000}"/>
    <cellStyle name="Comma 3 5 5 3 3 2 4" xfId="27480" xr:uid="{00000000-0005-0000-0000-0000AC8A0000}"/>
    <cellStyle name="Comma 3 5 5 3 3 3" xfId="6649" xr:uid="{00000000-0005-0000-0000-0000AD8A0000}"/>
    <cellStyle name="Comma 3 5 5 3 3 3 2" xfId="29928" xr:uid="{00000000-0005-0000-0000-0000AE8A0000}"/>
    <cellStyle name="Comma 3 5 5 3 3 4" xfId="9097" xr:uid="{00000000-0005-0000-0000-0000AF8A0000}"/>
    <cellStyle name="Comma 3 5 5 3 3 4 2" xfId="32376" xr:uid="{00000000-0005-0000-0000-0000B08A0000}"/>
    <cellStyle name="Comma 3 5 5 3 3 5" xfId="11545" xr:uid="{00000000-0005-0000-0000-0000B18A0000}"/>
    <cellStyle name="Comma 3 5 5 3 3 5 2" xfId="34824" xr:uid="{00000000-0005-0000-0000-0000B28A0000}"/>
    <cellStyle name="Comma 3 5 5 3 3 6" xfId="13993" xr:uid="{00000000-0005-0000-0000-0000B38A0000}"/>
    <cellStyle name="Comma 3 5 5 3 3 6 2" xfId="37272" xr:uid="{00000000-0005-0000-0000-0000B48A0000}"/>
    <cellStyle name="Comma 3 5 5 3 3 7" xfId="17688" xr:uid="{00000000-0005-0000-0000-0000B58A0000}"/>
    <cellStyle name="Comma 3 5 5 3 3 7 2" xfId="40966" xr:uid="{00000000-0005-0000-0000-0000B68A0000}"/>
    <cellStyle name="Comma 3 5 5 3 3 8" xfId="25032" xr:uid="{00000000-0005-0000-0000-0000B78A0000}"/>
    <cellStyle name="Comma 3 5 5 3 3 9" xfId="45862" xr:uid="{00000000-0005-0000-0000-0000B88A0000}"/>
    <cellStyle name="Comma 3 5 5 3 4" xfId="2977" xr:uid="{00000000-0005-0000-0000-0000B98A0000}"/>
    <cellStyle name="Comma 3 5 5 3 4 2" xfId="16464" xr:uid="{00000000-0005-0000-0000-0000BA8A0000}"/>
    <cellStyle name="Comma 3 5 5 3 4 2 2" xfId="39742" xr:uid="{00000000-0005-0000-0000-0000BB8A0000}"/>
    <cellStyle name="Comma 3 5 5 3 4 3" xfId="47086" xr:uid="{00000000-0005-0000-0000-0000BC8A0000}"/>
    <cellStyle name="Comma 3 5 5 3 4 4" xfId="26256" xr:uid="{00000000-0005-0000-0000-0000BD8A0000}"/>
    <cellStyle name="Comma 3 5 5 3 5" xfId="5425" xr:uid="{00000000-0005-0000-0000-0000BE8A0000}"/>
    <cellStyle name="Comma 3 5 5 3 5 2" xfId="18912" xr:uid="{00000000-0005-0000-0000-0000BF8A0000}"/>
    <cellStyle name="Comma 3 5 5 3 5 2 2" xfId="42190" xr:uid="{00000000-0005-0000-0000-0000C08A0000}"/>
    <cellStyle name="Comma 3 5 5 3 5 3" xfId="28704" xr:uid="{00000000-0005-0000-0000-0000C18A0000}"/>
    <cellStyle name="Comma 3 5 5 3 6" xfId="7873" xr:uid="{00000000-0005-0000-0000-0000C28A0000}"/>
    <cellStyle name="Comma 3 5 5 3 6 2" xfId="31152" xr:uid="{00000000-0005-0000-0000-0000C38A0000}"/>
    <cellStyle name="Comma 3 5 5 3 7" xfId="10321" xr:uid="{00000000-0005-0000-0000-0000C48A0000}"/>
    <cellStyle name="Comma 3 5 5 3 7 2" xfId="33600" xr:uid="{00000000-0005-0000-0000-0000C58A0000}"/>
    <cellStyle name="Comma 3 5 5 3 8" xfId="12769" xr:uid="{00000000-0005-0000-0000-0000C68A0000}"/>
    <cellStyle name="Comma 3 5 5 3 8 2" xfId="36048" xr:uid="{00000000-0005-0000-0000-0000C78A0000}"/>
    <cellStyle name="Comma 3 5 5 3 9" xfId="15240" xr:uid="{00000000-0005-0000-0000-0000C88A0000}"/>
    <cellStyle name="Comma 3 5 5 3 9 2" xfId="38518" xr:uid="{00000000-0005-0000-0000-0000C98A0000}"/>
    <cellStyle name="Comma 3 5 5 4" xfId="733" xr:uid="{00000000-0005-0000-0000-0000CA8A0000}"/>
    <cellStyle name="Comma 3 5 5 4 10" xfId="44842" xr:uid="{00000000-0005-0000-0000-0000CB8A0000}"/>
    <cellStyle name="Comma 3 5 5 4 11" xfId="21564" xr:uid="{00000000-0005-0000-0000-0000CC8A0000}"/>
    <cellStyle name="Comma 3 5 5 4 2" xfId="1957" xr:uid="{00000000-0005-0000-0000-0000CD8A0000}"/>
    <cellStyle name="Comma 3 5 5 4 2 10" xfId="22788" xr:uid="{00000000-0005-0000-0000-0000CE8A0000}"/>
    <cellStyle name="Comma 3 5 5 4 2 2" xfId="4405" xr:uid="{00000000-0005-0000-0000-0000CF8A0000}"/>
    <cellStyle name="Comma 3 5 5 4 2 2 2" xfId="20340" xr:uid="{00000000-0005-0000-0000-0000D08A0000}"/>
    <cellStyle name="Comma 3 5 5 4 2 2 2 2" xfId="43618" xr:uid="{00000000-0005-0000-0000-0000D18A0000}"/>
    <cellStyle name="Comma 3 5 5 4 2 2 3" xfId="48514" xr:uid="{00000000-0005-0000-0000-0000D28A0000}"/>
    <cellStyle name="Comma 3 5 5 4 2 2 4" xfId="27684" xr:uid="{00000000-0005-0000-0000-0000D38A0000}"/>
    <cellStyle name="Comma 3 5 5 4 2 3" xfId="6853" xr:uid="{00000000-0005-0000-0000-0000D48A0000}"/>
    <cellStyle name="Comma 3 5 5 4 2 3 2" xfId="30132" xr:uid="{00000000-0005-0000-0000-0000D58A0000}"/>
    <cellStyle name="Comma 3 5 5 4 2 4" xfId="9301" xr:uid="{00000000-0005-0000-0000-0000D68A0000}"/>
    <cellStyle name="Comma 3 5 5 4 2 4 2" xfId="32580" xr:uid="{00000000-0005-0000-0000-0000D78A0000}"/>
    <cellStyle name="Comma 3 5 5 4 2 5" xfId="11749" xr:uid="{00000000-0005-0000-0000-0000D88A0000}"/>
    <cellStyle name="Comma 3 5 5 4 2 5 2" xfId="35028" xr:uid="{00000000-0005-0000-0000-0000D98A0000}"/>
    <cellStyle name="Comma 3 5 5 4 2 6" xfId="14197" xr:uid="{00000000-0005-0000-0000-0000DA8A0000}"/>
    <cellStyle name="Comma 3 5 5 4 2 6 2" xfId="37476" xr:uid="{00000000-0005-0000-0000-0000DB8A0000}"/>
    <cellStyle name="Comma 3 5 5 4 2 7" xfId="17892" xr:uid="{00000000-0005-0000-0000-0000DC8A0000}"/>
    <cellStyle name="Comma 3 5 5 4 2 7 2" xfId="41170" xr:uid="{00000000-0005-0000-0000-0000DD8A0000}"/>
    <cellStyle name="Comma 3 5 5 4 2 8" xfId="25236" xr:uid="{00000000-0005-0000-0000-0000DE8A0000}"/>
    <cellStyle name="Comma 3 5 5 4 2 9" xfId="46066" xr:uid="{00000000-0005-0000-0000-0000DF8A0000}"/>
    <cellStyle name="Comma 3 5 5 4 3" xfId="3181" xr:uid="{00000000-0005-0000-0000-0000E08A0000}"/>
    <cellStyle name="Comma 3 5 5 4 3 2" xfId="16668" xr:uid="{00000000-0005-0000-0000-0000E18A0000}"/>
    <cellStyle name="Comma 3 5 5 4 3 2 2" xfId="39946" xr:uid="{00000000-0005-0000-0000-0000E28A0000}"/>
    <cellStyle name="Comma 3 5 5 4 3 3" xfId="47290" xr:uid="{00000000-0005-0000-0000-0000E38A0000}"/>
    <cellStyle name="Comma 3 5 5 4 3 4" xfId="26460" xr:uid="{00000000-0005-0000-0000-0000E48A0000}"/>
    <cellStyle name="Comma 3 5 5 4 4" xfId="5629" xr:uid="{00000000-0005-0000-0000-0000E58A0000}"/>
    <cellStyle name="Comma 3 5 5 4 4 2" xfId="19116" xr:uid="{00000000-0005-0000-0000-0000E68A0000}"/>
    <cellStyle name="Comma 3 5 5 4 4 2 2" xfId="42394" xr:uid="{00000000-0005-0000-0000-0000E78A0000}"/>
    <cellStyle name="Comma 3 5 5 4 4 3" xfId="28908" xr:uid="{00000000-0005-0000-0000-0000E88A0000}"/>
    <cellStyle name="Comma 3 5 5 4 5" xfId="8077" xr:uid="{00000000-0005-0000-0000-0000E98A0000}"/>
    <cellStyle name="Comma 3 5 5 4 5 2" xfId="31356" xr:uid="{00000000-0005-0000-0000-0000EA8A0000}"/>
    <cellStyle name="Comma 3 5 5 4 6" xfId="10525" xr:uid="{00000000-0005-0000-0000-0000EB8A0000}"/>
    <cellStyle name="Comma 3 5 5 4 6 2" xfId="33804" xr:uid="{00000000-0005-0000-0000-0000EC8A0000}"/>
    <cellStyle name="Comma 3 5 5 4 7" xfId="12973" xr:uid="{00000000-0005-0000-0000-0000ED8A0000}"/>
    <cellStyle name="Comma 3 5 5 4 7 2" xfId="36252" xr:uid="{00000000-0005-0000-0000-0000EE8A0000}"/>
    <cellStyle name="Comma 3 5 5 4 8" xfId="15444" xr:uid="{00000000-0005-0000-0000-0000EF8A0000}"/>
    <cellStyle name="Comma 3 5 5 4 8 2" xfId="38722" xr:uid="{00000000-0005-0000-0000-0000F08A0000}"/>
    <cellStyle name="Comma 3 5 5 4 9" xfId="24012" xr:uid="{00000000-0005-0000-0000-0000F18A0000}"/>
    <cellStyle name="Comma 3 5 5 5" xfId="1345" xr:uid="{00000000-0005-0000-0000-0000F28A0000}"/>
    <cellStyle name="Comma 3 5 5 5 10" xfId="22176" xr:uid="{00000000-0005-0000-0000-0000F38A0000}"/>
    <cellStyle name="Comma 3 5 5 5 2" xfId="3793" xr:uid="{00000000-0005-0000-0000-0000F48A0000}"/>
    <cellStyle name="Comma 3 5 5 5 2 2" xfId="19728" xr:uid="{00000000-0005-0000-0000-0000F58A0000}"/>
    <cellStyle name="Comma 3 5 5 5 2 2 2" xfId="43006" xr:uid="{00000000-0005-0000-0000-0000F68A0000}"/>
    <cellStyle name="Comma 3 5 5 5 2 3" xfId="47902" xr:uid="{00000000-0005-0000-0000-0000F78A0000}"/>
    <cellStyle name="Comma 3 5 5 5 2 4" xfId="27072" xr:uid="{00000000-0005-0000-0000-0000F88A0000}"/>
    <cellStyle name="Comma 3 5 5 5 3" xfId="6241" xr:uid="{00000000-0005-0000-0000-0000F98A0000}"/>
    <cellStyle name="Comma 3 5 5 5 3 2" xfId="29520" xr:uid="{00000000-0005-0000-0000-0000FA8A0000}"/>
    <cellStyle name="Comma 3 5 5 5 4" xfId="8689" xr:uid="{00000000-0005-0000-0000-0000FB8A0000}"/>
    <cellStyle name="Comma 3 5 5 5 4 2" xfId="31968" xr:uid="{00000000-0005-0000-0000-0000FC8A0000}"/>
    <cellStyle name="Comma 3 5 5 5 5" xfId="11137" xr:uid="{00000000-0005-0000-0000-0000FD8A0000}"/>
    <cellStyle name="Comma 3 5 5 5 5 2" xfId="34416" xr:uid="{00000000-0005-0000-0000-0000FE8A0000}"/>
    <cellStyle name="Comma 3 5 5 5 6" xfId="13585" xr:uid="{00000000-0005-0000-0000-0000FF8A0000}"/>
    <cellStyle name="Comma 3 5 5 5 6 2" xfId="36864" xr:uid="{00000000-0005-0000-0000-0000008B0000}"/>
    <cellStyle name="Comma 3 5 5 5 7" xfId="17280" xr:uid="{00000000-0005-0000-0000-0000018B0000}"/>
    <cellStyle name="Comma 3 5 5 5 7 2" xfId="40558" xr:uid="{00000000-0005-0000-0000-0000028B0000}"/>
    <cellStyle name="Comma 3 5 5 5 8" xfId="24624" xr:uid="{00000000-0005-0000-0000-0000038B0000}"/>
    <cellStyle name="Comma 3 5 5 5 9" xfId="45454" xr:uid="{00000000-0005-0000-0000-0000048B0000}"/>
    <cellStyle name="Comma 3 5 5 6" xfId="2569" xr:uid="{00000000-0005-0000-0000-0000058B0000}"/>
    <cellStyle name="Comma 3 5 5 6 2" xfId="16056" xr:uid="{00000000-0005-0000-0000-0000068B0000}"/>
    <cellStyle name="Comma 3 5 5 6 2 2" xfId="39334" xr:uid="{00000000-0005-0000-0000-0000078B0000}"/>
    <cellStyle name="Comma 3 5 5 6 3" xfId="46678" xr:uid="{00000000-0005-0000-0000-0000088B0000}"/>
    <cellStyle name="Comma 3 5 5 6 4" xfId="25848" xr:uid="{00000000-0005-0000-0000-0000098B0000}"/>
    <cellStyle name="Comma 3 5 5 7" xfId="5017" xr:uid="{00000000-0005-0000-0000-00000A8B0000}"/>
    <cellStyle name="Comma 3 5 5 7 2" xfId="18504" xr:uid="{00000000-0005-0000-0000-00000B8B0000}"/>
    <cellStyle name="Comma 3 5 5 7 2 2" xfId="41782" xr:uid="{00000000-0005-0000-0000-00000C8B0000}"/>
    <cellStyle name="Comma 3 5 5 7 3" xfId="28296" xr:uid="{00000000-0005-0000-0000-00000D8B0000}"/>
    <cellStyle name="Comma 3 5 5 8" xfId="7465" xr:uid="{00000000-0005-0000-0000-00000E8B0000}"/>
    <cellStyle name="Comma 3 5 5 8 2" xfId="30744" xr:uid="{00000000-0005-0000-0000-00000F8B0000}"/>
    <cellStyle name="Comma 3 5 5 9" xfId="9913" xr:uid="{00000000-0005-0000-0000-0000108B0000}"/>
    <cellStyle name="Comma 3 5 5 9 2" xfId="33192" xr:uid="{00000000-0005-0000-0000-0000118B0000}"/>
    <cellStyle name="Comma 3 5 6" xfId="189" xr:uid="{00000000-0005-0000-0000-0000128B0000}"/>
    <cellStyle name="Comma 3 5 6 10" xfId="12429" xr:uid="{00000000-0005-0000-0000-0000138B0000}"/>
    <cellStyle name="Comma 3 5 6 10 2" xfId="35708" xr:uid="{00000000-0005-0000-0000-0000148B0000}"/>
    <cellStyle name="Comma 3 5 6 11" xfId="14900" xr:uid="{00000000-0005-0000-0000-0000158B0000}"/>
    <cellStyle name="Comma 3 5 6 11 2" xfId="38178" xr:uid="{00000000-0005-0000-0000-0000168B0000}"/>
    <cellStyle name="Comma 3 5 6 12" xfId="23468" xr:uid="{00000000-0005-0000-0000-0000178B0000}"/>
    <cellStyle name="Comma 3 5 6 13" xfId="44298" xr:uid="{00000000-0005-0000-0000-0000188B0000}"/>
    <cellStyle name="Comma 3 5 6 14" xfId="21020" xr:uid="{00000000-0005-0000-0000-0000198B0000}"/>
    <cellStyle name="Comma 3 5 6 2" xfId="393" xr:uid="{00000000-0005-0000-0000-00001A8B0000}"/>
    <cellStyle name="Comma 3 5 6 2 10" xfId="23672" xr:uid="{00000000-0005-0000-0000-00001B8B0000}"/>
    <cellStyle name="Comma 3 5 6 2 11" xfId="44502" xr:uid="{00000000-0005-0000-0000-00001C8B0000}"/>
    <cellStyle name="Comma 3 5 6 2 12" xfId="21224" xr:uid="{00000000-0005-0000-0000-00001D8B0000}"/>
    <cellStyle name="Comma 3 5 6 2 2" xfId="1005" xr:uid="{00000000-0005-0000-0000-00001E8B0000}"/>
    <cellStyle name="Comma 3 5 6 2 2 10" xfId="45114" xr:uid="{00000000-0005-0000-0000-00001F8B0000}"/>
    <cellStyle name="Comma 3 5 6 2 2 11" xfId="21836" xr:uid="{00000000-0005-0000-0000-0000208B0000}"/>
    <cellStyle name="Comma 3 5 6 2 2 2" xfId="2229" xr:uid="{00000000-0005-0000-0000-0000218B0000}"/>
    <cellStyle name="Comma 3 5 6 2 2 2 10" xfId="23060" xr:uid="{00000000-0005-0000-0000-0000228B0000}"/>
    <cellStyle name="Comma 3 5 6 2 2 2 2" xfId="4677" xr:uid="{00000000-0005-0000-0000-0000238B0000}"/>
    <cellStyle name="Comma 3 5 6 2 2 2 2 2" xfId="20612" xr:uid="{00000000-0005-0000-0000-0000248B0000}"/>
    <cellStyle name="Comma 3 5 6 2 2 2 2 2 2" xfId="43890" xr:uid="{00000000-0005-0000-0000-0000258B0000}"/>
    <cellStyle name="Comma 3 5 6 2 2 2 2 3" xfId="48786" xr:uid="{00000000-0005-0000-0000-0000268B0000}"/>
    <cellStyle name="Comma 3 5 6 2 2 2 2 4" xfId="27956" xr:uid="{00000000-0005-0000-0000-0000278B0000}"/>
    <cellStyle name="Comma 3 5 6 2 2 2 3" xfId="7125" xr:uid="{00000000-0005-0000-0000-0000288B0000}"/>
    <cellStyle name="Comma 3 5 6 2 2 2 3 2" xfId="30404" xr:uid="{00000000-0005-0000-0000-0000298B0000}"/>
    <cellStyle name="Comma 3 5 6 2 2 2 4" xfId="9573" xr:uid="{00000000-0005-0000-0000-00002A8B0000}"/>
    <cellStyle name="Comma 3 5 6 2 2 2 4 2" xfId="32852" xr:uid="{00000000-0005-0000-0000-00002B8B0000}"/>
    <cellStyle name="Comma 3 5 6 2 2 2 5" xfId="12021" xr:uid="{00000000-0005-0000-0000-00002C8B0000}"/>
    <cellStyle name="Comma 3 5 6 2 2 2 5 2" xfId="35300" xr:uid="{00000000-0005-0000-0000-00002D8B0000}"/>
    <cellStyle name="Comma 3 5 6 2 2 2 6" xfId="14469" xr:uid="{00000000-0005-0000-0000-00002E8B0000}"/>
    <cellStyle name="Comma 3 5 6 2 2 2 6 2" xfId="37748" xr:uid="{00000000-0005-0000-0000-00002F8B0000}"/>
    <cellStyle name="Comma 3 5 6 2 2 2 7" xfId="18164" xr:uid="{00000000-0005-0000-0000-0000308B0000}"/>
    <cellStyle name="Comma 3 5 6 2 2 2 7 2" xfId="41442" xr:uid="{00000000-0005-0000-0000-0000318B0000}"/>
    <cellStyle name="Comma 3 5 6 2 2 2 8" xfId="25508" xr:uid="{00000000-0005-0000-0000-0000328B0000}"/>
    <cellStyle name="Comma 3 5 6 2 2 2 9" xfId="46338" xr:uid="{00000000-0005-0000-0000-0000338B0000}"/>
    <cellStyle name="Comma 3 5 6 2 2 3" xfId="3453" xr:uid="{00000000-0005-0000-0000-0000348B0000}"/>
    <cellStyle name="Comma 3 5 6 2 2 3 2" xfId="16940" xr:uid="{00000000-0005-0000-0000-0000358B0000}"/>
    <cellStyle name="Comma 3 5 6 2 2 3 2 2" xfId="40218" xr:uid="{00000000-0005-0000-0000-0000368B0000}"/>
    <cellStyle name="Comma 3 5 6 2 2 3 3" xfId="47562" xr:uid="{00000000-0005-0000-0000-0000378B0000}"/>
    <cellStyle name="Comma 3 5 6 2 2 3 4" xfId="26732" xr:uid="{00000000-0005-0000-0000-0000388B0000}"/>
    <cellStyle name="Comma 3 5 6 2 2 4" xfId="5901" xr:uid="{00000000-0005-0000-0000-0000398B0000}"/>
    <cellStyle name="Comma 3 5 6 2 2 4 2" xfId="19388" xr:uid="{00000000-0005-0000-0000-00003A8B0000}"/>
    <cellStyle name="Comma 3 5 6 2 2 4 2 2" xfId="42666" xr:uid="{00000000-0005-0000-0000-00003B8B0000}"/>
    <cellStyle name="Comma 3 5 6 2 2 4 3" xfId="29180" xr:uid="{00000000-0005-0000-0000-00003C8B0000}"/>
    <cellStyle name="Comma 3 5 6 2 2 5" xfId="8349" xr:uid="{00000000-0005-0000-0000-00003D8B0000}"/>
    <cellStyle name="Comma 3 5 6 2 2 5 2" xfId="31628" xr:uid="{00000000-0005-0000-0000-00003E8B0000}"/>
    <cellStyle name="Comma 3 5 6 2 2 6" xfId="10797" xr:uid="{00000000-0005-0000-0000-00003F8B0000}"/>
    <cellStyle name="Comma 3 5 6 2 2 6 2" xfId="34076" xr:uid="{00000000-0005-0000-0000-0000408B0000}"/>
    <cellStyle name="Comma 3 5 6 2 2 7" xfId="13245" xr:uid="{00000000-0005-0000-0000-0000418B0000}"/>
    <cellStyle name="Comma 3 5 6 2 2 7 2" xfId="36524" xr:uid="{00000000-0005-0000-0000-0000428B0000}"/>
    <cellStyle name="Comma 3 5 6 2 2 8" xfId="15716" xr:uid="{00000000-0005-0000-0000-0000438B0000}"/>
    <cellStyle name="Comma 3 5 6 2 2 8 2" xfId="38994" xr:uid="{00000000-0005-0000-0000-0000448B0000}"/>
    <cellStyle name="Comma 3 5 6 2 2 9" xfId="24284" xr:uid="{00000000-0005-0000-0000-0000458B0000}"/>
    <cellStyle name="Comma 3 5 6 2 3" xfId="1617" xr:uid="{00000000-0005-0000-0000-0000468B0000}"/>
    <cellStyle name="Comma 3 5 6 2 3 10" xfId="22448" xr:uid="{00000000-0005-0000-0000-0000478B0000}"/>
    <cellStyle name="Comma 3 5 6 2 3 2" xfId="4065" xr:uid="{00000000-0005-0000-0000-0000488B0000}"/>
    <cellStyle name="Comma 3 5 6 2 3 2 2" xfId="20000" xr:uid="{00000000-0005-0000-0000-0000498B0000}"/>
    <cellStyle name="Comma 3 5 6 2 3 2 2 2" xfId="43278" xr:uid="{00000000-0005-0000-0000-00004A8B0000}"/>
    <cellStyle name="Comma 3 5 6 2 3 2 3" xfId="48174" xr:uid="{00000000-0005-0000-0000-00004B8B0000}"/>
    <cellStyle name="Comma 3 5 6 2 3 2 4" xfId="27344" xr:uid="{00000000-0005-0000-0000-00004C8B0000}"/>
    <cellStyle name="Comma 3 5 6 2 3 3" xfId="6513" xr:uid="{00000000-0005-0000-0000-00004D8B0000}"/>
    <cellStyle name="Comma 3 5 6 2 3 3 2" xfId="29792" xr:uid="{00000000-0005-0000-0000-00004E8B0000}"/>
    <cellStyle name="Comma 3 5 6 2 3 4" xfId="8961" xr:uid="{00000000-0005-0000-0000-00004F8B0000}"/>
    <cellStyle name="Comma 3 5 6 2 3 4 2" xfId="32240" xr:uid="{00000000-0005-0000-0000-0000508B0000}"/>
    <cellStyle name="Comma 3 5 6 2 3 5" xfId="11409" xr:uid="{00000000-0005-0000-0000-0000518B0000}"/>
    <cellStyle name="Comma 3 5 6 2 3 5 2" xfId="34688" xr:uid="{00000000-0005-0000-0000-0000528B0000}"/>
    <cellStyle name="Comma 3 5 6 2 3 6" xfId="13857" xr:uid="{00000000-0005-0000-0000-0000538B0000}"/>
    <cellStyle name="Comma 3 5 6 2 3 6 2" xfId="37136" xr:uid="{00000000-0005-0000-0000-0000548B0000}"/>
    <cellStyle name="Comma 3 5 6 2 3 7" xfId="17552" xr:uid="{00000000-0005-0000-0000-0000558B0000}"/>
    <cellStyle name="Comma 3 5 6 2 3 7 2" xfId="40830" xr:uid="{00000000-0005-0000-0000-0000568B0000}"/>
    <cellStyle name="Comma 3 5 6 2 3 8" xfId="24896" xr:uid="{00000000-0005-0000-0000-0000578B0000}"/>
    <cellStyle name="Comma 3 5 6 2 3 9" xfId="45726" xr:uid="{00000000-0005-0000-0000-0000588B0000}"/>
    <cellStyle name="Comma 3 5 6 2 4" xfId="2841" xr:uid="{00000000-0005-0000-0000-0000598B0000}"/>
    <cellStyle name="Comma 3 5 6 2 4 2" xfId="16328" xr:uid="{00000000-0005-0000-0000-00005A8B0000}"/>
    <cellStyle name="Comma 3 5 6 2 4 2 2" xfId="39606" xr:uid="{00000000-0005-0000-0000-00005B8B0000}"/>
    <cellStyle name="Comma 3 5 6 2 4 3" xfId="46950" xr:uid="{00000000-0005-0000-0000-00005C8B0000}"/>
    <cellStyle name="Comma 3 5 6 2 4 4" xfId="26120" xr:uid="{00000000-0005-0000-0000-00005D8B0000}"/>
    <cellStyle name="Comma 3 5 6 2 5" xfId="5289" xr:uid="{00000000-0005-0000-0000-00005E8B0000}"/>
    <cellStyle name="Comma 3 5 6 2 5 2" xfId="18776" xr:uid="{00000000-0005-0000-0000-00005F8B0000}"/>
    <cellStyle name="Comma 3 5 6 2 5 2 2" xfId="42054" xr:uid="{00000000-0005-0000-0000-0000608B0000}"/>
    <cellStyle name="Comma 3 5 6 2 5 3" xfId="28568" xr:uid="{00000000-0005-0000-0000-0000618B0000}"/>
    <cellStyle name="Comma 3 5 6 2 6" xfId="7737" xr:uid="{00000000-0005-0000-0000-0000628B0000}"/>
    <cellStyle name="Comma 3 5 6 2 6 2" xfId="31016" xr:uid="{00000000-0005-0000-0000-0000638B0000}"/>
    <cellStyle name="Comma 3 5 6 2 7" xfId="10185" xr:uid="{00000000-0005-0000-0000-0000648B0000}"/>
    <cellStyle name="Comma 3 5 6 2 7 2" xfId="33464" xr:uid="{00000000-0005-0000-0000-0000658B0000}"/>
    <cellStyle name="Comma 3 5 6 2 8" xfId="12633" xr:uid="{00000000-0005-0000-0000-0000668B0000}"/>
    <cellStyle name="Comma 3 5 6 2 8 2" xfId="35912" xr:uid="{00000000-0005-0000-0000-0000678B0000}"/>
    <cellStyle name="Comma 3 5 6 2 9" xfId="15104" xr:uid="{00000000-0005-0000-0000-0000688B0000}"/>
    <cellStyle name="Comma 3 5 6 2 9 2" xfId="38382" xr:uid="{00000000-0005-0000-0000-0000698B0000}"/>
    <cellStyle name="Comma 3 5 6 3" xfId="597" xr:uid="{00000000-0005-0000-0000-00006A8B0000}"/>
    <cellStyle name="Comma 3 5 6 3 10" xfId="23876" xr:uid="{00000000-0005-0000-0000-00006B8B0000}"/>
    <cellStyle name="Comma 3 5 6 3 11" xfId="44706" xr:uid="{00000000-0005-0000-0000-00006C8B0000}"/>
    <cellStyle name="Comma 3 5 6 3 12" xfId="21428" xr:uid="{00000000-0005-0000-0000-00006D8B0000}"/>
    <cellStyle name="Comma 3 5 6 3 2" xfId="1209" xr:uid="{00000000-0005-0000-0000-00006E8B0000}"/>
    <cellStyle name="Comma 3 5 6 3 2 10" xfId="45318" xr:uid="{00000000-0005-0000-0000-00006F8B0000}"/>
    <cellStyle name="Comma 3 5 6 3 2 11" xfId="22040" xr:uid="{00000000-0005-0000-0000-0000708B0000}"/>
    <cellStyle name="Comma 3 5 6 3 2 2" xfId="2433" xr:uid="{00000000-0005-0000-0000-0000718B0000}"/>
    <cellStyle name="Comma 3 5 6 3 2 2 10" xfId="23264" xr:uid="{00000000-0005-0000-0000-0000728B0000}"/>
    <cellStyle name="Comma 3 5 6 3 2 2 2" xfId="4881" xr:uid="{00000000-0005-0000-0000-0000738B0000}"/>
    <cellStyle name="Comma 3 5 6 3 2 2 2 2" xfId="20816" xr:uid="{00000000-0005-0000-0000-0000748B0000}"/>
    <cellStyle name="Comma 3 5 6 3 2 2 2 2 2" xfId="44094" xr:uid="{00000000-0005-0000-0000-0000758B0000}"/>
    <cellStyle name="Comma 3 5 6 3 2 2 2 3" xfId="48990" xr:uid="{00000000-0005-0000-0000-0000768B0000}"/>
    <cellStyle name="Comma 3 5 6 3 2 2 2 4" xfId="28160" xr:uid="{00000000-0005-0000-0000-0000778B0000}"/>
    <cellStyle name="Comma 3 5 6 3 2 2 3" xfId="7329" xr:uid="{00000000-0005-0000-0000-0000788B0000}"/>
    <cellStyle name="Comma 3 5 6 3 2 2 3 2" xfId="30608" xr:uid="{00000000-0005-0000-0000-0000798B0000}"/>
    <cellStyle name="Comma 3 5 6 3 2 2 4" xfId="9777" xr:uid="{00000000-0005-0000-0000-00007A8B0000}"/>
    <cellStyle name="Comma 3 5 6 3 2 2 4 2" xfId="33056" xr:uid="{00000000-0005-0000-0000-00007B8B0000}"/>
    <cellStyle name="Comma 3 5 6 3 2 2 5" xfId="12225" xr:uid="{00000000-0005-0000-0000-00007C8B0000}"/>
    <cellStyle name="Comma 3 5 6 3 2 2 5 2" xfId="35504" xr:uid="{00000000-0005-0000-0000-00007D8B0000}"/>
    <cellStyle name="Comma 3 5 6 3 2 2 6" xfId="14673" xr:uid="{00000000-0005-0000-0000-00007E8B0000}"/>
    <cellStyle name="Comma 3 5 6 3 2 2 6 2" xfId="37952" xr:uid="{00000000-0005-0000-0000-00007F8B0000}"/>
    <cellStyle name="Comma 3 5 6 3 2 2 7" xfId="18368" xr:uid="{00000000-0005-0000-0000-0000808B0000}"/>
    <cellStyle name="Comma 3 5 6 3 2 2 7 2" xfId="41646" xr:uid="{00000000-0005-0000-0000-0000818B0000}"/>
    <cellStyle name="Comma 3 5 6 3 2 2 8" xfId="25712" xr:uid="{00000000-0005-0000-0000-0000828B0000}"/>
    <cellStyle name="Comma 3 5 6 3 2 2 9" xfId="46542" xr:uid="{00000000-0005-0000-0000-0000838B0000}"/>
    <cellStyle name="Comma 3 5 6 3 2 3" xfId="3657" xr:uid="{00000000-0005-0000-0000-0000848B0000}"/>
    <cellStyle name="Comma 3 5 6 3 2 3 2" xfId="17144" xr:uid="{00000000-0005-0000-0000-0000858B0000}"/>
    <cellStyle name="Comma 3 5 6 3 2 3 2 2" xfId="40422" xr:uid="{00000000-0005-0000-0000-0000868B0000}"/>
    <cellStyle name="Comma 3 5 6 3 2 3 3" xfId="47766" xr:uid="{00000000-0005-0000-0000-0000878B0000}"/>
    <cellStyle name="Comma 3 5 6 3 2 3 4" xfId="26936" xr:uid="{00000000-0005-0000-0000-0000888B0000}"/>
    <cellStyle name="Comma 3 5 6 3 2 4" xfId="6105" xr:uid="{00000000-0005-0000-0000-0000898B0000}"/>
    <cellStyle name="Comma 3 5 6 3 2 4 2" xfId="19592" xr:uid="{00000000-0005-0000-0000-00008A8B0000}"/>
    <cellStyle name="Comma 3 5 6 3 2 4 2 2" xfId="42870" xr:uid="{00000000-0005-0000-0000-00008B8B0000}"/>
    <cellStyle name="Comma 3 5 6 3 2 4 3" xfId="29384" xr:uid="{00000000-0005-0000-0000-00008C8B0000}"/>
    <cellStyle name="Comma 3 5 6 3 2 5" xfId="8553" xr:uid="{00000000-0005-0000-0000-00008D8B0000}"/>
    <cellStyle name="Comma 3 5 6 3 2 5 2" xfId="31832" xr:uid="{00000000-0005-0000-0000-00008E8B0000}"/>
    <cellStyle name="Comma 3 5 6 3 2 6" xfId="11001" xr:uid="{00000000-0005-0000-0000-00008F8B0000}"/>
    <cellStyle name="Comma 3 5 6 3 2 6 2" xfId="34280" xr:uid="{00000000-0005-0000-0000-0000908B0000}"/>
    <cellStyle name="Comma 3 5 6 3 2 7" xfId="13449" xr:uid="{00000000-0005-0000-0000-0000918B0000}"/>
    <cellStyle name="Comma 3 5 6 3 2 7 2" xfId="36728" xr:uid="{00000000-0005-0000-0000-0000928B0000}"/>
    <cellStyle name="Comma 3 5 6 3 2 8" xfId="15920" xr:uid="{00000000-0005-0000-0000-0000938B0000}"/>
    <cellStyle name="Comma 3 5 6 3 2 8 2" xfId="39198" xr:uid="{00000000-0005-0000-0000-0000948B0000}"/>
    <cellStyle name="Comma 3 5 6 3 2 9" xfId="24488" xr:uid="{00000000-0005-0000-0000-0000958B0000}"/>
    <cellStyle name="Comma 3 5 6 3 3" xfId="1821" xr:uid="{00000000-0005-0000-0000-0000968B0000}"/>
    <cellStyle name="Comma 3 5 6 3 3 10" xfId="22652" xr:uid="{00000000-0005-0000-0000-0000978B0000}"/>
    <cellStyle name="Comma 3 5 6 3 3 2" xfId="4269" xr:uid="{00000000-0005-0000-0000-0000988B0000}"/>
    <cellStyle name="Comma 3 5 6 3 3 2 2" xfId="20204" xr:uid="{00000000-0005-0000-0000-0000998B0000}"/>
    <cellStyle name="Comma 3 5 6 3 3 2 2 2" xfId="43482" xr:uid="{00000000-0005-0000-0000-00009A8B0000}"/>
    <cellStyle name="Comma 3 5 6 3 3 2 3" xfId="48378" xr:uid="{00000000-0005-0000-0000-00009B8B0000}"/>
    <cellStyle name="Comma 3 5 6 3 3 2 4" xfId="27548" xr:uid="{00000000-0005-0000-0000-00009C8B0000}"/>
    <cellStyle name="Comma 3 5 6 3 3 3" xfId="6717" xr:uid="{00000000-0005-0000-0000-00009D8B0000}"/>
    <cellStyle name="Comma 3 5 6 3 3 3 2" xfId="29996" xr:uid="{00000000-0005-0000-0000-00009E8B0000}"/>
    <cellStyle name="Comma 3 5 6 3 3 4" xfId="9165" xr:uid="{00000000-0005-0000-0000-00009F8B0000}"/>
    <cellStyle name="Comma 3 5 6 3 3 4 2" xfId="32444" xr:uid="{00000000-0005-0000-0000-0000A08B0000}"/>
    <cellStyle name="Comma 3 5 6 3 3 5" xfId="11613" xr:uid="{00000000-0005-0000-0000-0000A18B0000}"/>
    <cellStyle name="Comma 3 5 6 3 3 5 2" xfId="34892" xr:uid="{00000000-0005-0000-0000-0000A28B0000}"/>
    <cellStyle name="Comma 3 5 6 3 3 6" xfId="14061" xr:uid="{00000000-0005-0000-0000-0000A38B0000}"/>
    <cellStyle name="Comma 3 5 6 3 3 6 2" xfId="37340" xr:uid="{00000000-0005-0000-0000-0000A48B0000}"/>
    <cellStyle name="Comma 3 5 6 3 3 7" xfId="17756" xr:uid="{00000000-0005-0000-0000-0000A58B0000}"/>
    <cellStyle name="Comma 3 5 6 3 3 7 2" xfId="41034" xr:uid="{00000000-0005-0000-0000-0000A68B0000}"/>
    <cellStyle name="Comma 3 5 6 3 3 8" xfId="25100" xr:uid="{00000000-0005-0000-0000-0000A78B0000}"/>
    <cellStyle name="Comma 3 5 6 3 3 9" xfId="45930" xr:uid="{00000000-0005-0000-0000-0000A88B0000}"/>
    <cellStyle name="Comma 3 5 6 3 4" xfId="3045" xr:uid="{00000000-0005-0000-0000-0000A98B0000}"/>
    <cellStyle name="Comma 3 5 6 3 4 2" xfId="16532" xr:uid="{00000000-0005-0000-0000-0000AA8B0000}"/>
    <cellStyle name="Comma 3 5 6 3 4 2 2" xfId="39810" xr:uid="{00000000-0005-0000-0000-0000AB8B0000}"/>
    <cellStyle name="Comma 3 5 6 3 4 3" xfId="47154" xr:uid="{00000000-0005-0000-0000-0000AC8B0000}"/>
    <cellStyle name="Comma 3 5 6 3 4 4" xfId="26324" xr:uid="{00000000-0005-0000-0000-0000AD8B0000}"/>
    <cellStyle name="Comma 3 5 6 3 5" xfId="5493" xr:uid="{00000000-0005-0000-0000-0000AE8B0000}"/>
    <cellStyle name="Comma 3 5 6 3 5 2" xfId="18980" xr:uid="{00000000-0005-0000-0000-0000AF8B0000}"/>
    <cellStyle name="Comma 3 5 6 3 5 2 2" xfId="42258" xr:uid="{00000000-0005-0000-0000-0000B08B0000}"/>
    <cellStyle name="Comma 3 5 6 3 5 3" xfId="28772" xr:uid="{00000000-0005-0000-0000-0000B18B0000}"/>
    <cellStyle name="Comma 3 5 6 3 6" xfId="7941" xr:uid="{00000000-0005-0000-0000-0000B28B0000}"/>
    <cellStyle name="Comma 3 5 6 3 6 2" xfId="31220" xr:uid="{00000000-0005-0000-0000-0000B38B0000}"/>
    <cellStyle name="Comma 3 5 6 3 7" xfId="10389" xr:uid="{00000000-0005-0000-0000-0000B48B0000}"/>
    <cellStyle name="Comma 3 5 6 3 7 2" xfId="33668" xr:uid="{00000000-0005-0000-0000-0000B58B0000}"/>
    <cellStyle name="Comma 3 5 6 3 8" xfId="12837" xr:uid="{00000000-0005-0000-0000-0000B68B0000}"/>
    <cellStyle name="Comma 3 5 6 3 8 2" xfId="36116" xr:uid="{00000000-0005-0000-0000-0000B78B0000}"/>
    <cellStyle name="Comma 3 5 6 3 9" xfId="15308" xr:uid="{00000000-0005-0000-0000-0000B88B0000}"/>
    <cellStyle name="Comma 3 5 6 3 9 2" xfId="38586" xr:uid="{00000000-0005-0000-0000-0000B98B0000}"/>
    <cellStyle name="Comma 3 5 6 4" xfId="801" xr:uid="{00000000-0005-0000-0000-0000BA8B0000}"/>
    <cellStyle name="Comma 3 5 6 4 10" xfId="44910" xr:uid="{00000000-0005-0000-0000-0000BB8B0000}"/>
    <cellStyle name="Comma 3 5 6 4 11" xfId="21632" xr:uid="{00000000-0005-0000-0000-0000BC8B0000}"/>
    <cellStyle name="Comma 3 5 6 4 2" xfId="2025" xr:uid="{00000000-0005-0000-0000-0000BD8B0000}"/>
    <cellStyle name="Comma 3 5 6 4 2 10" xfId="22856" xr:uid="{00000000-0005-0000-0000-0000BE8B0000}"/>
    <cellStyle name="Comma 3 5 6 4 2 2" xfId="4473" xr:uid="{00000000-0005-0000-0000-0000BF8B0000}"/>
    <cellStyle name="Comma 3 5 6 4 2 2 2" xfId="20408" xr:uid="{00000000-0005-0000-0000-0000C08B0000}"/>
    <cellStyle name="Comma 3 5 6 4 2 2 2 2" xfId="43686" xr:uid="{00000000-0005-0000-0000-0000C18B0000}"/>
    <cellStyle name="Comma 3 5 6 4 2 2 3" xfId="48582" xr:uid="{00000000-0005-0000-0000-0000C28B0000}"/>
    <cellStyle name="Comma 3 5 6 4 2 2 4" xfId="27752" xr:uid="{00000000-0005-0000-0000-0000C38B0000}"/>
    <cellStyle name="Comma 3 5 6 4 2 3" xfId="6921" xr:uid="{00000000-0005-0000-0000-0000C48B0000}"/>
    <cellStyle name="Comma 3 5 6 4 2 3 2" xfId="30200" xr:uid="{00000000-0005-0000-0000-0000C58B0000}"/>
    <cellStyle name="Comma 3 5 6 4 2 4" xfId="9369" xr:uid="{00000000-0005-0000-0000-0000C68B0000}"/>
    <cellStyle name="Comma 3 5 6 4 2 4 2" xfId="32648" xr:uid="{00000000-0005-0000-0000-0000C78B0000}"/>
    <cellStyle name="Comma 3 5 6 4 2 5" xfId="11817" xr:uid="{00000000-0005-0000-0000-0000C88B0000}"/>
    <cellStyle name="Comma 3 5 6 4 2 5 2" xfId="35096" xr:uid="{00000000-0005-0000-0000-0000C98B0000}"/>
    <cellStyle name="Comma 3 5 6 4 2 6" xfId="14265" xr:uid="{00000000-0005-0000-0000-0000CA8B0000}"/>
    <cellStyle name="Comma 3 5 6 4 2 6 2" xfId="37544" xr:uid="{00000000-0005-0000-0000-0000CB8B0000}"/>
    <cellStyle name="Comma 3 5 6 4 2 7" xfId="17960" xr:uid="{00000000-0005-0000-0000-0000CC8B0000}"/>
    <cellStyle name="Comma 3 5 6 4 2 7 2" xfId="41238" xr:uid="{00000000-0005-0000-0000-0000CD8B0000}"/>
    <cellStyle name="Comma 3 5 6 4 2 8" xfId="25304" xr:uid="{00000000-0005-0000-0000-0000CE8B0000}"/>
    <cellStyle name="Comma 3 5 6 4 2 9" xfId="46134" xr:uid="{00000000-0005-0000-0000-0000CF8B0000}"/>
    <cellStyle name="Comma 3 5 6 4 3" xfId="3249" xr:uid="{00000000-0005-0000-0000-0000D08B0000}"/>
    <cellStyle name="Comma 3 5 6 4 3 2" xfId="16736" xr:uid="{00000000-0005-0000-0000-0000D18B0000}"/>
    <cellStyle name="Comma 3 5 6 4 3 2 2" xfId="40014" xr:uid="{00000000-0005-0000-0000-0000D28B0000}"/>
    <cellStyle name="Comma 3 5 6 4 3 3" xfId="47358" xr:uid="{00000000-0005-0000-0000-0000D38B0000}"/>
    <cellStyle name="Comma 3 5 6 4 3 4" xfId="26528" xr:uid="{00000000-0005-0000-0000-0000D48B0000}"/>
    <cellStyle name="Comma 3 5 6 4 4" xfId="5697" xr:uid="{00000000-0005-0000-0000-0000D58B0000}"/>
    <cellStyle name="Comma 3 5 6 4 4 2" xfId="19184" xr:uid="{00000000-0005-0000-0000-0000D68B0000}"/>
    <cellStyle name="Comma 3 5 6 4 4 2 2" xfId="42462" xr:uid="{00000000-0005-0000-0000-0000D78B0000}"/>
    <cellStyle name="Comma 3 5 6 4 4 3" xfId="28976" xr:uid="{00000000-0005-0000-0000-0000D88B0000}"/>
    <cellStyle name="Comma 3 5 6 4 5" xfId="8145" xr:uid="{00000000-0005-0000-0000-0000D98B0000}"/>
    <cellStyle name="Comma 3 5 6 4 5 2" xfId="31424" xr:uid="{00000000-0005-0000-0000-0000DA8B0000}"/>
    <cellStyle name="Comma 3 5 6 4 6" xfId="10593" xr:uid="{00000000-0005-0000-0000-0000DB8B0000}"/>
    <cellStyle name="Comma 3 5 6 4 6 2" xfId="33872" xr:uid="{00000000-0005-0000-0000-0000DC8B0000}"/>
    <cellStyle name="Comma 3 5 6 4 7" xfId="13041" xr:uid="{00000000-0005-0000-0000-0000DD8B0000}"/>
    <cellStyle name="Comma 3 5 6 4 7 2" xfId="36320" xr:uid="{00000000-0005-0000-0000-0000DE8B0000}"/>
    <cellStyle name="Comma 3 5 6 4 8" xfId="15512" xr:uid="{00000000-0005-0000-0000-0000DF8B0000}"/>
    <cellStyle name="Comma 3 5 6 4 8 2" xfId="38790" xr:uid="{00000000-0005-0000-0000-0000E08B0000}"/>
    <cellStyle name="Comma 3 5 6 4 9" xfId="24080" xr:uid="{00000000-0005-0000-0000-0000E18B0000}"/>
    <cellStyle name="Comma 3 5 6 5" xfId="1413" xr:uid="{00000000-0005-0000-0000-0000E28B0000}"/>
    <cellStyle name="Comma 3 5 6 5 10" xfId="22244" xr:uid="{00000000-0005-0000-0000-0000E38B0000}"/>
    <cellStyle name="Comma 3 5 6 5 2" xfId="3861" xr:uid="{00000000-0005-0000-0000-0000E48B0000}"/>
    <cellStyle name="Comma 3 5 6 5 2 2" xfId="19796" xr:uid="{00000000-0005-0000-0000-0000E58B0000}"/>
    <cellStyle name="Comma 3 5 6 5 2 2 2" xfId="43074" xr:uid="{00000000-0005-0000-0000-0000E68B0000}"/>
    <cellStyle name="Comma 3 5 6 5 2 3" xfId="47970" xr:uid="{00000000-0005-0000-0000-0000E78B0000}"/>
    <cellStyle name="Comma 3 5 6 5 2 4" xfId="27140" xr:uid="{00000000-0005-0000-0000-0000E88B0000}"/>
    <cellStyle name="Comma 3 5 6 5 3" xfId="6309" xr:uid="{00000000-0005-0000-0000-0000E98B0000}"/>
    <cellStyle name="Comma 3 5 6 5 3 2" xfId="29588" xr:uid="{00000000-0005-0000-0000-0000EA8B0000}"/>
    <cellStyle name="Comma 3 5 6 5 4" xfId="8757" xr:uid="{00000000-0005-0000-0000-0000EB8B0000}"/>
    <cellStyle name="Comma 3 5 6 5 4 2" xfId="32036" xr:uid="{00000000-0005-0000-0000-0000EC8B0000}"/>
    <cellStyle name="Comma 3 5 6 5 5" xfId="11205" xr:uid="{00000000-0005-0000-0000-0000ED8B0000}"/>
    <cellStyle name="Comma 3 5 6 5 5 2" xfId="34484" xr:uid="{00000000-0005-0000-0000-0000EE8B0000}"/>
    <cellStyle name="Comma 3 5 6 5 6" xfId="13653" xr:uid="{00000000-0005-0000-0000-0000EF8B0000}"/>
    <cellStyle name="Comma 3 5 6 5 6 2" xfId="36932" xr:uid="{00000000-0005-0000-0000-0000F08B0000}"/>
    <cellStyle name="Comma 3 5 6 5 7" xfId="17348" xr:uid="{00000000-0005-0000-0000-0000F18B0000}"/>
    <cellStyle name="Comma 3 5 6 5 7 2" xfId="40626" xr:uid="{00000000-0005-0000-0000-0000F28B0000}"/>
    <cellStyle name="Comma 3 5 6 5 8" xfId="24692" xr:uid="{00000000-0005-0000-0000-0000F38B0000}"/>
    <cellStyle name="Comma 3 5 6 5 9" xfId="45522" xr:uid="{00000000-0005-0000-0000-0000F48B0000}"/>
    <cellStyle name="Comma 3 5 6 6" xfId="2637" xr:uid="{00000000-0005-0000-0000-0000F58B0000}"/>
    <cellStyle name="Comma 3 5 6 6 2" xfId="16124" xr:uid="{00000000-0005-0000-0000-0000F68B0000}"/>
    <cellStyle name="Comma 3 5 6 6 2 2" xfId="39402" xr:uid="{00000000-0005-0000-0000-0000F78B0000}"/>
    <cellStyle name="Comma 3 5 6 6 3" xfId="46746" xr:uid="{00000000-0005-0000-0000-0000F88B0000}"/>
    <cellStyle name="Comma 3 5 6 6 4" xfId="25916" xr:uid="{00000000-0005-0000-0000-0000F98B0000}"/>
    <cellStyle name="Comma 3 5 6 7" xfId="5085" xr:uid="{00000000-0005-0000-0000-0000FA8B0000}"/>
    <cellStyle name="Comma 3 5 6 7 2" xfId="18572" xr:uid="{00000000-0005-0000-0000-0000FB8B0000}"/>
    <cellStyle name="Comma 3 5 6 7 2 2" xfId="41850" xr:uid="{00000000-0005-0000-0000-0000FC8B0000}"/>
    <cellStyle name="Comma 3 5 6 7 3" xfId="28364" xr:uid="{00000000-0005-0000-0000-0000FD8B0000}"/>
    <cellStyle name="Comma 3 5 6 8" xfId="7533" xr:uid="{00000000-0005-0000-0000-0000FE8B0000}"/>
    <cellStyle name="Comma 3 5 6 8 2" xfId="30812" xr:uid="{00000000-0005-0000-0000-0000FF8B0000}"/>
    <cellStyle name="Comma 3 5 6 9" xfId="9981" xr:uid="{00000000-0005-0000-0000-0000008C0000}"/>
    <cellStyle name="Comma 3 5 6 9 2" xfId="33260" xr:uid="{00000000-0005-0000-0000-0000018C0000}"/>
    <cellStyle name="Comma 3 5 7" xfId="257" xr:uid="{00000000-0005-0000-0000-0000028C0000}"/>
    <cellStyle name="Comma 3 5 7 10" xfId="23536" xr:uid="{00000000-0005-0000-0000-0000038C0000}"/>
    <cellStyle name="Comma 3 5 7 11" xfId="44366" xr:uid="{00000000-0005-0000-0000-0000048C0000}"/>
    <cellStyle name="Comma 3 5 7 12" xfId="21088" xr:uid="{00000000-0005-0000-0000-0000058C0000}"/>
    <cellStyle name="Comma 3 5 7 2" xfId="869" xr:uid="{00000000-0005-0000-0000-0000068C0000}"/>
    <cellStyle name="Comma 3 5 7 2 10" xfId="44978" xr:uid="{00000000-0005-0000-0000-0000078C0000}"/>
    <cellStyle name="Comma 3 5 7 2 11" xfId="21700" xr:uid="{00000000-0005-0000-0000-0000088C0000}"/>
    <cellStyle name="Comma 3 5 7 2 2" xfId="2093" xr:uid="{00000000-0005-0000-0000-0000098C0000}"/>
    <cellStyle name="Comma 3 5 7 2 2 10" xfId="22924" xr:uid="{00000000-0005-0000-0000-00000A8C0000}"/>
    <cellStyle name="Comma 3 5 7 2 2 2" xfId="4541" xr:uid="{00000000-0005-0000-0000-00000B8C0000}"/>
    <cellStyle name="Comma 3 5 7 2 2 2 2" xfId="20476" xr:uid="{00000000-0005-0000-0000-00000C8C0000}"/>
    <cellStyle name="Comma 3 5 7 2 2 2 2 2" xfId="43754" xr:uid="{00000000-0005-0000-0000-00000D8C0000}"/>
    <cellStyle name="Comma 3 5 7 2 2 2 3" xfId="48650" xr:uid="{00000000-0005-0000-0000-00000E8C0000}"/>
    <cellStyle name="Comma 3 5 7 2 2 2 4" xfId="27820" xr:uid="{00000000-0005-0000-0000-00000F8C0000}"/>
    <cellStyle name="Comma 3 5 7 2 2 3" xfId="6989" xr:uid="{00000000-0005-0000-0000-0000108C0000}"/>
    <cellStyle name="Comma 3 5 7 2 2 3 2" xfId="30268" xr:uid="{00000000-0005-0000-0000-0000118C0000}"/>
    <cellStyle name="Comma 3 5 7 2 2 4" xfId="9437" xr:uid="{00000000-0005-0000-0000-0000128C0000}"/>
    <cellStyle name="Comma 3 5 7 2 2 4 2" xfId="32716" xr:uid="{00000000-0005-0000-0000-0000138C0000}"/>
    <cellStyle name="Comma 3 5 7 2 2 5" xfId="11885" xr:uid="{00000000-0005-0000-0000-0000148C0000}"/>
    <cellStyle name="Comma 3 5 7 2 2 5 2" xfId="35164" xr:uid="{00000000-0005-0000-0000-0000158C0000}"/>
    <cellStyle name="Comma 3 5 7 2 2 6" xfId="14333" xr:uid="{00000000-0005-0000-0000-0000168C0000}"/>
    <cellStyle name="Comma 3 5 7 2 2 6 2" xfId="37612" xr:uid="{00000000-0005-0000-0000-0000178C0000}"/>
    <cellStyle name="Comma 3 5 7 2 2 7" xfId="18028" xr:uid="{00000000-0005-0000-0000-0000188C0000}"/>
    <cellStyle name="Comma 3 5 7 2 2 7 2" xfId="41306" xr:uid="{00000000-0005-0000-0000-0000198C0000}"/>
    <cellStyle name="Comma 3 5 7 2 2 8" xfId="25372" xr:uid="{00000000-0005-0000-0000-00001A8C0000}"/>
    <cellStyle name="Comma 3 5 7 2 2 9" xfId="46202" xr:uid="{00000000-0005-0000-0000-00001B8C0000}"/>
    <cellStyle name="Comma 3 5 7 2 3" xfId="3317" xr:uid="{00000000-0005-0000-0000-00001C8C0000}"/>
    <cellStyle name="Comma 3 5 7 2 3 2" xfId="16804" xr:uid="{00000000-0005-0000-0000-00001D8C0000}"/>
    <cellStyle name="Comma 3 5 7 2 3 2 2" xfId="40082" xr:uid="{00000000-0005-0000-0000-00001E8C0000}"/>
    <cellStyle name="Comma 3 5 7 2 3 3" xfId="47426" xr:uid="{00000000-0005-0000-0000-00001F8C0000}"/>
    <cellStyle name="Comma 3 5 7 2 3 4" xfId="26596" xr:uid="{00000000-0005-0000-0000-0000208C0000}"/>
    <cellStyle name="Comma 3 5 7 2 4" xfId="5765" xr:uid="{00000000-0005-0000-0000-0000218C0000}"/>
    <cellStyle name="Comma 3 5 7 2 4 2" xfId="19252" xr:uid="{00000000-0005-0000-0000-0000228C0000}"/>
    <cellStyle name="Comma 3 5 7 2 4 2 2" xfId="42530" xr:uid="{00000000-0005-0000-0000-0000238C0000}"/>
    <cellStyle name="Comma 3 5 7 2 4 3" xfId="29044" xr:uid="{00000000-0005-0000-0000-0000248C0000}"/>
    <cellStyle name="Comma 3 5 7 2 5" xfId="8213" xr:uid="{00000000-0005-0000-0000-0000258C0000}"/>
    <cellStyle name="Comma 3 5 7 2 5 2" xfId="31492" xr:uid="{00000000-0005-0000-0000-0000268C0000}"/>
    <cellStyle name="Comma 3 5 7 2 6" xfId="10661" xr:uid="{00000000-0005-0000-0000-0000278C0000}"/>
    <cellStyle name="Comma 3 5 7 2 6 2" xfId="33940" xr:uid="{00000000-0005-0000-0000-0000288C0000}"/>
    <cellStyle name="Comma 3 5 7 2 7" xfId="13109" xr:uid="{00000000-0005-0000-0000-0000298C0000}"/>
    <cellStyle name="Comma 3 5 7 2 7 2" xfId="36388" xr:uid="{00000000-0005-0000-0000-00002A8C0000}"/>
    <cellStyle name="Comma 3 5 7 2 8" xfId="15580" xr:uid="{00000000-0005-0000-0000-00002B8C0000}"/>
    <cellStyle name="Comma 3 5 7 2 8 2" xfId="38858" xr:uid="{00000000-0005-0000-0000-00002C8C0000}"/>
    <cellStyle name="Comma 3 5 7 2 9" xfId="24148" xr:uid="{00000000-0005-0000-0000-00002D8C0000}"/>
    <cellStyle name="Comma 3 5 7 3" xfId="1481" xr:uid="{00000000-0005-0000-0000-00002E8C0000}"/>
    <cellStyle name="Comma 3 5 7 3 10" xfId="22312" xr:uid="{00000000-0005-0000-0000-00002F8C0000}"/>
    <cellStyle name="Comma 3 5 7 3 2" xfId="3929" xr:uid="{00000000-0005-0000-0000-0000308C0000}"/>
    <cellStyle name="Comma 3 5 7 3 2 2" xfId="19864" xr:uid="{00000000-0005-0000-0000-0000318C0000}"/>
    <cellStyle name="Comma 3 5 7 3 2 2 2" xfId="43142" xr:uid="{00000000-0005-0000-0000-0000328C0000}"/>
    <cellStyle name="Comma 3 5 7 3 2 3" xfId="48038" xr:uid="{00000000-0005-0000-0000-0000338C0000}"/>
    <cellStyle name="Comma 3 5 7 3 2 4" xfId="27208" xr:uid="{00000000-0005-0000-0000-0000348C0000}"/>
    <cellStyle name="Comma 3 5 7 3 3" xfId="6377" xr:uid="{00000000-0005-0000-0000-0000358C0000}"/>
    <cellStyle name="Comma 3 5 7 3 3 2" xfId="29656" xr:uid="{00000000-0005-0000-0000-0000368C0000}"/>
    <cellStyle name="Comma 3 5 7 3 4" xfId="8825" xr:uid="{00000000-0005-0000-0000-0000378C0000}"/>
    <cellStyle name="Comma 3 5 7 3 4 2" xfId="32104" xr:uid="{00000000-0005-0000-0000-0000388C0000}"/>
    <cellStyle name="Comma 3 5 7 3 5" xfId="11273" xr:uid="{00000000-0005-0000-0000-0000398C0000}"/>
    <cellStyle name="Comma 3 5 7 3 5 2" xfId="34552" xr:uid="{00000000-0005-0000-0000-00003A8C0000}"/>
    <cellStyle name="Comma 3 5 7 3 6" xfId="13721" xr:uid="{00000000-0005-0000-0000-00003B8C0000}"/>
    <cellStyle name="Comma 3 5 7 3 6 2" xfId="37000" xr:uid="{00000000-0005-0000-0000-00003C8C0000}"/>
    <cellStyle name="Comma 3 5 7 3 7" xfId="17416" xr:uid="{00000000-0005-0000-0000-00003D8C0000}"/>
    <cellStyle name="Comma 3 5 7 3 7 2" xfId="40694" xr:uid="{00000000-0005-0000-0000-00003E8C0000}"/>
    <cellStyle name="Comma 3 5 7 3 8" xfId="24760" xr:uid="{00000000-0005-0000-0000-00003F8C0000}"/>
    <cellStyle name="Comma 3 5 7 3 9" xfId="45590" xr:uid="{00000000-0005-0000-0000-0000408C0000}"/>
    <cellStyle name="Comma 3 5 7 4" xfId="2705" xr:uid="{00000000-0005-0000-0000-0000418C0000}"/>
    <cellStyle name="Comma 3 5 7 4 2" xfId="16192" xr:uid="{00000000-0005-0000-0000-0000428C0000}"/>
    <cellStyle name="Comma 3 5 7 4 2 2" xfId="39470" xr:uid="{00000000-0005-0000-0000-0000438C0000}"/>
    <cellStyle name="Comma 3 5 7 4 3" xfId="46814" xr:uid="{00000000-0005-0000-0000-0000448C0000}"/>
    <cellStyle name="Comma 3 5 7 4 4" xfId="25984" xr:uid="{00000000-0005-0000-0000-0000458C0000}"/>
    <cellStyle name="Comma 3 5 7 5" xfId="5153" xr:uid="{00000000-0005-0000-0000-0000468C0000}"/>
    <cellStyle name="Comma 3 5 7 5 2" xfId="18640" xr:uid="{00000000-0005-0000-0000-0000478C0000}"/>
    <cellStyle name="Comma 3 5 7 5 2 2" xfId="41918" xr:uid="{00000000-0005-0000-0000-0000488C0000}"/>
    <cellStyle name="Comma 3 5 7 5 3" xfId="28432" xr:uid="{00000000-0005-0000-0000-0000498C0000}"/>
    <cellStyle name="Comma 3 5 7 6" xfId="7601" xr:uid="{00000000-0005-0000-0000-00004A8C0000}"/>
    <cellStyle name="Comma 3 5 7 6 2" xfId="30880" xr:uid="{00000000-0005-0000-0000-00004B8C0000}"/>
    <cellStyle name="Comma 3 5 7 7" xfId="10049" xr:uid="{00000000-0005-0000-0000-00004C8C0000}"/>
    <cellStyle name="Comma 3 5 7 7 2" xfId="33328" xr:uid="{00000000-0005-0000-0000-00004D8C0000}"/>
    <cellStyle name="Comma 3 5 7 8" xfId="12497" xr:uid="{00000000-0005-0000-0000-00004E8C0000}"/>
    <cellStyle name="Comma 3 5 7 8 2" xfId="35776" xr:uid="{00000000-0005-0000-0000-00004F8C0000}"/>
    <cellStyle name="Comma 3 5 7 9" xfId="14968" xr:uid="{00000000-0005-0000-0000-0000508C0000}"/>
    <cellStyle name="Comma 3 5 7 9 2" xfId="38246" xr:uid="{00000000-0005-0000-0000-0000518C0000}"/>
    <cellStyle name="Comma 3 5 8" xfId="461" xr:uid="{00000000-0005-0000-0000-0000528C0000}"/>
    <cellStyle name="Comma 3 5 8 10" xfId="23740" xr:uid="{00000000-0005-0000-0000-0000538C0000}"/>
    <cellStyle name="Comma 3 5 8 11" xfId="44570" xr:uid="{00000000-0005-0000-0000-0000548C0000}"/>
    <cellStyle name="Comma 3 5 8 12" xfId="21292" xr:uid="{00000000-0005-0000-0000-0000558C0000}"/>
    <cellStyle name="Comma 3 5 8 2" xfId="1073" xr:uid="{00000000-0005-0000-0000-0000568C0000}"/>
    <cellStyle name="Comma 3 5 8 2 10" xfId="45182" xr:uid="{00000000-0005-0000-0000-0000578C0000}"/>
    <cellStyle name="Comma 3 5 8 2 11" xfId="21904" xr:uid="{00000000-0005-0000-0000-0000588C0000}"/>
    <cellStyle name="Comma 3 5 8 2 2" xfId="2297" xr:uid="{00000000-0005-0000-0000-0000598C0000}"/>
    <cellStyle name="Comma 3 5 8 2 2 10" xfId="23128" xr:uid="{00000000-0005-0000-0000-00005A8C0000}"/>
    <cellStyle name="Comma 3 5 8 2 2 2" xfId="4745" xr:uid="{00000000-0005-0000-0000-00005B8C0000}"/>
    <cellStyle name="Comma 3 5 8 2 2 2 2" xfId="20680" xr:uid="{00000000-0005-0000-0000-00005C8C0000}"/>
    <cellStyle name="Comma 3 5 8 2 2 2 2 2" xfId="43958" xr:uid="{00000000-0005-0000-0000-00005D8C0000}"/>
    <cellStyle name="Comma 3 5 8 2 2 2 3" xfId="48854" xr:uid="{00000000-0005-0000-0000-00005E8C0000}"/>
    <cellStyle name="Comma 3 5 8 2 2 2 4" xfId="28024" xr:uid="{00000000-0005-0000-0000-00005F8C0000}"/>
    <cellStyle name="Comma 3 5 8 2 2 3" xfId="7193" xr:uid="{00000000-0005-0000-0000-0000608C0000}"/>
    <cellStyle name="Comma 3 5 8 2 2 3 2" xfId="30472" xr:uid="{00000000-0005-0000-0000-0000618C0000}"/>
    <cellStyle name="Comma 3 5 8 2 2 4" xfId="9641" xr:uid="{00000000-0005-0000-0000-0000628C0000}"/>
    <cellStyle name="Comma 3 5 8 2 2 4 2" xfId="32920" xr:uid="{00000000-0005-0000-0000-0000638C0000}"/>
    <cellStyle name="Comma 3 5 8 2 2 5" xfId="12089" xr:uid="{00000000-0005-0000-0000-0000648C0000}"/>
    <cellStyle name="Comma 3 5 8 2 2 5 2" xfId="35368" xr:uid="{00000000-0005-0000-0000-0000658C0000}"/>
    <cellStyle name="Comma 3 5 8 2 2 6" xfId="14537" xr:uid="{00000000-0005-0000-0000-0000668C0000}"/>
    <cellStyle name="Comma 3 5 8 2 2 6 2" xfId="37816" xr:uid="{00000000-0005-0000-0000-0000678C0000}"/>
    <cellStyle name="Comma 3 5 8 2 2 7" xfId="18232" xr:uid="{00000000-0005-0000-0000-0000688C0000}"/>
    <cellStyle name="Comma 3 5 8 2 2 7 2" xfId="41510" xr:uid="{00000000-0005-0000-0000-0000698C0000}"/>
    <cellStyle name="Comma 3 5 8 2 2 8" xfId="25576" xr:uid="{00000000-0005-0000-0000-00006A8C0000}"/>
    <cellStyle name="Comma 3 5 8 2 2 9" xfId="46406" xr:uid="{00000000-0005-0000-0000-00006B8C0000}"/>
    <cellStyle name="Comma 3 5 8 2 3" xfId="3521" xr:uid="{00000000-0005-0000-0000-00006C8C0000}"/>
    <cellStyle name="Comma 3 5 8 2 3 2" xfId="17008" xr:uid="{00000000-0005-0000-0000-00006D8C0000}"/>
    <cellStyle name="Comma 3 5 8 2 3 2 2" xfId="40286" xr:uid="{00000000-0005-0000-0000-00006E8C0000}"/>
    <cellStyle name="Comma 3 5 8 2 3 3" xfId="47630" xr:uid="{00000000-0005-0000-0000-00006F8C0000}"/>
    <cellStyle name="Comma 3 5 8 2 3 4" xfId="26800" xr:uid="{00000000-0005-0000-0000-0000708C0000}"/>
    <cellStyle name="Comma 3 5 8 2 4" xfId="5969" xr:uid="{00000000-0005-0000-0000-0000718C0000}"/>
    <cellStyle name="Comma 3 5 8 2 4 2" xfId="19456" xr:uid="{00000000-0005-0000-0000-0000728C0000}"/>
    <cellStyle name="Comma 3 5 8 2 4 2 2" xfId="42734" xr:uid="{00000000-0005-0000-0000-0000738C0000}"/>
    <cellStyle name="Comma 3 5 8 2 4 3" xfId="29248" xr:uid="{00000000-0005-0000-0000-0000748C0000}"/>
    <cellStyle name="Comma 3 5 8 2 5" xfId="8417" xr:uid="{00000000-0005-0000-0000-0000758C0000}"/>
    <cellStyle name="Comma 3 5 8 2 5 2" xfId="31696" xr:uid="{00000000-0005-0000-0000-0000768C0000}"/>
    <cellStyle name="Comma 3 5 8 2 6" xfId="10865" xr:uid="{00000000-0005-0000-0000-0000778C0000}"/>
    <cellStyle name="Comma 3 5 8 2 6 2" xfId="34144" xr:uid="{00000000-0005-0000-0000-0000788C0000}"/>
    <cellStyle name="Comma 3 5 8 2 7" xfId="13313" xr:uid="{00000000-0005-0000-0000-0000798C0000}"/>
    <cellStyle name="Comma 3 5 8 2 7 2" xfId="36592" xr:uid="{00000000-0005-0000-0000-00007A8C0000}"/>
    <cellStyle name="Comma 3 5 8 2 8" xfId="15784" xr:uid="{00000000-0005-0000-0000-00007B8C0000}"/>
    <cellStyle name="Comma 3 5 8 2 8 2" xfId="39062" xr:uid="{00000000-0005-0000-0000-00007C8C0000}"/>
    <cellStyle name="Comma 3 5 8 2 9" xfId="24352" xr:uid="{00000000-0005-0000-0000-00007D8C0000}"/>
    <cellStyle name="Comma 3 5 8 3" xfId="1685" xr:uid="{00000000-0005-0000-0000-00007E8C0000}"/>
    <cellStyle name="Comma 3 5 8 3 10" xfId="22516" xr:uid="{00000000-0005-0000-0000-00007F8C0000}"/>
    <cellStyle name="Comma 3 5 8 3 2" xfId="4133" xr:uid="{00000000-0005-0000-0000-0000808C0000}"/>
    <cellStyle name="Comma 3 5 8 3 2 2" xfId="20068" xr:uid="{00000000-0005-0000-0000-0000818C0000}"/>
    <cellStyle name="Comma 3 5 8 3 2 2 2" xfId="43346" xr:uid="{00000000-0005-0000-0000-0000828C0000}"/>
    <cellStyle name="Comma 3 5 8 3 2 3" xfId="48242" xr:uid="{00000000-0005-0000-0000-0000838C0000}"/>
    <cellStyle name="Comma 3 5 8 3 2 4" xfId="27412" xr:uid="{00000000-0005-0000-0000-0000848C0000}"/>
    <cellStyle name="Comma 3 5 8 3 3" xfId="6581" xr:uid="{00000000-0005-0000-0000-0000858C0000}"/>
    <cellStyle name="Comma 3 5 8 3 3 2" xfId="29860" xr:uid="{00000000-0005-0000-0000-0000868C0000}"/>
    <cellStyle name="Comma 3 5 8 3 4" xfId="9029" xr:uid="{00000000-0005-0000-0000-0000878C0000}"/>
    <cellStyle name="Comma 3 5 8 3 4 2" xfId="32308" xr:uid="{00000000-0005-0000-0000-0000888C0000}"/>
    <cellStyle name="Comma 3 5 8 3 5" xfId="11477" xr:uid="{00000000-0005-0000-0000-0000898C0000}"/>
    <cellStyle name="Comma 3 5 8 3 5 2" xfId="34756" xr:uid="{00000000-0005-0000-0000-00008A8C0000}"/>
    <cellStyle name="Comma 3 5 8 3 6" xfId="13925" xr:uid="{00000000-0005-0000-0000-00008B8C0000}"/>
    <cellStyle name="Comma 3 5 8 3 6 2" xfId="37204" xr:uid="{00000000-0005-0000-0000-00008C8C0000}"/>
    <cellStyle name="Comma 3 5 8 3 7" xfId="17620" xr:uid="{00000000-0005-0000-0000-00008D8C0000}"/>
    <cellStyle name="Comma 3 5 8 3 7 2" xfId="40898" xr:uid="{00000000-0005-0000-0000-00008E8C0000}"/>
    <cellStyle name="Comma 3 5 8 3 8" xfId="24964" xr:uid="{00000000-0005-0000-0000-00008F8C0000}"/>
    <cellStyle name="Comma 3 5 8 3 9" xfId="45794" xr:uid="{00000000-0005-0000-0000-0000908C0000}"/>
    <cellStyle name="Comma 3 5 8 4" xfId="2909" xr:uid="{00000000-0005-0000-0000-0000918C0000}"/>
    <cellStyle name="Comma 3 5 8 4 2" xfId="16396" xr:uid="{00000000-0005-0000-0000-0000928C0000}"/>
    <cellStyle name="Comma 3 5 8 4 2 2" xfId="39674" xr:uid="{00000000-0005-0000-0000-0000938C0000}"/>
    <cellStyle name="Comma 3 5 8 4 3" xfId="47018" xr:uid="{00000000-0005-0000-0000-0000948C0000}"/>
    <cellStyle name="Comma 3 5 8 4 4" xfId="26188" xr:uid="{00000000-0005-0000-0000-0000958C0000}"/>
    <cellStyle name="Comma 3 5 8 5" xfId="5357" xr:uid="{00000000-0005-0000-0000-0000968C0000}"/>
    <cellStyle name="Comma 3 5 8 5 2" xfId="18844" xr:uid="{00000000-0005-0000-0000-0000978C0000}"/>
    <cellStyle name="Comma 3 5 8 5 2 2" xfId="42122" xr:uid="{00000000-0005-0000-0000-0000988C0000}"/>
    <cellStyle name="Comma 3 5 8 5 3" xfId="28636" xr:uid="{00000000-0005-0000-0000-0000998C0000}"/>
    <cellStyle name="Comma 3 5 8 6" xfId="7805" xr:uid="{00000000-0005-0000-0000-00009A8C0000}"/>
    <cellStyle name="Comma 3 5 8 6 2" xfId="31084" xr:uid="{00000000-0005-0000-0000-00009B8C0000}"/>
    <cellStyle name="Comma 3 5 8 7" xfId="10253" xr:uid="{00000000-0005-0000-0000-00009C8C0000}"/>
    <cellStyle name="Comma 3 5 8 7 2" xfId="33532" xr:uid="{00000000-0005-0000-0000-00009D8C0000}"/>
    <cellStyle name="Comma 3 5 8 8" xfId="12701" xr:uid="{00000000-0005-0000-0000-00009E8C0000}"/>
    <cellStyle name="Comma 3 5 8 8 2" xfId="35980" xr:uid="{00000000-0005-0000-0000-00009F8C0000}"/>
    <cellStyle name="Comma 3 5 8 9" xfId="15172" xr:uid="{00000000-0005-0000-0000-0000A08C0000}"/>
    <cellStyle name="Comma 3 5 8 9 2" xfId="38450" xr:uid="{00000000-0005-0000-0000-0000A18C0000}"/>
    <cellStyle name="Comma 3 5 9" xfId="665" xr:uid="{00000000-0005-0000-0000-0000A28C0000}"/>
    <cellStyle name="Comma 3 5 9 10" xfId="44774" xr:uid="{00000000-0005-0000-0000-0000A38C0000}"/>
    <cellStyle name="Comma 3 5 9 11" xfId="21496" xr:uid="{00000000-0005-0000-0000-0000A48C0000}"/>
    <cellStyle name="Comma 3 5 9 2" xfId="1889" xr:uid="{00000000-0005-0000-0000-0000A58C0000}"/>
    <cellStyle name="Comma 3 5 9 2 10" xfId="22720" xr:uid="{00000000-0005-0000-0000-0000A68C0000}"/>
    <cellStyle name="Comma 3 5 9 2 2" xfId="4337" xr:uid="{00000000-0005-0000-0000-0000A78C0000}"/>
    <cellStyle name="Comma 3 5 9 2 2 2" xfId="20272" xr:uid="{00000000-0005-0000-0000-0000A88C0000}"/>
    <cellStyle name="Comma 3 5 9 2 2 2 2" xfId="43550" xr:uid="{00000000-0005-0000-0000-0000A98C0000}"/>
    <cellStyle name="Comma 3 5 9 2 2 3" xfId="48446" xr:uid="{00000000-0005-0000-0000-0000AA8C0000}"/>
    <cellStyle name="Comma 3 5 9 2 2 4" xfId="27616" xr:uid="{00000000-0005-0000-0000-0000AB8C0000}"/>
    <cellStyle name="Comma 3 5 9 2 3" xfId="6785" xr:uid="{00000000-0005-0000-0000-0000AC8C0000}"/>
    <cellStyle name="Comma 3 5 9 2 3 2" xfId="30064" xr:uid="{00000000-0005-0000-0000-0000AD8C0000}"/>
    <cellStyle name="Comma 3 5 9 2 4" xfId="9233" xr:uid="{00000000-0005-0000-0000-0000AE8C0000}"/>
    <cellStyle name="Comma 3 5 9 2 4 2" xfId="32512" xr:uid="{00000000-0005-0000-0000-0000AF8C0000}"/>
    <cellStyle name="Comma 3 5 9 2 5" xfId="11681" xr:uid="{00000000-0005-0000-0000-0000B08C0000}"/>
    <cellStyle name="Comma 3 5 9 2 5 2" xfId="34960" xr:uid="{00000000-0005-0000-0000-0000B18C0000}"/>
    <cellStyle name="Comma 3 5 9 2 6" xfId="14129" xr:uid="{00000000-0005-0000-0000-0000B28C0000}"/>
    <cellStyle name="Comma 3 5 9 2 6 2" xfId="37408" xr:uid="{00000000-0005-0000-0000-0000B38C0000}"/>
    <cellStyle name="Comma 3 5 9 2 7" xfId="17824" xr:uid="{00000000-0005-0000-0000-0000B48C0000}"/>
    <cellStyle name="Comma 3 5 9 2 7 2" xfId="41102" xr:uid="{00000000-0005-0000-0000-0000B58C0000}"/>
    <cellStyle name="Comma 3 5 9 2 8" xfId="25168" xr:uid="{00000000-0005-0000-0000-0000B68C0000}"/>
    <cellStyle name="Comma 3 5 9 2 9" xfId="45998" xr:uid="{00000000-0005-0000-0000-0000B78C0000}"/>
    <cellStyle name="Comma 3 5 9 3" xfId="3113" xr:uid="{00000000-0005-0000-0000-0000B88C0000}"/>
    <cellStyle name="Comma 3 5 9 3 2" xfId="16600" xr:uid="{00000000-0005-0000-0000-0000B98C0000}"/>
    <cellStyle name="Comma 3 5 9 3 2 2" xfId="39878" xr:uid="{00000000-0005-0000-0000-0000BA8C0000}"/>
    <cellStyle name="Comma 3 5 9 3 3" xfId="47222" xr:uid="{00000000-0005-0000-0000-0000BB8C0000}"/>
    <cellStyle name="Comma 3 5 9 3 4" xfId="26392" xr:uid="{00000000-0005-0000-0000-0000BC8C0000}"/>
    <cellStyle name="Comma 3 5 9 4" xfId="5561" xr:uid="{00000000-0005-0000-0000-0000BD8C0000}"/>
    <cellStyle name="Comma 3 5 9 4 2" xfId="19048" xr:uid="{00000000-0005-0000-0000-0000BE8C0000}"/>
    <cellStyle name="Comma 3 5 9 4 2 2" xfId="42326" xr:uid="{00000000-0005-0000-0000-0000BF8C0000}"/>
    <cellStyle name="Comma 3 5 9 4 3" xfId="28840" xr:uid="{00000000-0005-0000-0000-0000C08C0000}"/>
    <cellStyle name="Comma 3 5 9 5" xfId="8009" xr:uid="{00000000-0005-0000-0000-0000C18C0000}"/>
    <cellStyle name="Comma 3 5 9 5 2" xfId="31288" xr:uid="{00000000-0005-0000-0000-0000C28C0000}"/>
    <cellStyle name="Comma 3 5 9 6" xfId="10457" xr:uid="{00000000-0005-0000-0000-0000C38C0000}"/>
    <cellStyle name="Comma 3 5 9 6 2" xfId="33736" xr:uid="{00000000-0005-0000-0000-0000C48C0000}"/>
    <cellStyle name="Comma 3 5 9 7" xfId="12905" xr:uid="{00000000-0005-0000-0000-0000C58C0000}"/>
    <cellStyle name="Comma 3 5 9 7 2" xfId="36184" xr:uid="{00000000-0005-0000-0000-0000C68C0000}"/>
    <cellStyle name="Comma 3 5 9 8" xfId="15376" xr:uid="{00000000-0005-0000-0000-0000C78C0000}"/>
    <cellStyle name="Comma 3 5 9 8 2" xfId="38654" xr:uid="{00000000-0005-0000-0000-0000C88C0000}"/>
    <cellStyle name="Comma 3 5 9 9" xfId="23944" xr:uid="{00000000-0005-0000-0000-0000C98C0000}"/>
    <cellStyle name="Comma 3 6" xfId="55" xr:uid="{00000000-0005-0000-0000-0000CA8C0000}"/>
    <cellStyle name="Comma 3 6 10" xfId="1279" xr:uid="{00000000-0005-0000-0000-0000CB8C0000}"/>
    <cellStyle name="Comma 3 6 10 10" xfId="22110" xr:uid="{00000000-0005-0000-0000-0000CC8C0000}"/>
    <cellStyle name="Comma 3 6 10 2" xfId="3727" xr:uid="{00000000-0005-0000-0000-0000CD8C0000}"/>
    <cellStyle name="Comma 3 6 10 2 2" xfId="17214" xr:uid="{00000000-0005-0000-0000-0000CE8C0000}"/>
    <cellStyle name="Comma 3 6 10 2 2 2" xfId="40492" xr:uid="{00000000-0005-0000-0000-0000CF8C0000}"/>
    <cellStyle name="Comma 3 6 10 2 3" xfId="47836" xr:uid="{00000000-0005-0000-0000-0000D08C0000}"/>
    <cellStyle name="Comma 3 6 10 2 4" xfId="27006" xr:uid="{00000000-0005-0000-0000-0000D18C0000}"/>
    <cellStyle name="Comma 3 6 10 3" xfId="6175" xr:uid="{00000000-0005-0000-0000-0000D28C0000}"/>
    <cellStyle name="Comma 3 6 10 3 2" xfId="19662" xr:uid="{00000000-0005-0000-0000-0000D38C0000}"/>
    <cellStyle name="Comma 3 6 10 3 2 2" xfId="42940" xr:uid="{00000000-0005-0000-0000-0000D48C0000}"/>
    <cellStyle name="Comma 3 6 10 3 3" xfId="29454" xr:uid="{00000000-0005-0000-0000-0000D58C0000}"/>
    <cellStyle name="Comma 3 6 10 4" xfId="8623" xr:uid="{00000000-0005-0000-0000-0000D68C0000}"/>
    <cellStyle name="Comma 3 6 10 4 2" xfId="31902" xr:uid="{00000000-0005-0000-0000-0000D78C0000}"/>
    <cellStyle name="Comma 3 6 10 5" xfId="11071" xr:uid="{00000000-0005-0000-0000-0000D88C0000}"/>
    <cellStyle name="Comma 3 6 10 5 2" xfId="34350" xr:uid="{00000000-0005-0000-0000-0000D98C0000}"/>
    <cellStyle name="Comma 3 6 10 6" xfId="13519" xr:uid="{00000000-0005-0000-0000-0000DA8C0000}"/>
    <cellStyle name="Comma 3 6 10 6 2" xfId="36798" xr:uid="{00000000-0005-0000-0000-0000DB8C0000}"/>
    <cellStyle name="Comma 3 6 10 7" xfId="14766" xr:uid="{00000000-0005-0000-0000-0000DC8C0000}"/>
    <cellStyle name="Comma 3 6 10 7 2" xfId="38044" xr:uid="{00000000-0005-0000-0000-0000DD8C0000}"/>
    <cellStyle name="Comma 3 6 10 8" xfId="24558" xr:uid="{00000000-0005-0000-0000-0000DE8C0000}"/>
    <cellStyle name="Comma 3 6 10 9" xfId="45388" xr:uid="{00000000-0005-0000-0000-0000DF8C0000}"/>
    <cellStyle name="Comma 3 6 11" xfId="2503" xr:uid="{00000000-0005-0000-0000-0000E08C0000}"/>
    <cellStyle name="Comma 3 6 11 2" xfId="15990" xr:uid="{00000000-0005-0000-0000-0000E18C0000}"/>
    <cellStyle name="Comma 3 6 11 2 2" xfId="39268" xr:uid="{00000000-0005-0000-0000-0000E28C0000}"/>
    <cellStyle name="Comma 3 6 11 3" xfId="46612" xr:uid="{00000000-0005-0000-0000-0000E38C0000}"/>
    <cellStyle name="Comma 3 6 11 4" xfId="25782" xr:uid="{00000000-0005-0000-0000-0000E48C0000}"/>
    <cellStyle name="Comma 3 6 12" xfId="4951" xr:uid="{00000000-0005-0000-0000-0000E58C0000}"/>
    <cellStyle name="Comma 3 6 12 2" xfId="18438" xr:uid="{00000000-0005-0000-0000-0000E68C0000}"/>
    <cellStyle name="Comma 3 6 12 2 2" xfId="41716" xr:uid="{00000000-0005-0000-0000-0000E78C0000}"/>
    <cellStyle name="Comma 3 6 12 3" xfId="28230" xr:uid="{00000000-0005-0000-0000-0000E88C0000}"/>
    <cellStyle name="Comma 3 6 13" xfId="7399" xr:uid="{00000000-0005-0000-0000-0000E98C0000}"/>
    <cellStyle name="Comma 3 6 13 2" xfId="30678" xr:uid="{00000000-0005-0000-0000-0000EA8C0000}"/>
    <cellStyle name="Comma 3 6 14" xfId="9847" xr:uid="{00000000-0005-0000-0000-0000EB8C0000}"/>
    <cellStyle name="Comma 3 6 14 2" xfId="33126" xr:uid="{00000000-0005-0000-0000-0000EC8C0000}"/>
    <cellStyle name="Comma 3 6 15" xfId="12295" xr:uid="{00000000-0005-0000-0000-0000ED8C0000}"/>
    <cellStyle name="Comma 3 6 15 2" xfId="35574" xr:uid="{00000000-0005-0000-0000-0000EE8C0000}"/>
    <cellStyle name="Comma 3 6 16" xfId="14749" xr:uid="{00000000-0005-0000-0000-0000EF8C0000}"/>
    <cellStyle name="Comma 3 6 16 2" xfId="38027" xr:uid="{00000000-0005-0000-0000-0000F08C0000}"/>
    <cellStyle name="Comma 3 6 17" xfId="23334" xr:uid="{00000000-0005-0000-0000-0000F18C0000}"/>
    <cellStyle name="Comma 3 6 18" xfId="44164" xr:uid="{00000000-0005-0000-0000-0000F28C0000}"/>
    <cellStyle name="Comma 3 6 19" xfId="20886" xr:uid="{00000000-0005-0000-0000-0000F38C0000}"/>
    <cellStyle name="Comma 3 6 2" xfId="72" xr:uid="{00000000-0005-0000-0000-0000F48C0000}"/>
    <cellStyle name="Comma 3 6 2 10" xfId="7416" xr:uid="{00000000-0005-0000-0000-0000F58C0000}"/>
    <cellStyle name="Comma 3 6 2 10 2" xfId="30695" xr:uid="{00000000-0005-0000-0000-0000F68C0000}"/>
    <cellStyle name="Comma 3 6 2 11" xfId="9864" xr:uid="{00000000-0005-0000-0000-0000F78C0000}"/>
    <cellStyle name="Comma 3 6 2 11 2" xfId="33143" xr:uid="{00000000-0005-0000-0000-0000F88C0000}"/>
    <cellStyle name="Comma 3 6 2 12" xfId="12312" xr:uid="{00000000-0005-0000-0000-0000F98C0000}"/>
    <cellStyle name="Comma 3 6 2 12 2" xfId="35591" xr:uid="{00000000-0005-0000-0000-0000FA8C0000}"/>
    <cellStyle name="Comma 3 6 2 13" xfId="14783" xr:uid="{00000000-0005-0000-0000-0000FB8C0000}"/>
    <cellStyle name="Comma 3 6 2 13 2" xfId="38061" xr:uid="{00000000-0005-0000-0000-0000FC8C0000}"/>
    <cellStyle name="Comma 3 6 2 14" xfId="23351" xr:uid="{00000000-0005-0000-0000-0000FD8C0000}"/>
    <cellStyle name="Comma 3 6 2 15" xfId="44181" xr:uid="{00000000-0005-0000-0000-0000FE8C0000}"/>
    <cellStyle name="Comma 3 6 2 16" xfId="20903" xr:uid="{00000000-0005-0000-0000-0000FF8C0000}"/>
    <cellStyle name="Comma 3 6 2 2" xfId="140" xr:uid="{00000000-0005-0000-0000-0000008D0000}"/>
    <cellStyle name="Comma 3 6 2 2 10" xfId="12380" xr:uid="{00000000-0005-0000-0000-0000018D0000}"/>
    <cellStyle name="Comma 3 6 2 2 10 2" xfId="35659" xr:uid="{00000000-0005-0000-0000-0000028D0000}"/>
    <cellStyle name="Comma 3 6 2 2 11" xfId="14851" xr:uid="{00000000-0005-0000-0000-0000038D0000}"/>
    <cellStyle name="Comma 3 6 2 2 11 2" xfId="38129" xr:uid="{00000000-0005-0000-0000-0000048D0000}"/>
    <cellStyle name="Comma 3 6 2 2 12" xfId="23419" xr:uid="{00000000-0005-0000-0000-0000058D0000}"/>
    <cellStyle name="Comma 3 6 2 2 13" xfId="44249" xr:uid="{00000000-0005-0000-0000-0000068D0000}"/>
    <cellStyle name="Comma 3 6 2 2 14" xfId="20971" xr:uid="{00000000-0005-0000-0000-0000078D0000}"/>
    <cellStyle name="Comma 3 6 2 2 2" xfId="344" xr:uid="{00000000-0005-0000-0000-0000088D0000}"/>
    <cellStyle name="Comma 3 6 2 2 2 10" xfId="23623" xr:uid="{00000000-0005-0000-0000-0000098D0000}"/>
    <cellStyle name="Comma 3 6 2 2 2 11" xfId="44453" xr:uid="{00000000-0005-0000-0000-00000A8D0000}"/>
    <cellStyle name="Comma 3 6 2 2 2 12" xfId="21175" xr:uid="{00000000-0005-0000-0000-00000B8D0000}"/>
    <cellStyle name="Comma 3 6 2 2 2 2" xfId="956" xr:uid="{00000000-0005-0000-0000-00000C8D0000}"/>
    <cellStyle name="Comma 3 6 2 2 2 2 10" xfId="45065" xr:uid="{00000000-0005-0000-0000-00000D8D0000}"/>
    <cellStyle name="Comma 3 6 2 2 2 2 11" xfId="21787" xr:uid="{00000000-0005-0000-0000-00000E8D0000}"/>
    <cellStyle name="Comma 3 6 2 2 2 2 2" xfId="2180" xr:uid="{00000000-0005-0000-0000-00000F8D0000}"/>
    <cellStyle name="Comma 3 6 2 2 2 2 2 10" xfId="23011" xr:uid="{00000000-0005-0000-0000-0000108D0000}"/>
    <cellStyle name="Comma 3 6 2 2 2 2 2 2" xfId="4628" xr:uid="{00000000-0005-0000-0000-0000118D0000}"/>
    <cellStyle name="Comma 3 6 2 2 2 2 2 2 2" xfId="20563" xr:uid="{00000000-0005-0000-0000-0000128D0000}"/>
    <cellStyle name="Comma 3 6 2 2 2 2 2 2 2 2" xfId="43841" xr:uid="{00000000-0005-0000-0000-0000138D0000}"/>
    <cellStyle name="Comma 3 6 2 2 2 2 2 2 3" xfId="48737" xr:uid="{00000000-0005-0000-0000-0000148D0000}"/>
    <cellStyle name="Comma 3 6 2 2 2 2 2 2 4" xfId="27907" xr:uid="{00000000-0005-0000-0000-0000158D0000}"/>
    <cellStyle name="Comma 3 6 2 2 2 2 2 3" xfId="7076" xr:uid="{00000000-0005-0000-0000-0000168D0000}"/>
    <cellStyle name="Comma 3 6 2 2 2 2 2 3 2" xfId="30355" xr:uid="{00000000-0005-0000-0000-0000178D0000}"/>
    <cellStyle name="Comma 3 6 2 2 2 2 2 4" xfId="9524" xr:uid="{00000000-0005-0000-0000-0000188D0000}"/>
    <cellStyle name="Comma 3 6 2 2 2 2 2 4 2" xfId="32803" xr:uid="{00000000-0005-0000-0000-0000198D0000}"/>
    <cellStyle name="Comma 3 6 2 2 2 2 2 5" xfId="11972" xr:uid="{00000000-0005-0000-0000-00001A8D0000}"/>
    <cellStyle name="Comma 3 6 2 2 2 2 2 5 2" xfId="35251" xr:uid="{00000000-0005-0000-0000-00001B8D0000}"/>
    <cellStyle name="Comma 3 6 2 2 2 2 2 6" xfId="14420" xr:uid="{00000000-0005-0000-0000-00001C8D0000}"/>
    <cellStyle name="Comma 3 6 2 2 2 2 2 6 2" xfId="37699" xr:uid="{00000000-0005-0000-0000-00001D8D0000}"/>
    <cellStyle name="Comma 3 6 2 2 2 2 2 7" xfId="18115" xr:uid="{00000000-0005-0000-0000-00001E8D0000}"/>
    <cellStyle name="Comma 3 6 2 2 2 2 2 7 2" xfId="41393" xr:uid="{00000000-0005-0000-0000-00001F8D0000}"/>
    <cellStyle name="Comma 3 6 2 2 2 2 2 8" xfId="25459" xr:uid="{00000000-0005-0000-0000-0000208D0000}"/>
    <cellStyle name="Comma 3 6 2 2 2 2 2 9" xfId="46289" xr:uid="{00000000-0005-0000-0000-0000218D0000}"/>
    <cellStyle name="Comma 3 6 2 2 2 2 3" xfId="3404" xr:uid="{00000000-0005-0000-0000-0000228D0000}"/>
    <cellStyle name="Comma 3 6 2 2 2 2 3 2" xfId="16891" xr:uid="{00000000-0005-0000-0000-0000238D0000}"/>
    <cellStyle name="Comma 3 6 2 2 2 2 3 2 2" xfId="40169" xr:uid="{00000000-0005-0000-0000-0000248D0000}"/>
    <cellStyle name="Comma 3 6 2 2 2 2 3 3" xfId="47513" xr:uid="{00000000-0005-0000-0000-0000258D0000}"/>
    <cellStyle name="Comma 3 6 2 2 2 2 3 4" xfId="26683" xr:uid="{00000000-0005-0000-0000-0000268D0000}"/>
    <cellStyle name="Comma 3 6 2 2 2 2 4" xfId="5852" xr:uid="{00000000-0005-0000-0000-0000278D0000}"/>
    <cellStyle name="Comma 3 6 2 2 2 2 4 2" xfId="19339" xr:uid="{00000000-0005-0000-0000-0000288D0000}"/>
    <cellStyle name="Comma 3 6 2 2 2 2 4 2 2" xfId="42617" xr:uid="{00000000-0005-0000-0000-0000298D0000}"/>
    <cellStyle name="Comma 3 6 2 2 2 2 4 3" xfId="29131" xr:uid="{00000000-0005-0000-0000-00002A8D0000}"/>
    <cellStyle name="Comma 3 6 2 2 2 2 5" xfId="8300" xr:uid="{00000000-0005-0000-0000-00002B8D0000}"/>
    <cellStyle name="Comma 3 6 2 2 2 2 5 2" xfId="31579" xr:uid="{00000000-0005-0000-0000-00002C8D0000}"/>
    <cellStyle name="Comma 3 6 2 2 2 2 6" xfId="10748" xr:uid="{00000000-0005-0000-0000-00002D8D0000}"/>
    <cellStyle name="Comma 3 6 2 2 2 2 6 2" xfId="34027" xr:uid="{00000000-0005-0000-0000-00002E8D0000}"/>
    <cellStyle name="Comma 3 6 2 2 2 2 7" xfId="13196" xr:uid="{00000000-0005-0000-0000-00002F8D0000}"/>
    <cellStyle name="Comma 3 6 2 2 2 2 7 2" xfId="36475" xr:uid="{00000000-0005-0000-0000-0000308D0000}"/>
    <cellStyle name="Comma 3 6 2 2 2 2 8" xfId="15667" xr:uid="{00000000-0005-0000-0000-0000318D0000}"/>
    <cellStyle name="Comma 3 6 2 2 2 2 8 2" xfId="38945" xr:uid="{00000000-0005-0000-0000-0000328D0000}"/>
    <cellStyle name="Comma 3 6 2 2 2 2 9" xfId="24235" xr:uid="{00000000-0005-0000-0000-0000338D0000}"/>
    <cellStyle name="Comma 3 6 2 2 2 3" xfId="1568" xr:uid="{00000000-0005-0000-0000-0000348D0000}"/>
    <cellStyle name="Comma 3 6 2 2 2 3 10" xfId="22399" xr:uid="{00000000-0005-0000-0000-0000358D0000}"/>
    <cellStyle name="Comma 3 6 2 2 2 3 2" xfId="4016" xr:uid="{00000000-0005-0000-0000-0000368D0000}"/>
    <cellStyle name="Comma 3 6 2 2 2 3 2 2" xfId="19951" xr:uid="{00000000-0005-0000-0000-0000378D0000}"/>
    <cellStyle name="Comma 3 6 2 2 2 3 2 2 2" xfId="43229" xr:uid="{00000000-0005-0000-0000-0000388D0000}"/>
    <cellStyle name="Comma 3 6 2 2 2 3 2 3" xfId="48125" xr:uid="{00000000-0005-0000-0000-0000398D0000}"/>
    <cellStyle name="Comma 3 6 2 2 2 3 2 4" xfId="27295" xr:uid="{00000000-0005-0000-0000-00003A8D0000}"/>
    <cellStyle name="Comma 3 6 2 2 2 3 3" xfId="6464" xr:uid="{00000000-0005-0000-0000-00003B8D0000}"/>
    <cellStyle name="Comma 3 6 2 2 2 3 3 2" xfId="29743" xr:uid="{00000000-0005-0000-0000-00003C8D0000}"/>
    <cellStyle name="Comma 3 6 2 2 2 3 4" xfId="8912" xr:uid="{00000000-0005-0000-0000-00003D8D0000}"/>
    <cellStyle name="Comma 3 6 2 2 2 3 4 2" xfId="32191" xr:uid="{00000000-0005-0000-0000-00003E8D0000}"/>
    <cellStyle name="Comma 3 6 2 2 2 3 5" xfId="11360" xr:uid="{00000000-0005-0000-0000-00003F8D0000}"/>
    <cellStyle name="Comma 3 6 2 2 2 3 5 2" xfId="34639" xr:uid="{00000000-0005-0000-0000-0000408D0000}"/>
    <cellStyle name="Comma 3 6 2 2 2 3 6" xfId="13808" xr:uid="{00000000-0005-0000-0000-0000418D0000}"/>
    <cellStyle name="Comma 3 6 2 2 2 3 6 2" xfId="37087" xr:uid="{00000000-0005-0000-0000-0000428D0000}"/>
    <cellStyle name="Comma 3 6 2 2 2 3 7" xfId="17503" xr:uid="{00000000-0005-0000-0000-0000438D0000}"/>
    <cellStyle name="Comma 3 6 2 2 2 3 7 2" xfId="40781" xr:uid="{00000000-0005-0000-0000-0000448D0000}"/>
    <cellStyle name="Comma 3 6 2 2 2 3 8" xfId="24847" xr:uid="{00000000-0005-0000-0000-0000458D0000}"/>
    <cellStyle name="Comma 3 6 2 2 2 3 9" xfId="45677" xr:uid="{00000000-0005-0000-0000-0000468D0000}"/>
    <cellStyle name="Comma 3 6 2 2 2 4" xfId="2792" xr:uid="{00000000-0005-0000-0000-0000478D0000}"/>
    <cellStyle name="Comma 3 6 2 2 2 4 2" xfId="16279" xr:uid="{00000000-0005-0000-0000-0000488D0000}"/>
    <cellStyle name="Comma 3 6 2 2 2 4 2 2" xfId="39557" xr:uid="{00000000-0005-0000-0000-0000498D0000}"/>
    <cellStyle name="Comma 3 6 2 2 2 4 3" xfId="46901" xr:uid="{00000000-0005-0000-0000-00004A8D0000}"/>
    <cellStyle name="Comma 3 6 2 2 2 4 4" xfId="26071" xr:uid="{00000000-0005-0000-0000-00004B8D0000}"/>
    <cellStyle name="Comma 3 6 2 2 2 5" xfId="5240" xr:uid="{00000000-0005-0000-0000-00004C8D0000}"/>
    <cellStyle name="Comma 3 6 2 2 2 5 2" xfId="18727" xr:uid="{00000000-0005-0000-0000-00004D8D0000}"/>
    <cellStyle name="Comma 3 6 2 2 2 5 2 2" xfId="42005" xr:uid="{00000000-0005-0000-0000-00004E8D0000}"/>
    <cellStyle name="Comma 3 6 2 2 2 5 3" xfId="28519" xr:uid="{00000000-0005-0000-0000-00004F8D0000}"/>
    <cellStyle name="Comma 3 6 2 2 2 6" xfId="7688" xr:uid="{00000000-0005-0000-0000-0000508D0000}"/>
    <cellStyle name="Comma 3 6 2 2 2 6 2" xfId="30967" xr:uid="{00000000-0005-0000-0000-0000518D0000}"/>
    <cellStyle name="Comma 3 6 2 2 2 7" xfId="10136" xr:uid="{00000000-0005-0000-0000-0000528D0000}"/>
    <cellStyle name="Comma 3 6 2 2 2 7 2" xfId="33415" xr:uid="{00000000-0005-0000-0000-0000538D0000}"/>
    <cellStyle name="Comma 3 6 2 2 2 8" xfId="12584" xr:uid="{00000000-0005-0000-0000-0000548D0000}"/>
    <cellStyle name="Comma 3 6 2 2 2 8 2" xfId="35863" xr:uid="{00000000-0005-0000-0000-0000558D0000}"/>
    <cellStyle name="Comma 3 6 2 2 2 9" xfId="15055" xr:uid="{00000000-0005-0000-0000-0000568D0000}"/>
    <cellStyle name="Comma 3 6 2 2 2 9 2" xfId="38333" xr:uid="{00000000-0005-0000-0000-0000578D0000}"/>
    <cellStyle name="Comma 3 6 2 2 3" xfId="548" xr:uid="{00000000-0005-0000-0000-0000588D0000}"/>
    <cellStyle name="Comma 3 6 2 2 3 10" xfId="23827" xr:uid="{00000000-0005-0000-0000-0000598D0000}"/>
    <cellStyle name="Comma 3 6 2 2 3 11" xfId="44657" xr:uid="{00000000-0005-0000-0000-00005A8D0000}"/>
    <cellStyle name="Comma 3 6 2 2 3 12" xfId="21379" xr:uid="{00000000-0005-0000-0000-00005B8D0000}"/>
    <cellStyle name="Comma 3 6 2 2 3 2" xfId="1160" xr:uid="{00000000-0005-0000-0000-00005C8D0000}"/>
    <cellStyle name="Comma 3 6 2 2 3 2 10" xfId="45269" xr:uid="{00000000-0005-0000-0000-00005D8D0000}"/>
    <cellStyle name="Comma 3 6 2 2 3 2 11" xfId="21991" xr:uid="{00000000-0005-0000-0000-00005E8D0000}"/>
    <cellStyle name="Comma 3 6 2 2 3 2 2" xfId="2384" xr:uid="{00000000-0005-0000-0000-00005F8D0000}"/>
    <cellStyle name="Comma 3 6 2 2 3 2 2 10" xfId="23215" xr:uid="{00000000-0005-0000-0000-0000608D0000}"/>
    <cellStyle name="Comma 3 6 2 2 3 2 2 2" xfId="4832" xr:uid="{00000000-0005-0000-0000-0000618D0000}"/>
    <cellStyle name="Comma 3 6 2 2 3 2 2 2 2" xfId="20767" xr:uid="{00000000-0005-0000-0000-0000628D0000}"/>
    <cellStyle name="Comma 3 6 2 2 3 2 2 2 2 2" xfId="44045" xr:uid="{00000000-0005-0000-0000-0000638D0000}"/>
    <cellStyle name="Comma 3 6 2 2 3 2 2 2 3" xfId="48941" xr:uid="{00000000-0005-0000-0000-0000648D0000}"/>
    <cellStyle name="Comma 3 6 2 2 3 2 2 2 4" xfId="28111" xr:uid="{00000000-0005-0000-0000-0000658D0000}"/>
    <cellStyle name="Comma 3 6 2 2 3 2 2 3" xfId="7280" xr:uid="{00000000-0005-0000-0000-0000668D0000}"/>
    <cellStyle name="Comma 3 6 2 2 3 2 2 3 2" xfId="30559" xr:uid="{00000000-0005-0000-0000-0000678D0000}"/>
    <cellStyle name="Comma 3 6 2 2 3 2 2 4" xfId="9728" xr:uid="{00000000-0005-0000-0000-0000688D0000}"/>
    <cellStyle name="Comma 3 6 2 2 3 2 2 4 2" xfId="33007" xr:uid="{00000000-0005-0000-0000-0000698D0000}"/>
    <cellStyle name="Comma 3 6 2 2 3 2 2 5" xfId="12176" xr:uid="{00000000-0005-0000-0000-00006A8D0000}"/>
    <cellStyle name="Comma 3 6 2 2 3 2 2 5 2" xfId="35455" xr:uid="{00000000-0005-0000-0000-00006B8D0000}"/>
    <cellStyle name="Comma 3 6 2 2 3 2 2 6" xfId="14624" xr:uid="{00000000-0005-0000-0000-00006C8D0000}"/>
    <cellStyle name="Comma 3 6 2 2 3 2 2 6 2" xfId="37903" xr:uid="{00000000-0005-0000-0000-00006D8D0000}"/>
    <cellStyle name="Comma 3 6 2 2 3 2 2 7" xfId="18319" xr:uid="{00000000-0005-0000-0000-00006E8D0000}"/>
    <cellStyle name="Comma 3 6 2 2 3 2 2 7 2" xfId="41597" xr:uid="{00000000-0005-0000-0000-00006F8D0000}"/>
    <cellStyle name="Comma 3 6 2 2 3 2 2 8" xfId="25663" xr:uid="{00000000-0005-0000-0000-0000708D0000}"/>
    <cellStyle name="Comma 3 6 2 2 3 2 2 9" xfId="46493" xr:uid="{00000000-0005-0000-0000-0000718D0000}"/>
    <cellStyle name="Comma 3 6 2 2 3 2 3" xfId="3608" xr:uid="{00000000-0005-0000-0000-0000728D0000}"/>
    <cellStyle name="Comma 3 6 2 2 3 2 3 2" xfId="17095" xr:uid="{00000000-0005-0000-0000-0000738D0000}"/>
    <cellStyle name="Comma 3 6 2 2 3 2 3 2 2" xfId="40373" xr:uid="{00000000-0005-0000-0000-0000748D0000}"/>
    <cellStyle name="Comma 3 6 2 2 3 2 3 3" xfId="47717" xr:uid="{00000000-0005-0000-0000-0000758D0000}"/>
    <cellStyle name="Comma 3 6 2 2 3 2 3 4" xfId="26887" xr:uid="{00000000-0005-0000-0000-0000768D0000}"/>
    <cellStyle name="Comma 3 6 2 2 3 2 4" xfId="6056" xr:uid="{00000000-0005-0000-0000-0000778D0000}"/>
    <cellStyle name="Comma 3 6 2 2 3 2 4 2" xfId="19543" xr:uid="{00000000-0005-0000-0000-0000788D0000}"/>
    <cellStyle name="Comma 3 6 2 2 3 2 4 2 2" xfId="42821" xr:uid="{00000000-0005-0000-0000-0000798D0000}"/>
    <cellStyle name="Comma 3 6 2 2 3 2 4 3" xfId="29335" xr:uid="{00000000-0005-0000-0000-00007A8D0000}"/>
    <cellStyle name="Comma 3 6 2 2 3 2 5" xfId="8504" xr:uid="{00000000-0005-0000-0000-00007B8D0000}"/>
    <cellStyle name="Comma 3 6 2 2 3 2 5 2" xfId="31783" xr:uid="{00000000-0005-0000-0000-00007C8D0000}"/>
    <cellStyle name="Comma 3 6 2 2 3 2 6" xfId="10952" xr:uid="{00000000-0005-0000-0000-00007D8D0000}"/>
    <cellStyle name="Comma 3 6 2 2 3 2 6 2" xfId="34231" xr:uid="{00000000-0005-0000-0000-00007E8D0000}"/>
    <cellStyle name="Comma 3 6 2 2 3 2 7" xfId="13400" xr:uid="{00000000-0005-0000-0000-00007F8D0000}"/>
    <cellStyle name="Comma 3 6 2 2 3 2 7 2" xfId="36679" xr:uid="{00000000-0005-0000-0000-0000808D0000}"/>
    <cellStyle name="Comma 3 6 2 2 3 2 8" xfId="15871" xr:uid="{00000000-0005-0000-0000-0000818D0000}"/>
    <cellStyle name="Comma 3 6 2 2 3 2 8 2" xfId="39149" xr:uid="{00000000-0005-0000-0000-0000828D0000}"/>
    <cellStyle name="Comma 3 6 2 2 3 2 9" xfId="24439" xr:uid="{00000000-0005-0000-0000-0000838D0000}"/>
    <cellStyle name="Comma 3 6 2 2 3 3" xfId="1772" xr:uid="{00000000-0005-0000-0000-0000848D0000}"/>
    <cellStyle name="Comma 3 6 2 2 3 3 10" xfId="22603" xr:uid="{00000000-0005-0000-0000-0000858D0000}"/>
    <cellStyle name="Comma 3 6 2 2 3 3 2" xfId="4220" xr:uid="{00000000-0005-0000-0000-0000868D0000}"/>
    <cellStyle name="Comma 3 6 2 2 3 3 2 2" xfId="20155" xr:uid="{00000000-0005-0000-0000-0000878D0000}"/>
    <cellStyle name="Comma 3 6 2 2 3 3 2 2 2" xfId="43433" xr:uid="{00000000-0005-0000-0000-0000888D0000}"/>
    <cellStyle name="Comma 3 6 2 2 3 3 2 3" xfId="48329" xr:uid="{00000000-0005-0000-0000-0000898D0000}"/>
    <cellStyle name="Comma 3 6 2 2 3 3 2 4" xfId="27499" xr:uid="{00000000-0005-0000-0000-00008A8D0000}"/>
    <cellStyle name="Comma 3 6 2 2 3 3 3" xfId="6668" xr:uid="{00000000-0005-0000-0000-00008B8D0000}"/>
    <cellStyle name="Comma 3 6 2 2 3 3 3 2" xfId="29947" xr:uid="{00000000-0005-0000-0000-00008C8D0000}"/>
    <cellStyle name="Comma 3 6 2 2 3 3 4" xfId="9116" xr:uid="{00000000-0005-0000-0000-00008D8D0000}"/>
    <cellStyle name="Comma 3 6 2 2 3 3 4 2" xfId="32395" xr:uid="{00000000-0005-0000-0000-00008E8D0000}"/>
    <cellStyle name="Comma 3 6 2 2 3 3 5" xfId="11564" xr:uid="{00000000-0005-0000-0000-00008F8D0000}"/>
    <cellStyle name="Comma 3 6 2 2 3 3 5 2" xfId="34843" xr:uid="{00000000-0005-0000-0000-0000908D0000}"/>
    <cellStyle name="Comma 3 6 2 2 3 3 6" xfId="14012" xr:uid="{00000000-0005-0000-0000-0000918D0000}"/>
    <cellStyle name="Comma 3 6 2 2 3 3 6 2" xfId="37291" xr:uid="{00000000-0005-0000-0000-0000928D0000}"/>
    <cellStyle name="Comma 3 6 2 2 3 3 7" xfId="17707" xr:uid="{00000000-0005-0000-0000-0000938D0000}"/>
    <cellStyle name="Comma 3 6 2 2 3 3 7 2" xfId="40985" xr:uid="{00000000-0005-0000-0000-0000948D0000}"/>
    <cellStyle name="Comma 3 6 2 2 3 3 8" xfId="25051" xr:uid="{00000000-0005-0000-0000-0000958D0000}"/>
    <cellStyle name="Comma 3 6 2 2 3 3 9" xfId="45881" xr:uid="{00000000-0005-0000-0000-0000968D0000}"/>
    <cellStyle name="Comma 3 6 2 2 3 4" xfId="2996" xr:uid="{00000000-0005-0000-0000-0000978D0000}"/>
    <cellStyle name="Comma 3 6 2 2 3 4 2" xfId="16483" xr:uid="{00000000-0005-0000-0000-0000988D0000}"/>
    <cellStyle name="Comma 3 6 2 2 3 4 2 2" xfId="39761" xr:uid="{00000000-0005-0000-0000-0000998D0000}"/>
    <cellStyle name="Comma 3 6 2 2 3 4 3" xfId="47105" xr:uid="{00000000-0005-0000-0000-00009A8D0000}"/>
    <cellStyle name="Comma 3 6 2 2 3 4 4" xfId="26275" xr:uid="{00000000-0005-0000-0000-00009B8D0000}"/>
    <cellStyle name="Comma 3 6 2 2 3 5" xfId="5444" xr:uid="{00000000-0005-0000-0000-00009C8D0000}"/>
    <cellStyle name="Comma 3 6 2 2 3 5 2" xfId="18931" xr:uid="{00000000-0005-0000-0000-00009D8D0000}"/>
    <cellStyle name="Comma 3 6 2 2 3 5 2 2" xfId="42209" xr:uid="{00000000-0005-0000-0000-00009E8D0000}"/>
    <cellStyle name="Comma 3 6 2 2 3 5 3" xfId="28723" xr:uid="{00000000-0005-0000-0000-00009F8D0000}"/>
    <cellStyle name="Comma 3 6 2 2 3 6" xfId="7892" xr:uid="{00000000-0005-0000-0000-0000A08D0000}"/>
    <cellStyle name="Comma 3 6 2 2 3 6 2" xfId="31171" xr:uid="{00000000-0005-0000-0000-0000A18D0000}"/>
    <cellStyle name="Comma 3 6 2 2 3 7" xfId="10340" xr:uid="{00000000-0005-0000-0000-0000A28D0000}"/>
    <cellStyle name="Comma 3 6 2 2 3 7 2" xfId="33619" xr:uid="{00000000-0005-0000-0000-0000A38D0000}"/>
    <cellStyle name="Comma 3 6 2 2 3 8" xfId="12788" xr:uid="{00000000-0005-0000-0000-0000A48D0000}"/>
    <cellStyle name="Comma 3 6 2 2 3 8 2" xfId="36067" xr:uid="{00000000-0005-0000-0000-0000A58D0000}"/>
    <cellStyle name="Comma 3 6 2 2 3 9" xfId="15259" xr:uid="{00000000-0005-0000-0000-0000A68D0000}"/>
    <cellStyle name="Comma 3 6 2 2 3 9 2" xfId="38537" xr:uid="{00000000-0005-0000-0000-0000A78D0000}"/>
    <cellStyle name="Comma 3 6 2 2 4" xfId="752" xr:uid="{00000000-0005-0000-0000-0000A88D0000}"/>
    <cellStyle name="Comma 3 6 2 2 4 10" xfId="44861" xr:uid="{00000000-0005-0000-0000-0000A98D0000}"/>
    <cellStyle name="Comma 3 6 2 2 4 11" xfId="21583" xr:uid="{00000000-0005-0000-0000-0000AA8D0000}"/>
    <cellStyle name="Comma 3 6 2 2 4 2" xfId="1976" xr:uid="{00000000-0005-0000-0000-0000AB8D0000}"/>
    <cellStyle name="Comma 3 6 2 2 4 2 10" xfId="22807" xr:uid="{00000000-0005-0000-0000-0000AC8D0000}"/>
    <cellStyle name="Comma 3 6 2 2 4 2 2" xfId="4424" xr:uid="{00000000-0005-0000-0000-0000AD8D0000}"/>
    <cellStyle name="Comma 3 6 2 2 4 2 2 2" xfId="20359" xr:uid="{00000000-0005-0000-0000-0000AE8D0000}"/>
    <cellStyle name="Comma 3 6 2 2 4 2 2 2 2" xfId="43637" xr:uid="{00000000-0005-0000-0000-0000AF8D0000}"/>
    <cellStyle name="Comma 3 6 2 2 4 2 2 3" xfId="48533" xr:uid="{00000000-0005-0000-0000-0000B08D0000}"/>
    <cellStyle name="Comma 3 6 2 2 4 2 2 4" xfId="27703" xr:uid="{00000000-0005-0000-0000-0000B18D0000}"/>
    <cellStyle name="Comma 3 6 2 2 4 2 3" xfId="6872" xr:uid="{00000000-0005-0000-0000-0000B28D0000}"/>
    <cellStyle name="Comma 3 6 2 2 4 2 3 2" xfId="30151" xr:uid="{00000000-0005-0000-0000-0000B38D0000}"/>
    <cellStyle name="Comma 3 6 2 2 4 2 4" xfId="9320" xr:uid="{00000000-0005-0000-0000-0000B48D0000}"/>
    <cellStyle name="Comma 3 6 2 2 4 2 4 2" xfId="32599" xr:uid="{00000000-0005-0000-0000-0000B58D0000}"/>
    <cellStyle name="Comma 3 6 2 2 4 2 5" xfId="11768" xr:uid="{00000000-0005-0000-0000-0000B68D0000}"/>
    <cellStyle name="Comma 3 6 2 2 4 2 5 2" xfId="35047" xr:uid="{00000000-0005-0000-0000-0000B78D0000}"/>
    <cellStyle name="Comma 3 6 2 2 4 2 6" xfId="14216" xr:uid="{00000000-0005-0000-0000-0000B88D0000}"/>
    <cellStyle name="Comma 3 6 2 2 4 2 6 2" xfId="37495" xr:uid="{00000000-0005-0000-0000-0000B98D0000}"/>
    <cellStyle name="Comma 3 6 2 2 4 2 7" xfId="17911" xr:uid="{00000000-0005-0000-0000-0000BA8D0000}"/>
    <cellStyle name="Comma 3 6 2 2 4 2 7 2" xfId="41189" xr:uid="{00000000-0005-0000-0000-0000BB8D0000}"/>
    <cellStyle name="Comma 3 6 2 2 4 2 8" xfId="25255" xr:uid="{00000000-0005-0000-0000-0000BC8D0000}"/>
    <cellStyle name="Comma 3 6 2 2 4 2 9" xfId="46085" xr:uid="{00000000-0005-0000-0000-0000BD8D0000}"/>
    <cellStyle name="Comma 3 6 2 2 4 3" xfId="3200" xr:uid="{00000000-0005-0000-0000-0000BE8D0000}"/>
    <cellStyle name="Comma 3 6 2 2 4 3 2" xfId="16687" xr:uid="{00000000-0005-0000-0000-0000BF8D0000}"/>
    <cellStyle name="Comma 3 6 2 2 4 3 2 2" xfId="39965" xr:uid="{00000000-0005-0000-0000-0000C08D0000}"/>
    <cellStyle name="Comma 3 6 2 2 4 3 3" xfId="47309" xr:uid="{00000000-0005-0000-0000-0000C18D0000}"/>
    <cellStyle name="Comma 3 6 2 2 4 3 4" xfId="26479" xr:uid="{00000000-0005-0000-0000-0000C28D0000}"/>
    <cellStyle name="Comma 3 6 2 2 4 4" xfId="5648" xr:uid="{00000000-0005-0000-0000-0000C38D0000}"/>
    <cellStyle name="Comma 3 6 2 2 4 4 2" xfId="19135" xr:uid="{00000000-0005-0000-0000-0000C48D0000}"/>
    <cellStyle name="Comma 3 6 2 2 4 4 2 2" xfId="42413" xr:uid="{00000000-0005-0000-0000-0000C58D0000}"/>
    <cellStyle name="Comma 3 6 2 2 4 4 3" xfId="28927" xr:uid="{00000000-0005-0000-0000-0000C68D0000}"/>
    <cellStyle name="Comma 3 6 2 2 4 5" xfId="8096" xr:uid="{00000000-0005-0000-0000-0000C78D0000}"/>
    <cellStyle name="Comma 3 6 2 2 4 5 2" xfId="31375" xr:uid="{00000000-0005-0000-0000-0000C88D0000}"/>
    <cellStyle name="Comma 3 6 2 2 4 6" xfId="10544" xr:uid="{00000000-0005-0000-0000-0000C98D0000}"/>
    <cellStyle name="Comma 3 6 2 2 4 6 2" xfId="33823" xr:uid="{00000000-0005-0000-0000-0000CA8D0000}"/>
    <cellStyle name="Comma 3 6 2 2 4 7" xfId="12992" xr:uid="{00000000-0005-0000-0000-0000CB8D0000}"/>
    <cellStyle name="Comma 3 6 2 2 4 7 2" xfId="36271" xr:uid="{00000000-0005-0000-0000-0000CC8D0000}"/>
    <cellStyle name="Comma 3 6 2 2 4 8" xfId="15463" xr:uid="{00000000-0005-0000-0000-0000CD8D0000}"/>
    <cellStyle name="Comma 3 6 2 2 4 8 2" xfId="38741" xr:uid="{00000000-0005-0000-0000-0000CE8D0000}"/>
    <cellStyle name="Comma 3 6 2 2 4 9" xfId="24031" xr:uid="{00000000-0005-0000-0000-0000CF8D0000}"/>
    <cellStyle name="Comma 3 6 2 2 5" xfId="1364" xr:uid="{00000000-0005-0000-0000-0000D08D0000}"/>
    <cellStyle name="Comma 3 6 2 2 5 10" xfId="22195" xr:uid="{00000000-0005-0000-0000-0000D18D0000}"/>
    <cellStyle name="Comma 3 6 2 2 5 2" xfId="3812" xr:uid="{00000000-0005-0000-0000-0000D28D0000}"/>
    <cellStyle name="Comma 3 6 2 2 5 2 2" xfId="19747" xr:uid="{00000000-0005-0000-0000-0000D38D0000}"/>
    <cellStyle name="Comma 3 6 2 2 5 2 2 2" xfId="43025" xr:uid="{00000000-0005-0000-0000-0000D48D0000}"/>
    <cellStyle name="Comma 3 6 2 2 5 2 3" xfId="47921" xr:uid="{00000000-0005-0000-0000-0000D58D0000}"/>
    <cellStyle name="Comma 3 6 2 2 5 2 4" xfId="27091" xr:uid="{00000000-0005-0000-0000-0000D68D0000}"/>
    <cellStyle name="Comma 3 6 2 2 5 3" xfId="6260" xr:uid="{00000000-0005-0000-0000-0000D78D0000}"/>
    <cellStyle name="Comma 3 6 2 2 5 3 2" xfId="29539" xr:uid="{00000000-0005-0000-0000-0000D88D0000}"/>
    <cellStyle name="Comma 3 6 2 2 5 4" xfId="8708" xr:uid="{00000000-0005-0000-0000-0000D98D0000}"/>
    <cellStyle name="Comma 3 6 2 2 5 4 2" xfId="31987" xr:uid="{00000000-0005-0000-0000-0000DA8D0000}"/>
    <cellStyle name="Comma 3 6 2 2 5 5" xfId="11156" xr:uid="{00000000-0005-0000-0000-0000DB8D0000}"/>
    <cellStyle name="Comma 3 6 2 2 5 5 2" xfId="34435" xr:uid="{00000000-0005-0000-0000-0000DC8D0000}"/>
    <cellStyle name="Comma 3 6 2 2 5 6" xfId="13604" xr:uid="{00000000-0005-0000-0000-0000DD8D0000}"/>
    <cellStyle name="Comma 3 6 2 2 5 6 2" xfId="36883" xr:uid="{00000000-0005-0000-0000-0000DE8D0000}"/>
    <cellStyle name="Comma 3 6 2 2 5 7" xfId="17299" xr:uid="{00000000-0005-0000-0000-0000DF8D0000}"/>
    <cellStyle name="Comma 3 6 2 2 5 7 2" xfId="40577" xr:uid="{00000000-0005-0000-0000-0000E08D0000}"/>
    <cellStyle name="Comma 3 6 2 2 5 8" xfId="24643" xr:uid="{00000000-0005-0000-0000-0000E18D0000}"/>
    <cellStyle name="Comma 3 6 2 2 5 9" xfId="45473" xr:uid="{00000000-0005-0000-0000-0000E28D0000}"/>
    <cellStyle name="Comma 3 6 2 2 6" xfId="2588" xr:uid="{00000000-0005-0000-0000-0000E38D0000}"/>
    <cellStyle name="Comma 3 6 2 2 6 2" xfId="16075" xr:uid="{00000000-0005-0000-0000-0000E48D0000}"/>
    <cellStyle name="Comma 3 6 2 2 6 2 2" xfId="39353" xr:uid="{00000000-0005-0000-0000-0000E58D0000}"/>
    <cellStyle name="Comma 3 6 2 2 6 3" xfId="46697" xr:uid="{00000000-0005-0000-0000-0000E68D0000}"/>
    <cellStyle name="Comma 3 6 2 2 6 4" xfId="25867" xr:uid="{00000000-0005-0000-0000-0000E78D0000}"/>
    <cellStyle name="Comma 3 6 2 2 7" xfId="5036" xr:uid="{00000000-0005-0000-0000-0000E88D0000}"/>
    <cellStyle name="Comma 3 6 2 2 7 2" xfId="18523" xr:uid="{00000000-0005-0000-0000-0000E98D0000}"/>
    <cellStyle name="Comma 3 6 2 2 7 2 2" xfId="41801" xr:uid="{00000000-0005-0000-0000-0000EA8D0000}"/>
    <cellStyle name="Comma 3 6 2 2 7 3" xfId="28315" xr:uid="{00000000-0005-0000-0000-0000EB8D0000}"/>
    <cellStyle name="Comma 3 6 2 2 8" xfId="7484" xr:uid="{00000000-0005-0000-0000-0000EC8D0000}"/>
    <cellStyle name="Comma 3 6 2 2 8 2" xfId="30763" xr:uid="{00000000-0005-0000-0000-0000ED8D0000}"/>
    <cellStyle name="Comma 3 6 2 2 9" xfId="9932" xr:uid="{00000000-0005-0000-0000-0000EE8D0000}"/>
    <cellStyle name="Comma 3 6 2 2 9 2" xfId="33211" xr:uid="{00000000-0005-0000-0000-0000EF8D0000}"/>
    <cellStyle name="Comma 3 6 2 3" xfId="208" xr:uid="{00000000-0005-0000-0000-0000F08D0000}"/>
    <cellStyle name="Comma 3 6 2 3 10" xfId="12448" xr:uid="{00000000-0005-0000-0000-0000F18D0000}"/>
    <cellStyle name="Comma 3 6 2 3 10 2" xfId="35727" xr:uid="{00000000-0005-0000-0000-0000F28D0000}"/>
    <cellStyle name="Comma 3 6 2 3 11" xfId="14919" xr:uid="{00000000-0005-0000-0000-0000F38D0000}"/>
    <cellStyle name="Comma 3 6 2 3 11 2" xfId="38197" xr:uid="{00000000-0005-0000-0000-0000F48D0000}"/>
    <cellStyle name="Comma 3 6 2 3 12" xfId="23487" xr:uid="{00000000-0005-0000-0000-0000F58D0000}"/>
    <cellStyle name="Comma 3 6 2 3 13" xfId="44317" xr:uid="{00000000-0005-0000-0000-0000F68D0000}"/>
    <cellStyle name="Comma 3 6 2 3 14" xfId="21039" xr:uid="{00000000-0005-0000-0000-0000F78D0000}"/>
    <cellStyle name="Comma 3 6 2 3 2" xfId="412" xr:uid="{00000000-0005-0000-0000-0000F88D0000}"/>
    <cellStyle name="Comma 3 6 2 3 2 10" xfId="23691" xr:uid="{00000000-0005-0000-0000-0000F98D0000}"/>
    <cellStyle name="Comma 3 6 2 3 2 11" xfId="44521" xr:uid="{00000000-0005-0000-0000-0000FA8D0000}"/>
    <cellStyle name="Comma 3 6 2 3 2 12" xfId="21243" xr:uid="{00000000-0005-0000-0000-0000FB8D0000}"/>
    <cellStyle name="Comma 3 6 2 3 2 2" xfId="1024" xr:uid="{00000000-0005-0000-0000-0000FC8D0000}"/>
    <cellStyle name="Comma 3 6 2 3 2 2 10" xfId="45133" xr:uid="{00000000-0005-0000-0000-0000FD8D0000}"/>
    <cellStyle name="Comma 3 6 2 3 2 2 11" xfId="21855" xr:uid="{00000000-0005-0000-0000-0000FE8D0000}"/>
    <cellStyle name="Comma 3 6 2 3 2 2 2" xfId="2248" xr:uid="{00000000-0005-0000-0000-0000FF8D0000}"/>
    <cellStyle name="Comma 3 6 2 3 2 2 2 10" xfId="23079" xr:uid="{00000000-0005-0000-0000-0000008E0000}"/>
    <cellStyle name="Comma 3 6 2 3 2 2 2 2" xfId="4696" xr:uid="{00000000-0005-0000-0000-0000018E0000}"/>
    <cellStyle name="Comma 3 6 2 3 2 2 2 2 2" xfId="20631" xr:uid="{00000000-0005-0000-0000-0000028E0000}"/>
    <cellStyle name="Comma 3 6 2 3 2 2 2 2 2 2" xfId="43909" xr:uid="{00000000-0005-0000-0000-0000038E0000}"/>
    <cellStyle name="Comma 3 6 2 3 2 2 2 2 3" xfId="48805" xr:uid="{00000000-0005-0000-0000-0000048E0000}"/>
    <cellStyle name="Comma 3 6 2 3 2 2 2 2 4" xfId="27975" xr:uid="{00000000-0005-0000-0000-0000058E0000}"/>
    <cellStyle name="Comma 3 6 2 3 2 2 2 3" xfId="7144" xr:uid="{00000000-0005-0000-0000-0000068E0000}"/>
    <cellStyle name="Comma 3 6 2 3 2 2 2 3 2" xfId="30423" xr:uid="{00000000-0005-0000-0000-0000078E0000}"/>
    <cellStyle name="Comma 3 6 2 3 2 2 2 4" xfId="9592" xr:uid="{00000000-0005-0000-0000-0000088E0000}"/>
    <cellStyle name="Comma 3 6 2 3 2 2 2 4 2" xfId="32871" xr:uid="{00000000-0005-0000-0000-0000098E0000}"/>
    <cellStyle name="Comma 3 6 2 3 2 2 2 5" xfId="12040" xr:uid="{00000000-0005-0000-0000-00000A8E0000}"/>
    <cellStyle name="Comma 3 6 2 3 2 2 2 5 2" xfId="35319" xr:uid="{00000000-0005-0000-0000-00000B8E0000}"/>
    <cellStyle name="Comma 3 6 2 3 2 2 2 6" xfId="14488" xr:uid="{00000000-0005-0000-0000-00000C8E0000}"/>
    <cellStyle name="Comma 3 6 2 3 2 2 2 6 2" xfId="37767" xr:uid="{00000000-0005-0000-0000-00000D8E0000}"/>
    <cellStyle name="Comma 3 6 2 3 2 2 2 7" xfId="18183" xr:uid="{00000000-0005-0000-0000-00000E8E0000}"/>
    <cellStyle name="Comma 3 6 2 3 2 2 2 7 2" xfId="41461" xr:uid="{00000000-0005-0000-0000-00000F8E0000}"/>
    <cellStyle name="Comma 3 6 2 3 2 2 2 8" xfId="25527" xr:uid="{00000000-0005-0000-0000-0000108E0000}"/>
    <cellStyle name="Comma 3 6 2 3 2 2 2 9" xfId="46357" xr:uid="{00000000-0005-0000-0000-0000118E0000}"/>
    <cellStyle name="Comma 3 6 2 3 2 2 3" xfId="3472" xr:uid="{00000000-0005-0000-0000-0000128E0000}"/>
    <cellStyle name="Comma 3 6 2 3 2 2 3 2" xfId="16959" xr:uid="{00000000-0005-0000-0000-0000138E0000}"/>
    <cellStyle name="Comma 3 6 2 3 2 2 3 2 2" xfId="40237" xr:uid="{00000000-0005-0000-0000-0000148E0000}"/>
    <cellStyle name="Comma 3 6 2 3 2 2 3 3" xfId="47581" xr:uid="{00000000-0005-0000-0000-0000158E0000}"/>
    <cellStyle name="Comma 3 6 2 3 2 2 3 4" xfId="26751" xr:uid="{00000000-0005-0000-0000-0000168E0000}"/>
    <cellStyle name="Comma 3 6 2 3 2 2 4" xfId="5920" xr:uid="{00000000-0005-0000-0000-0000178E0000}"/>
    <cellStyle name="Comma 3 6 2 3 2 2 4 2" xfId="19407" xr:uid="{00000000-0005-0000-0000-0000188E0000}"/>
    <cellStyle name="Comma 3 6 2 3 2 2 4 2 2" xfId="42685" xr:uid="{00000000-0005-0000-0000-0000198E0000}"/>
    <cellStyle name="Comma 3 6 2 3 2 2 4 3" xfId="29199" xr:uid="{00000000-0005-0000-0000-00001A8E0000}"/>
    <cellStyle name="Comma 3 6 2 3 2 2 5" xfId="8368" xr:uid="{00000000-0005-0000-0000-00001B8E0000}"/>
    <cellStyle name="Comma 3 6 2 3 2 2 5 2" xfId="31647" xr:uid="{00000000-0005-0000-0000-00001C8E0000}"/>
    <cellStyle name="Comma 3 6 2 3 2 2 6" xfId="10816" xr:uid="{00000000-0005-0000-0000-00001D8E0000}"/>
    <cellStyle name="Comma 3 6 2 3 2 2 6 2" xfId="34095" xr:uid="{00000000-0005-0000-0000-00001E8E0000}"/>
    <cellStyle name="Comma 3 6 2 3 2 2 7" xfId="13264" xr:uid="{00000000-0005-0000-0000-00001F8E0000}"/>
    <cellStyle name="Comma 3 6 2 3 2 2 7 2" xfId="36543" xr:uid="{00000000-0005-0000-0000-0000208E0000}"/>
    <cellStyle name="Comma 3 6 2 3 2 2 8" xfId="15735" xr:uid="{00000000-0005-0000-0000-0000218E0000}"/>
    <cellStyle name="Comma 3 6 2 3 2 2 8 2" xfId="39013" xr:uid="{00000000-0005-0000-0000-0000228E0000}"/>
    <cellStyle name="Comma 3 6 2 3 2 2 9" xfId="24303" xr:uid="{00000000-0005-0000-0000-0000238E0000}"/>
    <cellStyle name="Comma 3 6 2 3 2 3" xfId="1636" xr:uid="{00000000-0005-0000-0000-0000248E0000}"/>
    <cellStyle name="Comma 3 6 2 3 2 3 10" xfId="22467" xr:uid="{00000000-0005-0000-0000-0000258E0000}"/>
    <cellStyle name="Comma 3 6 2 3 2 3 2" xfId="4084" xr:uid="{00000000-0005-0000-0000-0000268E0000}"/>
    <cellStyle name="Comma 3 6 2 3 2 3 2 2" xfId="20019" xr:uid="{00000000-0005-0000-0000-0000278E0000}"/>
    <cellStyle name="Comma 3 6 2 3 2 3 2 2 2" xfId="43297" xr:uid="{00000000-0005-0000-0000-0000288E0000}"/>
    <cellStyle name="Comma 3 6 2 3 2 3 2 3" xfId="48193" xr:uid="{00000000-0005-0000-0000-0000298E0000}"/>
    <cellStyle name="Comma 3 6 2 3 2 3 2 4" xfId="27363" xr:uid="{00000000-0005-0000-0000-00002A8E0000}"/>
    <cellStyle name="Comma 3 6 2 3 2 3 3" xfId="6532" xr:uid="{00000000-0005-0000-0000-00002B8E0000}"/>
    <cellStyle name="Comma 3 6 2 3 2 3 3 2" xfId="29811" xr:uid="{00000000-0005-0000-0000-00002C8E0000}"/>
    <cellStyle name="Comma 3 6 2 3 2 3 4" xfId="8980" xr:uid="{00000000-0005-0000-0000-00002D8E0000}"/>
    <cellStyle name="Comma 3 6 2 3 2 3 4 2" xfId="32259" xr:uid="{00000000-0005-0000-0000-00002E8E0000}"/>
    <cellStyle name="Comma 3 6 2 3 2 3 5" xfId="11428" xr:uid="{00000000-0005-0000-0000-00002F8E0000}"/>
    <cellStyle name="Comma 3 6 2 3 2 3 5 2" xfId="34707" xr:uid="{00000000-0005-0000-0000-0000308E0000}"/>
    <cellStyle name="Comma 3 6 2 3 2 3 6" xfId="13876" xr:uid="{00000000-0005-0000-0000-0000318E0000}"/>
    <cellStyle name="Comma 3 6 2 3 2 3 6 2" xfId="37155" xr:uid="{00000000-0005-0000-0000-0000328E0000}"/>
    <cellStyle name="Comma 3 6 2 3 2 3 7" xfId="17571" xr:uid="{00000000-0005-0000-0000-0000338E0000}"/>
    <cellStyle name="Comma 3 6 2 3 2 3 7 2" xfId="40849" xr:uid="{00000000-0005-0000-0000-0000348E0000}"/>
    <cellStyle name="Comma 3 6 2 3 2 3 8" xfId="24915" xr:uid="{00000000-0005-0000-0000-0000358E0000}"/>
    <cellStyle name="Comma 3 6 2 3 2 3 9" xfId="45745" xr:uid="{00000000-0005-0000-0000-0000368E0000}"/>
    <cellStyle name="Comma 3 6 2 3 2 4" xfId="2860" xr:uid="{00000000-0005-0000-0000-0000378E0000}"/>
    <cellStyle name="Comma 3 6 2 3 2 4 2" xfId="16347" xr:uid="{00000000-0005-0000-0000-0000388E0000}"/>
    <cellStyle name="Comma 3 6 2 3 2 4 2 2" xfId="39625" xr:uid="{00000000-0005-0000-0000-0000398E0000}"/>
    <cellStyle name="Comma 3 6 2 3 2 4 3" xfId="46969" xr:uid="{00000000-0005-0000-0000-00003A8E0000}"/>
    <cellStyle name="Comma 3 6 2 3 2 4 4" xfId="26139" xr:uid="{00000000-0005-0000-0000-00003B8E0000}"/>
    <cellStyle name="Comma 3 6 2 3 2 5" xfId="5308" xr:uid="{00000000-0005-0000-0000-00003C8E0000}"/>
    <cellStyle name="Comma 3 6 2 3 2 5 2" xfId="18795" xr:uid="{00000000-0005-0000-0000-00003D8E0000}"/>
    <cellStyle name="Comma 3 6 2 3 2 5 2 2" xfId="42073" xr:uid="{00000000-0005-0000-0000-00003E8E0000}"/>
    <cellStyle name="Comma 3 6 2 3 2 5 3" xfId="28587" xr:uid="{00000000-0005-0000-0000-00003F8E0000}"/>
    <cellStyle name="Comma 3 6 2 3 2 6" xfId="7756" xr:uid="{00000000-0005-0000-0000-0000408E0000}"/>
    <cellStyle name="Comma 3 6 2 3 2 6 2" xfId="31035" xr:uid="{00000000-0005-0000-0000-0000418E0000}"/>
    <cellStyle name="Comma 3 6 2 3 2 7" xfId="10204" xr:uid="{00000000-0005-0000-0000-0000428E0000}"/>
    <cellStyle name="Comma 3 6 2 3 2 7 2" xfId="33483" xr:uid="{00000000-0005-0000-0000-0000438E0000}"/>
    <cellStyle name="Comma 3 6 2 3 2 8" xfId="12652" xr:uid="{00000000-0005-0000-0000-0000448E0000}"/>
    <cellStyle name="Comma 3 6 2 3 2 8 2" xfId="35931" xr:uid="{00000000-0005-0000-0000-0000458E0000}"/>
    <cellStyle name="Comma 3 6 2 3 2 9" xfId="15123" xr:uid="{00000000-0005-0000-0000-0000468E0000}"/>
    <cellStyle name="Comma 3 6 2 3 2 9 2" xfId="38401" xr:uid="{00000000-0005-0000-0000-0000478E0000}"/>
    <cellStyle name="Comma 3 6 2 3 3" xfId="616" xr:uid="{00000000-0005-0000-0000-0000488E0000}"/>
    <cellStyle name="Comma 3 6 2 3 3 10" xfId="23895" xr:uid="{00000000-0005-0000-0000-0000498E0000}"/>
    <cellStyle name="Comma 3 6 2 3 3 11" xfId="44725" xr:uid="{00000000-0005-0000-0000-00004A8E0000}"/>
    <cellStyle name="Comma 3 6 2 3 3 12" xfId="21447" xr:uid="{00000000-0005-0000-0000-00004B8E0000}"/>
    <cellStyle name="Comma 3 6 2 3 3 2" xfId="1228" xr:uid="{00000000-0005-0000-0000-00004C8E0000}"/>
    <cellStyle name="Comma 3 6 2 3 3 2 10" xfId="45337" xr:uid="{00000000-0005-0000-0000-00004D8E0000}"/>
    <cellStyle name="Comma 3 6 2 3 3 2 11" xfId="22059" xr:uid="{00000000-0005-0000-0000-00004E8E0000}"/>
    <cellStyle name="Comma 3 6 2 3 3 2 2" xfId="2452" xr:uid="{00000000-0005-0000-0000-00004F8E0000}"/>
    <cellStyle name="Comma 3 6 2 3 3 2 2 10" xfId="23283" xr:uid="{00000000-0005-0000-0000-0000508E0000}"/>
    <cellStyle name="Comma 3 6 2 3 3 2 2 2" xfId="4900" xr:uid="{00000000-0005-0000-0000-0000518E0000}"/>
    <cellStyle name="Comma 3 6 2 3 3 2 2 2 2" xfId="20835" xr:uid="{00000000-0005-0000-0000-0000528E0000}"/>
    <cellStyle name="Comma 3 6 2 3 3 2 2 2 2 2" xfId="44113" xr:uid="{00000000-0005-0000-0000-0000538E0000}"/>
    <cellStyle name="Comma 3 6 2 3 3 2 2 2 3" xfId="49009" xr:uid="{00000000-0005-0000-0000-0000548E0000}"/>
    <cellStyle name="Comma 3 6 2 3 3 2 2 2 4" xfId="28179" xr:uid="{00000000-0005-0000-0000-0000558E0000}"/>
    <cellStyle name="Comma 3 6 2 3 3 2 2 3" xfId="7348" xr:uid="{00000000-0005-0000-0000-0000568E0000}"/>
    <cellStyle name="Comma 3 6 2 3 3 2 2 3 2" xfId="30627" xr:uid="{00000000-0005-0000-0000-0000578E0000}"/>
    <cellStyle name="Comma 3 6 2 3 3 2 2 4" xfId="9796" xr:uid="{00000000-0005-0000-0000-0000588E0000}"/>
    <cellStyle name="Comma 3 6 2 3 3 2 2 4 2" xfId="33075" xr:uid="{00000000-0005-0000-0000-0000598E0000}"/>
    <cellStyle name="Comma 3 6 2 3 3 2 2 5" xfId="12244" xr:uid="{00000000-0005-0000-0000-00005A8E0000}"/>
    <cellStyle name="Comma 3 6 2 3 3 2 2 5 2" xfId="35523" xr:uid="{00000000-0005-0000-0000-00005B8E0000}"/>
    <cellStyle name="Comma 3 6 2 3 3 2 2 6" xfId="14692" xr:uid="{00000000-0005-0000-0000-00005C8E0000}"/>
    <cellStyle name="Comma 3 6 2 3 3 2 2 6 2" xfId="37971" xr:uid="{00000000-0005-0000-0000-00005D8E0000}"/>
    <cellStyle name="Comma 3 6 2 3 3 2 2 7" xfId="18387" xr:uid="{00000000-0005-0000-0000-00005E8E0000}"/>
    <cellStyle name="Comma 3 6 2 3 3 2 2 7 2" xfId="41665" xr:uid="{00000000-0005-0000-0000-00005F8E0000}"/>
    <cellStyle name="Comma 3 6 2 3 3 2 2 8" xfId="25731" xr:uid="{00000000-0005-0000-0000-0000608E0000}"/>
    <cellStyle name="Comma 3 6 2 3 3 2 2 9" xfId="46561" xr:uid="{00000000-0005-0000-0000-0000618E0000}"/>
    <cellStyle name="Comma 3 6 2 3 3 2 3" xfId="3676" xr:uid="{00000000-0005-0000-0000-0000628E0000}"/>
    <cellStyle name="Comma 3 6 2 3 3 2 3 2" xfId="17163" xr:uid="{00000000-0005-0000-0000-0000638E0000}"/>
    <cellStyle name="Comma 3 6 2 3 3 2 3 2 2" xfId="40441" xr:uid="{00000000-0005-0000-0000-0000648E0000}"/>
    <cellStyle name="Comma 3 6 2 3 3 2 3 3" xfId="47785" xr:uid="{00000000-0005-0000-0000-0000658E0000}"/>
    <cellStyle name="Comma 3 6 2 3 3 2 3 4" xfId="26955" xr:uid="{00000000-0005-0000-0000-0000668E0000}"/>
    <cellStyle name="Comma 3 6 2 3 3 2 4" xfId="6124" xr:uid="{00000000-0005-0000-0000-0000678E0000}"/>
    <cellStyle name="Comma 3 6 2 3 3 2 4 2" xfId="19611" xr:uid="{00000000-0005-0000-0000-0000688E0000}"/>
    <cellStyle name="Comma 3 6 2 3 3 2 4 2 2" xfId="42889" xr:uid="{00000000-0005-0000-0000-0000698E0000}"/>
    <cellStyle name="Comma 3 6 2 3 3 2 4 3" xfId="29403" xr:uid="{00000000-0005-0000-0000-00006A8E0000}"/>
    <cellStyle name="Comma 3 6 2 3 3 2 5" xfId="8572" xr:uid="{00000000-0005-0000-0000-00006B8E0000}"/>
    <cellStyle name="Comma 3 6 2 3 3 2 5 2" xfId="31851" xr:uid="{00000000-0005-0000-0000-00006C8E0000}"/>
    <cellStyle name="Comma 3 6 2 3 3 2 6" xfId="11020" xr:uid="{00000000-0005-0000-0000-00006D8E0000}"/>
    <cellStyle name="Comma 3 6 2 3 3 2 6 2" xfId="34299" xr:uid="{00000000-0005-0000-0000-00006E8E0000}"/>
    <cellStyle name="Comma 3 6 2 3 3 2 7" xfId="13468" xr:uid="{00000000-0005-0000-0000-00006F8E0000}"/>
    <cellStyle name="Comma 3 6 2 3 3 2 7 2" xfId="36747" xr:uid="{00000000-0005-0000-0000-0000708E0000}"/>
    <cellStyle name="Comma 3 6 2 3 3 2 8" xfId="15939" xr:uid="{00000000-0005-0000-0000-0000718E0000}"/>
    <cellStyle name="Comma 3 6 2 3 3 2 8 2" xfId="39217" xr:uid="{00000000-0005-0000-0000-0000728E0000}"/>
    <cellStyle name="Comma 3 6 2 3 3 2 9" xfId="24507" xr:uid="{00000000-0005-0000-0000-0000738E0000}"/>
    <cellStyle name="Comma 3 6 2 3 3 3" xfId="1840" xr:uid="{00000000-0005-0000-0000-0000748E0000}"/>
    <cellStyle name="Comma 3 6 2 3 3 3 10" xfId="22671" xr:uid="{00000000-0005-0000-0000-0000758E0000}"/>
    <cellStyle name="Comma 3 6 2 3 3 3 2" xfId="4288" xr:uid="{00000000-0005-0000-0000-0000768E0000}"/>
    <cellStyle name="Comma 3 6 2 3 3 3 2 2" xfId="20223" xr:uid="{00000000-0005-0000-0000-0000778E0000}"/>
    <cellStyle name="Comma 3 6 2 3 3 3 2 2 2" xfId="43501" xr:uid="{00000000-0005-0000-0000-0000788E0000}"/>
    <cellStyle name="Comma 3 6 2 3 3 3 2 3" xfId="48397" xr:uid="{00000000-0005-0000-0000-0000798E0000}"/>
    <cellStyle name="Comma 3 6 2 3 3 3 2 4" xfId="27567" xr:uid="{00000000-0005-0000-0000-00007A8E0000}"/>
    <cellStyle name="Comma 3 6 2 3 3 3 3" xfId="6736" xr:uid="{00000000-0005-0000-0000-00007B8E0000}"/>
    <cellStyle name="Comma 3 6 2 3 3 3 3 2" xfId="30015" xr:uid="{00000000-0005-0000-0000-00007C8E0000}"/>
    <cellStyle name="Comma 3 6 2 3 3 3 4" xfId="9184" xr:uid="{00000000-0005-0000-0000-00007D8E0000}"/>
    <cellStyle name="Comma 3 6 2 3 3 3 4 2" xfId="32463" xr:uid="{00000000-0005-0000-0000-00007E8E0000}"/>
    <cellStyle name="Comma 3 6 2 3 3 3 5" xfId="11632" xr:uid="{00000000-0005-0000-0000-00007F8E0000}"/>
    <cellStyle name="Comma 3 6 2 3 3 3 5 2" xfId="34911" xr:uid="{00000000-0005-0000-0000-0000808E0000}"/>
    <cellStyle name="Comma 3 6 2 3 3 3 6" xfId="14080" xr:uid="{00000000-0005-0000-0000-0000818E0000}"/>
    <cellStyle name="Comma 3 6 2 3 3 3 6 2" xfId="37359" xr:uid="{00000000-0005-0000-0000-0000828E0000}"/>
    <cellStyle name="Comma 3 6 2 3 3 3 7" xfId="17775" xr:uid="{00000000-0005-0000-0000-0000838E0000}"/>
    <cellStyle name="Comma 3 6 2 3 3 3 7 2" xfId="41053" xr:uid="{00000000-0005-0000-0000-0000848E0000}"/>
    <cellStyle name="Comma 3 6 2 3 3 3 8" xfId="25119" xr:uid="{00000000-0005-0000-0000-0000858E0000}"/>
    <cellStyle name="Comma 3 6 2 3 3 3 9" xfId="45949" xr:uid="{00000000-0005-0000-0000-0000868E0000}"/>
    <cellStyle name="Comma 3 6 2 3 3 4" xfId="3064" xr:uid="{00000000-0005-0000-0000-0000878E0000}"/>
    <cellStyle name="Comma 3 6 2 3 3 4 2" xfId="16551" xr:uid="{00000000-0005-0000-0000-0000888E0000}"/>
    <cellStyle name="Comma 3 6 2 3 3 4 2 2" xfId="39829" xr:uid="{00000000-0005-0000-0000-0000898E0000}"/>
    <cellStyle name="Comma 3 6 2 3 3 4 3" xfId="47173" xr:uid="{00000000-0005-0000-0000-00008A8E0000}"/>
    <cellStyle name="Comma 3 6 2 3 3 4 4" xfId="26343" xr:uid="{00000000-0005-0000-0000-00008B8E0000}"/>
    <cellStyle name="Comma 3 6 2 3 3 5" xfId="5512" xr:uid="{00000000-0005-0000-0000-00008C8E0000}"/>
    <cellStyle name="Comma 3 6 2 3 3 5 2" xfId="18999" xr:uid="{00000000-0005-0000-0000-00008D8E0000}"/>
    <cellStyle name="Comma 3 6 2 3 3 5 2 2" xfId="42277" xr:uid="{00000000-0005-0000-0000-00008E8E0000}"/>
    <cellStyle name="Comma 3 6 2 3 3 5 3" xfId="28791" xr:uid="{00000000-0005-0000-0000-00008F8E0000}"/>
    <cellStyle name="Comma 3 6 2 3 3 6" xfId="7960" xr:uid="{00000000-0005-0000-0000-0000908E0000}"/>
    <cellStyle name="Comma 3 6 2 3 3 6 2" xfId="31239" xr:uid="{00000000-0005-0000-0000-0000918E0000}"/>
    <cellStyle name="Comma 3 6 2 3 3 7" xfId="10408" xr:uid="{00000000-0005-0000-0000-0000928E0000}"/>
    <cellStyle name="Comma 3 6 2 3 3 7 2" xfId="33687" xr:uid="{00000000-0005-0000-0000-0000938E0000}"/>
    <cellStyle name="Comma 3 6 2 3 3 8" xfId="12856" xr:uid="{00000000-0005-0000-0000-0000948E0000}"/>
    <cellStyle name="Comma 3 6 2 3 3 8 2" xfId="36135" xr:uid="{00000000-0005-0000-0000-0000958E0000}"/>
    <cellStyle name="Comma 3 6 2 3 3 9" xfId="15327" xr:uid="{00000000-0005-0000-0000-0000968E0000}"/>
    <cellStyle name="Comma 3 6 2 3 3 9 2" xfId="38605" xr:uid="{00000000-0005-0000-0000-0000978E0000}"/>
    <cellStyle name="Comma 3 6 2 3 4" xfId="820" xr:uid="{00000000-0005-0000-0000-0000988E0000}"/>
    <cellStyle name="Comma 3 6 2 3 4 10" xfId="44929" xr:uid="{00000000-0005-0000-0000-0000998E0000}"/>
    <cellStyle name="Comma 3 6 2 3 4 11" xfId="21651" xr:uid="{00000000-0005-0000-0000-00009A8E0000}"/>
    <cellStyle name="Comma 3 6 2 3 4 2" xfId="2044" xr:uid="{00000000-0005-0000-0000-00009B8E0000}"/>
    <cellStyle name="Comma 3 6 2 3 4 2 10" xfId="22875" xr:uid="{00000000-0005-0000-0000-00009C8E0000}"/>
    <cellStyle name="Comma 3 6 2 3 4 2 2" xfId="4492" xr:uid="{00000000-0005-0000-0000-00009D8E0000}"/>
    <cellStyle name="Comma 3 6 2 3 4 2 2 2" xfId="20427" xr:uid="{00000000-0005-0000-0000-00009E8E0000}"/>
    <cellStyle name="Comma 3 6 2 3 4 2 2 2 2" xfId="43705" xr:uid="{00000000-0005-0000-0000-00009F8E0000}"/>
    <cellStyle name="Comma 3 6 2 3 4 2 2 3" xfId="48601" xr:uid="{00000000-0005-0000-0000-0000A08E0000}"/>
    <cellStyle name="Comma 3 6 2 3 4 2 2 4" xfId="27771" xr:uid="{00000000-0005-0000-0000-0000A18E0000}"/>
    <cellStyle name="Comma 3 6 2 3 4 2 3" xfId="6940" xr:uid="{00000000-0005-0000-0000-0000A28E0000}"/>
    <cellStyle name="Comma 3 6 2 3 4 2 3 2" xfId="30219" xr:uid="{00000000-0005-0000-0000-0000A38E0000}"/>
    <cellStyle name="Comma 3 6 2 3 4 2 4" xfId="9388" xr:uid="{00000000-0005-0000-0000-0000A48E0000}"/>
    <cellStyle name="Comma 3 6 2 3 4 2 4 2" xfId="32667" xr:uid="{00000000-0005-0000-0000-0000A58E0000}"/>
    <cellStyle name="Comma 3 6 2 3 4 2 5" xfId="11836" xr:uid="{00000000-0005-0000-0000-0000A68E0000}"/>
    <cellStyle name="Comma 3 6 2 3 4 2 5 2" xfId="35115" xr:uid="{00000000-0005-0000-0000-0000A78E0000}"/>
    <cellStyle name="Comma 3 6 2 3 4 2 6" xfId="14284" xr:uid="{00000000-0005-0000-0000-0000A88E0000}"/>
    <cellStyle name="Comma 3 6 2 3 4 2 6 2" xfId="37563" xr:uid="{00000000-0005-0000-0000-0000A98E0000}"/>
    <cellStyle name="Comma 3 6 2 3 4 2 7" xfId="17979" xr:uid="{00000000-0005-0000-0000-0000AA8E0000}"/>
    <cellStyle name="Comma 3 6 2 3 4 2 7 2" xfId="41257" xr:uid="{00000000-0005-0000-0000-0000AB8E0000}"/>
    <cellStyle name="Comma 3 6 2 3 4 2 8" xfId="25323" xr:uid="{00000000-0005-0000-0000-0000AC8E0000}"/>
    <cellStyle name="Comma 3 6 2 3 4 2 9" xfId="46153" xr:uid="{00000000-0005-0000-0000-0000AD8E0000}"/>
    <cellStyle name="Comma 3 6 2 3 4 3" xfId="3268" xr:uid="{00000000-0005-0000-0000-0000AE8E0000}"/>
    <cellStyle name="Comma 3 6 2 3 4 3 2" xfId="16755" xr:uid="{00000000-0005-0000-0000-0000AF8E0000}"/>
    <cellStyle name="Comma 3 6 2 3 4 3 2 2" xfId="40033" xr:uid="{00000000-0005-0000-0000-0000B08E0000}"/>
    <cellStyle name="Comma 3 6 2 3 4 3 3" xfId="47377" xr:uid="{00000000-0005-0000-0000-0000B18E0000}"/>
    <cellStyle name="Comma 3 6 2 3 4 3 4" xfId="26547" xr:uid="{00000000-0005-0000-0000-0000B28E0000}"/>
    <cellStyle name="Comma 3 6 2 3 4 4" xfId="5716" xr:uid="{00000000-0005-0000-0000-0000B38E0000}"/>
    <cellStyle name="Comma 3 6 2 3 4 4 2" xfId="19203" xr:uid="{00000000-0005-0000-0000-0000B48E0000}"/>
    <cellStyle name="Comma 3 6 2 3 4 4 2 2" xfId="42481" xr:uid="{00000000-0005-0000-0000-0000B58E0000}"/>
    <cellStyle name="Comma 3 6 2 3 4 4 3" xfId="28995" xr:uid="{00000000-0005-0000-0000-0000B68E0000}"/>
    <cellStyle name="Comma 3 6 2 3 4 5" xfId="8164" xr:uid="{00000000-0005-0000-0000-0000B78E0000}"/>
    <cellStyle name="Comma 3 6 2 3 4 5 2" xfId="31443" xr:uid="{00000000-0005-0000-0000-0000B88E0000}"/>
    <cellStyle name="Comma 3 6 2 3 4 6" xfId="10612" xr:uid="{00000000-0005-0000-0000-0000B98E0000}"/>
    <cellStyle name="Comma 3 6 2 3 4 6 2" xfId="33891" xr:uid="{00000000-0005-0000-0000-0000BA8E0000}"/>
    <cellStyle name="Comma 3 6 2 3 4 7" xfId="13060" xr:uid="{00000000-0005-0000-0000-0000BB8E0000}"/>
    <cellStyle name="Comma 3 6 2 3 4 7 2" xfId="36339" xr:uid="{00000000-0005-0000-0000-0000BC8E0000}"/>
    <cellStyle name="Comma 3 6 2 3 4 8" xfId="15531" xr:uid="{00000000-0005-0000-0000-0000BD8E0000}"/>
    <cellStyle name="Comma 3 6 2 3 4 8 2" xfId="38809" xr:uid="{00000000-0005-0000-0000-0000BE8E0000}"/>
    <cellStyle name="Comma 3 6 2 3 4 9" xfId="24099" xr:uid="{00000000-0005-0000-0000-0000BF8E0000}"/>
    <cellStyle name="Comma 3 6 2 3 5" xfId="1432" xr:uid="{00000000-0005-0000-0000-0000C08E0000}"/>
    <cellStyle name="Comma 3 6 2 3 5 10" xfId="22263" xr:uid="{00000000-0005-0000-0000-0000C18E0000}"/>
    <cellStyle name="Comma 3 6 2 3 5 2" xfId="3880" xr:uid="{00000000-0005-0000-0000-0000C28E0000}"/>
    <cellStyle name="Comma 3 6 2 3 5 2 2" xfId="19815" xr:uid="{00000000-0005-0000-0000-0000C38E0000}"/>
    <cellStyle name="Comma 3 6 2 3 5 2 2 2" xfId="43093" xr:uid="{00000000-0005-0000-0000-0000C48E0000}"/>
    <cellStyle name="Comma 3 6 2 3 5 2 3" xfId="47989" xr:uid="{00000000-0005-0000-0000-0000C58E0000}"/>
    <cellStyle name="Comma 3 6 2 3 5 2 4" xfId="27159" xr:uid="{00000000-0005-0000-0000-0000C68E0000}"/>
    <cellStyle name="Comma 3 6 2 3 5 3" xfId="6328" xr:uid="{00000000-0005-0000-0000-0000C78E0000}"/>
    <cellStyle name="Comma 3 6 2 3 5 3 2" xfId="29607" xr:uid="{00000000-0005-0000-0000-0000C88E0000}"/>
    <cellStyle name="Comma 3 6 2 3 5 4" xfId="8776" xr:uid="{00000000-0005-0000-0000-0000C98E0000}"/>
    <cellStyle name="Comma 3 6 2 3 5 4 2" xfId="32055" xr:uid="{00000000-0005-0000-0000-0000CA8E0000}"/>
    <cellStyle name="Comma 3 6 2 3 5 5" xfId="11224" xr:uid="{00000000-0005-0000-0000-0000CB8E0000}"/>
    <cellStyle name="Comma 3 6 2 3 5 5 2" xfId="34503" xr:uid="{00000000-0005-0000-0000-0000CC8E0000}"/>
    <cellStyle name="Comma 3 6 2 3 5 6" xfId="13672" xr:uid="{00000000-0005-0000-0000-0000CD8E0000}"/>
    <cellStyle name="Comma 3 6 2 3 5 6 2" xfId="36951" xr:uid="{00000000-0005-0000-0000-0000CE8E0000}"/>
    <cellStyle name="Comma 3 6 2 3 5 7" xfId="17367" xr:uid="{00000000-0005-0000-0000-0000CF8E0000}"/>
    <cellStyle name="Comma 3 6 2 3 5 7 2" xfId="40645" xr:uid="{00000000-0005-0000-0000-0000D08E0000}"/>
    <cellStyle name="Comma 3 6 2 3 5 8" xfId="24711" xr:uid="{00000000-0005-0000-0000-0000D18E0000}"/>
    <cellStyle name="Comma 3 6 2 3 5 9" xfId="45541" xr:uid="{00000000-0005-0000-0000-0000D28E0000}"/>
    <cellStyle name="Comma 3 6 2 3 6" xfId="2656" xr:uid="{00000000-0005-0000-0000-0000D38E0000}"/>
    <cellStyle name="Comma 3 6 2 3 6 2" xfId="16143" xr:uid="{00000000-0005-0000-0000-0000D48E0000}"/>
    <cellStyle name="Comma 3 6 2 3 6 2 2" xfId="39421" xr:uid="{00000000-0005-0000-0000-0000D58E0000}"/>
    <cellStyle name="Comma 3 6 2 3 6 3" xfId="46765" xr:uid="{00000000-0005-0000-0000-0000D68E0000}"/>
    <cellStyle name="Comma 3 6 2 3 6 4" xfId="25935" xr:uid="{00000000-0005-0000-0000-0000D78E0000}"/>
    <cellStyle name="Comma 3 6 2 3 7" xfId="5104" xr:uid="{00000000-0005-0000-0000-0000D88E0000}"/>
    <cellStyle name="Comma 3 6 2 3 7 2" xfId="18591" xr:uid="{00000000-0005-0000-0000-0000D98E0000}"/>
    <cellStyle name="Comma 3 6 2 3 7 2 2" xfId="41869" xr:uid="{00000000-0005-0000-0000-0000DA8E0000}"/>
    <cellStyle name="Comma 3 6 2 3 7 3" xfId="28383" xr:uid="{00000000-0005-0000-0000-0000DB8E0000}"/>
    <cellStyle name="Comma 3 6 2 3 8" xfId="7552" xr:uid="{00000000-0005-0000-0000-0000DC8E0000}"/>
    <cellStyle name="Comma 3 6 2 3 8 2" xfId="30831" xr:uid="{00000000-0005-0000-0000-0000DD8E0000}"/>
    <cellStyle name="Comma 3 6 2 3 9" xfId="10000" xr:uid="{00000000-0005-0000-0000-0000DE8E0000}"/>
    <cellStyle name="Comma 3 6 2 3 9 2" xfId="33279" xr:uid="{00000000-0005-0000-0000-0000DF8E0000}"/>
    <cellStyle name="Comma 3 6 2 4" xfId="276" xr:uid="{00000000-0005-0000-0000-0000E08E0000}"/>
    <cellStyle name="Comma 3 6 2 4 10" xfId="23555" xr:uid="{00000000-0005-0000-0000-0000E18E0000}"/>
    <cellStyle name="Comma 3 6 2 4 11" xfId="44385" xr:uid="{00000000-0005-0000-0000-0000E28E0000}"/>
    <cellStyle name="Comma 3 6 2 4 12" xfId="21107" xr:uid="{00000000-0005-0000-0000-0000E38E0000}"/>
    <cellStyle name="Comma 3 6 2 4 2" xfId="888" xr:uid="{00000000-0005-0000-0000-0000E48E0000}"/>
    <cellStyle name="Comma 3 6 2 4 2 10" xfId="44997" xr:uid="{00000000-0005-0000-0000-0000E58E0000}"/>
    <cellStyle name="Comma 3 6 2 4 2 11" xfId="21719" xr:uid="{00000000-0005-0000-0000-0000E68E0000}"/>
    <cellStyle name="Comma 3 6 2 4 2 2" xfId="2112" xr:uid="{00000000-0005-0000-0000-0000E78E0000}"/>
    <cellStyle name="Comma 3 6 2 4 2 2 10" xfId="22943" xr:uid="{00000000-0005-0000-0000-0000E88E0000}"/>
    <cellStyle name="Comma 3 6 2 4 2 2 2" xfId="4560" xr:uid="{00000000-0005-0000-0000-0000E98E0000}"/>
    <cellStyle name="Comma 3 6 2 4 2 2 2 2" xfId="20495" xr:uid="{00000000-0005-0000-0000-0000EA8E0000}"/>
    <cellStyle name="Comma 3 6 2 4 2 2 2 2 2" xfId="43773" xr:uid="{00000000-0005-0000-0000-0000EB8E0000}"/>
    <cellStyle name="Comma 3 6 2 4 2 2 2 3" xfId="48669" xr:uid="{00000000-0005-0000-0000-0000EC8E0000}"/>
    <cellStyle name="Comma 3 6 2 4 2 2 2 4" xfId="27839" xr:uid="{00000000-0005-0000-0000-0000ED8E0000}"/>
    <cellStyle name="Comma 3 6 2 4 2 2 3" xfId="7008" xr:uid="{00000000-0005-0000-0000-0000EE8E0000}"/>
    <cellStyle name="Comma 3 6 2 4 2 2 3 2" xfId="30287" xr:uid="{00000000-0005-0000-0000-0000EF8E0000}"/>
    <cellStyle name="Comma 3 6 2 4 2 2 4" xfId="9456" xr:uid="{00000000-0005-0000-0000-0000F08E0000}"/>
    <cellStyle name="Comma 3 6 2 4 2 2 4 2" xfId="32735" xr:uid="{00000000-0005-0000-0000-0000F18E0000}"/>
    <cellStyle name="Comma 3 6 2 4 2 2 5" xfId="11904" xr:uid="{00000000-0005-0000-0000-0000F28E0000}"/>
    <cellStyle name="Comma 3 6 2 4 2 2 5 2" xfId="35183" xr:uid="{00000000-0005-0000-0000-0000F38E0000}"/>
    <cellStyle name="Comma 3 6 2 4 2 2 6" xfId="14352" xr:uid="{00000000-0005-0000-0000-0000F48E0000}"/>
    <cellStyle name="Comma 3 6 2 4 2 2 6 2" xfId="37631" xr:uid="{00000000-0005-0000-0000-0000F58E0000}"/>
    <cellStyle name="Comma 3 6 2 4 2 2 7" xfId="18047" xr:uid="{00000000-0005-0000-0000-0000F68E0000}"/>
    <cellStyle name="Comma 3 6 2 4 2 2 7 2" xfId="41325" xr:uid="{00000000-0005-0000-0000-0000F78E0000}"/>
    <cellStyle name="Comma 3 6 2 4 2 2 8" xfId="25391" xr:uid="{00000000-0005-0000-0000-0000F88E0000}"/>
    <cellStyle name="Comma 3 6 2 4 2 2 9" xfId="46221" xr:uid="{00000000-0005-0000-0000-0000F98E0000}"/>
    <cellStyle name="Comma 3 6 2 4 2 3" xfId="3336" xr:uid="{00000000-0005-0000-0000-0000FA8E0000}"/>
    <cellStyle name="Comma 3 6 2 4 2 3 2" xfId="16823" xr:uid="{00000000-0005-0000-0000-0000FB8E0000}"/>
    <cellStyle name="Comma 3 6 2 4 2 3 2 2" xfId="40101" xr:uid="{00000000-0005-0000-0000-0000FC8E0000}"/>
    <cellStyle name="Comma 3 6 2 4 2 3 3" xfId="47445" xr:uid="{00000000-0005-0000-0000-0000FD8E0000}"/>
    <cellStyle name="Comma 3 6 2 4 2 3 4" xfId="26615" xr:uid="{00000000-0005-0000-0000-0000FE8E0000}"/>
    <cellStyle name="Comma 3 6 2 4 2 4" xfId="5784" xr:uid="{00000000-0005-0000-0000-0000FF8E0000}"/>
    <cellStyle name="Comma 3 6 2 4 2 4 2" xfId="19271" xr:uid="{00000000-0005-0000-0000-0000008F0000}"/>
    <cellStyle name="Comma 3 6 2 4 2 4 2 2" xfId="42549" xr:uid="{00000000-0005-0000-0000-0000018F0000}"/>
    <cellStyle name="Comma 3 6 2 4 2 4 3" xfId="29063" xr:uid="{00000000-0005-0000-0000-0000028F0000}"/>
    <cellStyle name="Comma 3 6 2 4 2 5" xfId="8232" xr:uid="{00000000-0005-0000-0000-0000038F0000}"/>
    <cellStyle name="Comma 3 6 2 4 2 5 2" xfId="31511" xr:uid="{00000000-0005-0000-0000-0000048F0000}"/>
    <cellStyle name="Comma 3 6 2 4 2 6" xfId="10680" xr:uid="{00000000-0005-0000-0000-0000058F0000}"/>
    <cellStyle name="Comma 3 6 2 4 2 6 2" xfId="33959" xr:uid="{00000000-0005-0000-0000-0000068F0000}"/>
    <cellStyle name="Comma 3 6 2 4 2 7" xfId="13128" xr:uid="{00000000-0005-0000-0000-0000078F0000}"/>
    <cellStyle name="Comma 3 6 2 4 2 7 2" xfId="36407" xr:uid="{00000000-0005-0000-0000-0000088F0000}"/>
    <cellStyle name="Comma 3 6 2 4 2 8" xfId="15599" xr:uid="{00000000-0005-0000-0000-0000098F0000}"/>
    <cellStyle name="Comma 3 6 2 4 2 8 2" xfId="38877" xr:uid="{00000000-0005-0000-0000-00000A8F0000}"/>
    <cellStyle name="Comma 3 6 2 4 2 9" xfId="24167" xr:uid="{00000000-0005-0000-0000-00000B8F0000}"/>
    <cellStyle name="Comma 3 6 2 4 3" xfId="1500" xr:uid="{00000000-0005-0000-0000-00000C8F0000}"/>
    <cellStyle name="Comma 3 6 2 4 3 10" xfId="22331" xr:uid="{00000000-0005-0000-0000-00000D8F0000}"/>
    <cellStyle name="Comma 3 6 2 4 3 2" xfId="3948" xr:uid="{00000000-0005-0000-0000-00000E8F0000}"/>
    <cellStyle name="Comma 3 6 2 4 3 2 2" xfId="19883" xr:uid="{00000000-0005-0000-0000-00000F8F0000}"/>
    <cellStyle name="Comma 3 6 2 4 3 2 2 2" xfId="43161" xr:uid="{00000000-0005-0000-0000-0000108F0000}"/>
    <cellStyle name="Comma 3 6 2 4 3 2 3" xfId="48057" xr:uid="{00000000-0005-0000-0000-0000118F0000}"/>
    <cellStyle name="Comma 3 6 2 4 3 2 4" xfId="27227" xr:uid="{00000000-0005-0000-0000-0000128F0000}"/>
    <cellStyle name="Comma 3 6 2 4 3 3" xfId="6396" xr:uid="{00000000-0005-0000-0000-0000138F0000}"/>
    <cellStyle name="Comma 3 6 2 4 3 3 2" xfId="29675" xr:uid="{00000000-0005-0000-0000-0000148F0000}"/>
    <cellStyle name="Comma 3 6 2 4 3 4" xfId="8844" xr:uid="{00000000-0005-0000-0000-0000158F0000}"/>
    <cellStyle name="Comma 3 6 2 4 3 4 2" xfId="32123" xr:uid="{00000000-0005-0000-0000-0000168F0000}"/>
    <cellStyle name="Comma 3 6 2 4 3 5" xfId="11292" xr:uid="{00000000-0005-0000-0000-0000178F0000}"/>
    <cellStyle name="Comma 3 6 2 4 3 5 2" xfId="34571" xr:uid="{00000000-0005-0000-0000-0000188F0000}"/>
    <cellStyle name="Comma 3 6 2 4 3 6" xfId="13740" xr:uid="{00000000-0005-0000-0000-0000198F0000}"/>
    <cellStyle name="Comma 3 6 2 4 3 6 2" xfId="37019" xr:uid="{00000000-0005-0000-0000-00001A8F0000}"/>
    <cellStyle name="Comma 3 6 2 4 3 7" xfId="17435" xr:uid="{00000000-0005-0000-0000-00001B8F0000}"/>
    <cellStyle name="Comma 3 6 2 4 3 7 2" xfId="40713" xr:uid="{00000000-0005-0000-0000-00001C8F0000}"/>
    <cellStyle name="Comma 3 6 2 4 3 8" xfId="24779" xr:uid="{00000000-0005-0000-0000-00001D8F0000}"/>
    <cellStyle name="Comma 3 6 2 4 3 9" xfId="45609" xr:uid="{00000000-0005-0000-0000-00001E8F0000}"/>
    <cellStyle name="Comma 3 6 2 4 4" xfId="2724" xr:uid="{00000000-0005-0000-0000-00001F8F0000}"/>
    <cellStyle name="Comma 3 6 2 4 4 2" xfId="16211" xr:uid="{00000000-0005-0000-0000-0000208F0000}"/>
    <cellStyle name="Comma 3 6 2 4 4 2 2" xfId="39489" xr:uid="{00000000-0005-0000-0000-0000218F0000}"/>
    <cellStyle name="Comma 3 6 2 4 4 3" xfId="46833" xr:uid="{00000000-0005-0000-0000-0000228F0000}"/>
    <cellStyle name="Comma 3 6 2 4 4 4" xfId="26003" xr:uid="{00000000-0005-0000-0000-0000238F0000}"/>
    <cellStyle name="Comma 3 6 2 4 5" xfId="5172" xr:uid="{00000000-0005-0000-0000-0000248F0000}"/>
    <cellStyle name="Comma 3 6 2 4 5 2" xfId="18659" xr:uid="{00000000-0005-0000-0000-0000258F0000}"/>
    <cellStyle name="Comma 3 6 2 4 5 2 2" xfId="41937" xr:uid="{00000000-0005-0000-0000-0000268F0000}"/>
    <cellStyle name="Comma 3 6 2 4 5 3" xfId="28451" xr:uid="{00000000-0005-0000-0000-0000278F0000}"/>
    <cellStyle name="Comma 3 6 2 4 6" xfId="7620" xr:uid="{00000000-0005-0000-0000-0000288F0000}"/>
    <cellStyle name="Comma 3 6 2 4 6 2" xfId="30899" xr:uid="{00000000-0005-0000-0000-0000298F0000}"/>
    <cellStyle name="Comma 3 6 2 4 7" xfId="10068" xr:uid="{00000000-0005-0000-0000-00002A8F0000}"/>
    <cellStyle name="Comma 3 6 2 4 7 2" xfId="33347" xr:uid="{00000000-0005-0000-0000-00002B8F0000}"/>
    <cellStyle name="Comma 3 6 2 4 8" xfId="12516" xr:uid="{00000000-0005-0000-0000-00002C8F0000}"/>
    <cellStyle name="Comma 3 6 2 4 8 2" xfId="35795" xr:uid="{00000000-0005-0000-0000-00002D8F0000}"/>
    <cellStyle name="Comma 3 6 2 4 9" xfId="14987" xr:uid="{00000000-0005-0000-0000-00002E8F0000}"/>
    <cellStyle name="Comma 3 6 2 4 9 2" xfId="38265" xr:uid="{00000000-0005-0000-0000-00002F8F0000}"/>
    <cellStyle name="Comma 3 6 2 5" xfId="480" xr:uid="{00000000-0005-0000-0000-0000308F0000}"/>
    <cellStyle name="Comma 3 6 2 5 10" xfId="23759" xr:uid="{00000000-0005-0000-0000-0000318F0000}"/>
    <cellStyle name="Comma 3 6 2 5 11" xfId="44589" xr:uid="{00000000-0005-0000-0000-0000328F0000}"/>
    <cellStyle name="Comma 3 6 2 5 12" xfId="21311" xr:uid="{00000000-0005-0000-0000-0000338F0000}"/>
    <cellStyle name="Comma 3 6 2 5 2" xfId="1092" xr:uid="{00000000-0005-0000-0000-0000348F0000}"/>
    <cellStyle name="Comma 3 6 2 5 2 10" xfId="45201" xr:uid="{00000000-0005-0000-0000-0000358F0000}"/>
    <cellStyle name="Comma 3 6 2 5 2 11" xfId="21923" xr:uid="{00000000-0005-0000-0000-0000368F0000}"/>
    <cellStyle name="Comma 3 6 2 5 2 2" xfId="2316" xr:uid="{00000000-0005-0000-0000-0000378F0000}"/>
    <cellStyle name="Comma 3 6 2 5 2 2 10" xfId="23147" xr:uid="{00000000-0005-0000-0000-0000388F0000}"/>
    <cellStyle name="Comma 3 6 2 5 2 2 2" xfId="4764" xr:uid="{00000000-0005-0000-0000-0000398F0000}"/>
    <cellStyle name="Comma 3 6 2 5 2 2 2 2" xfId="20699" xr:uid="{00000000-0005-0000-0000-00003A8F0000}"/>
    <cellStyle name="Comma 3 6 2 5 2 2 2 2 2" xfId="43977" xr:uid="{00000000-0005-0000-0000-00003B8F0000}"/>
    <cellStyle name="Comma 3 6 2 5 2 2 2 3" xfId="48873" xr:uid="{00000000-0005-0000-0000-00003C8F0000}"/>
    <cellStyle name="Comma 3 6 2 5 2 2 2 4" xfId="28043" xr:uid="{00000000-0005-0000-0000-00003D8F0000}"/>
    <cellStyle name="Comma 3 6 2 5 2 2 3" xfId="7212" xr:uid="{00000000-0005-0000-0000-00003E8F0000}"/>
    <cellStyle name="Comma 3 6 2 5 2 2 3 2" xfId="30491" xr:uid="{00000000-0005-0000-0000-00003F8F0000}"/>
    <cellStyle name="Comma 3 6 2 5 2 2 4" xfId="9660" xr:uid="{00000000-0005-0000-0000-0000408F0000}"/>
    <cellStyle name="Comma 3 6 2 5 2 2 4 2" xfId="32939" xr:uid="{00000000-0005-0000-0000-0000418F0000}"/>
    <cellStyle name="Comma 3 6 2 5 2 2 5" xfId="12108" xr:uid="{00000000-0005-0000-0000-0000428F0000}"/>
    <cellStyle name="Comma 3 6 2 5 2 2 5 2" xfId="35387" xr:uid="{00000000-0005-0000-0000-0000438F0000}"/>
    <cellStyle name="Comma 3 6 2 5 2 2 6" xfId="14556" xr:uid="{00000000-0005-0000-0000-0000448F0000}"/>
    <cellStyle name="Comma 3 6 2 5 2 2 6 2" xfId="37835" xr:uid="{00000000-0005-0000-0000-0000458F0000}"/>
    <cellStyle name="Comma 3 6 2 5 2 2 7" xfId="18251" xr:uid="{00000000-0005-0000-0000-0000468F0000}"/>
    <cellStyle name="Comma 3 6 2 5 2 2 7 2" xfId="41529" xr:uid="{00000000-0005-0000-0000-0000478F0000}"/>
    <cellStyle name="Comma 3 6 2 5 2 2 8" xfId="25595" xr:uid="{00000000-0005-0000-0000-0000488F0000}"/>
    <cellStyle name="Comma 3 6 2 5 2 2 9" xfId="46425" xr:uid="{00000000-0005-0000-0000-0000498F0000}"/>
    <cellStyle name="Comma 3 6 2 5 2 3" xfId="3540" xr:uid="{00000000-0005-0000-0000-00004A8F0000}"/>
    <cellStyle name="Comma 3 6 2 5 2 3 2" xfId="17027" xr:uid="{00000000-0005-0000-0000-00004B8F0000}"/>
    <cellStyle name="Comma 3 6 2 5 2 3 2 2" xfId="40305" xr:uid="{00000000-0005-0000-0000-00004C8F0000}"/>
    <cellStyle name="Comma 3 6 2 5 2 3 3" xfId="47649" xr:uid="{00000000-0005-0000-0000-00004D8F0000}"/>
    <cellStyle name="Comma 3 6 2 5 2 3 4" xfId="26819" xr:uid="{00000000-0005-0000-0000-00004E8F0000}"/>
    <cellStyle name="Comma 3 6 2 5 2 4" xfId="5988" xr:uid="{00000000-0005-0000-0000-00004F8F0000}"/>
    <cellStyle name="Comma 3 6 2 5 2 4 2" xfId="19475" xr:uid="{00000000-0005-0000-0000-0000508F0000}"/>
    <cellStyle name="Comma 3 6 2 5 2 4 2 2" xfId="42753" xr:uid="{00000000-0005-0000-0000-0000518F0000}"/>
    <cellStyle name="Comma 3 6 2 5 2 4 3" xfId="29267" xr:uid="{00000000-0005-0000-0000-0000528F0000}"/>
    <cellStyle name="Comma 3 6 2 5 2 5" xfId="8436" xr:uid="{00000000-0005-0000-0000-0000538F0000}"/>
    <cellStyle name="Comma 3 6 2 5 2 5 2" xfId="31715" xr:uid="{00000000-0005-0000-0000-0000548F0000}"/>
    <cellStyle name="Comma 3 6 2 5 2 6" xfId="10884" xr:uid="{00000000-0005-0000-0000-0000558F0000}"/>
    <cellStyle name="Comma 3 6 2 5 2 6 2" xfId="34163" xr:uid="{00000000-0005-0000-0000-0000568F0000}"/>
    <cellStyle name="Comma 3 6 2 5 2 7" xfId="13332" xr:uid="{00000000-0005-0000-0000-0000578F0000}"/>
    <cellStyle name="Comma 3 6 2 5 2 7 2" xfId="36611" xr:uid="{00000000-0005-0000-0000-0000588F0000}"/>
    <cellStyle name="Comma 3 6 2 5 2 8" xfId="15803" xr:uid="{00000000-0005-0000-0000-0000598F0000}"/>
    <cellStyle name="Comma 3 6 2 5 2 8 2" xfId="39081" xr:uid="{00000000-0005-0000-0000-00005A8F0000}"/>
    <cellStyle name="Comma 3 6 2 5 2 9" xfId="24371" xr:uid="{00000000-0005-0000-0000-00005B8F0000}"/>
    <cellStyle name="Comma 3 6 2 5 3" xfId="1704" xr:uid="{00000000-0005-0000-0000-00005C8F0000}"/>
    <cellStyle name="Comma 3 6 2 5 3 10" xfId="22535" xr:uid="{00000000-0005-0000-0000-00005D8F0000}"/>
    <cellStyle name="Comma 3 6 2 5 3 2" xfId="4152" xr:uid="{00000000-0005-0000-0000-00005E8F0000}"/>
    <cellStyle name="Comma 3 6 2 5 3 2 2" xfId="20087" xr:uid="{00000000-0005-0000-0000-00005F8F0000}"/>
    <cellStyle name="Comma 3 6 2 5 3 2 2 2" xfId="43365" xr:uid="{00000000-0005-0000-0000-0000608F0000}"/>
    <cellStyle name="Comma 3 6 2 5 3 2 3" xfId="48261" xr:uid="{00000000-0005-0000-0000-0000618F0000}"/>
    <cellStyle name="Comma 3 6 2 5 3 2 4" xfId="27431" xr:uid="{00000000-0005-0000-0000-0000628F0000}"/>
    <cellStyle name="Comma 3 6 2 5 3 3" xfId="6600" xr:uid="{00000000-0005-0000-0000-0000638F0000}"/>
    <cellStyle name="Comma 3 6 2 5 3 3 2" xfId="29879" xr:uid="{00000000-0005-0000-0000-0000648F0000}"/>
    <cellStyle name="Comma 3 6 2 5 3 4" xfId="9048" xr:uid="{00000000-0005-0000-0000-0000658F0000}"/>
    <cellStyle name="Comma 3 6 2 5 3 4 2" xfId="32327" xr:uid="{00000000-0005-0000-0000-0000668F0000}"/>
    <cellStyle name="Comma 3 6 2 5 3 5" xfId="11496" xr:uid="{00000000-0005-0000-0000-0000678F0000}"/>
    <cellStyle name="Comma 3 6 2 5 3 5 2" xfId="34775" xr:uid="{00000000-0005-0000-0000-0000688F0000}"/>
    <cellStyle name="Comma 3 6 2 5 3 6" xfId="13944" xr:uid="{00000000-0005-0000-0000-0000698F0000}"/>
    <cellStyle name="Comma 3 6 2 5 3 6 2" xfId="37223" xr:uid="{00000000-0005-0000-0000-00006A8F0000}"/>
    <cellStyle name="Comma 3 6 2 5 3 7" xfId="17639" xr:uid="{00000000-0005-0000-0000-00006B8F0000}"/>
    <cellStyle name="Comma 3 6 2 5 3 7 2" xfId="40917" xr:uid="{00000000-0005-0000-0000-00006C8F0000}"/>
    <cellStyle name="Comma 3 6 2 5 3 8" xfId="24983" xr:uid="{00000000-0005-0000-0000-00006D8F0000}"/>
    <cellStyle name="Comma 3 6 2 5 3 9" xfId="45813" xr:uid="{00000000-0005-0000-0000-00006E8F0000}"/>
    <cellStyle name="Comma 3 6 2 5 4" xfId="2928" xr:uid="{00000000-0005-0000-0000-00006F8F0000}"/>
    <cellStyle name="Comma 3 6 2 5 4 2" xfId="16415" xr:uid="{00000000-0005-0000-0000-0000708F0000}"/>
    <cellStyle name="Comma 3 6 2 5 4 2 2" xfId="39693" xr:uid="{00000000-0005-0000-0000-0000718F0000}"/>
    <cellStyle name="Comma 3 6 2 5 4 3" xfId="47037" xr:uid="{00000000-0005-0000-0000-0000728F0000}"/>
    <cellStyle name="Comma 3 6 2 5 4 4" xfId="26207" xr:uid="{00000000-0005-0000-0000-0000738F0000}"/>
    <cellStyle name="Comma 3 6 2 5 5" xfId="5376" xr:uid="{00000000-0005-0000-0000-0000748F0000}"/>
    <cellStyle name="Comma 3 6 2 5 5 2" xfId="18863" xr:uid="{00000000-0005-0000-0000-0000758F0000}"/>
    <cellStyle name="Comma 3 6 2 5 5 2 2" xfId="42141" xr:uid="{00000000-0005-0000-0000-0000768F0000}"/>
    <cellStyle name="Comma 3 6 2 5 5 3" xfId="28655" xr:uid="{00000000-0005-0000-0000-0000778F0000}"/>
    <cellStyle name="Comma 3 6 2 5 6" xfId="7824" xr:uid="{00000000-0005-0000-0000-0000788F0000}"/>
    <cellStyle name="Comma 3 6 2 5 6 2" xfId="31103" xr:uid="{00000000-0005-0000-0000-0000798F0000}"/>
    <cellStyle name="Comma 3 6 2 5 7" xfId="10272" xr:uid="{00000000-0005-0000-0000-00007A8F0000}"/>
    <cellStyle name="Comma 3 6 2 5 7 2" xfId="33551" xr:uid="{00000000-0005-0000-0000-00007B8F0000}"/>
    <cellStyle name="Comma 3 6 2 5 8" xfId="12720" xr:uid="{00000000-0005-0000-0000-00007C8F0000}"/>
    <cellStyle name="Comma 3 6 2 5 8 2" xfId="35999" xr:uid="{00000000-0005-0000-0000-00007D8F0000}"/>
    <cellStyle name="Comma 3 6 2 5 9" xfId="15191" xr:uid="{00000000-0005-0000-0000-00007E8F0000}"/>
    <cellStyle name="Comma 3 6 2 5 9 2" xfId="38469" xr:uid="{00000000-0005-0000-0000-00007F8F0000}"/>
    <cellStyle name="Comma 3 6 2 6" xfId="684" xr:uid="{00000000-0005-0000-0000-0000808F0000}"/>
    <cellStyle name="Comma 3 6 2 6 10" xfId="44793" xr:uid="{00000000-0005-0000-0000-0000818F0000}"/>
    <cellStyle name="Comma 3 6 2 6 11" xfId="21515" xr:uid="{00000000-0005-0000-0000-0000828F0000}"/>
    <cellStyle name="Comma 3 6 2 6 2" xfId="1908" xr:uid="{00000000-0005-0000-0000-0000838F0000}"/>
    <cellStyle name="Comma 3 6 2 6 2 10" xfId="22739" xr:uid="{00000000-0005-0000-0000-0000848F0000}"/>
    <cellStyle name="Comma 3 6 2 6 2 2" xfId="4356" xr:uid="{00000000-0005-0000-0000-0000858F0000}"/>
    <cellStyle name="Comma 3 6 2 6 2 2 2" xfId="20291" xr:uid="{00000000-0005-0000-0000-0000868F0000}"/>
    <cellStyle name="Comma 3 6 2 6 2 2 2 2" xfId="43569" xr:uid="{00000000-0005-0000-0000-0000878F0000}"/>
    <cellStyle name="Comma 3 6 2 6 2 2 3" xfId="48465" xr:uid="{00000000-0005-0000-0000-0000888F0000}"/>
    <cellStyle name="Comma 3 6 2 6 2 2 4" xfId="27635" xr:uid="{00000000-0005-0000-0000-0000898F0000}"/>
    <cellStyle name="Comma 3 6 2 6 2 3" xfId="6804" xr:uid="{00000000-0005-0000-0000-00008A8F0000}"/>
    <cellStyle name="Comma 3 6 2 6 2 3 2" xfId="30083" xr:uid="{00000000-0005-0000-0000-00008B8F0000}"/>
    <cellStyle name="Comma 3 6 2 6 2 4" xfId="9252" xr:uid="{00000000-0005-0000-0000-00008C8F0000}"/>
    <cellStyle name="Comma 3 6 2 6 2 4 2" xfId="32531" xr:uid="{00000000-0005-0000-0000-00008D8F0000}"/>
    <cellStyle name="Comma 3 6 2 6 2 5" xfId="11700" xr:uid="{00000000-0005-0000-0000-00008E8F0000}"/>
    <cellStyle name="Comma 3 6 2 6 2 5 2" xfId="34979" xr:uid="{00000000-0005-0000-0000-00008F8F0000}"/>
    <cellStyle name="Comma 3 6 2 6 2 6" xfId="14148" xr:uid="{00000000-0005-0000-0000-0000908F0000}"/>
    <cellStyle name="Comma 3 6 2 6 2 6 2" xfId="37427" xr:uid="{00000000-0005-0000-0000-0000918F0000}"/>
    <cellStyle name="Comma 3 6 2 6 2 7" xfId="17843" xr:uid="{00000000-0005-0000-0000-0000928F0000}"/>
    <cellStyle name="Comma 3 6 2 6 2 7 2" xfId="41121" xr:uid="{00000000-0005-0000-0000-0000938F0000}"/>
    <cellStyle name="Comma 3 6 2 6 2 8" xfId="25187" xr:uid="{00000000-0005-0000-0000-0000948F0000}"/>
    <cellStyle name="Comma 3 6 2 6 2 9" xfId="46017" xr:uid="{00000000-0005-0000-0000-0000958F0000}"/>
    <cellStyle name="Comma 3 6 2 6 3" xfId="3132" xr:uid="{00000000-0005-0000-0000-0000968F0000}"/>
    <cellStyle name="Comma 3 6 2 6 3 2" xfId="16619" xr:uid="{00000000-0005-0000-0000-0000978F0000}"/>
    <cellStyle name="Comma 3 6 2 6 3 2 2" xfId="39897" xr:uid="{00000000-0005-0000-0000-0000988F0000}"/>
    <cellStyle name="Comma 3 6 2 6 3 3" xfId="47241" xr:uid="{00000000-0005-0000-0000-0000998F0000}"/>
    <cellStyle name="Comma 3 6 2 6 3 4" xfId="26411" xr:uid="{00000000-0005-0000-0000-00009A8F0000}"/>
    <cellStyle name="Comma 3 6 2 6 4" xfId="5580" xr:uid="{00000000-0005-0000-0000-00009B8F0000}"/>
    <cellStyle name="Comma 3 6 2 6 4 2" xfId="19067" xr:uid="{00000000-0005-0000-0000-00009C8F0000}"/>
    <cellStyle name="Comma 3 6 2 6 4 2 2" xfId="42345" xr:uid="{00000000-0005-0000-0000-00009D8F0000}"/>
    <cellStyle name="Comma 3 6 2 6 4 3" xfId="28859" xr:uid="{00000000-0005-0000-0000-00009E8F0000}"/>
    <cellStyle name="Comma 3 6 2 6 5" xfId="8028" xr:uid="{00000000-0005-0000-0000-00009F8F0000}"/>
    <cellStyle name="Comma 3 6 2 6 5 2" xfId="31307" xr:uid="{00000000-0005-0000-0000-0000A08F0000}"/>
    <cellStyle name="Comma 3 6 2 6 6" xfId="10476" xr:uid="{00000000-0005-0000-0000-0000A18F0000}"/>
    <cellStyle name="Comma 3 6 2 6 6 2" xfId="33755" xr:uid="{00000000-0005-0000-0000-0000A28F0000}"/>
    <cellStyle name="Comma 3 6 2 6 7" xfId="12924" xr:uid="{00000000-0005-0000-0000-0000A38F0000}"/>
    <cellStyle name="Comma 3 6 2 6 7 2" xfId="36203" xr:uid="{00000000-0005-0000-0000-0000A48F0000}"/>
    <cellStyle name="Comma 3 6 2 6 8" xfId="15395" xr:uid="{00000000-0005-0000-0000-0000A58F0000}"/>
    <cellStyle name="Comma 3 6 2 6 8 2" xfId="38673" xr:uid="{00000000-0005-0000-0000-0000A68F0000}"/>
    <cellStyle name="Comma 3 6 2 6 9" xfId="23963" xr:uid="{00000000-0005-0000-0000-0000A78F0000}"/>
    <cellStyle name="Comma 3 6 2 7" xfId="1296" xr:uid="{00000000-0005-0000-0000-0000A88F0000}"/>
    <cellStyle name="Comma 3 6 2 7 10" xfId="22127" xr:uid="{00000000-0005-0000-0000-0000A98F0000}"/>
    <cellStyle name="Comma 3 6 2 7 2" xfId="3744" xr:uid="{00000000-0005-0000-0000-0000AA8F0000}"/>
    <cellStyle name="Comma 3 6 2 7 2 2" xfId="19679" xr:uid="{00000000-0005-0000-0000-0000AB8F0000}"/>
    <cellStyle name="Comma 3 6 2 7 2 2 2" xfId="42957" xr:uid="{00000000-0005-0000-0000-0000AC8F0000}"/>
    <cellStyle name="Comma 3 6 2 7 2 3" xfId="47853" xr:uid="{00000000-0005-0000-0000-0000AD8F0000}"/>
    <cellStyle name="Comma 3 6 2 7 2 4" xfId="27023" xr:uid="{00000000-0005-0000-0000-0000AE8F0000}"/>
    <cellStyle name="Comma 3 6 2 7 3" xfId="6192" xr:uid="{00000000-0005-0000-0000-0000AF8F0000}"/>
    <cellStyle name="Comma 3 6 2 7 3 2" xfId="29471" xr:uid="{00000000-0005-0000-0000-0000B08F0000}"/>
    <cellStyle name="Comma 3 6 2 7 4" xfId="8640" xr:uid="{00000000-0005-0000-0000-0000B18F0000}"/>
    <cellStyle name="Comma 3 6 2 7 4 2" xfId="31919" xr:uid="{00000000-0005-0000-0000-0000B28F0000}"/>
    <cellStyle name="Comma 3 6 2 7 5" xfId="11088" xr:uid="{00000000-0005-0000-0000-0000B38F0000}"/>
    <cellStyle name="Comma 3 6 2 7 5 2" xfId="34367" xr:uid="{00000000-0005-0000-0000-0000B48F0000}"/>
    <cellStyle name="Comma 3 6 2 7 6" xfId="13536" xr:uid="{00000000-0005-0000-0000-0000B58F0000}"/>
    <cellStyle name="Comma 3 6 2 7 6 2" xfId="36815" xr:uid="{00000000-0005-0000-0000-0000B68F0000}"/>
    <cellStyle name="Comma 3 6 2 7 7" xfId="17231" xr:uid="{00000000-0005-0000-0000-0000B78F0000}"/>
    <cellStyle name="Comma 3 6 2 7 7 2" xfId="40509" xr:uid="{00000000-0005-0000-0000-0000B88F0000}"/>
    <cellStyle name="Comma 3 6 2 7 8" xfId="24575" xr:uid="{00000000-0005-0000-0000-0000B98F0000}"/>
    <cellStyle name="Comma 3 6 2 7 9" xfId="45405" xr:uid="{00000000-0005-0000-0000-0000BA8F0000}"/>
    <cellStyle name="Comma 3 6 2 8" xfId="2520" xr:uid="{00000000-0005-0000-0000-0000BB8F0000}"/>
    <cellStyle name="Comma 3 6 2 8 2" xfId="16007" xr:uid="{00000000-0005-0000-0000-0000BC8F0000}"/>
    <cellStyle name="Comma 3 6 2 8 2 2" xfId="39285" xr:uid="{00000000-0005-0000-0000-0000BD8F0000}"/>
    <cellStyle name="Comma 3 6 2 8 3" xfId="46629" xr:uid="{00000000-0005-0000-0000-0000BE8F0000}"/>
    <cellStyle name="Comma 3 6 2 8 4" xfId="25799" xr:uid="{00000000-0005-0000-0000-0000BF8F0000}"/>
    <cellStyle name="Comma 3 6 2 9" xfId="4968" xr:uid="{00000000-0005-0000-0000-0000C08F0000}"/>
    <cellStyle name="Comma 3 6 2 9 2" xfId="18455" xr:uid="{00000000-0005-0000-0000-0000C18F0000}"/>
    <cellStyle name="Comma 3 6 2 9 2 2" xfId="41733" xr:uid="{00000000-0005-0000-0000-0000C28F0000}"/>
    <cellStyle name="Comma 3 6 2 9 3" xfId="28247" xr:uid="{00000000-0005-0000-0000-0000C38F0000}"/>
    <cellStyle name="Comma 3 6 3" xfId="89" xr:uid="{00000000-0005-0000-0000-0000C48F0000}"/>
    <cellStyle name="Comma 3 6 3 10" xfId="7433" xr:uid="{00000000-0005-0000-0000-0000C58F0000}"/>
    <cellStyle name="Comma 3 6 3 10 2" xfId="30712" xr:uid="{00000000-0005-0000-0000-0000C68F0000}"/>
    <cellStyle name="Comma 3 6 3 11" xfId="9881" xr:uid="{00000000-0005-0000-0000-0000C78F0000}"/>
    <cellStyle name="Comma 3 6 3 11 2" xfId="33160" xr:uid="{00000000-0005-0000-0000-0000C88F0000}"/>
    <cellStyle name="Comma 3 6 3 12" xfId="12329" xr:uid="{00000000-0005-0000-0000-0000C98F0000}"/>
    <cellStyle name="Comma 3 6 3 12 2" xfId="35608" xr:uid="{00000000-0005-0000-0000-0000CA8F0000}"/>
    <cellStyle name="Comma 3 6 3 13" xfId="14800" xr:uid="{00000000-0005-0000-0000-0000CB8F0000}"/>
    <cellStyle name="Comma 3 6 3 13 2" xfId="38078" xr:uid="{00000000-0005-0000-0000-0000CC8F0000}"/>
    <cellStyle name="Comma 3 6 3 14" xfId="23368" xr:uid="{00000000-0005-0000-0000-0000CD8F0000}"/>
    <cellStyle name="Comma 3 6 3 15" xfId="44198" xr:uid="{00000000-0005-0000-0000-0000CE8F0000}"/>
    <cellStyle name="Comma 3 6 3 16" xfId="20920" xr:uid="{00000000-0005-0000-0000-0000CF8F0000}"/>
    <cellStyle name="Comma 3 6 3 2" xfId="157" xr:uid="{00000000-0005-0000-0000-0000D08F0000}"/>
    <cellStyle name="Comma 3 6 3 2 10" xfId="12397" xr:uid="{00000000-0005-0000-0000-0000D18F0000}"/>
    <cellStyle name="Comma 3 6 3 2 10 2" xfId="35676" xr:uid="{00000000-0005-0000-0000-0000D28F0000}"/>
    <cellStyle name="Comma 3 6 3 2 11" xfId="14868" xr:uid="{00000000-0005-0000-0000-0000D38F0000}"/>
    <cellStyle name="Comma 3 6 3 2 11 2" xfId="38146" xr:uid="{00000000-0005-0000-0000-0000D48F0000}"/>
    <cellStyle name="Comma 3 6 3 2 12" xfId="23436" xr:uid="{00000000-0005-0000-0000-0000D58F0000}"/>
    <cellStyle name="Comma 3 6 3 2 13" xfId="44266" xr:uid="{00000000-0005-0000-0000-0000D68F0000}"/>
    <cellStyle name="Comma 3 6 3 2 14" xfId="20988" xr:uid="{00000000-0005-0000-0000-0000D78F0000}"/>
    <cellStyle name="Comma 3 6 3 2 2" xfId="361" xr:uid="{00000000-0005-0000-0000-0000D88F0000}"/>
    <cellStyle name="Comma 3 6 3 2 2 10" xfId="23640" xr:uid="{00000000-0005-0000-0000-0000D98F0000}"/>
    <cellStyle name="Comma 3 6 3 2 2 11" xfId="44470" xr:uid="{00000000-0005-0000-0000-0000DA8F0000}"/>
    <cellStyle name="Comma 3 6 3 2 2 12" xfId="21192" xr:uid="{00000000-0005-0000-0000-0000DB8F0000}"/>
    <cellStyle name="Comma 3 6 3 2 2 2" xfId="973" xr:uid="{00000000-0005-0000-0000-0000DC8F0000}"/>
    <cellStyle name="Comma 3 6 3 2 2 2 10" xfId="45082" xr:uid="{00000000-0005-0000-0000-0000DD8F0000}"/>
    <cellStyle name="Comma 3 6 3 2 2 2 11" xfId="21804" xr:uid="{00000000-0005-0000-0000-0000DE8F0000}"/>
    <cellStyle name="Comma 3 6 3 2 2 2 2" xfId="2197" xr:uid="{00000000-0005-0000-0000-0000DF8F0000}"/>
    <cellStyle name="Comma 3 6 3 2 2 2 2 10" xfId="23028" xr:uid="{00000000-0005-0000-0000-0000E08F0000}"/>
    <cellStyle name="Comma 3 6 3 2 2 2 2 2" xfId="4645" xr:uid="{00000000-0005-0000-0000-0000E18F0000}"/>
    <cellStyle name="Comma 3 6 3 2 2 2 2 2 2" xfId="20580" xr:uid="{00000000-0005-0000-0000-0000E28F0000}"/>
    <cellStyle name="Comma 3 6 3 2 2 2 2 2 2 2" xfId="43858" xr:uid="{00000000-0005-0000-0000-0000E38F0000}"/>
    <cellStyle name="Comma 3 6 3 2 2 2 2 2 3" xfId="48754" xr:uid="{00000000-0005-0000-0000-0000E48F0000}"/>
    <cellStyle name="Comma 3 6 3 2 2 2 2 2 4" xfId="27924" xr:uid="{00000000-0005-0000-0000-0000E58F0000}"/>
    <cellStyle name="Comma 3 6 3 2 2 2 2 3" xfId="7093" xr:uid="{00000000-0005-0000-0000-0000E68F0000}"/>
    <cellStyle name="Comma 3 6 3 2 2 2 2 3 2" xfId="30372" xr:uid="{00000000-0005-0000-0000-0000E78F0000}"/>
    <cellStyle name="Comma 3 6 3 2 2 2 2 4" xfId="9541" xr:uid="{00000000-0005-0000-0000-0000E88F0000}"/>
    <cellStyle name="Comma 3 6 3 2 2 2 2 4 2" xfId="32820" xr:uid="{00000000-0005-0000-0000-0000E98F0000}"/>
    <cellStyle name="Comma 3 6 3 2 2 2 2 5" xfId="11989" xr:uid="{00000000-0005-0000-0000-0000EA8F0000}"/>
    <cellStyle name="Comma 3 6 3 2 2 2 2 5 2" xfId="35268" xr:uid="{00000000-0005-0000-0000-0000EB8F0000}"/>
    <cellStyle name="Comma 3 6 3 2 2 2 2 6" xfId="14437" xr:uid="{00000000-0005-0000-0000-0000EC8F0000}"/>
    <cellStyle name="Comma 3 6 3 2 2 2 2 6 2" xfId="37716" xr:uid="{00000000-0005-0000-0000-0000ED8F0000}"/>
    <cellStyle name="Comma 3 6 3 2 2 2 2 7" xfId="18132" xr:uid="{00000000-0005-0000-0000-0000EE8F0000}"/>
    <cellStyle name="Comma 3 6 3 2 2 2 2 7 2" xfId="41410" xr:uid="{00000000-0005-0000-0000-0000EF8F0000}"/>
    <cellStyle name="Comma 3 6 3 2 2 2 2 8" xfId="25476" xr:uid="{00000000-0005-0000-0000-0000F08F0000}"/>
    <cellStyle name="Comma 3 6 3 2 2 2 2 9" xfId="46306" xr:uid="{00000000-0005-0000-0000-0000F18F0000}"/>
    <cellStyle name="Comma 3 6 3 2 2 2 3" xfId="3421" xr:uid="{00000000-0005-0000-0000-0000F28F0000}"/>
    <cellStyle name="Comma 3 6 3 2 2 2 3 2" xfId="16908" xr:uid="{00000000-0005-0000-0000-0000F38F0000}"/>
    <cellStyle name="Comma 3 6 3 2 2 2 3 2 2" xfId="40186" xr:uid="{00000000-0005-0000-0000-0000F48F0000}"/>
    <cellStyle name="Comma 3 6 3 2 2 2 3 3" xfId="47530" xr:uid="{00000000-0005-0000-0000-0000F58F0000}"/>
    <cellStyle name="Comma 3 6 3 2 2 2 3 4" xfId="26700" xr:uid="{00000000-0005-0000-0000-0000F68F0000}"/>
    <cellStyle name="Comma 3 6 3 2 2 2 4" xfId="5869" xr:uid="{00000000-0005-0000-0000-0000F78F0000}"/>
    <cellStyle name="Comma 3 6 3 2 2 2 4 2" xfId="19356" xr:uid="{00000000-0005-0000-0000-0000F88F0000}"/>
    <cellStyle name="Comma 3 6 3 2 2 2 4 2 2" xfId="42634" xr:uid="{00000000-0005-0000-0000-0000F98F0000}"/>
    <cellStyle name="Comma 3 6 3 2 2 2 4 3" xfId="29148" xr:uid="{00000000-0005-0000-0000-0000FA8F0000}"/>
    <cellStyle name="Comma 3 6 3 2 2 2 5" xfId="8317" xr:uid="{00000000-0005-0000-0000-0000FB8F0000}"/>
    <cellStyle name="Comma 3 6 3 2 2 2 5 2" xfId="31596" xr:uid="{00000000-0005-0000-0000-0000FC8F0000}"/>
    <cellStyle name="Comma 3 6 3 2 2 2 6" xfId="10765" xr:uid="{00000000-0005-0000-0000-0000FD8F0000}"/>
    <cellStyle name="Comma 3 6 3 2 2 2 6 2" xfId="34044" xr:uid="{00000000-0005-0000-0000-0000FE8F0000}"/>
    <cellStyle name="Comma 3 6 3 2 2 2 7" xfId="13213" xr:uid="{00000000-0005-0000-0000-0000FF8F0000}"/>
    <cellStyle name="Comma 3 6 3 2 2 2 7 2" xfId="36492" xr:uid="{00000000-0005-0000-0000-000000900000}"/>
    <cellStyle name="Comma 3 6 3 2 2 2 8" xfId="15684" xr:uid="{00000000-0005-0000-0000-000001900000}"/>
    <cellStyle name="Comma 3 6 3 2 2 2 8 2" xfId="38962" xr:uid="{00000000-0005-0000-0000-000002900000}"/>
    <cellStyle name="Comma 3 6 3 2 2 2 9" xfId="24252" xr:uid="{00000000-0005-0000-0000-000003900000}"/>
    <cellStyle name="Comma 3 6 3 2 2 3" xfId="1585" xr:uid="{00000000-0005-0000-0000-000004900000}"/>
    <cellStyle name="Comma 3 6 3 2 2 3 10" xfId="22416" xr:uid="{00000000-0005-0000-0000-000005900000}"/>
    <cellStyle name="Comma 3 6 3 2 2 3 2" xfId="4033" xr:uid="{00000000-0005-0000-0000-000006900000}"/>
    <cellStyle name="Comma 3 6 3 2 2 3 2 2" xfId="19968" xr:uid="{00000000-0005-0000-0000-000007900000}"/>
    <cellStyle name="Comma 3 6 3 2 2 3 2 2 2" xfId="43246" xr:uid="{00000000-0005-0000-0000-000008900000}"/>
    <cellStyle name="Comma 3 6 3 2 2 3 2 3" xfId="48142" xr:uid="{00000000-0005-0000-0000-000009900000}"/>
    <cellStyle name="Comma 3 6 3 2 2 3 2 4" xfId="27312" xr:uid="{00000000-0005-0000-0000-00000A900000}"/>
    <cellStyle name="Comma 3 6 3 2 2 3 3" xfId="6481" xr:uid="{00000000-0005-0000-0000-00000B900000}"/>
    <cellStyle name="Comma 3 6 3 2 2 3 3 2" xfId="29760" xr:uid="{00000000-0005-0000-0000-00000C900000}"/>
    <cellStyle name="Comma 3 6 3 2 2 3 4" xfId="8929" xr:uid="{00000000-0005-0000-0000-00000D900000}"/>
    <cellStyle name="Comma 3 6 3 2 2 3 4 2" xfId="32208" xr:uid="{00000000-0005-0000-0000-00000E900000}"/>
    <cellStyle name="Comma 3 6 3 2 2 3 5" xfId="11377" xr:uid="{00000000-0005-0000-0000-00000F900000}"/>
    <cellStyle name="Comma 3 6 3 2 2 3 5 2" xfId="34656" xr:uid="{00000000-0005-0000-0000-000010900000}"/>
    <cellStyle name="Comma 3 6 3 2 2 3 6" xfId="13825" xr:uid="{00000000-0005-0000-0000-000011900000}"/>
    <cellStyle name="Comma 3 6 3 2 2 3 6 2" xfId="37104" xr:uid="{00000000-0005-0000-0000-000012900000}"/>
    <cellStyle name="Comma 3 6 3 2 2 3 7" xfId="17520" xr:uid="{00000000-0005-0000-0000-000013900000}"/>
    <cellStyle name="Comma 3 6 3 2 2 3 7 2" xfId="40798" xr:uid="{00000000-0005-0000-0000-000014900000}"/>
    <cellStyle name="Comma 3 6 3 2 2 3 8" xfId="24864" xr:uid="{00000000-0005-0000-0000-000015900000}"/>
    <cellStyle name="Comma 3 6 3 2 2 3 9" xfId="45694" xr:uid="{00000000-0005-0000-0000-000016900000}"/>
    <cellStyle name="Comma 3 6 3 2 2 4" xfId="2809" xr:uid="{00000000-0005-0000-0000-000017900000}"/>
    <cellStyle name="Comma 3 6 3 2 2 4 2" xfId="16296" xr:uid="{00000000-0005-0000-0000-000018900000}"/>
    <cellStyle name="Comma 3 6 3 2 2 4 2 2" xfId="39574" xr:uid="{00000000-0005-0000-0000-000019900000}"/>
    <cellStyle name="Comma 3 6 3 2 2 4 3" xfId="46918" xr:uid="{00000000-0005-0000-0000-00001A900000}"/>
    <cellStyle name="Comma 3 6 3 2 2 4 4" xfId="26088" xr:uid="{00000000-0005-0000-0000-00001B900000}"/>
    <cellStyle name="Comma 3 6 3 2 2 5" xfId="5257" xr:uid="{00000000-0005-0000-0000-00001C900000}"/>
    <cellStyle name="Comma 3 6 3 2 2 5 2" xfId="18744" xr:uid="{00000000-0005-0000-0000-00001D900000}"/>
    <cellStyle name="Comma 3 6 3 2 2 5 2 2" xfId="42022" xr:uid="{00000000-0005-0000-0000-00001E900000}"/>
    <cellStyle name="Comma 3 6 3 2 2 5 3" xfId="28536" xr:uid="{00000000-0005-0000-0000-00001F900000}"/>
    <cellStyle name="Comma 3 6 3 2 2 6" xfId="7705" xr:uid="{00000000-0005-0000-0000-000020900000}"/>
    <cellStyle name="Comma 3 6 3 2 2 6 2" xfId="30984" xr:uid="{00000000-0005-0000-0000-000021900000}"/>
    <cellStyle name="Comma 3 6 3 2 2 7" xfId="10153" xr:uid="{00000000-0005-0000-0000-000022900000}"/>
    <cellStyle name="Comma 3 6 3 2 2 7 2" xfId="33432" xr:uid="{00000000-0005-0000-0000-000023900000}"/>
    <cellStyle name="Comma 3 6 3 2 2 8" xfId="12601" xr:uid="{00000000-0005-0000-0000-000024900000}"/>
    <cellStyle name="Comma 3 6 3 2 2 8 2" xfId="35880" xr:uid="{00000000-0005-0000-0000-000025900000}"/>
    <cellStyle name="Comma 3 6 3 2 2 9" xfId="15072" xr:uid="{00000000-0005-0000-0000-000026900000}"/>
    <cellStyle name="Comma 3 6 3 2 2 9 2" xfId="38350" xr:uid="{00000000-0005-0000-0000-000027900000}"/>
    <cellStyle name="Comma 3 6 3 2 3" xfId="565" xr:uid="{00000000-0005-0000-0000-000028900000}"/>
    <cellStyle name="Comma 3 6 3 2 3 10" xfId="23844" xr:uid="{00000000-0005-0000-0000-000029900000}"/>
    <cellStyle name="Comma 3 6 3 2 3 11" xfId="44674" xr:uid="{00000000-0005-0000-0000-00002A900000}"/>
    <cellStyle name="Comma 3 6 3 2 3 12" xfId="21396" xr:uid="{00000000-0005-0000-0000-00002B900000}"/>
    <cellStyle name="Comma 3 6 3 2 3 2" xfId="1177" xr:uid="{00000000-0005-0000-0000-00002C900000}"/>
    <cellStyle name="Comma 3 6 3 2 3 2 10" xfId="45286" xr:uid="{00000000-0005-0000-0000-00002D900000}"/>
    <cellStyle name="Comma 3 6 3 2 3 2 11" xfId="22008" xr:uid="{00000000-0005-0000-0000-00002E900000}"/>
    <cellStyle name="Comma 3 6 3 2 3 2 2" xfId="2401" xr:uid="{00000000-0005-0000-0000-00002F900000}"/>
    <cellStyle name="Comma 3 6 3 2 3 2 2 10" xfId="23232" xr:uid="{00000000-0005-0000-0000-000030900000}"/>
    <cellStyle name="Comma 3 6 3 2 3 2 2 2" xfId="4849" xr:uid="{00000000-0005-0000-0000-000031900000}"/>
    <cellStyle name="Comma 3 6 3 2 3 2 2 2 2" xfId="20784" xr:uid="{00000000-0005-0000-0000-000032900000}"/>
    <cellStyle name="Comma 3 6 3 2 3 2 2 2 2 2" xfId="44062" xr:uid="{00000000-0005-0000-0000-000033900000}"/>
    <cellStyle name="Comma 3 6 3 2 3 2 2 2 3" xfId="48958" xr:uid="{00000000-0005-0000-0000-000034900000}"/>
    <cellStyle name="Comma 3 6 3 2 3 2 2 2 4" xfId="28128" xr:uid="{00000000-0005-0000-0000-000035900000}"/>
    <cellStyle name="Comma 3 6 3 2 3 2 2 3" xfId="7297" xr:uid="{00000000-0005-0000-0000-000036900000}"/>
    <cellStyle name="Comma 3 6 3 2 3 2 2 3 2" xfId="30576" xr:uid="{00000000-0005-0000-0000-000037900000}"/>
    <cellStyle name="Comma 3 6 3 2 3 2 2 4" xfId="9745" xr:uid="{00000000-0005-0000-0000-000038900000}"/>
    <cellStyle name="Comma 3 6 3 2 3 2 2 4 2" xfId="33024" xr:uid="{00000000-0005-0000-0000-000039900000}"/>
    <cellStyle name="Comma 3 6 3 2 3 2 2 5" xfId="12193" xr:uid="{00000000-0005-0000-0000-00003A900000}"/>
    <cellStyle name="Comma 3 6 3 2 3 2 2 5 2" xfId="35472" xr:uid="{00000000-0005-0000-0000-00003B900000}"/>
    <cellStyle name="Comma 3 6 3 2 3 2 2 6" xfId="14641" xr:uid="{00000000-0005-0000-0000-00003C900000}"/>
    <cellStyle name="Comma 3 6 3 2 3 2 2 6 2" xfId="37920" xr:uid="{00000000-0005-0000-0000-00003D900000}"/>
    <cellStyle name="Comma 3 6 3 2 3 2 2 7" xfId="18336" xr:uid="{00000000-0005-0000-0000-00003E900000}"/>
    <cellStyle name="Comma 3 6 3 2 3 2 2 7 2" xfId="41614" xr:uid="{00000000-0005-0000-0000-00003F900000}"/>
    <cellStyle name="Comma 3 6 3 2 3 2 2 8" xfId="25680" xr:uid="{00000000-0005-0000-0000-000040900000}"/>
    <cellStyle name="Comma 3 6 3 2 3 2 2 9" xfId="46510" xr:uid="{00000000-0005-0000-0000-000041900000}"/>
    <cellStyle name="Comma 3 6 3 2 3 2 3" xfId="3625" xr:uid="{00000000-0005-0000-0000-000042900000}"/>
    <cellStyle name="Comma 3 6 3 2 3 2 3 2" xfId="17112" xr:uid="{00000000-0005-0000-0000-000043900000}"/>
    <cellStyle name="Comma 3 6 3 2 3 2 3 2 2" xfId="40390" xr:uid="{00000000-0005-0000-0000-000044900000}"/>
    <cellStyle name="Comma 3 6 3 2 3 2 3 3" xfId="47734" xr:uid="{00000000-0005-0000-0000-000045900000}"/>
    <cellStyle name="Comma 3 6 3 2 3 2 3 4" xfId="26904" xr:uid="{00000000-0005-0000-0000-000046900000}"/>
    <cellStyle name="Comma 3 6 3 2 3 2 4" xfId="6073" xr:uid="{00000000-0005-0000-0000-000047900000}"/>
    <cellStyle name="Comma 3 6 3 2 3 2 4 2" xfId="19560" xr:uid="{00000000-0005-0000-0000-000048900000}"/>
    <cellStyle name="Comma 3 6 3 2 3 2 4 2 2" xfId="42838" xr:uid="{00000000-0005-0000-0000-000049900000}"/>
    <cellStyle name="Comma 3 6 3 2 3 2 4 3" xfId="29352" xr:uid="{00000000-0005-0000-0000-00004A900000}"/>
    <cellStyle name="Comma 3 6 3 2 3 2 5" xfId="8521" xr:uid="{00000000-0005-0000-0000-00004B900000}"/>
    <cellStyle name="Comma 3 6 3 2 3 2 5 2" xfId="31800" xr:uid="{00000000-0005-0000-0000-00004C900000}"/>
    <cellStyle name="Comma 3 6 3 2 3 2 6" xfId="10969" xr:uid="{00000000-0005-0000-0000-00004D900000}"/>
    <cellStyle name="Comma 3 6 3 2 3 2 6 2" xfId="34248" xr:uid="{00000000-0005-0000-0000-00004E900000}"/>
    <cellStyle name="Comma 3 6 3 2 3 2 7" xfId="13417" xr:uid="{00000000-0005-0000-0000-00004F900000}"/>
    <cellStyle name="Comma 3 6 3 2 3 2 7 2" xfId="36696" xr:uid="{00000000-0005-0000-0000-000050900000}"/>
    <cellStyle name="Comma 3 6 3 2 3 2 8" xfId="15888" xr:uid="{00000000-0005-0000-0000-000051900000}"/>
    <cellStyle name="Comma 3 6 3 2 3 2 8 2" xfId="39166" xr:uid="{00000000-0005-0000-0000-000052900000}"/>
    <cellStyle name="Comma 3 6 3 2 3 2 9" xfId="24456" xr:uid="{00000000-0005-0000-0000-000053900000}"/>
    <cellStyle name="Comma 3 6 3 2 3 3" xfId="1789" xr:uid="{00000000-0005-0000-0000-000054900000}"/>
    <cellStyle name="Comma 3 6 3 2 3 3 10" xfId="22620" xr:uid="{00000000-0005-0000-0000-000055900000}"/>
    <cellStyle name="Comma 3 6 3 2 3 3 2" xfId="4237" xr:uid="{00000000-0005-0000-0000-000056900000}"/>
    <cellStyle name="Comma 3 6 3 2 3 3 2 2" xfId="20172" xr:uid="{00000000-0005-0000-0000-000057900000}"/>
    <cellStyle name="Comma 3 6 3 2 3 3 2 2 2" xfId="43450" xr:uid="{00000000-0005-0000-0000-000058900000}"/>
    <cellStyle name="Comma 3 6 3 2 3 3 2 3" xfId="48346" xr:uid="{00000000-0005-0000-0000-000059900000}"/>
    <cellStyle name="Comma 3 6 3 2 3 3 2 4" xfId="27516" xr:uid="{00000000-0005-0000-0000-00005A900000}"/>
    <cellStyle name="Comma 3 6 3 2 3 3 3" xfId="6685" xr:uid="{00000000-0005-0000-0000-00005B900000}"/>
    <cellStyle name="Comma 3 6 3 2 3 3 3 2" xfId="29964" xr:uid="{00000000-0005-0000-0000-00005C900000}"/>
    <cellStyle name="Comma 3 6 3 2 3 3 4" xfId="9133" xr:uid="{00000000-0005-0000-0000-00005D900000}"/>
    <cellStyle name="Comma 3 6 3 2 3 3 4 2" xfId="32412" xr:uid="{00000000-0005-0000-0000-00005E900000}"/>
    <cellStyle name="Comma 3 6 3 2 3 3 5" xfId="11581" xr:uid="{00000000-0005-0000-0000-00005F900000}"/>
    <cellStyle name="Comma 3 6 3 2 3 3 5 2" xfId="34860" xr:uid="{00000000-0005-0000-0000-000060900000}"/>
    <cellStyle name="Comma 3 6 3 2 3 3 6" xfId="14029" xr:uid="{00000000-0005-0000-0000-000061900000}"/>
    <cellStyle name="Comma 3 6 3 2 3 3 6 2" xfId="37308" xr:uid="{00000000-0005-0000-0000-000062900000}"/>
    <cellStyle name="Comma 3 6 3 2 3 3 7" xfId="17724" xr:uid="{00000000-0005-0000-0000-000063900000}"/>
    <cellStyle name="Comma 3 6 3 2 3 3 7 2" xfId="41002" xr:uid="{00000000-0005-0000-0000-000064900000}"/>
    <cellStyle name="Comma 3 6 3 2 3 3 8" xfId="25068" xr:uid="{00000000-0005-0000-0000-000065900000}"/>
    <cellStyle name="Comma 3 6 3 2 3 3 9" xfId="45898" xr:uid="{00000000-0005-0000-0000-000066900000}"/>
    <cellStyle name="Comma 3 6 3 2 3 4" xfId="3013" xr:uid="{00000000-0005-0000-0000-000067900000}"/>
    <cellStyle name="Comma 3 6 3 2 3 4 2" xfId="16500" xr:uid="{00000000-0005-0000-0000-000068900000}"/>
    <cellStyle name="Comma 3 6 3 2 3 4 2 2" xfId="39778" xr:uid="{00000000-0005-0000-0000-000069900000}"/>
    <cellStyle name="Comma 3 6 3 2 3 4 3" xfId="47122" xr:uid="{00000000-0005-0000-0000-00006A900000}"/>
    <cellStyle name="Comma 3 6 3 2 3 4 4" xfId="26292" xr:uid="{00000000-0005-0000-0000-00006B900000}"/>
    <cellStyle name="Comma 3 6 3 2 3 5" xfId="5461" xr:uid="{00000000-0005-0000-0000-00006C900000}"/>
    <cellStyle name="Comma 3 6 3 2 3 5 2" xfId="18948" xr:uid="{00000000-0005-0000-0000-00006D900000}"/>
    <cellStyle name="Comma 3 6 3 2 3 5 2 2" xfId="42226" xr:uid="{00000000-0005-0000-0000-00006E900000}"/>
    <cellStyle name="Comma 3 6 3 2 3 5 3" xfId="28740" xr:uid="{00000000-0005-0000-0000-00006F900000}"/>
    <cellStyle name="Comma 3 6 3 2 3 6" xfId="7909" xr:uid="{00000000-0005-0000-0000-000070900000}"/>
    <cellStyle name="Comma 3 6 3 2 3 6 2" xfId="31188" xr:uid="{00000000-0005-0000-0000-000071900000}"/>
    <cellStyle name="Comma 3 6 3 2 3 7" xfId="10357" xr:uid="{00000000-0005-0000-0000-000072900000}"/>
    <cellStyle name="Comma 3 6 3 2 3 7 2" xfId="33636" xr:uid="{00000000-0005-0000-0000-000073900000}"/>
    <cellStyle name="Comma 3 6 3 2 3 8" xfId="12805" xr:uid="{00000000-0005-0000-0000-000074900000}"/>
    <cellStyle name="Comma 3 6 3 2 3 8 2" xfId="36084" xr:uid="{00000000-0005-0000-0000-000075900000}"/>
    <cellStyle name="Comma 3 6 3 2 3 9" xfId="15276" xr:uid="{00000000-0005-0000-0000-000076900000}"/>
    <cellStyle name="Comma 3 6 3 2 3 9 2" xfId="38554" xr:uid="{00000000-0005-0000-0000-000077900000}"/>
    <cellStyle name="Comma 3 6 3 2 4" xfId="769" xr:uid="{00000000-0005-0000-0000-000078900000}"/>
    <cellStyle name="Comma 3 6 3 2 4 10" xfId="44878" xr:uid="{00000000-0005-0000-0000-000079900000}"/>
    <cellStyle name="Comma 3 6 3 2 4 11" xfId="21600" xr:uid="{00000000-0005-0000-0000-00007A900000}"/>
    <cellStyle name="Comma 3 6 3 2 4 2" xfId="1993" xr:uid="{00000000-0005-0000-0000-00007B900000}"/>
    <cellStyle name="Comma 3 6 3 2 4 2 10" xfId="22824" xr:uid="{00000000-0005-0000-0000-00007C900000}"/>
    <cellStyle name="Comma 3 6 3 2 4 2 2" xfId="4441" xr:uid="{00000000-0005-0000-0000-00007D900000}"/>
    <cellStyle name="Comma 3 6 3 2 4 2 2 2" xfId="20376" xr:uid="{00000000-0005-0000-0000-00007E900000}"/>
    <cellStyle name="Comma 3 6 3 2 4 2 2 2 2" xfId="43654" xr:uid="{00000000-0005-0000-0000-00007F900000}"/>
    <cellStyle name="Comma 3 6 3 2 4 2 2 3" xfId="48550" xr:uid="{00000000-0005-0000-0000-000080900000}"/>
    <cellStyle name="Comma 3 6 3 2 4 2 2 4" xfId="27720" xr:uid="{00000000-0005-0000-0000-000081900000}"/>
    <cellStyle name="Comma 3 6 3 2 4 2 3" xfId="6889" xr:uid="{00000000-0005-0000-0000-000082900000}"/>
    <cellStyle name="Comma 3 6 3 2 4 2 3 2" xfId="30168" xr:uid="{00000000-0005-0000-0000-000083900000}"/>
    <cellStyle name="Comma 3 6 3 2 4 2 4" xfId="9337" xr:uid="{00000000-0005-0000-0000-000084900000}"/>
    <cellStyle name="Comma 3 6 3 2 4 2 4 2" xfId="32616" xr:uid="{00000000-0005-0000-0000-000085900000}"/>
    <cellStyle name="Comma 3 6 3 2 4 2 5" xfId="11785" xr:uid="{00000000-0005-0000-0000-000086900000}"/>
    <cellStyle name="Comma 3 6 3 2 4 2 5 2" xfId="35064" xr:uid="{00000000-0005-0000-0000-000087900000}"/>
    <cellStyle name="Comma 3 6 3 2 4 2 6" xfId="14233" xr:uid="{00000000-0005-0000-0000-000088900000}"/>
    <cellStyle name="Comma 3 6 3 2 4 2 6 2" xfId="37512" xr:uid="{00000000-0005-0000-0000-000089900000}"/>
    <cellStyle name="Comma 3 6 3 2 4 2 7" xfId="17928" xr:uid="{00000000-0005-0000-0000-00008A900000}"/>
    <cellStyle name="Comma 3 6 3 2 4 2 7 2" xfId="41206" xr:uid="{00000000-0005-0000-0000-00008B900000}"/>
    <cellStyle name="Comma 3 6 3 2 4 2 8" xfId="25272" xr:uid="{00000000-0005-0000-0000-00008C900000}"/>
    <cellStyle name="Comma 3 6 3 2 4 2 9" xfId="46102" xr:uid="{00000000-0005-0000-0000-00008D900000}"/>
    <cellStyle name="Comma 3 6 3 2 4 3" xfId="3217" xr:uid="{00000000-0005-0000-0000-00008E900000}"/>
    <cellStyle name="Comma 3 6 3 2 4 3 2" xfId="16704" xr:uid="{00000000-0005-0000-0000-00008F900000}"/>
    <cellStyle name="Comma 3 6 3 2 4 3 2 2" xfId="39982" xr:uid="{00000000-0005-0000-0000-000090900000}"/>
    <cellStyle name="Comma 3 6 3 2 4 3 3" xfId="47326" xr:uid="{00000000-0005-0000-0000-000091900000}"/>
    <cellStyle name="Comma 3 6 3 2 4 3 4" xfId="26496" xr:uid="{00000000-0005-0000-0000-000092900000}"/>
    <cellStyle name="Comma 3 6 3 2 4 4" xfId="5665" xr:uid="{00000000-0005-0000-0000-000093900000}"/>
    <cellStyle name="Comma 3 6 3 2 4 4 2" xfId="19152" xr:uid="{00000000-0005-0000-0000-000094900000}"/>
    <cellStyle name="Comma 3 6 3 2 4 4 2 2" xfId="42430" xr:uid="{00000000-0005-0000-0000-000095900000}"/>
    <cellStyle name="Comma 3 6 3 2 4 4 3" xfId="28944" xr:uid="{00000000-0005-0000-0000-000096900000}"/>
    <cellStyle name="Comma 3 6 3 2 4 5" xfId="8113" xr:uid="{00000000-0005-0000-0000-000097900000}"/>
    <cellStyle name="Comma 3 6 3 2 4 5 2" xfId="31392" xr:uid="{00000000-0005-0000-0000-000098900000}"/>
    <cellStyle name="Comma 3 6 3 2 4 6" xfId="10561" xr:uid="{00000000-0005-0000-0000-000099900000}"/>
    <cellStyle name="Comma 3 6 3 2 4 6 2" xfId="33840" xr:uid="{00000000-0005-0000-0000-00009A900000}"/>
    <cellStyle name="Comma 3 6 3 2 4 7" xfId="13009" xr:uid="{00000000-0005-0000-0000-00009B900000}"/>
    <cellStyle name="Comma 3 6 3 2 4 7 2" xfId="36288" xr:uid="{00000000-0005-0000-0000-00009C900000}"/>
    <cellStyle name="Comma 3 6 3 2 4 8" xfId="15480" xr:uid="{00000000-0005-0000-0000-00009D900000}"/>
    <cellStyle name="Comma 3 6 3 2 4 8 2" xfId="38758" xr:uid="{00000000-0005-0000-0000-00009E900000}"/>
    <cellStyle name="Comma 3 6 3 2 4 9" xfId="24048" xr:uid="{00000000-0005-0000-0000-00009F900000}"/>
    <cellStyle name="Comma 3 6 3 2 5" xfId="1381" xr:uid="{00000000-0005-0000-0000-0000A0900000}"/>
    <cellStyle name="Comma 3 6 3 2 5 10" xfId="22212" xr:uid="{00000000-0005-0000-0000-0000A1900000}"/>
    <cellStyle name="Comma 3 6 3 2 5 2" xfId="3829" xr:uid="{00000000-0005-0000-0000-0000A2900000}"/>
    <cellStyle name="Comma 3 6 3 2 5 2 2" xfId="19764" xr:uid="{00000000-0005-0000-0000-0000A3900000}"/>
    <cellStyle name="Comma 3 6 3 2 5 2 2 2" xfId="43042" xr:uid="{00000000-0005-0000-0000-0000A4900000}"/>
    <cellStyle name="Comma 3 6 3 2 5 2 3" xfId="47938" xr:uid="{00000000-0005-0000-0000-0000A5900000}"/>
    <cellStyle name="Comma 3 6 3 2 5 2 4" xfId="27108" xr:uid="{00000000-0005-0000-0000-0000A6900000}"/>
    <cellStyle name="Comma 3 6 3 2 5 3" xfId="6277" xr:uid="{00000000-0005-0000-0000-0000A7900000}"/>
    <cellStyle name="Comma 3 6 3 2 5 3 2" xfId="29556" xr:uid="{00000000-0005-0000-0000-0000A8900000}"/>
    <cellStyle name="Comma 3 6 3 2 5 4" xfId="8725" xr:uid="{00000000-0005-0000-0000-0000A9900000}"/>
    <cellStyle name="Comma 3 6 3 2 5 4 2" xfId="32004" xr:uid="{00000000-0005-0000-0000-0000AA900000}"/>
    <cellStyle name="Comma 3 6 3 2 5 5" xfId="11173" xr:uid="{00000000-0005-0000-0000-0000AB900000}"/>
    <cellStyle name="Comma 3 6 3 2 5 5 2" xfId="34452" xr:uid="{00000000-0005-0000-0000-0000AC900000}"/>
    <cellStyle name="Comma 3 6 3 2 5 6" xfId="13621" xr:uid="{00000000-0005-0000-0000-0000AD900000}"/>
    <cellStyle name="Comma 3 6 3 2 5 6 2" xfId="36900" xr:uid="{00000000-0005-0000-0000-0000AE900000}"/>
    <cellStyle name="Comma 3 6 3 2 5 7" xfId="17316" xr:uid="{00000000-0005-0000-0000-0000AF900000}"/>
    <cellStyle name="Comma 3 6 3 2 5 7 2" xfId="40594" xr:uid="{00000000-0005-0000-0000-0000B0900000}"/>
    <cellStyle name="Comma 3 6 3 2 5 8" xfId="24660" xr:uid="{00000000-0005-0000-0000-0000B1900000}"/>
    <cellStyle name="Comma 3 6 3 2 5 9" xfId="45490" xr:uid="{00000000-0005-0000-0000-0000B2900000}"/>
    <cellStyle name="Comma 3 6 3 2 6" xfId="2605" xr:uid="{00000000-0005-0000-0000-0000B3900000}"/>
    <cellStyle name="Comma 3 6 3 2 6 2" xfId="16092" xr:uid="{00000000-0005-0000-0000-0000B4900000}"/>
    <cellStyle name="Comma 3 6 3 2 6 2 2" xfId="39370" xr:uid="{00000000-0005-0000-0000-0000B5900000}"/>
    <cellStyle name="Comma 3 6 3 2 6 3" xfId="46714" xr:uid="{00000000-0005-0000-0000-0000B6900000}"/>
    <cellStyle name="Comma 3 6 3 2 6 4" xfId="25884" xr:uid="{00000000-0005-0000-0000-0000B7900000}"/>
    <cellStyle name="Comma 3 6 3 2 7" xfId="5053" xr:uid="{00000000-0005-0000-0000-0000B8900000}"/>
    <cellStyle name="Comma 3 6 3 2 7 2" xfId="18540" xr:uid="{00000000-0005-0000-0000-0000B9900000}"/>
    <cellStyle name="Comma 3 6 3 2 7 2 2" xfId="41818" xr:uid="{00000000-0005-0000-0000-0000BA900000}"/>
    <cellStyle name="Comma 3 6 3 2 7 3" xfId="28332" xr:uid="{00000000-0005-0000-0000-0000BB900000}"/>
    <cellStyle name="Comma 3 6 3 2 8" xfId="7501" xr:uid="{00000000-0005-0000-0000-0000BC900000}"/>
    <cellStyle name="Comma 3 6 3 2 8 2" xfId="30780" xr:uid="{00000000-0005-0000-0000-0000BD900000}"/>
    <cellStyle name="Comma 3 6 3 2 9" xfId="9949" xr:uid="{00000000-0005-0000-0000-0000BE900000}"/>
    <cellStyle name="Comma 3 6 3 2 9 2" xfId="33228" xr:uid="{00000000-0005-0000-0000-0000BF900000}"/>
    <cellStyle name="Comma 3 6 3 3" xfId="225" xr:uid="{00000000-0005-0000-0000-0000C0900000}"/>
    <cellStyle name="Comma 3 6 3 3 10" xfId="12465" xr:uid="{00000000-0005-0000-0000-0000C1900000}"/>
    <cellStyle name="Comma 3 6 3 3 10 2" xfId="35744" xr:uid="{00000000-0005-0000-0000-0000C2900000}"/>
    <cellStyle name="Comma 3 6 3 3 11" xfId="14936" xr:uid="{00000000-0005-0000-0000-0000C3900000}"/>
    <cellStyle name="Comma 3 6 3 3 11 2" xfId="38214" xr:uid="{00000000-0005-0000-0000-0000C4900000}"/>
    <cellStyle name="Comma 3 6 3 3 12" xfId="23504" xr:uid="{00000000-0005-0000-0000-0000C5900000}"/>
    <cellStyle name="Comma 3 6 3 3 13" xfId="44334" xr:uid="{00000000-0005-0000-0000-0000C6900000}"/>
    <cellStyle name="Comma 3 6 3 3 14" xfId="21056" xr:uid="{00000000-0005-0000-0000-0000C7900000}"/>
    <cellStyle name="Comma 3 6 3 3 2" xfId="429" xr:uid="{00000000-0005-0000-0000-0000C8900000}"/>
    <cellStyle name="Comma 3 6 3 3 2 10" xfId="23708" xr:uid="{00000000-0005-0000-0000-0000C9900000}"/>
    <cellStyle name="Comma 3 6 3 3 2 11" xfId="44538" xr:uid="{00000000-0005-0000-0000-0000CA900000}"/>
    <cellStyle name="Comma 3 6 3 3 2 12" xfId="21260" xr:uid="{00000000-0005-0000-0000-0000CB900000}"/>
    <cellStyle name="Comma 3 6 3 3 2 2" xfId="1041" xr:uid="{00000000-0005-0000-0000-0000CC900000}"/>
    <cellStyle name="Comma 3 6 3 3 2 2 10" xfId="45150" xr:uid="{00000000-0005-0000-0000-0000CD900000}"/>
    <cellStyle name="Comma 3 6 3 3 2 2 11" xfId="21872" xr:uid="{00000000-0005-0000-0000-0000CE900000}"/>
    <cellStyle name="Comma 3 6 3 3 2 2 2" xfId="2265" xr:uid="{00000000-0005-0000-0000-0000CF900000}"/>
    <cellStyle name="Comma 3 6 3 3 2 2 2 10" xfId="23096" xr:uid="{00000000-0005-0000-0000-0000D0900000}"/>
    <cellStyle name="Comma 3 6 3 3 2 2 2 2" xfId="4713" xr:uid="{00000000-0005-0000-0000-0000D1900000}"/>
    <cellStyle name="Comma 3 6 3 3 2 2 2 2 2" xfId="20648" xr:uid="{00000000-0005-0000-0000-0000D2900000}"/>
    <cellStyle name="Comma 3 6 3 3 2 2 2 2 2 2" xfId="43926" xr:uid="{00000000-0005-0000-0000-0000D3900000}"/>
    <cellStyle name="Comma 3 6 3 3 2 2 2 2 3" xfId="48822" xr:uid="{00000000-0005-0000-0000-0000D4900000}"/>
    <cellStyle name="Comma 3 6 3 3 2 2 2 2 4" xfId="27992" xr:uid="{00000000-0005-0000-0000-0000D5900000}"/>
    <cellStyle name="Comma 3 6 3 3 2 2 2 3" xfId="7161" xr:uid="{00000000-0005-0000-0000-0000D6900000}"/>
    <cellStyle name="Comma 3 6 3 3 2 2 2 3 2" xfId="30440" xr:uid="{00000000-0005-0000-0000-0000D7900000}"/>
    <cellStyle name="Comma 3 6 3 3 2 2 2 4" xfId="9609" xr:uid="{00000000-0005-0000-0000-0000D8900000}"/>
    <cellStyle name="Comma 3 6 3 3 2 2 2 4 2" xfId="32888" xr:uid="{00000000-0005-0000-0000-0000D9900000}"/>
    <cellStyle name="Comma 3 6 3 3 2 2 2 5" xfId="12057" xr:uid="{00000000-0005-0000-0000-0000DA900000}"/>
    <cellStyle name="Comma 3 6 3 3 2 2 2 5 2" xfId="35336" xr:uid="{00000000-0005-0000-0000-0000DB900000}"/>
    <cellStyle name="Comma 3 6 3 3 2 2 2 6" xfId="14505" xr:uid="{00000000-0005-0000-0000-0000DC900000}"/>
    <cellStyle name="Comma 3 6 3 3 2 2 2 6 2" xfId="37784" xr:uid="{00000000-0005-0000-0000-0000DD900000}"/>
    <cellStyle name="Comma 3 6 3 3 2 2 2 7" xfId="18200" xr:uid="{00000000-0005-0000-0000-0000DE900000}"/>
    <cellStyle name="Comma 3 6 3 3 2 2 2 7 2" xfId="41478" xr:uid="{00000000-0005-0000-0000-0000DF900000}"/>
    <cellStyle name="Comma 3 6 3 3 2 2 2 8" xfId="25544" xr:uid="{00000000-0005-0000-0000-0000E0900000}"/>
    <cellStyle name="Comma 3 6 3 3 2 2 2 9" xfId="46374" xr:uid="{00000000-0005-0000-0000-0000E1900000}"/>
    <cellStyle name="Comma 3 6 3 3 2 2 3" xfId="3489" xr:uid="{00000000-0005-0000-0000-0000E2900000}"/>
    <cellStyle name="Comma 3 6 3 3 2 2 3 2" xfId="16976" xr:uid="{00000000-0005-0000-0000-0000E3900000}"/>
    <cellStyle name="Comma 3 6 3 3 2 2 3 2 2" xfId="40254" xr:uid="{00000000-0005-0000-0000-0000E4900000}"/>
    <cellStyle name="Comma 3 6 3 3 2 2 3 3" xfId="47598" xr:uid="{00000000-0005-0000-0000-0000E5900000}"/>
    <cellStyle name="Comma 3 6 3 3 2 2 3 4" xfId="26768" xr:uid="{00000000-0005-0000-0000-0000E6900000}"/>
    <cellStyle name="Comma 3 6 3 3 2 2 4" xfId="5937" xr:uid="{00000000-0005-0000-0000-0000E7900000}"/>
    <cellStyle name="Comma 3 6 3 3 2 2 4 2" xfId="19424" xr:uid="{00000000-0005-0000-0000-0000E8900000}"/>
    <cellStyle name="Comma 3 6 3 3 2 2 4 2 2" xfId="42702" xr:uid="{00000000-0005-0000-0000-0000E9900000}"/>
    <cellStyle name="Comma 3 6 3 3 2 2 4 3" xfId="29216" xr:uid="{00000000-0005-0000-0000-0000EA900000}"/>
    <cellStyle name="Comma 3 6 3 3 2 2 5" xfId="8385" xr:uid="{00000000-0005-0000-0000-0000EB900000}"/>
    <cellStyle name="Comma 3 6 3 3 2 2 5 2" xfId="31664" xr:uid="{00000000-0005-0000-0000-0000EC900000}"/>
    <cellStyle name="Comma 3 6 3 3 2 2 6" xfId="10833" xr:uid="{00000000-0005-0000-0000-0000ED900000}"/>
    <cellStyle name="Comma 3 6 3 3 2 2 6 2" xfId="34112" xr:uid="{00000000-0005-0000-0000-0000EE900000}"/>
    <cellStyle name="Comma 3 6 3 3 2 2 7" xfId="13281" xr:uid="{00000000-0005-0000-0000-0000EF900000}"/>
    <cellStyle name="Comma 3 6 3 3 2 2 7 2" xfId="36560" xr:uid="{00000000-0005-0000-0000-0000F0900000}"/>
    <cellStyle name="Comma 3 6 3 3 2 2 8" xfId="15752" xr:uid="{00000000-0005-0000-0000-0000F1900000}"/>
    <cellStyle name="Comma 3 6 3 3 2 2 8 2" xfId="39030" xr:uid="{00000000-0005-0000-0000-0000F2900000}"/>
    <cellStyle name="Comma 3 6 3 3 2 2 9" xfId="24320" xr:uid="{00000000-0005-0000-0000-0000F3900000}"/>
    <cellStyle name="Comma 3 6 3 3 2 3" xfId="1653" xr:uid="{00000000-0005-0000-0000-0000F4900000}"/>
    <cellStyle name="Comma 3 6 3 3 2 3 10" xfId="22484" xr:uid="{00000000-0005-0000-0000-0000F5900000}"/>
    <cellStyle name="Comma 3 6 3 3 2 3 2" xfId="4101" xr:uid="{00000000-0005-0000-0000-0000F6900000}"/>
    <cellStyle name="Comma 3 6 3 3 2 3 2 2" xfId="20036" xr:uid="{00000000-0005-0000-0000-0000F7900000}"/>
    <cellStyle name="Comma 3 6 3 3 2 3 2 2 2" xfId="43314" xr:uid="{00000000-0005-0000-0000-0000F8900000}"/>
    <cellStyle name="Comma 3 6 3 3 2 3 2 3" xfId="48210" xr:uid="{00000000-0005-0000-0000-0000F9900000}"/>
    <cellStyle name="Comma 3 6 3 3 2 3 2 4" xfId="27380" xr:uid="{00000000-0005-0000-0000-0000FA900000}"/>
    <cellStyle name="Comma 3 6 3 3 2 3 3" xfId="6549" xr:uid="{00000000-0005-0000-0000-0000FB900000}"/>
    <cellStyle name="Comma 3 6 3 3 2 3 3 2" xfId="29828" xr:uid="{00000000-0005-0000-0000-0000FC900000}"/>
    <cellStyle name="Comma 3 6 3 3 2 3 4" xfId="8997" xr:uid="{00000000-0005-0000-0000-0000FD900000}"/>
    <cellStyle name="Comma 3 6 3 3 2 3 4 2" xfId="32276" xr:uid="{00000000-0005-0000-0000-0000FE900000}"/>
    <cellStyle name="Comma 3 6 3 3 2 3 5" xfId="11445" xr:uid="{00000000-0005-0000-0000-0000FF900000}"/>
    <cellStyle name="Comma 3 6 3 3 2 3 5 2" xfId="34724" xr:uid="{00000000-0005-0000-0000-000000910000}"/>
    <cellStyle name="Comma 3 6 3 3 2 3 6" xfId="13893" xr:uid="{00000000-0005-0000-0000-000001910000}"/>
    <cellStyle name="Comma 3 6 3 3 2 3 6 2" xfId="37172" xr:uid="{00000000-0005-0000-0000-000002910000}"/>
    <cellStyle name="Comma 3 6 3 3 2 3 7" xfId="17588" xr:uid="{00000000-0005-0000-0000-000003910000}"/>
    <cellStyle name="Comma 3 6 3 3 2 3 7 2" xfId="40866" xr:uid="{00000000-0005-0000-0000-000004910000}"/>
    <cellStyle name="Comma 3 6 3 3 2 3 8" xfId="24932" xr:uid="{00000000-0005-0000-0000-000005910000}"/>
    <cellStyle name="Comma 3 6 3 3 2 3 9" xfId="45762" xr:uid="{00000000-0005-0000-0000-000006910000}"/>
    <cellStyle name="Comma 3 6 3 3 2 4" xfId="2877" xr:uid="{00000000-0005-0000-0000-000007910000}"/>
    <cellStyle name="Comma 3 6 3 3 2 4 2" xfId="16364" xr:uid="{00000000-0005-0000-0000-000008910000}"/>
    <cellStyle name="Comma 3 6 3 3 2 4 2 2" xfId="39642" xr:uid="{00000000-0005-0000-0000-000009910000}"/>
    <cellStyle name="Comma 3 6 3 3 2 4 3" xfId="46986" xr:uid="{00000000-0005-0000-0000-00000A910000}"/>
    <cellStyle name="Comma 3 6 3 3 2 4 4" xfId="26156" xr:uid="{00000000-0005-0000-0000-00000B910000}"/>
    <cellStyle name="Comma 3 6 3 3 2 5" xfId="5325" xr:uid="{00000000-0005-0000-0000-00000C910000}"/>
    <cellStyle name="Comma 3 6 3 3 2 5 2" xfId="18812" xr:uid="{00000000-0005-0000-0000-00000D910000}"/>
    <cellStyle name="Comma 3 6 3 3 2 5 2 2" xfId="42090" xr:uid="{00000000-0005-0000-0000-00000E910000}"/>
    <cellStyle name="Comma 3 6 3 3 2 5 3" xfId="28604" xr:uid="{00000000-0005-0000-0000-00000F910000}"/>
    <cellStyle name="Comma 3 6 3 3 2 6" xfId="7773" xr:uid="{00000000-0005-0000-0000-000010910000}"/>
    <cellStyle name="Comma 3 6 3 3 2 6 2" xfId="31052" xr:uid="{00000000-0005-0000-0000-000011910000}"/>
    <cellStyle name="Comma 3 6 3 3 2 7" xfId="10221" xr:uid="{00000000-0005-0000-0000-000012910000}"/>
    <cellStyle name="Comma 3 6 3 3 2 7 2" xfId="33500" xr:uid="{00000000-0005-0000-0000-000013910000}"/>
    <cellStyle name="Comma 3 6 3 3 2 8" xfId="12669" xr:uid="{00000000-0005-0000-0000-000014910000}"/>
    <cellStyle name="Comma 3 6 3 3 2 8 2" xfId="35948" xr:uid="{00000000-0005-0000-0000-000015910000}"/>
    <cellStyle name="Comma 3 6 3 3 2 9" xfId="15140" xr:uid="{00000000-0005-0000-0000-000016910000}"/>
    <cellStyle name="Comma 3 6 3 3 2 9 2" xfId="38418" xr:uid="{00000000-0005-0000-0000-000017910000}"/>
    <cellStyle name="Comma 3 6 3 3 3" xfId="633" xr:uid="{00000000-0005-0000-0000-000018910000}"/>
    <cellStyle name="Comma 3 6 3 3 3 10" xfId="23912" xr:uid="{00000000-0005-0000-0000-000019910000}"/>
    <cellStyle name="Comma 3 6 3 3 3 11" xfId="44742" xr:uid="{00000000-0005-0000-0000-00001A910000}"/>
    <cellStyle name="Comma 3 6 3 3 3 12" xfId="21464" xr:uid="{00000000-0005-0000-0000-00001B910000}"/>
    <cellStyle name="Comma 3 6 3 3 3 2" xfId="1245" xr:uid="{00000000-0005-0000-0000-00001C910000}"/>
    <cellStyle name="Comma 3 6 3 3 3 2 10" xfId="45354" xr:uid="{00000000-0005-0000-0000-00001D910000}"/>
    <cellStyle name="Comma 3 6 3 3 3 2 11" xfId="22076" xr:uid="{00000000-0005-0000-0000-00001E910000}"/>
    <cellStyle name="Comma 3 6 3 3 3 2 2" xfId="2469" xr:uid="{00000000-0005-0000-0000-00001F910000}"/>
    <cellStyle name="Comma 3 6 3 3 3 2 2 10" xfId="23300" xr:uid="{00000000-0005-0000-0000-000020910000}"/>
    <cellStyle name="Comma 3 6 3 3 3 2 2 2" xfId="4917" xr:uid="{00000000-0005-0000-0000-000021910000}"/>
    <cellStyle name="Comma 3 6 3 3 3 2 2 2 2" xfId="20852" xr:uid="{00000000-0005-0000-0000-000022910000}"/>
    <cellStyle name="Comma 3 6 3 3 3 2 2 2 2 2" xfId="44130" xr:uid="{00000000-0005-0000-0000-000023910000}"/>
    <cellStyle name="Comma 3 6 3 3 3 2 2 2 3" xfId="49026" xr:uid="{00000000-0005-0000-0000-000024910000}"/>
    <cellStyle name="Comma 3 6 3 3 3 2 2 2 4" xfId="28196" xr:uid="{00000000-0005-0000-0000-000025910000}"/>
    <cellStyle name="Comma 3 6 3 3 3 2 2 3" xfId="7365" xr:uid="{00000000-0005-0000-0000-000026910000}"/>
    <cellStyle name="Comma 3 6 3 3 3 2 2 3 2" xfId="30644" xr:uid="{00000000-0005-0000-0000-000027910000}"/>
    <cellStyle name="Comma 3 6 3 3 3 2 2 4" xfId="9813" xr:uid="{00000000-0005-0000-0000-000028910000}"/>
    <cellStyle name="Comma 3 6 3 3 3 2 2 4 2" xfId="33092" xr:uid="{00000000-0005-0000-0000-000029910000}"/>
    <cellStyle name="Comma 3 6 3 3 3 2 2 5" xfId="12261" xr:uid="{00000000-0005-0000-0000-00002A910000}"/>
    <cellStyle name="Comma 3 6 3 3 3 2 2 5 2" xfId="35540" xr:uid="{00000000-0005-0000-0000-00002B910000}"/>
    <cellStyle name="Comma 3 6 3 3 3 2 2 6" xfId="14709" xr:uid="{00000000-0005-0000-0000-00002C910000}"/>
    <cellStyle name="Comma 3 6 3 3 3 2 2 6 2" xfId="37988" xr:uid="{00000000-0005-0000-0000-00002D910000}"/>
    <cellStyle name="Comma 3 6 3 3 3 2 2 7" xfId="18404" xr:uid="{00000000-0005-0000-0000-00002E910000}"/>
    <cellStyle name="Comma 3 6 3 3 3 2 2 7 2" xfId="41682" xr:uid="{00000000-0005-0000-0000-00002F910000}"/>
    <cellStyle name="Comma 3 6 3 3 3 2 2 8" xfId="25748" xr:uid="{00000000-0005-0000-0000-000030910000}"/>
    <cellStyle name="Comma 3 6 3 3 3 2 2 9" xfId="46578" xr:uid="{00000000-0005-0000-0000-000031910000}"/>
    <cellStyle name="Comma 3 6 3 3 3 2 3" xfId="3693" xr:uid="{00000000-0005-0000-0000-000032910000}"/>
    <cellStyle name="Comma 3 6 3 3 3 2 3 2" xfId="17180" xr:uid="{00000000-0005-0000-0000-000033910000}"/>
    <cellStyle name="Comma 3 6 3 3 3 2 3 2 2" xfId="40458" xr:uid="{00000000-0005-0000-0000-000034910000}"/>
    <cellStyle name="Comma 3 6 3 3 3 2 3 3" xfId="47802" xr:uid="{00000000-0005-0000-0000-000035910000}"/>
    <cellStyle name="Comma 3 6 3 3 3 2 3 4" xfId="26972" xr:uid="{00000000-0005-0000-0000-000036910000}"/>
    <cellStyle name="Comma 3 6 3 3 3 2 4" xfId="6141" xr:uid="{00000000-0005-0000-0000-000037910000}"/>
    <cellStyle name="Comma 3 6 3 3 3 2 4 2" xfId="19628" xr:uid="{00000000-0005-0000-0000-000038910000}"/>
    <cellStyle name="Comma 3 6 3 3 3 2 4 2 2" xfId="42906" xr:uid="{00000000-0005-0000-0000-000039910000}"/>
    <cellStyle name="Comma 3 6 3 3 3 2 4 3" xfId="29420" xr:uid="{00000000-0005-0000-0000-00003A910000}"/>
    <cellStyle name="Comma 3 6 3 3 3 2 5" xfId="8589" xr:uid="{00000000-0005-0000-0000-00003B910000}"/>
    <cellStyle name="Comma 3 6 3 3 3 2 5 2" xfId="31868" xr:uid="{00000000-0005-0000-0000-00003C910000}"/>
    <cellStyle name="Comma 3 6 3 3 3 2 6" xfId="11037" xr:uid="{00000000-0005-0000-0000-00003D910000}"/>
    <cellStyle name="Comma 3 6 3 3 3 2 6 2" xfId="34316" xr:uid="{00000000-0005-0000-0000-00003E910000}"/>
    <cellStyle name="Comma 3 6 3 3 3 2 7" xfId="13485" xr:uid="{00000000-0005-0000-0000-00003F910000}"/>
    <cellStyle name="Comma 3 6 3 3 3 2 7 2" xfId="36764" xr:uid="{00000000-0005-0000-0000-000040910000}"/>
    <cellStyle name="Comma 3 6 3 3 3 2 8" xfId="15956" xr:uid="{00000000-0005-0000-0000-000041910000}"/>
    <cellStyle name="Comma 3 6 3 3 3 2 8 2" xfId="39234" xr:uid="{00000000-0005-0000-0000-000042910000}"/>
    <cellStyle name="Comma 3 6 3 3 3 2 9" xfId="24524" xr:uid="{00000000-0005-0000-0000-000043910000}"/>
    <cellStyle name="Comma 3 6 3 3 3 3" xfId="1857" xr:uid="{00000000-0005-0000-0000-000044910000}"/>
    <cellStyle name="Comma 3 6 3 3 3 3 10" xfId="22688" xr:uid="{00000000-0005-0000-0000-000045910000}"/>
    <cellStyle name="Comma 3 6 3 3 3 3 2" xfId="4305" xr:uid="{00000000-0005-0000-0000-000046910000}"/>
    <cellStyle name="Comma 3 6 3 3 3 3 2 2" xfId="20240" xr:uid="{00000000-0005-0000-0000-000047910000}"/>
    <cellStyle name="Comma 3 6 3 3 3 3 2 2 2" xfId="43518" xr:uid="{00000000-0005-0000-0000-000048910000}"/>
    <cellStyle name="Comma 3 6 3 3 3 3 2 3" xfId="48414" xr:uid="{00000000-0005-0000-0000-000049910000}"/>
    <cellStyle name="Comma 3 6 3 3 3 3 2 4" xfId="27584" xr:uid="{00000000-0005-0000-0000-00004A910000}"/>
    <cellStyle name="Comma 3 6 3 3 3 3 3" xfId="6753" xr:uid="{00000000-0005-0000-0000-00004B910000}"/>
    <cellStyle name="Comma 3 6 3 3 3 3 3 2" xfId="30032" xr:uid="{00000000-0005-0000-0000-00004C910000}"/>
    <cellStyle name="Comma 3 6 3 3 3 3 4" xfId="9201" xr:uid="{00000000-0005-0000-0000-00004D910000}"/>
    <cellStyle name="Comma 3 6 3 3 3 3 4 2" xfId="32480" xr:uid="{00000000-0005-0000-0000-00004E910000}"/>
    <cellStyle name="Comma 3 6 3 3 3 3 5" xfId="11649" xr:uid="{00000000-0005-0000-0000-00004F910000}"/>
    <cellStyle name="Comma 3 6 3 3 3 3 5 2" xfId="34928" xr:uid="{00000000-0005-0000-0000-000050910000}"/>
    <cellStyle name="Comma 3 6 3 3 3 3 6" xfId="14097" xr:uid="{00000000-0005-0000-0000-000051910000}"/>
    <cellStyle name="Comma 3 6 3 3 3 3 6 2" xfId="37376" xr:uid="{00000000-0005-0000-0000-000052910000}"/>
    <cellStyle name="Comma 3 6 3 3 3 3 7" xfId="17792" xr:uid="{00000000-0005-0000-0000-000053910000}"/>
    <cellStyle name="Comma 3 6 3 3 3 3 7 2" xfId="41070" xr:uid="{00000000-0005-0000-0000-000054910000}"/>
    <cellStyle name="Comma 3 6 3 3 3 3 8" xfId="25136" xr:uid="{00000000-0005-0000-0000-000055910000}"/>
    <cellStyle name="Comma 3 6 3 3 3 3 9" xfId="45966" xr:uid="{00000000-0005-0000-0000-000056910000}"/>
    <cellStyle name="Comma 3 6 3 3 3 4" xfId="3081" xr:uid="{00000000-0005-0000-0000-000057910000}"/>
    <cellStyle name="Comma 3 6 3 3 3 4 2" xfId="16568" xr:uid="{00000000-0005-0000-0000-000058910000}"/>
    <cellStyle name="Comma 3 6 3 3 3 4 2 2" xfId="39846" xr:uid="{00000000-0005-0000-0000-000059910000}"/>
    <cellStyle name="Comma 3 6 3 3 3 4 3" xfId="47190" xr:uid="{00000000-0005-0000-0000-00005A910000}"/>
    <cellStyle name="Comma 3 6 3 3 3 4 4" xfId="26360" xr:uid="{00000000-0005-0000-0000-00005B910000}"/>
    <cellStyle name="Comma 3 6 3 3 3 5" xfId="5529" xr:uid="{00000000-0005-0000-0000-00005C910000}"/>
    <cellStyle name="Comma 3 6 3 3 3 5 2" xfId="19016" xr:uid="{00000000-0005-0000-0000-00005D910000}"/>
    <cellStyle name="Comma 3 6 3 3 3 5 2 2" xfId="42294" xr:uid="{00000000-0005-0000-0000-00005E910000}"/>
    <cellStyle name="Comma 3 6 3 3 3 5 3" xfId="28808" xr:uid="{00000000-0005-0000-0000-00005F910000}"/>
    <cellStyle name="Comma 3 6 3 3 3 6" xfId="7977" xr:uid="{00000000-0005-0000-0000-000060910000}"/>
    <cellStyle name="Comma 3 6 3 3 3 6 2" xfId="31256" xr:uid="{00000000-0005-0000-0000-000061910000}"/>
    <cellStyle name="Comma 3 6 3 3 3 7" xfId="10425" xr:uid="{00000000-0005-0000-0000-000062910000}"/>
    <cellStyle name="Comma 3 6 3 3 3 7 2" xfId="33704" xr:uid="{00000000-0005-0000-0000-000063910000}"/>
    <cellStyle name="Comma 3 6 3 3 3 8" xfId="12873" xr:uid="{00000000-0005-0000-0000-000064910000}"/>
    <cellStyle name="Comma 3 6 3 3 3 8 2" xfId="36152" xr:uid="{00000000-0005-0000-0000-000065910000}"/>
    <cellStyle name="Comma 3 6 3 3 3 9" xfId="15344" xr:uid="{00000000-0005-0000-0000-000066910000}"/>
    <cellStyle name="Comma 3 6 3 3 3 9 2" xfId="38622" xr:uid="{00000000-0005-0000-0000-000067910000}"/>
    <cellStyle name="Comma 3 6 3 3 4" xfId="837" xr:uid="{00000000-0005-0000-0000-000068910000}"/>
    <cellStyle name="Comma 3 6 3 3 4 10" xfId="44946" xr:uid="{00000000-0005-0000-0000-000069910000}"/>
    <cellStyle name="Comma 3 6 3 3 4 11" xfId="21668" xr:uid="{00000000-0005-0000-0000-00006A910000}"/>
    <cellStyle name="Comma 3 6 3 3 4 2" xfId="2061" xr:uid="{00000000-0005-0000-0000-00006B910000}"/>
    <cellStyle name="Comma 3 6 3 3 4 2 10" xfId="22892" xr:uid="{00000000-0005-0000-0000-00006C910000}"/>
    <cellStyle name="Comma 3 6 3 3 4 2 2" xfId="4509" xr:uid="{00000000-0005-0000-0000-00006D910000}"/>
    <cellStyle name="Comma 3 6 3 3 4 2 2 2" xfId="20444" xr:uid="{00000000-0005-0000-0000-00006E910000}"/>
    <cellStyle name="Comma 3 6 3 3 4 2 2 2 2" xfId="43722" xr:uid="{00000000-0005-0000-0000-00006F910000}"/>
    <cellStyle name="Comma 3 6 3 3 4 2 2 3" xfId="48618" xr:uid="{00000000-0005-0000-0000-000070910000}"/>
    <cellStyle name="Comma 3 6 3 3 4 2 2 4" xfId="27788" xr:uid="{00000000-0005-0000-0000-000071910000}"/>
    <cellStyle name="Comma 3 6 3 3 4 2 3" xfId="6957" xr:uid="{00000000-0005-0000-0000-000072910000}"/>
    <cellStyle name="Comma 3 6 3 3 4 2 3 2" xfId="30236" xr:uid="{00000000-0005-0000-0000-000073910000}"/>
    <cellStyle name="Comma 3 6 3 3 4 2 4" xfId="9405" xr:uid="{00000000-0005-0000-0000-000074910000}"/>
    <cellStyle name="Comma 3 6 3 3 4 2 4 2" xfId="32684" xr:uid="{00000000-0005-0000-0000-000075910000}"/>
    <cellStyle name="Comma 3 6 3 3 4 2 5" xfId="11853" xr:uid="{00000000-0005-0000-0000-000076910000}"/>
    <cellStyle name="Comma 3 6 3 3 4 2 5 2" xfId="35132" xr:uid="{00000000-0005-0000-0000-000077910000}"/>
    <cellStyle name="Comma 3 6 3 3 4 2 6" xfId="14301" xr:uid="{00000000-0005-0000-0000-000078910000}"/>
    <cellStyle name="Comma 3 6 3 3 4 2 6 2" xfId="37580" xr:uid="{00000000-0005-0000-0000-000079910000}"/>
    <cellStyle name="Comma 3 6 3 3 4 2 7" xfId="17996" xr:uid="{00000000-0005-0000-0000-00007A910000}"/>
    <cellStyle name="Comma 3 6 3 3 4 2 7 2" xfId="41274" xr:uid="{00000000-0005-0000-0000-00007B910000}"/>
    <cellStyle name="Comma 3 6 3 3 4 2 8" xfId="25340" xr:uid="{00000000-0005-0000-0000-00007C910000}"/>
    <cellStyle name="Comma 3 6 3 3 4 2 9" xfId="46170" xr:uid="{00000000-0005-0000-0000-00007D910000}"/>
    <cellStyle name="Comma 3 6 3 3 4 3" xfId="3285" xr:uid="{00000000-0005-0000-0000-00007E910000}"/>
    <cellStyle name="Comma 3 6 3 3 4 3 2" xfId="16772" xr:uid="{00000000-0005-0000-0000-00007F910000}"/>
    <cellStyle name="Comma 3 6 3 3 4 3 2 2" xfId="40050" xr:uid="{00000000-0005-0000-0000-000080910000}"/>
    <cellStyle name="Comma 3 6 3 3 4 3 3" xfId="47394" xr:uid="{00000000-0005-0000-0000-000081910000}"/>
    <cellStyle name="Comma 3 6 3 3 4 3 4" xfId="26564" xr:uid="{00000000-0005-0000-0000-000082910000}"/>
    <cellStyle name="Comma 3 6 3 3 4 4" xfId="5733" xr:uid="{00000000-0005-0000-0000-000083910000}"/>
    <cellStyle name="Comma 3 6 3 3 4 4 2" xfId="19220" xr:uid="{00000000-0005-0000-0000-000084910000}"/>
    <cellStyle name="Comma 3 6 3 3 4 4 2 2" xfId="42498" xr:uid="{00000000-0005-0000-0000-000085910000}"/>
    <cellStyle name="Comma 3 6 3 3 4 4 3" xfId="29012" xr:uid="{00000000-0005-0000-0000-000086910000}"/>
    <cellStyle name="Comma 3 6 3 3 4 5" xfId="8181" xr:uid="{00000000-0005-0000-0000-000087910000}"/>
    <cellStyle name="Comma 3 6 3 3 4 5 2" xfId="31460" xr:uid="{00000000-0005-0000-0000-000088910000}"/>
    <cellStyle name="Comma 3 6 3 3 4 6" xfId="10629" xr:uid="{00000000-0005-0000-0000-000089910000}"/>
    <cellStyle name="Comma 3 6 3 3 4 6 2" xfId="33908" xr:uid="{00000000-0005-0000-0000-00008A910000}"/>
    <cellStyle name="Comma 3 6 3 3 4 7" xfId="13077" xr:uid="{00000000-0005-0000-0000-00008B910000}"/>
    <cellStyle name="Comma 3 6 3 3 4 7 2" xfId="36356" xr:uid="{00000000-0005-0000-0000-00008C910000}"/>
    <cellStyle name="Comma 3 6 3 3 4 8" xfId="15548" xr:uid="{00000000-0005-0000-0000-00008D910000}"/>
    <cellStyle name="Comma 3 6 3 3 4 8 2" xfId="38826" xr:uid="{00000000-0005-0000-0000-00008E910000}"/>
    <cellStyle name="Comma 3 6 3 3 4 9" xfId="24116" xr:uid="{00000000-0005-0000-0000-00008F910000}"/>
    <cellStyle name="Comma 3 6 3 3 5" xfId="1449" xr:uid="{00000000-0005-0000-0000-000090910000}"/>
    <cellStyle name="Comma 3 6 3 3 5 10" xfId="22280" xr:uid="{00000000-0005-0000-0000-000091910000}"/>
    <cellStyle name="Comma 3 6 3 3 5 2" xfId="3897" xr:uid="{00000000-0005-0000-0000-000092910000}"/>
    <cellStyle name="Comma 3 6 3 3 5 2 2" xfId="19832" xr:uid="{00000000-0005-0000-0000-000093910000}"/>
    <cellStyle name="Comma 3 6 3 3 5 2 2 2" xfId="43110" xr:uid="{00000000-0005-0000-0000-000094910000}"/>
    <cellStyle name="Comma 3 6 3 3 5 2 3" xfId="48006" xr:uid="{00000000-0005-0000-0000-000095910000}"/>
    <cellStyle name="Comma 3 6 3 3 5 2 4" xfId="27176" xr:uid="{00000000-0005-0000-0000-000096910000}"/>
    <cellStyle name="Comma 3 6 3 3 5 3" xfId="6345" xr:uid="{00000000-0005-0000-0000-000097910000}"/>
    <cellStyle name="Comma 3 6 3 3 5 3 2" xfId="29624" xr:uid="{00000000-0005-0000-0000-000098910000}"/>
    <cellStyle name="Comma 3 6 3 3 5 4" xfId="8793" xr:uid="{00000000-0005-0000-0000-000099910000}"/>
    <cellStyle name="Comma 3 6 3 3 5 4 2" xfId="32072" xr:uid="{00000000-0005-0000-0000-00009A910000}"/>
    <cellStyle name="Comma 3 6 3 3 5 5" xfId="11241" xr:uid="{00000000-0005-0000-0000-00009B910000}"/>
    <cellStyle name="Comma 3 6 3 3 5 5 2" xfId="34520" xr:uid="{00000000-0005-0000-0000-00009C910000}"/>
    <cellStyle name="Comma 3 6 3 3 5 6" xfId="13689" xr:uid="{00000000-0005-0000-0000-00009D910000}"/>
    <cellStyle name="Comma 3 6 3 3 5 6 2" xfId="36968" xr:uid="{00000000-0005-0000-0000-00009E910000}"/>
    <cellStyle name="Comma 3 6 3 3 5 7" xfId="17384" xr:uid="{00000000-0005-0000-0000-00009F910000}"/>
    <cellStyle name="Comma 3 6 3 3 5 7 2" xfId="40662" xr:uid="{00000000-0005-0000-0000-0000A0910000}"/>
    <cellStyle name="Comma 3 6 3 3 5 8" xfId="24728" xr:uid="{00000000-0005-0000-0000-0000A1910000}"/>
    <cellStyle name="Comma 3 6 3 3 5 9" xfId="45558" xr:uid="{00000000-0005-0000-0000-0000A2910000}"/>
    <cellStyle name="Comma 3 6 3 3 6" xfId="2673" xr:uid="{00000000-0005-0000-0000-0000A3910000}"/>
    <cellStyle name="Comma 3 6 3 3 6 2" xfId="16160" xr:uid="{00000000-0005-0000-0000-0000A4910000}"/>
    <cellStyle name="Comma 3 6 3 3 6 2 2" xfId="39438" xr:uid="{00000000-0005-0000-0000-0000A5910000}"/>
    <cellStyle name="Comma 3 6 3 3 6 3" xfId="46782" xr:uid="{00000000-0005-0000-0000-0000A6910000}"/>
    <cellStyle name="Comma 3 6 3 3 6 4" xfId="25952" xr:uid="{00000000-0005-0000-0000-0000A7910000}"/>
    <cellStyle name="Comma 3 6 3 3 7" xfId="5121" xr:uid="{00000000-0005-0000-0000-0000A8910000}"/>
    <cellStyle name="Comma 3 6 3 3 7 2" xfId="18608" xr:uid="{00000000-0005-0000-0000-0000A9910000}"/>
    <cellStyle name="Comma 3 6 3 3 7 2 2" xfId="41886" xr:uid="{00000000-0005-0000-0000-0000AA910000}"/>
    <cellStyle name="Comma 3 6 3 3 7 3" xfId="28400" xr:uid="{00000000-0005-0000-0000-0000AB910000}"/>
    <cellStyle name="Comma 3 6 3 3 8" xfId="7569" xr:uid="{00000000-0005-0000-0000-0000AC910000}"/>
    <cellStyle name="Comma 3 6 3 3 8 2" xfId="30848" xr:uid="{00000000-0005-0000-0000-0000AD910000}"/>
    <cellStyle name="Comma 3 6 3 3 9" xfId="10017" xr:uid="{00000000-0005-0000-0000-0000AE910000}"/>
    <cellStyle name="Comma 3 6 3 3 9 2" xfId="33296" xr:uid="{00000000-0005-0000-0000-0000AF910000}"/>
    <cellStyle name="Comma 3 6 3 4" xfId="293" xr:uid="{00000000-0005-0000-0000-0000B0910000}"/>
    <cellStyle name="Comma 3 6 3 4 10" xfId="23572" xr:uid="{00000000-0005-0000-0000-0000B1910000}"/>
    <cellStyle name="Comma 3 6 3 4 11" xfId="44402" xr:uid="{00000000-0005-0000-0000-0000B2910000}"/>
    <cellStyle name="Comma 3 6 3 4 12" xfId="21124" xr:uid="{00000000-0005-0000-0000-0000B3910000}"/>
    <cellStyle name="Comma 3 6 3 4 2" xfId="905" xr:uid="{00000000-0005-0000-0000-0000B4910000}"/>
    <cellStyle name="Comma 3 6 3 4 2 10" xfId="45014" xr:uid="{00000000-0005-0000-0000-0000B5910000}"/>
    <cellStyle name="Comma 3 6 3 4 2 11" xfId="21736" xr:uid="{00000000-0005-0000-0000-0000B6910000}"/>
    <cellStyle name="Comma 3 6 3 4 2 2" xfId="2129" xr:uid="{00000000-0005-0000-0000-0000B7910000}"/>
    <cellStyle name="Comma 3 6 3 4 2 2 10" xfId="22960" xr:uid="{00000000-0005-0000-0000-0000B8910000}"/>
    <cellStyle name="Comma 3 6 3 4 2 2 2" xfId="4577" xr:uid="{00000000-0005-0000-0000-0000B9910000}"/>
    <cellStyle name="Comma 3 6 3 4 2 2 2 2" xfId="20512" xr:uid="{00000000-0005-0000-0000-0000BA910000}"/>
    <cellStyle name="Comma 3 6 3 4 2 2 2 2 2" xfId="43790" xr:uid="{00000000-0005-0000-0000-0000BB910000}"/>
    <cellStyle name="Comma 3 6 3 4 2 2 2 3" xfId="48686" xr:uid="{00000000-0005-0000-0000-0000BC910000}"/>
    <cellStyle name="Comma 3 6 3 4 2 2 2 4" xfId="27856" xr:uid="{00000000-0005-0000-0000-0000BD910000}"/>
    <cellStyle name="Comma 3 6 3 4 2 2 3" xfId="7025" xr:uid="{00000000-0005-0000-0000-0000BE910000}"/>
    <cellStyle name="Comma 3 6 3 4 2 2 3 2" xfId="30304" xr:uid="{00000000-0005-0000-0000-0000BF910000}"/>
    <cellStyle name="Comma 3 6 3 4 2 2 4" xfId="9473" xr:uid="{00000000-0005-0000-0000-0000C0910000}"/>
    <cellStyle name="Comma 3 6 3 4 2 2 4 2" xfId="32752" xr:uid="{00000000-0005-0000-0000-0000C1910000}"/>
    <cellStyle name="Comma 3 6 3 4 2 2 5" xfId="11921" xr:uid="{00000000-0005-0000-0000-0000C2910000}"/>
    <cellStyle name="Comma 3 6 3 4 2 2 5 2" xfId="35200" xr:uid="{00000000-0005-0000-0000-0000C3910000}"/>
    <cellStyle name="Comma 3 6 3 4 2 2 6" xfId="14369" xr:uid="{00000000-0005-0000-0000-0000C4910000}"/>
    <cellStyle name="Comma 3 6 3 4 2 2 6 2" xfId="37648" xr:uid="{00000000-0005-0000-0000-0000C5910000}"/>
    <cellStyle name="Comma 3 6 3 4 2 2 7" xfId="18064" xr:uid="{00000000-0005-0000-0000-0000C6910000}"/>
    <cellStyle name="Comma 3 6 3 4 2 2 7 2" xfId="41342" xr:uid="{00000000-0005-0000-0000-0000C7910000}"/>
    <cellStyle name="Comma 3 6 3 4 2 2 8" xfId="25408" xr:uid="{00000000-0005-0000-0000-0000C8910000}"/>
    <cellStyle name="Comma 3 6 3 4 2 2 9" xfId="46238" xr:uid="{00000000-0005-0000-0000-0000C9910000}"/>
    <cellStyle name="Comma 3 6 3 4 2 3" xfId="3353" xr:uid="{00000000-0005-0000-0000-0000CA910000}"/>
    <cellStyle name="Comma 3 6 3 4 2 3 2" xfId="16840" xr:uid="{00000000-0005-0000-0000-0000CB910000}"/>
    <cellStyle name="Comma 3 6 3 4 2 3 2 2" xfId="40118" xr:uid="{00000000-0005-0000-0000-0000CC910000}"/>
    <cellStyle name="Comma 3 6 3 4 2 3 3" xfId="47462" xr:uid="{00000000-0005-0000-0000-0000CD910000}"/>
    <cellStyle name="Comma 3 6 3 4 2 3 4" xfId="26632" xr:uid="{00000000-0005-0000-0000-0000CE910000}"/>
    <cellStyle name="Comma 3 6 3 4 2 4" xfId="5801" xr:uid="{00000000-0005-0000-0000-0000CF910000}"/>
    <cellStyle name="Comma 3 6 3 4 2 4 2" xfId="19288" xr:uid="{00000000-0005-0000-0000-0000D0910000}"/>
    <cellStyle name="Comma 3 6 3 4 2 4 2 2" xfId="42566" xr:uid="{00000000-0005-0000-0000-0000D1910000}"/>
    <cellStyle name="Comma 3 6 3 4 2 4 3" xfId="29080" xr:uid="{00000000-0005-0000-0000-0000D2910000}"/>
    <cellStyle name="Comma 3 6 3 4 2 5" xfId="8249" xr:uid="{00000000-0005-0000-0000-0000D3910000}"/>
    <cellStyle name="Comma 3 6 3 4 2 5 2" xfId="31528" xr:uid="{00000000-0005-0000-0000-0000D4910000}"/>
    <cellStyle name="Comma 3 6 3 4 2 6" xfId="10697" xr:uid="{00000000-0005-0000-0000-0000D5910000}"/>
    <cellStyle name="Comma 3 6 3 4 2 6 2" xfId="33976" xr:uid="{00000000-0005-0000-0000-0000D6910000}"/>
    <cellStyle name="Comma 3 6 3 4 2 7" xfId="13145" xr:uid="{00000000-0005-0000-0000-0000D7910000}"/>
    <cellStyle name="Comma 3 6 3 4 2 7 2" xfId="36424" xr:uid="{00000000-0005-0000-0000-0000D8910000}"/>
    <cellStyle name="Comma 3 6 3 4 2 8" xfId="15616" xr:uid="{00000000-0005-0000-0000-0000D9910000}"/>
    <cellStyle name="Comma 3 6 3 4 2 8 2" xfId="38894" xr:uid="{00000000-0005-0000-0000-0000DA910000}"/>
    <cellStyle name="Comma 3 6 3 4 2 9" xfId="24184" xr:uid="{00000000-0005-0000-0000-0000DB910000}"/>
    <cellStyle name="Comma 3 6 3 4 3" xfId="1517" xr:uid="{00000000-0005-0000-0000-0000DC910000}"/>
    <cellStyle name="Comma 3 6 3 4 3 10" xfId="22348" xr:uid="{00000000-0005-0000-0000-0000DD910000}"/>
    <cellStyle name="Comma 3 6 3 4 3 2" xfId="3965" xr:uid="{00000000-0005-0000-0000-0000DE910000}"/>
    <cellStyle name="Comma 3 6 3 4 3 2 2" xfId="19900" xr:uid="{00000000-0005-0000-0000-0000DF910000}"/>
    <cellStyle name="Comma 3 6 3 4 3 2 2 2" xfId="43178" xr:uid="{00000000-0005-0000-0000-0000E0910000}"/>
    <cellStyle name="Comma 3 6 3 4 3 2 3" xfId="48074" xr:uid="{00000000-0005-0000-0000-0000E1910000}"/>
    <cellStyle name="Comma 3 6 3 4 3 2 4" xfId="27244" xr:uid="{00000000-0005-0000-0000-0000E2910000}"/>
    <cellStyle name="Comma 3 6 3 4 3 3" xfId="6413" xr:uid="{00000000-0005-0000-0000-0000E3910000}"/>
    <cellStyle name="Comma 3 6 3 4 3 3 2" xfId="29692" xr:uid="{00000000-0005-0000-0000-0000E4910000}"/>
    <cellStyle name="Comma 3 6 3 4 3 4" xfId="8861" xr:uid="{00000000-0005-0000-0000-0000E5910000}"/>
    <cellStyle name="Comma 3 6 3 4 3 4 2" xfId="32140" xr:uid="{00000000-0005-0000-0000-0000E6910000}"/>
    <cellStyle name="Comma 3 6 3 4 3 5" xfId="11309" xr:uid="{00000000-0005-0000-0000-0000E7910000}"/>
    <cellStyle name="Comma 3 6 3 4 3 5 2" xfId="34588" xr:uid="{00000000-0005-0000-0000-0000E8910000}"/>
    <cellStyle name="Comma 3 6 3 4 3 6" xfId="13757" xr:uid="{00000000-0005-0000-0000-0000E9910000}"/>
    <cellStyle name="Comma 3 6 3 4 3 6 2" xfId="37036" xr:uid="{00000000-0005-0000-0000-0000EA910000}"/>
    <cellStyle name="Comma 3 6 3 4 3 7" xfId="17452" xr:uid="{00000000-0005-0000-0000-0000EB910000}"/>
    <cellStyle name="Comma 3 6 3 4 3 7 2" xfId="40730" xr:uid="{00000000-0005-0000-0000-0000EC910000}"/>
    <cellStyle name="Comma 3 6 3 4 3 8" xfId="24796" xr:uid="{00000000-0005-0000-0000-0000ED910000}"/>
    <cellStyle name="Comma 3 6 3 4 3 9" xfId="45626" xr:uid="{00000000-0005-0000-0000-0000EE910000}"/>
    <cellStyle name="Comma 3 6 3 4 4" xfId="2741" xr:uid="{00000000-0005-0000-0000-0000EF910000}"/>
    <cellStyle name="Comma 3 6 3 4 4 2" xfId="16228" xr:uid="{00000000-0005-0000-0000-0000F0910000}"/>
    <cellStyle name="Comma 3 6 3 4 4 2 2" xfId="39506" xr:uid="{00000000-0005-0000-0000-0000F1910000}"/>
    <cellStyle name="Comma 3 6 3 4 4 3" xfId="46850" xr:uid="{00000000-0005-0000-0000-0000F2910000}"/>
    <cellStyle name="Comma 3 6 3 4 4 4" xfId="26020" xr:uid="{00000000-0005-0000-0000-0000F3910000}"/>
    <cellStyle name="Comma 3 6 3 4 5" xfId="5189" xr:uid="{00000000-0005-0000-0000-0000F4910000}"/>
    <cellStyle name="Comma 3 6 3 4 5 2" xfId="18676" xr:uid="{00000000-0005-0000-0000-0000F5910000}"/>
    <cellStyle name="Comma 3 6 3 4 5 2 2" xfId="41954" xr:uid="{00000000-0005-0000-0000-0000F6910000}"/>
    <cellStyle name="Comma 3 6 3 4 5 3" xfId="28468" xr:uid="{00000000-0005-0000-0000-0000F7910000}"/>
    <cellStyle name="Comma 3 6 3 4 6" xfId="7637" xr:uid="{00000000-0005-0000-0000-0000F8910000}"/>
    <cellStyle name="Comma 3 6 3 4 6 2" xfId="30916" xr:uid="{00000000-0005-0000-0000-0000F9910000}"/>
    <cellStyle name="Comma 3 6 3 4 7" xfId="10085" xr:uid="{00000000-0005-0000-0000-0000FA910000}"/>
    <cellStyle name="Comma 3 6 3 4 7 2" xfId="33364" xr:uid="{00000000-0005-0000-0000-0000FB910000}"/>
    <cellStyle name="Comma 3 6 3 4 8" xfId="12533" xr:uid="{00000000-0005-0000-0000-0000FC910000}"/>
    <cellStyle name="Comma 3 6 3 4 8 2" xfId="35812" xr:uid="{00000000-0005-0000-0000-0000FD910000}"/>
    <cellStyle name="Comma 3 6 3 4 9" xfId="15004" xr:uid="{00000000-0005-0000-0000-0000FE910000}"/>
    <cellStyle name="Comma 3 6 3 4 9 2" xfId="38282" xr:uid="{00000000-0005-0000-0000-0000FF910000}"/>
    <cellStyle name="Comma 3 6 3 5" xfId="497" xr:uid="{00000000-0005-0000-0000-000000920000}"/>
    <cellStyle name="Comma 3 6 3 5 10" xfId="23776" xr:uid="{00000000-0005-0000-0000-000001920000}"/>
    <cellStyle name="Comma 3 6 3 5 11" xfId="44606" xr:uid="{00000000-0005-0000-0000-000002920000}"/>
    <cellStyle name="Comma 3 6 3 5 12" xfId="21328" xr:uid="{00000000-0005-0000-0000-000003920000}"/>
    <cellStyle name="Comma 3 6 3 5 2" xfId="1109" xr:uid="{00000000-0005-0000-0000-000004920000}"/>
    <cellStyle name="Comma 3 6 3 5 2 10" xfId="45218" xr:uid="{00000000-0005-0000-0000-000005920000}"/>
    <cellStyle name="Comma 3 6 3 5 2 11" xfId="21940" xr:uid="{00000000-0005-0000-0000-000006920000}"/>
    <cellStyle name="Comma 3 6 3 5 2 2" xfId="2333" xr:uid="{00000000-0005-0000-0000-000007920000}"/>
    <cellStyle name="Comma 3 6 3 5 2 2 10" xfId="23164" xr:uid="{00000000-0005-0000-0000-000008920000}"/>
    <cellStyle name="Comma 3 6 3 5 2 2 2" xfId="4781" xr:uid="{00000000-0005-0000-0000-000009920000}"/>
    <cellStyle name="Comma 3 6 3 5 2 2 2 2" xfId="20716" xr:uid="{00000000-0005-0000-0000-00000A920000}"/>
    <cellStyle name="Comma 3 6 3 5 2 2 2 2 2" xfId="43994" xr:uid="{00000000-0005-0000-0000-00000B920000}"/>
    <cellStyle name="Comma 3 6 3 5 2 2 2 3" xfId="48890" xr:uid="{00000000-0005-0000-0000-00000C920000}"/>
    <cellStyle name="Comma 3 6 3 5 2 2 2 4" xfId="28060" xr:uid="{00000000-0005-0000-0000-00000D920000}"/>
    <cellStyle name="Comma 3 6 3 5 2 2 3" xfId="7229" xr:uid="{00000000-0005-0000-0000-00000E920000}"/>
    <cellStyle name="Comma 3 6 3 5 2 2 3 2" xfId="30508" xr:uid="{00000000-0005-0000-0000-00000F920000}"/>
    <cellStyle name="Comma 3 6 3 5 2 2 4" xfId="9677" xr:uid="{00000000-0005-0000-0000-000010920000}"/>
    <cellStyle name="Comma 3 6 3 5 2 2 4 2" xfId="32956" xr:uid="{00000000-0005-0000-0000-000011920000}"/>
    <cellStyle name="Comma 3 6 3 5 2 2 5" xfId="12125" xr:uid="{00000000-0005-0000-0000-000012920000}"/>
    <cellStyle name="Comma 3 6 3 5 2 2 5 2" xfId="35404" xr:uid="{00000000-0005-0000-0000-000013920000}"/>
    <cellStyle name="Comma 3 6 3 5 2 2 6" xfId="14573" xr:uid="{00000000-0005-0000-0000-000014920000}"/>
    <cellStyle name="Comma 3 6 3 5 2 2 6 2" xfId="37852" xr:uid="{00000000-0005-0000-0000-000015920000}"/>
    <cellStyle name="Comma 3 6 3 5 2 2 7" xfId="18268" xr:uid="{00000000-0005-0000-0000-000016920000}"/>
    <cellStyle name="Comma 3 6 3 5 2 2 7 2" xfId="41546" xr:uid="{00000000-0005-0000-0000-000017920000}"/>
    <cellStyle name="Comma 3 6 3 5 2 2 8" xfId="25612" xr:uid="{00000000-0005-0000-0000-000018920000}"/>
    <cellStyle name="Comma 3 6 3 5 2 2 9" xfId="46442" xr:uid="{00000000-0005-0000-0000-000019920000}"/>
    <cellStyle name="Comma 3 6 3 5 2 3" xfId="3557" xr:uid="{00000000-0005-0000-0000-00001A920000}"/>
    <cellStyle name="Comma 3 6 3 5 2 3 2" xfId="17044" xr:uid="{00000000-0005-0000-0000-00001B920000}"/>
    <cellStyle name="Comma 3 6 3 5 2 3 2 2" xfId="40322" xr:uid="{00000000-0005-0000-0000-00001C920000}"/>
    <cellStyle name="Comma 3 6 3 5 2 3 3" xfId="47666" xr:uid="{00000000-0005-0000-0000-00001D920000}"/>
    <cellStyle name="Comma 3 6 3 5 2 3 4" xfId="26836" xr:uid="{00000000-0005-0000-0000-00001E920000}"/>
    <cellStyle name="Comma 3 6 3 5 2 4" xfId="6005" xr:uid="{00000000-0005-0000-0000-00001F920000}"/>
    <cellStyle name="Comma 3 6 3 5 2 4 2" xfId="19492" xr:uid="{00000000-0005-0000-0000-000020920000}"/>
    <cellStyle name="Comma 3 6 3 5 2 4 2 2" xfId="42770" xr:uid="{00000000-0005-0000-0000-000021920000}"/>
    <cellStyle name="Comma 3 6 3 5 2 4 3" xfId="29284" xr:uid="{00000000-0005-0000-0000-000022920000}"/>
    <cellStyle name="Comma 3 6 3 5 2 5" xfId="8453" xr:uid="{00000000-0005-0000-0000-000023920000}"/>
    <cellStyle name="Comma 3 6 3 5 2 5 2" xfId="31732" xr:uid="{00000000-0005-0000-0000-000024920000}"/>
    <cellStyle name="Comma 3 6 3 5 2 6" xfId="10901" xr:uid="{00000000-0005-0000-0000-000025920000}"/>
    <cellStyle name="Comma 3 6 3 5 2 6 2" xfId="34180" xr:uid="{00000000-0005-0000-0000-000026920000}"/>
    <cellStyle name="Comma 3 6 3 5 2 7" xfId="13349" xr:uid="{00000000-0005-0000-0000-000027920000}"/>
    <cellStyle name="Comma 3 6 3 5 2 7 2" xfId="36628" xr:uid="{00000000-0005-0000-0000-000028920000}"/>
    <cellStyle name="Comma 3 6 3 5 2 8" xfId="15820" xr:uid="{00000000-0005-0000-0000-000029920000}"/>
    <cellStyle name="Comma 3 6 3 5 2 8 2" xfId="39098" xr:uid="{00000000-0005-0000-0000-00002A920000}"/>
    <cellStyle name="Comma 3 6 3 5 2 9" xfId="24388" xr:uid="{00000000-0005-0000-0000-00002B920000}"/>
    <cellStyle name="Comma 3 6 3 5 3" xfId="1721" xr:uid="{00000000-0005-0000-0000-00002C920000}"/>
    <cellStyle name="Comma 3 6 3 5 3 10" xfId="22552" xr:uid="{00000000-0005-0000-0000-00002D920000}"/>
    <cellStyle name="Comma 3 6 3 5 3 2" xfId="4169" xr:uid="{00000000-0005-0000-0000-00002E920000}"/>
    <cellStyle name="Comma 3 6 3 5 3 2 2" xfId="20104" xr:uid="{00000000-0005-0000-0000-00002F920000}"/>
    <cellStyle name="Comma 3 6 3 5 3 2 2 2" xfId="43382" xr:uid="{00000000-0005-0000-0000-000030920000}"/>
    <cellStyle name="Comma 3 6 3 5 3 2 3" xfId="48278" xr:uid="{00000000-0005-0000-0000-000031920000}"/>
    <cellStyle name="Comma 3 6 3 5 3 2 4" xfId="27448" xr:uid="{00000000-0005-0000-0000-000032920000}"/>
    <cellStyle name="Comma 3 6 3 5 3 3" xfId="6617" xr:uid="{00000000-0005-0000-0000-000033920000}"/>
    <cellStyle name="Comma 3 6 3 5 3 3 2" xfId="29896" xr:uid="{00000000-0005-0000-0000-000034920000}"/>
    <cellStyle name="Comma 3 6 3 5 3 4" xfId="9065" xr:uid="{00000000-0005-0000-0000-000035920000}"/>
    <cellStyle name="Comma 3 6 3 5 3 4 2" xfId="32344" xr:uid="{00000000-0005-0000-0000-000036920000}"/>
    <cellStyle name="Comma 3 6 3 5 3 5" xfId="11513" xr:uid="{00000000-0005-0000-0000-000037920000}"/>
    <cellStyle name="Comma 3 6 3 5 3 5 2" xfId="34792" xr:uid="{00000000-0005-0000-0000-000038920000}"/>
    <cellStyle name="Comma 3 6 3 5 3 6" xfId="13961" xr:uid="{00000000-0005-0000-0000-000039920000}"/>
    <cellStyle name="Comma 3 6 3 5 3 6 2" xfId="37240" xr:uid="{00000000-0005-0000-0000-00003A920000}"/>
    <cellStyle name="Comma 3 6 3 5 3 7" xfId="17656" xr:uid="{00000000-0005-0000-0000-00003B920000}"/>
    <cellStyle name="Comma 3 6 3 5 3 7 2" xfId="40934" xr:uid="{00000000-0005-0000-0000-00003C920000}"/>
    <cellStyle name="Comma 3 6 3 5 3 8" xfId="25000" xr:uid="{00000000-0005-0000-0000-00003D920000}"/>
    <cellStyle name="Comma 3 6 3 5 3 9" xfId="45830" xr:uid="{00000000-0005-0000-0000-00003E920000}"/>
    <cellStyle name="Comma 3 6 3 5 4" xfId="2945" xr:uid="{00000000-0005-0000-0000-00003F920000}"/>
    <cellStyle name="Comma 3 6 3 5 4 2" xfId="16432" xr:uid="{00000000-0005-0000-0000-000040920000}"/>
    <cellStyle name="Comma 3 6 3 5 4 2 2" xfId="39710" xr:uid="{00000000-0005-0000-0000-000041920000}"/>
    <cellStyle name="Comma 3 6 3 5 4 3" xfId="47054" xr:uid="{00000000-0005-0000-0000-000042920000}"/>
    <cellStyle name="Comma 3 6 3 5 4 4" xfId="26224" xr:uid="{00000000-0005-0000-0000-000043920000}"/>
    <cellStyle name="Comma 3 6 3 5 5" xfId="5393" xr:uid="{00000000-0005-0000-0000-000044920000}"/>
    <cellStyle name="Comma 3 6 3 5 5 2" xfId="18880" xr:uid="{00000000-0005-0000-0000-000045920000}"/>
    <cellStyle name="Comma 3 6 3 5 5 2 2" xfId="42158" xr:uid="{00000000-0005-0000-0000-000046920000}"/>
    <cellStyle name="Comma 3 6 3 5 5 3" xfId="28672" xr:uid="{00000000-0005-0000-0000-000047920000}"/>
    <cellStyle name="Comma 3 6 3 5 6" xfId="7841" xr:uid="{00000000-0005-0000-0000-000048920000}"/>
    <cellStyle name="Comma 3 6 3 5 6 2" xfId="31120" xr:uid="{00000000-0005-0000-0000-000049920000}"/>
    <cellStyle name="Comma 3 6 3 5 7" xfId="10289" xr:uid="{00000000-0005-0000-0000-00004A920000}"/>
    <cellStyle name="Comma 3 6 3 5 7 2" xfId="33568" xr:uid="{00000000-0005-0000-0000-00004B920000}"/>
    <cellStyle name="Comma 3 6 3 5 8" xfId="12737" xr:uid="{00000000-0005-0000-0000-00004C920000}"/>
    <cellStyle name="Comma 3 6 3 5 8 2" xfId="36016" xr:uid="{00000000-0005-0000-0000-00004D920000}"/>
    <cellStyle name="Comma 3 6 3 5 9" xfId="15208" xr:uid="{00000000-0005-0000-0000-00004E920000}"/>
    <cellStyle name="Comma 3 6 3 5 9 2" xfId="38486" xr:uid="{00000000-0005-0000-0000-00004F920000}"/>
    <cellStyle name="Comma 3 6 3 6" xfId="701" xr:uid="{00000000-0005-0000-0000-000050920000}"/>
    <cellStyle name="Comma 3 6 3 6 10" xfId="44810" xr:uid="{00000000-0005-0000-0000-000051920000}"/>
    <cellStyle name="Comma 3 6 3 6 11" xfId="21532" xr:uid="{00000000-0005-0000-0000-000052920000}"/>
    <cellStyle name="Comma 3 6 3 6 2" xfId="1925" xr:uid="{00000000-0005-0000-0000-000053920000}"/>
    <cellStyle name="Comma 3 6 3 6 2 10" xfId="22756" xr:uid="{00000000-0005-0000-0000-000054920000}"/>
    <cellStyle name="Comma 3 6 3 6 2 2" xfId="4373" xr:uid="{00000000-0005-0000-0000-000055920000}"/>
    <cellStyle name="Comma 3 6 3 6 2 2 2" xfId="20308" xr:uid="{00000000-0005-0000-0000-000056920000}"/>
    <cellStyle name="Comma 3 6 3 6 2 2 2 2" xfId="43586" xr:uid="{00000000-0005-0000-0000-000057920000}"/>
    <cellStyle name="Comma 3 6 3 6 2 2 3" xfId="48482" xr:uid="{00000000-0005-0000-0000-000058920000}"/>
    <cellStyle name="Comma 3 6 3 6 2 2 4" xfId="27652" xr:uid="{00000000-0005-0000-0000-000059920000}"/>
    <cellStyle name="Comma 3 6 3 6 2 3" xfId="6821" xr:uid="{00000000-0005-0000-0000-00005A920000}"/>
    <cellStyle name="Comma 3 6 3 6 2 3 2" xfId="30100" xr:uid="{00000000-0005-0000-0000-00005B920000}"/>
    <cellStyle name="Comma 3 6 3 6 2 4" xfId="9269" xr:uid="{00000000-0005-0000-0000-00005C920000}"/>
    <cellStyle name="Comma 3 6 3 6 2 4 2" xfId="32548" xr:uid="{00000000-0005-0000-0000-00005D920000}"/>
    <cellStyle name="Comma 3 6 3 6 2 5" xfId="11717" xr:uid="{00000000-0005-0000-0000-00005E920000}"/>
    <cellStyle name="Comma 3 6 3 6 2 5 2" xfId="34996" xr:uid="{00000000-0005-0000-0000-00005F920000}"/>
    <cellStyle name="Comma 3 6 3 6 2 6" xfId="14165" xr:uid="{00000000-0005-0000-0000-000060920000}"/>
    <cellStyle name="Comma 3 6 3 6 2 6 2" xfId="37444" xr:uid="{00000000-0005-0000-0000-000061920000}"/>
    <cellStyle name="Comma 3 6 3 6 2 7" xfId="17860" xr:uid="{00000000-0005-0000-0000-000062920000}"/>
    <cellStyle name="Comma 3 6 3 6 2 7 2" xfId="41138" xr:uid="{00000000-0005-0000-0000-000063920000}"/>
    <cellStyle name="Comma 3 6 3 6 2 8" xfId="25204" xr:uid="{00000000-0005-0000-0000-000064920000}"/>
    <cellStyle name="Comma 3 6 3 6 2 9" xfId="46034" xr:uid="{00000000-0005-0000-0000-000065920000}"/>
    <cellStyle name="Comma 3 6 3 6 3" xfId="3149" xr:uid="{00000000-0005-0000-0000-000066920000}"/>
    <cellStyle name="Comma 3 6 3 6 3 2" xfId="16636" xr:uid="{00000000-0005-0000-0000-000067920000}"/>
    <cellStyle name="Comma 3 6 3 6 3 2 2" xfId="39914" xr:uid="{00000000-0005-0000-0000-000068920000}"/>
    <cellStyle name="Comma 3 6 3 6 3 3" xfId="47258" xr:uid="{00000000-0005-0000-0000-000069920000}"/>
    <cellStyle name="Comma 3 6 3 6 3 4" xfId="26428" xr:uid="{00000000-0005-0000-0000-00006A920000}"/>
    <cellStyle name="Comma 3 6 3 6 4" xfId="5597" xr:uid="{00000000-0005-0000-0000-00006B920000}"/>
    <cellStyle name="Comma 3 6 3 6 4 2" xfId="19084" xr:uid="{00000000-0005-0000-0000-00006C920000}"/>
    <cellStyle name="Comma 3 6 3 6 4 2 2" xfId="42362" xr:uid="{00000000-0005-0000-0000-00006D920000}"/>
    <cellStyle name="Comma 3 6 3 6 4 3" xfId="28876" xr:uid="{00000000-0005-0000-0000-00006E920000}"/>
    <cellStyle name="Comma 3 6 3 6 5" xfId="8045" xr:uid="{00000000-0005-0000-0000-00006F920000}"/>
    <cellStyle name="Comma 3 6 3 6 5 2" xfId="31324" xr:uid="{00000000-0005-0000-0000-000070920000}"/>
    <cellStyle name="Comma 3 6 3 6 6" xfId="10493" xr:uid="{00000000-0005-0000-0000-000071920000}"/>
    <cellStyle name="Comma 3 6 3 6 6 2" xfId="33772" xr:uid="{00000000-0005-0000-0000-000072920000}"/>
    <cellStyle name="Comma 3 6 3 6 7" xfId="12941" xr:uid="{00000000-0005-0000-0000-000073920000}"/>
    <cellStyle name="Comma 3 6 3 6 7 2" xfId="36220" xr:uid="{00000000-0005-0000-0000-000074920000}"/>
    <cellStyle name="Comma 3 6 3 6 8" xfId="15412" xr:uid="{00000000-0005-0000-0000-000075920000}"/>
    <cellStyle name="Comma 3 6 3 6 8 2" xfId="38690" xr:uid="{00000000-0005-0000-0000-000076920000}"/>
    <cellStyle name="Comma 3 6 3 6 9" xfId="23980" xr:uid="{00000000-0005-0000-0000-000077920000}"/>
    <cellStyle name="Comma 3 6 3 7" xfId="1313" xr:uid="{00000000-0005-0000-0000-000078920000}"/>
    <cellStyle name="Comma 3 6 3 7 10" xfId="22144" xr:uid="{00000000-0005-0000-0000-000079920000}"/>
    <cellStyle name="Comma 3 6 3 7 2" xfId="3761" xr:uid="{00000000-0005-0000-0000-00007A920000}"/>
    <cellStyle name="Comma 3 6 3 7 2 2" xfId="19696" xr:uid="{00000000-0005-0000-0000-00007B920000}"/>
    <cellStyle name="Comma 3 6 3 7 2 2 2" xfId="42974" xr:uid="{00000000-0005-0000-0000-00007C920000}"/>
    <cellStyle name="Comma 3 6 3 7 2 3" xfId="47870" xr:uid="{00000000-0005-0000-0000-00007D920000}"/>
    <cellStyle name="Comma 3 6 3 7 2 4" xfId="27040" xr:uid="{00000000-0005-0000-0000-00007E920000}"/>
    <cellStyle name="Comma 3 6 3 7 3" xfId="6209" xr:uid="{00000000-0005-0000-0000-00007F920000}"/>
    <cellStyle name="Comma 3 6 3 7 3 2" xfId="29488" xr:uid="{00000000-0005-0000-0000-000080920000}"/>
    <cellStyle name="Comma 3 6 3 7 4" xfId="8657" xr:uid="{00000000-0005-0000-0000-000081920000}"/>
    <cellStyle name="Comma 3 6 3 7 4 2" xfId="31936" xr:uid="{00000000-0005-0000-0000-000082920000}"/>
    <cellStyle name="Comma 3 6 3 7 5" xfId="11105" xr:uid="{00000000-0005-0000-0000-000083920000}"/>
    <cellStyle name="Comma 3 6 3 7 5 2" xfId="34384" xr:uid="{00000000-0005-0000-0000-000084920000}"/>
    <cellStyle name="Comma 3 6 3 7 6" xfId="13553" xr:uid="{00000000-0005-0000-0000-000085920000}"/>
    <cellStyle name="Comma 3 6 3 7 6 2" xfId="36832" xr:uid="{00000000-0005-0000-0000-000086920000}"/>
    <cellStyle name="Comma 3 6 3 7 7" xfId="17248" xr:uid="{00000000-0005-0000-0000-000087920000}"/>
    <cellStyle name="Comma 3 6 3 7 7 2" xfId="40526" xr:uid="{00000000-0005-0000-0000-000088920000}"/>
    <cellStyle name="Comma 3 6 3 7 8" xfId="24592" xr:uid="{00000000-0005-0000-0000-000089920000}"/>
    <cellStyle name="Comma 3 6 3 7 9" xfId="45422" xr:uid="{00000000-0005-0000-0000-00008A920000}"/>
    <cellStyle name="Comma 3 6 3 8" xfId="2537" xr:uid="{00000000-0005-0000-0000-00008B920000}"/>
    <cellStyle name="Comma 3 6 3 8 2" xfId="16024" xr:uid="{00000000-0005-0000-0000-00008C920000}"/>
    <cellStyle name="Comma 3 6 3 8 2 2" xfId="39302" xr:uid="{00000000-0005-0000-0000-00008D920000}"/>
    <cellStyle name="Comma 3 6 3 8 3" xfId="46646" xr:uid="{00000000-0005-0000-0000-00008E920000}"/>
    <cellStyle name="Comma 3 6 3 8 4" xfId="25816" xr:uid="{00000000-0005-0000-0000-00008F920000}"/>
    <cellStyle name="Comma 3 6 3 9" xfId="4985" xr:uid="{00000000-0005-0000-0000-000090920000}"/>
    <cellStyle name="Comma 3 6 3 9 2" xfId="18472" xr:uid="{00000000-0005-0000-0000-000091920000}"/>
    <cellStyle name="Comma 3 6 3 9 2 2" xfId="41750" xr:uid="{00000000-0005-0000-0000-000092920000}"/>
    <cellStyle name="Comma 3 6 3 9 3" xfId="28264" xr:uid="{00000000-0005-0000-0000-000093920000}"/>
    <cellStyle name="Comma 3 6 4" xfId="106" xr:uid="{00000000-0005-0000-0000-000094920000}"/>
    <cellStyle name="Comma 3 6 4 10" xfId="7450" xr:uid="{00000000-0005-0000-0000-000095920000}"/>
    <cellStyle name="Comma 3 6 4 10 2" xfId="30729" xr:uid="{00000000-0005-0000-0000-000096920000}"/>
    <cellStyle name="Comma 3 6 4 11" xfId="9898" xr:uid="{00000000-0005-0000-0000-000097920000}"/>
    <cellStyle name="Comma 3 6 4 11 2" xfId="33177" xr:uid="{00000000-0005-0000-0000-000098920000}"/>
    <cellStyle name="Comma 3 6 4 12" xfId="12346" xr:uid="{00000000-0005-0000-0000-000099920000}"/>
    <cellStyle name="Comma 3 6 4 12 2" xfId="35625" xr:uid="{00000000-0005-0000-0000-00009A920000}"/>
    <cellStyle name="Comma 3 6 4 13" xfId="14817" xr:uid="{00000000-0005-0000-0000-00009B920000}"/>
    <cellStyle name="Comma 3 6 4 13 2" xfId="38095" xr:uid="{00000000-0005-0000-0000-00009C920000}"/>
    <cellStyle name="Comma 3 6 4 14" xfId="23385" xr:uid="{00000000-0005-0000-0000-00009D920000}"/>
    <cellStyle name="Comma 3 6 4 15" xfId="44215" xr:uid="{00000000-0005-0000-0000-00009E920000}"/>
    <cellStyle name="Comma 3 6 4 16" xfId="20937" xr:uid="{00000000-0005-0000-0000-00009F920000}"/>
    <cellStyle name="Comma 3 6 4 2" xfId="174" xr:uid="{00000000-0005-0000-0000-0000A0920000}"/>
    <cellStyle name="Comma 3 6 4 2 10" xfId="12414" xr:uid="{00000000-0005-0000-0000-0000A1920000}"/>
    <cellStyle name="Comma 3 6 4 2 10 2" xfId="35693" xr:uid="{00000000-0005-0000-0000-0000A2920000}"/>
    <cellStyle name="Comma 3 6 4 2 11" xfId="14885" xr:uid="{00000000-0005-0000-0000-0000A3920000}"/>
    <cellStyle name="Comma 3 6 4 2 11 2" xfId="38163" xr:uid="{00000000-0005-0000-0000-0000A4920000}"/>
    <cellStyle name="Comma 3 6 4 2 12" xfId="23453" xr:uid="{00000000-0005-0000-0000-0000A5920000}"/>
    <cellStyle name="Comma 3 6 4 2 13" xfId="44283" xr:uid="{00000000-0005-0000-0000-0000A6920000}"/>
    <cellStyle name="Comma 3 6 4 2 14" xfId="21005" xr:uid="{00000000-0005-0000-0000-0000A7920000}"/>
    <cellStyle name="Comma 3 6 4 2 2" xfId="378" xr:uid="{00000000-0005-0000-0000-0000A8920000}"/>
    <cellStyle name="Comma 3 6 4 2 2 10" xfId="23657" xr:uid="{00000000-0005-0000-0000-0000A9920000}"/>
    <cellStyle name="Comma 3 6 4 2 2 11" xfId="44487" xr:uid="{00000000-0005-0000-0000-0000AA920000}"/>
    <cellStyle name="Comma 3 6 4 2 2 12" xfId="21209" xr:uid="{00000000-0005-0000-0000-0000AB920000}"/>
    <cellStyle name="Comma 3 6 4 2 2 2" xfId="990" xr:uid="{00000000-0005-0000-0000-0000AC920000}"/>
    <cellStyle name="Comma 3 6 4 2 2 2 10" xfId="45099" xr:uid="{00000000-0005-0000-0000-0000AD920000}"/>
    <cellStyle name="Comma 3 6 4 2 2 2 11" xfId="21821" xr:uid="{00000000-0005-0000-0000-0000AE920000}"/>
    <cellStyle name="Comma 3 6 4 2 2 2 2" xfId="2214" xr:uid="{00000000-0005-0000-0000-0000AF920000}"/>
    <cellStyle name="Comma 3 6 4 2 2 2 2 10" xfId="23045" xr:uid="{00000000-0005-0000-0000-0000B0920000}"/>
    <cellStyle name="Comma 3 6 4 2 2 2 2 2" xfId="4662" xr:uid="{00000000-0005-0000-0000-0000B1920000}"/>
    <cellStyle name="Comma 3 6 4 2 2 2 2 2 2" xfId="20597" xr:uid="{00000000-0005-0000-0000-0000B2920000}"/>
    <cellStyle name="Comma 3 6 4 2 2 2 2 2 2 2" xfId="43875" xr:uid="{00000000-0005-0000-0000-0000B3920000}"/>
    <cellStyle name="Comma 3 6 4 2 2 2 2 2 3" xfId="48771" xr:uid="{00000000-0005-0000-0000-0000B4920000}"/>
    <cellStyle name="Comma 3 6 4 2 2 2 2 2 4" xfId="27941" xr:uid="{00000000-0005-0000-0000-0000B5920000}"/>
    <cellStyle name="Comma 3 6 4 2 2 2 2 3" xfId="7110" xr:uid="{00000000-0005-0000-0000-0000B6920000}"/>
    <cellStyle name="Comma 3 6 4 2 2 2 2 3 2" xfId="30389" xr:uid="{00000000-0005-0000-0000-0000B7920000}"/>
    <cellStyle name="Comma 3 6 4 2 2 2 2 4" xfId="9558" xr:uid="{00000000-0005-0000-0000-0000B8920000}"/>
    <cellStyle name="Comma 3 6 4 2 2 2 2 4 2" xfId="32837" xr:uid="{00000000-0005-0000-0000-0000B9920000}"/>
    <cellStyle name="Comma 3 6 4 2 2 2 2 5" xfId="12006" xr:uid="{00000000-0005-0000-0000-0000BA920000}"/>
    <cellStyle name="Comma 3 6 4 2 2 2 2 5 2" xfId="35285" xr:uid="{00000000-0005-0000-0000-0000BB920000}"/>
    <cellStyle name="Comma 3 6 4 2 2 2 2 6" xfId="14454" xr:uid="{00000000-0005-0000-0000-0000BC920000}"/>
    <cellStyle name="Comma 3 6 4 2 2 2 2 6 2" xfId="37733" xr:uid="{00000000-0005-0000-0000-0000BD920000}"/>
    <cellStyle name="Comma 3 6 4 2 2 2 2 7" xfId="18149" xr:uid="{00000000-0005-0000-0000-0000BE920000}"/>
    <cellStyle name="Comma 3 6 4 2 2 2 2 7 2" xfId="41427" xr:uid="{00000000-0005-0000-0000-0000BF920000}"/>
    <cellStyle name="Comma 3 6 4 2 2 2 2 8" xfId="25493" xr:uid="{00000000-0005-0000-0000-0000C0920000}"/>
    <cellStyle name="Comma 3 6 4 2 2 2 2 9" xfId="46323" xr:uid="{00000000-0005-0000-0000-0000C1920000}"/>
    <cellStyle name="Comma 3 6 4 2 2 2 3" xfId="3438" xr:uid="{00000000-0005-0000-0000-0000C2920000}"/>
    <cellStyle name="Comma 3 6 4 2 2 2 3 2" xfId="16925" xr:uid="{00000000-0005-0000-0000-0000C3920000}"/>
    <cellStyle name="Comma 3 6 4 2 2 2 3 2 2" xfId="40203" xr:uid="{00000000-0005-0000-0000-0000C4920000}"/>
    <cellStyle name="Comma 3 6 4 2 2 2 3 3" xfId="47547" xr:uid="{00000000-0005-0000-0000-0000C5920000}"/>
    <cellStyle name="Comma 3 6 4 2 2 2 3 4" xfId="26717" xr:uid="{00000000-0005-0000-0000-0000C6920000}"/>
    <cellStyle name="Comma 3 6 4 2 2 2 4" xfId="5886" xr:uid="{00000000-0005-0000-0000-0000C7920000}"/>
    <cellStyle name="Comma 3 6 4 2 2 2 4 2" xfId="19373" xr:uid="{00000000-0005-0000-0000-0000C8920000}"/>
    <cellStyle name="Comma 3 6 4 2 2 2 4 2 2" xfId="42651" xr:uid="{00000000-0005-0000-0000-0000C9920000}"/>
    <cellStyle name="Comma 3 6 4 2 2 2 4 3" xfId="29165" xr:uid="{00000000-0005-0000-0000-0000CA920000}"/>
    <cellStyle name="Comma 3 6 4 2 2 2 5" xfId="8334" xr:uid="{00000000-0005-0000-0000-0000CB920000}"/>
    <cellStyle name="Comma 3 6 4 2 2 2 5 2" xfId="31613" xr:uid="{00000000-0005-0000-0000-0000CC920000}"/>
    <cellStyle name="Comma 3 6 4 2 2 2 6" xfId="10782" xr:uid="{00000000-0005-0000-0000-0000CD920000}"/>
    <cellStyle name="Comma 3 6 4 2 2 2 6 2" xfId="34061" xr:uid="{00000000-0005-0000-0000-0000CE920000}"/>
    <cellStyle name="Comma 3 6 4 2 2 2 7" xfId="13230" xr:uid="{00000000-0005-0000-0000-0000CF920000}"/>
    <cellStyle name="Comma 3 6 4 2 2 2 7 2" xfId="36509" xr:uid="{00000000-0005-0000-0000-0000D0920000}"/>
    <cellStyle name="Comma 3 6 4 2 2 2 8" xfId="15701" xr:uid="{00000000-0005-0000-0000-0000D1920000}"/>
    <cellStyle name="Comma 3 6 4 2 2 2 8 2" xfId="38979" xr:uid="{00000000-0005-0000-0000-0000D2920000}"/>
    <cellStyle name="Comma 3 6 4 2 2 2 9" xfId="24269" xr:uid="{00000000-0005-0000-0000-0000D3920000}"/>
    <cellStyle name="Comma 3 6 4 2 2 3" xfId="1602" xr:uid="{00000000-0005-0000-0000-0000D4920000}"/>
    <cellStyle name="Comma 3 6 4 2 2 3 10" xfId="22433" xr:uid="{00000000-0005-0000-0000-0000D5920000}"/>
    <cellStyle name="Comma 3 6 4 2 2 3 2" xfId="4050" xr:uid="{00000000-0005-0000-0000-0000D6920000}"/>
    <cellStyle name="Comma 3 6 4 2 2 3 2 2" xfId="19985" xr:uid="{00000000-0005-0000-0000-0000D7920000}"/>
    <cellStyle name="Comma 3 6 4 2 2 3 2 2 2" xfId="43263" xr:uid="{00000000-0005-0000-0000-0000D8920000}"/>
    <cellStyle name="Comma 3 6 4 2 2 3 2 3" xfId="48159" xr:uid="{00000000-0005-0000-0000-0000D9920000}"/>
    <cellStyle name="Comma 3 6 4 2 2 3 2 4" xfId="27329" xr:uid="{00000000-0005-0000-0000-0000DA920000}"/>
    <cellStyle name="Comma 3 6 4 2 2 3 3" xfId="6498" xr:uid="{00000000-0005-0000-0000-0000DB920000}"/>
    <cellStyle name="Comma 3 6 4 2 2 3 3 2" xfId="29777" xr:uid="{00000000-0005-0000-0000-0000DC920000}"/>
    <cellStyle name="Comma 3 6 4 2 2 3 4" xfId="8946" xr:uid="{00000000-0005-0000-0000-0000DD920000}"/>
    <cellStyle name="Comma 3 6 4 2 2 3 4 2" xfId="32225" xr:uid="{00000000-0005-0000-0000-0000DE920000}"/>
    <cellStyle name="Comma 3 6 4 2 2 3 5" xfId="11394" xr:uid="{00000000-0005-0000-0000-0000DF920000}"/>
    <cellStyle name="Comma 3 6 4 2 2 3 5 2" xfId="34673" xr:uid="{00000000-0005-0000-0000-0000E0920000}"/>
    <cellStyle name="Comma 3 6 4 2 2 3 6" xfId="13842" xr:uid="{00000000-0005-0000-0000-0000E1920000}"/>
    <cellStyle name="Comma 3 6 4 2 2 3 6 2" xfId="37121" xr:uid="{00000000-0005-0000-0000-0000E2920000}"/>
    <cellStyle name="Comma 3 6 4 2 2 3 7" xfId="17537" xr:uid="{00000000-0005-0000-0000-0000E3920000}"/>
    <cellStyle name="Comma 3 6 4 2 2 3 7 2" xfId="40815" xr:uid="{00000000-0005-0000-0000-0000E4920000}"/>
    <cellStyle name="Comma 3 6 4 2 2 3 8" xfId="24881" xr:uid="{00000000-0005-0000-0000-0000E5920000}"/>
    <cellStyle name="Comma 3 6 4 2 2 3 9" xfId="45711" xr:uid="{00000000-0005-0000-0000-0000E6920000}"/>
    <cellStyle name="Comma 3 6 4 2 2 4" xfId="2826" xr:uid="{00000000-0005-0000-0000-0000E7920000}"/>
    <cellStyle name="Comma 3 6 4 2 2 4 2" xfId="16313" xr:uid="{00000000-0005-0000-0000-0000E8920000}"/>
    <cellStyle name="Comma 3 6 4 2 2 4 2 2" xfId="39591" xr:uid="{00000000-0005-0000-0000-0000E9920000}"/>
    <cellStyle name="Comma 3 6 4 2 2 4 3" xfId="46935" xr:uid="{00000000-0005-0000-0000-0000EA920000}"/>
    <cellStyle name="Comma 3 6 4 2 2 4 4" xfId="26105" xr:uid="{00000000-0005-0000-0000-0000EB920000}"/>
    <cellStyle name="Comma 3 6 4 2 2 5" xfId="5274" xr:uid="{00000000-0005-0000-0000-0000EC920000}"/>
    <cellStyle name="Comma 3 6 4 2 2 5 2" xfId="18761" xr:uid="{00000000-0005-0000-0000-0000ED920000}"/>
    <cellStyle name="Comma 3 6 4 2 2 5 2 2" xfId="42039" xr:uid="{00000000-0005-0000-0000-0000EE920000}"/>
    <cellStyle name="Comma 3 6 4 2 2 5 3" xfId="28553" xr:uid="{00000000-0005-0000-0000-0000EF920000}"/>
    <cellStyle name="Comma 3 6 4 2 2 6" xfId="7722" xr:uid="{00000000-0005-0000-0000-0000F0920000}"/>
    <cellStyle name="Comma 3 6 4 2 2 6 2" xfId="31001" xr:uid="{00000000-0005-0000-0000-0000F1920000}"/>
    <cellStyle name="Comma 3 6 4 2 2 7" xfId="10170" xr:uid="{00000000-0005-0000-0000-0000F2920000}"/>
    <cellStyle name="Comma 3 6 4 2 2 7 2" xfId="33449" xr:uid="{00000000-0005-0000-0000-0000F3920000}"/>
    <cellStyle name="Comma 3 6 4 2 2 8" xfId="12618" xr:uid="{00000000-0005-0000-0000-0000F4920000}"/>
    <cellStyle name="Comma 3 6 4 2 2 8 2" xfId="35897" xr:uid="{00000000-0005-0000-0000-0000F5920000}"/>
    <cellStyle name="Comma 3 6 4 2 2 9" xfId="15089" xr:uid="{00000000-0005-0000-0000-0000F6920000}"/>
    <cellStyle name="Comma 3 6 4 2 2 9 2" xfId="38367" xr:uid="{00000000-0005-0000-0000-0000F7920000}"/>
    <cellStyle name="Comma 3 6 4 2 3" xfId="582" xr:uid="{00000000-0005-0000-0000-0000F8920000}"/>
    <cellStyle name="Comma 3 6 4 2 3 10" xfId="23861" xr:uid="{00000000-0005-0000-0000-0000F9920000}"/>
    <cellStyle name="Comma 3 6 4 2 3 11" xfId="44691" xr:uid="{00000000-0005-0000-0000-0000FA920000}"/>
    <cellStyle name="Comma 3 6 4 2 3 12" xfId="21413" xr:uid="{00000000-0005-0000-0000-0000FB920000}"/>
    <cellStyle name="Comma 3 6 4 2 3 2" xfId="1194" xr:uid="{00000000-0005-0000-0000-0000FC920000}"/>
    <cellStyle name="Comma 3 6 4 2 3 2 10" xfId="45303" xr:uid="{00000000-0005-0000-0000-0000FD920000}"/>
    <cellStyle name="Comma 3 6 4 2 3 2 11" xfId="22025" xr:uid="{00000000-0005-0000-0000-0000FE920000}"/>
    <cellStyle name="Comma 3 6 4 2 3 2 2" xfId="2418" xr:uid="{00000000-0005-0000-0000-0000FF920000}"/>
    <cellStyle name="Comma 3 6 4 2 3 2 2 10" xfId="23249" xr:uid="{00000000-0005-0000-0000-000000930000}"/>
    <cellStyle name="Comma 3 6 4 2 3 2 2 2" xfId="4866" xr:uid="{00000000-0005-0000-0000-000001930000}"/>
    <cellStyle name="Comma 3 6 4 2 3 2 2 2 2" xfId="20801" xr:uid="{00000000-0005-0000-0000-000002930000}"/>
    <cellStyle name="Comma 3 6 4 2 3 2 2 2 2 2" xfId="44079" xr:uid="{00000000-0005-0000-0000-000003930000}"/>
    <cellStyle name="Comma 3 6 4 2 3 2 2 2 3" xfId="48975" xr:uid="{00000000-0005-0000-0000-000004930000}"/>
    <cellStyle name="Comma 3 6 4 2 3 2 2 2 4" xfId="28145" xr:uid="{00000000-0005-0000-0000-000005930000}"/>
    <cellStyle name="Comma 3 6 4 2 3 2 2 3" xfId="7314" xr:uid="{00000000-0005-0000-0000-000006930000}"/>
    <cellStyle name="Comma 3 6 4 2 3 2 2 3 2" xfId="30593" xr:uid="{00000000-0005-0000-0000-000007930000}"/>
    <cellStyle name="Comma 3 6 4 2 3 2 2 4" xfId="9762" xr:uid="{00000000-0005-0000-0000-000008930000}"/>
    <cellStyle name="Comma 3 6 4 2 3 2 2 4 2" xfId="33041" xr:uid="{00000000-0005-0000-0000-000009930000}"/>
    <cellStyle name="Comma 3 6 4 2 3 2 2 5" xfId="12210" xr:uid="{00000000-0005-0000-0000-00000A930000}"/>
    <cellStyle name="Comma 3 6 4 2 3 2 2 5 2" xfId="35489" xr:uid="{00000000-0005-0000-0000-00000B930000}"/>
    <cellStyle name="Comma 3 6 4 2 3 2 2 6" xfId="14658" xr:uid="{00000000-0005-0000-0000-00000C930000}"/>
    <cellStyle name="Comma 3 6 4 2 3 2 2 6 2" xfId="37937" xr:uid="{00000000-0005-0000-0000-00000D930000}"/>
    <cellStyle name="Comma 3 6 4 2 3 2 2 7" xfId="18353" xr:uid="{00000000-0005-0000-0000-00000E930000}"/>
    <cellStyle name="Comma 3 6 4 2 3 2 2 7 2" xfId="41631" xr:uid="{00000000-0005-0000-0000-00000F930000}"/>
    <cellStyle name="Comma 3 6 4 2 3 2 2 8" xfId="25697" xr:uid="{00000000-0005-0000-0000-000010930000}"/>
    <cellStyle name="Comma 3 6 4 2 3 2 2 9" xfId="46527" xr:uid="{00000000-0005-0000-0000-000011930000}"/>
    <cellStyle name="Comma 3 6 4 2 3 2 3" xfId="3642" xr:uid="{00000000-0005-0000-0000-000012930000}"/>
    <cellStyle name="Comma 3 6 4 2 3 2 3 2" xfId="17129" xr:uid="{00000000-0005-0000-0000-000013930000}"/>
    <cellStyle name="Comma 3 6 4 2 3 2 3 2 2" xfId="40407" xr:uid="{00000000-0005-0000-0000-000014930000}"/>
    <cellStyle name="Comma 3 6 4 2 3 2 3 3" xfId="47751" xr:uid="{00000000-0005-0000-0000-000015930000}"/>
    <cellStyle name="Comma 3 6 4 2 3 2 3 4" xfId="26921" xr:uid="{00000000-0005-0000-0000-000016930000}"/>
    <cellStyle name="Comma 3 6 4 2 3 2 4" xfId="6090" xr:uid="{00000000-0005-0000-0000-000017930000}"/>
    <cellStyle name="Comma 3 6 4 2 3 2 4 2" xfId="19577" xr:uid="{00000000-0005-0000-0000-000018930000}"/>
    <cellStyle name="Comma 3 6 4 2 3 2 4 2 2" xfId="42855" xr:uid="{00000000-0005-0000-0000-000019930000}"/>
    <cellStyle name="Comma 3 6 4 2 3 2 4 3" xfId="29369" xr:uid="{00000000-0005-0000-0000-00001A930000}"/>
    <cellStyle name="Comma 3 6 4 2 3 2 5" xfId="8538" xr:uid="{00000000-0005-0000-0000-00001B930000}"/>
    <cellStyle name="Comma 3 6 4 2 3 2 5 2" xfId="31817" xr:uid="{00000000-0005-0000-0000-00001C930000}"/>
    <cellStyle name="Comma 3 6 4 2 3 2 6" xfId="10986" xr:uid="{00000000-0005-0000-0000-00001D930000}"/>
    <cellStyle name="Comma 3 6 4 2 3 2 6 2" xfId="34265" xr:uid="{00000000-0005-0000-0000-00001E930000}"/>
    <cellStyle name="Comma 3 6 4 2 3 2 7" xfId="13434" xr:uid="{00000000-0005-0000-0000-00001F930000}"/>
    <cellStyle name="Comma 3 6 4 2 3 2 7 2" xfId="36713" xr:uid="{00000000-0005-0000-0000-000020930000}"/>
    <cellStyle name="Comma 3 6 4 2 3 2 8" xfId="15905" xr:uid="{00000000-0005-0000-0000-000021930000}"/>
    <cellStyle name="Comma 3 6 4 2 3 2 8 2" xfId="39183" xr:uid="{00000000-0005-0000-0000-000022930000}"/>
    <cellStyle name="Comma 3 6 4 2 3 2 9" xfId="24473" xr:uid="{00000000-0005-0000-0000-000023930000}"/>
    <cellStyle name="Comma 3 6 4 2 3 3" xfId="1806" xr:uid="{00000000-0005-0000-0000-000024930000}"/>
    <cellStyle name="Comma 3 6 4 2 3 3 10" xfId="22637" xr:uid="{00000000-0005-0000-0000-000025930000}"/>
    <cellStyle name="Comma 3 6 4 2 3 3 2" xfId="4254" xr:uid="{00000000-0005-0000-0000-000026930000}"/>
    <cellStyle name="Comma 3 6 4 2 3 3 2 2" xfId="20189" xr:uid="{00000000-0005-0000-0000-000027930000}"/>
    <cellStyle name="Comma 3 6 4 2 3 3 2 2 2" xfId="43467" xr:uid="{00000000-0005-0000-0000-000028930000}"/>
    <cellStyle name="Comma 3 6 4 2 3 3 2 3" xfId="48363" xr:uid="{00000000-0005-0000-0000-000029930000}"/>
    <cellStyle name="Comma 3 6 4 2 3 3 2 4" xfId="27533" xr:uid="{00000000-0005-0000-0000-00002A930000}"/>
    <cellStyle name="Comma 3 6 4 2 3 3 3" xfId="6702" xr:uid="{00000000-0005-0000-0000-00002B930000}"/>
    <cellStyle name="Comma 3 6 4 2 3 3 3 2" xfId="29981" xr:uid="{00000000-0005-0000-0000-00002C930000}"/>
    <cellStyle name="Comma 3 6 4 2 3 3 4" xfId="9150" xr:uid="{00000000-0005-0000-0000-00002D930000}"/>
    <cellStyle name="Comma 3 6 4 2 3 3 4 2" xfId="32429" xr:uid="{00000000-0005-0000-0000-00002E930000}"/>
    <cellStyle name="Comma 3 6 4 2 3 3 5" xfId="11598" xr:uid="{00000000-0005-0000-0000-00002F930000}"/>
    <cellStyle name="Comma 3 6 4 2 3 3 5 2" xfId="34877" xr:uid="{00000000-0005-0000-0000-000030930000}"/>
    <cellStyle name="Comma 3 6 4 2 3 3 6" xfId="14046" xr:uid="{00000000-0005-0000-0000-000031930000}"/>
    <cellStyle name="Comma 3 6 4 2 3 3 6 2" xfId="37325" xr:uid="{00000000-0005-0000-0000-000032930000}"/>
    <cellStyle name="Comma 3 6 4 2 3 3 7" xfId="17741" xr:uid="{00000000-0005-0000-0000-000033930000}"/>
    <cellStyle name="Comma 3 6 4 2 3 3 7 2" xfId="41019" xr:uid="{00000000-0005-0000-0000-000034930000}"/>
    <cellStyle name="Comma 3 6 4 2 3 3 8" xfId="25085" xr:uid="{00000000-0005-0000-0000-000035930000}"/>
    <cellStyle name="Comma 3 6 4 2 3 3 9" xfId="45915" xr:uid="{00000000-0005-0000-0000-000036930000}"/>
    <cellStyle name="Comma 3 6 4 2 3 4" xfId="3030" xr:uid="{00000000-0005-0000-0000-000037930000}"/>
    <cellStyle name="Comma 3 6 4 2 3 4 2" xfId="16517" xr:uid="{00000000-0005-0000-0000-000038930000}"/>
    <cellStyle name="Comma 3 6 4 2 3 4 2 2" xfId="39795" xr:uid="{00000000-0005-0000-0000-000039930000}"/>
    <cellStyle name="Comma 3 6 4 2 3 4 3" xfId="47139" xr:uid="{00000000-0005-0000-0000-00003A930000}"/>
    <cellStyle name="Comma 3 6 4 2 3 4 4" xfId="26309" xr:uid="{00000000-0005-0000-0000-00003B930000}"/>
    <cellStyle name="Comma 3 6 4 2 3 5" xfId="5478" xr:uid="{00000000-0005-0000-0000-00003C930000}"/>
    <cellStyle name="Comma 3 6 4 2 3 5 2" xfId="18965" xr:uid="{00000000-0005-0000-0000-00003D930000}"/>
    <cellStyle name="Comma 3 6 4 2 3 5 2 2" xfId="42243" xr:uid="{00000000-0005-0000-0000-00003E930000}"/>
    <cellStyle name="Comma 3 6 4 2 3 5 3" xfId="28757" xr:uid="{00000000-0005-0000-0000-00003F930000}"/>
    <cellStyle name="Comma 3 6 4 2 3 6" xfId="7926" xr:uid="{00000000-0005-0000-0000-000040930000}"/>
    <cellStyle name="Comma 3 6 4 2 3 6 2" xfId="31205" xr:uid="{00000000-0005-0000-0000-000041930000}"/>
    <cellStyle name="Comma 3 6 4 2 3 7" xfId="10374" xr:uid="{00000000-0005-0000-0000-000042930000}"/>
    <cellStyle name="Comma 3 6 4 2 3 7 2" xfId="33653" xr:uid="{00000000-0005-0000-0000-000043930000}"/>
    <cellStyle name="Comma 3 6 4 2 3 8" xfId="12822" xr:uid="{00000000-0005-0000-0000-000044930000}"/>
    <cellStyle name="Comma 3 6 4 2 3 8 2" xfId="36101" xr:uid="{00000000-0005-0000-0000-000045930000}"/>
    <cellStyle name="Comma 3 6 4 2 3 9" xfId="15293" xr:uid="{00000000-0005-0000-0000-000046930000}"/>
    <cellStyle name="Comma 3 6 4 2 3 9 2" xfId="38571" xr:uid="{00000000-0005-0000-0000-000047930000}"/>
    <cellStyle name="Comma 3 6 4 2 4" xfId="786" xr:uid="{00000000-0005-0000-0000-000048930000}"/>
    <cellStyle name="Comma 3 6 4 2 4 10" xfId="44895" xr:uid="{00000000-0005-0000-0000-000049930000}"/>
    <cellStyle name="Comma 3 6 4 2 4 11" xfId="21617" xr:uid="{00000000-0005-0000-0000-00004A930000}"/>
    <cellStyle name="Comma 3 6 4 2 4 2" xfId="2010" xr:uid="{00000000-0005-0000-0000-00004B930000}"/>
    <cellStyle name="Comma 3 6 4 2 4 2 10" xfId="22841" xr:uid="{00000000-0005-0000-0000-00004C930000}"/>
    <cellStyle name="Comma 3 6 4 2 4 2 2" xfId="4458" xr:uid="{00000000-0005-0000-0000-00004D930000}"/>
    <cellStyle name="Comma 3 6 4 2 4 2 2 2" xfId="20393" xr:uid="{00000000-0005-0000-0000-00004E930000}"/>
    <cellStyle name="Comma 3 6 4 2 4 2 2 2 2" xfId="43671" xr:uid="{00000000-0005-0000-0000-00004F930000}"/>
    <cellStyle name="Comma 3 6 4 2 4 2 2 3" xfId="48567" xr:uid="{00000000-0005-0000-0000-000050930000}"/>
    <cellStyle name="Comma 3 6 4 2 4 2 2 4" xfId="27737" xr:uid="{00000000-0005-0000-0000-000051930000}"/>
    <cellStyle name="Comma 3 6 4 2 4 2 3" xfId="6906" xr:uid="{00000000-0005-0000-0000-000052930000}"/>
    <cellStyle name="Comma 3 6 4 2 4 2 3 2" xfId="30185" xr:uid="{00000000-0005-0000-0000-000053930000}"/>
    <cellStyle name="Comma 3 6 4 2 4 2 4" xfId="9354" xr:uid="{00000000-0005-0000-0000-000054930000}"/>
    <cellStyle name="Comma 3 6 4 2 4 2 4 2" xfId="32633" xr:uid="{00000000-0005-0000-0000-000055930000}"/>
    <cellStyle name="Comma 3 6 4 2 4 2 5" xfId="11802" xr:uid="{00000000-0005-0000-0000-000056930000}"/>
    <cellStyle name="Comma 3 6 4 2 4 2 5 2" xfId="35081" xr:uid="{00000000-0005-0000-0000-000057930000}"/>
    <cellStyle name="Comma 3 6 4 2 4 2 6" xfId="14250" xr:uid="{00000000-0005-0000-0000-000058930000}"/>
    <cellStyle name="Comma 3 6 4 2 4 2 6 2" xfId="37529" xr:uid="{00000000-0005-0000-0000-000059930000}"/>
    <cellStyle name="Comma 3 6 4 2 4 2 7" xfId="17945" xr:uid="{00000000-0005-0000-0000-00005A930000}"/>
    <cellStyle name="Comma 3 6 4 2 4 2 7 2" xfId="41223" xr:uid="{00000000-0005-0000-0000-00005B930000}"/>
    <cellStyle name="Comma 3 6 4 2 4 2 8" xfId="25289" xr:uid="{00000000-0005-0000-0000-00005C930000}"/>
    <cellStyle name="Comma 3 6 4 2 4 2 9" xfId="46119" xr:uid="{00000000-0005-0000-0000-00005D930000}"/>
    <cellStyle name="Comma 3 6 4 2 4 3" xfId="3234" xr:uid="{00000000-0005-0000-0000-00005E930000}"/>
    <cellStyle name="Comma 3 6 4 2 4 3 2" xfId="16721" xr:uid="{00000000-0005-0000-0000-00005F930000}"/>
    <cellStyle name="Comma 3 6 4 2 4 3 2 2" xfId="39999" xr:uid="{00000000-0005-0000-0000-000060930000}"/>
    <cellStyle name="Comma 3 6 4 2 4 3 3" xfId="47343" xr:uid="{00000000-0005-0000-0000-000061930000}"/>
    <cellStyle name="Comma 3 6 4 2 4 3 4" xfId="26513" xr:uid="{00000000-0005-0000-0000-000062930000}"/>
    <cellStyle name="Comma 3 6 4 2 4 4" xfId="5682" xr:uid="{00000000-0005-0000-0000-000063930000}"/>
    <cellStyle name="Comma 3 6 4 2 4 4 2" xfId="19169" xr:uid="{00000000-0005-0000-0000-000064930000}"/>
    <cellStyle name="Comma 3 6 4 2 4 4 2 2" xfId="42447" xr:uid="{00000000-0005-0000-0000-000065930000}"/>
    <cellStyle name="Comma 3 6 4 2 4 4 3" xfId="28961" xr:uid="{00000000-0005-0000-0000-000066930000}"/>
    <cellStyle name="Comma 3 6 4 2 4 5" xfId="8130" xr:uid="{00000000-0005-0000-0000-000067930000}"/>
    <cellStyle name="Comma 3 6 4 2 4 5 2" xfId="31409" xr:uid="{00000000-0005-0000-0000-000068930000}"/>
    <cellStyle name="Comma 3 6 4 2 4 6" xfId="10578" xr:uid="{00000000-0005-0000-0000-000069930000}"/>
    <cellStyle name="Comma 3 6 4 2 4 6 2" xfId="33857" xr:uid="{00000000-0005-0000-0000-00006A930000}"/>
    <cellStyle name="Comma 3 6 4 2 4 7" xfId="13026" xr:uid="{00000000-0005-0000-0000-00006B930000}"/>
    <cellStyle name="Comma 3 6 4 2 4 7 2" xfId="36305" xr:uid="{00000000-0005-0000-0000-00006C930000}"/>
    <cellStyle name="Comma 3 6 4 2 4 8" xfId="15497" xr:uid="{00000000-0005-0000-0000-00006D930000}"/>
    <cellStyle name="Comma 3 6 4 2 4 8 2" xfId="38775" xr:uid="{00000000-0005-0000-0000-00006E930000}"/>
    <cellStyle name="Comma 3 6 4 2 4 9" xfId="24065" xr:uid="{00000000-0005-0000-0000-00006F930000}"/>
    <cellStyle name="Comma 3 6 4 2 5" xfId="1398" xr:uid="{00000000-0005-0000-0000-000070930000}"/>
    <cellStyle name="Comma 3 6 4 2 5 10" xfId="22229" xr:uid="{00000000-0005-0000-0000-000071930000}"/>
    <cellStyle name="Comma 3 6 4 2 5 2" xfId="3846" xr:uid="{00000000-0005-0000-0000-000072930000}"/>
    <cellStyle name="Comma 3 6 4 2 5 2 2" xfId="19781" xr:uid="{00000000-0005-0000-0000-000073930000}"/>
    <cellStyle name="Comma 3 6 4 2 5 2 2 2" xfId="43059" xr:uid="{00000000-0005-0000-0000-000074930000}"/>
    <cellStyle name="Comma 3 6 4 2 5 2 3" xfId="47955" xr:uid="{00000000-0005-0000-0000-000075930000}"/>
    <cellStyle name="Comma 3 6 4 2 5 2 4" xfId="27125" xr:uid="{00000000-0005-0000-0000-000076930000}"/>
    <cellStyle name="Comma 3 6 4 2 5 3" xfId="6294" xr:uid="{00000000-0005-0000-0000-000077930000}"/>
    <cellStyle name="Comma 3 6 4 2 5 3 2" xfId="29573" xr:uid="{00000000-0005-0000-0000-000078930000}"/>
    <cellStyle name="Comma 3 6 4 2 5 4" xfId="8742" xr:uid="{00000000-0005-0000-0000-000079930000}"/>
    <cellStyle name="Comma 3 6 4 2 5 4 2" xfId="32021" xr:uid="{00000000-0005-0000-0000-00007A930000}"/>
    <cellStyle name="Comma 3 6 4 2 5 5" xfId="11190" xr:uid="{00000000-0005-0000-0000-00007B930000}"/>
    <cellStyle name="Comma 3 6 4 2 5 5 2" xfId="34469" xr:uid="{00000000-0005-0000-0000-00007C930000}"/>
    <cellStyle name="Comma 3 6 4 2 5 6" xfId="13638" xr:uid="{00000000-0005-0000-0000-00007D930000}"/>
    <cellStyle name="Comma 3 6 4 2 5 6 2" xfId="36917" xr:uid="{00000000-0005-0000-0000-00007E930000}"/>
    <cellStyle name="Comma 3 6 4 2 5 7" xfId="17333" xr:uid="{00000000-0005-0000-0000-00007F930000}"/>
    <cellStyle name="Comma 3 6 4 2 5 7 2" xfId="40611" xr:uid="{00000000-0005-0000-0000-000080930000}"/>
    <cellStyle name="Comma 3 6 4 2 5 8" xfId="24677" xr:uid="{00000000-0005-0000-0000-000081930000}"/>
    <cellStyle name="Comma 3 6 4 2 5 9" xfId="45507" xr:uid="{00000000-0005-0000-0000-000082930000}"/>
    <cellStyle name="Comma 3 6 4 2 6" xfId="2622" xr:uid="{00000000-0005-0000-0000-000083930000}"/>
    <cellStyle name="Comma 3 6 4 2 6 2" xfId="16109" xr:uid="{00000000-0005-0000-0000-000084930000}"/>
    <cellStyle name="Comma 3 6 4 2 6 2 2" xfId="39387" xr:uid="{00000000-0005-0000-0000-000085930000}"/>
    <cellStyle name="Comma 3 6 4 2 6 3" xfId="46731" xr:uid="{00000000-0005-0000-0000-000086930000}"/>
    <cellStyle name="Comma 3 6 4 2 6 4" xfId="25901" xr:uid="{00000000-0005-0000-0000-000087930000}"/>
    <cellStyle name="Comma 3 6 4 2 7" xfId="5070" xr:uid="{00000000-0005-0000-0000-000088930000}"/>
    <cellStyle name="Comma 3 6 4 2 7 2" xfId="18557" xr:uid="{00000000-0005-0000-0000-000089930000}"/>
    <cellStyle name="Comma 3 6 4 2 7 2 2" xfId="41835" xr:uid="{00000000-0005-0000-0000-00008A930000}"/>
    <cellStyle name="Comma 3 6 4 2 7 3" xfId="28349" xr:uid="{00000000-0005-0000-0000-00008B930000}"/>
    <cellStyle name="Comma 3 6 4 2 8" xfId="7518" xr:uid="{00000000-0005-0000-0000-00008C930000}"/>
    <cellStyle name="Comma 3 6 4 2 8 2" xfId="30797" xr:uid="{00000000-0005-0000-0000-00008D930000}"/>
    <cellStyle name="Comma 3 6 4 2 9" xfId="9966" xr:uid="{00000000-0005-0000-0000-00008E930000}"/>
    <cellStyle name="Comma 3 6 4 2 9 2" xfId="33245" xr:uid="{00000000-0005-0000-0000-00008F930000}"/>
    <cellStyle name="Comma 3 6 4 3" xfId="242" xr:uid="{00000000-0005-0000-0000-000090930000}"/>
    <cellStyle name="Comma 3 6 4 3 10" xfId="12482" xr:uid="{00000000-0005-0000-0000-000091930000}"/>
    <cellStyle name="Comma 3 6 4 3 10 2" xfId="35761" xr:uid="{00000000-0005-0000-0000-000092930000}"/>
    <cellStyle name="Comma 3 6 4 3 11" xfId="14953" xr:uid="{00000000-0005-0000-0000-000093930000}"/>
    <cellStyle name="Comma 3 6 4 3 11 2" xfId="38231" xr:uid="{00000000-0005-0000-0000-000094930000}"/>
    <cellStyle name="Comma 3 6 4 3 12" xfId="23521" xr:uid="{00000000-0005-0000-0000-000095930000}"/>
    <cellStyle name="Comma 3 6 4 3 13" xfId="44351" xr:uid="{00000000-0005-0000-0000-000096930000}"/>
    <cellStyle name="Comma 3 6 4 3 14" xfId="21073" xr:uid="{00000000-0005-0000-0000-000097930000}"/>
    <cellStyle name="Comma 3 6 4 3 2" xfId="446" xr:uid="{00000000-0005-0000-0000-000098930000}"/>
    <cellStyle name="Comma 3 6 4 3 2 10" xfId="23725" xr:uid="{00000000-0005-0000-0000-000099930000}"/>
    <cellStyle name="Comma 3 6 4 3 2 11" xfId="44555" xr:uid="{00000000-0005-0000-0000-00009A930000}"/>
    <cellStyle name="Comma 3 6 4 3 2 12" xfId="21277" xr:uid="{00000000-0005-0000-0000-00009B930000}"/>
    <cellStyle name="Comma 3 6 4 3 2 2" xfId="1058" xr:uid="{00000000-0005-0000-0000-00009C930000}"/>
    <cellStyle name="Comma 3 6 4 3 2 2 10" xfId="45167" xr:uid="{00000000-0005-0000-0000-00009D930000}"/>
    <cellStyle name="Comma 3 6 4 3 2 2 11" xfId="21889" xr:uid="{00000000-0005-0000-0000-00009E930000}"/>
    <cellStyle name="Comma 3 6 4 3 2 2 2" xfId="2282" xr:uid="{00000000-0005-0000-0000-00009F930000}"/>
    <cellStyle name="Comma 3 6 4 3 2 2 2 10" xfId="23113" xr:uid="{00000000-0005-0000-0000-0000A0930000}"/>
    <cellStyle name="Comma 3 6 4 3 2 2 2 2" xfId="4730" xr:uid="{00000000-0005-0000-0000-0000A1930000}"/>
    <cellStyle name="Comma 3 6 4 3 2 2 2 2 2" xfId="20665" xr:uid="{00000000-0005-0000-0000-0000A2930000}"/>
    <cellStyle name="Comma 3 6 4 3 2 2 2 2 2 2" xfId="43943" xr:uid="{00000000-0005-0000-0000-0000A3930000}"/>
    <cellStyle name="Comma 3 6 4 3 2 2 2 2 3" xfId="48839" xr:uid="{00000000-0005-0000-0000-0000A4930000}"/>
    <cellStyle name="Comma 3 6 4 3 2 2 2 2 4" xfId="28009" xr:uid="{00000000-0005-0000-0000-0000A5930000}"/>
    <cellStyle name="Comma 3 6 4 3 2 2 2 3" xfId="7178" xr:uid="{00000000-0005-0000-0000-0000A6930000}"/>
    <cellStyle name="Comma 3 6 4 3 2 2 2 3 2" xfId="30457" xr:uid="{00000000-0005-0000-0000-0000A7930000}"/>
    <cellStyle name="Comma 3 6 4 3 2 2 2 4" xfId="9626" xr:uid="{00000000-0005-0000-0000-0000A8930000}"/>
    <cellStyle name="Comma 3 6 4 3 2 2 2 4 2" xfId="32905" xr:uid="{00000000-0005-0000-0000-0000A9930000}"/>
    <cellStyle name="Comma 3 6 4 3 2 2 2 5" xfId="12074" xr:uid="{00000000-0005-0000-0000-0000AA930000}"/>
    <cellStyle name="Comma 3 6 4 3 2 2 2 5 2" xfId="35353" xr:uid="{00000000-0005-0000-0000-0000AB930000}"/>
    <cellStyle name="Comma 3 6 4 3 2 2 2 6" xfId="14522" xr:uid="{00000000-0005-0000-0000-0000AC930000}"/>
    <cellStyle name="Comma 3 6 4 3 2 2 2 6 2" xfId="37801" xr:uid="{00000000-0005-0000-0000-0000AD930000}"/>
    <cellStyle name="Comma 3 6 4 3 2 2 2 7" xfId="18217" xr:uid="{00000000-0005-0000-0000-0000AE930000}"/>
    <cellStyle name="Comma 3 6 4 3 2 2 2 7 2" xfId="41495" xr:uid="{00000000-0005-0000-0000-0000AF930000}"/>
    <cellStyle name="Comma 3 6 4 3 2 2 2 8" xfId="25561" xr:uid="{00000000-0005-0000-0000-0000B0930000}"/>
    <cellStyle name="Comma 3 6 4 3 2 2 2 9" xfId="46391" xr:uid="{00000000-0005-0000-0000-0000B1930000}"/>
    <cellStyle name="Comma 3 6 4 3 2 2 3" xfId="3506" xr:uid="{00000000-0005-0000-0000-0000B2930000}"/>
    <cellStyle name="Comma 3 6 4 3 2 2 3 2" xfId="16993" xr:uid="{00000000-0005-0000-0000-0000B3930000}"/>
    <cellStyle name="Comma 3 6 4 3 2 2 3 2 2" xfId="40271" xr:uid="{00000000-0005-0000-0000-0000B4930000}"/>
    <cellStyle name="Comma 3 6 4 3 2 2 3 3" xfId="47615" xr:uid="{00000000-0005-0000-0000-0000B5930000}"/>
    <cellStyle name="Comma 3 6 4 3 2 2 3 4" xfId="26785" xr:uid="{00000000-0005-0000-0000-0000B6930000}"/>
    <cellStyle name="Comma 3 6 4 3 2 2 4" xfId="5954" xr:uid="{00000000-0005-0000-0000-0000B7930000}"/>
    <cellStyle name="Comma 3 6 4 3 2 2 4 2" xfId="19441" xr:uid="{00000000-0005-0000-0000-0000B8930000}"/>
    <cellStyle name="Comma 3 6 4 3 2 2 4 2 2" xfId="42719" xr:uid="{00000000-0005-0000-0000-0000B9930000}"/>
    <cellStyle name="Comma 3 6 4 3 2 2 4 3" xfId="29233" xr:uid="{00000000-0005-0000-0000-0000BA930000}"/>
    <cellStyle name="Comma 3 6 4 3 2 2 5" xfId="8402" xr:uid="{00000000-0005-0000-0000-0000BB930000}"/>
    <cellStyle name="Comma 3 6 4 3 2 2 5 2" xfId="31681" xr:uid="{00000000-0005-0000-0000-0000BC930000}"/>
    <cellStyle name="Comma 3 6 4 3 2 2 6" xfId="10850" xr:uid="{00000000-0005-0000-0000-0000BD930000}"/>
    <cellStyle name="Comma 3 6 4 3 2 2 6 2" xfId="34129" xr:uid="{00000000-0005-0000-0000-0000BE930000}"/>
    <cellStyle name="Comma 3 6 4 3 2 2 7" xfId="13298" xr:uid="{00000000-0005-0000-0000-0000BF930000}"/>
    <cellStyle name="Comma 3 6 4 3 2 2 7 2" xfId="36577" xr:uid="{00000000-0005-0000-0000-0000C0930000}"/>
    <cellStyle name="Comma 3 6 4 3 2 2 8" xfId="15769" xr:uid="{00000000-0005-0000-0000-0000C1930000}"/>
    <cellStyle name="Comma 3 6 4 3 2 2 8 2" xfId="39047" xr:uid="{00000000-0005-0000-0000-0000C2930000}"/>
    <cellStyle name="Comma 3 6 4 3 2 2 9" xfId="24337" xr:uid="{00000000-0005-0000-0000-0000C3930000}"/>
    <cellStyle name="Comma 3 6 4 3 2 3" xfId="1670" xr:uid="{00000000-0005-0000-0000-0000C4930000}"/>
    <cellStyle name="Comma 3 6 4 3 2 3 10" xfId="22501" xr:uid="{00000000-0005-0000-0000-0000C5930000}"/>
    <cellStyle name="Comma 3 6 4 3 2 3 2" xfId="4118" xr:uid="{00000000-0005-0000-0000-0000C6930000}"/>
    <cellStyle name="Comma 3 6 4 3 2 3 2 2" xfId="20053" xr:uid="{00000000-0005-0000-0000-0000C7930000}"/>
    <cellStyle name="Comma 3 6 4 3 2 3 2 2 2" xfId="43331" xr:uid="{00000000-0005-0000-0000-0000C8930000}"/>
    <cellStyle name="Comma 3 6 4 3 2 3 2 3" xfId="48227" xr:uid="{00000000-0005-0000-0000-0000C9930000}"/>
    <cellStyle name="Comma 3 6 4 3 2 3 2 4" xfId="27397" xr:uid="{00000000-0005-0000-0000-0000CA930000}"/>
    <cellStyle name="Comma 3 6 4 3 2 3 3" xfId="6566" xr:uid="{00000000-0005-0000-0000-0000CB930000}"/>
    <cellStyle name="Comma 3 6 4 3 2 3 3 2" xfId="29845" xr:uid="{00000000-0005-0000-0000-0000CC930000}"/>
    <cellStyle name="Comma 3 6 4 3 2 3 4" xfId="9014" xr:uid="{00000000-0005-0000-0000-0000CD930000}"/>
    <cellStyle name="Comma 3 6 4 3 2 3 4 2" xfId="32293" xr:uid="{00000000-0005-0000-0000-0000CE930000}"/>
    <cellStyle name="Comma 3 6 4 3 2 3 5" xfId="11462" xr:uid="{00000000-0005-0000-0000-0000CF930000}"/>
    <cellStyle name="Comma 3 6 4 3 2 3 5 2" xfId="34741" xr:uid="{00000000-0005-0000-0000-0000D0930000}"/>
    <cellStyle name="Comma 3 6 4 3 2 3 6" xfId="13910" xr:uid="{00000000-0005-0000-0000-0000D1930000}"/>
    <cellStyle name="Comma 3 6 4 3 2 3 6 2" xfId="37189" xr:uid="{00000000-0005-0000-0000-0000D2930000}"/>
    <cellStyle name="Comma 3 6 4 3 2 3 7" xfId="17605" xr:uid="{00000000-0005-0000-0000-0000D3930000}"/>
    <cellStyle name="Comma 3 6 4 3 2 3 7 2" xfId="40883" xr:uid="{00000000-0005-0000-0000-0000D4930000}"/>
    <cellStyle name="Comma 3 6 4 3 2 3 8" xfId="24949" xr:uid="{00000000-0005-0000-0000-0000D5930000}"/>
    <cellStyle name="Comma 3 6 4 3 2 3 9" xfId="45779" xr:uid="{00000000-0005-0000-0000-0000D6930000}"/>
    <cellStyle name="Comma 3 6 4 3 2 4" xfId="2894" xr:uid="{00000000-0005-0000-0000-0000D7930000}"/>
    <cellStyle name="Comma 3 6 4 3 2 4 2" xfId="16381" xr:uid="{00000000-0005-0000-0000-0000D8930000}"/>
    <cellStyle name="Comma 3 6 4 3 2 4 2 2" xfId="39659" xr:uid="{00000000-0005-0000-0000-0000D9930000}"/>
    <cellStyle name="Comma 3 6 4 3 2 4 3" xfId="47003" xr:uid="{00000000-0005-0000-0000-0000DA930000}"/>
    <cellStyle name="Comma 3 6 4 3 2 4 4" xfId="26173" xr:uid="{00000000-0005-0000-0000-0000DB930000}"/>
    <cellStyle name="Comma 3 6 4 3 2 5" xfId="5342" xr:uid="{00000000-0005-0000-0000-0000DC930000}"/>
    <cellStyle name="Comma 3 6 4 3 2 5 2" xfId="18829" xr:uid="{00000000-0005-0000-0000-0000DD930000}"/>
    <cellStyle name="Comma 3 6 4 3 2 5 2 2" xfId="42107" xr:uid="{00000000-0005-0000-0000-0000DE930000}"/>
    <cellStyle name="Comma 3 6 4 3 2 5 3" xfId="28621" xr:uid="{00000000-0005-0000-0000-0000DF930000}"/>
    <cellStyle name="Comma 3 6 4 3 2 6" xfId="7790" xr:uid="{00000000-0005-0000-0000-0000E0930000}"/>
    <cellStyle name="Comma 3 6 4 3 2 6 2" xfId="31069" xr:uid="{00000000-0005-0000-0000-0000E1930000}"/>
    <cellStyle name="Comma 3 6 4 3 2 7" xfId="10238" xr:uid="{00000000-0005-0000-0000-0000E2930000}"/>
    <cellStyle name="Comma 3 6 4 3 2 7 2" xfId="33517" xr:uid="{00000000-0005-0000-0000-0000E3930000}"/>
    <cellStyle name="Comma 3 6 4 3 2 8" xfId="12686" xr:uid="{00000000-0005-0000-0000-0000E4930000}"/>
    <cellStyle name="Comma 3 6 4 3 2 8 2" xfId="35965" xr:uid="{00000000-0005-0000-0000-0000E5930000}"/>
    <cellStyle name="Comma 3 6 4 3 2 9" xfId="15157" xr:uid="{00000000-0005-0000-0000-0000E6930000}"/>
    <cellStyle name="Comma 3 6 4 3 2 9 2" xfId="38435" xr:uid="{00000000-0005-0000-0000-0000E7930000}"/>
    <cellStyle name="Comma 3 6 4 3 3" xfId="650" xr:uid="{00000000-0005-0000-0000-0000E8930000}"/>
    <cellStyle name="Comma 3 6 4 3 3 10" xfId="23929" xr:uid="{00000000-0005-0000-0000-0000E9930000}"/>
    <cellStyle name="Comma 3 6 4 3 3 11" xfId="44759" xr:uid="{00000000-0005-0000-0000-0000EA930000}"/>
    <cellStyle name="Comma 3 6 4 3 3 12" xfId="21481" xr:uid="{00000000-0005-0000-0000-0000EB930000}"/>
    <cellStyle name="Comma 3 6 4 3 3 2" xfId="1262" xr:uid="{00000000-0005-0000-0000-0000EC930000}"/>
    <cellStyle name="Comma 3 6 4 3 3 2 10" xfId="45371" xr:uid="{00000000-0005-0000-0000-0000ED930000}"/>
    <cellStyle name="Comma 3 6 4 3 3 2 11" xfId="22093" xr:uid="{00000000-0005-0000-0000-0000EE930000}"/>
    <cellStyle name="Comma 3 6 4 3 3 2 2" xfId="2486" xr:uid="{00000000-0005-0000-0000-0000EF930000}"/>
    <cellStyle name="Comma 3 6 4 3 3 2 2 10" xfId="23317" xr:uid="{00000000-0005-0000-0000-0000F0930000}"/>
    <cellStyle name="Comma 3 6 4 3 3 2 2 2" xfId="4934" xr:uid="{00000000-0005-0000-0000-0000F1930000}"/>
    <cellStyle name="Comma 3 6 4 3 3 2 2 2 2" xfId="20869" xr:uid="{00000000-0005-0000-0000-0000F2930000}"/>
    <cellStyle name="Comma 3 6 4 3 3 2 2 2 2 2" xfId="44147" xr:uid="{00000000-0005-0000-0000-0000F3930000}"/>
    <cellStyle name="Comma 3 6 4 3 3 2 2 2 3" xfId="49043" xr:uid="{00000000-0005-0000-0000-0000F4930000}"/>
    <cellStyle name="Comma 3 6 4 3 3 2 2 2 4" xfId="28213" xr:uid="{00000000-0005-0000-0000-0000F5930000}"/>
    <cellStyle name="Comma 3 6 4 3 3 2 2 3" xfId="7382" xr:uid="{00000000-0005-0000-0000-0000F6930000}"/>
    <cellStyle name="Comma 3 6 4 3 3 2 2 3 2" xfId="30661" xr:uid="{00000000-0005-0000-0000-0000F7930000}"/>
    <cellStyle name="Comma 3 6 4 3 3 2 2 4" xfId="9830" xr:uid="{00000000-0005-0000-0000-0000F8930000}"/>
    <cellStyle name="Comma 3 6 4 3 3 2 2 4 2" xfId="33109" xr:uid="{00000000-0005-0000-0000-0000F9930000}"/>
    <cellStyle name="Comma 3 6 4 3 3 2 2 5" xfId="12278" xr:uid="{00000000-0005-0000-0000-0000FA930000}"/>
    <cellStyle name="Comma 3 6 4 3 3 2 2 5 2" xfId="35557" xr:uid="{00000000-0005-0000-0000-0000FB930000}"/>
    <cellStyle name="Comma 3 6 4 3 3 2 2 6" xfId="14726" xr:uid="{00000000-0005-0000-0000-0000FC930000}"/>
    <cellStyle name="Comma 3 6 4 3 3 2 2 6 2" xfId="38005" xr:uid="{00000000-0005-0000-0000-0000FD930000}"/>
    <cellStyle name="Comma 3 6 4 3 3 2 2 7" xfId="18421" xr:uid="{00000000-0005-0000-0000-0000FE930000}"/>
    <cellStyle name="Comma 3 6 4 3 3 2 2 7 2" xfId="41699" xr:uid="{00000000-0005-0000-0000-0000FF930000}"/>
    <cellStyle name="Comma 3 6 4 3 3 2 2 8" xfId="25765" xr:uid="{00000000-0005-0000-0000-000000940000}"/>
    <cellStyle name="Comma 3 6 4 3 3 2 2 9" xfId="46595" xr:uid="{00000000-0005-0000-0000-000001940000}"/>
    <cellStyle name="Comma 3 6 4 3 3 2 3" xfId="3710" xr:uid="{00000000-0005-0000-0000-000002940000}"/>
    <cellStyle name="Comma 3 6 4 3 3 2 3 2" xfId="17197" xr:uid="{00000000-0005-0000-0000-000003940000}"/>
    <cellStyle name="Comma 3 6 4 3 3 2 3 2 2" xfId="40475" xr:uid="{00000000-0005-0000-0000-000004940000}"/>
    <cellStyle name="Comma 3 6 4 3 3 2 3 3" xfId="47819" xr:uid="{00000000-0005-0000-0000-000005940000}"/>
    <cellStyle name="Comma 3 6 4 3 3 2 3 4" xfId="26989" xr:uid="{00000000-0005-0000-0000-000006940000}"/>
    <cellStyle name="Comma 3 6 4 3 3 2 4" xfId="6158" xr:uid="{00000000-0005-0000-0000-000007940000}"/>
    <cellStyle name="Comma 3 6 4 3 3 2 4 2" xfId="19645" xr:uid="{00000000-0005-0000-0000-000008940000}"/>
    <cellStyle name="Comma 3 6 4 3 3 2 4 2 2" xfId="42923" xr:uid="{00000000-0005-0000-0000-000009940000}"/>
    <cellStyle name="Comma 3 6 4 3 3 2 4 3" xfId="29437" xr:uid="{00000000-0005-0000-0000-00000A940000}"/>
    <cellStyle name="Comma 3 6 4 3 3 2 5" xfId="8606" xr:uid="{00000000-0005-0000-0000-00000B940000}"/>
    <cellStyle name="Comma 3 6 4 3 3 2 5 2" xfId="31885" xr:uid="{00000000-0005-0000-0000-00000C940000}"/>
    <cellStyle name="Comma 3 6 4 3 3 2 6" xfId="11054" xr:uid="{00000000-0005-0000-0000-00000D940000}"/>
    <cellStyle name="Comma 3 6 4 3 3 2 6 2" xfId="34333" xr:uid="{00000000-0005-0000-0000-00000E940000}"/>
    <cellStyle name="Comma 3 6 4 3 3 2 7" xfId="13502" xr:uid="{00000000-0005-0000-0000-00000F940000}"/>
    <cellStyle name="Comma 3 6 4 3 3 2 7 2" xfId="36781" xr:uid="{00000000-0005-0000-0000-000010940000}"/>
    <cellStyle name="Comma 3 6 4 3 3 2 8" xfId="15973" xr:uid="{00000000-0005-0000-0000-000011940000}"/>
    <cellStyle name="Comma 3 6 4 3 3 2 8 2" xfId="39251" xr:uid="{00000000-0005-0000-0000-000012940000}"/>
    <cellStyle name="Comma 3 6 4 3 3 2 9" xfId="24541" xr:uid="{00000000-0005-0000-0000-000013940000}"/>
    <cellStyle name="Comma 3 6 4 3 3 3" xfId="1874" xr:uid="{00000000-0005-0000-0000-000014940000}"/>
    <cellStyle name="Comma 3 6 4 3 3 3 10" xfId="22705" xr:uid="{00000000-0005-0000-0000-000015940000}"/>
    <cellStyle name="Comma 3 6 4 3 3 3 2" xfId="4322" xr:uid="{00000000-0005-0000-0000-000016940000}"/>
    <cellStyle name="Comma 3 6 4 3 3 3 2 2" xfId="20257" xr:uid="{00000000-0005-0000-0000-000017940000}"/>
    <cellStyle name="Comma 3 6 4 3 3 3 2 2 2" xfId="43535" xr:uid="{00000000-0005-0000-0000-000018940000}"/>
    <cellStyle name="Comma 3 6 4 3 3 3 2 3" xfId="48431" xr:uid="{00000000-0005-0000-0000-000019940000}"/>
    <cellStyle name="Comma 3 6 4 3 3 3 2 4" xfId="27601" xr:uid="{00000000-0005-0000-0000-00001A940000}"/>
    <cellStyle name="Comma 3 6 4 3 3 3 3" xfId="6770" xr:uid="{00000000-0005-0000-0000-00001B940000}"/>
    <cellStyle name="Comma 3 6 4 3 3 3 3 2" xfId="30049" xr:uid="{00000000-0005-0000-0000-00001C940000}"/>
    <cellStyle name="Comma 3 6 4 3 3 3 4" xfId="9218" xr:uid="{00000000-0005-0000-0000-00001D940000}"/>
    <cellStyle name="Comma 3 6 4 3 3 3 4 2" xfId="32497" xr:uid="{00000000-0005-0000-0000-00001E940000}"/>
    <cellStyle name="Comma 3 6 4 3 3 3 5" xfId="11666" xr:uid="{00000000-0005-0000-0000-00001F940000}"/>
    <cellStyle name="Comma 3 6 4 3 3 3 5 2" xfId="34945" xr:uid="{00000000-0005-0000-0000-000020940000}"/>
    <cellStyle name="Comma 3 6 4 3 3 3 6" xfId="14114" xr:uid="{00000000-0005-0000-0000-000021940000}"/>
    <cellStyle name="Comma 3 6 4 3 3 3 6 2" xfId="37393" xr:uid="{00000000-0005-0000-0000-000022940000}"/>
    <cellStyle name="Comma 3 6 4 3 3 3 7" xfId="17809" xr:uid="{00000000-0005-0000-0000-000023940000}"/>
    <cellStyle name="Comma 3 6 4 3 3 3 7 2" xfId="41087" xr:uid="{00000000-0005-0000-0000-000024940000}"/>
    <cellStyle name="Comma 3 6 4 3 3 3 8" xfId="25153" xr:uid="{00000000-0005-0000-0000-000025940000}"/>
    <cellStyle name="Comma 3 6 4 3 3 3 9" xfId="45983" xr:uid="{00000000-0005-0000-0000-000026940000}"/>
    <cellStyle name="Comma 3 6 4 3 3 4" xfId="3098" xr:uid="{00000000-0005-0000-0000-000027940000}"/>
    <cellStyle name="Comma 3 6 4 3 3 4 2" xfId="16585" xr:uid="{00000000-0005-0000-0000-000028940000}"/>
    <cellStyle name="Comma 3 6 4 3 3 4 2 2" xfId="39863" xr:uid="{00000000-0005-0000-0000-000029940000}"/>
    <cellStyle name="Comma 3 6 4 3 3 4 3" xfId="47207" xr:uid="{00000000-0005-0000-0000-00002A940000}"/>
    <cellStyle name="Comma 3 6 4 3 3 4 4" xfId="26377" xr:uid="{00000000-0005-0000-0000-00002B940000}"/>
    <cellStyle name="Comma 3 6 4 3 3 5" xfId="5546" xr:uid="{00000000-0005-0000-0000-00002C940000}"/>
    <cellStyle name="Comma 3 6 4 3 3 5 2" xfId="19033" xr:uid="{00000000-0005-0000-0000-00002D940000}"/>
    <cellStyle name="Comma 3 6 4 3 3 5 2 2" xfId="42311" xr:uid="{00000000-0005-0000-0000-00002E940000}"/>
    <cellStyle name="Comma 3 6 4 3 3 5 3" xfId="28825" xr:uid="{00000000-0005-0000-0000-00002F940000}"/>
    <cellStyle name="Comma 3 6 4 3 3 6" xfId="7994" xr:uid="{00000000-0005-0000-0000-000030940000}"/>
    <cellStyle name="Comma 3 6 4 3 3 6 2" xfId="31273" xr:uid="{00000000-0005-0000-0000-000031940000}"/>
    <cellStyle name="Comma 3 6 4 3 3 7" xfId="10442" xr:uid="{00000000-0005-0000-0000-000032940000}"/>
    <cellStyle name="Comma 3 6 4 3 3 7 2" xfId="33721" xr:uid="{00000000-0005-0000-0000-000033940000}"/>
    <cellStyle name="Comma 3 6 4 3 3 8" xfId="12890" xr:uid="{00000000-0005-0000-0000-000034940000}"/>
    <cellStyle name="Comma 3 6 4 3 3 8 2" xfId="36169" xr:uid="{00000000-0005-0000-0000-000035940000}"/>
    <cellStyle name="Comma 3 6 4 3 3 9" xfId="15361" xr:uid="{00000000-0005-0000-0000-000036940000}"/>
    <cellStyle name="Comma 3 6 4 3 3 9 2" xfId="38639" xr:uid="{00000000-0005-0000-0000-000037940000}"/>
    <cellStyle name="Comma 3 6 4 3 4" xfId="854" xr:uid="{00000000-0005-0000-0000-000038940000}"/>
    <cellStyle name="Comma 3 6 4 3 4 10" xfId="44963" xr:uid="{00000000-0005-0000-0000-000039940000}"/>
    <cellStyle name="Comma 3 6 4 3 4 11" xfId="21685" xr:uid="{00000000-0005-0000-0000-00003A940000}"/>
    <cellStyle name="Comma 3 6 4 3 4 2" xfId="2078" xr:uid="{00000000-0005-0000-0000-00003B940000}"/>
    <cellStyle name="Comma 3 6 4 3 4 2 10" xfId="22909" xr:uid="{00000000-0005-0000-0000-00003C940000}"/>
    <cellStyle name="Comma 3 6 4 3 4 2 2" xfId="4526" xr:uid="{00000000-0005-0000-0000-00003D940000}"/>
    <cellStyle name="Comma 3 6 4 3 4 2 2 2" xfId="20461" xr:uid="{00000000-0005-0000-0000-00003E940000}"/>
    <cellStyle name="Comma 3 6 4 3 4 2 2 2 2" xfId="43739" xr:uid="{00000000-0005-0000-0000-00003F940000}"/>
    <cellStyle name="Comma 3 6 4 3 4 2 2 3" xfId="48635" xr:uid="{00000000-0005-0000-0000-000040940000}"/>
    <cellStyle name="Comma 3 6 4 3 4 2 2 4" xfId="27805" xr:uid="{00000000-0005-0000-0000-000041940000}"/>
    <cellStyle name="Comma 3 6 4 3 4 2 3" xfId="6974" xr:uid="{00000000-0005-0000-0000-000042940000}"/>
    <cellStyle name="Comma 3 6 4 3 4 2 3 2" xfId="30253" xr:uid="{00000000-0005-0000-0000-000043940000}"/>
    <cellStyle name="Comma 3 6 4 3 4 2 4" xfId="9422" xr:uid="{00000000-0005-0000-0000-000044940000}"/>
    <cellStyle name="Comma 3 6 4 3 4 2 4 2" xfId="32701" xr:uid="{00000000-0005-0000-0000-000045940000}"/>
    <cellStyle name="Comma 3 6 4 3 4 2 5" xfId="11870" xr:uid="{00000000-0005-0000-0000-000046940000}"/>
    <cellStyle name="Comma 3 6 4 3 4 2 5 2" xfId="35149" xr:uid="{00000000-0005-0000-0000-000047940000}"/>
    <cellStyle name="Comma 3 6 4 3 4 2 6" xfId="14318" xr:uid="{00000000-0005-0000-0000-000048940000}"/>
    <cellStyle name="Comma 3 6 4 3 4 2 6 2" xfId="37597" xr:uid="{00000000-0005-0000-0000-000049940000}"/>
    <cellStyle name="Comma 3 6 4 3 4 2 7" xfId="18013" xr:uid="{00000000-0005-0000-0000-00004A940000}"/>
    <cellStyle name="Comma 3 6 4 3 4 2 7 2" xfId="41291" xr:uid="{00000000-0005-0000-0000-00004B940000}"/>
    <cellStyle name="Comma 3 6 4 3 4 2 8" xfId="25357" xr:uid="{00000000-0005-0000-0000-00004C940000}"/>
    <cellStyle name="Comma 3 6 4 3 4 2 9" xfId="46187" xr:uid="{00000000-0005-0000-0000-00004D940000}"/>
    <cellStyle name="Comma 3 6 4 3 4 3" xfId="3302" xr:uid="{00000000-0005-0000-0000-00004E940000}"/>
    <cellStyle name="Comma 3 6 4 3 4 3 2" xfId="16789" xr:uid="{00000000-0005-0000-0000-00004F940000}"/>
    <cellStyle name="Comma 3 6 4 3 4 3 2 2" xfId="40067" xr:uid="{00000000-0005-0000-0000-000050940000}"/>
    <cellStyle name="Comma 3 6 4 3 4 3 3" xfId="47411" xr:uid="{00000000-0005-0000-0000-000051940000}"/>
    <cellStyle name="Comma 3 6 4 3 4 3 4" xfId="26581" xr:uid="{00000000-0005-0000-0000-000052940000}"/>
    <cellStyle name="Comma 3 6 4 3 4 4" xfId="5750" xr:uid="{00000000-0005-0000-0000-000053940000}"/>
    <cellStyle name="Comma 3 6 4 3 4 4 2" xfId="19237" xr:uid="{00000000-0005-0000-0000-000054940000}"/>
    <cellStyle name="Comma 3 6 4 3 4 4 2 2" xfId="42515" xr:uid="{00000000-0005-0000-0000-000055940000}"/>
    <cellStyle name="Comma 3 6 4 3 4 4 3" xfId="29029" xr:uid="{00000000-0005-0000-0000-000056940000}"/>
    <cellStyle name="Comma 3 6 4 3 4 5" xfId="8198" xr:uid="{00000000-0005-0000-0000-000057940000}"/>
    <cellStyle name="Comma 3 6 4 3 4 5 2" xfId="31477" xr:uid="{00000000-0005-0000-0000-000058940000}"/>
    <cellStyle name="Comma 3 6 4 3 4 6" xfId="10646" xr:uid="{00000000-0005-0000-0000-000059940000}"/>
    <cellStyle name="Comma 3 6 4 3 4 6 2" xfId="33925" xr:uid="{00000000-0005-0000-0000-00005A940000}"/>
    <cellStyle name="Comma 3 6 4 3 4 7" xfId="13094" xr:uid="{00000000-0005-0000-0000-00005B940000}"/>
    <cellStyle name="Comma 3 6 4 3 4 7 2" xfId="36373" xr:uid="{00000000-0005-0000-0000-00005C940000}"/>
    <cellStyle name="Comma 3 6 4 3 4 8" xfId="15565" xr:uid="{00000000-0005-0000-0000-00005D940000}"/>
    <cellStyle name="Comma 3 6 4 3 4 8 2" xfId="38843" xr:uid="{00000000-0005-0000-0000-00005E940000}"/>
    <cellStyle name="Comma 3 6 4 3 4 9" xfId="24133" xr:uid="{00000000-0005-0000-0000-00005F940000}"/>
    <cellStyle name="Comma 3 6 4 3 5" xfId="1466" xr:uid="{00000000-0005-0000-0000-000060940000}"/>
    <cellStyle name="Comma 3 6 4 3 5 10" xfId="22297" xr:uid="{00000000-0005-0000-0000-000061940000}"/>
    <cellStyle name="Comma 3 6 4 3 5 2" xfId="3914" xr:uid="{00000000-0005-0000-0000-000062940000}"/>
    <cellStyle name="Comma 3 6 4 3 5 2 2" xfId="19849" xr:uid="{00000000-0005-0000-0000-000063940000}"/>
    <cellStyle name="Comma 3 6 4 3 5 2 2 2" xfId="43127" xr:uid="{00000000-0005-0000-0000-000064940000}"/>
    <cellStyle name="Comma 3 6 4 3 5 2 3" xfId="48023" xr:uid="{00000000-0005-0000-0000-000065940000}"/>
    <cellStyle name="Comma 3 6 4 3 5 2 4" xfId="27193" xr:uid="{00000000-0005-0000-0000-000066940000}"/>
    <cellStyle name="Comma 3 6 4 3 5 3" xfId="6362" xr:uid="{00000000-0005-0000-0000-000067940000}"/>
    <cellStyle name="Comma 3 6 4 3 5 3 2" xfId="29641" xr:uid="{00000000-0005-0000-0000-000068940000}"/>
    <cellStyle name="Comma 3 6 4 3 5 4" xfId="8810" xr:uid="{00000000-0005-0000-0000-000069940000}"/>
    <cellStyle name="Comma 3 6 4 3 5 4 2" xfId="32089" xr:uid="{00000000-0005-0000-0000-00006A940000}"/>
    <cellStyle name="Comma 3 6 4 3 5 5" xfId="11258" xr:uid="{00000000-0005-0000-0000-00006B940000}"/>
    <cellStyle name="Comma 3 6 4 3 5 5 2" xfId="34537" xr:uid="{00000000-0005-0000-0000-00006C940000}"/>
    <cellStyle name="Comma 3 6 4 3 5 6" xfId="13706" xr:uid="{00000000-0005-0000-0000-00006D940000}"/>
    <cellStyle name="Comma 3 6 4 3 5 6 2" xfId="36985" xr:uid="{00000000-0005-0000-0000-00006E940000}"/>
    <cellStyle name="Comma 3 6 4 3 5 7" xfId="17401" xr:uid="{00000000-0005-0000-0000-00006F940000}"/>
    <cellStyle name="Comma 3 6 4 3 5 7 2" xfId="40679" xr:uid="{00000000-0005-0000-0000-000070940000}"/>
    <cellStyle name="Comma 3 6 4 3 5 8" xfId="24745" xr:uid="{00000000-0005-0000-0000-000071940000}"/>
    <cellStyle name="Comma 3 6 4 3 5 9" xfId="45575" xr:uid="{00000000-0005-0000-0000-000072940000}"/>
    <cellStyle name="Comma 3 6 4 3 6" xfId="2690" xr:uid="{00000000-0005-0000-0000-000073940000}"/>
    <cellStyle name="Comma 3 6 4 3 6 2" xfId="16177" xr:uid="{00000000-0005-0000-0000-000074940000}"/>
    <cellStyle name="Comma 3 6 4 3 6 2 2" xfId="39455" xr:uid="{00000000-0005-0000-0000-000075940000}"/>
    <cellStyle name="Comma 3 6 4 3 6 3" xfId="46799" xr:uid="{00000000-0005-0000-0000-000076940000}"/>
    <cellStyle name="Comma 3 6 4 3 6 4" xfId="25969" xr:uid="{00000000-0005-0000-0000-000077940000}"/>
    <cellStyle name="Comma 3 6 4 3 7" xfId="5138" xr:uid="{00000000-0005-0000-0000-000078940000}"/>
    <cellStyle name="Comma 3 6 4 3 7 2" xfId="18625" xr:uid="{00000000-0005-0000-0000-000079940000}"/>
    <cellStyle name="Comma 3 6 4 3 7 2 2" xfId="41903" xr:uid="{00000000-0005-0000-0000-00007A940000}"/>
    <cellStyle name="Comma 3 6 4 3 7 3" xfId="28417" xr:uid="{00000000-0005-0000-0000-00007B940000}"/>
    <cellStyle name="Comma 3 6 4 3 8" xfId="7586" xr:uid="{00000000-0005-0000-0000-00007C940000}"/>
    <cellStyle name="Comma 3 6 4 3 8 2" xfId="30865" xr:uid="{00000000-0005-0000-0000-00007D940000}"/>
    <cellStyle name="Comma 3 6 4 3 9" xfId="10034" xr:uid="{00000000-0005-0000-0000-00007E940000}"/>
    <cellStyle name="Comma 3 6 4 3 9 2" xfId="33313" xr:uid="{00000000-0005-0000-0000-00007F940000}"/>
    <cellStyle name="Comma 3 6 4 4" xfId="310" xr:uid="{00000000-0005-0000-0000-000080940000}"/>
    <cellStyle name="Comma 3 6 4 4 10" xfId="23589" xr:uid="{00000000-0005-0000-0000-000081940000}"/>
    <cellStyle name="Comma 3 6 4 4 11" xfId="44419" xr:uid="{00000000-0005-0000-0000-000082940000}"/>
    <cellStyle name="Comma 3 6 4 4 12" xfId="21141" xr:uid="{00000000-0005-0000-0000-000083940000}"/>
    <cellStyle name="Comma 3 6 4 4 2" xfId="922" xr:uid="{00000000-0005-0000-0000-000084940000}"/>
    <cellStyle name="Comma 3 6 4 4 2 10" xfId="45031" xr:uid="{00000000-0005-0000-0000-000085940000}"/>
    <cellStyle name="Comma 3 6 4 4 2 11" xfId="21753" xr:uid="{00000000-0005-0000-0000-000086940000}"/>
    <cellStyle name="Comma 3 6 4 4 2 2" xfId="2146" xr:uid="{00000000-0005-0000-0000-000087940000}"/>
    <cellStyle name="Comma 3 6 4 4 2 2 10" xfId="22977" xr:uid="{00000000-0005-0000-0000-000088940000}"/>
    <cellStyle name="Comma 3 6 4 4 2 2 2" xfId="4594" xr:uid="{00000000-0005-0000-0000-000089940000}"/>
    <cellStyle name="Comma 3 6 4 4 2 2 2 2" xfId="20529" xr:uid="{00000000-0005-0000-0000-00008A940000}"/>
    <cellStyle name="Comma 3 6 4 4 2 2 2 2 2" xfId="43807" xr:uid="{00000000-0005-0000-0000-00008B940000}"/>
    <cellStyle name="Comma 3 6 4 4 2 2 2 3" xfId="48703" xr:uid="{00000000-0005-0000-0000-00008C940000}"/>
    <cellStyle name="Comma 3 6 4 4 2 2 2 4" xfId="27873" xr:uid="{00000000-0005-0000-0000-00008D940000}"/>
    <cellStyle name="Comma 3 6 4 4 2 2 3" xfId="7042" xr:uid="{00000000-0005-0000-0000-00008E940000}"/>
    <cellStyle name="Comma 3 6 4 4 2 2 3 2" xfId="30321" xr:uid="{00000000-0005-0000-0000-00008F940000}"/>
    <cellStyle name="Comma 3 6 4 4 2 2 4" xfId="9490" xr:uid="{00000000-0005-0000-0000-000090940000}"/>
    <cellStyle name="Comma 3 6 4 4 2 2 4 2" xfId="32769" xr:uid="{00000000-0005-0000-0000-000091940000}"/>
    <cellStyle name="Comma 3 6 4 4 2 2 5" xfId="11938" xr:uid="{00000000-0005-0000-0000-000092940000}"/>
    <cellStyle name="Comma 3 6 4 4 2 2 5 2" xfId="35217" xr:uid="{00000000-0005-0000-0000-000093940000}"/>
    <cellStyle name="Comma 3 6 4 4 2 2 6" xfId="14386" xr:uid="{00000000-0005-0000-0000-000094940000}"/>
    <cellStyle name="Comma 3 6 4 4 2 2 6 2" xfId="37665" xr:uid="{00000000-0005-0000-0000-000095940000}"/>
    <cellStyle name="Comma 3 6 4 4 2 2 7" xfId="18081" xr:uid="{00000000-0005-0000-0000-000096940000}"/>
    <cellStyle name="Comma 3 6 4 4 2 2 7 2" xfId="41359" xr:uid="{00000000-0005-0000-0000-000097940000}"/>
    <cellStyle name="Comma 3 6 4 4 2 2 8" xfId="25425" xr:uid="{00000000-0005-0000-0000-000098940000}"/>
    <cellStyle name="Comma 3 6 4 4 2 2 9" xfId="46255" xr:uid="{00000000-0005-0000-0000-000099940000}"/>
    <cellStyle name="Comma 3 6 4 4 2 3" xfId="3370" xr:uid="{00000000-0005-0000-0000-00009A940000}"/>
    <cellStyle name="Comma 3 6 4 4 2 3 2" xfId="16857" xr:uid="{00000000-0005-0000-0000-00009B940000}"/>
    <cellStyle name="Comma 3 6 4 4 2 3 2 2" xfId="40135" xr:uid="{00000000-0005-0000-0000-00009C940000}"/>
    <cellStyle name="Comma 3 6 4 4 2 3 3" xfId="47479" xr:uid="{00000000-0005-0000-0000-00009D940000}"/>
    <cellStyle name="Comma 3 6 4 4 2 3 4" xfId="26649" xr:uid="{00000000-0005-0000-0000-00009E940000}"/>
    <cellStyle name="Comma 3 6 4 4 2 4" xfId="5818" xr:uid="{00000000-0005-0000-0000-00009F940000}"/>
    <cellStyle name="Comma 3 6 4 4 2 4 2" xfId="19305" xr:uid="{00000000-0005-0000-0000-0000A0940000}"/>
    <cellStyle name="Comma 3 6 4 4 2 4 2 2" xfId="42583" xr:uid="{00000000-0005-0000-0000-0000A1940000}"/>
    <cellStyle name="Comma 3 6 4 4 2 4 3" xfId="29097" xr:uid="{00000000-0005-0000-0000-0000A2940000}"/>
    <cellStyle name="Comma 3 6 4 4 2 5" xfId="8266" xr:uid="{00000000-0005-0000-0000-0000A3940000}"/>
    <cellStyle name="Comma 3 6 4 4 2 5 2" xfId="31545" xr:uid="{00000000-0005-0000-0000-0000A4940000}"/>
    <cellStyle name="Comma 3 6 4 4 2 6" xfId="10714" xr:uid="{00000000-0005-0000-0000-0000A5940000}"/>
    <cellStyle name="Comma 3 6 4 4 2 6 2" xfId="33993" xr:uid="{00000000-0005-0000-0000-0000A6940000}"/>
    <cellStyle name="Comma 3 6 4 4 2 7" xfId="13162" xr:uid="{00000000-0005-0000-0000-0000A7940000}"/>
    <cellStyle name="Comma 3 6 4 4 2 7 2" xfId="36441" xr:uid="{00000000-0005-0000-0000-0000A8940000}"/>
    <cellStyle name="Comma 3 6 4 4 2 8" xfId="15633" xr:uid="{00000000-0005-0000-0000-0000A9940000}"/>
    <cellStyle name="Comma 3 6 4 4 2 8 2" xfId="38911" xr:uid="{00000000-0005-0000-0000-0000AA940000}"/>
    <cellStyle name="Comma 3 6 4 4 2 9" xfId="24201" xr:uid="{00000000-0005-0000-0000-0000AB940000}"/>
    <cellStyle name="Comma 3 6 4 4 3" xfId="1534" xr:uid="{00000000-0005-0000-0000-0000AC940000}"/>
    <cellStyle name="Comma 3 6 4 4 3 10" xfId="22365" xr:uid="{00000000-0005-0000-0000-0000AD940000}"/>
    <cellStyle name="Comma 3 6 4 4 3 2" xfId="3982" xr:uid="{00000000-0005-0000-0000-0000AE940000}"/>
    <cellStyle name="Comma 3 6 4 4 3 2 2" xfId="19917" xr:uid="{00000000-0005-0000-0000-0000AF940000}"/>
    <cellStyle name="Comma 3 6 4 4 3 2 2 2" xfId="43195" xr:uid="{00000000-0005-0000-0000-0000B0940000}"/>
    <cellStyle name="Comma 3 6 4 4 3 2 3" xfId="48091" xr:uid="{00000000-0005-0000-0000-0000B1940000}"/>
    <cellStyle name="Comma 3 6 4 4 3 2 4" xfId="27261" xr:uid="{00000000-0005-0000-0000-0000B2940000}"/>
    <cellStyle name="Comma 3 6 4 4 3 3" xfId="6430" xr:uid="{00000000-0005-0000-0000-0000B3940000}"/>
    <cellStyle name="Comma 3 6 4 4 3 3 2" xfId="29709" xr:uid="{00000000-0005-0000-0000-0000B4940000}"/>
    <cellStyle name="Comma 3 6 4 4 3 4" xfId="8878" xr:uid="{00000000-0005-0000-0000-0000B5940000}"/>
    <cellStyle name="Comma 3 6 4 4 3 4 2" xfId="32157" xr:uid="{00000000-0005-0000-0000-0000B6940000}"/>
    <cellStyle name="Comma 3 6 4 4 3 5" xfId="11326" xr:uid="{00000000-0005-0000-0000-0000B7940000}"/>
    <cellStyle name="Comma 3 6 4 4 3 5 2" xfId="34605" xr:uid="{00000000-0005-0000-0000-0000B8940000}"/>
    <cellStyle name="Comma 3 6 4 4 3 6" xfId="13774" xr:uid="{00000000-0005-0000-0000-0000B9940000}"/>
    <cellStyle name="Comma 3 6 4 4 3 6 2" xfId="37053" xr:uid="{00000000-0005-0000-0000-0000BA940000}"/>
    <cellStyle name="Comma 3 6 4 4 3 7" xfId="17469" xr:uid="{00000000-0005-0000-0000-0000BB940000}"/>
    <cellStyle name="Comma 3 6 4 4 3 7 2" xfId="40747" xr:uid="{00000000-0005-0000-0000-0000BC940000}"/>
    <cellStyle name="Comma 3 6 4 4 3 8" xfId="24813" xr:uid="{00000000-0005-0000-0000-0000BD940000}"/>
    <cellStyle name="Comma 3 6 4 4 3 9" xfId="45643" xr:uid="{00000000-0005-0000-0000-0000BE940000}"/>
    <cellStyle name="Comma 3 6 4 4 4" xfId="2758" xr:uid="{00000000-0005-0000-0000-0000BF940000}"/>
    <cellStyle name="Comma 3 6 4 4 4 2" xfId="16245" xr:uid="{00000000-0005-0000-0000-0000C0940000}"/>
    <cellStyle name="Comma 3 6 4 4 4 2 2" xfId="39523" xr:uid="{00000000-0005-0000-0000-0000C1940000}"/>
    <cellStyle name="Comma 3 6 4 4 4 3" xfId="46867" xr:uid="{00000000-0005-0000-0000-0000C2940000}"/>
    <cellStyle name="Comma 3 6 4 4 4 4" xfId="26037" xr:uid="{00000000-0005-0000-0000-0000C3940000}"/>
    <cellStyle name="Comma 3 6 4 4 5" xfId="5206" xr:uid="{00000000-0005-0000-0000-0000C4940000}"/>
    <cellStyle name="Comma 3 6 4 4 5 2" xfId="18693" xr:uid="{00000000-0005-0000-0000-0000C5940000}"/>
    <cellStyle name="Comma 3 6 4 4 5 2 2" xfId="41971" xr:uid="{00000000-0005-0000-0000-0000C6940000}"/>
    <cellStyle name="Comma 3 6 4 4 5 3" xfId="28485" xr:uid="{00000000-0005-0000-0000-0000C7940000}"/>
    <cellStyle name="Comma 3 6 4 4 6" xfId="7654" xr:uid="{00000000-0005-0000-0000-0000C8940000}"/>
    <cellStyle name="Comma 3 6 4 4 6 2" xfId="30933" xr:uid="{00000000-0005-0000-0000-0000C9940000}"/>
    <cellStyle name="Comma 3 6 4 4 7" xfId="10102" xr:uid="{00000000-0005-0000-0000-0000CA940000}"/>
    <cellStyle name="Comma 3 6 4 4 7 2" xfId="33381" xr:uid="{00000000-0005-0000-0000-0000CB940000}"/>
    <cellStyle name="Comma 3 6 4 4 8" xfId="12550" xr:uid="{00000000-0005-0000-0000-0000CC940000}"/>
    <cellStyle name="Comma 3 6 4 4 8 2" xfId="35829" xr:uid="{00000000-0005-0000-0000-0000CD940000}"/>
    <cellStyle name="Comma 3 6 4 4 9" xfId="15021" xr:uid="{00000000-0005-0000-0000-0000CE940000}"/>
    <cellStyle name="Comma 3 6 4 4 9 2" xfId="38299" xr:uid="{00000000-0005-0000-0000-0000CF940000}"/>
    <cellStyle name="Comma 3 6 4 5" xfId="514" xr:uid="{00000000-0005-0000-0000-0000D0940000}"/>
    <cellStyle name="Comma 3 6 4 5 10" xfId="23793" xr:uid="{00000000-0005-0000-0000-0000D1940000}"/>
    <cellStyle name="Comma 3 6 4 5 11" xfId="44623" xr:uid="{00000000-0005-0000-0000-0000D2940000}"/>
    <cellStyle name="Comma 3 6 4 5 12" xfId="21345" xr:uid="{00000000-0005-0000-0000-0000D3940000}"/>
    <cellStyle name="Comma 3 6 4 5 2" xfId="1126" xr:uid="{00000000-0005-0000-0000-0000D4940000}"/>
    <cellStyle name="Comma 3 6 4 5 2 10" xfId="45235" xr:uid="{00000000-0005-0000-0000-0000D5940000}"/>
    <cellStyle name="Comma 3 6 4 5 2 11" xfId="21957" xr:uid="{00000000-0005-0000-0000-0000D6940000}"/>
    <cellStyle name="Comma 3 6 4 5 2 2" xfId="2350" xr:uid="{00000000-0005-0000-0000-0000D7940000}"/>
    <cellStyle name="Comma 3 6 4 5 2 2 10" xfId="23181" xr:uid="{00000000-0005-0000-0000-0000D8940000}"/>
    <cellStyle name="Comma 3 6 4 5 2 2 2" xfId="4798" xr:uid="{00000000-0005-0000-0000-0000D9940000}"/>
    <cellStyle name="Comma 3 6 4 5 2 2 2 2" xfId="20733" xr:uid="{00000000-0005-0000-0000-0000DA940000}"/>
    <cellStyle name="Comma 3 6 4 5 2 2 2 2 2" xfId="44011" xr:uid="{00000000-0005-0000-0000-0000DB940000}"/>
    <cellStyle name="Comma 3 6 4 5 2 2 2 3" xfId="48907" xr:uid="{00000000-0005-0000-0000-0000DC940000}"/>
    <cellStyle name="Comma 3 6 4 5 2 2 2 4" xfId="28077" xr:uid="{00000000-0005-0000-0000-0000DD940000}"/>
    <cellStyle name="Comma 3 6 4 5 2 2 3" xfId="7246" xr:uid="{00000000-0005-0000-0000-0000DE940000}"/>
    <cellStyle name="Comma 3 6 4 5 2 2 3 2" xfId="30525" xr:uid="{00000000-0005-0000-0000-0000DF940000}"/>
    <cellStyle name="Comma 3 6 4 5 2 2 4" xfId="9694" xr:uid="{00000000-0005-0000-0000-0000E0940000}"/>
    <cellStyle name="Comma 3 6 4 5 2 2 4 2" xfId="32973" xr:uid="{00000000-0005-0000-0000-0000E1940000}"/>
    <cellStyle name="Comma 3 6 4 5 2 2 5" xfId="12142" xr:uid="{00000000-0005-0000-0000-0000E2940000}"/>
    <cellStyle name="Comma 3 6 4 5 2 2 5 2" xfId="35421" xr:uid="{00000000-0005-0000-0000-0000E3940000}"/>
    <cellStyle name="Comma 3 6 4 5 2 2 6" xfId="14590" xr:uid="{00000000-0005-0000-0000-0000E4940000}"/>
    <cellStyle name="Comma 3 6 4 5 2 2 6 2" xfId="37869" xr:uid="{00000000-0005-0000-0000-0000E5940000}"/>
    <cellStyle name="Comma 3 6 4 5 2 2 7" xfId="18285" xr:uid="{00000000-0005-0000-0000-0000E6940000}"/>
    <cellStyle name="Comma 3 6 4 5 2 2 7 2" xfId="41563" xr:uid="{00000000-0005-0000-0000-0000E7940000}"/>
    <cellStyle name="Comma 3 6 4 5 2 2 8" xfId="25629" xr:uid="{00000000-0005-0000-0000-0000E8940000}"/>
    <cellStyle name="Comma 3 6 4 5 2 2 9" xfId="46459" xr:uid="{00000000-0005-0000-0000-0000E9940000}"/>
    <cellStyle name="Comma 3 6 4 5 2 3" xfId="3574" xr:uid="{00000000-0005-0000-0000-0000EA940000}"/>
    <cellStyle name="Comma 3 6 4 5 2 3 2" xfId="17061" xr:uid="{00000000-0005-0000-0000-0000EB940000}"/>
    <cellStyle name="Comma 3 6 4 5 2 3 2 2" xfId="40339" xr:uid="{00000000-0005-0000-0000-0000EC940000}"/>
    <cellStyle name="Comma 3 6 4 5 2 3 3" xfId="47683" xr:uid="{00000000-0005-0000-0000-0000ED940000}"/>
    <cellStyle name="Comma 3 6 4 5 2 3 4" xfId="26853" xr:uid="{00000000-0005-0000-0000-0000EE940000}"/>
    <cellStyle name="Comma 3 6 4 5 2 4" xfId="6022" xr:uid="{00000000-0005-0000-0000-0000EF940000}"/>
    <cellStyle name="Comma 3 6 4 5 2 4 2" xfId="19509" xr:uid="{00000000-0005-0000-0000-0000F0940000}"/>
    <cellStyle name="Comma 3 6 4 5 2 4 2 2" xfId="42787" xr:uid="{00000000-0005-0000-0000-0000F1940000}"/>
    <cellStyle name="Comma 3 6 4 5 2 4 3" xfId="29301" xr:uid="{00000000-0005-0000-0000-0000F2940000}"/>
    <cellStyle name="Comma 3 6 4 5 2 5" xfId="8470" xr:uid="{00000000-0005-0000-0000-0000F3940000}"/>
    <cellStyle name="Comma 3 6 4 5 2 5 2" xfId="31749" xr:uid="{00000000-0005-0000-0000-0000F4940000}"/>
    <cellStyle name="Comma 3 6 4 5 2 6" xfId="10918" xr:uid="{00000000-0005-0000-0000-0000F5940000}"/>
    <cellStyle name="Comma 3 6 4 5 2 6 2" xfId="34197" xr:uid="{00000000-0005-0000-0000-0000F6940000}"/>
    <cellStyle name="Comma 3 6 4 5 2 7" xfId="13366" xr:uid="{00000000-0005-0000-0000-0000F7940000}"/>
    <cellStyle name="Comma 3 6 4 5 2 7 2" xfId="36645" xr:uid="{00000000-0005-0000-0000-0000F8940000}"/>
    <cellStyle name="Comma 3 6 4 5 2 8" xfId="15837" xr:uid="{00000000-0005-0000-0000-0000F9940000}"/>
    <cellStyle name="Comma 3 6 4 5 2 8 2" xfId="39115" xr:uid="{00000000-0005-0000-0000-0000FA940000}"/>
    <cellStyle name="Comma 3 6 4 5 2 9" xfId="24405" xr:uid="{00000000-0005-0000-0000-0000FB940000}"/>
    <cellStyle name="Comma 3 6 4 5 3" xfId="1738" xr:uid="{00000000-0005-0000-0000-0000FC940000}"/>
    <cellStyle name="Comma 3 6 4 5 3 10" xfId="22569" xr:uid="{00000000-0005-0000-0000-0000FD940000}"/>
    <cellStyle name="Comma 3 6 4 5 3 2" xfId="4186" xr:uid="{00000000-0005-0000-0000-0000FE940000}"/>
    <cellStyle name="Comma 3 6 4 5 3 2 2" xfId="20121" xr:uid="{00000000-0005-0000-0000-0000FF940000}"/>
    <cellStyle name="Comma 3 6 4 5 3 2 2 2" xfId="43399" xr:uid="{00000000-0005-0000-0000-000000950000}"/>
    <cellStyle name="Comma 3 6 4 5 3 2 3" xfId="48295" xr:uid="{00000000-0005-0000-0000-000001950000}"/>
    <cellStyle name="Comma 3 6 4 5 3 2 4" xfId="27465" xr:uid="{00000000-0005-0000-0000-000002950000}"/>
    <cellStyle name="Comma 3 6 4 5 3 3" xfId="6634" xr:uid="{00000000-0005-0000-0000-000003950000}"/>
    <cellStyle name="Comma 3 6 4 5 3 3 2" xfId="29913" xr:uid="{00000000-0005-0000-0000-000004950000}"/>
    <cellStyle name="Comma 3 6 4 5 3 4" xfId="9082" xr:uid="{00000000-0005-0000-0000-000005950000}"/>
    <cellStyle name="Comma 3 6 4 5 3 4 2" xfId="32361" xr:uid="{00000000-0005-0000-0000-000006950000}"/>
    <cellStyle name="Comma 3 6 4 5 3 5" xfId="11530" xr:uid="{00000000-0005-0000-0000-000007950000}"/>
    <cellStyle name="Comma 3 6 4 5 3 5 2" xfId="34809" xr:uid="{00000000-0005-0000-0000-000008950000}"/>
    <cellStyle name="Comma 3 6 4 5 3 6" xfId="13978" xr:uid="{00000000-0005-0000-0000-000009950000}"/>
    <cellStyle name="Comma 3 6 4 5 3 6 2" xfId="37257" xr:uid="{00000000-0005-0000-0000-00000A950000}"/>
    <cellStyle name="Comma 3 6 4 5 3 7" xfId="17673" xr:uid="{00000000-0005-0000-0000-00000B950000}"/>
    <cellStyle name="Comma 3 6 4 5 3 7 2" xfId="40951" xr:uid="{00000000-0005-0000-0000-00000C950000}"/>
    <cellStyle name="Comma 3 6 4 5 3 8" xfId="25017" xr:uid="{00000000-0005-0000-0000-00000D950000}"/>
    <cellStyle name="Comma 3 6 4 5 3 9" xfId="45847" xr:uid="{00000000-0005-0000-0000-00000E950000}"/>
    <cellStyle name="Comma 3 6 4 5 4" xfId="2962" xr:uid="{00000000-0005-0000-0000-00000F950000}"/>
    <cellStyle name="Comma 3 6 4 5 4 2" xfId="16449" xr:uid="{00000000-0005-0000-0000-000010950000}"/>
    <cellStyle name="Comma 3 6 4 5 4 2 2" xfId="39727" xr:uid="{00000000-0005-0000-0000-000011950000}"/>
    <cellStyle name="Comma 3 6 4 5 4 3" xfId="47071" xr:uid="{00000000-0005-0000-0000-000012950000}"/>
    <cellStyle name="Comma 3 6 4 5 4 4" xfId="26241" xr:uid="{00000000-0005-0000-0000-000013950000}"/>
    <cellStyle name="Comma 3 6 4 5 5" xfId="5410" xr:uid="{00000000-0005-0000-0000-000014950000}"/>
    <cellStyle name="Comma 3 6 4 5 5 2" xfId="18897" xr:uid="{00000000-0005-0000-0000-000015950000}"/>
    <cellStyle name="Comma 3 6 4 5 5 2 2" xfId="42175" xr:uid="{00000000-0005-0000-0000-000016950000}"/>
    <cellStyle name="Comma 3 6 4 5 5 3" xfId="28689" xr:uid="{00000000-0005-0000-0000-000017950000}"/>
    <cellStyle name="Comma 3 6 4 5 6" xfId="7858" xr:uid="{00000000-0005-0000-0000-000018950000}"/>
    <cellStyle name="Comma 3 6 4 5 6 2" xfId="31137" xr:uid="{00000000-0005-0000-0000-000019950000}"/>
    <cellStyle name="Comma 3 6 4 5 7" xfId="10306" xr:uid="{00000000-0005-0000-0000-00001A950000}"/>
    <cellStyle name="Comma 3 6 4 5 7 2" xfId="33585" xr:uid="{00000000-0005-0000-0000-00001B950000}"/>
    <cellStyle name="Comma 3 6 4 5 8" xfId="12754" xr:uid="{00000000-0005-0000-0000-00001C950000}"/>
    <cellStyle name="Comma 3 6 4 5 8 2" xfId="36033" xr:uid="{00000000-0005-0000-0000-00001D950000}"/>
    <cellStyle name="Comma 3 6 4 5 9" xfId="15225" xr:uid="{00000000-0005-0000-0000-00001E950000}"/>
    <cellStyle name="Comma 3 6 4 5 9 2" xfId="38503" xr:uid="{00000000-0005-0000-0000-00001F950000}"/>
    <cellStyle name="Comma 3 6 4 6" xfId="718" xr:uid="{00000000-0005-0000-0000-000020950000}"/>
    <cellStyle name="Comma 3 6 4 6 10" xfId="44827" xr:uid="{00000000-0005-0000-0000-000021950000}"/>
    <cellStyle name="Comma 3 6 4 6 11" xfId="21549" xr:uid="{00000000-0005-0000-0000-000022950000}"/>
    <cellStyle name="Comma 3 6 4 6 2" xfId="1942" xr:uid="{00000000-0005-0000-0000-000023950000}"/>
    <cellStyle name="Comma 3 6 4 6 2 10" xfId="22773" xr:uid="{00000000-0005-0000-0000-000024950000}"/>
    <cellStyle name="Comma 3 6 4 6 2 2" xfId="4390" xr:uid="{00000000-0005-0000-0000-000025950000}"/>
    <cellStyle name="Comma 3 6 4 6 2 2 2" xfId="20325" xr:uid="{00000000-0005-0000-0000-000026950000}"/>
    <cellStyle name="Comma 3 6 4 6 2 2 2 2" xfId="43603" xr:uid="{00000000-0005-0000-0000-000027950000}"/>
    <cellStyle name="Comma 3 6 4 6 2 2 3" xfId="48499" xr:uid="{00000000-0005-0000-0000-000028950000}"/>
    <cellStyle name="Comma 3 6 4 6 2 2 4" xfId="27669" xr:uid="{00000000-0005-0000-0000-000029950000}"/>
    <cellStyle name="Comma 3 6 4 6 2 3" xfId="6838" xr:uid="{00000000-0005-0000-0000-00002A950000}"/>
    <cellStyle name="Comma 3 6 4 6 2 3 2" xfId="30117" xr:uid="{00000000-0005-0000-0000-00002B950000}"/>
    <cellStyle name="Comma 3 6 4 6 2 4" xfId="9286" xr:uid="{00000000-0005-0000-0000-00002C950000}"/>
    <cellStyle name="Comma 3 6 4 6 2 4 2" xfId="32565" xr:uid="{00000000-0005-0000-0000-00002D950000}"/>
    <cellStyle name="Comma 3 6 4 6 2 5" xfId="11734" xr:uid="{00000000-0005-0000-0000-00002E950000}"/>
    <cellStyle name="Comma 3 6 4 6 2 5 2" xfId="35013" xr:uid="{00000000-0005-0000-0000-00002F950000}"/>
    <cellStyle name="Comma 3 6 4 6 2 6" xfId="14182" xr:uid="{00000000-0005-0000-0000-000030950000}"/>
    <cellStyle name="Comma 3 6 4 6 2 6 2" xfId="37461" xr:uid="{00000000-0005-0000-0000-000031950000}"/>
    <cellStyle name="Comma 3 6 4 6 2 7" xfId="17877" xr:uid="{00000000-0005-0000-0000-000032950000}"/>
    <cellStyle name="Comma 3 6 4 6 2 7 2" xfId="41155" xr:uid="{00000000-0005-0000-0000-000033950000}"/>
    <cellStyle name="Comma 3 6 4 6 2 8" xfId="25221" xr:uid="{00000000-0005-0000-0000-000034950000}"/>
    <cellStyle name="Comma 3 6 4 6 2 9" xfId="46051" xr:uid="{00000000-0005-0000-0000-000035950000}"/>
    <cellStyle name="Comma 3 6 4 6 3" xfId="3166" xr:uid="{00000000-0005-0000-0000-000036950000}"/>
    <cellStyle name="Comma 3 6 4 6 3 2" xfId="16653" xr:uid="{00000000-0005-0000-0000-000037950000}"/>
    <cellStyle name="Comma 3 6 4 6 3 2 2" xfId="39931" xr:uid="{00000000-0005-0000-0000-000038950000}"/>
    <cellStyle name="Comma 3 6 4 6 3 3" xfId="47275" xr:uid="{00000000-0005-0000-0000-000039950000}"/>
    <cellStyle name="Comma 3 6 4 6 3 4" xfId="26445" xr:uid="{00000000-0005-0000-0000-00003A950000}"/>
    <cellStyle name="Comma 3 6 4 6 4" xfId="5614" xr:uid="{00000000-0005-0000-0000-00003B950000}"/>
    <cellStyle name="Comma 3 6 4 6 4 2" xfId="19101" xr:uid="{00000000-0005-0000-0000-00003C950000}"/>
    <cellStyle name="Comma 3 6 4 6 4 2 2" xfId="42379" xr:uid="{00000000-0005-0000-0000-00003D950000}"/>
    <cellStyle name="Comma 3 6 4 6 4 3" xfId="28893" xr:uid="{00000000-0005-0000-0000-00003E950000}"/>
    <cellStyle name="Comma 3 6 4 6 5" xfId="8062" xr:uid="{00000000-0005-0000-0000-00003F950000}"/>
    <cellStyle name="Comma 3 6 4 6 5 2" xfId="31341" xr:uid="{00000000-0005-0000-0000-000040950000}"/>
    <cellStyle name="Comma 3 6 4 6 6" xfId="10510" xr:uid="{00000000-0005-0000-0000-000041950000}"/>
    <cellStyle name="Comma 3 6 4 6 6 2" xfId="33789" xr:uid="{00000000-0005-0000-0000-000042950000}"/>
    <cellStyle name="Comma 3 6 4 6 7" xfId="12958" xr:uid="{00000000-0005-0000-0000-000043950000}"/>
    <cellStyle name="Comma 3 6 4 6 7 2" xfId="36237" xr:uid="{00000000-0005-0000-0000-000044950000}"/>
    <cellStyle name="Comma 3 6 4 6 8" xfId="15429" xr:uid="{00000000-0005-0000-0000-000045950000}"/>
    <cellStyle name="Comma 3 6 4 6 8 2" xfId="38707" xr:uid="{00000000-0005-0000-0000-000046950000}"/>
    <cellStyle name="Comma 3 6 4 6 9" xfId="23997" xr:uid="{00000000-0005-0000-0000-000047950000}"/>
    <cellStyle name="Comma 3 6 4 7" xfId="1330" xr:uid="{00000000-0005-0000-0000-000048950000}"/>
    <cellStyle name="Comma 3 6 4 7 10" xfId="22161" xr:uid="{00000000-0005-0000-0000-000049950000}"/>
    <cellStyle name="Comma 3 6 4 7 2" xfId="3778" xr:uid="{00000000-0005-0000-0000-00004A950000}"/>
    <cellStyle name="Comma 3 6 4 7 2 2" xfId="19713" xr:uid="{00000000-0005-0000-0000-00004B950000}"/>
    <cellStyle name="Comma 3 6 4 7 2 2 2" xfId="42991" xr:uid="{00000000-0005-0000-0000-00004C950000}"/>
    <cellStyle name="Comma 3 6 4 7 2 3" xfId="47887" xr:uid="{00000000-0005-0000-0000-00004D950000}"/>
    <cellStyle name="Comma 3 6 4 7 2 4" xfId="27057" xr:uid="{00000000-0005-0000-0000-00004E950000}"/>
    <cellStyle name="Comma 3 6 4 7 3" xfId="6226" xr:uid="{00000000-0005-0000-0000-00004F950000}"/>
    <cellStyle name="Comma 3 6 4 7 3 2" xfId="29505" xr:uid="{00000000-0005-0000-0000-000050950000}"/>
    <cellStyle name="Comma 3 6 4 7 4" xfId="8674" xr:uid="{00000000-0005-0000-0000-000051950000}"/>
    <cellStyle name="Comma 3 6 4 7 4 2" xfId="31953" xr:uid="{00000000-0005-0000-0000-000052950000}"/>
    <cellStyle name="Comma 3 6 4 7 5" xfId="11122" xr:uid="{00000000-0005-0000-0000-000053950000}"/>
    <cellStyle name="Comma 3 6 4 7 5 2" xfId="34401" xr:uid="{00000000-0005-0000-0000-000054950000}"/>
    <cellStyle name="Comma 3 6 4 7 6" xfId="13570" xr:uid="{00000000-0005-0000-0000-000055950000}"/>
    <cellStyle name="Comma 3 6 4 7 6 2" xfId="36849" xr:uid="{00000000-0005-0000-0000-000056950000}"/>
    <cellStyle name="Comma 3 6 4 7 7" xfId="17265" xr:uid="{00000000-0005-0000-0000-000057950000}"/>
    <cellStyle name="Comma 3 6 4 7 7 2" xfId="40543" xr:uid="{00000000-0005-0000-0000-000058950000}"/>
    <cellStyle name="Comma 3 6 4 7 8" xfId="24609" xr:uid="{00000000-0005-0000-0000-000059950000}"/>
    <cellStyle name="Comma 3 6 4 7 9" xfId="45439" xr:uid="{00000000-0005-0000-0000-00005A950000}"/>
    <cellStyle name="Comma 3 6 4 8" xfId="2554" xr:uid="{00000000-0005-0000-0000-00005B950000}"/>
    <cellStyle name="Comma 3 6 4 8 2" xfId="16041" xr:uid="{00000000-0005-0000-0000-00005C950000}"/>
    <cellStyle name="Comma 3 6 4 8 2 2" xfId="39319" xr:uid="{00000000-0005-0000-0000-00005D950000}"/>
    <cellStyle name="Comma 3 6 4 8 3" xfId="46663" xr:uid="{00000000-0005-0000-0000-00005E950000}"/>
    <cellStyle name="Comma 3 6 4 8 4" xfId="25833" xr:uid="{00000000-0005-0000-0000-00005F950000}"/>
    <cellStyle name="Comma 3 6 4 9" xfId="5002" xr:uid="{00000000-0005-0000-0000-000060950000}"/>
    <cellStyle name="Comma 3 6 4 9 2" xfId="18489" xr:uid="{00000000-0005-0000-0000-000061950000}"/>
    <cellStyle name="Comma 3 6 4 9 2 2" xfId="41767" xr:uid="{00000000-0005-0000-0000-000062950000}"/>
    <cellStyle name="Comma 3 6 4 9 3" xfId="28281" xr:uid="{00000000-0005-0000-0000-000063950000}"/>
    <cellStyle name="Comma 3 6 5" xfId="123" xr:uid="{00000000-0005-0000-0000-000064950000}"/>
    <cellStyle name="Comma 3 6 5 10" xfId="12363" xr:uid="{00000000-0005-0000-0000-000065950000}"/>
    <cellStyle name="Comma 3 6 5 10 2" xfId="35642" xr:uid="{00000000-0005-0000-0000-000066950000}"/>
    <cellStyle name="Comma 3 6 5 11" xfId="14834" xr:uid="{00000000-0005-0000-0000-000067950000}"/>
    <cellStyle name="Comma 3 6 5 11 2" xfId="38112" xr:uid="{00000000-0005-0000-0000-000068950000}"/>
    <cellStyle name="Comma 3 6 5 12" xfId="23402" xr:uid="{00000000-0005-0000-0000-000069950000}"/>
    <cellStyle name="Comma 3 6 5 13" xfId="44232" xr:uid="{00000000-0005-0000-0000-00006A950000}"/>
    <cellStyle name="Comma 3 6 5 14" xfId="20954" xr:uid="{00000000-0005-0000-0000-00006B950000}"/>
    <cellStyle name="Comma 3 6 5 2" xfId="327" xr:uid="{00000000-0005-0000-0000-00006C950000}"/>
    <cellStyle name="Comma 3 6 5 2 10" xfId="23606" xr:uid="{00000000-0005-0000-0000-00006D950000}"/>
    <cellStyle name="Comma 3 6 5 2 11" xfId="44436" xr:uid="{00000000-0005-0000-0000-00006E950000}"/>
    <cellStyle name="Comma 3 6 5 2 12" xfId="21158" xr:uid="{00000000-0005-0000-0000-00006F950000}"/>
    <cellStyle name="Comma 3 6 5 2 2" xfId="939" xr:uid="{00000000-0005-0000-0000-000070950000}"/>
    <cellStyle name="Comma 3 6 5 2 2 10" xfId="45048" xr:uid="{00000000-0005-0000-0000-000071950000}"/>
    <cellStyle name="Comma 3 6 5 2 2 11" xfId="21770" xr:uid="{00000000-0005-0000-0000-000072950000}"/>
    <cellStyle name="Comma 3 6 5 2 2 2" xfId="2163" xr:uid="{00000000-0005-0000-0000-000073950000}"/>
    <cellStyle name="Comma 3 6 5 2 2 2 10" xfId="22994" xr:uid="{00000000-0005-0000-0000-000074950000}"/>
    <cellStyle name="Comma 3 6 5 2 2 2 2" xfId="4611" xr:uid="{00000000-0005-0000-0000-000075950000}"/>
    <cellStyle name="Comma 3 6 5 2 2 2 2 2" xfId="20546" xr:uid="{00000000-0005-0000-0000-000076950000}"/>
    <cellStyle name="Comma 3 6 5 2 2 2 2 2 2" xfId="43824" xr:uid="{00000000-0005-0000-0000-000077950000}"/>
    <cellStyle name="Comma 3 6 5 2 2 2 2 3" xfId="48720" xr:uid="{00000000-0005-0000-0000-000078950000}"/>
    <cellStyle name="Comma 3 6 5 2 2 2 2 4" xfId="27890" xr:uid="{00000000-0005-0000-0000-000079950000}"/>
    <cellStyle name="Comma 3 6 5 2 2 2 3" xfId="7059" xr:uid="{00000000-0005-0000-0000-00007A950000}"/>
    <cellStyle name="Comma 3 6 5 2 2 2 3 2" xfId="30338" xr:uid="{00000000-0005-0000-0000-00007B950000}"/>
    <cellStyle name="Comma 3 6 5 2 2 2 4" xfId="9507" xr:uid="{00000000-0005-0000-0000-00007C950000}"/>
    <cellStyle name="Comma 3 6 5 2 2 2 4 2" xfId="32786" xr:uid="{00000000-0005-0000-0000-00007D950000}"/>
    <cellStyle name="Comma 3 6 5 2 2 2 5" xfId="11955" xr:uid="{00000000-0005-0000-0000-00007E950000}"/>
    <cellStyle name="Comma 3 6 5 2 2 2 5 2" xfId="35234" xr:uid="{00000000-0005-0000-0000-00007F950000}"/>
    <cellStyle name="Comma 3 6 5 2 2 2 6" xfId="14403" xr:uid="{00000000-0005-0000-0000-000080950000}"/>
    <cellStyle name="Comma 3 6 5 2 2 2 6 2" xfId="37682" xr:uid="{00000000-0005-0000-0000-000081950000}"/>
    <cellStyle name="Comma 3 6 5 2 2 2 7" xfId="18098" xr:uid="{00000000-0005-0000-0000-000082950000}"/>
    <cellStyle name="Comma 3 6 5 2 2 2 7 2" xfId="41376" xr:uid="{00000000-0005-0000-0000-000083950000}"/>
    <cellStyle name="Comma 3 6 5 2 2 2 8" xfId="25442" xr:uid="{00000000-0005-0000-0000-000084950000}"/>
    <cellStyle name="Comma 3 6 5 2 2 2 9" xfId="46272" xr:uid="{00000000-0005-0000-0000-000085950000}"/>
    <cellStyle name="Comma 3 6 5 2 2 3" xfId="3387" xr:uid="{00000000-0005-0000-0000-000086950000}"/>
    <cellStyle name="Comma 3 6 5 2 2 3 2" xfId="16874" xr:uid="{00000000-0005-0000-0000-000087950000}"/>
    <cellStyle name="Comma 3 6 5 2 2 3 2 2" xfId="40152" xr:uid="{00000000-0005-0000-0000-000088950000}"/>
    <cellStyle name="Comma 3 6 5 2 2 3 3" xfId="47496" xr:uid="{00000000-0005-0000-0000-000089950000}"/>
    <cellStyle name="Comma 3 6 5 2 2 3 4" xfId="26666" xr:uid="{00000000-0005-0000-0000-00008A950000}"/>
    <cellStyle name="Comma 3 6 5 2 2 4" xfId="5835" xr:uid="{00000000-0005-0000-0000-00008B950000}"/>
    <cellStyle name="Comma 3 6 5 2 2 4 2" xfId="19322" xr:uid="{00000000-0005-0000-0000-00008C950000}"/>
    <cellStyle name="Comma 3 6 5 2 2 4 2 2" xfId="42600" xr:uid="{00000000-0005-0000-0000-00008D950000}"/>
    <cellStyle name="Comma 3 6 5 2 2 4 3" xfId="29114" xr:uid="{00000000-0005-0000-0000-00008E950000}"/>
    <cellStyle name="Comma 3 6 5 2 2 5" xfId="8283" xr:uid="{00000000-0005-0000-0000-00008F950000}"/>
    <cellStyle name="Comma 3 6 5 2 2 5 2" xfId="31562" xr:uid="{00000000-0005-0000-0000-000090950000}"/>
    <cellStyle name="Comma 3 6 5 2 2 6" xfId="10731" xr:uid="{00000000-0005-0000-0000-000091950000}"/>
    <cellStyle name="Comma 3 6 5 2 2 6 2" xfId="34010" xr:uid="{00000000-0005-0000-0000-000092950000}"/>
    <cellStyle name="Comma 3 6 5 2 2 7" xfId="13179" xr:uid="{00000000-0005-0000-0000-000093950000}"/>
    <cellStyle name="Comma 3 6 5 2 2 7 2" xfId="36458" xr:uid="{00000000-0005-0000-0000-000094950000}"/>
    <cellStyle name="Comma 3 6 5 2 2 8" xfId="15650" xr:uid="{00000000-0005-0000-0000-000095950000}"/>
    <cellStyle name="Comma 3 6 5 2 2 8 2" xfId="38928" xr:uid="{00000000-0005-0000-0000-000096950000}"/>
    <cellStyle name="Comma 3 6 5 2 2 9" xfId="24218" xr:uid="{00000000-0005-0000-0000-000097950000}"/>
    <cellStyle name="Comma 3 6 5 2 3" xfId="1551" xr:uid="{00000000-0005-0000-0000-000098950000}"/>
    <cellStyle name="Comma 3 6 5 2 3 10" xfId="22382" xr:uid="{00000000-0005-0000-0000-000099950000}"/>
    <cellStyle name="Comma 3 6 5 2 3 2" xfId="3999" xr:uid="{00000000-0005-0000-0000-00009A950000}"/>
    <cellStyle name="Comma 3 6 5 2 3 2 2" xfId="19934" xr:uid="{00000000-0005-0000-0000-00009B950000}"/>
    <cellStyle name="Comma 3 6 5 2 3 2 2 2" xfId="43212" xr:uid="{00000000-0005-0000-0000-00009C950000}"/>
    <cellStyle name="Comma 3 6 5 2 3 2 3" xfId="48108" xr:uid="{00000000-0005-0000-0000-00009D950000}"/>
    <cellStyle name="Comma 3 6 5 2 3 2 4" xfId="27278" xr:uid="{00000000-0005-0000-0000-00009E950000}"/>
    <cellStyle name="Comma 3 6 5 2 3 3" xfId="6447" xr:uid="{00000000-0005-0000-0000-00009F950000}"/>
    <cellStyle name="Comma 3 6 5 2 3 3 2" xfId="29726" xr:uid="{00000000-0005-0000-0000-0000A0950000}"/>
    <cellStyle name="Comma 3 6 5 2 3 4" xfId="8895" xr:uid="{00000000-0005-0000-0000-0000A1950000}"/>
    <cellStyle name="Comma 3 6 5 2 3 4 2" xfId="32174" xr:uid="{00000000-0005-0000-0000-0000A2950000}"/>
    <cellStyle name="Comma 3 6 5 2 3 5" xfId="11343" xr:uid="{00000000-0005-0000-0000-0000A3950000}"/>
    <cellStyle name="Comma 3 6 5 2 3 5 2" xfId="34622" xr:uid="{00000000-0005-0000-0000-0000A4950000}"/>
    <cellStyle name="Comma 3 6 5 2 3 6" xfId="13791" xr:uid="{00000000-0005-0000-0000-0000A5950000}"/>
    <cellStyle name="Comma 3 6 5 2 3 6 2" xfId="37070" xr:uid="{00000000-0005-0000-0000-0000A6950000}"/>
    <cellStyle name="Comma 3 6 5 2 3 7" xfId="17486" xr:uid="{00000000-0005-0000-0000-0000A7950000}"/>
    <cellStyle name="Comma 3 6 5 2 3 7 2" xfId="40764" xr:uid="{00000000-0005-0000-0000-0000A8950000}"/>
    <cellStyle name="Comma 3 6 5 2 3 8" xfId="24830" xr:uid="{00000000-0005-0000-0000-0000A9950000}"/>
    <cellStyle name="Comma 3 6 5 2 3 9" xfId="45660" xr:uid="{00000000-0005-0000-0000-0000AA950000}"/>
    <cellStyle name="Comma 3 6 5 2 4" xfId="2775" xr:uid="{00000000-0005-0000-0000-0000AB950000}"/>
    <cellStyle name="Comma 3 6 5 2 4 2" xfId="16262" xr:uid="{00000000-0005-0000-0000-0000AC950000}"/>
    <cellStyle name="Comma 3 6 5 2 4 2 2" xfId="39540" xr:uid="{00000000-0005-0000-0000-0000AD950000}"/>
    <cellStyle name="Comma 3 6 5 2 4 3" xfId="46884" xr:uid="{00000000-0005-0000-0000-0000AE950000}"/>
    <cellStyle name="Comma 3 6 5 2 4 4" xfId="26054" xr:uid="{00000000-0005-0000-0000-0000AF950000}"/>
    <cellStyle name="Comma 3 6 5 2 5" xfId="5223" xr:uid="{00000000-0005-0000-0000-0000B0950000}"/>
    <cellStyle name="Comma 3 6 5 2 5 2" xfId="18710" xr:uid="{00000000-0005-0000-0000-0000B1950000}"/>
    <cellStyle name="Comma 3 6 5 2 5 2 2" xfId="41988" xr:uid="{00000000-0005-0000-0000-0000B2950000}"/>
    <cellStyle name="Comma 3 6 5 2 5 3" xfId="28502" xr:uid="{00000000-0005-0000-0000-0000B3950000}"/>
    <cellStyle name="Comma 3 6 5 2 6" xfId="7671" xr:uid="{00000000-0005-0000-0000-0000B4950000}"/>
    <cellStyle name="Comma 3 6 5 2 6 2" xfId="30950" xr:uid="{00000000-0005-0000-0000-0000B5950000}"/>
    <cellStyle name="Comma 3 6 5 2 7" xfId="10119" xr:uid="{00000000-0005-0000-0000-0000B6950000}"/>
    <cellStyle name="Comma 3 6 5 2 7 2" xfId="33398" xr:uid="{00000000-0005-0000-0000-0000B7950000}"/>
    <cellStyle name="Comma 3 6 5 2 8" xfId="12567" xr:uid="{00000000-0005-0000-0000-0000B8950000}"/>
    <cellStyle name="Comma 3 6 5 2 8 2" xfId="35846" xr:uid="{00000000-0005-0000-0000-0000B9950000}"/>
    <cellStyle name="Comma 3 6 5 2 9" xfId="15038" xr:uid="{00000000-0005-0000-0000-0000BA950000}"/>
    <cellStyle name="Comma 3 6 5 2 9 2" xfId="38316" xr:uid="{00000000-0005-0000-0000-0000BB950000}"/>
    <cellStyle name="Comma 3 6 5 3" xfId="531" xr:uid="{00000000-0005-0000-0000-0000BC950000}"/>
    <cellStyle name="Comma 3 6 5 3 10" xfId="23810" xr:uid="{00000000-0005-0000-0000-0000BD950000}"/>
    <cellStyle name="Comma 3 6 5 3 11" xfId="44640" xr:uid="{00000000-0005-0000-0000-0000BE950000}"/>
    <cellStyle name="Comma 3 6 5 3 12" xfId="21362" xr:uid="{00000000-0005-0000-0000-0000BF950000}"/>
    <cellStyle name="Comma 3 6 5 3 2" xfId="1143" xr:uid="{00000000-0005-0000-0000-0000C0950000}"/>
    <cellStyle name="Comma 3 6 5 3 2 10" xfId="45252" xr:uid="{00000000-0005-0000-0000-0000C1950000}"/>
    <cellStyle name="Comma 3 6 5 3 2 11" xfId="21974" xr:uid="{00000000-0005-0000-0000-0000C2950000}"/>
    <cellStyle name="Comma 3 6 5 3 2 2" xfId="2367" xr:uid="{00000000-0005-0000-0000-0000C3950000}"/>
    <cellStyle name="Comma 3 6 5 3 2 2 10" xfId="23198" xr:uid="{00000000-0005-0000-0000-0000C4950000}"/>
    <cellStyle name="Comma 3 6 5 3 2 2 2" xfId="4815" xr:uid="{00000000-0005-0000-0000-0000C5950000}"/>
    <cellStyle name="Comma 3 6 5 3 2 2 2 2" xfId="20750" xr:uid="{00000000-0005-0000-0000-0000C6950000}"/>
    <cellStyle name="Comma 3 6 5 3 2 2 2 2 2" xfId="44028" xr:uid="{00000000-0005-0000-0000-0000C7950000}"/>
    <cellStyle name="Comma 3 6 5 3 2 2 2 3" xfId="48924" xr:uid="{00000000-0005-0000-0000-0000C8950000}"/>
    <cellStyle name="Comma 3 6 5 3 2 2 2 4" xfId="28094" xr:uid="{00000000-0005-0000-0000-0000C9950000}"/>
    <cellStyle name="Comma 3 6 5 3 2 2 3" xfId="7263" xr:uid="{00000000-0005-0000-0000-0000CA950000}"/>
    <cellStyle name="Comma 3 6 5 3 2 2 3 2" xfId="30542" xr:uid="{00000000-0005-0000-0000-0000CB950000}"/>
    <cellStyle name="Comma 3 6 5 3 2 2 4" xfId="9711" xr:uid="{00000000-0005-0000-0000-0000CC950000}"/>
    <cellStyle name="Comma 3 6 5 3 2 2 4 2" xfId="32990" xr:uid="{00000000-0005-0000-0000-0000CD950000}"/>
    <cellStyle name="Comma 3 6 5 3 2 2 5" xfId="12159" xr:uid="{00000000-0005-0000-0000-0000CE950000}"/>
    <cellStyle name="Comma 3 6 5 3 2 2 5 2" xfId="35438" xr:uid="{00000000-0005-0000-0000-0000CF950000}"/>
    <cellStyle name="Comma 3 6 5 3 2 2 6" xfId="14607" xr:uid="{00000000-0005-0000-0000-0000D0950000}"/>
    <cellStyle name="Comma 3 6 5 3 2 2 6 2" xfId="37886" xr:uid="{00000000-0005-0000-0000-0000D1950000}"/>
    <cellStyle name="Comma 3 6 5 3 2 2 7" xfId="18302" xr:uid="{00000000-0005-0000-0000-0000D2950000}"/>
    <cellStyle name="Comma 3 6 5 3 2 2 7 2" xfId="41580" xr:uid="{00000000-0005-0000-0000-0000D3950000}"/>
    <cellStyle name="Comma 3 6 5 3 2 2 8" xfId="25646" xr:uid="{00000000-0005-0000-0000-0000D4950000}"/>
    <cellStyle name="Comma 3 6 5 3 2 2 9" xfId="46476" xr:uid="{00000000-0005-0000-0000-0000D5950000}"/>
    <cellStyle name="Comma 3 6 5 3 2 3" xfId="3591" xr:uid="{00000000-0005-0000-0000-0000D6950000}"/>
    <cellStyle name="Comma 3 6 5 3 2 3 2" xfId="17078" xr:uid="{00000000-0005-0000-0000-0000D7950000}"/>
    <cellStyle name="Comma 3 6 5 3 2 3 2 2" xfId="40356" xr:uid="{00000000-0005-0000-0000-0000D8950000}"/>
    <cellStyle name="Comma 3 6 5 3 2 3 3" xfId="47700" xr:uid="{00000000-0005-0000-0000-0000D9950000}"/>
    <cellStyle name="Comma 3 6 5 3 2 3 4" xfId="26870" xr:uid="{00000000-0005-0000-0000-0000DA950000}"/>
    <cellStyle name="Comma 3 6 5 3 2 4" xfId="6039" xr:uid="{00000000-0005-0000-0000-0000DB950000}"/>
    <cellStyle name="Comma 3 6 5 3 2 4 2" xfId="19526" xr:uid="{00000000-0005-0000-0000-0000DC950000}"/>
    <cellStyle name="Comma 3 6 5 3 2 4 2 2" xfId="42804" xr:uid="{00000000-0005-0000-0000-0000DD950000}"/>
    <cellStyle name="Comma 3 6 5 3 2 4 3" xfId="29318" xr:uid="{00000000-0005-0000-0000-0000DE950000}"/>
    <cellStyle name="Comma 3 6 5 3 2 5" xfId="8487" xr:uid="{00000000-0005-0000-0000-0000DF950000}"/>
    <cellStyle name="Comma 3 6 5 3 2 5 2" xfId="31766" xr:uid="{00000000-0005-0000-0000-0000E0950000}"/>
    <cellStyle name="Comma 3 6 5 3 2 6" xfId="10935" xr:uid="{00000000-0005-0000-0000-0000E1950000}"/>
    <cellStyle name="Comma 3 6 5 3 2 6 2" xfId="34214" xr:uid="{00000000-0005-0000-0000-0000E2950000}"/>
    <cellStyle name="Comma 3 6 5 3 2 7" xfId="13383" xr:uid="{00000000-0005-0000-0000-0000E3950000}"/>
    <cellStyle name="Comma 3 6 5 3 2 7 2" xfId="36662" xr:uid="{00000000-0005-0000-0000-0000E4950000}"/>
    <cellStyle name="Comma 3 6 5 3 2 8" xfId="15854" xr:uid="{00000000-0005-0000-0000-0000E5950000}"/>
    <cellStyle name="Comma 3 6 5 3 2 8 2" xfId="39132" xr:uid="{00000000-0005-0000-0000-0000E6950000}"/>
    <cellStyle name="Comma 3 6 5 3 2 9" xfId="24422" xr:uid="{00000000-0005-0000-0000-0000E7950000}"/>
    <cellStyle name="Comma 3 6 5 3 3" xfId="1755" xr:uid="{00000000-0005-0000-0000-0000E8950000}"/>
    <cellStyle name="Comma 3 6 5 3 3 10" xfId="22586" xr:uid="{00000000-0005-0000-0000-0000E9950000}"/>
    <cellStyle name="Comma 3 6 5 3 3 2" xfId="4203" xr:uid="{00000000-0005-0000-0000-0000EA950000}"/>
    <cellStyle name="Comma 3 6 5 3 3 2 2" xfId="20138" xr:uid="{00000000-0005-0000-0000-0000EB950000}"/>
    <cellStyle name="Comma 3 6 5 3 3 2 2 2" xfId="43416" xr:uid="{00000000-0005-0000-0000-0000EC950000}"/>
    <cellStyle name="Comma 3 6 5 3 3 2 3" xfId="48312" xr:uid="{00000000-0005-0000-0000-0000ED950000}"/>
    <cellStyle name="Comma 3 6 5 3 3 2 4" xfId="27482" xr:uid="{00000000-0005-0000-0000-0000EE950000}"/>
    <cellStyle name="Comma 3 6 5 3 3 3" xfId="6651" xr:uid="{00000000-0005-0000-0000-0000EF950000}"/>
    <cellStyle name="Comma 3 6 5 3 3 3 2" xfId="29930" xr:uid="{00000000-0005-0000-0000-0000F0950000}"/>
    <cellStyle name="Comma 3 6 5 3 3 4" xfId="9099" xr:uid="{00000000-0005-0000-0000-0000F1950000}"/>
    <cellStyle name="Comma 3 6 5 3 3 4 2" xfId="32378" xr:uid="{00000000-0005-0000-0000-0000F2950000}"/>
    <cellStyle name="Comma 3 6 5 3 3 5" xfId="11547" xr:uid="{00000000-0005-0000-0000-0000F3950000}"/>
    <cellStyle name="Comma 3 6 5 3 3 5 2" xfId="34826" xr:uid="{00000000-0005-0000-0000-0000F4950000}"/>
    <cellStyle name="Comma 3 6 5 3 3 6" xfId="13995" xr:uid="{00000000-0005-0000-0000-0000F5950000}"/>
    <cellStyle name="Comma 3 6 5 3 3 6 2" xfId="37274" xr:uid="{00000000-0005-0000-0000-0000F6950000}"/>
    <cellStyle name="Comma 3 6 5 3 3 7" xfId="17690" xr:uid="{00000000-0005-0000-0000-0000F7950000}"/>
    <cellStyle name="Comma 3 6 5 3 3 7 2" xfId="40968" xr:uid="{00000000-0005-0000-0000-0000F8950000}"/>
    <cellStyle name="Comma 3 6 5 3 3 8" xfId="25034" xr:uid="{00000000-0005-0000-0000-0000F9950000}"/>
    <cellStyle name="Comma 3 6 5 3 3 9" xfId="45864" xr:uid="{00000000-0005-0000-0000-0000FA950000}"/>
    <cellStyle name="Comma 3 6 5 3 4" xfId="2979" xr:uid="{00000000-0005-0000-0000-0000FB950000}"/>
    <cellStyle name="Comma 3 6 5 3 4 2" xfId="16466" xr:uid="{00000000-0005-0000-0000-0000FC950000}"/>
    <cellStyle name="Comma 3 6 5 3 4 2 2" xfId="39744" xr:uid="{00000000-0005-0000-0000-0000FD950000}"/>
    <cellStyle name="Comma 3 6 5 3 4 3" xfId="47088" xr:uid="{00000000-0005-0000-0000-0000FE950000}"/>
    <cellStyle name="Comma 3 6 5 3 4 4" xfId="26258" xr:uid="{00000000-0005-0000-0000-0000FF950000}"/>
    <cellStyle name="Comma 3 6 5 3 5" xfId="5427" xr:uid="{00000000-0005-0000-0000-000000960000}"/>
    <cellStyle name="Comma 3 6 5 3 5 2" xfId="18914" xr:uid="{00000000-0005-0000-0000-000001960000}"/>
    <cellStyle name="Comma 3 6 5 3 5 2 2" xfId="42192" xr:uid="{00000000-0005-0000-0000-000002960000}"/>
    <cellStyle name="Comma 3 6 5 3 5 3" xfId="28706" xr:uid="{00000000-0005-0000-0000-000003960000}"/>
    <cellStyle name="Comma 3 6 5 3 6" xfId="7875" xr:uid="{00000000-0005-0000-0000-000004960000}"/>
    <cellStyle name="Comma 3 6 5 3 6 2" xfId="31154" xr:uid="{00000000-0005-0000-0000-000005960000}"/>
    <cellStyle name="Comma 3 6 5 3 7" xfId="10323" xr:uid="{00000000-0005-0000-0000-000006960000}"/>
    <cellStyle name="Comma 3 6 5 3 7 2" xfId="33602" xr:uid="{00000000-0005-0000-0000-000007960000}"/>
    <cellStyle name="Comma 3 6 5 3 8" xfId="12771" xr:uid="{00000000-0005-0000-0000-000008960000}"/>
    <cellStyle name="Comma 3 6 5 3 8 2" xfId="36050" xr:uid="{00000000-0005-0000-0000-000009960000}"/>
    <cellStyle name="Comma 3 6 5 3 9" xfId="15242" xr:uid="{00000000-0005-0000-0000-00000A960000}"/>
    <cellStyle name="Comma 3 6 5 3 9 2" xfId="38520" xr:uid="{00000000-0005-0000-0000-00000B960000}"/>
    <cellStyle name="Comma 3 6 5 4" xfId="735" xr:uid="{00000000-0005-0000-0000-00000C960000}"/>
    <cellStyle name="Comma 3 6 5 4 10" xfId="44844" xr:uid="{00000000-0005-0000-0000-00000D960000}"/>
    <cellStyle name="Comma 3 6 5 4 11" xfId="21566" xr:uid="{00000000-0005-0000-0000-00000E960000}"/>
    <cellStyle name="Comma 3 6 5 4 2" xfId="1959" xr:uid="{00000000-0005-0000-0000-00000F960000}"/>
    <cellStyle name="Comma 3 6 5 4 2 10" xfId="22790" xr:uid="{00000000-0005-0000-0000-000010960000}"/>
    <cellStyle name="Comma 3 6 5 4 2 2" xfId="4407" xr:uid="{00000000-0005-0000-0000-000011960000}"/>
    <cellStyle name="Comma 3 6 5 4 2 2 2" xfId="20342" xr:uid="{00000000-0005-0000-0000-000012960000}"/>
    <cellStyle name="Comma 3 6 5 4 2 2 2 2" xfId="43620" xr:uid="{00000000-0005-0000-0000-000013960000}"/>
    <cellStyle name="Comma 3 6 5 4 2 2 3" xfId="48516" xr:uid="{00000000-0005-0000-0000-000014960000}"/>
    <cellStyle name="Comma 3 6 5 4 2 2 4" xfId="27686" xr:uid="{00000000-0005-0000-0000-000015960000}"/>
    <cellStyle name="Comma 3 6 5 4 2 3" xfId="6855" xr:uid="{00000000-0005-0000-0000-000016960000}"/>
    <cellStyle name="Comma 3 6 5 4 2 3 2" xfId="30134" xr:uid="{00000000-0005-0000-0000-000017960000}"/>
    <cellStyle name="Comma 3 6 5 4 2 4" xfId="9303" xr:uid="{00000000-0005-0000-0000-000018960000}"/>
    <cellStyle name="Comma 3 6 5 4 2 4 2" xfId="32582" xr:uid="{00000000-0005-0000-0000-000019960000}"/>
    <cellStyle name="Comma 3 6 5 4 2 5" xfId="11751" xr:uid="{00000000-0005-0000-0000-00001A960000}"/>
    <cellStyle name="Comma 3 6 5 4 2 5 2" xfId="35030" xr:uid="{00000000-0005-0000-0000-00001B960000}"/>
    <cellStyle name="Comma 3 6 5 4 2 6" xfId="14199" xr:uid="{00000000-0005-0000-0000-00001C960000}"/>
    <cellStyle name="Comma 3 6 5 4 2 6 2" xfId="37478" xr:uid="{00000000-0005-0000-0000-00001D960000}"/>
    <cellStyle name="Comma 3 6 5 4 2 7" xfId="17894" xr:uid="{00000000-0005-0000-0000-00001E960000}"/>
    <cellStyle name="Comma 3 6 5 4 2 7 2" xfId="41172" xr:uid="{00000000-0005-0000-0000-00001F960000}"/>
    <cellStyle name="Comma 3 6 5 4 2 8" xfId="25238" xr:uid="{00000000-0005-0000-0000-000020960000}"/>
    <cellStyle name="Comma 3 6 5 4 2 9" xfId="46068" xr:uid="{00000000-0005-0000-0000-000021960000}"/>
    <cellStyle name="Comma 3 6 5 4 3" xfId="3183" xr:uid="{00000000-0005-0000-0000-000022960000}"/>
    <cellStyle name="Comma 3 6 5 4 3 2" xfId="16670" xr:uid="{00000000-0005-0000-0000-000023960000}"/>
    <cellStyle name="Comma 3 6 5 4 3 2 2" xfId="39948" xr:uid="{00000000-0005-0000-0000-000024960000}"/>
    <cellStyle name="Comma 3 6 5 4 3 3" xfId="47292" xr:uid="{00000000-0005-0000-0000-000025960000}"/>
    <cellStyle name="Comma 3 6 5 4 3 4" xfId="26462" xr:uid="{00000000-0005-0000-0000-000026960000}"/>
    <cellStyle name="Comma 3 6 5 4 4" xfId="5631" xr:uid="{00000000-0005-0000-0000-000027960000}"/>
    <cellStyle name="Comma 3 6 5 4 4 2" xfId="19118" xr:uid="{00000000-0005-0000-0000-000028960000}"/>
    <cellStyle name="Comma 3 6 5 4 4 2 2" xfId="42396" xr:uid="{00000000-0005-0000-0000-000029960000}"/>
    <cellStyle name="Comma 3 6 5 4 4 3" xfId="28910" xr:uid="{00000000-0005-0000-0000-00002A960000}"/>
    <cellStyle name="Comma 3 6 5 4 5" xfId="8079" xr:uid="{00000000-0005-0000-0000-00002B960000}"/>
    <cellStyle name="Comma 3 6 5 4 5 2" xfId="31358" xr:uid="{00000000-0005-0000-0000-00002C960000}"/>
    <cellStyle name="Comma 3 6 5 4 6" xfId="10527" xr:uid="{00000000-0005-0000-0000-00002D960000}"/>
    <cellStyle name="Comma 3 6 5 4 6 2" xfId="33806" xr:uid="{00000000-0005-0000-0000-00002E960000}"/>
    <cellStyle name="Comma 3 6 5 4 7" xfId="12975" xr:uid="{00000000-0005-0000-0000-00002F960000}"/>
    <cellStyle name="Comma 3 6 5 4 7 2" xfId="36254" xr:uid="{00000000-0005-0000-0000-000030960000}"/>
    <cellStyle name="Comma 3 6 5 4 8" xfId="15446" xr:uid="{00000000-0005-0000-0000-000031960000}"/>
    <cellStyle name="Comma 3 6 5 4 8 2" xfId="38724" xr:uid="{00000000-0005-0000-0000-000032960000}"/>
    <cellStyle name="Comma 3 6 5 4 9" xfId="24014" xr:uid="{00000000-0005-0000-0000-000033960000}"/>
    <cellStyle name="Comma 3 6 5 5" xfId="1347" xr:uid="{00000000-0005-0000-0000-000034960000}"/>
    <cellStyle name="Comma 3 6 5 5 10" xfId="22178" xr:uid="{00000000-0005-0000-0000-000035960000}"/>
    <cellStyle name="Comma 3 6 5 5 2" xfId="3795" xr:uid="{00000000-0005-0000-0000-000036960000}"/>
    <cellStyle name="Comma 3 6 5 5 2 2" xfId="19730" xr:uid="{00000000-0005-0000-0000-000037960000}"/>
    <cellStyle name="Comma 3 6 5 5 2 2 2" xfId="43008" xr:uid="{00000000-0005-0000-0000-000038960000}"/>
    <cellStyle name="Comma 3 6 5 5 2 3" xfId="47904" xr:uid="{00000000-0005-0000-0000-000039960000}"/>
    <cellStyle name="Comma 3 6 5 5 2 4" xfId="27074" xr:uid="{00000000-0005-0000-0000-00003A960000}"/>
    <cellStyle name="Comma 3 6 5 5 3" xfId="6243" xr:uid="{00000000-0005-0000-0000-00003B960000}"/>
    <cellStyle name="Comma 3 6 5 5 3 2" xfId="29522" xr:uid="{00000000-0005-0000-0000-00003C960000}"/>
    <cellStyle name="Comma 3 6 5 5 4" xfId="8691" xr:uid="{00000000-0005-0000-0000-00003D960000}"/>
    <cellStyle name="Comma 3 6 5 5 4 2" xfId="31970" xr:uid="{00000000-0005-0000-0000-00003E960000}"/>
    <cellStyle name="Comma 3 6 5 5 5" xfId="11139" xr:uid="{00000000-0005-0000-0000-00003F960000}"/>
    <cellStyle name="Comma 3 6 5 5 5 2" xfId="34418" xr:uid="{00000000-0005-0000-0000-000040960000}"/>
    <cellStyle name="Comma 3 6 5 5 6" xfId="13587" xr:uid="{00000000-0005-0000-0000-000041960000}"/>
    <cellStyle name="Comma 3 6 5 5 6 2" xfId="36866" xr:uid="{00000000-0005-0000-0000-000042960000}"/>
    <cellStyle name="Comma 3 6 5 5 7" xfId="17282" xr:uid="{00000000-0005-0000-0000-000043960000}"/>
    <cellStyle name="Comma 3 6 5 5 7 2" xfId="40560" xr:uid="{00000000-0005-0000-0000-000044960000}"/>
    <cellStyle name="Comma 3 6 5 5 8" xfId="24626" xr:uid="{00000000-0005-0000-0000-000045960000}"/>
    <cellStyle name="Comma 3 6 5 5 9" xfId="45456" xr:uid="{00000000-0005-0000-0000-000046960000}"/>
    <cellStyle name="Comma 3 6 5 6" xfId="2571" xr:uid="{00000000-0005-0000-0000-000047960000}"/>
    <cellStyle name="Comma 3 6 5 6 2" xfId="16058" xr:uid="{00000000-0005-0000-0000-000048960000}"/>
    <cellStyle name="Comma 3 6 5 6 2 2" xfId="39336" xr:uid="{00000000-0005-0000-0000-000049960000}"/>
    <cellStyle name="Comma 3 6 5 6 3" xfId="46680" xr:uid="{00000000-0005-0000-0000-00004A960000}"/>
    <cellStyle name="Comma 3 6 5 6 4" xfId="25850" xr:uid="{00000000-0005-0000-0000-00004B960000}"/>
    <cellStyle name="Comma 3 6 5 7" xfId="5019" xr:uid="{00000000-0005-0000-0000-00004C960000}"/>
    <cellStyle name="Comma 3 6 5 7 2" xfId="18506" xr:uid="{00000000-0005-0000-0000-00004D960000}"/>
    <cellStyle name="Comma 3 6 5 7 2 2" xfId="41784" xr:uid="{00000000-0005-0000-0000-00004E960000}"/>
    <cellStyle name="Comma 3 6 5 7 3" xfId="28298" xr:uid="{00000000-0005-0000-0000-00004F960000}"/>
    <cellStyle name="Comma 3 6 5 8" xfId="7467" xr:uid="{00000000-0005-0000-0000-000050960000}"/>
    <cellStyle name="Comma 3 6 5 8 2" xfId="30746" xr:uid="{00000000-0005-0000-0000-000051960000}"/>
    <cellStyle name="Comma 3 6 5 9" xfId="9915" xr:uid="{00000000-0005-0000-0000-000052960000}"/>
    <cellStyle name="Comma 3 6 5 9 2" xfId="33194" xr:uid="{00000000-0005-0000-0000-000053960000}"/>
    <cellStyle name="Comma 3 6 6" xfId="191" xr:uid="{00000000-0005-0000-0000-000054960000}"/>
    <cellStyle name="Comma 3 6 6 10" xfId="12431" xr:uid="{00000000-0005-0000-0000-000055960000}"/>
    <cellStyle name="Comma 3 6 6 10 2" xfId="35710" xr:uid="{00000000-0005-0000-0000-000056960000}"/>
    <cellStyle name="Comma 3 6 6 11" xfId="14902" xr:uid="{00000000-0005-0000-0000-000057960000}"/>
    <cellStyle name="Comma 3 6 6 11 2" xfId="38180" xr:uid="{00000000-0005-0000-0000-000058960000}"/>
    <cellStyle name="Comma 3 6 6 12" xfId="23470" xr:uid="{00000000-0005-0000-0000-000059960000}"/>
    <cellStyle name="Comma 3 6 6 13" xfId="44300" xr:uid="{00000000-0005-0000-0000-00005A960000}"/>
    <cellStyle name="Comma 3 6 6 14" xfId="21022" xr:uid="{00000000-0005-0000-0000-00005B960000}"/>
    <cellStyle name="Comma 3 6 6 2" xfId="395" xr:uid="{00000000-0005-0000-0000-00005C960000}"/>
    <cellStyle name="Comma 3 6 6 2 10" xfId="23674" xr:uid="{00000000-0005-0000-0000-00005D960000}"/>
    <cellStyle name="Comma 3 6 6 2 11" xfId="44504" xr:uid="{00000000-0005-0000-0000-00005E960000}"/>
    <cellStyle name="Comma 3 6 6 2 12" xfId="21226" xr:uid="{00000000-0005-0000-0000-00005F960000}"/>
    <cellStyle name="Comma 3 6 6 2 2" xfId="1007" xr:uid="{00000000-0005-0000-0000-000060960000}"/>
    <cellStyle name="Comma 3 6 6 2 2 10" xfId="45116" xr:uid="{00000000-0005-0000-0000-000061960000}"/>
    <cellStyle name="Comma 3 6 6 2 2 11" xfId="21838" xr:uid="{00000000-0005-0000-0000-000062960000}"/>
    <cellStyle name="Comma 3 6 6 2 2 2" xfId="2231" xr:uid="{00000000-0005-0000-0000-000063960000}"/>
    <cellStyle name="Comma 3 6 6 2 2 2 10" xfId="23062" xr:uid="{00000000-0005-0000-0000-000064960000}"/>
    <cellStyle name="Comma 3 6 6 2 2 2 2" xfId="4679" xr:uid="{00000000-0005-0000-0000-000065960000}"/>
    <cellStyle name="Comma 3 6 6 2 2 2 2 2" xfId="20614" xr:uid="{00000000-0005-0000-0000-000066960000}"/>
    <cellStyle name="Comma 3 6 6 2 2 2 2 2 2" xfId="43892" xr:uid="{00000000-0005-0000-0000-000067960000}"/>
    <cellStyle name="Comma 3 6 6 2 2 2 2 3" xfId="48788" xr:uid="{00000000-0005-0000-0000-000068960000}"/>
    <cellStyle name="Comma 3 6 6 2 2 2 2 4" xfId="27958" xr:uid="{00000000-0005-0000-0000-000069960000}"/>
    <cellStyle name="Comma 3 6 6 2 2 2 3" xfId="7127" xr:uid="{00000000-0005-0000-0000-00006A960000}"/>
    <cellStyle name="Comma 3 6 6 2 2 2 3 2" xfId="30406" xr:uid="{00000000-0005-0000-0000-00006B960000}"/>
    <cellStyle name="Comma 3 6 6 2 2 2 4" xfId="9575" xr:uid="{00000000-0005-0000-0000-00006C960000}"/>
    <cellStyle name="Comma 3 6 6 2 2 2 4 2" xfId="32854" xr:uid="{00000000-0005-0000-0000-00006D960000}"/>
    <cellStyle name="Comma 3 6 6 2 2 2 5" xfId="12023" xr:uid="{00000000-0005-0000-0000-00006E960000}"/>
    <cellStyle name="Comma 3 6 6 2 2 2 5 2" xfId="35302" xr:uid="{00000000-0005-0000-0000-00006F960000}"/>
    <cellStyle name="Comma 3 6 6 2 2 2 6" xfId="14471" xr:uid="{00000000-0005-0000-0000-000070960000}"/>
    <cellStyle name="Comma 3 6 6 2 2 2 6 2" xfId="37750" xr:uid="{00000000-0005-0000-0000-000071960000}"/>
    <cellStyle name="Comma 3 6 6 2 2 2 7" xfId="18166" xr:uid="{00000000-0005-0000-0000-000072960000}"/>
    <cellStyle name="Comma 3 6 6 2 2 2 7 2" xfId="41444" xr:uid="{00000000-0005-0000-0000-000073960000}"/>
    <cellStyle name="Comma 3 6 6 2 2 2 8" xfId="25510" xr:uid="{00000000-0005-0000-0000-000074960000}"/>
    <cellStyle name="Comma 3 6 6 2 2 2 9" xfId="46340" xr:uid="{00000000-0005-0000-0000-000075960000}"/>
    <cellStyle name="Comma 3 6 6 2 2 3" xfId="3455" xr:uid="{00000000-0005-0000-0000-000076960000}"/>
    <cellStyle name="Comma 3 6 6 2 2 3 2" xfId="16942" xr:uid="{00000000-0005-0000-0000-000077960000}"/>
    <cellStyle name="Comma 3 6 6 2 2 3 2 2" xfId="40220" xr:uid="{00000000-0005-0000-0000-000078960000}"/>
    <cellStyle name="Comma 3 6 6 2 2 3 3" xfId="47564" xr:uid="{00000000-0005-0000-0000-000079960000}"/>
    <cellStyle name="Comma 3 6 6 2 2 3 4" xfId="26734" xr:uid="{00000000-0005-0000-0000-00007A960000}"/>
    <cellStyle name="Comma 3 6 6 2 2 4" xfId="5903" xr:uid="{00000000-0005-0000-0000-00007B960000}"/>
    <cellStyle name="Comma 3 6 6 2 2 4 2" xfId="19390" xr:uid="{00000000-0005-0000-0000-00007C960000}"/>
    <cellStyle name="Comma 3 6 6 2 2 4 2 2" xfId="42668" xr:uid="{00000000-0005-0000-0000-00007D960000}"/>
    <cellStyle name="Comma 3 6 6 2 2 4 3" xfId="29182" xr:uid="{00000000-0005-0000-0000-00007E960000}"/>
    <cellStyle name="Comma 3 6 6 2 2 5" xfId="8351" xr:uid="{00000000-0005-0000-0000-00007F960000}"/>
    <cellStyle name="Comma 3 6 6 2 2 5 2" xfId="31630" xr:uid="{00000000-0005-0000-0000-000080960000}"/>
    <cellStyle name="Comma 3 6 6 2 2 6" xfId="10799" xr:uid="{00000000-0005-0000-0000-000081960000}"/>
    <cellStyle name="Comma 3 6 6 2 2 6 2" xfId="34078" xr:uid="{00000000-0005-0000-0000-000082960000}"/>
    <cellStyle name="Comma 3 6 6 2 2 7" xfId="13247" xr:uid="{00000000-0005-0000-0000-000083960000}"/>
    <cellStyle name="Comma 3 6 6 2 2 7 2" xfId="36526" xr:uid="{00000000-0005-0000-0000-000084960000}"/>
    <cellStyle name="Comma 3 6 6 2 2 8" xfId="15718" xr:uid="{00000000-0005-0000-0000-000085960000}"/>
    <cellStyle name="Comma 3 6 6 2 2 8 2" xfId="38996" xr:uid="{00000000-0005-0000-0000-000086960000}"/>
    <cellStyle name="Comma 3 6 6 2 2 9" xfId="24286" xr:uid="{00000000-0005-0000-0000-000087960000}"/>
    <cellStyle name="Comma 3 6 6 2 3" xfId="1619" xr:uid="{00000000-0005-0000-0000-000088960000}"/>
    <cellStyle name="Comma 3 6 6 2 3 10" xfId="22450" xr:uid="{00000000-0005-0000-0000-000089960000}"/>
    <cellStyle name="Comma 3 6 6 2 3 2" xfId="4067" xr:uid="{00000000-0005-0000-0000-00008A960000}"/>
    <cellStyle name="Comma 3 6 6 2 3 2 2" xfId="20002" xr:uid="{00000000-0005-0000-0000-00008B960000}"/>
    <cellStyle name="Comma 3 6 6 2 3 2 2 2" xfId="43280" xr:uid="{00000000-0005-0000-0000-00008C960000}"/>
    <cellStyle name="Comma 3 6 6 2 3 2 3" xfId="48176" xr:uid="{00000000-0005-0000-0000-00008D960000}"/>
    <cellStyle name="Comma 3 6 6 2 3 2 4" xfId="27346" xr:uid="{00000000-0005-0000-0000-00008E960000}"/>
    <cellStyle name="Comma 3 6 6 2 3 3" xfId="6515" xr:uid="{00000000-0005-0000-0000-00008F960000}"/>
    <cellStyle name="Comma 3 6 6 2 3 3 2" xfId="29794" xr:uid="{00000000-0005-0000-0000-000090960000}"/>
    <cellStyle name="Comma 3 6 6 2 3 4" xfId="8963" xr:uid="{00000000-0005-0000-0000-000091960000}"/>
    <cellStyle name="Comma 3 6 6 2 3 4 2" xfId="32242" xr:uid="{00000000-0005-0000-0000-000092960000}"/>
    <cellStyle name="Comma 3 6 6 2 3 5" xfId="11411" xr:uid="{00000000-0005-0000-0000-000093960000}"/>
    <cellStyle name="Comma 3 6 6 2 3 5 2" xfId="34690" xr:uid="{00000000-0005-0000-0000-000094960000}"/>
    <cellStyle name="Comma 3 6 6 2 3 6" xfId="13859" xr:uid="{00000000-0005-0000-0000-000095960000}"/>
    <cellStyle name="Comma 3 6 6 2 3 6 2" xfId="37138" xr:uid="{00000000-0005-0000-0000-000096960000}"/>
    <cellStyle name="Comma 3 6 6 2 3 7" xfId="17554" xr:uid="{00000000-0005-0000-0000-000097960000}"/>
    <cellStyle name="Comma 3 6 6 2 3 7 2" xfId="40832" xr:uid="{00000000-0005-0000-0000-000098960000}"/>
    <cellStyle name="Comma 3 6 6 2 3 8" xfId="24898" xr:uid="{00000000-0005-0000-0000-000099960000}"/>
    <cellStyle name="Comma 3 6 6 2 3 9" xfId="45728" xr:uid="{00000000-0005-0000-0000-00009A960000}"/>
    <cellStyle name="Comma 3 6 6 2 4" xfId="2843" xr:uid="{00000000-0005-0000-0000-00009B960000}"/>
    <cellStyle name="Comma 3 6 6 2 4 2" xfId="16330" xr:uid="{00000000-0005-0000-0000-00009C960000}"/>
    <cellStyle name="Comma 3 6 6 2 4 2 2" xfId="39608" xr:uid="{00000000-0005-0000-0000-00009D960000}"/>
    <cellStyle name="Comma 3 6 6 2 4 3" xfId="46952" xr:uid="{00000000-0005-0000-0000-00009E960000}"/>
    <cellStyle name="Comma 3 6 6 2 4 4" xfId="26122" xr:uid="{00000000-0005-0000-0000-00009F960000}"/>
    <cellStyle name="Comma 3 6 6 2 5" xfId="5291" xr:uid="{00000000-0005-0000-0000-0000A0960000}"/>
    <cellStyle name="Comma 3 6 6 2 5 2" xfId="18778" xr:uid="{00000000-0005-0000-0000-0000A1960000}"/>
    <cellStyle name="Comma 3 6 6 2 5 2 2" xfId="42056" xr:uid="{00000000-0005-0000-0000-0000A2960000}"/>
    <cellStyle name="Comma 3 6 6 2 5 3" xfId="28570" xr:uid="{00000000-0005-0000-0000-0000A3960000}"/>
    <cellStyle name="Comma 3 6 6 2 6" xfId="7739" xr:uid="{00000000-0005-0000-0000-0000A4960000}"/>
    <cellStyle name="Comma 3 6 6 2 6 2" xfId="31018" xr:uid="{00000000-0005-0000-0000-0000A5960000}"/>
    <cellStyle name="Comma 3 6 6 2 7" xfId="10187" xr:uid="{00000000-0005-0000-0000-0000A6960000}"/>
    <cellStyle name="Comma 3 6 6 2 7 2" xfId="33466" xr:uid="{00000000-0005-0000-0000-0000A7960000}"/>
    <cellStyle name="Comma 3 6 6 2 8" xfId="12635" xr:uid="{00000000-0005-0000-0000-0000A8960000}"/>
    <cellStyle name="Comma 3 6 6 2 8 2" xfId="35914" xr:uid="{00000000-0005-0000-0000-0000A9960000}"/>
    <cellStyle name="Comma 3 6 6 2 9" xfId="15106" xr:uid="{00000000-0005-0000-0000-0000AA960000}"/>
    <cellStyle name="Comma 3 6 6 2 9 2" xfId="38384" xr:uid="{00000000-0005-0000-0000-0000AB960000}"/>
    <cellStyle name="Comma 3 6 6 3" xfId="599" xr:uid="{00000000-0005-0000-0000-0000AC960000}"/>
    <cellStyle name="Comma 3 6 6 3 10" xfId="23878" xr:uid="{00000000-0005-0000-0000-0000AD960000}"/>
    <cellStyle name="Comma 3 6 6 3 11" xfId="44708" xr:uid="{00000000-0005-0000-0000-0000AE960000}"/>
    <cellStyle name="Comma 3 6 6 3 12" xfId="21430" xr:uid="{00000000-0005-0000-0000-0000AF960000}"/>
    <cellStyle name="Comma 3 6 6 3 2" xfId="1211" xr:uid="{00000000-0005-0000-0000-0000B0960000}"/>
    <cellStyle name="Comma 3 6 6 3 2 10" xfId="45320" xr:uid="{00000000-0005-0000-0000-0000B1960000}"/>
    <cellStyle name="Comma 3 6 6 3 2 11" xfId="22042" xr:uid="{00000000-0005-0000-0000-0000B2960000}"/>
    <cellStyle name="Comma 3 6 6 3 2 2" xfId="2435" xr:uid="{00000000-0005-0000-0000-0000B3960000}"/>
    <cellStyle name="Comma 3 6 6 3 2 2 10" xfId="23266" xr:uid="{00000000-0005-0000-0000-0000B4960000}"/>
    <cellStyle name="Comma 3 6 6 3 2 2 2" xfId="4883" xr:uid="{00000000-0005-0000-0000-0000B5960000}"/>
    <cellStyle name="Comma 3 6 6 3 2 2 2 2" xfId="20818" xr:uid="{00000000-0005-0000-0000-0000B6960000}"/>
    <cellStyle name="Comma 3 6 6 3 2 2 2 2 2" xfId="44096" xr:uid="{00000000-0005-0000-0000-0000B7960000}"/>
    <cellStyle name="Comma 3 6 6 3 2 2 2 3" xfId="48992" xr:uid="{00000000-0005-0000-0000-0000B8960000}"/>
    <cellStyle name="Comma 3 6 6 3 2 2 2 4" xfId="28162" xr:uid="{00000000-0005-0000-0000-0000B9960000}"/>
    <cellStyle name="Comma 3 6 6 3 2 2 3" xfId="7331" xr:uid="{00000000-0005-0000-0000-0000BA960000}"/>
    <cellStyle name="Comma 3 6 6 3 2 2 3 2" xfId="30610" xr:uid="{00000000-0005-0000-0000-0000BB960000}"/>
    <cellStyle name="Comma 3 6 6 3 2 2 4" xfId="9779" xr:uid="{00000000-0005-0000-0000-0000BC960000}"/>
    <cellStyle name="Comma 3 6 6 3 2 2 4 2" xfId="33058" xr:uid="{00000000-0005-0000-0000-0000BD960000}"/>
    <cellStyle name="Comma 3 6 6 3 2 2 5" xfId="12227" xr:uid="{00000000-0005-0000-0000-0000BE960000}"/>
    <cellStyle name="Comma 3 6 6 3 2 2 5 2" xfId="35506" xr:uid="{00000000-0005-0000-0000-0000BF960000}"/>
    <cellStyle name="Comma 3 6 6 3 2 2 6" xfId="14675" xr:uid="{00000000-0005-0000-0000-0000C0960000}"/>
    <cellStyle name="Comma 3 6 6 3 2 2 6 2" xfId="37954" xr:uid="{00000000-0005-0000-0000-0000C1960000}"/>
    <cellStyle name="Comma 3 6 6 3 2 2 7" xfId="18370" xr:uid="{00000000-0005-0000-0000-0000C2960000}"/>
    <cellStyle name="Comma 3 6 6 3 2 2 7 2" xfId="41648" xr:uid="{00000000-0005-0000-0000-0000C3960000}"/>
    <cellStyle name="Comma 3 6 6 3 2 2 8" xfId="25714" xr:uid="{00000000-0005-0000-0000-0000C4960000}"/>
    <cellStyle name="Comma 3 6 6 3 2 2 9" xfId="46544" xr:uid="{00000000-0005-0000-0000-0000C5960000}"/>
    <cellStyle name="Comma 3 6 6 3 2 3" xfId="3659" xr:uid="{00000000-0005-0000-0000-0000C6960000}"/>
    <cellStyle name="Comma 3 6 6 3 2 3 2" xfId="17146" xr:uid="{00000000-0005-0000-0000-0000C7960000}"/>
    <cellStyle name="Comma 3 6 6 3 2 3 2 2" xfId="40424" xr:uid="{00000000-0005-0000-0000-0000C8960000}"/>
    <cellStyle name="Comma 3 6 6 3 2 3 3" xfId="47768" xr:uid="{00000000-0005-0000-0000-0000C9960000}"/>
    <cellStyle name="Comma 3 6 6 3 2 3 4" xfId="26938" xr:uid="{00000000-0005-0000-0000-0000CA960000}"/>
    <cellStyle name="Comma 3 6 6 3 2 4" xfId="6107" xr:uid="{00000000-0005-0000-0000-0000CB960000}"/>
    <cellStyle name="Comma 3 6 6 3 2 4 2" xfId="19594" xr:uid="{00000000-0005-0000-0000-0000CC960000}"/>
    <cellStyle name="Comma 3 6 6 3 2 4 2 2" xfId="42872" xr:uid="{00000000-0005-0000-0000-0000CD960000}"/>
    <cellStyle name="Comma 3 6 6 3 2 4 3" xfId="29386" xr:uid="{00000000-0005-0000-0000-0000CE960000}"/>
    <cellStyle name="Comma 3 6 6 3 2 5" xfId="8555" xr:uid="{00000000-0005-0000-0000-0000CF960000}"/>
    <cellStyle name="Comma 3 6 6 3 2 5 2" xfId="31834" xr:uid="{00000000-0005-0000-0000-0000D0960000}"/>
    <cellStyle name="Comma 3 6 6 3 2 6" xfId="11003" xr:uid="{00000000-0005-0000-0000-0000D1960000}"/>
    <cellStyle name="Comma 3 6 6 3 2 6 2" xfId="34282" xr:uid="{00000000-0005-0000-0000-0000D2960000}"/>
    <cellStyle name="Comma 3 6 6 3 2 7" xfId="13451" xr:uid="{00000000-0005-0000-0000-0000D3960000}"/>
    <cellStyle name="Comma 3 6 6 3 2 7 2" xfId="36730" xr:uid="{00000000-0005-0000-0000-0000D4960000}"/>
    <cellStyle name="Comma 3 6 6 3 2 8" xfId="15922" xr:uid="{00000000-0005-0000-0000-0000D5960000}"/>
    <cellStyle name="Comma 3 6 6 3 2 8 2" xfId="39200" xr:uid="{00000000-0005-0000-0000-0000D6960000}"/>
    <cellStyle name="Comma 3 6 6 3 2 9" xfId="24490" xr:uid="{00000000-0005-0000-0000-0000D7960000}"/>
    <cellStyle name="Comma 3 6 6 3 3" xfId="1823" xr:uid="{00000000-0005-0000-0000-0000D8960000}"/>
    <cellStyle name="Comma 3 6 6 3 3 10" xfId="22654" xr:uid="{00000000-0005-0000-0000-0000D9960000}"/>
    <cellStyle name="Comma 3 6 6 3 3 2" xfId="4271" xr:uid="{00000000-0005-0000-0000-0000DA960000}"/>
    <cellStyle name="Comma 3 6 6 3 3 2 2" xfId="20206" xr:uid="{00000000-0005-0000-0000-0000DB960000}"/>
    <cellStyle name="Comma 3 6 6 3 3 2 2 2" xfId="43484" xr:uid="{00000000-0005-0000-0000-0000DC960000}"/>
    <cellStyle name="Comma 3 6 6 3 3 2 3" xfId="48380" xr:uid="{00000000-0005-0000-0000-0000DD960000}"/>
    <cellStyle name="Comma 3 6 6 3 3 2 4" xfId="27550" xr:uid="{00000000-0005-0000-0000-0000DE960000}"/>
    <cellStyle name="Comma 3 6 6 3 3 3" xfId="6719" xr:uid="{00000000-0005-0000-0000-0000DF960000}"/>
    <cellStyle name="Comma 3 6 6 3 3 3 2" xfId="29998" xr:uid="{00000000-0005-0000-0000-0000E0960000}"/>
    <cellStyle name="Comma 3 6 6 3 3 4" xfId="9167" xr:uid="{00000000-0005-0000-0000-0000E1960000}"/>
    <cellStyle name="Comma 3 6 6 3 3 4 2" xfId="32446" xr:uid="{00000000-0005-0000-0000-0000E2960000}"/>
    <cellStyle name="Comma 3 6 6 3 3 5" xfId="11615" xr:uid="{00000000-0005-0000-0000-0000E3960000}"/>
    <cellStyle name="Comma 3 6 6 3 3 5 2" xfId="34894" xr:uid="{00000000-0005-0000-0000-0000E4960000}"/>
    <cellStyle name="Comma 3 6 6 3 3 6" xfId="14063" xr:uid="{00000000-0005-0000-0000-0000E5960000}"/>
    <cellStyle name="Comma 3 6 6 3 3 6 2" xfId="37342" xr:uid="{00000000-0005-0000-0000-0000E6960000}"/>
    <cellStyle name="Comma 3 6 6 3 3 7" xfId="17758" xr:uid="{00000000-0005-0000-0000-0000E7960000}"/>
    <cellStyle name="Comma 3 6 6 3 3 7 2" xfId="41036" xr:uid="{00000000-0005-0000-0000-0000E8960000}"/>
    <cellStyle name="Comma 3 6 6 3 3 8" xfId="25102" xr:uid="{00000000-0005-0000-0000-0000E9960000}"/>
    <cellStyle name="Comma 3 6 6 3 3 9" xfId="45932" xr:uid="{00000000-0005-0000-0000-0000EA960000}"/>
    <cellStyle name="Comma 3 6 6 3 4" xfId="3047" xr:uid="{00000000-0005-0000-0000-0000EB960000}"/>
    <cellStyle name="Comma 3 6 6 3 4 2" xfId="16534" xr:uid="{00000000-0005-0000-0000-0000EC960000}"/>
    <cellStyle name="Comma 3 6 6 3 4 2 2" xfId="39812" xr:uid="{00000000-0005-0000-0000-0000ED960000}"/>
    <cellStyle name="Comma 3 6 6 3 4 3" xfId="47156" xr:uid="{00000000-0005-0000-0000-0000EE960000}"/>
    <cellStyle name="Comma 3 6 6 3 4 4" xfId="26326" xr:uid="{00000000-0005-0000-0000-0000EF960000}"/>
    <cellStyle name="Comma 3 6 6 3 5" xfId="5495" xr:uid="{00000000-0005-0000-0000-0000F0960000}"/>
    <cellStyle name="Comma 3 6 6 3 5 2" xfId="18982" xr:uid="{00000000-0005-0000-0000-0000F1960000}"/>
    <cellStyle name="Comma 3 6 6 3 5 2 2" xfId="42260" xr:uid="{00000000-0005-0000-0000-0000F2960000}"/>
    <cellStyle name="Comma 3 6 6 3 5 3" xfId="28774" xr:uid="{00000000-0005-0000-0000-0000F3960000}"/>
    <cellStyle name="Comma 3 6 6 3 6" xfId="7943" xr:uid="{00000000-0005-0000-0000-0000F4960000}"/>
    <cellStyle name="Comma 3 6 6 3 6 2" xfId="31222" xr:uid="{00000000-0005-0000-0000-0000F5960000}"/>
    <cellStyle name="Comma 3 6 6 3 7" xfId="10391" xr:uid="{00000000-0005-0000-0000-0000F6960000}"/>
    <cellStyle name="Comma 3 6 6 3 7 2" xfId="33670" xr:uid="{00000000-0005-0000-0000-0000F7960000}"/>
    <cellStyle name="Comma 3 6 6 3 8" xfId="12839" xr:uid="{00000000-0005-0000-0000-0000F8960000}"/>
    <cellStyle name="Comma 3 6 6 3 8 2" xfId="36118" xr:uid="{00000000-0005-0000-0000-0000F9960000}"/>
    <cellStyle name="Comma 3 6 6 3 9" xfId="15310" xr:uid="{00000000-0005-0000-0000-0000FA960000}"/>
    <cellStyle name="Comma 3 6 6 3 9 2" xfId="38588" xr:uid="{00000000-0005-0000-0000-0000FB960000}"/>
    <cellStyle name="Comma 3 6 6 4" xfId="803" xr:uid="{00000000-0005-0000-0000-0000FC960000}"/>
    <cellStyle name="Comma 3 6 6 4 10" xfId="44912" xr:uid="{00000000-0005-0000-0000-0000FD960000}"/>
    <cellStyle name="Comma 3 6 6 4 11" xfId="21634" xr:uid="{00000000-0005-0000-0000-0000FE960000}"/>
    <cellStyle name="Comma 3 6 6 4 2" xfId="2027" xr:uid="{00000000-0005-0000-0000-0000FF960000}"/>
    <cellStyle name="Comma 3 6 6 4 2 10" xfId="22858" xr:uid="{00000000-0005-0000-0000-000000970000}"/>
    <cellStyle name="Comma 3 6 6 4 2 2" xfId="4475" xr:uid="{00000000-0005-0000-0000-000001970000}"/>
    <cellStyle name="Comma 3 6 6 4 2 2 2" xfId="20410" xr:uid="{00000000-0005-0000-0000-000002970000}"/>
    <cellStyle name="Comma 3 6 6 4 2 2 2 2" xfId="43688" xr:uid="{00000000-0005-0000-0000-000003970000}"/>
    <cellStyle name="Comma 3 6 6 4 2 2 3" xfId="48584" xr:uid="{00000000-0005-0000-0000-000004970000}"/>
    <cellStyle name="Comma 3 6 6 4 2 2 4" xfId="27754" xr:uid="{00000000-0005-0000-0000-000005970000}"/>
    <cellStyle name="Comma 3 6 6 4 2 3" xfId="6923" xr:uid="{00000000-0005-0000-0000-000006970000}"/>
    <cellStyle name="Comma 3 6 6 4 2 3 2" xfId="30202" xr:uid="{00000000-0005-0000-0000-000007970000}"/>
    <cellStyle name="Comma 3 6 6 4 2 4" xfId="9371" xr:uid="{00000000-0005-0000-0000-000008970000}"/>
    <cellStyle name="Comma 3 6 6 4 2 4 2" xfId="32650" xr:uid="{00000000-0005-0000-0000-000009970000}"/>
    <cellStyle name="Comma 3 6 6 4 2 5" xfId="11819" xr:uid="{00000000-0005-0000-0000-00000A970000}"/>
    <cellStyle name="Comma 3 6 6 4 2 5 2" xfId="35098" xr:uid="{00000000-0005-0000-0000-00000B970000}"/>
    <cellStyle name="Comma 3 6 6 4 2 6" xfId="14267" xr:uid="{00000000-0005-0000-0000-00000C970000}"/>
    <cellStyle name="Comma 3 6 6 4 2 6 2" xfId="37546" xr:uid="{00000000-0005-0000-0000-00000D970000}"/>
    <cellStyle name="Comma 3 6 6 4 2 7" xfId="17962" xr:uid="{00000000-0005-0000-0000-00000E970000}"/>
    <cellStyle name="Comma 3 6 6 4 2 7 2" xfId="41240" xr:uid="{00000000-0005-0000-0000-00000F970000}"/>
    <cellStyle name="Comma 3 6 6 4 2 8" xfId="25306" xr:uid="{00000000-0005-0000-0000-000010970000}"/>
    <cellStyle name="Comma 3 6 6 4 2 9" xfId="46136" xr:uid="{00000000-0005-0000-0000-000011970000}"/>
    <cellStyle name="Comma 3 6 6 4 3" xfId="3251" xr:uid="{00000000-0005-0000-0000-000012970000}"/>
    <cellStyle name="Comma 3 6 6 4 3 2" xfId="16738" xr:uid="{00000000-0005-0000-0000-000013970000}"/>
    <cellStyle name="Comma 3 6 6 4 3 2 2" xfId="40016" xr:uid="{00000000-0005-0000-0000-000014970000}"/>
    <cellStyle name="Comma 3 6 6 4 3 3" xfId="47360" xr:uid="{00000000-0005-0000-0000-000015970000}"/>
    <cellStyle name="Comma 3 6 6 4 3 4" xfId="26530" xr:uid="{00000000-0005-0000-0000-000016970000}"/>
    <cellStyle name="Comma 3 6 6 4 4" xfId="5699" xr:uid="{00000000-0005-0000-0000-000017970000}"/>
    <cellStyle name="Comma 3 6 6 4 4 2" xfId="19186" xr:uid="{00000000-0005-0000-0000-000018970000}"/>
    <cellStyle name="Comma 3 6 6 4 4 2 2" xfId="42464" xr:uid="{00000000-0005-0000-0000-000019970000}"/>
    <cellStyle name="Comma 3 6 6 4 4 3" xfId="28978" xr:uid="{00000000-0005-0000-0000-00001A970000}"/>
    <cellStyle name="Comma 3 6 6 4 5" xfId="8147" xr:uid="{00000000-0005-0000-0000-00001B970000}"/>
    <cellStyle name="Comma 3 6 6 4 5 2" xfId="31426" xr:uid="{00000000-0005-0000-0000-00001C970000}"/>
    <cellStyle name="Comma 3 6 6 4 6" xfId="10595" xr:uid="{00000000-0005-0000-0000-00001D970000}"/>
    <cellStyle name="Comma 3 6 6 4 6 2" xfId="33874" xr:uid="{00000000-0005-0000-0000-00001E970000}"/>
    <cellStyle name="Comma 3 6 6 4 7" xfId="13043" xr:uid="{00000000-0005-0000-0000-00001F970000}"/>
    <cellStyle name="Comma 3 6 6 4 7 2" xfId="36322" xr:uid="{00000000-0005-0000-0000-000020970000}"/>
    <cellStyle name="Comma 3 6 6 4 8" xfId="15514" xr:uid="{00000000-0005-0000-0000-000021970000}"/>
    <cellStyle name="Comma 3 6 6 4 8 2" xfId="38792" xr:uid="{00000000-0005-0000-0000-000022970000}"/>
    <cellStyle name="Comma 3 6 6 4 9" xfId="24082" xr:uid="{00000000-0005-0000-0000-000023970000}"/>
    <cellStyle name="Comma 3 6 6 5" xfId="1415" xr:uid="{00000000-0005-0000-0000-000024970000}"/>
    <cellStyle name="Comma 3 6 6 5 10" xfId="22246" xr:uid="{00000000-0005-0000-0000-000025970000}"/>
    <cellStyle name="Comma 3 6 6 5 2" xfId="3863" xr:uid="{00000000-0005-0000-0000-000026970000}"/>
    <cellStyle name="Comma 3 6 6 5 2 2" xfId="19798" xr:uid="{00000000-0005-0000-0000-000027970000}"/>
    <cellStyle name="Comma 3 6 6 5 2 2 2" xfId="43076" xr:uid="{00000000-0005-0000-0000-000028970000}"/>
    <cellStyle name="Comma 3 6 6 5 2 3" xfId="47972" xr:uid="{00000000-0005-0000-0000-000029970000}"/>
    <cellStyle name="Comma 3 6 6 5 2 4" xfId="27142" xr:uid="{00000000-0005-0000-0000-00002A970000}"/>
    <cellStyle name="Comma 3 6 6 5 3" xfId="6311" xr:uid="{00000000-0005-0000-0000-00002B970000}"/>
    <cellStyle name="Comma 3 6 6 5 3 2" xfId="29590" xr:uid="{00000000-0005-0000-0000-00002C970000}"/>
    <cellStyle name="Comma 3 6 6 5 4" xfId="8759" xr:uid="{00000000-0005-0000-0000-00002D970000}"/>
    <cellStyle name="Comma 3 6 6 5 4 2" xfId="32038" xr:uid="{00000000-0005-0000-0000-00002E970000}"/>
    <cellStyle name="Comma 3 6 6 5 5" xfId="11207" xr:uid="{00000000-0005-0000-0000-00002F970000}"/>
    <cellStyle name="Comma 3 6 6 5 5 2" xfId="34486" xr:uid="{00000000-0005-0000-0000-000030970000}"/>
    <cellStyle name="Comma 3 6 6 5 6" xfId="13655" xr:uid="{00000000-0005-0000-0000-000031970000}"/>
    <cellStyle name="Comma 3 6 6 5 6 2" xfId="36934" xr:uid="{00000000-0005-0000-0000-000032970000}"/>
    <cellStyle name="Comma 3 6 6 5 7" xfId="17350" xr:uid="{00000000-0005-0000-0000-000033970000}"/>
    <cellStyle name="Comma 3 6 6 5 7 2" xfId="40628" xr:uid="{00000000-0005-0000-0000-000034970000}"/>
    <cellStyle name="Comma 3 6 6 5 8" xfId="24694" xr:uid="{00000000-0005-0000-0000-000035970000}"/>
    <cellStyle name="Comma 3 6 6 5 9" xfId="45524" xr:uid="{00000000-0005-0000-0000-000036970000}"/>
    <cellStyle name="Comma 3 6 6 6" xfId="2639" xr:uid="{00000000-0005-0000-0000-000037970000}"/>
    <cellStyle name="Comma 3 6 6 6 2" xfId="16126" xr:uid="{00000000-0005-0000-0000-000038970000}"/>
    <cellStyle name="Comma 3 6 6 6 2 2" xfId="39404" xr:uid="{00000000-0005-0000-0000-000039970000}"/>
    <cellStyle name="Comma 3 6 6 6 3" xfId="46748" xr:uid="{00000000-0005-0000-0000-00003A970000}"/>
    <cellStyle name="Comma 3 6 6 6 4" xfId="25918" xr:uid="{00000000-0005-0000-0000-00003B970000}"/>
    <cellStyle name="Comma 3 6 6 7" xfId="5087" xr:uid="{00000000-0005-0000-0000-00003C970000}"/>
    <cellStyle name="Comma 3 6 6 7 2" xfId="18574" xr:uid="{00000000-0005-0000-0000-00003D970000}"/>
    <cellStyle name="Comma 3 6 6 7 2 2" xfId="41852" xr:uid="{00000000-0005-0000-0000-00003E970000}"/>
    <cellStyle name="Comma 3 6 6 7 3" xfId="28366" xr:uid="{00000000-0005-0000-0000-00003F970000}"/>
    <cellStyle name="Comma 3 6 6 8" xfId="7535" xr:uid="{00000000-0005-0000-0000-000040970000}"/>
    <cellStyle name="Comma 3 6 6 8 2" xfId="30814" xr:uid="{00000000-0005-0000-0000-000041970000}"/>
    <cellStyle name="Comma 3 6 6 9" xfId="9983" xr:uid="{00000000-0005-0000-0000-000042970000}"/>
    <cellStyle name="Comma 3 6 6 9 2" xfId="33262" xr:uid="{00000000-0005-0000-0000-000043970000}"/>
    <cellStyle name="Comma 3 6 7" xfId="259" xr:uid="{00000000-0005-0000-0000-000044970000}"/>
    <cellStyle name="Comma 3 6 7 10" xfId="23538" xr:uid="{00000000-0005-0000-0000-000045970000}"/>
    <cellStyle name="Comma 3 6 7 11" xfId="44368" xr:uid="{00000000-0005-0000-0000-000046970000}"/>
    <cellStyle name="Comma 3 6 7 12" xfId="21090" xr:uid="{00000000-0005-0000-0000-000047970000}"/>
    <cellStyle name="Comma 3 6 7 2" xfId="871" xr:uid="{00000000-0005-0000-0000-000048970000}"/>
    <cellStyle name="Comma 3 6 7 2 10" xfId="44980" xr:uid="{00000000-0005-0000-0000-000049970000}"/>
    <cellStyle name="Comma 3 6 7 2 11" xfId="21702" xr:uid="{00000000-0005-0000-0000-00004A970000}"/>
    <cellStyle name="Comma 3 6 7 2 2" xfId="2095" xr:uid="{00000000-0005-0000-0000-00004B970000}"/>
    <cellStyle name="Comma 3 6 7 2 2 10" xfId="22926" xr:uid="{00000000-0005-0000-0000-00004C970000}"/>
    <cellStyle name="Comma 3 6 7 2 2 2" xfId="4543" xr:uid="{00000000-0005-0000-0000-00004D970000}"/>
    <cellStyle name="Comma 3 6 7 2 2 2 2" xfId="20478" xr:uid="{00000000-0005-0000-0000-00004E970000}"/>
    <cellStyle name="Comma 3 6 7 2 2 2 2 2" xfId="43756" xr:uid="{00000000-0005-0000-0000-00004F970000}"/>
    <cellStyle name="Comma 3 6 7 2 2 2 3" xfId="48652" xr:uid="{00000000-0005-0000-0000-000050970000}"/>
    <cellStyle name="Comma 3 6 7 2 2 2 4" xfId="27822" xr:uid="{00000000-0005-0000-0000-000051970000}"/>
    <cellStyle name="Comma 3 6 7 2 2 3" xfId="6991" xr:uid="{00000000-0005-0000-0000-000052970000}"/>
    <cellStyle name="Comma 3 6 7 2 2 3 2" xfId="30270" xr:uid="{00000000-0005-0000-0000-000053970000}"/>
    <cellStyle name="Comma 3 6 7 2 2 4" xfId="9439" xr:uid="{00000000-0005-0000-0000-000054970000}"/>
    <cellStyle name="Comma 3 6 7 2 2 4 2" xfId="32718" xr:uid="{00000000-0005-0000-0000-000055970000}"/>
    <cellStyle name="Comma 3 6 7 2 2 5" xfId="11887" xr:uid="{00000000-0005-0000-0000-000056970000}"/>
    <cellStyle name="Comma 3 6 7 2 2 5 2" xfId="35166" xr:uid="{00000000-0005-0000-0000-000057970000}"/>
    <cellStyle name="Comma 3 6 7 2 2 6" xfId="14335" xr:uid="{00000000-0005-0000-0000-000058970000}"/>
    <cellStyle name="Comma 3 6 7 2 2 6 2" xfId="37614" xr:uid="{00000000-0005-0000-0000-000059970000}"/>
    <cellStyle name="Comma 3 6 7 2 2 7" xfId="18030" xr:uid="{00000000-0005-0000-0000-00005A970000}"/>
    <cellStyle name="Comma 3 6 7 2 2 7 2" xfId="41308" xr:uid="{00000000-0005-0000-0000-00005B970000}"/>
    <cellStyle name="Comma 3 6 7 2 2 8" xfId="25374" xr:uid="{00000000-0005-0000-0000-00005C970000}"/>
    <cellStyle name="Comma 3 6 7 2 2 9" xfId="46204" xr:uid="{00000000-0005-0000-0000-00005D970000}"/>
    <cellStyle name="Comma 3 6 7 2 3" xfId="3319" xr:uid="{00000000-0005-0000-0000-00005E970000}"/>
    <cellStyle name="Comma 3 6 7 2 3 2" xfId="16806" xr:uid="{00000000-0005-0000-0000-00005F970000}"/>
    <cellStyle name="Comma 3 6 7 2 3 2 2" xfId="40084" xr:uid="{00000000-0005-0000-0000-000060970000}"/>
    <cellStyle name="Comma 3 6 7 2 3 3" xfId="47428" xr:uid="{00000000-0005-0000-0000-000061970000}"/>
    <cellStyle name="Comma 3 6 7 2 3 4" xfId="26598" xr:uid="{00000000-0005-0000-0000-000062970000}"/>
    <cellStyle name="Comma 3 6 7 2 4" xfId="5767" xr:uid="{00000000-0005-0000-0000-000063970000}"/>
    <cellStyle name="Comma 3 6 7 2 4 2" xfId="19254" xr:uid="{00000000-0005-0000-0000-000064970000}"/>
    <cellStyle name="Comma 3 6 7 2 4 2 2" xfId="42532" xr:uid="{00000000-0005-0000-0000-000065970000}"/>
    <cellStyle name="Comma 3 6 7 2 4 3" xfId="29046" xr:uid="{00000000-0005-0000-0000-000066970000}"/>
    <cellStyle name="Comma 3 6 7 2 5" xfId="8215" xr:uid="{00000000-0005-0000-0000-000067970000}"/>
    <cellStyle name="Comma 3 6 7 2 5 2" xfId="31494" xr:uid="{00000000-0005-0000-0000-000068970000}"/>
    <cellStyle name="Comma 3 6 7 2 6" xfId="10663" xr:uid="{00000000-0005-0000-0000-000069970000}"/>
    <cellStyle name="Comma 3 6 7 2 6 2" xfId="33942" xr:uid="{00000000-0005-0000-0000-00006A970000}"/>
    <cellStyle name="Comma 3 6 7 2 7" xfId="13111" xr:uid="{00000000-0005-0000-0000-00006B970000}"/>
    <cellStyle name="Comma 3 6 7 2 7 2" xfId="36390" xr:uid="{00000000-0005-0000-0000-00006C970000}"/>
    <cellStyle name="Comma 3 6 7 2 8" xfId="15582" xr:uid="{00000000-0005-0000-0000-00006D970000}"/>
    <cellStyle name="Comma 3 6 7 2 8 2" xfId="38860" xr:uid="{00000000-0005-0000-0000-00006E970000}"/>
    <cellStyle name="Comma 3 6 7 2 9" xfId="24150" xr:uid="{00000000-0005-0000-0000-00006F970000}"/>
    <cellStyle name="Comma 3 6 7 3" xfId="1483" xr:uid="{00000000-0005-0000-0000-000070970000}"/>
    <cellStyle name="Comma 3 6 7 3 10" xfId="22314" xr:uid="{00000000-0005-0000-0000-000071970000}"/>
    <cellStyle name="Comma 3 6 7 3 2" xfId="3931" xr:uid="{00000000-0005-0000-0000-000072970000}"/>
    <cellStyle name="Comma 3 6 7 3 2 2" xfId="19866" xr:uid="{00000000-0005-0000-0000-000073970000}"/>
    <cellStyle name="Comma 3 6 7 3 2 2 2" xfId="43144" xr:uid="{00000000-0005-0000-0000-000074970000}"/>
    <cellStyle name="Comma 3 6 7 3 2 3" xfId="48040" xr:uid="{00000000-0005-0000-0000-000075970000}"/>
    <cellStyle name="Comma 3 6 7 3 2 4" xfId="27210" xr:uid="{00000000-0005-0000-0000-000076970000}"/>
    <cellStyle name="Comma 3 6 7 3 3" xfId="6379" xr:uid="{00000000-0005-0000-0000-000077970000}"/>
    <cellStyle name="Comma 3 6 7 3 3 2" xfId="29658" xr:uid="{00000000-0005-0000-0000-000078970000}"/>
    <cellStyle name="Comma 3 6 7 3 4" xfId="8827" xr:uid="{00000000-0005-0000-0000-000079970000}"/>
    <cellStyle name="Comma 3 6 7 3 4 2" xfId="32106" xr:uid="{00000000-0005-0000-0000-00007A970000}"/>
    <cellStyle name="Comma 3 6 7 3 5" xfId="11275" xr:uid="{00000000-0005-0000-0000-00007B970000}"/>
    <cellStyle name="Comma 3 6 7 3 5 2" xfId="34554" xr:uid="{00000000-0005-0000-0000-00007C970000}"/>
    <cellStyle name="Comma 3 6 7 3 6" xfId="13723" xr:uid="{00000000-0005-0000-0000-00007D970000}"/>
    <cellStyle name="Comma 3 6 7 3 6 2" xfId="37002" xr:uid="{00000000-0005-0000-0000-00007E970000}"/>
    <cellStyle name="Comma 3 6 7 3 7" xfId="17418" xr:uid="{00000000-0005-0000-0000-00007F970000}"/>
    <cellStyle name="Comma 3 6 7 3 7 2" xfId="40696" xr:uid="{00000000-0005-0000-0000-000080970000}"/>
    <cellStyle name="Comma 3 6 7 3 8" xfId="24762" xr:uid="{00000000-0005-0000-0000-000081970000}"/>
    <cellStyle name="Comma 3 6 7 3 9" xfId="45592" xr:uid="{00000000-0005-0000-0000-000082970000}"/>
    <cellStyle name="Comma 3 6 7 4" xfId="2707" xr:uid="{00000000-0005-0000-0000-000083970000}"/>
    <cellStyle name="Comma 3 6 7 4 2" xfId="16194" xr:uid="{00000000-0005-0000-0000-000084970000}"/>
    <cellStyle name="Comma 3 6 7 4 2 2" xfId="39472" xr:uid="{00000000-0005-0000-0000-000085970000}"/>
    <cellStyle name="Comma 3 6 7 4 3" xfId="46816" xr:uid="{00000000-0005-0000-0000-000086970000}"/>
    <cellStyle name="Comma 3 6 7 4 4" xfId="25986" xr:uid="{00000000-0005-0000-0000-000087970000}"/>
    <cellStyle name="Comma 3 6 7 5" xfId="5155" xr:uid="{00000000-0005-0000-0000-000088970000}"/>
    <cellStyle name="Comma 3 6 7 5 2" xfId="18642" xr:uid="{00000000-0005-0000-0000-000089970000}"/>
    <cellStyle name="Comma 3 6 7 5 2 2" xfId="41920" xr:uid="{00000000-0005-0000-0000-00008A970000}"/>
    <cellStyle name="Comma 3 6 7 5 3" xfId="28434" xr:uid="{00000000-0005-0000-0000-00008B970000}"/>
    <cellStyle name="Comma 3 6 7 6" xfId="7603" xr:uid="{00000000-0005-0000-0000-00008C970000}"/>
    <cellStyle name="Comma 3 6 7 6 2" xfId="30882" xr:uid="{00000000-0005-0000-0000-00008D970000}"/>
    <cellStyle name="Comma 3 6 7 7" xfId="10051" xr:uid="{00000000-0005-0000-0000-00008E970000}"/>
    <cellStyle name="Comma 3 6 7 7 2" xfId="33330" xr:uid="{00000000-0005-0000-0000-00008F970000}"/>
    <cellStyle name="Comma 3 6 7 8" xfId="12499" xr:uid="{00000000-0005-0000-0000-000090970000}"/>
    <cellStyle name="Comma 3 6 7 8 2" xfId="35778" xr:uid="{00000000-0005-0000-0000-000091970000}"/>
    <cellStyle name="Comma 3 6 7 9" xfId="14970" xr:uid="{00000000-0005-0000-0000-000092970000}"/>
    <cellStyle name="Comma 3 6 7 9 2" xfId="38248" xr:uid="{00000000-0005-0000-0000-000093970000}"/>
    <cellStyle name="Comma 3 6 8" xfId="463" xr:uid="{00000000-0005-0000-0000-000094970000}"/>
    <cellStyle name="Comma 3 6 8 10" xfId="23742" xr:uid="{00000000-0005-0000-0000-000095970000}"/>
    <cellStyle name="Comma 3 6 8 11" xfId="44572" xr:uid="{00000000-0005-0000-0000-000096970000}"/>
    <cellStyle name="Comma 3 6 8 12" xfId="21294" xr:uid="{00000000-0005-0000-0000-000097970000}"/>
    <cellStyle name="Comma 3 6 8 2" xfId="1075" xr:uid="{00000000-0005-0000-0000-000098970000}"/>
    <cellStyle name="Comma 3 6 8 2 10" xfId="45184" xr:uid="{00000000-0005-0000-0000-000099970000}"/>
    <cellStyle name="Comma 3 6 8 2 11" xfId="21906" xr:uid="{00000000-0005-0000-0000-00009A970000}"/>
    <cellStyle name="Comma 3 6 8 2 2" xfId="2299" xr:uid="{00000000-0005-0000-0000-00009B970000}"/>
    <cellStyle name="Comma 3 6 8 2 2 10" xfId="23130" xr:uid="{00000000-0005-0000-0000-00009C970000}"/>
    <cellStyle name="Comma 3 6 8 2 2 2" xfId="4747" xr:uid="{00000000-0005-0000-0000-00009D970000}"/>
    <cellStyle name="Comma 3 6 8 2 2 2 2" xfId="20682" xr:uid="{00000000-0005-0000-0000-00009E970000}"/>
    <cellStyle name="Comma 3 6 8 2 2 2 2 2" xfId="43960" xr:uid="{00000000-0005-0000-0000-00009F970000}"/>
    <cellStyle name="Comma 3 6 8 2 2 2 3" xfId="48856" xr:uid="{00000000-0005-0000-0000-0000A0970000}"/>
    <cellStyle name="Comma 3 6 8 2 2 2 4" xfId="28026" xr:uid="{00000000-0005-0000-0000-0000A1970000}"/>
    <cellStyle name="Comma 3 6 8 2 2 3" xfId="7195" xr:uid="{00000000-0005-0000-0000-0000A2970000}"/>
    <cellStyle name="Comma 3 6 8 2 2 3 2" xfId="30474" xr:uid="{00000000-0005-0000-0000-0000A3970000}"/>
    <cellStyle name="Comma 3 6 8 2 2 4" xfId="9643" xr:uid="{00000000-0005-0000-0000-0000A4970000}"/>
    <cellStyle name="Comma 3 6 8 2 2 4 2" xfId="32922" xr:uid="{00000000-0005-0000-0000-0000A5970000}"/>
    <cellStyle name="Comma 3 6 8 2 2 5" xfId="12091" xr:uid="{00000000-0005-0000-0000-0000A6970000}"/>
    <cellStyle name="Comma 3 6 8 2 2 5 2" xfId="35370" xr:uid="{00000000-0005-0000-0000-0000A7970000}"/>
    <cellStyle name="Comma 3 6 8 2 2 6" xfId="14539" xr:uid="{00000000-0005-0000-0000-0000A8970000}"/>
    <cellStyle name="Comma 3 6 8 2 2 6 2" xfId="37818" xr:uid="{00000000-0005-0000-0000-0000A9970000}"/>
    <cellStyle name="Comma 3 6 8 2 2 7" xfId="18234" xr:uid="{00000000-0005-0000-0000-0000AA970000}"/>
    <cellStyle name="Comma 3 6 8 2 2 7 2" xfId="41512" xr:uid="{00000000-0005-0000-0000-0000AB970000}"/>
    <cellStyle name="Comma 3 6 8 2 2 8" xfId="25578" xr:uid="{00000000-0005-0000-0000-0000AC970000}"/>
    <cellStyle name="Comma 3 6 8 2 2 9" xfId="46408" xr:uid="{00000000-0005-0000-0000-0000AD970000}"/>
    <cellStyle name="Comma 3 6 8 2 3" xfId="3523" xr:uid="{00000000-0005-0000-0000-0000AE970000}"/>
    <cellStyle name="Comma 3 6 8 2 3 2" xfId="17010" xr:uid="{00000000-0005-0000-0000-0000AF970000}"/>
    <cellStyle name="Comma 3 6 8 2 3 2 2" xfId="40288" xr:uid="{00000000-0005-0000-0000-0000B0970000}"/>
    <cellStyle name="Comma 3 6 8 2 3 3" xfId="47632" xr:uid="{00000000-0005-0000-0000-0000B1970000}"/>
    <cellStyle name="Comma 3 6 8 2 3 4" xfId="26802" xr:uid="{00000000-0005-0000-0000-0000B2970000}"/>
    <cellStyle name="Comma 3 6 8 2 4" xfId="5971" xr:uid="{00000000-0005-0000-0000-0000B3970000}"/>
    <cellStyle name="Comma 3 6 8 2 4 2" xfId="19458" xr:uid="{00000000-0005-0000-0000-0000B4970000}"/>
    <cellStyle name="Comma 3 6 8 2 4 2 2" xfId="42736" xr:uid="{00000000-0005-0000-0000-0000B5970000}"/>
    <cellStyle name="Comma 3 6 8 2 4 3" xfId="29250" xr:uid="{00000000-0005-0000-0000-0000B6970000}"/>
    <cellStyle name="Comma 3 6 8 2 5" xfId="8419" xr:uid="{00000000-0005-0000-0000-0000B7970000}"/>
    <cellStyle name="Comma 3 6 8 2 5 2" xfId="31698" xr:uid="{00000000-0005-0000-0000-0000B8970000}"/>
    <cellStyle name="Comma 3 6 8 2 6" xfId="10867" xr:uid="{00000000-0005-0000-0000-0000B9970000}"/>
    <cellStyle name="Comma 3 6 8 2 6 2" xfId="34146" xr:uid="{00000000-0005-0000-0000-0000BA970000}"/>
    <cellStyle name="Comma 3 6 8 2 7" xfId="13315" xr:uid="{00000000-0005-0000-0000-0000BB970000}"/>
    <cellStyle name="Comma 3 6 8 2 7 2" xfId="36594" xr:uid="{00000000-0005-0000-0000-0000BC970000}"/>
    <cellStyle name="Comma 3 6 8 2 8" xfId="15786" xr:uid="{00000000-0005-0000-0000-0000BD970000}"/>
    <cellStyle name="Comma 3 6 8 2 8 2" xfId="39064" xr:uid="{00000000-0005-0000-0000-0000BE970000}"/>
    <cellStyle name="Comma 3 6 8 2 9" xfId="24354" xr:uid="{00000000-0005-0000-0000-0000BF970000}"/>
    <cellStyle name="Comma 3 6 8 3" xfId="1687" xr:uid="{00000000-0005-0000-0000-0000C0970000}"/>
    <cellStyle name="Comma 3 6 8 3 10" xfId="22518" xr:uid="{00000000-0005-0000-0000-0000C1970000}"/>
    <cellStyle name="Comma 3 6 8 3 2" xfId="4135" xr:uid="{00000000-0005-0000-0000-0000C2970000}"/>
    <cellStyle name="Comma 3 6 8 3 2 2" xfId="20070" xr:uid="{00000000-0005-0000-0000-0000C3970000}"/>
    <cellStyle name="Comma 3 6 8 3 2 2 2" xfId="43348" xr:uid="{00000000-0005-0000-0000-0000C4970000}"/>
    <cellStyle name="Comma 3 6 8 3 2 3" xfId="48244" xr:uid="{00000000-0005-0000-0000-0000C5970000}"/>
    <cellStyle name="Comma 3 6 8 3 2 4" xfId="27414" xr:uid="{00000000-0005-0000-0000-0000C6970000}"/>
    <cellStyle name="Comma 3 6 8 3 3" xfId="6583" xr:uid="{00000000-0005-0000-0000-0000C7970000}"/>
    <cellStyle name="Comma 3 6 8 3 3 2" xfId="29862" xr:uid="{00000000-0005-0000-0000-0000C8970000}"/>
    <cellStyle name="Comma 3 6 8 3 4" xfId="9031" xr:uid="{00000000-0005-0000-0000-0000C9970000}"/>
    <cellStyle name="Comma 3 6 8 3 4 2" xfId="32310" xr:uid="{00000000-0005-0000-0000-0000CA970000}"/>
    <cellStyle name="Comma 3 6 8 3 5" xfId="11479" xr:uid="{00000000-0005-0000-0000-0000CB970000}"/>
    <cellStyle name="Comma 3 6 8 3 5 2" xfId="34758" xr:uid="{00000000-0005-0000-0000-0000CC970000}"/>
    <cellStyle name="Comma 3 6 8 3 6" xfId="13927" xr:uid="{00000000-0005-0000-0000-0000CD970000}"/>
    <cellStyle name="Comma 3 6 8 3 6 2" xfId="37206" xr:uid="{00000000-0005-0000-0000-0000CE970000}"/>
    <cellStyle name="Comma 3 6 8 3 7" xfId="17622" xr:uid="{00000000-0005-0000-0000-0000CF970000}"/>
    <cellStyle name="Comma 3 6 8 3 7 2" xfId="40900" xr:uid="{00000000-0005-0000-0000-0000D0970000}"/>
    <cellStyle name="Comma 3 6 8 3 8" xfId="24966" xr:uid="{00000000-0005-0000-0000-0000D1970000}"/>
    <cellStyle name="Comma 3 6 8 3 9" xfId="45796" xr:uid="{00000000-0005-0000-0000-0000D2970000}"/>
    <cellStyle name="Comma 3 6 8 4" xfId="2911" xr:uid="{00000000-0005-0000-0000-0000D3970000}"/>
    <cellStyle name="Comma 3 6 8 4 2" xfId="16398" xr:uid="{00000000-0005-0000-0000-0000D4970000}"/>
    <cellStyle name="Comma 3 6 8 4 2 2" xfId="39676" xr:uid="{00000000-0005-0000-0000-0000D5970000}"/>
    <cellStyle name="Comma 3 6 8 4 3" xfId="47020" xr:uid="{00000000-0005-0000-0000-0000D6970000}"/>
    <cellStyle name="Comma 3 6 8 4 4" xfId="26190" xr:uid="{00000000-0005-0000-0000-0000D7970000}"/>
    <cellStyle name="Comma 3 6 8 5" xfId="5359" xr:uid="{00000000-0005-0000-0000-0000D8970000}"/>
    <cellStyle name="Comma 3 6 8 5 2" xfId="18846" xr:uid="{00000000-0005-0000-0000-0000D9970000}"/>
    <cellStyle name="Comma 3 6 8 5 2 2" xfId="42124" xr:uid="{00000000-0005-0000-0000-0000DA970000}"/>
    <cellStyle name="Comma 3 6 8 5 3" xfId="28638" xr:uid="{00000000-0005-0000-0000-0000DB970000}"/>
    <cellStyle name="Comma 3 6 8 6" xfId="7807" xr:uid="{00000000-0005-0000-0000-0000DC970000}"/>
    <cellStyle name="Comma 3 6 8 6 2" xfId="31086" xr:uid="{00000000-0005-0000-0000-0000DD970000}"/>
    <cellStyle name="Comma 3 6 8 7" xfId="10255" xr:uid="{00000000-0005-0000-0000-0000DE970000}"/>
    <cellStyle name="Comma 3 6 8 7 2" xfId="33534" xr:uid="{00000000-0005-0000-0000-0000DF970000}"/>
    <cellStyle name="Comma 3 6 8 8" xfId="12703" xr:uid="{00000000-0005-0000-0000-0000E0970000}"/>
    <cellStyle name="Comma 3 6 8 8 2" xfId="35982" xr:uid="{00000000-0005-0000-0000-0000E1970000}"/>
    <cellStyle name="Comma 3 6 8 9" xfId="15174" xr:uid="{00000000-0005-0000-0000-0000E2970000}"/>
    <cellStyle name="Comma 3 6 8 9 2" xfId="38452" xr:uid="{00000000-0005-0000-0000-0000E3970000}"/>
    <cellStyle name="Comma 3 6 9" xfId="667" xr:uid="{00000000-0005-0000-0000-0000E4970000}"/>
    <cellStyle name="Comma 3 6 9 10" xfId="44776" xr:uid="{00000000-0005-0000-0000-0000E5970000}"/>
    <cellStyle name="Comma 3 6 9 11" xfId="21498" xr:uid="{00000000-0005-0000-0000-0000E6970000}"/>
    <cellStyle name="Comma 3 6 9 2" xfId="1891" xr:uid="{00000000-0005-0000-0000-0000E7970000}"/>
    <cellStyle name="Comma 3 6 9 2 10" xfId="22722" xr:uid="{00000000-0005-0000-0000-0000E8970000}"/>
    <cellStyle name="Comma 3 6 9 2 2" xfId="4339" xr:uid="{00000000-0005-0000-0000-0000E9970000}"/>
    <cellStyle name="Comma 3 6 9 2 2 2" xfId="20274" xr:uid="{00000000-0005-0000-0000-0000EA970000}"/>
    <cellStyle name="Comma 3 6 9 2 2 2 2" xfId="43552" xr:uid="{00000000-0005-0000-0000-0000EB970000}"/>
    <cellStyle name="Comma 3 6 9 2 2 3" xfId="48448" xr:uid="{00000000-0005-0000-0000-0000EC970000}"/>
    <cellStyle name="Comma 3 6 9 2 2 4" xfId="27618" xr:uid="{00000000-0005-0000-0000-0000ED970000}"/>
    <cellStyle name="Comma 3 6 9 2 3" xfId="6787" xr:uid="{00000000-0005-0000-0000-0000EE970000}"/>
    <cellStyle name="Comma 3 6 9 2 3 2" xfId="30066" xr:uid="{00000000-0005-0000-0000-0000EF970000}"/>
    <cellStyle name="Comma 3 6 9 2 4" xfId="9235" xr:uid="{00000000-0005-0000-0000-0000F0970000}"/>
    <cellStyle name="Comma 3 6 9 2 4 2" xfId="32514" xr:uid="{00000000-0005-0000-0000-0000F1970000}"/>
    <cellStyle name="Comma 3 6 9 2 5" xfId="11683" xr:uid="{00000000-0005-0000-0000-0000F2970000}"/>
    <cellStyle name="Comma 3 6 9 2 5 2" xfId="34962" xr:uid="{00000000-0005-0000-0000-0000F3970000}"/>
    <cellStyle name="Comma 3 6 9 2 6" xfId="14131" xr:uid="{00000000-0005-0000-0000-0000F4970000}"/>
    <cellStyle name="Comma 3 6 9 2 6 2" xfId="37410" xr:uid="{00000000-0005-0000-0000-0000F5970000}"/>
    <cellStyle name="Comma 3 6 9 2 7" xfId="17826" xr:uid="{00000000-0005-0000-0000-0000F6970000}"/>
    <cellStyle name="Comma 3 6 9 2 7 2" xfId="41104" xr:uid="{00000000-0005-0000-0000-0000F7970000}"/>
    <cellStyle name="Comma 3 6 9 2 8" xfId="25170" xr:uid="{00000000-0005-0000-0000-0000F8970000}"/>
    <cellStyle name="Comma 3 6 9 2 9" xfId="46000" xr:uid="{00000000-0005-0000-0000-0000F9970000}"/>
    <cellStyle name="Comma 3 6 9 3" xfId="3115" xr:uid="{00000000-0005-0000-0000-0000FA970000}"/>
    <cellStyle name="Comma 3 6 9 3 2" xfId="16602" xr:uid="{00000000-0005-0000-0000-0000FB970000}"/>
    <cellStyle name="Comma 3 6 9 3 2 2" xfId="39880" xr:uid="{00000000-0005-0000-0000-0000FC970000}"/>
    <cellStyle name="Comma 3 6 9 3 3" xfId="47224" xr:uid="{00000000-0005-0000-0000-0000FD970000}"/>
    <cellStyle name="Comma 3 6 9 3 4" xfId="26394" xr:uid="{00000000-0005-0000-0000-0000FE970000}"/>
    <cellStyle name="Comma 3 6 9 4" xfId="5563" xr:uid="{00000000-0005-0000-0000-0000FF970000}"/>
    <cellStyle name="Comma 3 6 9 4 2" xfId="19050" xr:uid="{00000000-0005-0000-0000-000000980000}"/>
    <cellStyle name="Comma 3 6 9 4 2 2" xfId="42328" xr:uid="{00000000-0005-0000-0000-000001980000}"/>
    <cellStyle name="Comma 3 6 9 4 3" xfId="28842" xr:uid="{00000000-0005-0000-0000-000002980000}"/>
    <cellStyle name="Comma 3 6 9 5" xfId="8011" xr:uid="{00000000-0005-0000-0000-000003980000}"/>
    <cellStyle name="Comma 3 6 9 5 2" xfId="31290" xr:uid="{00000000-0005-0000-0000-000004980000}"/>
    <cellStyle name="Comma 3 6 9 6" xfId="10459" xr:uid="{00000000-0005-0000-0000-000005980000}"/>
    <cellStyle name="Comma 3 6 9 6 2" xfId="33738" xr:uid="{00000000-0005-0000-0000-000006980000}"/>
    <cellStyle name="Comma 3 6 9 7" xfId="12907" xr:uid="{00000000-0005-0000-0000-000007980000}"/>
    <cellStyle name="Comma 3 6 9 7 2" xfId="36186" xr:uid="{00000000-0005-0000-0000-000008980000}"/>
    <cellStyle name="Comma 3 6 9 8" xfId="15378" xr:uid="{00000000-0005-0000-0000-000009980000}"/>
    <cellStyle name="Comma 3 6 9 8 2" xfId="38656" xr:uid="{00000000-0005-0000-0000-00000A980000}"/>
    <cellStyle name="Comma 3 6 9 9" xfId="23946" xr:uid="{00000000-0005-0000-0000-00000B980000}"/>
    <cellStyle name="Comma 3 7" xfId="57" xr:uid="{00000000-0005-0000-0000-00000C980000}"/>
    <cellStyle name="Comma 3 7 10" xfId="1281" xr:uid="{00000000-0005-0000-0000-00000D980000}"/>
    <cellStyle name="Comma 3 7 10 10" xfId="22112" xr:uid="{00000000-0005-0000-0000-00000E980000}"/>
    <cellStyle name="Comma 3 7 10 2" xfId="3729" xr:uid="{00000000-0005-0000-0000-00000F980000}"/>
    <cellStyle name="Comma 3 7 10 2 2" xfId="17216" xr:uid="{00000000-0005-0000-0000-000010980000}"/>
    <cellStyle name="Comma 3 7 10 2 2 2" xfId="40494" xr:uid="{00000000-0005-0000-0000-000011980000}"/>
    <cellStyle name="Comma 3 7 10 2 3" xfId="47838" xr:uid="{00000000-0005-0000-0000-000012980000}"/>
    <cellStyle name="Comma 3 7 10 2 4" xfId="27008" xr:uid="{00000000-0005-0000-0000-000013980000}"/>
    <cellStyle name="Comma 3 7 10 3" xfId="6177" xr:uid="{00000000-0005-0000-0000-000014980000}"/>
    <cellStyle name="Comma 3 7 10 3 2" xfId="19664" xr:uid="{00000000-0005-0000-0000-000015980000}"/>
    <cellStyle name="Comma 3 7 10 3 2 2" xfId="42942" xr:uid="{00000000-0005-0000-0000-000016980000}"/>
    <cellStyle name="Comma 3 7 10 3 3" xfId="29456" xr:uid="{00000000-0005-0000-0000-000017980000}"/>
    <cellStyle name="Comma 3 7 10 4" xfId="8625" xr:uid="{00000000-0005-0000-0000-000018980000}"/>
    <cellStyle name="Comma 3 7 10 4 2" xfId="31904" xr:uid="{00000000-0005-0000-0000-000019980000}"/>
    <cellStyle name="Comma 3 7 10 5" xfId="11073" xr:uid="{00000000-0005-0000-0000-00001A980000}"/>
    <cellStyle name="Comma 3 7 10 5 2" xfId="34352" xr:uid="{00000000-0005-0000-0000-00001B980000}"/>
    <cellStyle name="Comma 3 7 10 6" xfId="13521" xr:uid="{00000000-0005-0000-0000-00001C980000}"/>
    <cellStyle name="Comma 3 7 10 6 2" xfId="36800" xr:uid="{00000000-0005-0000-0000-00001D980000}"/>
    <cellStyle name="Comma 3 7 10 7" xfId="14768" xr:uid="{00000000-0005-0000-0000-00001E980000}"/>
    <cellStyle name="Comma 3 7 10 7 2" xfId="38046" xr:uid="{00000000-0005-0000-0000-00001F980000}"/>
    <cellStyle name="Comma 3 7 10 8" xfId="24560" xr:uid="{00000000-0005-0000-0000-000020980000}"/>
    <cellStyle name="Comma 3 7 10 9" xfId="45390" xr:uid="{00000000-0005-0000-0000-000021980000}"/>
    <cellStyle name="Comma 3 7 11" xfId="2505" xr:uid="{00000000-0005-0000-0000-000022980000}"/>
    <cellStyle name="Comma 3 7 11 2" xfId="15992" xr:uid="{00000000-0005-0000-0000-000023980000}"/>
    <cellStyle name="Comma 3 7 11 2 2" xfId="39270" xr:uid="{00000000-0005-0000-0000-000024980000}"/>
    <cellStyle name="Comma 3 7 11 3" xfId="46614" xr:uid="{00000000-0005-0000-0000-000025980000}"/>
    <cellStyle name="Comma 3 7 11 4" xfId="25784" xr:uid="{00000000-0005-0000-0000-000026980000}"/>
    <cellStyle name="Comma 3 7 12" xfId="4953" xr:uid="{00000000-0005-0000-0000-000027980000}"/>
    <cellStyle name="Comma 3 7 12 2" xfId="18440" xr:uid="{00000000-0005-0000-0000-000028980000}"/>
    <cellStyle name="Comma 3 7 12 2 2" xfId="41718" xr:uid="{00000000-0005-0000-0000-000029980000}"/>
    <cellStyle name="Comma 3 7 12 3" xfId="28232" xr:uid="{00000000-0005-0000-0000-00002A980000}"/>
    <cellStyle name="Comma 3 7 13" xfId="7401" xr:uid="{00000000-0005-0000-0000-00002B980000}"/>
    <cellStyle name="Comma 3 7 13 2" xfId="30680" xr:uid="{00000000-0005-0000-0000-00002C980000}"/>
    <cellStyle name="Comma 3 7 14" xfId="9849" xr:uid="{00000000-0005-0000-0000-00002D980000}"/>
    <cellStyle name="Comma 3 7 14 2" xfId="33128" xr:uid="{00000000-0005-0000-0000-00002E980000}"/>
    <cellStyle name="Comma 3 7 15" xfId="12297" xr:uid="{00000000-0005-0000-0000-00002F980000}"/>
    <cellStyle name="Comma 3 7 15 2" xfId="35576" xr:uid="{00000000-0005-0000-0000-000030980000}"/>
    <cellStyle name="Comma 3 7 16" xfId="14751" xr:uid="{00000000-0005-0000-0000-000031980000}"/>
    <cellStyle name="Comma 3 7 16 2" xfId="38029" xr:uid="{00000000-0005-0000-0000-000032980000}"/>
    <cellStyle name="Comma 3 7 17" xfId="23336" xr:uid="{00000000-0005-0000-0000-000033980000}"/>
    <cellStyle name="Comma 3 7 18" xfId="44166" xr:uid="{00000000-0005-0000-0000-000034980000}"/>
    <cellStyle name="Comma 3 7 19" xfId="20888" xr:uid="{00000000-0005-0000-0000-000035980000}"/>
    <cellStyle name="Comma 3 7 2" xfId="74" xr:uid="{00000000-0005-0000-0000-000036980000}"/>
    <cellStyle name="Comma 3 7 2 10" xfId="7418" xr:uid="{00000000-0005-0000-0000-000037980000}"/>
    <cellStyle name="Comma 3 7 2 10 2" xfId="30697" xr:uid="{00000000-0005-0000-0000-000038980000}"/>
    <cellStyle name="Comma 3 7 2 11" xfId="9866" xr:uid="{00000000-0005-0000-0000-000039980000}"/>
    <cellStyle name="Comma 3 7 2 11 2" xfId="33145" xr:uid="{00000000-0005-0000-0000-00003A980000}"/>
    <cellStyle name="Comma 3 7 2 12" xfId="12314" xr:uid="{00000000-0005-0000-0000-00003B980000}"/>
    <cellStyle name="Comma 3 7 2 12 2" xfId="35593" xr:uid="{00000000-0005-0000-0000-00003C980000}"/>
    <cellStyle name="Comma 3 7 2 13" xfId="14785" xr:uid="{00000000-0005-0000-0000-00003D980000}"/>
    <cellStyle name="Comma 3 7 2 13 2" xfId="38063" xr:uid="{00000000-0005-0000-0000-00003E980000}"/>
    <cellStyle name="Comma 3 7 2 14" xfId="23353" xr:uid="{00000000-0005-0000-0000-00003F980000}"/>
    <cellStyle name="Comma 3 7 2 15" xfId="44183" xr:uid="{00000000-0005-0000-0000-000040980000}"/>
    <cellStyle name="Comma 3 7 2 16" xfId="20905" xr:uid="{00000000-0005-0000-0000-000041980000}"/>
    <cellStyle name="Comma 3 7 2 2" xfId="142" xr:uid="{00000000-0005-0000-0000-000042980000}"/>
    <cellStyle name="Comma 3 7 2 2 10" xfId="12382" xr:uid="{00000000-0005-0000-0000-000043980000}"/>
    <cellStyle name="Comma 3 7 2 2 10 2" xfId="35661" xr:uid="{00000000-0005-0000-0000-000044980000}"/>
    <cellStyle name="Comma 3 7 2 2 11" xfId="14853" xr:uid="{00000000-0005-0000-0000-000045980000}"/>
    <cellStyle name="Comma 3 7 2 2 11 2" xfId="38131" xr:uid="{00000000-0005-0000-0000-000046980000}"/>
    <cellStyle name="Comma 3 7 2 2 12" xfId="23421" xr:uid="{00000000-0005-0000-0000-000047980000}"/>
    <cellStyle name="Comma 3 7 2 2 13" xfId="44251" xr:uid="{00000000-0005-0000-0000-000048980000}"/>
    <cellStyle name="Comma 3 7 2 2 14" xfId="20973" xr:uid="{00000000-0005-0000-0000-000049980000}"/>
    <cellStyle name="Comma 3 7 2 2 2" xfId="346" xr:uid="{00000000-0005-0000-0000-00004A980000}"/>
    <cellStyle name="Comma 3 7 2 2 2 10" xfId="23625" xr:uid="{00000000-0005-0000-0000-00004B980000}"/>
    <cellStyle name="Comma 3 7 2 2 2 11" xfId="44455" xr:uid="{00000000-0005-0000-0000-00004C980000}"/>
    <cellStyle name="Comma 3 7 2 2 2 12" xfId="21177" xr:uid="{00000000-0005-0000-0000-00004D980000}"/>
    <cellStyle name="Comma 3 7 2 2 2 2" xfId="958" xr:uid="{00000000-0005-0000-0000-00004E980000}"/>
    <cellStyle name="Comma 3 7 2 2 2 2 10" xfId="45067" xr:uid="{00000000-0005-0000-0000-00004F980000}"/>
    <cellStyle name="Comma 3 7 2 2 2 2 11" xfId="21789" xr:uid="{00000000-0005-0000-0000-000050980000}"/>
    <cellStyle name="Comma 3 7 2 2 2 2 2" xfId="2182" xr:uid="{00000000-0005-0000-0000-000051980000}"/>
    <cellStyle name="Comma 3 7 2 2 2 2 2 10" xfId="23013" xr:uid="{00000000-0005-0000-0000-000052980000}"/>
    <cellStyle name="Comma 3 7 2 2 2 2 2 2" xfId="4630" xr:uid="{00000000-0005-0000-0000-000053980000}"/>
    <cellStyle name="Comma 3 7 2 2 2 2 2 2 2" xfId="20565" xr:uid="{00000000-0005-0000-0000-000054980000}"/>
    <cellStyle name="Comma 3 7 2 2 2 2 2 2 2 2" xfId="43843" xr:uid="{00000000-0005-0000-0000-000055980000}"/>
    <cellStyle name="Comma 3 7 2 2 2 2 2 2 3" xfId="48739" xr:uid="{00000000-0005-0000-0000-000056980000}"/>
    <cellStyle name="Comma 3 7 2 2 2 2 2 2 4" xfId="27909" xr:uid="{00000000-0005-0000-0000-000057980000}"/>
    <cellStyle name="Comma 3 7 2 2 2 2 2 3" xfId="7078" xr:uid="{00000000-0005-0000-0000-000058980000}"/>
    <cellStyle name="Comma 3 7 2 2 2 2 2 3 2" xfId="30357" xr:uid="{00000000-0005-0000-0000-000059980000}"/>
    <cellStyle name="Comma 3 7 2 2 2 2 2 4" xfId="9526" xr:uid="{00000000-0005-0000-0000-00005A980000}"/>
    <cellStyle name="Comma 3 7 2 2 2 2 2 4 2" xfId="32805" xr:uid="{00000000-0005-0000-0000-00005B980000}"/>
    <cellStyle name="Comma 3 7 2 2 2 2 2 5" xfId="11974" xr:uid="{00000000-0005-0000-0000-00005C980000}"/>
    <cellStyle name="Comma 3 7 2 2 2 2 2 5 2" xfId="35253" xr:uid="{00000000-0005-0000-0000-00005D980000}"/>
    <cellStyle name="Comma 3 7 2 2 2 2 2 6" xfId="14422" xr:uid="{00000000-0005-0000-0000-00005E980000}"/>
    <cellStyle name="Comma 3 7 2 2 2 2 2 6 2" xfId="37701" xr:uid="{00000000-0005-0000-0000-00005F980000}"/>
    <cellStyle name="Comma 3 7 2 2 2 2 2 7" xfId="18117" xr:uid="{00000000-0005-0000-0000-000060980000}"/>
    <cellStyle name="Comma 3 7 2 2 2 2 2 7 2" xfId="41395" xr:uid="{00000000-0005-0000-0000-000061980000}"/>
    <cellStyle name="Comma 3 7 2 2 2 2 2 8" xfId="25461" xr:uid="{00000000-0005-0000-0000-000062980000}"/>
    <cellStyle name="Comma 3 7 2 2 2 2 2 9" xfId="46291" xr:uid="{00000000-0005-0000-0000-000063980000}"/>
    <cellStyle name="Comma 3 7 2 2 2 2 3" xfId="3406" xr:uid="{00000000-0005-0000-0000-000064980000}"/>
    <cellStyle name="Comma 3 7 2 2 2 2 3 2" xfId="16893" xr:uid="{00000000-0005-0000-0000-000065980000}"/>
    <cellStyle name="Comma 3 7 2 2 2 2 3 2 2" xfId="40171" xr:uid="{00000000-0005-0000-0000-000066980000}"/>
    <cellStyle name="Comma 3 7 2 2 2 2 3 3" xfId="47515" xr:uid="{00000000-0005-0000-0000-000067980000}"/>
    <cellStyle name="Comma 3 7 2 2 2 2 3 4" xfId="26685" xr:uid="{00000000-0005-0000-0000-000068980000}"/>
    <cellStyle name="Comma 3 7 2 2 2 2 4" xfId="5854" xr:uid="{00000000-0005-0000-0000-000069980000}"/>
    <cellStyle name="Comma 3 7 2 2 2 2 4 2" xfId="19341" xr:uid="{00000000-0005-0000-0000-00006A980000}"/>
    <cellStyle name="Comma 3 7 2 2 2 2 4 2 2" xfId="42619" xr:uid="{00000000-0005-0000-0000-00006B980000}"/>
    <cellStyle name="Comma 3 7 2 2 2 2 4 3" xfId="29133" xr:uid="{00000000-0005-0000-0000-00006C980000}"/>
    <cellStyle name="Comma 3 7 2 2 2 2 5" xfId="8302" xr:uid="{00000000-0005-0000-0000-00006D980000}"/>
    <cellStyle name="Comma 3 7 2 2 2 2 5 2" xfId="31581" xr:uid="{00000000-0005-0000-0000-00006E980000}"/>
    <cellStyle name="Comma 3 7 2 2 2 2 6" xfId="10750" xr:uid="{00000000-0005-0000-0000-00006F980000}"/>
    <cellStyle name="Comma 3 7 2 2 2 2 6 2" xfId="34029" xr:uid="{00000000-0005-0000-0000-000070980000}"/>
    <cellStyle name="Comma 3 7 2 2 2 2 7" xfId="13198" xr:uid="{00000000-0005-0000-0000-000071980000}"/>
    <cellStyle name="Comma 3 7 2 2 2 2 7 2" xfId="36477" xr:uid="{00000000-0005-0000-0000-000072980000}"/>
    <cellStyle name="Comma 3 7 2 2 2 2 8" xfId="15669" xr:uid="{00000000-0005-0000-0000-000073980000}"/>
    <cellStyle name="Comma 3 7 2 2 2 2 8 2" xfId="38947" xr:uid="{00000000-0005-0000-0000-000074980000}"/>
    <cellStyle name="Comma 3 7 2 2 2 2 9" xfId="24237" xr:uid="{00000000-0005-0000-0000-000075980000}"/>
    <cellStyle name="Comma 3 7 2 2 2 3" xfId="1570" xr:uid="{00000000-0005-0000-0000-000076980000}"/>
    <cellStyle name="Comma 3 7 2 2 2 3 10" xfId="22401" xr:uid="{00000000-0005-0000-0000-000077980000}"/>
    <cellStyle name="Comma 3 7 2 2 2 3 2" xfId="4018" xr:uid="{00000000-0005-0000-0000-000078980000}"/>
    <cellStyle name="Comma 3 7 2 2 2 3 2 2" xfId="19953" xr:uid="{00000000-0005-0000-0000-000079980000}"/>
    <cellStyle name="Comma 3 7 2 2 2 3 2 2 2" xfId="43231" xr:uid="{00000000-0005-0000-0000-00007A980000}"/>
    <cellStyle name="Comma 3 7 2 2 2 3 2 3" xfId="48127" xr:uid="{00000000-0005-0000-0000-00007B980000}"/>
    <cellStyle name="Comma 3 7 2 2 2 3 2 4" xfId="27297" xr:uid="{00000000-0005-0000-0000-00007C980000}"/>
    <cellStyle name="Comma 3 7 2 2 2 3 3" xfId="6466" xr:uid="{00000000-0005-0000-0000-00007D980000}"/>
    <cellStyle name="Comma 3 7 2 2 2 3 3 2" xfId="29745" xr:uid="{00000000-0005-0000-0000-00007E980000}"/>
    <cellStyle name="Comma 3 7 2 2 2 3 4" xfId="8914" xr:uid="{00000000-0005-0000-0000-00007F980000}"/>
    <cellStyle name="Comma 3 7 2 2 2 3 4 2" xfId="32193" xr:uid="{00000000-0005-0000-0000-000080980000}"/>
    <cellStyle name="Comma 3 7 2 2 2 3 5" xfId="11362" xr:uid="{00000000-0005-0000-0000-000081980000}"/>
    <cellStyle name="Comma 3 7 2 2 2 3 5 2" xfId="34641" xr:uid="{00000000-0005-0000-0000-000082980000}"/>
    <cellStyle name="Comma 3 7 2 2 2 3 6" xfId="13810" xr:uid="{00000000-0005-0000-0000-000083980000}"/>
    <cellStyle name="Comma 3 7 2 2 2 3 6 2" xfId="37089" xr:uid="{00000000-0005-0000-0000-000084980000}"/>
    <cellStyle name="Comma 3 7 2 2 2 3 7" xfId="17505" xr:uid="{00000000-0005-0000-0000-000085980000}"/>
    <cellStyle name="Comma 3 7 2 2 2 3 7 2" xfId="40783" xr:uid="{00000000-0005-0000-0000-000086980000}"/>
    <cellStyle name="Comma 3 7 2 2 2 3 8" xfId="24849" xr:uid="{00000000-0005-0000-0000-000087980000}"/>
    <cellStyle name="Comma 3 7 2 2 2 3 9" xfId="45679" xr:uid="{00000000-0005-0000-0000-000088980000}"/>
    <cellStyle name="Comma 3 7 2 2 2 4" xfId="2794" xr:uid="{00000000-0005-0000-0000-000089980000}"/>
    <cellStyle name="Comma 3 7 2 2 2 4 2" xfId="16281" xr:uid="{00000000-0005-0000-0000-00008A980000}"/>
    <cellStyle name="Comma 3 7 2 2 2 4 2 2" xfId="39559" xr:uid="{00000000-0005-0000-0000-00008B980000}"/>
    <cellStyle name="Comma 3 7 2 2 2 4 3" xfId="46903" xr:uid="{00000000-0005-0000-0000-00008C980000}"/>
    <cellStyle name="Comma 3 7 2 2 2 4 4" xfId="26073" xr:uid="{00000000-0005-0000-0000-00008D980000}"/>
    <cellStyle name="Comma 3 7 2 2 2 5" xfId="5242" xr:uid="{00000000-0005-0000-0000-00008E980000}"/>
    <cellStyle name="Comma 3 7 2 2 2 5 2" xfId="18729" xr:uid="{00000000-0005-0000-0000-00008F980000}"/>
    <cellStyle name="Comma 3 7 2 2 2 5 2 2" xfId="42007" xr:uid="{00000000-0005-0000-0000-000090980000}"/>
    <cellStyle name="Comma 3 7 2 2 2 5 3" xfId="28521" xr:uid="{00000000-0005-0000-0000-000091980000}"/>
    <cellStyle name="Comma 3 7 2 2 2 6" xfId="7690" xr:uid="{00000000-0005-0000-0000-000092980000}"/>
    <cellStyle name="Comma 3 7 2 2 2 6 2" xfId="30969" xr:uid="{00000000-0005-0000-0000-000093980000}"/>
    <cellStyle name="Comma 3 7 2 2 2 7" xfId="10138" xr:uid="{00000000-0005-0000-0000-000094980000}"/>
    <cellStyle name="Comma 3 7 2 2 2 7 2" xfId="33417" xr:uid="{00000000-0005-0000-0000-000095980000}"/>
    <cellStyle name="Comma 3 7 2 2 2 8" xfId="12586" xr:uid="{00000000-0005-0000-0000-000096980000}"/>
    <cellStyle name="Comma 3 7 2 2 2 8 2" xfId="35865" xr:uid="{00000000-0005-0000-0000-000097980000}"/>
    <cellStyle name="Comma 3 7 2 2 2 9" xfId="15057" xr:uid="{00000000-0005-0000-0000-000098980000}"/>
    <cellStyle name="Comma 3 7 2 2 2 9 2" xfId="38335" xr:uid="{00000000-0005-0000-0000-000099980000}"/>
    <cellStyle name="Comma 3 7 2 2 3" xfId="550" xr:uid="{00000000-0005-0000-0000-00009A980000}"/>
    <cellStyle name="Comma 3 7 2 2 3 10" xfId="23829" xr:uid="{00000000-0005-0000-0000-00009B980000}"/>
    <cellStyle name="Comma 3 7 2 2 3 11" xfId="44659" xr:uid="{00000000-0005-0000-0000-00009C980000}"/>
    <cellStyle name="Comma 3 7 2 2 3 12" xfId="21381" xr:uid="{00000000-0005-0000-0000-00009D980000}"/>
    <cellStyle name="Comma 3 7 2 2 3 2" xfId="1162" xr:uid="{00000000-0005-0000-0000-00009E980000}"/>
    <cellStyle name="Comma 3 7 2 2 3 2 10" xfId="45271" xr:uid="{00000000-0005-0000-0000-00009F980000}"/>
    <cellStyle name="Comma 3 7 2 2 3 2 11" xfId="21993" xr:uid="{00000000-0005-0000-0000-0000A0980000}"/>
    <cellStyle name="Comma 3 7 2 2 3 2 2" xfId="2386" xr:uid="{00000000-0005-0000-0000-0000A1980000}"/>
    <cellStyle name="Comma 3 7 2 2 3 2 2 10" xfId="23217" xr:uid="{00000000-0005-0000-0000-0000A2980000}"/>
    <cellStyle name="Comma 3 7 2 2 3 2 2 2" xfId="4834" xr:uid="{00000000-0005-0000-0000-0000A3980000}"/>
    <cellStyle name="Comma 3 7 2 2 3 2 2 2 2" xfId="20769" xr:uid="{00000000-0005-0000-0000-0000A4980000}"/>
    <cellStyle name="Comma 3 7 2 2 3 2 2 2 2 2" xfId="44047" xr:uid="{00000000-0005-0000-0000-0000A5980000}"/>
    <cellStyle name="Comma 3 7 2 2 3 2 2 2 3" xfId="48943" xr:uid="{00000000-0005-0000-0000-0000A6980000}"/>
    <cellStyle name="Comma 3 7 2 2 3 2 2 2 4" xfId="28113" xr:uid="{00000000-0005-0000-0000-0000A7980000}"/>
    <cellStyle name="Comma 3 7 2 2 3 2 2 3" xfId="7282" xr:uid="{00000000-0005-0000-0000-0000A8980000}"/>
    <cellStyle name="Comma 3 7 2 2 3 2 2 3 2" xfId="30561" xr:uid="{00000000-0005-0000-0000-0000A9980000}"/>
    <cellStyle name="Comma 3 7 2 2 3 2 2 4" xfId="9730" xr:uid="{00000000-0005-0000-0000-0000AA980000}"/>
    <cellStyle name="Comma 3 7 2 2 3 2 2 4 2" xfId="33009" xr:uid="{00000000-0005-0000-0000-0000AB980000}"/>
    <cellStyle name="Comma 3 7 2 2 3 2 2 5" xfId="12178" xr:uid="{00000000-0005-0000-0000-0000AC980000}"/>
    <cellStyle name="Comma 3 7 2 2 3 2 2 5 2" xfId="35457" xr:uid="{00000000-0005-0000-0000-0000AD980000}"/>
    <cellStyle name="Comma 3 7 2 2 3 2 2 6" xfId="14626" xr:uid="{00000000-0005-0000-0000-0000AE980000}"/>
    <cellStyle name="Comma 3 7 2 2 3 2 2 6 2" xfId="37905" xr:uid="{00000000-0005-0000-0000-0000AF980000}"/>
    <cellStyle name="Comma 3 7 2 2 3 2 2 7" xfId="18321" xr:uid="{00000000-0005-0000-0000-0000B0980000}"/>
    <cellStyle name="Comma 3 7 2 2 3 2 2 7 2" xfId="41599" xr:uid="{00000000-0005-0000-0000-0000B1980000}"/>
    <cellStyle name="Comma 3 7 2 2 3 2 2 8" xfId="25665" xr:uid="{00000000-0005-0000-0000-0000B2980000}"/>
    <cellStyle name="Comma 3 7 2 2 3 2 2 9" xfId="46495" xr:uid="{00000000-0005-0000-0000-0000B3980000}"/>
    <cellStyle name="Comma 3 7 2 2 3 2 3" xfId="3610" xr:uid="{00000000-0005-0000-0000-0000B4980000}"/>
    <cellStyle name="Comma 3 7 2 2 3 2 3 2" xfId="17097" xr:uid="{00000000-0005-0000-0000-0000B5980000}"/>
    <cellStyle name="Comma 3 7 2 2 3 2 3 2 2" xfId="40375" xr:uid="{00000000-0005-0000-0000-0000B6980000}"/>
    <cellStyle name="Comma 3 7 2 2 3 2 3 3" xfId="47719" xr:uid="{00000000-0005-0000-0000-0000B7980000}"/>
    <cellStyle name="Comma 3 7 2 2 3 2 3 4" xfId="26889" xr:uid="{00000000-0005-0000-0000-0000B8980000}"/>
    <cellStyle name="Comma 3 7 2 2 3 2 4" xfId="6058" xr:uid="{00000000-0005-0000-0000-0000B9980000}"/>
    <cellStyle name="Comma 3 7 2 2 3 2 4 2" xfId="19545" xr:uid="{00000000-0005-0000-0000-0000BA980000}"/>
    <cellStyle name="Comma 3 7 2 2 3 2 4 2 2" xfId="42823" xr:uid="{00000000-0005-0000-0000-0000BB980000}"/>
    <cellStyle name="Comma 3 7 2 2 3 2 4 3" xfId="29337" xr:uid="{00000000-0005-0000-0000-0000BC980000}"/>
    <cellStyle name="Comma 3 7 2 2 3 2 5" xfId="8506" xr:uid="{00000000-0005-0000-0000-0000BD980000}"/>
    <cellStyle name="Comma 3 7 2 2 3 2 5 2" xfId="31785" xr:uid="{00000000-0005-0000-0000-0000BE980000}"/>
    <cellStyle name="Comma 3 7 2 2 3 2 6" xfId="10954" xr:uid="{00000000-0005-0000-0000-0000BF980000}"/>
    <cellStyle name="Comma 3 7 2 2 3 2 6 2" xfId="34233" xr:uid="{00000000-0005-0000-0000-0000C0980000}"/>
    <cellStyle name="Comma 3 7 2 2 3 2 7" xfId="13402" xr:uid="{00000000-0005-0000-0000-0000C1980000}"/>
    <cellStyle name="Comma 3 7 2 2 3 2 7 2" xfId="36681" xr:uid="{00000000-0005-0000-0000-0000C2980000}"/>
    <cellStyle name="Comma 3 7 2 2 3 2 8" xfId="15873" xr:uid="{00000000-0005-0000-0000-0000C3980000}"/>
    <cellStyle name="Comma 3 7 2 2 3 2 8 2" xfId="39151" xr:uid="{00000000-0005-0000-0000-0000C4980000}"/>
    <cellStyle name="Comma 3 7 2 2 3 2 9" xfId="24441" xr:uid="{00000000-0005-0000-0000-0000C5980000}"/>
    <cellStyle name="Comma 3 7 2 2 3 3" xfId="1774" xr:uid="{00000000-0005-0000-0000-0000C6980000}"/>
    <cellStyle name="Comma 3 7 2 2 3 3 10" xfId="22605" xr:uid="{00000000-0005-0000-0000-0000C7980000}"/>
    <cellStyle name="Comma 3 7 2 2 3 3 2" xfId="4222" xr:uid="{00000000-0005-0000-0000-0000C8980000}"/>
    <cellStyle name="Comma 3 7 2 2 3 3 2 2" xfId="20157" xr:uid="{00000000-0005-0000-0000-0000C9980000}"/>
    <cellStyle name="Comma 3 7 2 2 3 3 2 2 2" xfId="43435" xr:uid="{00000000-0005-0000-0000-0000CA980000}"/>
    <cellStyle name="Comma 3 7 2 2 3 3 2 3" xfId="48331" xr:uid="{00000000-0005-0000-0000-0000CB980000}"/>
    <cellStyle name="Comma 3 7 2 2 3 3 2 4" xfId="27501" xr:uid="{00000000-0005-0000-0000-0000CC980000}"/>
    <cellStyle name="Comma 3 7 2 2 3 3 3" xfId="6670" xr:uid="{00000000-0005-0000-0000-0000CD980000}"/>
    <cellStyle name="Comma 3 7 2 2 3 3 3 2" xfId="29949" xr:uid="{00000000-0005-0000-0000-0000CE980000}"/>
    <cellStyle name="Comma 3 7 2 2 3 3 4" xfId="9118" xr:uid="{00000000-0005-0000-0000-0000CF980000}"/>
    <cellStyle name="Comma 3 7 2 2 3 3 4 2" xfId="32397" xr:uid="{00000000-0005-0000-0000-0000D0980000}"/>
    <cellStyle name="Comma 3 7 2 2 3 3 5" xfId="11566" xr:uid="{00000000-0005-0000-0000-0000D1980000}"/>
    <cellStyle name="Comma 3 7 2 2 3 3 5 2" xfId="34845" xr:uid="{00000000-0005-0000-0000-0000D2980000}"/>
    <cellStyle name="Comma 3 7 2 2 3 3 6" xfId="14014" xr:uid="{00000000-0005-0000-0000-0000D3980000}"/>
    <cellStyle name="Comma 3 7 2 2 3 3 6 2" xfId="37293" xr:uid="{00000000-0005-0000-0000-0000D4980000}"/>
    <cellStyle name="Comma 3 7 2 2 3 3 7" xfId="17709" xr:uid="{00000000-0005-0000-0000-0000D5980000}"/>
    <cellStyle name="Comma 3 7 2 2 3 3 7 2" xfId="40987" xr:uid="{00000000-0005-0000-0000-0000D6980000}"/>
    <cellStyle name="Comma 3 7 2 2 3 3 8" xfId="25053" xr:uid="{00000000-0005-0000-0000-0000D7980000}"/>
    <cellStyle name="Comma 3 7 2 2 3 3 9" xfId="45883" xr:uid="{00000000-0005-0000-0000-0000D8980000}"/>
    <cellStyle name="Comma 3 7 2 2 3 4" xfId="2998" xr:uid="{00000000-0005-0000-0000-0000D9980000}"/>
    <cellStyle name="Comma 3 7 2 2 3 4 2" xfId="16485" xr:uid="{00000000-0005-0000-0000-0000DA980000}"/>
    <cellStyle name="Comma 3 7 2 2 3 4 2 2" xfId="39763" xr:uid="{00000000-0005-0000-0000-0000DB980000}"/>
    <cellStyle name="Comma 3 7 2 2 3 4 3" xfId="47107" xr:uid="{00000000-0005-0000-0000-0000DC980000}"/>
    <cellStyle name="Comma 3 7 2 2 3 4 4" xfId="26277" xr:uid="{00000000-0005-0000-0000-0000DD980000}"/>
    <cellStyle name="Comma 3 7 2 2 3 5" xfId="5446" xr:uid="{00000000-0005-0000-0000-0000DE980000}"/>
    <cellStyle name="Comma 3 7 2 2 3 5 2" xfId="18933" xr:uid="{00000000-0005-0000-0000-0000DF980000}"/>
    <cellStyle name="Comma 3 7 2 2 3 5 2 2" xfId="42211" xr:uid="{00000000-0005-0000-0000-0000E0980000}"/>
    <cellStyle name="Comma 3 7 2 2 3 5 3" xfId="28725" xr:uid="{00000000-0005-0000-0000-0000E1980000}"/>
    <cellStyle name="Comma 3 7 2 2 3 6" xfId="7894" xr:uid="{00000000-0005-0000-0000-0000E2980000}"/>
    <cellStyle name="Comma 3 7 2 2 3 6 2" xfId="31173" xr:uid="{00000000-0005-0000-0000-0000E3980000}"/>
    <cellStyle name="Comma 3 7 2 2 3 7" xfId="10342" xr:uid="{00000000-0005-0000-0000-0000E4980000}"/>
    <cellStyle name="Comma 3 7 2 2 3 7 2" xfId="33621" xr:uid="{00000000-0005-0000-0000-0000E5980000}"/>
    <cellStyle name="Comma 3 7 2 2 3 8" xfId="12790" xr:uid="{00000000-0005-0000-0000-0000E6980000}"/>
    <cellStyle name="Comma 3 7 2 2 3 8 2" xfId="36069" xr:uid="{00000000-0005-0000-0000-0000E7980000}"/>
    <cellStyle name="Comma 3 7 2 2 3 9" xfId="15261" xr:uid="{00000000-0005-0000-0000-0000E8980000}"/>
    <cellStyle name="Comma 3 7 2 2 3 9 2" xfId="38539" xr:uid="{00000000-0005-0000-0000-0000E9980000}"/>
    <cellStyle name="Comma 3 7 2 2 4" xfId="754" xr:uid="{00000000-0005-0000-0000-0000EA980000}"/>
    <cellStyle name="Comma 3 7 2 2 4 10" xfId="44863" xr:uid="{00000000-0005-0000-0000-0000EB980000}"/>
    <cellStyle name="Comma 3 7 2 2 4 11" xfId="21585" xr:uid="{00000000-0005-0000-0000-0000EC980000}"/>
    <cellStyle name="Comma 3 7 2 2 4 2" xfId="1978" xr:uid="{00000000-0005-0000-0000-0000ED980000}"/>
    <cellStyle name="Comma 3 7 2 2 4 2 10" xfId="22809" xr:uid="{00000000-0005-0000-0000-0000EE980000}"/>
    <cellStyle name="Comma 3 7 2 2 4 2 2" xfId="4426" xr:uid="{00000000-0005-0000-0000-0000EF980000}"/>
    <cellStyle name="Comma 3 7 2 2 4 2 2 2" xfId="20361" xr:uid="{00000000-0005-0000-0000-0000F0980000}"/>
    <cellStyle name="Comma 3 7 2 2 4 2 2 2 2" xfId="43639" xr:uid="{00000000-0005-0000-0000-0000F1980000}"/>
    <cellStyle name="Comma 3 7 2 2 4 2 2 3" xfId="48535" xr:uid="{00000000-0005-0000-0000-0000F2980000}"/>
    <cellStyle name="Comma 3 7 2 2 4 2 2 4" xfId="27705" xr:uid="{00000000-0005-0000-0000-0000F3980000}"/>
    <cellStyle name="Comma 3 7 2 2 4 2 3" xfId="6874" xr:uid="{00000000-0005-0000-0000-0000F4980000}"/>
    <cellStyle name="Comma 3 7 2 2 4 2 3 2" xfId="30153" xr:uid="{00000000-0005-0000-0000-0000F5980000}"/>
    <cellStyle name="Comma 3 7 2 2 4 2 4" xfId="9322" xr:uid="{00000000-0005-0000-0000-0000F6980000}"/>
    <cellStyle name="Comma 3 7 2 2 4 2 4 2" xfId="32601" xr:uid="{00000000-0005-0000-0000-0000F7980000}"/>
    <cellStyle name="Comma 3 7 2 2 4 2 5" xfId="11770" xr:uid="{00000000-0005-0000-0000-0000F8980000}"/>
    <cellStyle name="Comma 3 7 2 2 4 2 5 2" xfId="35049" xr:uid="{00000000-0005-0000-0000-0000F9980000}"/>
    <cellStyle name="Comma 3 7 2 2 4 2 6" xfId="14218" xr:uid="{00000000-0005-0000-0000-0000FA980000}"/>
    <cellStyle name="Comma 3 7 2 2 4 2 6 2" xfId="37497" xr:uid="{00000000-0005-0000-0000-0000FB980000}"/>
    <cellStyle name="Comma 3 7 2 2 4 2 7" xfId="17913" xr:uid="{00000000-0005-0000-0000-0000FC980000}"/>
    <cellStyle name="Comma 3 7 2 2 4 2 7 2" xfId="41191" xr:uid="{00000000-0005-0000-0000-0000FD980000}"/>
    <cellStyle name="Comma 3 7 2 2 4 2 8" xfId="25257" xr:uid="{00000000-0005-0000-0000-0000FE980000}"/>
    <cellStyle name="Comma 3 7 2 2 4 2 9" xfId="46087" xr:uid="{00000000-0005-0000-0000-0000FF980000}"/>
    <cellStyle name="Comma 3 7 2 2 4 3" xfId="3202" xr:uid="{00000000-0005-0000-0000-000000990000}"/>
    <cellStyle name="Comma 3 7 2 2 4 3 2" xfId="16689" xr:uid="{00000000-0005-0000-0000-000001990000}"/>
    <cellStyle name="Comma 3 7 2 2 4 3 2 2" xfId="39967" xr:uid="{00000000-0005-0000-0000-000002990000}"/>
    <cellStyle name="Comma 3 7 2 2 4 3 3" xfId="47311" xr:uid="{00000000-0005-0000-0000-000003990000}"/>
    <cellStyle name="Comma 3 7 2 2 4 3 4" xfId="26481" xr:uid="{00000000-0005-0000-0000-000004990000}"/>
    <cellStyle name="Comma 3 7 2 2 4 4" xfId="5650" xr:uid="{00000000-0005-0000-0000-000005990000}"/>
    <cellStyle name="Comma 3 7 2 2 4 4 2" xfId="19137" xr:uid="{00000000-0005-0000-0000-000006990000}"/>
    <cellStyle name="Comma 3 7 2 2 4 4 2 2" xfId="42415" xr:uid="{00000000-0005-0000-0000-000007990000}"/>
    <cellStyle name="Comma 3 7 2 2 4 4 3" xfId="28929" xr:uid="{00000000-0005-0000-0000-000008990000}"/>
    <cellStyle name="Comma 3 7 2 2 4 5" xfId="8098" xr:uid="{00000000-0005-0000-0000-000009990000}"/>
    <cellStyle name="Comma 3 7 2 2 4 5 2" xfId="31377" xr:uid="{00000000-0005-0000-0000-00000A990000}"/>
    <cellStyle name="Comma 3 7 2 2 4 6" xfId="10546" xr:uid="{00000000-0005-0000-0000-00000B990000}"/>
    <cellStyle name="Comma 3 7 2 2 4 6 2" xfId="33825" xr:uid="{00000000-0005-0000-0000-00000C990000}"/>
    <cellStyle name="Comma 3 7 2 2 4 7" xfId="12994" xr:uid="{00000000-0005-0000-0000-00000D990000}"/>
    <cellStyle name="Comma 3 7 2 2 4 7 2" xfId="36273" xr:uid="{00000000-0005-0000-0000-00000E990000}"/>
    <cellStyle name="Comma 3 7 2 2 4 8" xfId="15465" xr:uid="{00000000-0005-0000-0000-00000F990000}"/>
    <cellStyle name="Comma 3 7 2 2 4 8 2" xfId="38743" xr:uid="{00000000-0005-0000-0000-000010990000}"/>
    <cellStyle name="Comma 3 7 2 2 4 9" xfId="24033" xr:uid="{00000000-0005-0000-0000-000011990000}"/>
    <cellStyle name="Comma 3 7 2 2 5" xfId="1366" xr:uid="{00000000-0005-0000-0000-000012990000}"/>
    <cellStyle name="Comma 3 7 2 2 5 10" xfId="22197" xr:uid="{00000000-0005-0000-0000-000013990000}"/>
    <cellStyle name="Comma 3 7 2 2 5 2" xfId="3814" xr:uid="{00000000-0005-0000-0000-000014990000}"/>
    <cellStyle name="Comma 3 7 2 2 5 2 2" xfId="19749" xr:uid="{00000000-0005-0000-0000-000015990000}"/>
    <cellStyle name="Comma 3 7 2 2 5 2 2 2" xfId="43027" xr:uid="{00000000-0005-0000-0000-000016990000}"/>
    <cellStyle name="Comma 3 7 2 2 5 2 3" xfId="47923" xr:uid="{00000000-0005-0000-0000-000017990000}"/>
    <cellStyle name="Comma 3 7 2 2 5 2 4" xfId="27093" xr:uid="{00000000-0005-0000-0000-000018990000}"/>
    <cellStyle name="Comma 3 7 2 2 5 3" xfId="6262" xr:uid="{00000000-0005-0000-0000-000019990000}"/>
    <cellStyle name="Comma 3 7 2 2 5 3 2" xfId="29541" xr:uid="{00000000-0005-0000-0000-00001A990000}"/>
    <cellStyle name="Comma 3 7 2 2 5 4" xfId="8710" xr:uid="{00000000-0005-0000-0000-00001B990000}"/>
    <cellStyle name="Comma 3 7 2 2 5 4 2" xfId="31989" xr:uid="{00000000-0005-0000-0000-00001C990000}"/>
    <cellStyle name="Comma 3 7 2 2 5 5" xfId="11158" xr:uid="{00000000-0005-0000-0000-00001D990000}"/>
    <cellStyle name="Comma 3 7 2 2 5 5 2" xfId="34437" xr:uid="{00000000-0005-0000-0000-00001E990000}"/>
    <cellStyle name="Comma 3 7 2 2 5 6" xfId="13606" xr:uid="{00000000-0005-0000-0000-00001F990000}"/>
    <cellStyle name="Comma 3 7 2 2 5 6 2" xfId="36885" xr:uid="{00000000-0005-0000-0000-000020990000}"/>
    <cellStyle name="Comma 3 7 2 2 5 7" xfId="17301" xr:uid="{00000000-0005-0000-0000-000021990000}"/>
    <cellStyle name="Comma 3 7 2 2 5 7 2" xfId="40579" xr:uid="{00000000-0005-0000-0000-000022990000}"/>
    <cellStyle name="Comma 3 7 2 2 5 8" xfId="24645" xr:uid="{00000000-0005-0000-0000-000023990000}"/>
    <cellStyle name="Comma 3 7 2 2 5 9" xfId="45475" xr:uid="{00000000-0005-0000-0000-000024990000}"/>
    <cellStyle name="Comma 3 7 2 2 6" xfId="2590" xr:uid="{00000000-0005-0000-0000-000025990000}"/>
    <cellStyle name="Comma 3 7 2 2 6 2" xfId="16077" xr:uid="{00000000-0005-0000-0000-000026990000}"/>
    <cellStyle name="Comma 3 7 2 2 6 2 2" xfId="39355" xr:uid="{00000000-0005-0000-0000-000027990000}"/>
    <cellStyle name="Comma 3 7 2 2 6 3" xfId="46699" xr:uid="{00000000-0005-0000-0000-000028990000}"/>
    <cellStyle name="Comma 3 7 2 2 6 4" xfId="25869" xr:uid="{00000000-0005-0000-0000-000029990000}"/>
    <cellStyle name="Comma 3 7 2 2 7" xfId="5038" xr:uid="{00000000-0005-0000-0000-00002A990000}"/>
    <cellStyle name="Comma 3 7 2 2 7 2" xfId="18525" xr:uid="{00000000-0005-0000-0000-00002B990000}"/>
    <cellStyle name="Comma 3 7 2 2 7 2 2" xfId="41803" xr:uid="{00000000-0005-0000-0000-00002C990000}"/>
    <cellStyle name="Comma 3 7 2 2 7 3" xfId="28317" xr:uid="{00000000-0005-0000-0000-00002D990000}"/>
    <cellStyle name="Comma 3 7 2 2 8" xfId="7486" xr:uid="{00000000-0005-0000-0000-00002E990000}"/>
    <cellStyle name="Comma 3 7 2 2 8 2" xfId="30765" xr:uid="{00000000-0005-0000-0000-00002F990000}"/>
    <cellStyle name="Comma 3 7 2 2 9" xfId="9934" xr:uid="{00000000-0005-0000-0000-000030990000}"/>
    <cellStyle name="Comma 3 7 2 2 9 2" xfId="33213" xr:uid="{00000000-0005-0000-0000-000031990000}"/>
    <cellStyle name="Comma 3 7 2 3" xfId="210" xr:uid="{00000000-0005-0000-0000-000032990000}"/>
    <cellStyle name="Comma 3 7 2 3 10" xfId="12450" xr:uid="{00000000-0005-0000-0000-000033990000}"/>
    <cellStyle name="Comma 3 7 2 3 10 2" xfId="35729" xr:uid="{00000000-0005-0000-0000-000034990000}"/>
    <cellStyle name="Comma 3 7 2 3 11" xfId="14921" xr:uid="{00000000-0005-0000-0000-000035990000}"/>
    <cellStyle name="Comma 3 7 2 3 11 2" xfId="38199" xr:uid="{00000000-0005-0000-0000-000036990000}"/>
    <cellStyle name="Comma 3 7 2 3 12" xfId="23489" xr:uid="{00000000-0005-0000-0000-000037990000}"/>
    <cellStyle name="Comma 3 7 2 3 13" xfId="44319" xr:uid="{00000000-0005-0000-0000-000038990000}"/>
    <cellStyle name="Comma 3 7 2 3 14" xfId="21041" xr:uid="{00000000-0005-0000-0000-000039990000}"/>
    <cellStyle name="Comma 3 7 2 3 2" xfId="414" xr:uid="{00000000-0005-0000-0000-00003A990000}"/>
    <cellStyle name="Comma 3 7 2 3 2 10" xfId="23693" xr:uid="{00000000-0005-0000-0000-00003B990000}"/>
    <cellStyle name="Comma 3 7 2 3 2 11" xfId="44523" xr:uid="{00000000-0005-0000-0000-00003C990000}"/>
    <cellStyle name="Comma 3 7 2 3 2 12" xfId="21245" xr:uid="{00000000-0005-0000-0000-00003D990000}"/>
    <cellStyle name="Comma 3 7 2 3 2 2" xfId="1026" xr:uid="{00000000-0005-0000-0000-00003E990000}"/>
    <cellStyle name="Comma 3 7 2 3 2 2 10" xfId="45135" xr:uid="{00000000-0005-0000-0000-00003F990000}"/>
    <cellStyle name="Comma 3 7 2 3 2 2 11" xfId="21857" xr:uid="{00000000-0005-0000-0000-000040990000}"/>
    <cellStyle name="Comma 3 7 2 3 2 2 2" xfId="2250" xr:uid="{00000000-0005-0000-0000-000041990000}"/>
    <cellStyle name="Comma 3 7 2 3 2 2 2 10" xfId="23081" xr:uid="{00000000-0005-0000-0000-000042990000}"/>
    <cellStyle name="Comma 3 7 2 3 2 2 2 2" xfId="4698" xr:uid="{00000000-0005-0000-0000-000043990000}"/>
    <cellStyle name="Comma 3 7 2 3 2 2 2 2 2" xfId="20633" xr:uid="{00000000-0005-0000-0000-000044990000}"/>
    <cellStyle name="Comma 3 7 2 3 2 2 2 2 2 2" xfId="43911" xr:uid="{00000000-0005-0000-0000-000045990000}"/>
    <cellStyle name="Comma 3 7 2 3 2 2 2 2 3" xfId="48807" xr:uid="{00000000-0005-0000-0000-000046990000}"/>
    <cellStyle name="Comma 3 7 2 3 2 2 2 2 4" xfId="27977" xr:uid="{00000000-0005-0000-0000-000047990000}"/>
    <cellStyle name="Comma 3 7 2 3 2 2 2 3" xfId="7146" xr:uid="{00000000-0005-0000-0000-000048990000}"/>
    <cellStyle name="Comma 3 7 2 3 2 2 2 3 2" xfId="30425" xr:uid="{00000000-0005-0000-0000-000049990000}"/>
    <cellStyle name="Comma 3 7 2 3 2 2 2 4" xfId="9594" xr:uid="{00000000-0005-0000-0000-00004A990000}"/>
    <cellStyle name="Comma 3 7 2 3 2 2 2 4 2" xfId="32873" xr:uid="{00000000-0005-0000-0000-00004B990000}"/>
    <cellStyle name="Comma 3 7 2 3 2 2 2 5" xfId="12042" xr:uid="{00000000-0005-0000-0000-00004C990000}"/>
    <cellStyle name="Comma 3 7 2 3 2 2 2 5 2" xfId="35321" xr:uid="{00000000-0005-0000-0000-00004D990000}"/>
    <cellStyle name="Comma 3 7 2 3 2 2 2 6" xfId="14490" xr:uid="{00000000-0005-0000-0000-00004E990000}"/>
    <cellStyle name="Comma 3 7 2 3 2 2 2 6 2" xfId="37769" xr:uid="{00000000-0005-0000-0000-00004F990000}"/>
    <cellStyle name="Comma 3 7 2 3 2 2 2 7" xfId="18185" xr:uid="{00000000-0005-0000-0000-000050990000}"/>
    <cellStyle name="Comma 3 7 2 3 2 2 2 7 2" xfId="41463" xr:uid="{00000000-0005-0000-0000-000051990000}"/>
    <cellStyle name="Comma 3 7 2 3 2 2 2 8" xfId="25529" xr:uid="{00000000-0005-0000-0000-000052990000}"/>
    <cellStyle name="Comma 3 7 2 3 2 2 2 9" xfId="46359" xr:uid="{00000000-0005-0000-0000-000053990000}"/>
    <cellStyle name="Comma 3 7 2 3 2 2 3" xfId="3474" xr:uid="{00000000-0005-0000-0000-000054990000}"/>
    <cellStyle name="Comma 3 7 2 3 2 2 3 2" xfId="16961" xr:uid="{00000000-0005-0000-0000-000055990000}"/>
    <cellStyle name="Comma 3 7 2 3 2 2 3 2 2" xfId="40239" xr:uid="{00000000-0005-0000-0000-000056990000}"/>
    <cellStyle name="Comma 3 7 2 3 2 2 3 3" xfId="47583" xr:uid="{00000000-0005-0000-0000-000057990000}"/>
    <cellStyle name="Comma 3 7 2 3 2 2 3 4" xfId="26753" xr:uid="{00000000-0005-0000-0000-000058990000}"/>
    <cellStyle name="Comma 3 7 2 3 2 2 4" xfId="5922" xr:uid="{00000000-0005-0000-0000-000059990000}"/>
    <cellStyle name="Comma 3 7 2 3 2 2 4 2" xfId="19409" xr:uid="{00000000-0005-0000-0000-00005A990000}"/>
    <cellStyle name="Comma 3 7 2 3 2 2 4 2 2" xfId="42687" xr:uid="{00000000-0005-0000-0000-00005B990000}"/>
    <cellStyle name="Comma 3 7 2 3 2 2 4 3" xfId="29201" xr:uid="{00000000-0005-0000-0000-00005C990000}"/>
    <cellStyle name="Comma 3 7 2 3 2 2 5" xfId="8370" xr:uid="{00000000-0005-0000-0000-00005D990000}"/>
    <cellStyle name="Comma 3 7 2 3 2 2 5 2" xfId="31649" xr:uid="{00000000-0005-0000-0000-00005E990000}"/>
    <cellStyle name="Comma 3 7 2 3 2 2 6" xfId="10818" xr:uid="{00000000-0005-0000-0000-00005F990000}"/>
    <cellStyle name="Comma 3 7 2 3 2 2 6 2" xfId="34097" xr:uid="{00000000-0005-0000-0000-000060990000}"/>
    <cellStyle name="Comma 3 7 2 3 2 2 7" xfId="13266" xr:uid="{00000000-0005-0000-0000-000061990000}"/>
    <cellStyle name="Comma 3 7 2 3 2 2 7 2" xfId="36545" xr:uid="{00000000-0005-0000-0000-000062990000}"/>
    <cellStyle name="Comma 3 7 2 3 2 2 8" xfId="15737" xr:uid="{00000000-0005-0000-0000-000063990000}"/>
    <cellStyle name="Comma 3 7 2 3 2 2 8 2" xfId="39015" xr:uid="{00000000-0005-0000-0000-000064990000}"/>
    <cellStyle name="Comma 3 7 2 3 2 2 9" xfId="24305" xr:uid="{00000000-0005-0000-0000-000065990000}"/>
    <cellStyle name="Comma 3 7 2 3 2 3" xfId="1638" xr:uid="{00000000-0005-0000-0000-000066990000}"/>
    <cellStyle name="Comma 3 7 2 3 2 3 10" xfId="22469" xr:uid="{00000000-0005-0000-0000-000067990000}"/>
    <cellStyle name="Comma 3 7 2 3 2 3 2" xfId="4086" xr:uid="{00000000-0005-0000-0000-000068990000}"/>
    <cellStyle name="Comma 3 7 2 3 2 3 2 2" xfId="20021" xr:uid="{00000000-0005-0000-0000-000069990000}"/>
    <cellStyle name="Comma 3 7 2 3 2 3 2 2 2" xfId="43299" xr:uid="{00000000-0005-0000-0000-00006A990000}"/>
    <cellStyle name="Comma 3 7 2 3 2 3 2 3" xfId="48195" xr:uid="{00000000-0005-0000-0000-00006B990000}"/>
    <cellStyle name="Comma 3 7 2 3 2 3 2 4" xfId="27365" xr:uid="{00000000-0005-0000-0000-00006C990000}"/>
    <cellStyle name="Comma 3 7 2 3 2 3 3" xfId="6534" xr:uid="{00000000-0005-0000-0000-00006D990000}"/>
    <cellStyle name="Comma 3 7 2 3 2 3 3 2" xfId="29813" xr:uid="{00000000-0005-0000-0000-00006E990000}"/>
    <cellStyle name="Comma 3 7 2 3 2 3 4" xfId="8982" xr:uid="{00000000-0005-0000-0000-00006F990000}"/>
    <cellStyle name="Comma 3 7 2 3 2 3 4 2" xfId="32261" xr:uid="{00000000-0005-0000-0000-000070990000}"/>
    <cellStyle name="Comma 3 7 2 3 2 3 5" xfId="11430" xr:uid="{00000000-0005-0000-0000-000071990000}"/>
    <cellStyle name="Comma 3 7 2 3 2 3 5 2" xfId="34709" xr:uid="{00000000-0005-0000-0000-000072990000}"/>
    <cellStyle name="Comma 3 7 2 3 2 3 6" xfId="13878" xr:uid="{00000000-0005-0000-0000-000073990000}"/>
    <cellStyle name="Comma 3 7 2 3 2 3 6 2" xfId="37157" xr:uid="{00000000-0005-0000-0000-000074990000}"/>
    <cellStyle name="Comma 3 7 2 3 2 3 7" xfId="17573" xr:uid="{00000000-0005-0000-0000-000075990000}"/>
    <cellStyle name="Comma 3 7 2 3 2 3 7 2" xfId="40851" xr:uid="{00000000-0005-0000-0000-000076990000}"/>
    <cellStyle name="Comma 3 7 2 3 2 3 8" xfId="24917" xr:uid="{00000000-0005-0000-0000-000077990000}"/>
    <cellStyle name="Comma 3 7 2 3 2 3 9" xfId="45747" xr:uid="{00000000-0005-0000-0000-000078990000}"/>
    <cellStyle name="Comma 3 7 2 3 2 4" xfId="2862" xr:uid="{00000000-0005-0000-0000-000079990000}"/>
    <cellStyle name="Comma 3 7 2 3 2 4 2" xfId="16349" xr:uid="{00000000-0005-0000-0000-00007A990000}"/>
    <cellStyle name="Comma 3 7 2 3 2 4 2 2" xfId="39627" xr:uid="{00000000-0005-0000-0000-00007B990000}"/>
    <cellStyle name="Comma 3 7 2 3 2 4 3" xfId="46971" xr:uid="{00000000-0005-0000-0000-00007C990000}"/>
    <cellStyle name="Comma 3 7 2 3 2 4 4" xfId="26141" xr:uid="{00000000-0005-0000-0000-00007D990000}"/>
    <cellStyle name="Comma 3 7 2 3 2 5" xfId="5310" xr:uid="{00000000-0005-0000-0000-00007E990000}"/>
    <cellStyle name="Comma 3 7 2 3 2 5 2" xfId="18797" xr:uid="{00000000-0005-0000-0000-00007F990000}"/>
    <cellStyle name="Comma 3 7 2 3 2 5 2 2" xfId="42075" xr:uid="{00000000-0005-0000-0000-000080990000}"/>
    <cellStyle name="Comma 3 7 2 3 2 5 3" xfId="28589" xr:uid="{00000000-0005-0000-0000-000081990000}"/>
    <cellStyle name="Comma 3 7 2 3 2 6" xfId="7758" xr:uid="{00000000-0005-0000-0000-000082990000}"/>
    <cellStyle name="Comma 3 7 2 3 2 6 2" xfId="31037" xr:uid="{00000000-0005-0000-0000-000083990000}"/>
    <cellStyle name="Comma 3 7 2 3 2 7" xfId="10206" xr:uid="{00000000-0005-0000-0000-000084990000}"/>
    <cellStyle name="Comma 3 7 2 3 2 7 2" xfId="33485" xr:uid="{00000000-0005-0000-0000-000085990000}"/>
    <cellStyle name="Comma 3 7 2 3 2 8" xfId="12654" xr:uid="{00000000-0005-0000-0000-000086990000}"/>
    <cellStyle name="Comma 3 7 2 3 2 8 2" xfId="35933" xr:uid="{00000000-0005-0000-0000-000087990000}"/>
    <cellStyle name="Comma 3 7 2 3 2 9" xfId="15125" xr:uid="{00000000-0005-0000-0000-000088990000}"/>
    <cellStyle name="Comma 3 7 2 3 2 9 2" xfId="38403" xr:uid="{00000000-0005-0000-0000-000089990000}"/>
    <cellStyle name="Comma 3 7 2 3 3" xfId="618" xr:uid="{00000000-0005-0000-0000-00008A990000}"/>
    <cellStyle name="Comma 3 7 2 3 3 10" xfId="23897" xr:uid="{00000000-0005-0000-0000-00008B990000}"/>
    <cellStyle name="Comma 3 7 2 3 3 11" xfId="44727" xr:uid="{00000000-0005-0000-0000-00008C990000}"/>
    <cellStyle name="Comma 3 7 2 3 3 12" xfId="21449" xr:uid="{00000000-0005-0000-0000-00008D990000}"/>
    <cellStyle name="Comma 3 7 2 3 3 2" xfId="1230" xr:uid="{00000000-0005-0000-0000-00008E990000}"/>
    <cellStyle name="Comma 3 7 2 3 3 2 10" xfId="45339" xr:uid="{00000000-0005-0000-0000-00008F990000}"/>
    <cellStyle name="Comma 3 7 2 3 3 2 11" xfId="22061" xr:uid="{00000000-0005-0000-0000-000090990000}"/>
    <cellStyle name="Comma 3 7 2 3 3 2 2" xfId="2454" xr:uid="{00000000-0005-0000-0000-000091990000}"/>
    <cellStyle name="Comma 3 7 2 3 3 2 2 10" xfId="23285" xr:uid="{00000000-0005-0000-0000-000092990000}"/>
    <cellStyle name="Comma 3 7 2 3 3 2 2 2" xfId="4902" xr:uid="{00000000-0005-0000-0000-000093990000}"/>
    <cellStyle name="Comma 3 7 2 3 3 2 2 2 2" xfId="20837" xr:uid="{00000000-0005-0000-0000-000094990000}"/>
    <cellStyle name="Comma 3 7 2 3 3 2 2 2 2 2" xfId="44115" xr:uid="{00000000-0005-0000-0000-000095990000}"/>
    <cellStyle name="Comma 3 7 2 3 3 2 2 2 3" xfId="49011" xr:uid="{00000000-0005-0000-0000-000096990000}"/>
    <cellStyle name="Comma 3 7 2 3 3 2 2 2 4" xfId="28181" xr:uid="{00000000-0005-0000-0000-000097990000}"/>
    <cellStyle name="Comma 3 7 2 3 3 2 2 3" xfId="7350" xr:uid="{00000000-0005-0000-0000-000098990000}"/>
    <cellStyle name="Comma 3 7 2 3 3 2 2 3 2" xfId="30629" xr:uid="{00000000-0005-0000-0000-000099990000}"/>
    <cellStyle name="Comma 3 7 2 3 3 2 2 4" xfId="9798" xr:uid="{00000000-0005-0000-0000-00009A990000}"/>
    <cellStyle name="Comma 3 7 2 3 3 2 2 4 2" xfId="33077" xr:uid="{00000000-0005-0000-0000-00009B990000}"/>
    <cellStyle name="Comma 3 7 2 3 3 2 2 5" xfId="12246" xr:uid="{00000000-0005-0000-0000-00009C990000}"/>
    <cellStyle name="Comma 3 7 2 3 3 2 2 5 2" xfId="35525" xr:uid="{00000000-0005-0000-0000-00009D990000}"/>
    <cellStyle name="Comma 3 7 2 3 3 2 2 6" xfId="14694" xr:uid="{00000000-0005-0000-0000-00009E990000}"/>
    <cellStyle name="Comma 3 7 2 3 3 2 2 6 2" xfId="37973" xr:uid="{00000000-0005-0000-0000-00009F990000}"/>
    <cellStyle name="Comma 3 7 2 3 3 2 2 7" xfId="18389" xr:uid="{00000000-0005-0000-0000-0000A0990000}"/>
    <cellStyle name="Comma 3 7 2 3 3 2 2 7 2" xfId="41667" xr:uid="{00000000-0005-0000-0000-0000A1990000}"/>
    <cellStyle name="Comma 3 7 2 3 3 2 2 8" xfId="25733" xr:uid="{00000000-0005-0000-0000-0000A2990000}"/>
    <cellStyle name="Comma 3 7 2 3 3 2 2 9" xfId="46563" xr:uid="{00000000-0005-0000-0000-0000A3990000}"/>
    <cellStyle name="Comma 3 7 2 3 3 2 3" xfId="3678" xr:uid="{00000000-0005-0000-0000-0000A4990000}"/>
    <cellStyle name="Comma 3 7 2 3 3 2 3 2" xfId="17165" xr:uid="{00000000-0005-0000-0000-0000A5990000}"/>
    <cellStyle name="Comma 3 7 2 3 3 2 3 2 2" xfId="40443" xr:uid="{00000000-0005-0000-0000-0000A6990000}"/>
    <cellStyle name="Comma 3 7 2 3 3 2 3 3" xfId="47787" xr:uid="{00000000-0005-0000-0000-0000A7990000}"/>
    <cellStyle name="Comma 3 7 2 3 3 2 3 4" xfId="26957" xr:uid="{00000000-0005-0000-0000-0000A8990000}"/>
    <cellStyle name="Comma 3 7 2 3 3 2 4" xfId="6126" xr:uid="{00000000-0005-0000-0000-0000A9990000}"/>
    <cellStyle name="Comma 3 7 2 3 3 2 4 2" xfId="19613" xr:uid="{00000000-0005-0000-0000-0000AA990000}"/>
    <cellStyle name="Comma 3 7 2 3 3 2 4 2 2" xfId="42891" xr:uid="{00000000-0005-0000-0000-0000AB990000}"/>
    <cellStyle name="Comma 3 7 2 3 3 2 4 3" xfId="29405" xr:uid="{00000000-0005-0000-0000-0000AC990000}"/>
    <cellStyle name="Comma 3 7 2 3 3 2 5" xfId="8574" xr:uid="{00000000-0005-0000-0000-0000AD990000}"/>
    <cellStyle name="Comma 3 7 2 3 3 2 5 2" xfId="31853" xr:uid="{00000000-0005-0000-0000-0000AE990000}"/>
    <cellStyle name="Comma 3 7 2 3 3 2 6" xfId="11022" xr:uid="{00000000-0005-0000-0000-0000AF990000}"/>
    <cellStyle name="Comma 3 7 2 3 3 2 6 2" xfId="34301" xr:uid="{00000000-0005-0000-0000-0000B0990000}"/>
    <cellStyle name="Comma 3 7 2 3 3 2 7" xfId="13470" xr:uid="{00000000-0005-0000-0000-0000B1990000}"/>
    <cellStyle name="Comma 3 7 2 3 3 2 7 2" xfId="36749" xr:uid="{00000000-0005-0000-0000-0000B2990000}"/>
    <cellStyle name="Comma 3 7 2 3 3 2 8" xfId="15941" xr:uid="{00000000-0005-0000-0000-0000B3990000}"/>
    <cellStyle name="Comma 3 7 2 3 3 2 8 2" xfId="39219" xr:uid="{00000000-0005-0000-0000-0000B4990000}"/>
    <cellStyle name="Comma 3 7 2 3 3 2 9" xfId="24509" xr:uid="{00000000-0005-0000-0000-0000B5990000}"/>
    <cellStyle name="Comma 3 7 2 3 3 3" xfId="1842" xr:uid="{00000000-0005-0000-0000-0000B6990000}"/>
    <cellStyle name="Comma 3 7 2 3 3 3 10" xfId="22673" xr:uid="{00000000-0005-0000-0000-0000B7990000}"/>
    <cellStyle name="Comma 3 7 2 3 3 3 2" xfId="4290" xr:uid="{00000000-0005-0000-0000-0000B8990000}"/>
    <cellStyle name="Comma 3 7 2 3 3 3 2 2" xfId="20225" xr:uid="{00000000-0005-0000-0000-0000B9990000}"/>
    <cellStyle name="Comma 3 7 2 3 3 3 2 2 2" xfId="43503" xr:uid="{00000000-0005-0000-0000-0000BA990000}"/>
    <cellStyle name="Comma 3 7 2 3 3 3 2 3" xfId="48399" xr:uid="{00000000-0005-0000-0000-0000BB990000}"/>
    <cellStyle name="Comma 3 7 2 3 3 3 2 4" xfId="27569" xr:uid="{00000000-0005-0000-0000-0000BC990000}"/>
    <cellStyle name="Comma 3 7 2 3 3 3 3" xfId="6738" xr:uid="{00000000-0005-0000-0000-0000BD990000}"/>
    <cellStyle name="Comma 3 7 2 3 3 3 3 2" xfId="30017" xr:uid="{00000000-0005-0000-0000-0000BE990000}"/>
    <cellStyle name="Comma 3 7 2 3 3 3 4" xfId="9186" xr:uid="{00000000-0005-0000-0000-0000BF990000}"/>
    <cellStyle name="Comma 3 7 2 3 3 3 4 2" xfId="32465" xr:uid="{00000000-0005-0000-0000-0000C0990000}"/>
    <cellStyle name="Comma 3 7 2 3 3 3 5" xfId="11634" xr:uid="{00000000-0005-0000-0000-0000C1990000}"/>
    <cellStyle name="Comma 3 7 2 3 3 3 5 2" xfId="34913" xr:uid="{00000000-0005-0000-0000-0000C2990000}"/>
    <cellStyle name="Comma 3 7 2 3 3 3 6" xfId="14082" xr:uid="{00000000-0005-0000-0000-0000C3990000}"/>
    <cellStyle name="Comma 3 7 2 3 3 3 6 2" xfId="37361" xr:uid="{00000000-0005-0000-0000-0000C4990000}"/>
    <cellStyle name="Comma 3 7 2 3 3 3 7" xfId="17777" xr:uid="{00000000-0005-0000-0000-0000C5990000}"/>
    <cellStyle name="Comma 3 7 2 3 3 3 7 2" xfId="41055" xr:uid="{00000000-0005-0000-0000-0000C6990000}"/>
    <cellStyle name="Comma 3 7 2 3 3 3 8" xfId="25121" xr:uid="{00000000-0005-0000-0000-0000C7990000}"/>
    <cellStyle name="Comma 3 7 2 3 3 3 9" xfId="45951" xr:uid="{00000000-0005-0000-0000-0000C8990000}"/>
    <cellStyle name="Comma 3 7 2 3 3 4" xfId="3066" xr:uid="{00000000-0005-0000-0000-0000C9990000}"/>
    <cellStyle name="Comma 3 7 2 3 3 4 2" xfId="16553" xr:uid="{00000000-0005-0000-0000-0000CA990000}"/>
    <cellStyle name="Comma 3 7 2 3 3 4 2 2" xfId="39831" xr:uid="{00000000-0005-0000-0000-0000CB990000}"/>
    <cellStyle name="Comma 3 7 2 3 3 4 3" xfId="47175" xr:uid="{00000000-0005-0000-0000-0000CC990000}"/>
    <cellStyle name="Comma 3 7 2 3 3 4 4" xfId="26345" xr:uid="{00000000-0005-0000-0000-0000CD990000}"/>
    <cellStyle name="Comma 3 7 2 3 3 5" xfId="5514" xr:uid="{00000000-0005-0000-0000-0000CE990000}"/>
    <cellStyle name="Comma 3 7 2 3 3 5 2" xfId="19001" xr:uid="{00000000-0005-0000-0000-0000CF990000}"/>
    <cellStyle name="Comma 3 7 2 3 3 5 2 2" xfId="42279" xr:uid="{00000000-0005-0000-0000-0000D0990000}"/>
    <cellStyle name="Comma 3 7 2 3 3 5 3" xfId="28793" xr:uid="{00000000-0005-0000-0000-0000D1990000}"/>
    <cellStyle name="Comma 3 7 2 3 3 6" xfId="7962" xr:uid="{00000000-0005-0000-0000-0000D2990000}"/>
    <cellStyle name="Comma 3 7 2 3 3 6 2" xfId="31241" xr:uid="{00000000-0005-0000-0000-0000D3990000}"/>
    <cellStyle name="Comma 3 7 2 3 3 7" xfId="10410" xr:uid="{00000000-0005-0000-0000-0000D4990000}"/>
    <cellStyle name="Comma 3 7 2 3 3 7 2" xfId="33689" xr:uid="{00000000-0005-0000-0000-0000D5990000}"/>
    <cellStyle name="Comma 3 7 2 3 3 8" xfId="12858" xr:uid="{00000000-0005-0000-0000-0000D6990000}"/>
    <cellStyle name="Comma 3 7 2 3 3 8 2" xfId="36137" xr:uid="{00000000-0005-0000-0000-0000D7990000}"/>
    <cellStyle name="Comma 3 7 2 3 3 9" xfId="15329" xr:uid="{00000000-0005-0000-0000-0000D8990000}"/>
    <cellStyle name="Comma 3 7 2 3 3 9 2" xfId="38607" xr:uid="{00000000-0005-0000-0000-0000D9990000}"/>
    <cellStyle name="Comma 3 7 2 3 4" xfId="822" xr:uid="{00000000-0005-0000-0000-0000DA990000}"/>
    <cellStyle name="Comma 3 7 2 3 4 10" xfId="44931" xr:uid="{00000000-0005-0000-0000-0000DB990000}"/>
    <cellStyle name="Comma 3 7 2 3 4 11" xfId="21653" xr:uid="{00000000-0005-0000-0000-0000DC990000}"/>
    <cellStyle name="Comma 3 7 2 3 4 2" xfId="2046" xr:uid="{00000000-0005-0000-0000-0000DD990000}"/>
    <cellStyle name="Comma 3 7 2 3 4 2 10" xfId="22877" xr:uid="{00000000-0005-0000-0000-0000DE990000}"/>
    <cellStyle name="Comma 3 7 2 3 4 2 2" xfId="4494" xr:uid="{00000000-0005-0000-0000-0000DF990000}"/>
    <cellStyle name="Comma 3 7 2 3 4 2 2 2" xfId="20429" xr:uid="{00000000-0005-0000-0000-0000E0990000}"/>
    <cellStyle name="Comma 3 7 2 3 4 2 2 2 2" xfId="43707" xr:uid="{00000000-0005-0000-0000-0000E1990000}"/>
    <cellStyle name="Comma 3 7 2 3 4 2 2 3" xfId="48603" xr:uid="{00000000-0005-0000-0000-0000E2990000}"/>
    <cellStyle name="Comma 3 7 2 3 4 2 2 4" xfId="27773" xr:uid="{00000000-0005-0000-0000-0000E3990000}"/>
    <cellStyle name="Comma 3 7 2 3 4 2 3" xfId="6942" xr:uid="{00000000-0005-0000-0000-0000E4990000}"/>
    <cellStyle name="Comma 3 7 2 3 4 2 3 2" xfId="30221" xr:uid="{00000000-0005-0000-0000-0000E5990000}"/>
    <cellStyle name="Comma 3 7 2 3 4 2 4" xfId="9390" xr:uid="{00000000-0005-0000-0000-0000E6990000}"/>
    <cellStyle name="Comma 3 7 2 3 4 2 4 2" xfId="32669" xr:uid="{00000000-0005-0000-0000-0000E7990000}"/>
    <cellStyle name="Comma 3 7 2 3 4 2 5" xfId="11838" xr:uid="{00000000-0005-0000-0000-0000E8990000}"/>
    <cellStyle name="Comma 3 7 2 3 4 2 5 2" xfId="35117" xr:uid="{00000000-0005-0000-0000-0000E9990000}"/>
    <cellStyle name="Comma 3 7 2 3 4 2 6" xfId="14286" xr:uid="{00000000-0005-0000-0000-0000EA990000}"/>
    <cellStyle name="Comma 3 7 2 3 4 2 6 2" xfId="37565" xr:uid="{00000000-0005-0000-0000-0000EB990000}"/>
    <cellStyle name="Comma 3 7 2 3 4 2 7" xfId="17981" xr:uid="{00000000-0005-0000-0000-0000EC990000}"/>
    <cellStyle name="Comma 3 7 2 3 4 2 7 2" xfId="41259" xr:uid="{00000000-0005-0000-0000-0000ED990000}"/>
    <cellStyle name="Comma 3 7 2 3 4 2 8" xfId="25325" xr:uid="{00000000-0005-0000-0000-0000EE990000}"/>
    <cellStyle name="Comma 3 7 2 3 4 2 9" xfId="46155" xr:uid="{00000000-0005-0000-0000-0000EF990000}"/>
    <cellStyle name="Comma 3 7 2 3 4 3" xfId="3270" xr:uid="{00000000-0005-0000-0000-0000F0990000}"/>
    <cellStyle name="Comma 3 7 2 3 4 3 2" xfId="16757" xr:uid="{00000000-0005-0000-0000-0000F1990000}"/>
    <cellStyle name="Comma 3 7 2 3 4 3 2 2" xfId="40035" xr:uid="{00000000-0005-0000-0000-0000F2990000}"/>
    <cellStyle name="Comma 3 7 2 3 4 3 3" xfId="47379" xr:uid="{00000000-0005-0000-0000-0000F3990000}"/>
    <cellStyle name="Comma 3 7 2 3 4 3 4" xfId="26549" xr:uid="{00000000-0005-0000-0000-0000F4990000}"/>
    <cellStyle name="Comma 3 7 2 3 4 4" xfId="5718" xr:uid="{00000000-0005-0000-0000-0000F5990000}"/>
    <cellStyle name="Comma 3 7 2 3 4 4 2" xfId="19205" xr:uid="{00000000-0005-0000-0000-0000F6990000}"/>
    <cellStyle name="Comma 3 7 2 3 4 4 2 2" xfId="42483" xr:uid="{00000000-0005-0000-0000-0000F7990000}"/>
    <cellStyle name="Comma 3 7 2 3 4 4 3" xfId="28997" xr:uid="{00000000-0005-0000-0000-0000F8990000}"/>
    <cellStyle name="Comma 3 7 2 3 4 5" xfId="8166" xr:uid="{00000000-0005-0000-0000-0000F9990000}"/>
    <cellStyle name="Comma 3 7 2 3 4 5 2" xfId="31445" xr:uid="{00000000-0005-0000-0000-0000FA990000}"/>
    <cellStyle name="Comma 3 7 2 3 4 6" xfId="10614" xr:uid="{00000000-0005-0000-0000-0000FB990000}"/>
    <cellStyle name="Comma 3 7 2 3 4 6 2" xfId="33893" xr:uid="{00000000-0005-0000-0000-0000FC990000}"/>
    <cellStyle name="Comma 3 7 2 3 4 7" xfId="13062" xr:uid="{00000000-0005-0000-0000-0000FD990000}"/>
    <cellStyle name="Comma 3 7 2 3 4 7 2" xfId="36341" xr:uid="{00000000-0005-0000-0000-0000FE990000}"/>
    <cellStyle name="Comma 3 7 2 3 4 8" xfId="15533" xr:uid="{00000000-0005-0000-0000-0000FF990000}"/>
    <cellStyle name="Comma 3 7 2 3 4 8 2" xfId="38811" xr:uid="{00000000-0005-0000-0000-0000009A0000}"/>
    <cellStyle name="Comma 3 7 2 3 4 9" xfId="24101" xr:uid="{00000000-0005-0000-0000-0000019A0000}"/>
    <cellStyle name="Comma 3 7 2 3 5" xfId="1434" xr:uid="{00000000-0005-0000-0000-0000029A0000}"/>
    <cellStyle name="Comma 3 7 2 3 5 10" xfId="22265" xr:uid="{00000000-0005-0000-0000-0000039A0000}"/>
    <cellStyle name="Comma 3 7 2 3 5 2" xfId="3882" xr:uid="{00000000-0005-0000-0000-0000049A0000}"/>
    <cellStyle name="Comma 3 7 2 3 5 2 2" xfId="19817" xr:uid="{00000000-0005-0000-0000-0000059A0000}"/>
    <cellStyle name="Comma 3 7 2 3 5 2 2 2" xfId="43095" xr:uid="{00000000-0005-0000-0000-0000069A0000}"/>
    <cellStyle name="Comma 3 7 2 3 5 2 3" xfId="47991" xr:uid="{00000000-0005-0000-0000-0000079A0000}"/>
    <cellStyle name="Comma 3 7 2 3 5 2 4" xfId="27161" xr:uid="{00000000-0005-0000-0000-0000089A0000}"/>
    <cellStyle name="Comma 3 7 2 3 5 3" xfId="6330" xr:uid="{00000000-0005-0000-0000-0000099A0000}"/>
    <cellStyle name="Comma 3 7 2 3 5 3 2" xfId="29609" xr:uid="{00000000-0005-0000-0000-00000A9A0000}"/>
    <cellStyle name="Comma 3 7 2 3 5 4" xfId="8778" xr:uid="{00000000-0005-0000-0000-00000B9A0000}"/>
    <cellStyle name="Comma 3 7 2 3 5 4 2" xfId="32057" xr:uid="{00000000-0005-0000-0000-00000C9A0000}"/>
    <cellStyle name="Comma 3 7 2 3 5 5" xfId="11226" xr:uid="{00000000-0005-0000-0000-00000D9A0000}"/>
    <cellStyle name="Comma 3 7 2 3 5 5 2" xfId="34505" xr:uid="{00000000-0005-0000-0000-00000E9A0000}"/>
    <cellStyle name="Comma 3 7 2 3 5 6" xfId="13674" xr:uid="{00000000-0005-0000-0000-00000F9A0000}"/>
    <cellStyle name="Comma 3 7 2 3 5 6 2" xfId="36953" xr:uid="{00000000-0005-0000-0000-0000109A0000}"/>
    <cellStyle name="Comma 3 7 2 3 5 7" xfId="17369" xr:uid="{00000000-0005-0000-0000-0000119A0000}"/>
    <cellStyle name="Comma 3 7 2 3 5 7 2" xfId="40647" xr:uid="{00000000-0005-0000-0000-0000129A0000}"/>
    <cellStyle name="Comma 3 7 2 3 5 8" xfId="24713" xr:uid="{00000000-0005-0000-0000-0000139A0000}"/>
    <cellStyle name="Comma 3 7 2 3 5 9" xfId="45543" xr:uid="{00000000-0005-0000-0000-0000149A0000}"/>
    <cellStyle name="Comma 3 7 2 3 6" xfId="2658" xr:uid="{00000000-0005-0000-0000-0000159A0000}"/>
    <cellStyle name="Comma 3 7 2 3 6 2" xfId="16145" xr:uid="{00000000-0005-0000-0000-0000169A0000}"/>
    <cellStyle name="Comma 3 7 2 3 6 2 2" xfId="39423" xr:uid="{00000000-0005-0000-0000-0000179A0000}"/>
    <cellStyle name="Comma 3 7 2 3 6 3" xfId="46767" xr:uid="{00000000-0005-0000-0000-0000189A0000}"/>
    <cellStyle name="Comma 3 7 2 3 6 4" xfId="25937" xr:uid="{00000000-0005-0000-0000-0000199A0000}"/>
    <cellStyle name="Comma 3 7 2 3 7" xfId="5106" xr:uid="{00000000-0005-0000-0000-00001A9A0000}"/>
    <cellStyle name="Comma 3 7 2 3 7 2" xfId="18593" xr:uid="{00000000-0005-0000-0000-00001B9A0000}"/>
    <cellStyle name="Comma 3 7 2 3 7 2 2" xfId="41871" xr:uid="{00000000-0005-0000-0000-00001C9A0000}"/>
    <cellStyle name="Comma 3 7 2 3 7 3" xfId="28385" xr:uid="{00000000-0005-0000-0000-00001D9A0000}"/>
    <cellStyle name="Comma 3 7 2 3 8" xfId="7554" xr:uid="{00000000-0005-0000-0000-00001E9A0000}"/>
    <cellStyle name="Comma 3 7 2 3 8 2" xfId="30833" xr:uid="{00000000-0005-0000-0000-00001F9A0000}"/>
    <cellStyle name="Comma 3 7 2 3 9" xfId="10002" xr:uid="{00000000-0005-0000-0000-0000209A0000}"/>
    <cellStyle name="Comma 3 7 2 3 9 2" xfId="33281" xr:uid="{00000000-0005-0000-0000-0000219A0000}"/>
    <cellStyle name="Comma 3 7 2 4" xfId="278" xr:uid="{00000000-0005-0000-0000-0000229A0000}"/>
    <cellStyle name="Comma 3 7 2 4 10" xfId="23557" xr:uid="{00000000-0005-0000-0000-0000239A0000}"/>
    <cellStyle name="Comma 3 7 2 4 11" xfId="44387" xr:uid="{00000000-0005-0000-0000-0000249A0000}"/>
    <cellStyle name="Comma 3 7 2 4 12" xfId="21109" xr:uid="{00000000-0005-0000-0000-0000259A0000}"/>
    <cellStyle name="Comma 3 7 2 4 2" xfId="890" xr:uid="{00000000-0005-0000-0000-0000269A0000}"/>
    <cellStyle name="Comma 3 7 2 4 2 10" xfId="44999" xr:uid="{00000000-0005-0000-0000-0000279A0000}"/>
    <cellStyle name="Comma 3 7 2 4 2 11" xfId="21721" xr:uid="{00000000-0005-0000-0000-0000289A0000}"/>
    <cellStyle name="Comma 3 7 2 4 2 2" xfId="2114" xr:uid="{00000000-0005-0000-0000-0000299A0000}"/>
    <cellStyle name="Comma 3 7 2 4 2 2 10" xfId="22945" xr:uid="{00000000-0005-0000-0000-00002A9A0000}"/>
    <cellStyle name="Comma 3 7 2 4 2 2 2" xfId="4562" xr:uid="{00000000-0005-0000-0000-00002B9A0000}"/>
    <cellStyle name="Comma 3 7 2 4 2 2 2 2" xfId="20497" xr:uid="{00000000-0005-0000-0000-00002C9A0000}"/>
    <cellStyle name="Comma 3 7 2 4 2 2 2 2 2" xfId="43775" xr:uid="{00000000-0005-0000-0000-00002D9A0000}"/>
    <cellStyle name="Comma 3 7 2 4 2 2 2 3" xfId="48671" xr:uid="{00000000-0005-0000-0000-00002E9A0000}"/>
    <cellStyle name="Comma 3 7 2 4 2 2 2 4" xfId="27841" xr:uid="{00000000-0005-0000-0000-00002F9A0000}"/>
    <cellStyle name="Comma 3 7 2 4 2 2 3" xfId="7010" xr:uid="{00000000-0005-0000-0000-0000309A0000}"/>
    <cellStyle name="Comma 3 7 2 4 2 2 3 2" xfId="30289" xr:uid="{00000000-0005-0000-0000-0000319A0000}"/>
    <cellStyle name="Comma 3 7 2 4 2 2 4" xfId="9458" xr:uid="{00000000-0005-0000-0000-0000329A0000}"/>
    <cellStyle name="Comma 3 7 2 4 2 2 4 2" xfId="32737" xr:uid="{00000000-0005-0000-0000-0000339A0000}"/>
    <cellStyle name="Comma 3 7 2 4 2 2 5" xfId="11906" xr:uid="{00000000-0005-0000-0000-0000349A0000}"/>
    <cellStyle name="Comma 3 7 2 4 2 2 5 2" xfId="35185" xr:uid="{00000000-0005-0000-0000-0000359A0000}"/>
    <cellStyle name="Comma 3 7 2 4 2 2 6" xfId="14354" xr:uid="{00000000-0005-0000-0000-0000369A0000}"/>
    <cellStyle name="Comma 3 7 2 4 2 2 6 2" xfId="37633" xr:uid="{00000000-0005-0000-0000-0000379A0000}"/>
    <cellStyle name="Comma 3 7 2 4 2 2 7" xfId="18049" xr:uid="{00000000-0005-0000-0000-0000389A0000}"/>
    <cellStyle name="Comma 3 7 2 4 2 2 7 2" xfId="41327" xr:uid="{00000000-0005-0000-0000-0000399A0000}"/>
    <cellStyle name="Comma 3 7 2 4 2 2 8" xfId="25393" xr:uid="{00000000-0005-0000-0000-00003A9A0000}"/>
    <cellStyle name="Comma 3 7 2 4 2 2 9" xfId="46223" xr:uid="{00000000-0005-0000-0000-00003B9A0000}"/>
    <cellStyle name="Comma 3 7 2 4 2 3" xfId="3338" xr:uid="{00000000-0005-0000-0000-00003C9A0000}"/>
    <cellStyle name="Comma 3 7 2 4 2 3 2" xfId="16825" xr:uid="{00000000-0005-0000-0000-00003D9A0000}"/>
    <cellStyle name="Comma 3 7 2 4 2 3 2 2" xfId="40103" xr:uid="{00000000-0005-0000-0000-00003E9A0000}"/>
    <cellStyle name="Comma 3 7 2 4 2 3 3" xfId="47447" xr:uid="{00000000-0005-0000-0000-00003F9A0000}"/>
    <cellStyle name="Comma 3 7 2 4 2 3 4" xfId="26617" xr:uid="{00000000-0005-0000-0000-0000409A0000}"/>
    <cellStyle name="Comma 3 7 2 4 2 4" xfId="5786" xr:uid="{00000000-0005-0000-0000-0000419A0000}"/>
    <cellStyle name="Comma 3 7 2 4 2 4 2" xfId="19273" xr:uid="{00000000-0005-0000-0000-0000429A0000}"/>
    <cellStyle name="Comma 3 7 2 4 2 4 2 2" xfId="42551" xr:uid="{00000000-0005-0000-0000-0000439A0000}"/>
    <cellStyle name="Comma 3 7 2 4 2 4 3" xfId="29065" xr:uid="{00000000-0005-0000-0000-0000449A0000}"/>
    <cellStyle name="Comma 3 7 2 4 2 5" xfId="8234" xr:uid="{00000000-0005-0000-0000-0000459A0000}"/>
    <cellStyle name="Comma 3 7 2 4 2 5 2" xfId="31513" xr:uid="{00000000-0005-0000-0000-0000469A0000}"/>
    <cellStyle name="Comma 3 7 2 4 2 6" xfId="10682" xr:uid="{00000000-0005-0000-0000-0000479A0000}"/>
    <cellStyle name="Comma 3 7 2 4 2 6 2" xfId="33961" xr:uid="{00000000-0005-0000-0000-0000489A0000}"/>
    <cellStyle name="Comma 3 7 2 4 2 7" xfId="13130" xr:uid="{00000000-0005-0000-0000-0000499A0000}"/>
    <cellStyle name="Comma 3 7 2 4 2 7 2" xfId="36409" xr:uid="{00000000-0005-0000-0000-00004A9A0000}"/>
    <cellStyle name="Comma 3 7 2 4 2 8" xfId="15601" xr:uid="{00000000-0005-0000-0000-00004B9A0000}"/>
    <cellStyle name="Comma 3 7 2 4 2 8 2" xfId="38879" xr:uid="{00000000-0005-0000-0000-00004C9A0000}"/>
    <cellStyle name="Comma 3 7 2 4 2 9" xfId="24169" xr:uid="{00000000-0005-0000-0000-00004D9A0000}"/>
    <cellStyle name="Comma 3 7 2 4 3" xfId="1502" xr:uid="{00000000-0005-0000-0000-00004E9A0000}"/>
    <cellStyle name="Comma 3 7 2 4 3 10" xfId="22333" xr:uid="{00000000-0005-0000-0000-00004F9A0000}"/>
    <cellStyle name="Comma 3 7 2 4 3 2" xfId="3950" xr:uid="{00000000-0005-0000-0000-0000509A0000}"/>
    <cellStyle name="Comma 3 7 2 4 3 2 2" xfId="19885" xr:uid="{00000000-0005-0000-0000-0000519A0000}"/>
    <cellStyle name="Comma 3 7 2 4 3 2 2 2" xfId="43163" xr:uid="{00000000-0005-0000-0000-0000529A0000}"/>
    <cellStyle name="Comma 3 7 2 4 3 2 3" xfId="48059" xr:uid="{00000000-0005-0000-0000-0000539A0000}"/>
    <cellStyle name="Comma 3 7 2 4 3 2 4" xfId="27229" xr:uid="{00000000-0005-0000-0000-0000549A0000}"/>
    <cellStyle name="Comma 3 7 2 4 3 3" xfId="6398" xr:uid="{00000000-0005-0000-0000-0000559A0000}"/>
    <cellStyle name="Comma 3 7 2 4 3 3 2" xfId="29677" xr:uid="{00000000-0005-0000-0000-0000569A0000}"/>
    <cellStyle name="Comma 3 7 2 4 3 4" xfId="8846" xr:uid="{00000000-0005-0000-0000-0000579A0000}"/>
    <cellStyle name="Comma 3 7 2 4 3 4 2" xfId="32125" xr:uid="{00000000-0005-0000-0000-0000589A0000}"/>
    <cellStyle name="Comma 3 7 2 4 3 5" xfId="11294" xr:uid="{00000000-0005-0000-0000-0000599A0000}"/>
    <cellStyle name="Comma 3 7 2 4 3 5 2" xfId="34573" xr:uid="{00000000-0005-0000-0000-00005A9A0000}"/>
    <cellStyle name="Comma 3 7 2 4 3 6" xfId="13742" xr:uid="{00000000-0005-0000-0000-00005B9A0000}"/>
    <cellStyle name="Comma 3 7 2 4 3 6 2" xfId="37021" xr:uid="{00000000-0005-0000-0000-00005C9A0000}"/>
    <cellStyle name="Comma 3 7 2 4 3 7" xfId="17437" xr:uid="{00000000-0005-0000-0000-00005D9A0000}"/>
    <cellStyle name="Comma 3 7 2 4 3 7 2" xfId="40715" xr:uid="{00000000-0005-0000-0000-00005E9A0000}"/>
    <cellStyle name="Comma 3 7 2 4 3 8" xfId="24781" xr:uid="{00000000-0005-0000-0000-00005F9A0000}"/>
    <cellStyle name="Comma 3 7 2 4 3 9" xfId="45611" xr:uid="{00000000-0005-0000-0000-0000609A0000}"/>
    <cellStyle name="Comma 3 7 2 4 4" xfId="2726" xr:uid="{00000000-0005-0000-0000-0000619A0000}"/>
    <cellStyle name="Comma 3 7 2 4 4 2" xfId="16213" xr:uid="{00000000-0005-0000-0000-0000629A0000}"/>
    <cellStyle name="Comma 3 7 2 4 4 2 2" xfId="39491" xr:uid="{00000000-0005-0000-0000-0000639A0000}"/>
    <cellStyle name="Comma 3 7 2 4 4 3" xfId="46835" xr:uid="{00000000-0005-0000-0000-0000649A0000}"/>
    <cellStyle name="Comma 3 7 2 4 4 4" xfId="26005" xr:uid="{00000000-0005-0000-0000-0000659A0000}"/>
    <cellStyle name="Comma 3 7 2 4 5" xfId="5174" xr:uid="{00000000-0005-0000-0000-0000669A0000}"/>
    <cellStyle name="Comma 3 7 2 4 5 2" xfId="18661" xr:uid="{00000000-0005-0000-0000-0000679A0000}"/>
    <cellStyle name="Comma 3 7 2 4 5 2 2" xfId="41939" xr:uid="{00000000-0005-0000-0000-0000689A0000}"/>
    <cellStyle name="Comma 3 7 2 4 5 3" xfId="28453" xr:uid="{00000000-0005-0000-0000-0000699A0000}"/>
    <cellStyle name="Comma 3 7 2 4 6" xfId="7622" xr:uid="{00000000-0005-0000-0000-00006A9A0000}"/>
    <cellStyle name="Comma 3 7 2 4 6 2" xfId="30901" xr:uid="{00000000-0005-0000-0000-00006B9A0000}"/>
    <cellStyle name="Comma 3 7 2 4 7" xfId="10070" xr:uid="{00000000-0005-0000-0000-00006C9A0000}"/>
    <cellStyle name="Comma 3 7 2 4 7 2" xfId="33349" xr:uid="{00000000-0005-0000-0000-00006D9A0000}"/>
    <cellStyle name="Comma 3 7 2 4 8" xfId="12518" xr:uid="{00000000-0005-0000-0000-00006E9A0000}"/>
    <cellStyle name="Comma 3 7 2 4 8 2" xfId="35797" xr:uid="{00000000-0005-0000-0000-00006F9A0000}"/>
    <cellStyle name="Comma 3 7 2 4 9" xfId="14989" xr:uid="{00000000-0005-0000-0000-0000709A0000}"/>
    <cellStyle name="Comma 3 7 2 4 9 2" xfId="38267" xr:uid="{00000000-0005-0000-0000-0000719A0000}"/>
    <cellStyle name="Comma 3 7 2 5" xfId="482" xr:uid="{00000000-0005-0000-0000-0000729A0000}"/>
    <cellStyle name="Comma 3 7 2 5 10" xfId="23761" xr:uid="{00000000-0005-0000-0000-0000739A0000}"/>
    <cellStyle name="Comma 3 7 2 5 11" xfId="44591" xr:uid="{00000000-0005-0000-0000-0000749A0000}"/>
    <cellStyle name="Comma 3 7 2 5 12" xfId="21313" xr:uid="{00000000-0005-0000-0000-0000759A0000}"/>
    <cellStyle name="Comma 3 7 2 5 2" xfId="1094" xr:uid="{00000000-0005-0000-0000-0000769A0000}"/>
    <cellStyle name="Comma 3 7 2 5 2 10" xfId="45203" xr:uid="{00000000-0005-0000-0000-0000779A0000}"/>
    <cellStyle name="Comma 3 7 2 5 2 11" xfId="21925" xr:uid="{00000000-0005-0000-0000-0000789A0000}"/>
    <cellStyle name="Comma 3 7 2 5 2 2" xfId="2318" xr:uid="{00000000-0005-0000-0000-0000799A0000}"/>
    <cellStyle name="Comma 3 7 2 5 2 2 10" xfId="23149" xr:uid="{00000000-0005-0000-0000-00007A9A0000}"/>
    <cellStyle name="Comma 3 7 2 5 2 2 2" xfId="4766" xr:uid="{00000000-0005-0000-0000-00007B9A0000}"/>
    <cellStyle name="Comma 3 7 2 5 2 2 2 2" xfId="20701" xr:uid="{00000000-0005-0000-0000-00007C9A0000}"/>
    <cellStyle name="Comma 3 7 2 5 2 2 2 2 2" xfId="43979" xr:uid="{00000000-0005-0000-0000-00007D9A0000}"/>
    <cellStyle name="Comma 3 7 2 5 2 2 2 3" xfId="48875" xr:uid="{00000000-0005-0000-0000-00007E9A0000}"/>
    <cellStyle name="Comma 3 7 2 5 2 2 2 4" xfId="28045" xr:uid="{00000000-0005-0000-0000-00007F9A0000}"/>
    <cellStyle name="Comma 3 7 2 5 2 2 3" xfId="7214" xr:uid="{00000000-0005-0000-0000-0000809A0000}"/>
    <cellStyle name="Comma 3 7 2 5 2 2 3 2" xfId="30493" xr:uid="{00000000-0005-0000-0000-0000819A0000}"/>
    <cellStyle name="Comma 3 7 2 5 2 2 4" xfId="9662" xr:uid="{00000000-0005-0000-0000-0000829A0000}"/>
    <cellStyle name="Comma 3 7 2 5 2 2 4 2" xfId="32941" xr:uid="{00000000-0005-0000-0000-0000839A0000}"/>
    <cellStyle name="Comma 3 7 2 5 2 2 5" xfId="12110" xr:uid="{00000000-0005-0000-0000-0000849A0000}"/>
    <cellStyle name="Comma 3 7 2 5 2 2 5 2" xfId="35389" xr:uid="{00000000-0005-0000-0000-0000859A0000}"/>
    <cellStyle name="Comma 3 7 2 5 2 2 6" xfId="14558" xr:uid="{00000000-0005-0000-0000-0000869A0000}"/>
    <cellStyle name="Comma 3 7 2 5 2 2 6 2" xfId="37837" xr:uid="{00000000-0005-0000-0000-0000879A0000}"/>
    <cellStyle name="Comma 3 7 2 5 2 2 7" xfId="18253" xr:uid="{00000000-0005-0000-0000-0000889A0000}"/>
    <cellStyle name="Comma 3 7 2 5 2 2 7 2" xfId="41531" xr:uid="{00000000-0005-0000-0000-0000899A0000}"/>
    <cellStyle name="Comma 3 7 2 5 2 2 8" xfId="25597" xr:uid="{00000000-0005-0000-0000-00008A9A0000}"/>
    <cellStyle name="Comma 3 7 2 5 2 2 9" xfId="46427" xr:uid="{00000000-0005-0000-0000-00008B9A0000}"/>
    <cellStyle name="Comma 3 7 2 5 2 3" xfId="3542" xr:uid="{00000000-0005-0000-0000-00008C9A0000}"/>
    <cellStyle name="Comma 3 7 2 5 2 3 2" xfId="17029" xr:uid="{00000000-0005-0000-0000-00008D9A0000}"/>
    <cellStyle name="Comma 3 7 2 5 2 3 2 2" xfId="40307" xr:uid="{00000000-0005-0000-0000-00008E9A0000}"/>
    <cellStyle name="Comma 3 7 2 5 2 3 3" xfId="47651" xr:uid="{00000000-0005-0000-0000-00008F9A0000}"/>
    <cellStyle name="Comma 3 7 2 5 2 3 4" xfId="26821" xr:uid="{00000000-0005-0000-0000-0000909A0000}"/>
    <cellStyle name="Comma 3 7 2 5 2 4" xfId="5990" xr:uid="{00000000-0005-0000-0000-0000919A0000}"/>
    <cellStyle name="Comma 3 7 2 5 2 4 2" xfId="19477" xr:uid="{00000000-0005-0000-0000-0000929A0000}"/>
    <cellStyle name="Comma 3 7 2 5 2 4 2 2" xfId="42755" xr:uid="{00000000-0005-0000-0000-0000939A0000}"/>
    <cellStyle name="Comma 3 7 2 5 2 4 3" xfId="29269" xr:uid="{00000000-0005-0000-0000-0000949A0000}"/>
    <cellStyle name="Comma 3 7 2 5 2 5" xfId="8438" xr:uid="{00000000-0005-0000-0000-0000959A0000}"/>
    <cellStyle name="Comma 3 7 2 5 2 5 2" xfId="31717" xr:uid="{00000000-0005-0000-0000-0000969A0000}"/>
    <cellStyle name="Comma 3 7 2 5 2 6" xfId="10886" xr:uid="{00000000-0005-0000-0000-0000979A0000}"/>
    <cellStyle name="Comma 3 7 2 5 2 6 2" xfId="34165" xr:uid="{00000000-0005-0000-0000-0000989A0000}"/>
    <cellStyle name="Comma 3 7 2 5 2 7" xfId="13334" xr:uid="{00000000-0005-0000-0000-0000999A0000}"/>
    <cellStyle name="Comma 3 7 2 5 2 7 2" xfId="36613" xr:uid="{00000000-0005-0000-0000-00009A9A0000}"/>
    <cellStyle name="Comma 3 7 2 5 2 8" xfId="15805" xr:uid="{00000000-0005-0000-0000-00009B9A0000}"/>
    <cellStyle name="Comma 3 7 2 5 2 8 2" xfId="39083" xr:uid="{00000000-0005-0000-0000-00009C9A0000}"/>
    <cellStyle name="Comma 3 7 2 5 2 9" xfId="24373" xr:uid="{00000000-0005-0000-0000-00009D9A0000}"/>
    <cellStyle name="Comma 3 7 2 5 3" xfId="1706" xr:uid="{00000000-0005-0000-0000-00009E9A0000}"/>
    <cellStyle name="Comma 3 7 2 5 3 10" xfId="22537" xr:uid="{00000000-0005-0000-0000-00009F9A0000}"/>
    <cellStyle name="Comma 3 7 2 5 3 2" xfId="4154" xr:uid="{00000000-0005-0000-0000-0000A09A0000}"/>
    <cellStyle name="Comma 3 7 2 5 3 2 2" xfId="20089" xr:uid="{00000000-0005-0000-0000-0000A19A0000}"/>
    <cellStyle name="Comma 3 7 2 5 3 2 2 2" xfId="43367" xr:uid="{00000000-0005-0000-0000-0000A29A0000}"/>
    <cellStyle name="Comma 3 7 2 5 3 2 3" xfId="48263" xr:uid="{00000000-0005-0000-0000-0000A39A0000}"/>
    <cellStyle name="Comma 3 7 2 5 3 2 4" xfId="27433" xr:uid="{00000000-0005-0000-0000-0000A49A0000}"/>
    <cellStyle name="Comma 3 7 2 5 3 3" xfId="6602" xr:uid="{00000000-0005-0000-0000-0000A59A0000}"/>
    <cellStyle name="Comma 3 7 2 5 3 3 2" xfId="29881" xr:uid="{00000000-0005-0000-0000-0000A69A0000}"/>
    <cellStyle name="Comma 3 7 2 5 3 4" xfId="9050" xr:uid="{00000000-0005-0000-0000-0000A79A0000}"/>
    <cellStyle name="Comma 3 7 2 5 3 4 2" xfId="32329" xr:uid="{00000000-0005-0000-0000-0000A89A0000}"/>
    <cellStyle name="Comma 3 7 2 5 3 5" xfId="11498" xr:uid="{00000000-0005-0000-0000-0000A99A0000}"/>
    <cellStyle name="Comma 3 7 2 5 3 5 2" xfId="34777" xr:uid="{00000000-0005-0000-0000-0000AA9A0000}"/>
    <cellStyle name="Comma 3 7 2 5 3 6" xfId="13946" xr:uid="{00000000-0005-0000-0000-0000AB9A0000}"/>
    <cellStyle name="Comma 3 7 2 5 3 6 2" xfId="37225" xr:uid="{00000000-0005-0000-0000-0000AC9A0000}"/>
    <cellStyle name="Comma 3 7 2 5 3 7" xfId="17641" xr:uid="{00000000-0005-0000-0000-0000AD9A0000}"/>
    <cellStyle name="Comma 3 7 2 5 3 7 2" xfId="40919" xr:uid="{00000000-0005-0000-0000-0000AE9A0000}"/>
    <cellStyle name="Comma 3 7 2 5 3 8" xfId="24985" xr:uid="{00000000-0005-0000-0000-0000AF9A0000}"/>
    <cellStyle name="Comma 3 7 2 5 3 9" xfId="45815" xr:uid="{00000000-0005-0000-0000-0000B09A0000}"/>
    <cellStyle name="Comma 3 7 2 5 4" xfId="2930" xr:uid="{00000000-0005-0000-0000-0000B19A0000}"/>
    <cellStyle name="Comma 3 7 2 5 4 2" xfId="16417" xr:uid="{00000000-0005-0000-0000-0000B29A0000}"/>
    <cellStyle name="Comma 3 7 2 5 4 2 2" xfId="39695" xr:uid="{00000000-0005-0000-0000-0000B39A0000}"/>
    <cellStyle name="Comma 3 7 2 5 4 3" xfId="47039" xr:uid="{00000000-0005-0000-0000-0000B49A0000}"/>
    <cellStyle name="Comma 3 7 2 5 4 4" xfId="26209" xr:uid="{00000000-0005-0000-0000-0000B59A0000}"/>
    <cellStyle name="Comma 3 7 2 5 5" xfId="5378" xr:uid="{00000000-0005-0000-0000-0000B69A0000}"/>
    <cellStyle name="Comma 3 7 2 5 5 2" xfId="18865" xr:uid="{00000000-0005-0000-0000-0000B79A0000}"/>
    <cellStyle name="Comma 3 7 2 5 5 2 2" xfId="42143" xr:uid="{00000000-0005-0000-0000-0000B89A0000}"/>
    <cellStyle name="Comma 3 7 2 5 5 3" xfId="28657" xr:uid="{00000000-0005-0000-0000-0000B99A0000}"/>
    <cellStyle name="Comma 3 7 2 5 6" xfId="7826" xr:uid="{00000000-0005-0000-0000-0000BA9A0000}"/>
    <cellStyle name="Comma 3 7 2 5 6 2" xfId="31105" xr:uid="{00000000-0005-0000-0000-0000BB9A0000}"/>
    <cellStyle name="Comma 3 7 2 5 7" xfId="10274" xr:uid="{00000000-0005-0000-0000-0000BC9A0000}"/>
    <cellStyle name="Comma 3 7 2 5 7 2" xfId="33553" xr:uid="{00000000-0005-0000-0000-0000BD9A0000}"/>
    <cellStyle name="Comma 3 7 2 5 8" xfId="12722" xr:uid="{00000000-0005-0000-0000-0000BE9A0000}"/>
    <cellStyle name="Comma 3 7 2 5 8 2" xfId="36001" xr:uid="{00000000-0005-0000-0000-0000BF9A0000}"/>
    <cellStyle name="Comma 3 7 2 5 9" xfId="15193" xr:uid="{00000000-0005-0000-0000-0000C09A0000}"/>
    <cellStyle name="Comma 3 7 2 5 9 2" xfId="38471" xr:uid="{00000000-0005-0000-0000-0000C19A0000}"/>
    <cellStyle name="Comma 3 7 2 6" xfId="686" xr:uid="{00000000-0005-0000-0000-0000C29A0000}"/>
    <cellStyle name="Comma 3 7 2 6 10" xfId="44795" xr:uid="{00000000-0005-0000-0000-0000C39A0000}"/>
    <cellStyle name="Comma 3 7 2 6 11" xfId="21517" xr:uid="{00000000-0005-0000-0000-0000C49A0000}"/>
    <cellStyle name="Comma 3 7 2 6 2" xfId="1910" xr:uid="{00000000-0005-0000-0000-0000C59A0000}"/>
    <cellStyle name="Comma 3 7 2 6 2 10" xfId="22741" xr:uid="{00000000-0005-0000-0000-0000C69A0000}"/>
    <cellStyle name="Comma 3 7 2 6 2 2" xfId="4358" xr:uid="{00000000-0005-0000-0000-0000C79A0000}"/>
    <cellStyle name="Comma 3 7 2 6 2 2 2" xfId="20293" xr:uid="{00000000-0005-0000-0000-0000C89A0000}"/>
    <cellStyle name="Comma 3 7 2 6 2 2 2 2" xfId="43571" xr:uid="{00000000-0005-0000-0000-0000C99A0000}"/>
    <cellStyle name="Comma 3 7 2 6 2 2 3" xfId="48467" xr:uid="{00000000-0005-0000-0000-0000CA9A0000}"/>
    <cellStyle name="Comma 3 7 2 6 2 2 4" xfId="27637" xr:uid="{00000000-0005-0000-0000-0000CB9A0000}"/>
    <cellStyle name="Comma 3 7 2 6 2 3" xfId="6806" xr:uid="{00000000-0005-0000-0000-0000CC9A0000}"/>
    <cellStyle name="Comma 3 7 2 6 2 3 2" xfId="30085" xr:uid="{00000000-0005-0000-0000-0000CD9A0000}"/>
    <cellStyle name="Comma 3 7 2 6 2 4" xfId="9254" xr:uid="{00000000-0005-0000-0000-0000CE9A0000}"/>
    <cellStyle name="Comma 3 7 2 6 2 4 2" xfId="32533" xr:uid="{00000000-0005-0000-0000-0000CF9A0000}"/>
    <cellStyle name="Comma 3 7 2 6 2 5" xfId="11702" xr:uid="{00000000-0005-0000-0000-0000D09A0000}"/>
    <cellStyle name="Comma 3 7 2 6 2 5 2" xfId="34981" xr:uid="{00000000-0005-0000-0000-0000D19A0000}"/>
    <cellStyle name="Comma 3 7 2 6 2 6" xfId="14150" xr:uid="{00000000-0005-0000-0000-0000D29A0000}"/>
    <cellStyle name="Comma 3 7 2 6 2 6 2" xfId="37429" xr:uid="{00000000-0005-0000-0000-0000D39A0000}"/>
    <cellStyle name="Comma 3 7 2 6 2 7" xfId="17845" xr:uid="{00000000-0005-0000-0000-0000D49A0000}"/>
    <cellStyle name="Comma 3 7 2 6 2 7 2" xfId="41123" xr:uid="{00000000-0005-0000-0000-0000D59A0000}"/>
    <cellStyle name="Comma 3 7 2 6 2 8" xfId="25189" xr:uid="{00000000-0005-0000-0000-0000D69A0000}"/>
    <cellStyle name="Comma 3 7 2 6 2 9" xfId="46019" xr:uid="{00000000-0005-0000-0000-0000D79A0000}"/>
    <cellStyle name="Comma 3 7 2 6 3" xfId="3134" xr:uid="{00000000-0005-0000-0000-0000D89A0000}"/>
    <cellStyle name="Comma 3 7 2 6 3 2" xfId="16621" xr:uid="{00000000-0005-0000-0000-0000D99A0000}"/>
    <cellStyle name="Comma 3 7 2 6 3 2 2" xfId="39899" xr:uid="{00000000-0005-0000-0000-0000DA9A0000}"/>
    <cellStyle name="Comma 3 7 2 6 3 3" xfId="47243" xr:uid="{00000000-0005-0000-0000-0000DB9A0000}"/>
    <cellStyle name="Comma 3 7 2 6 3 4" xfId="26413" xr:uid="{00000000-0005-0000-0000-0000DC9A0000}"/>
    <cellStyle name="Comma 3 7 2 6 4" xfId="5582" xr:uid="{00000000-0005-0000-0000-0000DD9A0000}"/>
    <cellStyle name="Comma 3 7 2 6 4 2" xfId="19069" xr:uid="{00000000-0005-0000-0000-0000DE9A0000}"/>
    <cellStyle name="Comma 3 7 2 6 4 2 2" xfId="42347" xr:uid="{00000000-0005-0000-0000-0000DF9A0000}"/>
    <cellStyle name="Comma 3 7 2 6 4 3" xfId="28861" xr:uid="{00000000-0005-0000-0000-0000E09A0000}"/>
    <cellStyle name="Comma 3 7 2 6 5" xfId="8030" xr:uid="{00000000-0005-0000-0000-0000E19A0000}"/>
    <cellStyle name="Comma 3 7 2 6 5 2" xfId="31309" xr:uid="{00000000-0005-0000-0000-0000E29A0000}"/>
    <cellStyle name="Comma 3 7 2 6 6" xfId="10478" xr:uid="{00000000-0005-0000-0000-0000E39A0000}"/>
    <cellStyle name="Comma 3 7 2 6 6 2" xfId="33757" xr:uid="{00000000-0005-0000-0000-0000E49A0000}"/>
    <cellStyle name="Comma 3 7 2 6 7" xfId="12926" xr:uid="{00000000-0005-0000-0000-0000E59A0000}"/>
    <cellStyle name="Comma 3 7 2 6 7 2" xfId="36205" xr:uid="{00000000-0005-0000-0000-0000E69A0000}"/>
    <cellStyle name="Comma 3 7 2 6 8" xfId="15397" xr:uid="{00000000-0005-0000-0000-0000E79A0000}"/>
    <cellStyle name="Comma 3 7 2 6 8 2" xfId="38675" xr:uid="{00000000-0005-0000-0000-0000E89A0000}"/>
    <cellStyle name="Comma 3 7 2 6 9" xfId="23965" xr:uid="{00000000-0005-0000-0000-0000E99A0000}"/>
    <cellStyle name="Comma 3 7 2 7" xfId="1298" xr:uid="{00000000-0005-0000-0000-0000EA9A0000}"/>
    <cellStyle name="Comma 3 7 2 7 10" xfId="22129" xr:uid="{00000000-0005-0000-0000-0000EB9A0000}"/>
    <cellStyle name="Comma 3 7 2 7 2" xfId="3746" xr:uid="{00000000-0005-0000-0000-0000EC9A0000}"/>
    <cellStyle name="Comma 3 7 2 7 2 2" xfId="19681" xr:uid="{00000000-0005-0000-0000-0000ED9A0000}"/>
    <cellStyle name="Comma 3 7 2 7 2 2 2" xfId="42959" xr:uid="{00000000-0005-0000-0000-0000EE9A0000}"/>
    <cellStyle name="Comma 3 7 2 7 2 3" xfId="47855" xr:uid="{00000000-0005-0000-0000-0000EF9A0000}"/>
    <cellStyle name="Comma 3 7 2 7 2 4" xfId="27025" xr:uid="{00000000-0005-0000-0000-0000F09A0000}"/>
    <cellStyle name="Comma 3 7 2 7 3" xfId="6194" xr:uid="{00000000-0005-0000-0000-0000F19A0000}"/>
    <cellStyle name="Comma 3 7 2 7 3 2" xfId="29473" xr:uid="{00000000-0005-0000-0000-0000F29A0000}"/>
    <cellStyle name="Comma 3 7 2 7 4" xfId="8642" xr:uid="{00000000-0005-0000-0000-0000F39A0000}"/>
    <cellStyle name="Comma 3 7 2 7 4 2" xfId="31921" xr:uid="{00000000-0005-0000-0000-0000F49A0000}"/>
    <cellStyle name="Comma 3 7 2 7 5" xfId="11090" xr:uid="{00000000-0005-0000-0000-0000F59A0000}"/>
    <cellStyle name="Comma 3 7 2 7 5 2" xfId="34369" xr:uid="{00000000-0005-0000-0000-0000F69A0000}"/>
    <cellStyle name="Comma 3 7 2 7 6" xfId="13538" xr:uid="{00000000-0005-0000-0000-0000F79A0000}"/>
    <cellStyle name="Comma 3 7 2 7 6 2" xfId="36817" xr:uid="{00000000-0005-0000-0000-0000F89A0000}"/>
    <cellStyle name="Comma 3 7 2 7 7" xfId="17233" xr:uid="{00000000-0005-0000-0000-0000F99A0000}"/>
    <cellStyle name="Comma 3 7 2 7 7 2" xfId="40511" xr:uid="{00000000-0005-0000-0000-0000FA9A0000}"/>
    <cellStyle name="Comma 3 7 2 7 8" xfId="24577" xr:uid="{00000000-0005-0000-0000-0000FB9A0000}"/>
    <cellStyle name="Comma 3 7 2 7 9" xfId="45407" xr:uid="{00000000-0005-0000-0000-0000FC9A0000}"/>
    <cellStyle name="Comma 3 7 2 8" xfId="2522" xr:uid="{00000000-0005-0000-0000-0000FD9A0000}"/>
    <cellStyle name="Comma 3 7 2 8 2" xfId="16009" xr:uid="{00000000-0005-0000-0000-0000FE9A0000}"/>
    <cellStyle name="Comma 3 7 2 8 2 2" xfId="39287" xr:uid="{00000000-0005-0000-0000-0000FF9A0000}"/>
    <cellStyle name="Comma 3 7 2 8 3" xfId="46631" xr:uid="{00000000-0005-0000-0000-0000009B0000}"/>
    <cellStyle name="Comma 3 7 2 8 4" xfId="25801" xr:uid="{00000000-0005-0000-0000-0000019B0000}"/>
    <cellStyle name="Comma 3 7 2 9" xfId="4970" xr:uid="{00000000-0005-0000-0000-0000029B0000}"/>
    <cellStyle name="Comma 3 7 2 9 2" xfId="18457" xr:uid="{00000000-0005-0000-0000-0000039B0000}"/>
    <cellStyle name="Comma 3 7 2 9 2 2" xfId="41735" xr:uid="{00000000-0005-0000-0000-0000049B0000}"/>
    <cellStyle name="Comma 3 7 2 9 3" xfId="28249" xr:uid="{00000000-0005-0000-0000-0000059B0000}"/>
    <cellStyle name="Comma 3 7 3" xfId="91" xr:uid="{00000000-0005-0000-0000-0000069B0000}"/>
    <cellStyle name="Comma 3 7 3 10" xfId="7435" xr:uid="{00000000-0005-0000-0000-0000079B0000}"/>
    <cellStyle name="Comma 3 7 3 10 2" xfId="30714" xr:uid="{00000000-0005-0000-0000-0000089B0000}"/>
    <cellStyle name="Comma 3 7 3 11" xfId="9883" xr:uid="{00000000-0005-0000-0000-0000099B0000}"/>
    <cellStyle name="Comma 3 7 3 11 2" xfId="33162" xr:uid="{00000000-0005-0000-0000-00000A9B0000}"/>
    <cellStyle name="Comma 3 7 3 12" xfId="12331" xr:uid="{00000000-0005-0000-0000-00000B9B0000}"/>
    <cellStyle name="Comma 3 7 3 12 2" xfId="35610" xr:uid="{00000000-0005-0000-0000-00000C9B0000}"/>
    <cellStyle name="Comma 3 7 3 13" xfId="14802" xr:uid="{00000000-0005-0000-0000-00000D9B0000}"/>
    <cellStyle name="Comma 3 7 3 13 2" xfId="38080" xr:uid="{00000000-0005-0000-0000-00000E9B0000}"/>
    <cellStyle name="Comma 3 7 3 14" xfId="23370" xr:uid="{00000000-0005-0000-0000-00000F9B0000}"/>
    <cellStyle name="Comma 3 7 3 15" xfId="44200" xr:uid="{00000000-0005-0000-0000-0000109B0000}"/>
    <cellStyle name="Comma 3 7 3 16" xfId="20922" xr:uid="{00000000-0005-0000-0000-0000119B0000}"/>
    <cellStyle name="Comma 3 7 3 2" xfId="159" xr:uid="{00000000-0005-0000-0000-0000129B0000}"/>
    <cellStyle name="Comma 3 7 3 2 10" xfId="12399" xr:uid="{00000000-0005-0000-0000-0000139B0000}"/>
    <cellStyle name="Comma 3 7 3 2 10 2" xfId="35678" xr:uid="{00000000-0005-0000-0000-0000149B0000}"/>
    <cellStyle name="Comma 3 7 3 2 11" xfId="14870" xr:uid="{00000000-0005-0000-0000-0000159B0000}"/>
    <cellStyle name="Comma 3 7 3 2 11 2" xfId="38148" xr:uid="{00000000-0005-0000-0000-0000169B0000}"/>
    <cellStyle name="Comma 3 7 3 2 12" xfId="23438" xr:uid="{00000000-0005-0000-0000-0000179B0000}"/>
    <cellStyle name="Comma 3 7 3 2 13" xfId="44268" xr:uid="{00000000-0005-0000-0000-0000189B0000}"/>
    <cellStyle name="Comma 3 7 3 2 14" xfId="20990" xr:uid="{00000000-0005-0000-0000-0000199B0000}"/>
    <cellStyle name="Comma 3 7 3 2 2" xfId="363" xr:uid="{00000000-0005-0000-0000-00001A9B0000}"/>
    <cellStyle name="Comma 3 7 3 2 2 10" xfId="23642" xr:uid="{00000000-0005-0000-0000-00001B9B0000}"/>
    <cellStyle name="Comma 3 7 3 2 2 11" xfId="44472" xr:uid="{00000000-0005-0000-0000-00001C9B0000}"/>
    <cellStyle name="Comma 3 7 3 2 2 12" xfId="21194" xr:uid="{00000000-0005-0000-0000-00001D9B0000}"/>
    <cellStyle name="Comma 3 7 3 2 2 2" xfId="975" xr:uid="{00000000-0005-0000-0000-00001E9B0000}"/>
    <cellStyle name="Comma 3 7 3 2 2 2 10" xfId="45084" xr:uid="{00000000-0005-0000-0000-00001F9B0000}"/>
    <cellStyle name="Comma 3 7 3 2 2 2 11" xfId="21806" xr:uid="{00000000-0005-0000-0000-0000209B0000}"/>
    <cellStyle name="Comma 3 7 3 2 2 2 2" xfId="2199" xr:uid="{00000000-0005-0000-0000-0000219B0000}"/>
    <cellStyle name="Comma 3 7 3 2 2 2 2 10" xfId="23030" xr:uid="{00000000-0005-0000-0000-0000229B0000}"/>
    <cellStyle name="Comma 3 7 3 2 2 2 2 2" xfId="4647" xr:uid="{00000000-0005-0000-0000-0000239B0000}"/>
    <cellStyle name="Comma 3 7 3 2 2 2 2 2 2" xfId="20582" xr:uid="{00000000-0005-0000-0000-0000249B0000}"/>
    <cellStyle name="Comma 3 7 3 2 2 2 2 2 2 2" xfId="43860" xr:uid="{00000000-0005-0000-0000-0000259B0000}"/>
    <cellStyle name="Comma 3 7 3 2 2 2 2 2 3" xfId="48756" xr:uid="{00000000-0005-0000-0000-0000269B0000}"/>
    <cellStyle name="Comma 3 7 3 2 2 2 2 2 4" xfId="27926" xr:uid="{00000000-0005-0000-0000-0000279B0000}"/>
    <cellStyle name="Comma 3 7 3 2 2 2 2 3" xfId="7095" xr:uid="{00000000-0005-0000-0000-0000289B0000}"/>
    <cellStyle name="Comma 3 7 3 2 2 2 2 3 2" xfId="30374" xr:uid="{00000000-0005-0000-0000-0000299B0000}"/>
    <cellStyle name="Comma 3 7 3 2 2 2 2 4" xfId="9543" xr:uid="{00000000-0005-0000-0000-00002A9B0000}"/>
    <cellStyle name="Comma 3 7 3 2 2 2 2 4 2" xfId="32822" xr:uid="{00000000-0005-0000-0000-00002B9B0000}"/>
    <cellStyle name="Comma 3 7 3 2 2 2 2 5" xfId="11991" xr:uid="{00000000-0005-0000-0000-00002C9B0000}"/>
    <cellStyle name="Comma 3 7 3 2 2 2 2 5 2" xfId="35270" xr:uid="{00000000-0005-0000-0000-00002D9B0000}"/>
    <cellStyle name="Comma 3 7 3 2 2 2 2 6" xfId="14439" xr:uid="{00000000-0005-0000-0000-00002E9B0000}"/>
    <cellStyle name="Comma 3 7 3 2 2 2 2 6 2" xfId="37718" xr:uid="{00000000-0005-0000-0000-00002F9B0000}"/>
    <cellStyle name="Comma 3 7 3 2 2 2 2 7" xfId="18134" xr:uid="{00000000-0005-0000-0000-0000309B0000}"/>
    <cellStyle name="Comma 3 7 3 2 2 2 2 7 2" xfId="41412" xr:uid="{00000000-0005-0000-0000-0000319B0000}"/>
    <cellStyle name="Comma 3 7 3 2 2 2 2 8" xfId="25478" xr:uid="{00000000-0005-0000-0000-0000329B0000}"/>
    <cellStyle name="Comma 3 7 3 2 2 2 2 9" xfId="46308" xr:uid="{00000000-0005-0000-0000-0000339B0000}"/>
    <cellStyle name="Comma 3 7 3 2 2 2 3" xfId="3423" xr:uid="{00000000-0005-0000-0000-0000349B0000}"/>
    <cellStyle name="Comma 3 7 3 2 2 2 3 2" xfId="16910" xr:uid="{00000000-0005-0000-0000-0000359B0000}"/>
    <cellStyle name="Comma 3 7 3 2 2 2 3 2 2" xfId="40188" xr:uid="{00000000-0005-0000-0000-0000369B0000}"/>
    <cellStyle name="Comma 3 7 3 2 2 2 3 3" xfId="47532" xr:uid="{00000000-0005-0000-0000-0000379B0000}"/>
    <cellStyle name="Comma 3 7 3 2 2 2 3 4" xfId="26702" xr:uid="{00000000-0005-0000-0000-0000389B0000}"/>
    <cellStyle name="Comma 3 7 3 2 2 2 4" xfId="5871" xr:uid="{00000000-0005-0000-0000-0000399B0000}"/>
    <cellStyle name="Comma 3 7 3 2 2 2 4 2" xfId="19358" xr:uid="{00000000-0005-0000-0000-00003A9B0000}"/>
    <cellStyle name="Comma 3 7 3 2 2 2 4 2 2" xfId="42636" xr:uid="{00000000-0005-0000-0000-00003B9B0000}"/>
    <cellStyle name="Comma 3 7 3 2 2 2 4 3" xfId="29150" xr:uid="{00000000-0005-0000-0000-00003C9B0000}"/>
    <cellStyle name="Comma 3 7 3 2 2 2 5" xfId="8319" xr:uid="{00000000-0005-0000-0000-00003D9B0000}"/>
    <cellStyle name="Comma 3 7 3 2 2 2 5 2" xfId="31598" xr:uid="{00000000-0005-0000-0000-00003E9B0000}"/>
    <cellStyle name="Comma 3 7 3 2 2 2 6" xfId="10767" xr:uid="{00000000-0005-0000-0000-00003F9B0000}"/>
    <cellStyle name="Comma 3 7 3 2 2 2 6 2" xfId="34046" xr:uid="{00000000-0005-0000-0000-0000409B0000}"/>
    <cellStyle name="Comma 3 7 3 2 2 2 7" xfId="13215" xr:uid="{00000000-0005-0000-0000-0000419B0000}"/>
    <cellStyle name="Comma 3 7 3 2 2 2 7 2" xfId="36494" xr:uid="{00000000-0005-0000-0000-0000429B0000}"/>
    <cellStyle name="Comma 3 7 3 2 2 2 8" xfId="15686" xr:uid="{00000000-0005-0000-0000-0000439B0000}"/>
    <cellStyle name="Comma 3 7 3 2 2 2 8 2" xfId="38964" xr:uid="{00000000-0005-0000-0000-0000449B0000}"/>
    <cellStyle name="Comma 3 7 3 2 2 2 9" xfId="24254" xr:uid="{00000000-0005-0000-0000-0000459B0000}"/>
    <cellStyle name="Comma 3 7 3 2 2 3" xfId="1587" xr:uid="{00000000-0005-0000-0000-0000469B0000}"/>
    <cellStyle name="Comma 3 7 3 2 2 3 10" xfId="22418" xr:uid="{00000000-0005-0000-0000-0000479B0000}"/>
    <cellStyle name="Comma 3 7 3 2 2 3 2" xfId="4035" xr:uid="{00000000-0005-0000-0000-0000489B0000}"/>
    <cellStyle name="Comma 3 7 3 2 2 3 2 2" xfId="19970" xr:uid="{00000000-0005-0000-0000-0000499B0000}"/>
    <cellStyle name="Comma 3 7 3 2 2 3 2 2 2" xfId="43248" xr:uid="{00000000-0005-0000-0000-00004A9B0000}"/>
    <cellStyle name="Comma 3 7 3 2 2 3 2 3" xfId="48144" xr:uid="{00000000-0005-0000-0000-00004B9B0000}"/>
    <cellStyle name="Comma 3 7 3 2 2 3 2 4" xfId="27314" xr:uid="{00000000-0005-0000-0000-00004C9B0000}"/>
    <cellStyle name="Comma 3 7 3 2 2 3 3" xfId="6483" xr:uid="{00000000-0005-0000-0000-00004D9B0000}"/>
    <cellStyle name="Comma 3 7 3 2 2 3 3 2" xfId="29762" xr:uid="{00000000-0005-0000-0000-00004E9B0000}"/>
    <cellStyle name="Comma 3 7 3 2 2 3 4" xfId="8931" xr:uid="{00000000-0005-0000-0000-00004F9B0000}"/>
    <cellStyle name="Comma 3 7 3 2 2 3 4 2" xfId="32210" xr:uid="{00000000-0005-0000-0000-0000509B0000}"/>
    <cellStyle name="Comma 3 7 3 2 2 3 5" xfId="11379" xr:uid="{00000000-0005-0000-0000-0000519B0000}"/>
    <cellStyle name="Comma 3 7 3 2 2 3 5 2" xfId="34658" xr:uid="{00000000-0005-0000-0000-0000529B0000}"/>
    <cellStyle name="Comma 3 7 3 2 2 3 6" xfId="13827" xr:uid="{00000000-0005-0000-0000-0000539B0000}"/>
    <cellStyle name="Comma 3 7 3 2 2 3 6 2" xfId="37106" xr:uid="{00000000-0005-0000-0000-0000549B0000}"/>
    <cellStyle name="Comma 3 7 3 2 2 3 7" xfId="17522" xr:uid="{00000000-0005-0000-0000-0000559B0000}"/>
    <cellStyle name="Comma 3 7 3 2 2 3 7 2" xfId="40800" xr:uid="{00000000-0005-0000-0000-0000569B0000}"/>
    <cellStyle name="Comma 3 7 3 2 2 3 8" xfId="24866" xr:uid="{00000000-0005-0000-0000-0000579B0000}"/>
    <cellStyle name="Comma 3 7 3 2 2 3 9" xfId="45696" xr:uid="{00000000-0005-0000-0000-0000589B0000}"/>
    <cellStyle name="Comma 3 7 3 2 2 4" xfId="2811" xr:uid="{00000000-0005-0000-0000-0000599B0000}"/>
    <cellStyle name="Comma 3 7 3 2 2 4 2" xfId="16298" xr:uid="{00000000-0005-0000-0000-00005A9B0000}"/>
    <cellStyle name="Comma 3 7 3 2 2 4 2 2" xfId="39576" xr:uid="{00000000-0005-0000-0000-00005B9B0000}"/>
    <cellStyle name="Comma 3 7 3 2 2 4 3" xfId="46920" xr:uid="{00000000-0005-0000-0000-00005C9B0000}"/>
    <cellStyle name="Comma 3 7 3 2 2 4 4" xfId="26090" xr:uid="{00000000-0005-0000-0000-00005D9B0000}"/>
    <cellStyle name="Comma 3 7 3 2 2 5" xfId="5259" xr:uid="{00000000-0005-0000-0000-00005E9B0000}"/>
    <cellStyle name="Comma 3 7 3 2 2 5 2" xfId="18746" xr:uid="{00000000-0005-0000-0000-00005F9B0000}"/>
    <cellStyle name="Comma 3 7 3 2 2 5 2 2" xfId="42024" xr:uid="{00000000-0005-0000-0000-0000609B0000}"/>
    <cellStyle name="Comma 3 7 3 2 2 5 3" xfId="28538" xr:uid="{00000000-0005-0000-0000-0000619B0000}"/>
    <cellStyle name="Comma 3 7 3 2 2 6" xfId="7707" xr:uid="{00000000-0005-0000-0000-0000629B0000}"/>
    <cellStyle name="Comma 3 7 3 2 2 6 2" xfId="30986" xr:uid="{00000000-0005-0000-0000-0000639B0000}"/>
    <cellStyle name="Comma 3 7 3 2 2 7" xfId="10155" xr:uid="{00000000-0005-0000-0000-0000649B0000}"/>
    <cellStyle name="Comma 3 7 3 2 2 7 2" xfId="33434" xr:uid="{00000000-0005-0000-0000-0000659B0000}"/>
    <cellStyle name="Comma 3 7 3 2 2 8" xfId="12603" xr:uid="{00000000-0005-0000-0000-0000669B0000}"/>
    <cellStyle name="Comma 3 7 3 2 2 8 2" xfId="35882" xr:uid="{00000000-0005-0000-0000-0000679B0000}"/>
    <cellStyle name="Comma 3 7 3 2 2 9" xfId="15074" xr:uid="{00000000-0005-0000-0000-0000689B0000}"/>
    <cellStyle name="Comma 3 7 3 2 2 9 2" xfId="38352" xr:uid="{00000000-0005-0000-0000-0000699B0000}"/>
    <cellStyle name="Comma 3 7 3 2 3" xfId="567" xr:uid="{00000000-0005-0000-0000-00006A9B0000}"/>
    <cellStyle name="Comma 3 7 3 2 3 10" xfId="23846" xr:uid="{00000000-0005-0000-0000-00006B9B0000}"/>
    <cellStyle name="Comma 3 7 3 2 3 11" xfId="44676" xr:uid="{00000000-0005-0000-0000-00006C9B0000}"/>
    <cellStyle name="Comma 3 7 3 2 3 12" xfId="21398" xr:uid="{00000000-0005-0000-0000-00006D9B0000}"/>
    <cellStyle name="Comma 3 7 3 2 3 2" xfId="1179" xr:uid="{00000000-0005-0000-0000-00006E9B0000}"/>
    <cellStyle name="Comma 3 7 3 2 3 2 10" xfId="45288" xr:uid="{00000000-0005-0000-0000-00006F9B0000}"/>
    <cellStyle name="Comma 3 7 3 2 3 2 11" xfId="22010" xr:uid="{00000000-0005-0000-0000-0000709B0000}"/>
    <cellStyle name="Comma 3 7 3 2 3 2 2" xfId="2403" xr:uid="{00000000-0005-0000-0000-0000719B0000}"/>
    <cellStyle name="Comma 3 7 3 2 3 2 2 10" xfId="23234" xr:uid="{00000000-0005-0000-0000-0000729B0000}"/>
    <cellStyle name="Comma 3 7 3 2 3 2 2 2" xfId="4851" xr:uid="{00000000-0005-0000-0000-0000739B0000}"/>
    <cellStyle name="Comma 3 7 3 2 3 2 2 2 2" xfId="20786" xr:uid="{00000000-0005-0000-0000-0000749B0000}"/>
    <cellStyle name="Comma 3 7 3 2 3 2 2 2 2 2" xfId="44064" xr:uid="{00000000-0005-0000-0000-0000759B0000}"/>
    <cellStyle name="Comma 3 7 3 2 3 2 2 2 3" xfId="48960" xr:uid="{00000000-0005-0000-0000-0000769B0000}"/>
    <cellStyle name="Comma 3 7 3 2 3 2 2 2 4" xfId="28130" xr:uid="{00000000-0005-0000-0000-0000779B0000}"/>
    <cellStyle name="Comma 3 7 3 2 3 2 2 3" xfId="7299" xr:uid="{00000000-0005-0000-0000-0000789B0000}"/>
    <cellStyle name="Comma 3 7 3 2 3 2 2 3 2" xfId="30578" xr:uid="{00000000-0005-0000-0000-0000799B0000}"/>
    <cellStyle name="Comma 3 7 3 2 3 2 2 4" xfId="9747" xr:uid="{00000000-0005-0000-0000-00007A9B0000}"/>
    <cellStyle name="Comma 3 7 3 2 3 2 2 4 2" xfId="33026" xr:uid="{00000000-0005-0000-0000-00007B9B0000}"/>
    <cellStyle name="Comma 3 7 3 2 3 2 2 5" xfId="12195" xr:uid="{00000000-0005-0000-0000-00007C9B0000}"/>
    <cellStyle name="Comma 3 7 3 2 3 2 2 5 2" xfId="35474" xr:uid="{00000000-0005-0000-0000-00007D9B0000}"/>
    <cellStyle name="Comma 3 7 3 2 3 2 2 6" xfId="14643" xr:uid="{00000000-0005-0000-0000-00007E9B0000}"/>
    <cellStyle name="Comma 3 7 3 2 3 2 2 6 2" xfId="37922" xr:uid="{00000000-0005-0000-0000-00007F9B0000}"/>
    <cellStyle name="Comma 3 7 3 2 3 2 2 7" xfId="18338" xr:uid="{00000000-0005-0000-0000-0000809B0000}"/>
    <cellStyle name="Comma 3 7 3 2 3 2 2 7 2" xfId="41616" xr:uid="{00000000-0005-0000-0000-0000819B0000}"/>
    <cellStyle name="Comma 3 7 3 2 3 2 2 8" xfId="25682" xr:uid="{00000000-0005-0000-0000-0000829B0000}"/>
    <cellStyle name="Comma 3 7 3 2 3 2 2 9" xfId="46512" xr:uid="{00000000-0005-0000-0000-0000839B0000}"/>
    <cellStyle name="Comma 3 7 3 2 3 2 3" xfId="3627" xr:uid="{00000000-0005-0000-0000-0000849B0000}"/>
    <cellStyle name="Comma 3 7 3 2 3 2 3 2" xfId="17114" xr:uid="{00000000-0005-0000-0000-0000859B0000}"/>
    <cellStyle name="Comma 3 7 3 2 3 2 3 2 2" xfId="40392" xr:uid="{00000000-0005-0000-0000-0000869B0000}"/>
    <cellStyle name="Comma 3 7 3 2 3 2 3 3" xfId="47736" xr:uid="{00000000-0005-0000-0000-0000879B0000}"/>
    <cellStyle name="Comma 3 7 3 2 3 2 3 4" xfId="26906" xr:uid="{00000000-0005-0000-0000-0000889B0000}"/>
    <cellStyle name="Comma 3 7 3 2 3 2 4" xfId="6075" xr:uid="{00000000-0005-0000-0000-0000899B0000}"/>
    <cellStyle name="Comma 3 7 3 2 3 2 4 2" xfId="19562" xr:uid="{00000000-0005-0000-0000-00008A9B0000}"/>
    <cellStyle name="Comma 3 7 3 2 3 2 4 2 2" xfId="42840" xr:uid="{00000000-0005-0000-0000-00008B9B0000}"/>
    <cellStyle name="Comma 3 7 3 2 3 2 4 3" xfId="29354" xr:uid="{00000000-0005-0000-0000-00008C9B0000}"/>
    <cellStyle name="Comma 3 7 3 2 3 2 5" xfId="8523" xr:uid="{00000000-0005-0000-0000-00008D9B0000}"/>
    <cellStyle name="Comma 3 7 3 2 3 2 5 2" xfId="31802" xr:uid="{00000000-0005-0000-0000-00008E9B0000}"/>
    <cellStyle name="Comma 3 7 3 2 3 2 6" xfId="10971" xr:uid="{00000000-0005-0000-0000-00008F9B0000}"/>
    <cellStyle name="Comma 3 7 3 2 3 2 6 2" xfId="34250" xr:uid="{00000000-0005-0000-0000-0000909B0000}"/>
    <cellStyle name="Comma 3 7 3 2 3 2 7" xfId="13419" xr:uid="{00000000-0005-0000-0000-0000919B0000}"/>
    <cellStyle name="Comma 3 7 3 2 3 2 7 2" xfId="36698" xr:uid="{00000000-0005-0000-0000-0000929B0000}"/>
    <cellStyle name="Comma 3 7 3 2 3 2 8" xfId="15890" xr:uid="{00000000-0005-0000-0000-0000939B0000}"/>
    <cellStyle name="Comma 3 7 3 2 3 2 8 2" xfId="39168" xr:uid="{00000000-0005-0000-0000-0000949B0000}"/>
    <cellStyle name="Comma 3 7 3 2 3 2 9" xfId="24458" xr:uid="{00000000-0005-0000-0000-0000959B0000}"/>
    <cellStyle name="Comma 3 7 3 2 3 3" xfId="1791" xr:uid="{00000000-0005-0000-0000-0000969B0000}"/>
    <cellStyle name="Comma 3 7 3 2 3 3 10" xfId="22622" xr:uid="{00000000-0005-0000-0000-0000979B0000}"/>
    <cellStyle name="Comma 3 7 3 2 3 3 2" xfId="4239" xr:uid="{00000000-0005-0000-0000-0000989B0000}"/>
    <cellStyle name="Comma 3 7 3 2 3 3 2 2" xfId="20174" xr:uid="{00000000-0005-0000-0000-0000999B0000}"/>
    <cellStyle name="Comma 3 7 3 2 3 3 2 2 2" xfId="43452" xr:uid="{00000000-0005-0000-0000-00009A9B0000}"/>
    <cellStyle name="Comma 3 7 3 2 3 3 2 3" xfId="48348" xr:uid="{00000000-0005-0000-0000-00009B9B0000}"/>
    <cellStyle name="Comma 3 7 3 2 3 3 2 4" xfId="27518" xr:uid="{00000000-0005-0000-0000-00009C9B0000}"/>
    <cellStyle name="Comma 3 7 3 2 3 3 3" xfId="6687" xr:uid="{00000000-0005-0000-0000-00009D9B0000}"/>
    <cellStyle name="Comma 3 7 3 2 3 3 3 2" xfId="29966" xr:uid="{00000000-0005-0000-0000-00009E9B0000}"/>
    <cellStyle name="Comma 3 7 3 2 3 3 4" xfId="9135" xr:uid="{00000000-0005-0000-0000-00009F9B0000}"/>
    <cellStyle name="Comma 3 7 3 2 3 3 4 2" xfId="32414" xr:uid="{00000000-0005-0000-0000-0000A09B0000}"/>
    <cellStyle name="Comma 3 7 3 2 3 3 5" xfId="11583" xr:uid="{00000000-0005-0000-0000-0000A19B0000}"/>
    <cellStyle name="Comma 3 7 3 2 3 3 5 2" xfId="34862" xr:uid="{00000000-0005-0000-0000-0000A29B0000}"/>
    <cellStyle name="Comma 3 7 3 2 3 3 6" xfId="14031" xr:uid="{00000000-0005-0000-0000-0000A39B0000}"/>
    <cellStyle name="Comma 3 7 3 2 3 3 6 2" xfId="37310" xr:uid="{00000000-0005-0000-0000-0000A49B0000}"/>
    <cellStyle name="Comma 3 7 3 2 3 3 7" xfId="17726" xr:uid="{00000000-0005-0000-0000-0000A59B0000}"/>
    <cellStyle name="Comma 3 7 3 2 3 3 7 2" xfId="41004" xr:uid="{00000000-0005-0000-0000-0000A69B0000}"/>
    <cellStyle name="Comma 3 7 3 2 3 3 8" xfId="25070" xr:uid="{00000000-0005-0000-0000-0000A79B0000}"/>
    <cellStyle name="Comma 3 7 3 2 3 3 9" xfId="45900" xr:uid="{00000000-0005-0000-0000-0000A89B0000}"/>
    <cellStyle name="Comma 3 7 3 2 3 4" xfId="3015" xr:uid="{00000000-0005-0000-0000-0000A99B0000}"/>
    <cellStyle name="Comma 3 7 3 2 3 4 2" xfId="16502" xr:uid="{00000000-0005-0000-0000-0000AA9B0000}"/>
    <cellStyle name="Comma 3 7 3 2 3 4 2 2" xfId="39780" xr:uid="{00000000-0005-0000-0000-0000AB9B0000}"/>
    <cellStyle name="Comma 3 7 3 2 3 4 3" xfId="47124" xr:uid="{00000000-0005-0000-0000-0000AC9B0000}"/>
    <cellStyle name="Comma 3 7 3 2 3 4 4" xfId="26294" xr:uid="{00000000-0005-0000-0000-0000AD9B0000}"/>
    <cellStyle name="Comma 3 7 3 2 3 5" xfId="5463" xr:uid="{00000000-0005-0000-0000-0000AE9B0000}"/>
    <cellStyle name="Comma 3 7 3 2 3 5 2" xfId="18950" xr:uid="{00000000-0005-0000-0000-0000AF9B0000}"/>
    <cellStyle name="Comma 3 7 3 2 3 5 2 2" xfId="42228" xr:uid="{00000000-0005-0000-0000-0000B09B0000}"/>
    <cellStyle name="Comma 3 7 3 2 3 5 3" xfId="28742" xr:uid="{00000000-0005-0000-0000-0000B19B0000}"/>
    <cellStyle name="Comma 3 7 3 2 3 6" xfId="7911" xr:uid="{00000000-0005-0000-0000-0000B29B0000}"/>
    <cellStyle name="Comma 3 7 3 2 3 6 2" xfId="31190" xr:uid="{00000000-0005-0000-0000-0000B39B0000}"/>
    <cellStyle name="Comma 3 7 3 2 3 7" xfId="10359" xr:uid="{00000000-0005-0000-0000-0000B49B0000}"/>
    <cellStyle name="Comma 3 7 3 2 3 7 2" xfId="33638" xr:uid="{00000000-0005-0000-0000-0000B59B0000}"/>
    <cellStyle name="Comma 3 7 3 2 3 8" xfId="12807" xr:uid="{00000000-0005-0000-0000-0000B69B0000}"/>
    <cellStyle name="Comma 3 7 3 2 3 8 2" xfId="36086" xr:uid="{00000000-0005-0000-0000-0000B79B0000}"/>
    <cellStyle name="Comma 3 7 3 2 3 9" xfId="15278" xr:uid="{00000000-0005-0000-0000-0000B89B0000}"/>
    <cellStyle name="Comma 3 7 3 2 3 9 2" xfId="38556" xr:uid="{00000000-0005-0000-0000-0000B99B0000}"/>
    <cellStyle name="Comma 3 7 3 2 4" xfId="771" xr:uid="{00000000-0005-0000-0000-0000BA9B0000}"/>
    <cellStyle name="Comma 3 7 3 2 4 10" xfId="44880" xr:uid="{00000000-0005-0000-0000-0000BB9B0000}"/>
    <cellStyle name="Comma 3 7 3 2 4 11" xfId="21602" xr:uid="{00000000-0005-0000-0000-0000BC9B0000}"/>
    <cellStyle name="Comma 3 7 3 2 4 2" xfId="1995" xr:uid="{00000000-0005-0000-0000-0000BD9B0000}"/>
    <cellStyle name="Comma 3 7 3 2 4 2 10" xfId="22826" xr:uid="{00000000-0005-0000-0000-0000BE9B0000}"/>
    <cellStyle name="Comma 3 7 3 2 4 2 2" xfId="4443" xr:uid="{00000000-0005-0000-0000-0000BF9B0000}"/>
    <cellStyle name="Comma 3 7 3 2 4 2 2 2" xfId="20378" xr:uid="{00000000-0005-0000-0000-0000C09B0000}"/>
    <cellStyle name="Comma 3 7 3 2 4 2 2 2 2" xfId="43656" xr:uid="{00000000-0005-0000-0000-0000C19B0000}"/>
    <cellStyle name="Comma 3 7 3 2 4 2 2 3" xfId="48552" xr:uid="{00000000-0005-0000-0000-0000C29B0000}"/>
    <cellStyle name="Comma 3 7 3 2 4 2 2 4" xfId="27722" xr:uid="{00000000-0005-0000-0000-0000C39B0000}"/>
    <cellStyle name="Comma 3 7 3 2 4 2 3" xfId="6891" xr:uid="{00000000-0005-0000-0000-0000C49B0000}"/>
    <cellStyle name="Comma 3 7 3 2 4 2 3 2" xfId="30170" xr:uid="{00000000-0005-0000-0000-0000C59B0000}"/>
    <cellStyle name="Comma 3 7 3 2 4 2 4" xfId="9339" xr:uid="{00000000-0005-0000-0000-0000C69B0000}"/>
    <cellStyle name="Comma 3 7 3 2 4 2 4 2" xfId="32618" xr:uid="{00000000-0005-0000-0000-0000C79B0000}"/>
    <cellStyle name="Comma 3 7 3 2 4 2 5" xfId="11787" xr:uid="{00000000-0005-0000-0000-0000C89B0000}"/>
    <cellStyle name="Comma 3 7 3 2 4 2 5 2" xfId="35066" xr:uid="{00000000-0005-0000-0000-0000C99B0000}"/>
    <cellStyle name="Comma 3 7 3 2 4 2 6" xfId="14235" xr:uid="{00000000-0005-0000-0000-0000CA9B0000}"/>
    <cellStyle name="Comma 3 7 3 2 4 2 6 2" xfId="37514" xr:uid="{00000000-0005-0000-0000-0000CB9B0000}"/>
    <cellStyle name="Comma 3 7 3 2 4 2 7" xfId="17930" xr:uid="{00000000-0005-0000-0000-0000CC9B0000}"/>
    <cellStyle name="Comma 3 7 3 2 4 2 7 2" xfId="41208" xr:uid="{00000000-0005-0000-0000-0000CD9B0000}"/>
    <cellStyle name="Comma 3 7 3 2 4 2 8" xfId="25274" xr:uid="{00000000-0005-0000-0000-0000CE9B0000}"/>
    <cellStyle name="Comma 3 7 3 2 4 2 9" xfId="46104" xr:uid="{00000000-0005-0000-0000-0000CF9B0000}"/>
    <cellStyle name="Comma 3 7 3 2 4 3" xfId="3219" xr:uid="{00000000-0005-0000-0000-0000D09B0000}"/>
    <cellStyle name="Comma 3 7 3 2 4 3 2" xfId="16706" xr:uid="{00000000-0005-0000-0000-0000D19B0000}"/>
    <cellStyle name="Comma 3 7 3 2 4 3 2 2" xfId="39984" xr:uid="{00000000-0005-0000-0000-0000D29B0000}"/>
    <cellStyle name="Comma 3 7 3 2 4 3 3" xfId="47328" xr:uid="{00000000-0005-0000-0000-0000D39B0000}"/>
    <cellStyle name="Comma 3 7 3 2 4 3 4" xfId="26498" xr:uid="{00000000-0005-0000-0000-0000D49B0000}"/>
    <cellStyle name="Comma 3 7 3 2 4 4" xfId="5667" xr:uid="{00000000-0005-0000-0000-0000D59B0000}"/>
    <cellStyle name="Comma 3 7 3 2 4 4 2" xfId="19154" xr:uid="{00000000-0005-0000-0000-0000D69B0000}"/>
    <cellStyle name="Comma 3 7 3 2 4 4 2 2" xfId="42432" xr:uid="{00000000-0005-0000-0000-0000D79B0000}"/>
    <cellStyle name="Comma 3 7 3 2 4 4 3" xfId="28946" xr:uid="{00000000-0005-0000-0000-0000D89B0000}"/>
    <cellStyle name="Comma 3 7 3 2 4 5" xfId="8115" xr:uid="{00000000-0005-0000-0000-0000D99B0000}"/>
    <cellStyle name="Comma 3 7 3 2 4 5 2" xfId="31394" xr:uid="{00000000-0005-0000-0000-0000DA9B0000}"/>
    <cellStyle name="Comma 3 7 3 2 4 6" xfId="10563" xr:uid="{00000000-0005-0000-0000-0000DB9B0000}"/>
    <cellStyle name="Comma 3 7 3 2 4 6 2" xfId="33842" xr:uid="{00000000-0005-0000-0000-0000DC9B0000}"/>
    <cellStyle name="Comma 3 7 3 2 4 7" xfId="13011" xr:uid="{00000000-0005-0000-0000-0000DD9B0000}"/>
    <cellStyle name="Comma 3 7 3 2 4 7 2" xfId="36290" xr:uid="{00000000-0005-0000-0000-0000DE9B0000}"/>
    <cellStyle name="Comma 3 7 3 2 4 8" xfId="15482" xr:uid="{00000000-0005-0000-0000-0000DF9B0000}"/>
    <cellStyle name="Comma 3 7 3 2 4 8 2" xfId="38760" xr:uid="{00000000-0005-0000-0000-0000E09B0000}"/>
    <cellStyle name="Comma 3 7 3 2 4 9" xfId="24050" xr:uid="{00000000-0005-0000-0000-0000E19B0000}"/>
    <cellStyle name="Comma 3 7 3 2 5" xfId="1383" xr:uid="{00000000-0005-0000-0000-0000E29B0000}"/>
    <cellStyle name="Comma 3 7 3 2 5 10" xfId="22214" xr:uid="{00000000-0005-0000-0000-0000E39B0000}"/>
    <cellStyle name="Comma 3 7 3 2 5 2" xfId="3831" xr:uid="{00000000-0005-0000-0000-0000E49B0000}"/>
    <cellStyle name="Comma 3 7 3 2 5 2 2" xfId="19766" xr:uid="{00000000-0005-0000-0000-0000E59B0000}"/>
    <cellStyle name="Comma 3 7 3 2 5 2 2 2" xfId="43044" xr:uid="{00000000-0005-0000-0000-0000E69B0000}"/>
    <cellStyle name="Comma 3 7 3 2 5 2 3" xfId="47940" xr:uid="{00000000-0005-0000-0000-0000E79B0000}"/>
    <cellStyle name="Comma 3 7 3 2 5 2 4" xfId="27110" xr:uid="{00000000-0005-0000-0000-0000E89B0000}"/>
    <cellStyle name="Comma 3 7 3 2 5 3" xfId="6279" xr:uid="{00000000-0005-0000-0000-0000E99B0000}"/>
    <cellStyle name="Comma 3 7 3 2 5 3 2" xfId="29558" xr:uid="{00000000-0005-0000-0000-0000EA9B0000}"/>
    <cellStyle name="Comma 3 7 3 2 5 4" xfId="8727" xr:uid="{00000000-0005-0000-0000-0000EB9B0000}"/>
    <cellStyle name="Comma 3 7 3 2 5 4 2" xfId="32006" xr:uid="{00000000-0005-0000-0000-0000EC9B0000}"/>
    <cellStyle name="Comma 3 7 3 2 5 5" xfId="11175" xr:uid="{00000000-0005-0000-0000-0000ED9B0000}"/>
    <cellStyle name="Comma 3 7 3 2 5 5 2" xfId="34454" xr:uid="{00000000-0005-0000-0000-0000EE9B0000}"/>
    <cellStyle name="Comma 3 7 3 2 5 6" xfId="13623" xr:uid="{00000000-0005-0000-0000-0000EF9B0000}"/>
    <cellStyle name="Comma 3 7 3 2 5 6 2" xfId="36902" xr:uid="{00000000-0005-0000-0000-0000F09B0000}"/>
    <cellStyle name="Comma 3 7 3 2 5 7" xfId="17318" xr:uid="{00000000-0005-0000-0000-0000F19B0000}"/>
    <cellStyle name="Comma 3 7 3 2 5 7 2" xfId="40596" xr:uid="{00000000-0005-0000-0000-0000F29B0000}"/>
    <cellStyle name="Comma 3 7 3 2 5 8" xfId="24662" xr:uid="{00000000-0005-0000-0000-0000F39B0000}"/>
    <cellStyle name="Comma 3 7 3 2 5 9" xfId="45492" xr:uid="{00000000-0005-0000-0000-0000F49B0000}"/>
    <cellStyle name="Comma 3 7 3 2 6" xfId="2607" xr:uid="{00000000-0005-0000-0000-0000F59B0000}"/>
    <cellStyle name="Comma 3 7 3 2 6 2" xfId="16094" xr:uid="{00000000-0005-0000-0000-0000F69B0000}"/>
    <cellStyle name="Comma 3 7 3 2 6 2 2" xfId="39372" xr:uid="{00000000-0005-0000-0000-0000F79B0000}"/>
    <cellStyle name="Comma 3 7 3 2 6 3" xfId="46716" xr:uid="{00000000-0005-0000-0000-0000F89B0000}"/>
    <cellStyle name="Comma 3 7 3 2 6 4" xfId="25886" xr:uid="{00000000-0005-0000-0000-0000F99B0000}"/>
    <cellStyle name="Comma 3 7 3 2 7" xfId="5055" xr:uid="{00000000-0005-0000-0000-0000FA9B0000}"/>
    <cellStyle name="Comma 3 7 3 2 7 2" xfId="18542" xr:uid="{00000000-0005-0000-0000-0000FB9B0000}"/>
    <cellStyle name="Comma 3 7 3 2 7 2 2" xfId="41820" xr:uid="{00000000-0005-0000-0000-0000FC9B0000}"/>
    <cellStyle name="Comma 3 7 3 2 7 3" xfId="28334" xr:uid="{00000000-0005-0000-0000-0000FD9B0000}"/>
    <cellStyle name="Comma 3 7 3 2 8" xfId="7503" xr:uid="{00000000-0005-0000-0000-0000FE9B0000}"/>
    <cellStyle name="Comma 3 7 3 2 8 2" xfId="30782" xr:uid="{00000000-0005-0000-0000-0000FF9B0000}"/>
    <cellStyle name="Comma 3 7 3 2 9" xfId="9951" xr:uid="{00000000-0005-0000-0000-0000009C0000}"/>
    <cellStyle name="Comma 3 7 3 2 9 2" xfId="33230" xr:uid="{00000000-0005-0000-0000-0000019C0000}"/>
    <cellStyle name="Comma 3 7 3 3" xfId="227" xr:uid="{00000000-0005-0000-0000-0000029C0000}"/>
    <cellStyle name="Comma 3 7 3 3 10" xfId="12467" xr:uid="{00000000-0005-0000-0000-0000039C0000}"/>
    <cellStyle name="Comma 3 7 3 3 10 2" xfId="35746" xr:uid="{00000000-0005-0000-0000-0000049C0000}"/>
    <cellStyle name="Comma 3 7 3 3 11" xfId="14938" xr:uid="{00000000-0005-0000-0000-0000059C0000}"/>
    <cellStyle name="Comma 3 7 3 3 11 2" xfId="38216" xr:uid="{00000000-0005-0000-0000-0000069C0000}"/>
    <cellStyle name="Comma 3 7 3 3 12" xfId="23506" xr:uid="{00000000-0005-0000-0000-0000079C0000}"/>
    <cellStyle name="Comma 3 7 3 3 13" xfId="44336" xr:uid="{00000000-0005-0000-0000-0000089C0000}"/>
    <cellStyle name="Comma 3 7 3 3 14" xfId="21058" xr:uid="{00000000-0005-0000-0000-0000099C0000}"/>
    <cellStyle name="Comma 3 7 3 3 2" xfId="431" xr:uid="{00000000-0005-0000-0000-00000A9C0000}"/>
    <cellStyle name="Comma 3 7 3 3 2 10" xfId="23710" xr:uid="{00000000-0005-0000-0000-00000B9C0000}"/>
    <cellStyle name="Comma 3 7 3 3 2 11" xfId="44540" xr:uid="{00000000-0005-0000-0000-00000C9C0000}"/>
    <cellStyle name="Comma 3 7 3 3 2 12" xfId="21262" xr:uid="{00000000-0005-0000-0000-00000D9C0000}"/>
    <cellStyle name="Comma 3 7 3 3 2 2" xfId="1043" xr:uid="{00000000-0005-0000-0000-00000E9C0000}"/>
    <cellStyle name="Comma 3 7 3 3 2 2 10" xfId="45152" xr:uid="{00000000-0005-0000-0000-00000F9C0000}"/>
    <cellStyle name="Comma 3 7 3 3 2 2 11" xfId="21874" xr:uid="{00000000-0005-0000-0000-0000109C0000}"/>
    <cellStyle name="Comma 3 7 3 3 2 2 2" xfId="2267" xr:uid="{00000000-0005-0000-0000-0000119C0000}"/>
    <cellStyle name="Comma 3 7 3 3 2 2 2 10" xfId="23098" xr:uid="{00000000-0005-0000-0000-0000129C0000}"/>
    <cellStyle name="Comma 3 7 3 3 2 2 2 2" xfId="4715" xr:uid="{00000000-0005-0000-0000-0000139C0000}"/>
    <cellStyle name="Comma 3 7 3 3 2 2 2 2 2" xfId="20650" xr:uid="{00000000-0005-0000-0000-0000149C0000}"/>
    <cellStyle name="Comma 3 7 3 3 2 2 2 2 2 2" xfId="43928" xr:uid="{00000000-0005-0000-0000-0000159C0000}"/>
    <cellStyle name="Comma 3 7 3 3 2 2 2 2 3" xfId="48824" xr:uid="{00000000-0005-0000-0000-0000169C0000}"/>
    <cellStyle name="Comma 3 7 3 3 2 2 2 2 4" xfId="27994" xr:uid="{00000000-0005-0000-0000-0000179C0000}"/>
    <cellStyle name="Comma 3 7 3 3 2 2 2 3" xfId="7163" xr:uid="{00000000-0005-0000-0000-0000189C0000}"/>
    <cellStyle name="Comma 3 7 3 3 2 2 2 3 2" xfId="30442" xr:uid="{00000000-0005-0000-0000-0000199C0000}"/>
    <cellStyle name="Comma 3 7 3 3 2 2 2 4" xfId="9611" xr:uid="{00000000-0005-0000-0000-00001A9C0000}"/>
    <cellStyle name="Comma 3 7 3 3 2 2 2 4 2" xfId="32890" xr:uid="{00000000-0005-0000-0000-00001B9C0000}"/>
    <cellStyle name="Comma 3 7 3 3 2 2 2 5" xfId="12059" xr:uid="{00000000-0005-0000-0000-00001C9C0000}"/>
    <cellStyle name="Comma 3 7 3 3 2 2 2 5 2" xfId="35338" xr:uid="{00000000-0005-0000-0000-00001D9C0000}"/>
    <cellStyle name="Comma 3 7 3 3 2 2 2 6" xfId="14507" xr:uid="{00000000-0005-0000-0000-00001E9C0000}"/>
    <cellStyle name="Comma 3 7 3 3 2 2 2 6 2" xfId="37786" xr:uid="{00000000-0005-0000-0000-00001F9C0000}"/>
    <cellStyle name="Comma 3 7 3 3 2 2 2 7" xfId="18202" xr:uid="{00000000-0005-0000-0000-0000209C0000}"/>
    <cellStyle name="Comma 3 7 3 3 2 2 2 7 2" xfId="41480" xr:uid="{00000000-0005-0000-0000-0000219C0000}"/>
    <cellStyle name="Comma 3 7 3 3 2 2 2 8" xfId="25546" xr:uid="{00000000-0005-0000-0000-0000229C0000}"/>
    <cellStyle name="Comma 3 7 3 3 2 2 2 9" xfId="46376" xr:uid="{00000000-0005-0000-0000-0000239C0000}"/>
    <cellStyle name="Comma 3 7 3 3 2 2 3" xfId="3491" xr:uid="{00000000-0005-0000-0000-0000249C0000}"/>
    <cellStyle name="Comma 3 7 3 3 2 2 3 2" xfId="16978" xr:uid="{00000000-0005-0000-0000-0000259C0000}"/>
    <cellStyle name="Comma 3 7 3 3 2 2 3 2 2" xfId="40256" xr:uid="{00000000-0005-0000-0000-0000269C0000}"/>
    <cellStyle name="Comma 3 7 3 3 2 2 3 3" xfId="47600" xr:uid="{00000000-0005-0000-0000-0000279C0000}"/>
    <cellStyle name="Comma 3 7 3 3 2 2 3 4" xfId="26770" xr:uid="{00000000-0005-0000-0000-0000289C0000}"/>
    <cellStyle name="Comma 3 7 3 3 2 2 4" xfId="5939" xr:uid="{00000000-0005-0000-0000-0000299C0000}"/>
    <cellStyle name="Comma 3 7 3 3 2 2 4 2" xfId="19426" xr:uid="{00000000-0005-0000-0000-00002A9C0000}"/>
    <cellStyle name="Comma 3 7 3 3 2 2 4 2 2" xfId="42704" xr:uid="{00000000-0005-0000-0000-00002B9C0000}"/>
    <cellStyle name="Comma 3 7 3 3 2 2 4 3" xfId="29218" xr:uid="{00000000-0005-0000-0000-00002C9C0000}"/>
    <cellStyle name="Comma 3 7 3 3 2 2 5" xfId="8387" xr:uid="{00000000-0005-0000-0000-00002D9C0000}"/>
    <cellStyle name="Comma 3 7 3 3 2 2 5 2" xfId="31666" xr:uid="{00000000-0005-0000-0000-00002E9C0000}"/>
    <cellStyle name="Comma 3 7 3 3 2 2 6" xfId="10835" xr:uid="{00000000-0005-0000-0000-00002F9C0000}"/>
    <cellStyle name="Comma 3 7 3 3 2 2 6 2" xfId="34114" xr:uid="{00000000-0005-0000-0000-0000309C0000}"/>
    <cellStyle name="Comma 3 7 3 3 2 2 7" xfId="13283" xr:uid="{00000000-0005-0000-0000-0000319C0000}"/>
    <cellStyle name="Comma 3 7 3 3 2 2 7 2" xfId="36562" xr:uid="{00000000-0005-0000-0000-0000329C0000}"/>
    <cellStyle name="Comma 3 7 3 3 2 2 8" xfId="15754" xr:uid="{00000000-0005-0000-0000-0000339C0000}"/>
    <cellStyle name="Comma 3 7 3 3 2 2 8 2" xfId="39032" xr:uid="{00000000-0005-0000-0000-0000349C0000}"/>
    <cellStyle name="Comma 3 7 3 3 2 2 9" xfId="24322" xr:uid="{00000000-0005-0000-0000-0000359C0000}"/>
    <cellStyle name="Comma 3 7 3 3 2 3" xfId="1655" xr:uid="{00000000-0005-0000-0000-0000369C0000}"/>
    <cellStyle name="Comma 3 7 3 3 2 3 10" xfId="22486" xr:uid="{00000000-0005-0000-0000-0000379C0000}"/>
    <cellStyle name="Comma 3 7 3 3 2 3 2" xfId="4103" xr:uid="{00000000-0005-0000-0000-0000389C0000}"/>
    <cellStyle name="Comma 3 7 3 3 2 3 2 2" xfId="20038" xr:uid="{00000000-0005-0000-0000-0000399C0000}"/>
    <cellStyle name="Comma 3 7 3 3 2 3 2 2 2" xfId="43316" xr:uid="{00000000-0005-0000-0000-00003A9C0000}"/>
    <cellStyle name="Comma 3 7 3 3 2 3 2 3" xfId="48212" xr:uid="{00000000-0005-0000-0000-00003B9C0000}"/>
    <cellStyle name="Comma 3 7 3 3 2 3 2 4" xfId="27382" xr:uid="{00000000-0005-0000-0000-00003C9C0000}"/>
    <cellStyle name="Comma 3 7 3 3 2 3 3" xfId="6551" xr:uid="{00000000-0005-0000-0000-00003D9C0000}"/>
    <cellStyle name="Comma 3 7 3 3 2 3 3 2" xfId="29830" xr:uid="{00000000-0005-0000-0000-00003E9C0000}"/>
    <cellStyle name="Comma 3 7 3 3 2 3 4" xfId="8999" xr:uid="{00000000-0005-0000-0000-00003F9C0000}"/>
    <cellStyle name="Comma 3 7 3 3 2 3 4 2" xfId="32278" xr:uid="{00000000-0005-0000-0000-0000409C0000}"/>
    <cellStyle name="Comma 3 7 3 3 2 3 5" xfId="11447" xr:uid="{00000000-0005-0000-0000-0000419C0000}"/>
    <cellStyle name="Comma 3 7 3 3 2 3 5 2" xfId="34726" xr:uid="{00000000-0005-0000-0000-0000429C0000}"/>
    <cellStyle name="Comma 3 7 3 3 2 3 6" xfId="13895" xr:uid="{00000000-0005-0000-0000-0000439C0000}"/>
    <cellStyle name="Comma 3 7 3 3 2 3 6 2" xfId="37174" xr:uid="{00000000-0005-0000-0000-0000449C0000}"/>
    <cellStyle name="Comma 3 7 3 3 2 3 7" xfId="17590" xr:uid="{00000000-0005-0000-0000-0000459C0000}"/>
    <cellStyle name="Comma 3 7 3 3 2 3 7 2" xfId="40868" xr:uid="{00000000-0005-0000-0000-0000469C0000}"/>
    <cellStyle name="Comma 3 7 3 3 2 3 8" xfId="24934" xr:uid="{00000000-0005-0000-0000-0000479C0000}"/>
    <cellStyle name="Comma 3 7 3 3 2 3 9" xfId="45764" xr:uid="{00000000-0005-0000-0000-0000489C0000}"/>
    <cellStyle name="Comma 3 7 3 3 2 4" xfId="2879" xr:uid="{00000000-0005-0000-0000-0000499C0000}"/>
    <cellStyle name="Comma 3 7 3 3 2 4 2" xfId="16366" xr:uid="{00000000-0005-0000-0000-00004A9C0000}"/>
    <cellStyle name="Comma 3 7 3 3 2 4 2 2" xfId="39644" xr:uid="{00000000-0005-0000-0000-00004B9C0000}"/>
    <cellStyle name="Comma 3 7 3 3 2 4 3" xfId="46988" xr:uid="{00000000-0005-0000-0000-00004C9C0000}"/>
    <cellStyle name="Comma 3 7 3 3 2 4 4" xfId="26158" xr:uid="{00000000-0005-0000-0000-00004D9C0000}"/>
    <cellStyle name="Comma 3 7 3 3 2 5" xfId="5327" xr:uid="{00000000-0005-0000-0000-00004E9C0000}"/>
    <cellStyle name="Comma 3 7 3 3 2 5 2" xfId="18814" xr:uid="{00000000-0005-0000-0000-00004F9C0000}"/>
    <cellStyle name="Comma 3 7 3 3 2 5 2 2" xfId="42092" xr:uid="{00000000-0005-0000-0000-0000509C0000}"/>
    <cellStyle name="Comma 3 7 3 3 2 5 3" xfId="28606" xr:uid="{00000000-0005-0000-0000-0000519C0000}"/>
    <cellStyle name="Comma 3 7 3 3 2 6" xfId="7775" xr:uid="{00000000-0005-0000-0000-0000529C0000}"/>
    <cellStyle name="Comma 3 7 3 3 2 6 2" xfId="31054" xr:uid="{00000000-0005-0000-0000-0000539C0000}"/>
    <cellStyle name="Comma 3 7 3 3 2 7" xfId="10223" xr:uid="{00000000-0005-0000-0000-0000549C0000}"/>
    <cellStyle name="Comma 3 7 3 3 2 7 2" xfId="33502" xr:uid="{00000000-0005-0000-0000-0000559C0000}"/>
    <cellStyle name="Comma 3 7 3 3 2 8" xfId="12671" xr:uid="{00000000-0005-0000-0000-0000569C0000}"/>
    <cellStyle name="Comma 3 7 3 3 2 8 2" xfId="35950" xr:uid="{00000000-0005-0000-0000-0000579C0000}"/>
    <cellStyle name="Comma 3 7 3 3 2 9" xfId="15142" xr:uid="{00000000-0005-0000-0000-0000589C0000}"/>
    <cellStyle name="Comma 3 7 3 3 2 9 2" xfId="38420" xr:uid="{00000000-0005-0000-0000-0000599C0000}"/>
    <cellStyle name="Comma 3 7 3 3 3" xfId="635" xr:uid="{00000000-0005-0000-0000-00005A9C0000}"/>
    <cellStyle name="Comma 3 7 3 3 3 10" xfId="23914" xr:uid="{00000000-0005-0000-0000-00005B9C0000}"/>
    <cellStyle name="Comma 3 7 3 3 3 11" xfId="44744" xr:uid="{00000000-0005-0000-0000-00005C9C0000}"/>
    <cellStyle name="Comma 3 7 3 3 3 12" xfId="21466" xr:uid="{00000000-0005-0000-0000-00005D9C0000}"/>
    <cellStyle name="Comma 3 7 3 3 3 2" xfId="1247" xr:uid="{00000000-0005-0000-0000-00005E9C0000}"/>
    <cellStyle name="Comma 3 7 3 3 3 2 10" xfId="45356" xr:uid="{00000000-0005-0000-0000-00005F9C0000}"/>
    <cellStyle name="Comma 3 7 3 3 3 2 11" xfId="22078" xr:uid="{00000000-0005-0000-0000-0000609C0000}"/>
    <cellStyle name="Comma 3 7 3 3 3 2 2" xfId="2471" xr:uid="{00000000-0005-0000-0000-0000619C0000}"/>
    <cellStyle name="Comma 3 7 3 3 3 2 2 10" xfId="23302" xr:uid="{00000000-0005-0000-0000-0000629C0000}"/>
    <cellStyle name="Comma 3 7 3 3 3 2 2 2" xfId="4919" xr:uid="{00000000-0005-0000-0000-0000639C0000}"/>
    <cellStyle name="Comma 3 7 3 3 3 2 2 2 2" xfId="20854" xr:uid="{00000000-0005-0000-0000-0000649C0000}"/>
    <cellStyle name="Comma 3 7 3 3 3 2 2 2 2 2" xfId="44132" xr:uid="{00000000-0005-0000-0000-0000659C0000}"/>
    <cellStyle name="Comma 3 7 3 3 3 2 2 2 3" xfId="49028" xr:uid="{00000000-0005-0000-0000-0000669C0000}"/>
    <cellStyle name="Comma 3 7 3 3 3 2 2 2 4" xfId="28198" xr:uid="{00000000-0005-0000-0000-0000679C0000}"/>
    <cellStyle name="Comma 3 7 3 3 3 2 2 3" xfId="7367" xr:uid="{00000000-0005-0000-0000-0000689C0000}"/>
    <cellStyle name="Comma 3 7 3 3 3 2 2 3 2" xfId="30646" xr:uid="{00000000-0005-0000-0000-0000699C0000}"/>
    <cellStyle name="Comma 3 7 3 3 3 2 2 4" xfId="9815" xr:uid="{00000000-0005-0000-0000-00006A9C0000}"/>
    <cellStyle name="Comma 3 7 3 3 3 2 2 4 2" xfId="33094" xr:uid="{00000000-0005-0000-0000-00006B9C0000}"/>
    <cellStyle name="Comma 3 7 3 3 3 2 2 5" xfId="12263" xr:uid="{00000000-0005-0000-0000-00006C9C0000}"/>
    <cellStyle name="Comma 3 7 3 3 3 2 2 5 2" xfId="35542" xr:uid="{00000000-0005-0000-0000-00006D9C0000}"/>
    <cellStyle name="Comma 3 7 3 3 3 2 2 6" xfId="14711" xr:uid="{00000000-0005-0000-0000-00006E9C0000}"/>
    <cellStyle name="Comma 3 7 3 3 3 2 2 6 2" xfId="37990" xr:uid="{00000000-0005-0000-0000-00006F9C0000}"/>
    <cellStyle name="Comma 3 7 3 3 3 2 2 7" xfId="18406" xr:uid="{00000000-0005-0000-0000-0000709C0000}"/>
    <cellStyle name="Comma 3 7 3 3 3 2 2 7 2" xfId="41684" xr:uid="{00000000-0005-0000-0000-0000719C0000}"/>
    <cellStyle name="Comma 3 7 3 3 3 2 2 8" xfId="25750" xr:uid="{00000000-0005-0000-0000-0000729C0000}"/>
    <cellStyle name="Comma 3 7 3 3 3 2 2 9" xfId="46580" xr:uid="{00000000-0005-0000-0000-0000739C0000}"/>
    <cellStyle name="Comma 3 7 3 3 3 2 3" xfId="3695" xr:uid="{00000000-0005-0000-0000-0000749C0000}"/>
    <cellStyle name="Comma 3 7 3 3 3 2 3 2" xfId="17182" xr:uid="{00000000-0005-0000-0000-0000759C0000}"/>
    <cellStyle name="Comma 3 7 3 3 3 2 3 2 2" xfId="40460" xr:uid="{00000000-0005-0000-0000-0000769C0000}"/>
    <cellStyle name="Comma 3 7 3 3 3 2 3 3" xfId="47804" xr:uid="{00000000-0005-0000-0000-0000779C0000}"/>
    <cellStyle name="Comma 3 7 3 3 3 2 3 4" xfId="26974" xr:uid="{00000000-0005-0000-0000-0000789C0000}"/>
    <cellStyle name="Comma 3 7 3 3 3 2 4" xfId="6143" xr:uid="{00000000-0005-0000-0000-0000799C0000}"/>
    <cellStyle name="Comma 3 7 3 3 3 2 4 2" xfId="19630" xr:uid="{00000000-0005-0000-0000-00007A9C0000}"/>
    <cellStyle name="Comma 3 7 3 3 3 2 4 2 2" xfId="42908" xr:uid="{00000000-0005-0000-0000-00007B9C0000}"/>
    <cellStyle name="Comma 3 7 3 3 3 2 4 3" xfId="29422" xr:uid="{00000000-0005-0000-0000-00007C9C0000}"/>
    <cellStyle name="Comma 3 7 3 3 3 2 5" xfId="8591" xr:uid="{00000000-0005-0000-0000-00007D9C0000}"/>
    <cellStyle name="Comma 3 7 3 3 3 2 5 2" xfId="31870" xr:uid="{00000000-0005-0000-0000-00007E9C0000}"/>
    <cellStyle name="Comma 3 7 3 3 3 2 6" xfId="11039" xr:uid="{00000000-0005-0000-0000-00007F9C0000}"/>
    <cellStyle name="Comma 3 7 3 3 3 2 6 2" xfId="34318" xr:uid="{00000000-0005-0000-0000-0000809C0000}"/>
    <cellStyle name="Comma 3 7 3 3 3 2 7" xfId="13487" xr:uid="{00000000-0005-0000-0000-0000819C0000}"/>
    <cellStyle name="Comma 3 7 3 3 3 2 7 2" xfId="36766" xr:uid="{00000000-0005-0000-0000-0000829C0000}"/>
    <cellStyle name="Comma 3 7 3 3 3 2 8" xfId="15958" xr:uid="{00000000-0005-0000-0000-0000839C0000}"/>
    <cellStyle name="Comma 3 7 3 3 3 2 8 2" xfId="39236" xr:uid="{00000000-0005-0000-0000-0000849C0000}"/>
    <cellStyle name="Comma 3 7 3 3 3 2 9" xfId="24526" xr:uid="{00000000-0005-0000-0000-0000859C0000}"/>
    <cellStyle name="Comma 3 7 3 3 3 3" xfId="1859" xr:uid="{00000000-0005-0000-0000-0000869C0000}"/>
    <cellStyle name="Comma 3 7 3 3 3 3 10" xfId="22690" xr:uid="{00000000-0005-0000-0000-0000879C0000}"/>
    <cellStyle name="Comma 3 7 3 3 3 3 2" xfId="4307" xr:uid="{00000000-0005-0000-0000-0000889C0000}"/>
    <cellStyle name="Comma 3 7 3 3 3 3 2 2" xfId="20242" xr:uid="{00000000-0005-0000-0000-0000899C0000}"/>
    <cellStyle name="Comma 3 7 3 3 3 3 2 2 2" xfId="43520" xr:uid="{00000000-0005-0000-0000-00008A9C0000}"/>
    <cellStyle name="Comma 3 7 3 3 3 3 2 3" xfId="48416" xr:uid="{00000000-0005-0000-0000-00008B9C0000}"/>
    <cellStyle name="Comma 3 7 3 3 3 3 2 4" xfId="27586" xr:uid="{00000000-0005-0000-0000-00008C9C0000}"/>
    <cellStyle name="Comma 3 7 3 3 3 3 3" xfId="6755" xr:uid="{00000000-0005-0000-0000-00008D9C0000}"/>
    <cellStyle name="Comma 3 7 3 3 3 3 3 2" xfId="30034" xr:uid="{00000000-0005-0000-0000-00008E9C0000}"/>
    <cellStyle name="Comma 3 7 3 3 3 3 4" xfId="9203" xr:uid="{00000000-0005-0000-0000-00008F9C0000}"/>
    <cellStyle name="Comma 3 7 3 3 3 3 4 2" xfId="32482" xr:uid="{00000000-0005-0000-0000-0000909C0000}"/>
    <cellStyle name="Comma 3 7 3 3 3 3 5" xfId="11651" xr:uid="{00000000-0005-0000-0000-0000919C0000}"/>
    <cellStyle name="Comma 3 7 3 3 3 3 5 2" xfId="34930" xr:uid="{00000000-0005-0000-0000-0000929C0000}"/>
    <cellStyle name="Comma 3 7 3 3 3 3 6" xfId="14099" xr:uid="{00000000-0005-0000-0000-0000939C0000}"/>
    <cellStyle name="Comma 3 7 3 3 3 3 6 2" xfId="37378" xr:uid="{00000000-0005-0000-0000-0000949C0000}"/>
    <cellStyle name="Comma 3 7 3 3 3 3 7" xfId="17794" xr:uid="{00000000-0005-0000-0000-0000959C0000}"/>
    <cellStyle name="Comma 3 7 3 3 3 3 7 2" xfId="41072" xr:uid="{00000000-0005-0000-0000-0000969C0000}"/>
    <cellStyle name="Comma 3 7 3 3 3 3 8" xfId="25138" xr:uid="{00000000-0005-0000-0000-0000979C0000}"/>
    <cellStyle name="Comma 3 7 3 3 3 3 9" xfId="45968" xr:uid="{00000000-0005-0000-0000-0000989C0000}"/>
    <cellStyle name="Comma 3 7 3 3 3 4" xfId="3083" xr:uid="{00000000-0005-0000-0000-0000999C0000}"/>
    <cellStyle name="Comma 3 7 3 3 3 4 2" xfId="16570" xr:uid="{00000000-0005-0000-0000-00009A9C0000}"/>
    <cellStyle name="Comma 3 7 3 3 3 4 2 2" xfId="39848" xr:uid="{00000000-0005-0000-0000-00009B9C0000}"/>
    <cellStyle name="Comma 3 7 3 3 3 4 3" xfId="47192" xr:uid="{00000000-0005-0000-0000-00009C9C0000}"/>
    <cellStyle name="Comma 3 7 3 3 3 4 4" xfId="26362" xr:uid="{00000000-0005-0000-0000-00009D9C0000}"/>
    <cellStyle name="Comma 3 7 3 3 3 5" xfId="5531" xr:uid="{00000000-0005-0000-0000-00009E9C0000}"/>
    <cellStyle name="Comma 3 7 3 3 3 5 2" xfId="19018" xr:uid="{00000000-0005-0000-0000-00009F9C0000}"/>
    <cellStyle name="Comma 3 7 3 3 3 5 2 2" xfId="42296" xr:uid="{00000000-0005-0000-0000-0000A09C0000}"/>
    <cellStyle name="Comma 3 7 3 3 3 5 3" xfId="28810" xr:uid="{00000000-0005-0000-0000-0000A19C0000}"/>
    <cellStyle name="Comma 3 7 3 3 3 6" xfId="7979" xr:uid="{00000000-0005-0000-0000-0000A29C0000}"/>
    <cellStyle name="Comma 3 7 3 3 3 6 2" xfId="31258" xr:uid="{00000000-0005-0000-0000-0000A39C0000}"/>
    <cellStyle name="Comma 3 7 3 3 3 7" xfId="10427" xr:uid="{00000000-0005-0000-0000-0000A49C0000}"/>
    <cellStyle name="Comma 3 7 3 3 3 7 2" xfId="33706" xr:uid="{00000000-0005-0000-0000-0000A59C0000}"/>
    <cellStyle name="Comma 3 7 3 3 3 8" xfId="12875" xr:uid="{00000000-0005-0000-0000-0000A69C0000}"/>
    <cellStyle name="Comma 3 7 3 3 3 8 2" xfId="36154" xr:uid="{00000000-0005-0000-0000-0000A79C0000}"/>
    <cellStyle name="Comma 3 7 3 3 3 9" xfId="15346" xr:uid="{00000000-0005-0000-0000-0000A89C0000}"/>
    <cellStyle name="Comma 3 7 3 3 3 9 2" xfId="38624" xr:uid="{00000000-0005-0000-0000-0000A99C0000}"/>
    <cellStyle name="Comma 3 7 3 3 4" xfId="839" xr:uid="{00000000-0005-0000-0000-0000AA9C0000}"/>
    <cellStyle name="Comma 3 7 3 3 4 10" xfId="44948" xr:uid="{00000000-0005-0000-0000-0000AB9C0000}"/>
    <cellStyle name="Comma 3 7 3 3 4 11" xfId="21670" xr:uid="{00000000-0005-0000-0000-0000AC9C0000}"/>
    <cellStyle name="Comma 3 7 3 3 4 2" xfId="2063" xr:uid="{00000000-0005-0000-0000-0000AD9C0000}"/>
    <cellStyle name="Comma 3 7 3 3 4 2 10" xfId="22894" xr:uid="{00000000-0005-0000-0000-0000AE9C0000}"/>
    <cellStyle name="Comma 3 7 3 3 4 2 2" xfId="4511" xr:uid="{00000000-0005-0000-0000-0000AF9C0000}"/>
    <cellStyle name="Comma 3 7 3 3 4 2 2 2" xfId="20446" xr:uid="{00000000-0005-0000-0000-0000B09C0000}"/>
    <cellStyle name="Comma 3 7 3 3 4 2 2 2 2" xfId="43724" xr:uid="{00000000-0005-0000-0000-0000B19C0000}"/>
    <cellStyle name="Comma 3 7 3 3 4 2 2 3" xfId="48620" xr:uid="{00000000-0005-0000-0000-0000B29C0000}"/>
    <cellStyle name="Comma 3 7 3 3 4 2 2 4" xfId="27790" xr:uid="{00000000-0005-0000-0000-0000B39C0000}"/>
    <cellStyle name="Comma 3 7 3 3 4 2 3" xfId="6959" xr:uid="{00000000-0005-0000-0000-0000B49C0000}"/>
    <cellStyle name="Comma 3 7 3 3 4 2 3 2" xfId="30238" xr:uid="{00000000-0005-0000-0000-0000B59C0000}"/>
    <cellStyle name="Comma 3 7 3 3 4 2 4" xfId="9407" xr:uid="{00000000-0005-0000-0000-0000B69C0000}"/>
    <cellStyle name="Comma 3 7 3 3 4 2 4 2" xfId="32686" xr:uid="{00000000-0005-0000-0000-0000B79C0000}"/>
    <cellStyle name="Comma 3 7 3 3 4 2 5" xfId="11855" xr:uid="{00000000-0005-0000-0000-0000B89C0000}"/>
    <cellStyle name="Comma 3 7 3 3 4 2 5 2" xfId="35134" xr:uid="{00000000-0005-0000-0000-0000B99C0000}"/>
    <cellStyle name="Comma 3 7 3 3 4 2 6" xfId="14303" xr:uid="{00000000-0005-0000-0000-0000BA9C0000}"/>
    <cellStyle name="Comma 3 7 3 3 4 2 6 2" xfId="37582" xr:uid="{00000000-0005-0000-0000-0000BB9C0000}"/>
    <cellStyle name="Comma 3 7 3 3 4 2 7" xfId="17998" xr:uid="{00000000-0005-0000-0000-0000BC9C0000}"/>
    <cellStyle name="Comma 3 7 3 3 4 2 7 2" xfId="41276" xr:uid="{00000000-0005-0000-0000-0000BD9C0000}"/>
    <cellStyle name="Comma 3 7 3 3 4 2 8" xfId="25342" xr:uid="{00000000-0005-0000-0000-0000BE9C0000}"/>
    <cellStyle name="Comma 3 7 3 3 4 2 9" xfId="46172" xr:uid="{00000000-0005-0000-0000-0000BF9C0000}"/>
    <cellStyle name="Comma 3 7 3 3 4 3" xfId="3287" xr:uid="{00000000-0005-0000-0000-0000C09C0000}"/>
    <cellStyle name="Comma 3 7 3 3 4 3 2" xfId="16774" xr:uid="{00000000-0005-0000-0000-0000C19C0000}"/>
    <cellStyle name="Comma 3 7 3 3 4 3 2 2" xfId="40052" xr:uid="{00000000-0005-0000-0000-0000C29C0000}"/>
    <cellStyle name="Comma 3 7 3 3 4 3 3" xfId="47396" xr:uid="{00000000-0005-0000-0000-0000C39C0000}"/>
    <cellStyle name="Comma 3 7 3 3 4 3 4" xfId="26566" xr:uid="{00000000-0005-0000-0000-0000C49C0000}"/>
    <cellStyle name="Comma 3 7 3 3 4 4" xfId="5735" xr:uid="{00000000-0005-0000-0000-0000C59C0000}"/>
    <cellStyle name="Comma 3 7 3 3 4 4 2" xfId="19222" xr:uid="{00000000-0005-0000-0000-0000C69C0000}"/>
    <cellStyle name="Comma 3 7 3 3 4 4 2 2" xfId="42500" xr:uid="{00000000-0005-0000-0000-0000C79C0000}"/>
    <cellStyle name="Comma 3 7 3 3 4 4 3" xfId="29014" xr:uid="{00000000-0005-0000-0000-0000C89C0000}"/>
    <cellStyle name="Comma 3 7 3 3 4 5" xfId="8183" xr:uid="{00000000-0005-0000-0000-0000C99C0000}"/>
    <cellStyle name="Comma 3 7 3 3 4 5 2" xfId="31462" xr:uid="{00000000-0005-0000-0000-0000CA9C0000}"/>
    <cellStyle name="Comma 3 7 3 3 4 6" xfId="10631" xr:uid="{00000000-0005-0000-0000-0000CB9C0000}"/>
    <cellStyle name="Comma 3 7 3 3 4 6 2" xfId="33910" xr:uid="{00000000-0005-0000-0000-0000CC9C0000}"/>
    <cellStyle name="Comma 3 7 3 3 4 7" xfId="13079" xr:uid="{00000000-0005-0000-0000-0000CD9C0000}"/>
    <cellStyle name="Comma 3 7 3 3 4 7 2" xfId="36358" xr:uid="{00000000-0005-0000-0000-0000CE9C0000}"/>
    <cellStyle name="Comma 3 7 3 3 4 8" xfId="15550" xr:uid="{00000000-0005-0000-0000-0000CF9C0000}"/>
    <cellStyle name="Comma 3 7 3 3 4 8 2" xfId="38828" xr:uid="{00000000-0005-0000-0000-0000D09C0000}"/>
    <cellStyle name="Comma 3 7 3 3 4 9" xfId="24118" xr:uid="{00000000-0005-0000-0000-0000D19C0000}"/>
    <cellStyle name="Comma 3 7 3 3 5" xfId="1451" xr:uid="{00000000-0005-0000-0000-0000D29C0000}"/>
    <cellStyle name="Comma 3 7 3 3 5 10" xfId="22282" xr:uid="{00000000-0005-0000-0000-0000D39C0000}"/>
    <cellStyle name="Comma 3 7 3 3 5 2" xfId="3899" xr:uid="{00000000-0005-0000-0000-0000D49C0000}"/>
    <cellStyle name="Comma 3 7 3 3 5 2 2" xfId="19834" xr:uid="{00000000-0005-0000-0000-0000D59C0000}"/>
    <cellStyle name="Comma 3 7 3 3 5 2 2 2" xfId="43112" xr:uid="{00000000-0005-0000-0000-0000D69C0000}"/>
    <cellStyle name="Comma 3 7 3 3 5 2 3" xfId="48008" xr:uid="{00000000-0005-0000-0000-0000D79C0000}"/>
    <cellStyle name="Comma 3 7 3 3 5 2 4" xfId="27178" xr:uid="{00000000-0005-0000-0000-0000D89C0000}"/>
    <cellStyle name="Comma 3 7 3 3 5 3" xfId="6347" xr:uid="{00000000-0005-0000-0000-0000D99C0000}"/>
    <cellStyle name="Comma 3 7 3 3 5 3 2" xfId="29626" xr:uid="{00000000-0005-0000-0000-0000DA9C0000}"/>
    <cellStyle name="Comma 3 7 3 3 5 4" xfId="8795" xr:uid="{00000000-0005-0000-0000-0000DB9C0000}"/>
    <cellStyle name="Comma 3 7 3 3 5 4 2" xfId="32074" xr:uid="{00000000-0005-0000-0000-0000DC9C0000}"/>
    <cellStyle name="Comma 3 7 3 3 5 5" xfId="11243" xr:uid="{00000000-0005-0000-0000-0000DD9C0000}"/>
    <cellStyle name="Comma 3 7 3 3 5 5 2" xfId="34522" xr:uid="{00000000-0005-0000-0000-0000DE9C0000}"/>
    <cellStyle name="Comma 3 7 3 3 5 6" xfId="13691" xr:uid="{00000000-0005-0000-0000-0000DF9C0000}"/>
    <cellStyle name="Comma 3 7 3 3 5 6 2" xfId="36970" xr:uid="{00000000-0005-0000-0000-0000E09C0000}"/>
    <cellStyle name="Comma 3 7 3 3 5 7" xfId="17386" xr:uid="{00000000-0005-0000-0000-0000E19C0000}"/>
    <cellStyle name="Comma 3 7 3 3 5 7 2" xfId="40664" xr:uid="{00000000-0005-0000-0000-0000E29C0000}"/>
    <cellStyle name="Comma 3 7 3 3 5 8" xfId="24730" xr:uid="{00000000-0005-0000-0000-0000E39C0000}"/>
    <cellStyle name="Comma 3 7 3 3 5 9" xfId="45560" xr:uid="{00000000-0005-0000-0000-0000E49C0000}"/>
    <cellStyle name="Comma 3 7 3 3 6" xfId="2675" xr:uid="{00000000-0005-0000-0000-0000E59C0000}"/>
    <cellStyle name="Comma 3 7 3 3 6 2" xfId="16162" xr:uid="{00000000-0005-0000-0000-0000E69C0000}"/>
    <cellStyle name="Comma 3 7 3 3 6 2 2" xfId="39440" xr:uid="{00000000-0005-0000-0000-0000E79C0000}"/>
    <cellStyle name="Comma 3 7 3 3 6 3" xfId="46784" xr:uid="{00000000-0005-0000-0000-0000E89C0000}"/>
    <cellStyle name="Comma 3 7 3 3 6 4" xfId="25954" xr:uid="{00000000-0005-0000-0000-0000E99C0000}"/>
    <cellStyle name="Comma 3 7 3 3 7" xfId="5123" xr:uid="{00000000-0005-0000-0000-0000EA9C0000}"/>
    <cellStyle name="Comma 3 7 3 3 7 2" xfId="18610" xr:uid="{00000000-0005-0000-0000-0000EB9C0000}"/>
    <cellStyle name="Comma 3 7 3 3 7 2 2" xfId="41888" xr:uid="{00000000-0005-0000-0000-0000EC9C0000}"/>
    <cellStyle name="Comma 3 7 3 3 7 3" xfId="28402" xr:uid="{00000000-0005-0000-0000-0000ED9C0000}"/>
    <cellStyle name="Comma 3 7 3 3 8" xfId="7571" xr:uid="{00000000-0005-0000-0000-0000EE9C0000}"/>
    <cellStyle name="Comma 3 7 3 3 8 2" xfId="30850" xr:uid="{00000000-0005-0000-0000-0000EF9C0000}"/>
    <cellStyle name="Comma 3 7 3 3 9" xfId="10019" xr:uid="{00000000-0005-0000-0000-0000F09C0000}"/>
    <cellStyle name="Comma 3 7 3 3 9 2" xfId="33298" xr:uid="{00000000-0005-0000-0000-0000F19C0000}"/>
    <cellStyle name="Comma 3 7 3 4" xfId="295" xr:uid="{00000000-0005-0000-0000-0000F29C0000}"/>
    <cellStyle name="Comma 3 7 3 4 10" xfId="23574" xr:uid="{00000000-0005-0000-0000-0000F39C0000}"/>
    <cellStyle name="Comma 3 7 3 4 11" xfId="44404" xr:uid="{00000000-0005-0000-0000-0000F49C0000}"/>
    <cellStyle name="Comma 3 7 3 4 12" xfId="21126" xr:uid="{00000000-0005-0000-0000-0000F59C0000}"/>
    <cellStyle name="Comma 3 7 3 4 2" xfId="907" xr:uid="{00000000-0005-0000-0000-0000F69C0000}"/>
    <cellStyle name="Comma 3 7 3 4 2 10" xfId="45016" xr:uid="{00000000-0005-0000-0000-0000F79C0000}"/>
    <cellStyle name="Comma 3 7 3 4 2 11" xfId="21738" xr:uid="{00000000-0005-0000-0000-0000F89C0000}"/>
    <cellStyle name="Comma 3 7 3 4 2 2" xfId="2131" xr:uid="{00000000-0005-0000-0000-0000F99C0000}"/>
    <cellStyle name="Comma 3 7 3 4 2 2 10" xfId="22962" xr:uid="{00000000-0005-0000-0000-0000FA9C0000}"/>
    <cellStyle name="Comma 3 7 3 4 2 2 2" xfId="4579" xr:uid="{00000000-0005-0000-0000-0000FB9C0000}"/>
    <cellStyle name="Comma 3 7 3 4 2 2 2 2" xfId="20514" xr:uid="{00000000-0005-0000-0000-0000FC9C0000}"/>
    <cellStyle name="Comma 3 7 3 4 2 2 2 2 2" xfId="43792" xr:uid="{00000000-0005-0000-0000-0000FD9C0000}"/>
    <cellStyle name="Comma 3 7 3 4 2 2 2 3" xfId="48688" xr:uid="{00000000-0005-0000-0000-0000FE9C0000}"/>
    <cellStyle name="Comma 3 7 3 4 2 2 2 4" xfId="27858" xr:uid="{00000000-0005-0000-0000-0000FF9C0000}"/>
    <cellStyle name="Comma 3 7 3 4 2 2 3" xfId="7027" xr:uid="{00000000-0005-0000-0000-0000009D0000}"/>
    <cellStyle name="Comma 3 7 3 4 2 2 3 2" xfId="30306" xr:uid="{00000000-0005-0000-0000-0000019D0000}"/>
    <cellStyle name="Comma 3 7 3 4 2 2 4" xfId="9475" xr:uid="{00000000-0005-0000-0000-0000029D0000}"/>
    <cellStyle name="Comma 3 7 3 4 2 2 4 2" xfId="32754" xr:uid="{00000000-0005-0000-0000-0000039D0000}"/>
    <cellStyle name="Comma 3 7 3 4 2 2 5" xfId="11923" xr:uid="{00000000-0005-0000-0000-0000049D0000}"/>
    <cellStyle name="Comma 3 7 3 4 2 2 5 2" xfId="35202" xr:uid="{00000000-0005-0000-0000-0000059D0000}"/>
    <cellStyle name="Comma 3 7 3 4 2 2 6" xfId="14371" xr:uid="{00000000-0005-0000-0000-0000069D0000}"/>
    <cellStyle name="Comma 3 7 3 4 2 2 6 2" xfId="37650" xr:uid="{00000000-0005-0000-0000-0000079D0000}"/>
    <cellStyle name="Comma 3 7 3 4 2 2 7" xfId="18066" xr:uid="{00000000-0005-0000-0000-0000089D0000}"/>
    <cellStyle name="Comma 3 7 3 4 2 2 7 2" xfId="41344" xr:uid="{00000000-0005-0000-0000-0000099D0000}"/>
    <cellStyle name="Comma 3 7 3 4 2 2 8" xfId="25410" xr:uid="{00000000-0005-0000-0000-00000A9D0000}"/>
    <cellStyle name="Comma 3 7 3 4 2 2 9" xfId="46240" xr:uid="{00000000-0005-0000-0000-00000B9D0000}"/>
    <cellStyle name="Comma 3 7 3 4 2 3" xfId="3355" xr:uid="{00000000-0005-0000-0000-00000C9D0000}"/>
    <cellStyle name="Comma 3 7 3 4 2 3 2" xfId="16842" xr:uid="{00000000-0005-0000-0000-00000D9D0000}"/>
    <cellStyle name="Comma 3 7 3 4 2 3 2 2" xfId="40120" xr:uid="{00000000-0005-0000-0000-00000E9D0000}"/>
    <cellStyle name="Comma 3 7 3 4 2 3 3" xfId="47464" xr:uid="{00000000-0005-0000-0000-00000F9D0000}"/>
    <cellStyle name="Comma 3 7 3 4 2 3 4" xfId="26634" xr:uid="{00000000-0005-0000-0000-0000109D0000}"/>
    <cellStyle name="Comma 3 7 3 4 2 4" xfId="5803" xr:uid="{00000000-0005-0000-0000-0000119D0000}"/>
    <cellStyle name="Comma 3 7 3 4 2 4 2" xfId="19290" xr:uid="{00000000-0005-0000-0000-0000129D0000}"/>
    <cellStyle name="Comma 3 7 3 4 2 4 2 2" xfId="42568" xr:uid="{00000000-0005-0000-0000-0000139D0000}"/>
    <cellStyle name="Comma 3 7 3 4 2 4 3" xfId="29082" xr:uid="{00000000-0005-0000-0000-0000149D0000}"/>
    <cellStyle name="Comma 3 7 3 4 2 5" xfId="8251" xr:uid="{00000000-0005-0000-0000-0000159D0000}"/>
    <cellStyle name="Comma 3 7 3 4 2 5 2" xfId="31530" xr:uid="{00000000-0005-0000-0000-0000169D0000}"/>
    <cellStyle name="Comma 3 7 3 4 2 6" xfId="10699" xr:uid="{00000000-0005-0000-0000-0000179D0000}"/>
    <cellStyle name="Comma 3 7 3 4 2 6 2" xfId="33978" xr:uid="{00000000-0005-0000-0000-0000189D0000}"/>
    <cellStyle name="Comma 3 7 3 4 2 7" xfId="13147" xr:uid="{00000000-0005-0000-0000-0000199D0000}"/>
    <cellStyle name="Comma 3 7 3 4 2 7 2" xfId="36426" xr:uid="{00000000-0005-0000-0000-00001A9D0000}"/>
    <cellStyle name="Comma 3 7 3 4 2 8" xfId="15618" xr:uid="{00000000-0005-0000-0000-00001B9D0000}"/>
    <cellStyle name="Comma 3 7 3 4 2 8 2" xfId="38896" xr:uid="{00000000-0005-0000-0000-00001C9D0000}"/>
    <cellStyle name="Comma 3 7 3 4 2 9" xfId="24186" xr:uid="{00000000-0005-0000-0000-00001D9D0000}"/>
    <cellStyle name="Comma 3 7 3 4 3" xfId="1519" xr:uid="{00000000-0005-0000-0000-00001E9D0000}"/>
    <cellStyle name="Comma 3 7 3 4 3 10" xfId="22350" xr:uid="{00000000-0005-0000-0000-00001F9D0000}"/>
    <cellStyle name="Comma 3 7 3 4 3 2" xfId="3967" xr:uid="{00000000-0005-0000-0000-0000209D0000}"/>
    <cellStyle name="Comma 3 7 3 4 3 2 2" xfId="19902" xr:uid="{00000000-0005-0000-0000-0000219D0000}"/>
    <cellStyle name="Comma 3 7 3 4 3 2 2 2" xfId="43180" xr:uid="{00000000-0005-0000-0000-0000229D0000}"/>
    <cellStyle name="Comma 3 7 3 4 3 2 3" xfId="48076" xr:uid="{00000000-0005-0000-0000-0000239D0000}"/>
    <cellStyle name="Comma 3 7 3 4 3 2 4" xfId="27246" xr:uid="{00000000-0005-0000-0000-0000249D0000}"/>
    <cellStyle name="Comma 3 7 3 4 3 3" xfId="6415" xr:uid="{00000000-0005-0000-0000-0000259D0000}"/>
    <cellStyle name="Comma 3 7 3 4 3 3 2" xfId="29694" xr:uid="{00000000-0005-0000-0000-0000269D0000}"/>
    <cellStyle name="Comma 3 7 3 4 3 4" xfId="8863" xr:uid="{00000000-0005-0000-0000-0000279D0000}"/>
    <cellStyle name="Comma 3 7 3 4 3 4 2" xfId="32142" xr:uid="{00000000-0005-0000-0000-0000289D0000}"/>
    <cellStyle name="Comma 3 7 3 4 3 5" xfId="11311" xr:uid="{00000000-0005-0000-0000-0000299D0000}"/>
    <cellStyle name="Comma 3 7 3 4 3 5 2" xfId="34590" xr:uid="{00000000-0005-0000-0000-00002A9D0000}"/>
    <cellStyle name="Comma 3 7 3 4 3 6" xfId="13759" xr:uid="{00000000-0005-0000-0000-00002B9D0000}"/>
    <cellStyle name="Comma 3 7 3 4 3 6 2" xfId="37038" xr:uid="{00000000-0005-0000-0000-00002C9D0000}"/>
    <cellStyle name="Comma 3 7 3 4 3 7" xfId="17454" xr:uid="{00000000-0005-0000-0000-00002D9D0000}"/>
    <cellStyle name="Comma 3 7 3 4 3 7 2" xfId="40732" xr:uid="{00000000-0005-0000-0000-00002E9D0000}"/>
    <cellStyle name="Comma 3 7 3 4 3 8" xfId="24798" xr:uid="{00000000-0005-0000-0000-00002F9D0000}"/>
    <cellStyle name="Comma 3 7 3 4 3 9" xfId="45628" xr:uid="{00000000-0005-0000-0000-0000309D0000}"/>
    <cellStyle name="Comma 3 7 3 4 4" xfId="2743" xr:uid="{00000000-0005-0000-0000-0000319D0000}"/>
    <cellStyle name="Comma 3 7 3 4 4 2" xfId="16230" xr:uid="{00000000-0005-0000-0000-0000329D0000}"/>
    <cellStyle name="Comma 3 7 3 4 4 2 2" xfId="39508" xr:uid="{00000000-0005-0000-0000-0000339D0000}"/>
    <cellStyle name="Comma 3 7 3 4 4 3" xfId="46852" xr:uid="{00000000-0005-0000-0000-0000349D0000}"/>
    <cellStyle name="Comma 3 7 3 4 4 4" xfId="26022" xr:uid="{00000000-0005-0000-0000-0000359D0000}"/>
    <cellStyle name="Comma 3 7 3 4 5" xfId="5191" xr:uid="{00000000-0005-0000-0000-0000369D0000}"/>
    <cellStyle name="Comma 3 7 3 4 5 2" xfId="18678" xr:uid="{00000000-0005-0000-0000-0000379D0000}"/>
    <cellStyle name="Comma 3 7 3 4 5 2 2" xfId="41956" xr:uid="{00000000-0005-0000-0000-0000389D0000}"/>
    <cellStyle name="Comma 3 7 3 4 5 3" xfId="28470" xr:uid="{00000000-0005-0000-0000-0000399D0000}"/>
    <cellStyle name="Comma 3 7 3 4 6" xfId="7639" xr:uid="{00000000-0005-0000-0000-00003A9D0000}"/>
    <cellStyle name="Comma 3 7 3 4 6 2" xfId="30918" xr:uid="{00000000-0005-0000-0000-00003B9D0000}"/>
    <cellStyle name="Comma 3 7 3 4 7" xfId="10087" xr:uid="{00000000-0005-0000-0000-00003C9D0000}"/>
    <cellStyle name="Comma 3 7 3 4 7 2" xfId="33366" xr:uid="{00000000-0005-0000-0000-00003D9D0000}"/>
    <cellStyle name="Comma 3 7 3 4 8" xfId="12535" xr:uid="{00000000-0005-0000-0000-00003E9D0000}"/>
    <cellStyle name="Comma 3 7 3 4 8 2" xfId="35814" xr:uid="{00000000-0005-0000-0000-00003F9D0000}"/>
    <cellStyle name="Comma 3 7 3 4 9" xfId="15006" xr:uid="{00000000-0005-0000-0000-0000409D0000}"/>
    <cellStyle name="Comma 3 7 3 4 9 2" xfId="38284" xr:uid="{00000000-0005-0000-0000-0000419D0000}"/>
    <cellStyle name="Comma 3 7 3 5" xfId="499" xr:uid="{00000000-0005-0000-0000-0000429D0000}"/>
    <cellStyle name="Comma 3 7 3 5 10" xfId="23778" xr:uid="{00000000-0005-0000-0000-0000439D0000}"/>
    <cellStyle name="Comma 3 7 3 5 11" xfId="44608" xr:uid="{00000000-0005-0000-0000-0000449D0000}"/>
    <cellStyle name="Comma 3 7 3 5 12" xfId="21330" xr:uid="{00000000-0005-0000-0000-0000459D0000}"/>
    <cellStyle name="Comma 3 7 3 5 2" xfId="1111" xr:uid="{00000000-0005-0000-0000-0000469D0000}"/>
    <cellStyle name="Comma 3 7 3 5 2 10" xfId="45220" xr:uid="{00000000-0005-0000-0000-0000479D0000}"/>
    <cellStyle name="Comma 3 7 3 5 2 11" xfId="21942" xr:uid="{00000000-0005-0000-0000-0000489D0000}"/>
    <cellStyle name="Comma 3 7 3 5 2 2" xfId="2335" xr:uid="{00000000-0005-0000-0000-0000499D0000}"/>
    <cellStyle name="Comma 3 7 3 5 2 2 10" xfId="23166" xr:uid="{00000000-0005-0000-0000-00004A9D0000}"/>
    <cellStyle name="Comma 3 7 3 5 2 2 2" xfId="4783" xr:uid="{00000000-0005-0000-0000-00004B9D0000}"/>
    <cellStyle name="Comma 3 7 3 5 2 2 2 2" xfId="20718" xr:uid="{00000000-0005-0000-0000-00004C9D0000}"/>
    <cellStyle name="Comma 3 7 3 5 2 2 2 2 2" xfId="43996" xr:uid="{00000000-0005-0000-0000-00004D9D0000}"/>
    <cellStyle name="Comma 3 7 3 5 2 2 2 3" xfId="48892" xr:uid="{00000000-0005-0000-0000-00004E9D0000}"/>
    <cellStyle name="Comma 3 7 3 5 2 2 2 4" xfId="28062" xr:uid="{00000000-0005-0000-0000-00004F9D0000}"/>
    <cellStyle name="Comma 3 7 3 5 2 2 3" xfId="7231" xr:uid="{00000000-0005-0000-0000-0000509D0000}"/>
    <cellStyle name="Comma 3 7 3 5 2 2 3 2" xfId="30510" xr:uid="{00000000-0005-0000-0000-0000519D0000}"/>
    <cellStyle name="Comma 3 7 3 5 2 2 4" xfId="9679" xr:uid="{00000000-0005-0000-0000-0000529D0000}"/>
    <cellStyle name="Comma 3 7 3 5 2 2 4 2" xfId="32958" xr:uid="{00000000-0005-0000-0000-0000539D0000}"/>
    <cellStyle name="Comma 3 7 3 5 2 2 5" xfId="12127" xr:uid="{00000000-0005-0000-0000-0000549D0000}"/>
    <cellStyle name="Comma 3 7 3 5 2 2 5 2" xfId="35406" xr:uid="{00000000-0005-0000-0000-0000559D0000}"/>
    <cellStyle name="Comma 3 7 3 5 2 2 6" xfId="14575" xr:uid="{00000000-0005-0000-0000-0000569D0000}"/>
    <cellStyle name="Comma 3 7 3 5 2 2 6 2" xfId="37854" xr:uid="{00000000-0005-0000-0000-0000579D0000}"/>
    <cellStyle name="Comma 3 7 3 5 2 2 7" xfId="18270" xr:uid="{00000000-0005-0000-0000-0000589D0000}"/>
    <cellStyle name="Comma 3 7 3 5 2 2 7 2" xfId="41548" xr:uid="{00000000-0005-0000-0000-0000599D0000}"/>
    <cellStyle name="Comma 3 7 3 5 2 2 8" xfId="25614" xr:uid="{00000000-0005-0000-0000-00005A9D0000}"/>
    <cellStyle name="Comma 3 7 3 5 2 2 9" xfId="46444" xr:uid="{00000000-0005-0000-0000-00005B9D0000}"/>
    <cellStyle name="Comma 3 7 3 5 2 3" xfId="3559" xr:uid="{00000000-0005-0000-0000-00005C9D0000}"/>
    <cellStyle name="Comma 3 7 3 5 2 3 2" xfId="17046" xr:uid="{00000000-0005-0000-0000-00005D9D0000}"/>
    <cellStyle name="Comma 3 7 3 5 2 3 2 2" xfId="40324" xr:uid="{00000000-0005-0000-0000-00005E9D0000}"/>
    <cellStyle name="Comma 3 7 3 5 2 3 3" xfId="47668" xr:uid="{00000000-0005-0000-0000-00005F9D0000}"/>
    <cellStyle name="Comma 3 7 3 5 2 3 4" xfId="26838" xr:uid="{00000000-0005-0000-0000-0000609D0000}"/>
    <cellStyle name="Comma 3 7 3 5 2 4" xfId="6007" xr:uid="{00000000-0005-0000-0000-0000619D0000}"/>
    <cellStyle name="Comma 3 7 3 5 2 4 2" xfId="19494" xr:uid="{00000000-0005-0000-0000-0000629D0000}"/>
    <cellStyle name="Comma 3 7 3 5 2 4 2 2" xfId="42772" xr:uid="{00000000-0005-0000-0000-0000639D0000}"/>
    <cellStyle name="Comma 3 7 3 5 2 4 3" xfId="29286" xr:uid="{00000000-0005-0000-0000-0000649D0000}"/>
    <cellStyle name="Comma 3 7 3 5 2 5" xfId="8455" xr:uid="{00000000-0005-0000-0000-0000659D0000}"/>
    <cellStyle name="Comma 3 7 3 5 2 5 2" xfId="31734" xr:uid="{00000000-0005-0000-0000-0000669D0000}"/>
    <cellStyle name="Comma 3 7 3 5 2 6" xfId="10903" xr:uid="{00000000-0005-0000-0000-0000679D0000}"/>
    <cellStyle name="Comma 3 7 3 5 2 6 2" xfId="34182" xr:uid="{00000000-0005-0000-0000-0000689D0000}"/>
    <cellStyle name="Comma 3 7 3 5 2 7" xfId="13351" xr:uid="{00000000-0005-0000-0000-0000699D0000}"/>
    <cellStyle name="Comma 3 7 3 5 2 7 2" xfId="36630" xr:uid="{00000000-0005-0000-0000-00006A9D0000}"/>
    <cellStyle name="Comma 3 7 3 5 2 8" xfId="15822" xr:uid="{00000000-0005-0000-0000-00006B9D0000}"/>
    <cellStyle name="Comma 3 7 3 5 2 8 2" xfId="39100" xr:uid="{00000000-0005-0000-0000-00006C9D0000}"/>
    <cellStyle name="Comma 3 7 3 5 2 9" xfId="24390" xr:uid="{00000000-0005-0000-0000-00006D9D0000}"/>
    <cellStyle name="Comma 3 7 3 5 3" xfId="1723" xr:uid="{00000000-0005-0000-0000-00006E9D0000}"/>
    <cellStyle name="Comma 3 7 3 5 3 10" xfId="22554" xr:uid="{00000000-0005-0000-0000-00006F9D0000}"/>
    <cellStyle name="Comma 3 7 3 5 3 2" xfId="4171" xr:uid="{00000000-0005-0000-0000-0000709D0000}"/>
    <cellStyle name="Comma 3 7 3 5 3 2 2" xfId="20106" xr:uid="{00000000-0005-0000-0000-0000719D0000}"/>
    <cellStyle name="Comma 3 7 3 5 3 2 2 2" xfId="43384" xr:uid="{00000000-0005-0000-0000-0000729D0000}"/>
    <cellStyle name="Comma 3 7 3 5 3 2 3" xfId="48280" xr:uid="{00000000-0005-0000-0000-0000739D0000}"/>
    <cellStyle name="Comma 3 7 3 5 3 2 4" xfId="27450" xr:uid="{00000000-0005-0000-0000-0000749D0000}"/>
    <cellStyle name="Comma 3 7 3 5 3 3" xfId="6619" xr:uid="{00000000-0005-0000-0000-0000759D0000}"/>
    <cellStyle name="Comma 3 7 3 5 3 3 2" xfId="29898" xr:uid="{00000000-0005-0000-0000-0000769D0000}"/>
    <cellStyle name="Comma 3 7 3 5 3 4" xfId="9067" xr:uid="{00000000-0005-0000-0000-0000779D0000}"/>
    <cellStyle name="Comma 3 7 3 5 3 4 2" xfId="32346" xr:uid="{00000000-0005-0000-0000-0000789D0000}"/>
    <cellStyle name="Comma 3 7 3 5 3 5" xfId="11515" xr:uid="{00000000-0005-0000-0000-0000799D0000}"/>
    <cellStyle name="Comma 3 7 3 5 3 5 2" xfId="34794" xr:uid="{00000000-0005-0000-0000-00007A9D0000}"/>
    <cellStyle name="Comma 3 7 3 5 3 6" xfId="13963" xr:uid="{00000000-0005-0000-0000-00007B9D0000}"/>
    <cellStyle name="Comma 3 7 3 5 3 6 2" xfId="37242" xr:uid="{00000000-0005-0000-0000-00007C9D0000}"/>
    <cellStyle name="Comma 3 7 3 5 3 7" xfId="17658" xr:uid="{00000000-0005-0000-0000-00007D9D0000}"/>
    <cellStyle name="Comma 3 7 3 5 3 7 2" xfId="40936" xr:uid="{00000000-0005-0000-0000-00007E9D0000}"/>
    <cellStyle name="Comma 3 7 3 5 3 8" xfId="25002" xr:uid="{00000000-0005-0000-0000-00007F9D0000}"/>
    <cellStyle name="Comma 3 7 3 5 3 9" xfId="45832" xr:uid="{00000000-0005-0000-0000-0000809D0000}"/>
    <cellStyle name="Comma 3 7 3 5 4" xfId="2947" xr:uid="{00000000-0005-0000-0000-0000819D0000}"/>
    <cellStyle name="Comma 3 7 3 5 4 2" xfId="16434" xr:uid="{00000000-0005-0000-0000-0000829D0000}"/>
    <cellStyle name="Comma 3 7 3 5 4 2 2" xfId="39712" xr:uid="{00000000-0005-0000-0000-0000839D0000}"/>
    <cellStyle name="Comma 3 7 3 5 4 3" xfId="47056" xr:uid="{00000000-0005-0000-0000-0000849D0000}"/>
    <cellStyle name="Comma 3 7 3 5 4 4" xfId="26226" xr:uid="{00000000-0005-0000-0000-0000859D0000}"/>
    <cellStyle name="Comma 3 7 3 5 5" xfId="5395" xr:uid="{00000000-0005-0000-0000-0000869D0000}"/>
    <cellStyle name="Comma 3 7 3 5 5 2" xfId="18882" xr:uid="{00000000-0005-0000-0000-0000879D0000}"/>
    <cellStyle name="Comma 3 7 3 5 5 2 2" xfId="42160" xr:uid="{00000000-0005-0000-0000-0000889D0000}"/>
    <cellStyle name="Comma 3 7 3 5 5 3" xfId="28674" xr:uid="{00000000-0005-0000-0000-0000899D0000}"/>
    <cellStyle name="Comma 3 7 3 5 6" xfId="7843" xr:uid="{00000000-0005-0000-0000-00008A9D0000}"/>
    <cellStyle name="Comma 3 7 3 5 6 2" xfId="31122" xr:uid="{00000000-0005-0000-0000-00008B9D0000}"/>
    <cellStyle name="Comma 3 7 3 5 7" xfId="10291" xr:uid="{00000000-0005-0000-0000-00008C9D0000}"/>
    <cellStyle name="Comma 3 7 3 5 7 2" xfId="33570" xr:uid="{00000000-0005-0000-0000-00008D9D0000}"/>
    <cellStyle name="Comma 3 7 3 5 8" xfId="12739" xr:uid="{00000000-0005-0000-0000-00008E9D0000}"/>
    <cellStyle name="Comma 3 7 3 5 8 2" xfId="36018" xr:uid="{00000000-0005-0000-0000-00008F9D0000}"/>
    <cellStyle name="Comma 3 7 3 5 9" xfId="15210" xr:uid="{00000000-0005-0000-0000-0000909D0000}"/>
    <cellStyle name="Comma 3 7 3 5 9 2" xfId="38488" xr:uid="{00000000-0005-0000-0000-0000919D0000}"/>
    <cellStyle name="Comma 3 7 3 6" xfId="703" xr:uid="{00000000-0005-0000-0000-0000929D0000}"/>
    <cellStyle name="Comma 3 7 3 6 10" xfId="44812" xr:uid="{00000000-0005-0000-0000-0000939D0000}"/>
    <cellStyle name="Comma 3 7 3 6 11" xfId="21534" xr:uid="{00000000-0005-0000-0000-0000949D0000}"/>
    <cellStyle name="Comma 3 7 3 6 2" xfId="1927" xr:uid="{00000000-0005-0000-0000-0000959D0000}"/>
    <cellStyle name="Comma 3 7 3 6 2 10" xfId="22758" xr:uid="{00000000-0005-0000-0000-0000969D0000}"/>
    <cellStyle name="Comma 3 7 3 6 2 2" xfId="4375" xr:uid="{00000000-0005-0000-0000-0000979D0000}"/>
    <cellStyle name="Comma 3 7 3 6 2 2 2" xfId="20310" xr:uid="{00000000-0005-0000-0000-0000989D0000}"/>
    <cellStyle name="Comma 3 7 3 6 2 2 2 2" xfId="43588" xr:uid="{00000000-0005-0000-0000-0000999D0000}"/>
    <cellStyle name="Comma 3 7 3 6 2 2 3" xfId="48484" xr:uid="{00000000-0005-0000-0000-00009A9D0000}"/>
    <cellStyle name="Comma 3 7 3 6 2 2 4" xfId="27654" xr:uid="{00000000-0005-0000-0000-00009B9D0000}"/>
    <cellStyle name="Comma 3 7 3 6 2 3" xfId="6823" xr:uid="{00000000-0005-0000-0000-00009C9D0000}"/>
    <cellStyle name="Comma 3 7 3 6 2 3 2" xfId="30102" xr:uid="{00000000-0005-0000-0000-00009D9D0000}"/>
    <cellStyle name="Comma 3 7 3 6 2 4" xfId="9271" xr:uid="{00000000-0005-0000-0000-00009E9D0000}"/>
    <cellStyle name="Comma 3 7 3 6 2 4 2" xfId="32550" xr:uid="{00000000-0005-0000-0000-00009F9D0000}"/>
    <cellStyle name="Comma 3 7 3 6 2 5" xfId="11719" xr:uid="{00000000-0005-0000-0000-0000A09D0000}"/>
    <cellStyle name="Comma 3 7 3 6 2 5 2" xfId="34998" xr:uid="{00000000-0005-0000-0000-0000A19D0000}"/>
    <cellStyle name="Comma 3 7 3 6 2 6" xfId="14167" xr:uid="{00000000-0005-0000-0000-0000A29D0000}"/>
    <cellStyle name="Comma 3 7 3 6 2 6 2" xfId="37446" xr:uid="{00000000-0005-0000-0000-0000A39D0000}"/>
    <cellStyle name="Comma 3 7 3 6 2 7" xfId="17862" xr:uid="{00000000-0005-0000-0000-0000A49D0000}"/>
    <cellStyle name="Comma 3 7 3 6 2 7 2" xfId="41140" xr:uid="{00000000-0005-0000-0000-0000A59D0000}"/>
    <cellStyle name="Comma 3 7 3 6 2 8" xfId="25206" xr:uid="{00000000-0005-0000-0000-0000A69D0000}"/>
    <cellStyle name="Comma 3 7 3 6 2 9" xfId="46036" xr:uid="{00000000-0005-0000-0000-0000A79D0000}"/>
    <cellStyle name="Comma 3 7 3 6 3" xfId="3151" xr:uid="{00000000-0005-0000-0000-0000A89D0000}"/>
    <cellStyle name="Comma 3 7 3 6 3 2" xfId="16638" xr:uid="{00000000-0005-0000-0000-0000A99D0000}"/>
    <cellStyle name="Comma 3 7 3 6 3 2 2" xfId="39916" xr:uid="{00000000-0005-0000-0000-0000AA9D0000}"/>
    <cellStyle name="Comma 3 7 3 6 3 3" xfId="47260" xr:uid="{00000000-0005-0000-0000-0000AB9D0000}"/>
    <cellStyle name="Comma 3 7 3 6 3 4" xfId="26430" xr:uid="{00000000-0005-0000-0000-0000AC9D0000}"/>
    <cellStyle name="Comma 3 7 3 6 4" xfId="5599" xr:uid="{00000000-0005-0000-0000-0000AD9D0000}"/>
    <cellStyle name="Comma 3 7 3 6 4 2" xfId="19086" xr:uid="{00000000-0005-0000-0000-0000AE9D0000}"/>
    <cellStyle name="Comma 3 7 3 6 4 2 2" xfId="42364" xr:uid="{00000000-0005-0000-0000-0000AF9D0000}"/>
    <cellStyle name="Comma 3 7 3 6 4 3" xfId="28878" xr:uid="{00000000-0005-0000-0000-0000B09D0000}"/>
    <cellStyle name="Comma 3 7 3 6 5" xfId="8047" xr:uid="{00000000-0005-0000-0000-0000B19D0000}"/>
    <cellStyle name="Comma 3 7 3 6 5 2" xfId="31326" xr:uid="{00000000-0005-0000-0000-0000B29D0000}"/>
    <cellStyle name="Comma 3 7 3 6 6" xfId="10495" xr:uid="{00000000-0005-0000-0000-0000B39D0000}"/>
    <cellStyle name="Comma 3 7 3 6 6 2" xfId="33774" xr:uid="{00000000-0005-0000-0000-0000B49D0000}"/>
    <cellStyle name="Comma 3 7 3 6 7" xfId="12943" xr:uid="{00000000-0005-0000-0000-0000B59D0000}"/>
    <cellStyle name="Comma 3 7 3 6 7 2" xfId="36222" xr:uid="{00000000-0005-0000-0000-0000B69D0000}"/>
    <cellStyle name="Comma 3 7 3 6 8" xfId="15414" xr:uid="{00000000-0005-0000-0000-0000B79D0000}"/>
    <cellStyle name="Comma 3 7 3 6 8 2" xfId="38692" xr:uid="{00000000-0005-0000-0000-0000B89D0000}"/>
    <cellStyle name="Comma 3 7 3 6 9" xfId="23982" xr:uid="{00000000-0005-0000-0000-0000B99D0000}"/>
    <cellStyle name="Comma 3 7 3 7" xfId="1315" xr:uid="{00000000-0005-0000-0000-0000BA9D0000}"/>
    <cellStyle name="Comma 3 7 3 7 10" xfId="22146" xr:uid="{00000000-0005-0000-0000-0000BB9D0000}"/>
    <cellStyle name="Comma 3 7 3 7 2" xfId="3763" xr:uid="{00000000-0005-0000-0000-0000BC9D0000}"/>
    <cellStyle name="Comma 3 7 3 7 2 2" xfId="19698" xr:uid="{00000000-0005-0000-0000-0000BD9D0000}"/>
    <cellStyle name="Comma 3 7 3 7 2 2 2" xfId="42976" xr:uid="{00000000-0005-0000-0000-0000BE9D0000}"/>
    <cellStyle name="Comma 3 7 3 7 2 3" xfId="47872" xr:uid="{00000000-0005-0000-0000-0000BF9D0000}"/>
    <cellStyle name="Comma 3 7 3 7 2 4" xfId="27042" xr:uid="{00000000-0005-0000-0000-0000C09D0000}"/>
    <cellStyle name="Comma 3 7 3 7 3" xfId="6211" xr:uid="{00000000-0005-0000-0000-0000C19D0000}"/>
    <cellStyle name="Comma 3 7 3 7 3 2" xfId="29490" xr:uid="{00000000-0005-0000-0000-0000C29D0000}"/>
    <cellStyle name="Comma 3 7 3 7 4" xfId="8659" xr:uid="{00000000-0005-0000-0000-0000C39D0000}"/>
    <cellStyle name="Comma 3 7 3 7 4 2" xfId="31938" xr:uid="{00000000-0005-0000-0000-0000C49D0000}"/>
    <cellStyle name="Comma 3 7 3 7 5" xfId="11107" xr:uid="{00000000-0005-0000-0000-0000C59D0000}"/>
    <cellStyle name="Comma 3 7 3 7 5 2" xfId="34386" xr:uid="{00000000-0005-0000-0000-0000C69D0000}"/>
    <cellStyle name="Comma 3 7 3 7 6" xfId="13555" xr:uid="{00000000-0005-0000-0000-0000C79D0000}"/>
    <cellStyle name="Comma 3 7 3 7 6 2" xfId="36834" xr:uid="{00000000-0005-0000-0000-0000C89D0000}"/>
    <cellStyle name="Comma 3 7 3 7 7" xfId="17250" xr:uid="{00000000-0005-0000-0000-0000C99D0000}"/>
    <cellStyle name="Comma 3 7 3 7 7 2" xfId="40528" xr:uid="{00000000-0005-0000-0000-0000CA9D0000}"/>
    <cellStyle name="Comma 3 7 3 7 8" xfId="24594" xr:uid="{00000000-0005-0000-0000-0000CB9D0000}"/>
    <cellStyle name="Comma 3 7 3 7 9" xfId="45424" xr:uid="{00000000-0005-0000-0000-0000CC9D0000}"/>
    <cellStyle name="Comma 3 7 3 8" xfId="2539" xr:uid="{00000000-0005-0000-0000-0000CD9D0000}"/>
    <cellStyle name="Comma 3 7 3 8 2" xfId="16026" xr:uid="{00000000-0005-0000-0000-0000CE9D0000}"/>
    <cellStyle name="Comma 3 7 3 8 2 2" xfId="39304" xr:uid="{00000000-0005-0000-0000-0000CF9D0000}"/>
    <cellStyle name="Comma 3 7 3 8 3" xfId="46648" xr:uid="{00000000-0005-0000-0000-0000D09D0000}"/>
    <cellStyle name="Comma 3 7 3 8 4" xfId="25818" xr:uid="{00000000-0005-0000-0000-0000D19D0000}"/>
    <cellStyle name="Comma 3 7 3 9" xfId="4987" xr:uid="{00000000-0005-0000-0000-0000D29D0000}"/>
    <cellStyle name="Comma 3 7 3 9 2" xfId="18474" xr:uid="{00000000-0005-0000-0000-0000D39D0000}"/>
    <cellStyle name="Comma 3 7 3 9 2 2" xfId="41752" xr:uid="{00000000-0005-0000-0000-0000D49D0000}"/>
    <cellStyle name="Comma 3 7 3 9 3" xfId="28266" xr:uid="{00000000-0005-0000-0000-0000D59D0000}"/>
    <cellStyle name="Comma 3 7 4" xfId="108" xr:uid="{00000000-0005-0000-0000-0000D69D0000}"/>
    <cellStyle name="Comma 3 7 4 10" xfId="7452" xr:uid="{00000000-0005-0000-0000-0000D79D0000}"/>
    <cellStyle name="Comma 3 7 4 10 2" xfId="30731" xr:uid="{00000000-0005-0000-0000-0000D89D0000}"/>
    <cellStyle name="Comma 3 7 4 11" xfId="9900" xr:uid="{00000000-0005-0000-0000-0000D99D0000}"/>
    <cellStyle name="Comma 3 7 4 11 2" xfId="33179" xr:uid="{00000000-0005-0000-0000-0000DA9D0000}"/>
    <cellStyle name="Comma 3 7 4 12" xfId="12348" xr:uid="{00000000-0005-0000-0000-0000DB9D0000}"/>
    <cellStyle name="Comma 3 7 4 12 2" xfId="35627" xr:uid="{00000000-0005-0000-0000-0000DC9D0000}"/>
    <cellStyle name="Comma 3 7 4 13" xfId="14819" xr:uid="{00000000-0005-0000-0000-0000DD9D0000}"/>
    <cellStyle name="Comma 3 7 4 13 2" xfId="38097" xr:uid="{00000000-0005-0000-0000-0000DE9D0000}"/>
    <cellStyle name="Comma 3 7 4 14" xfId="23387" xr:uid="{00000000-0005-0000-0000-0000DF9D0000}"/>
    <cellStyle name="Comma 3 7 4 15" xfId="44217" xr:uid="{00000000-0005-0000-0000-0000E09D0000}"/>
    <cellStyle name="Comma 3 7 4 16" xfId="20939" xr:uid="{00000000-0005-0000-0000-0000E19D0000}"/>
    <cellStyle name="Comma 3 7 4 2" xfId="176" xr:uid="{00000000-0005-0000-0000-0000E29D0000}"/>
    <cellStyle name="Comma 3 7 4 2 10" xfId="12416" xr:uid="{00000000-0005-0000-0000-0000E39D0000}"/>
    <cellStyle name="Comma 3 7 4 2 10 2" xfId="35695" xr:uid="{00000000-0005-0000-0000-0000E49D0000}"/>
    <cellStyle name="Comma 3 7 4 2 11" xfId="14887" xr:uid="{00000000-0005-0000-0000-0000E59D0000}"/>
    <cellStyle name="Comma 3 7 4 2 11 2" xfId="38165" xr:uid="{00000000-0005-0000-0000-0000E69D0000}"/>
    <cellStyle name="Comma 3 7 4 2 12" xfId="23455" xr:uid="{00000000-0005-0000-0000-0000E79D0000}"/>
    <cellStyle name="Comma 3 7 4 2 13" xfId="44285" xr:uid="{00000000-0005-0000-0000-0000E89D0000}"/>
    <cellStyle name="Comma 3 7 4 2 14" xfId="21007" xr:uid="{00000000-0005-0000-0000-0000E99D0000}"/>
    <cellStyle name="Comma 3 7 4 2 2" xfId="380" xr:uid="{00000000-0005-0000-0000-0000EA9D0000}"/>
    <cellStyle name="Comma 3 7 4 2 2 10" xfId="23659" xr:uid="{00000000-0005-0000-0000-0000EB9D0000}"/>
    <cellStyle name="Comma 3 7 4 2 2 11" xfId="44489" xr:uid="{00000000-0005-0000-0000-0000EC9D0000}"/>
    <cellStyle name="Comma 3 7 4 2 2 12" xfId="21211" xr:uid="{00000000-0005-0000-0000-0000ED9D0000}"/>
    <cellStyle name="Comma 3 7 4 2 2 2" xfId="992" xr:uid="{00000000-0005-0000-0000-0000EE9D0000}"/>
    <cellStyle name="Comma 3 7 4 2 2 2 10" xfId="45101" xr:uid="{00000000-0005-0000-0000-0000EF9D0000}"/>
    <cellStyle name="Comma 3 7 4 2 2 2 11" xfId="21823" xr:uid="{00000000-0005-0000-0000-0000F09D0000}"/>
    <cellStyle name="Comma 3 7 4 2 2 2 2" xfId="2216" xr:uid="{00000000-0005-0000-0000-0000F19D0000}"/>
    <cellStyle name="Comma 3 7 4 2 2 2 2 10" xfId="23047" xr:uid="{00000000-0005-0000-0000-0000F29D0000}"/>
    <cellStyle name="Comma 3 7 4 2 2 2 2 2" xfId="4664" xr:uid="{00000000-0005-0000-0000-0000F39D0000}"/>
    <cellStyle name="Comma 3 7 4 2 2 2 2 2 2" xfId="20599" xr:uid="{00000000-0005-0000-0000-0000F49D0000}"/>
    <cellStyle name="Comma 3 7 4 2 2 2 2 2 2 2" xfId="43877" xr:uid="{00000000-0005-0000-0000-0000F59D0000}"/>
    <cellStyle name="Comma 3 7 4 2 2 2 2 2 3" xfId="48773" xr:uid="{00000000-0005-0000-0000-0000F69D0000}"/>
    <cellStyle name="Comma 3 7 4 2 2 2 2 2 4" xfId="27943" xr:uid="{00000000-0005-0000-0000-0000F79D0000}"/>
    <cellStyle name="Comma 3 7 4 2 2 2 2 3" xfId="7112" xr:uid="{00000000-0005-0000-0000-0000F89D0000}"/>
    <cellStyle name="Comma 3 7 4 2 2 2 2 3 2" xfId="30391" xr:uid="{00000000-0005-0000-0000-0000F99D0000}"/>
    <cellStyle name="Comma 3 7 4 2 2 2 2 4" xfId="9560" xr:uid="{00000000-0005-0000-0000-0000FA9D0000}"/>
    <cellStyle name="Comma 3 7 4 2 2 2 2 4 2" xfId="32839" xr:uid="{00000000-0005-0000-0000-0000FB9D0000}"/>
    <cellStyle name="Comma 3 7 4 2 2 2 2 5" xfId="12008" xr:uid="{00000000-0005-0000-0000-0000FC9D0000}"/>
    <cellStyle name="Comma 3 7 4 2 2 2 2 5 2" xfId="35287" xr:uid="{00000000-0005-0000-0000-0000FD9D0000}"/>
    <cellStyle name="Comma 3 7 4 2 2 2 2 6" xfId="14456" xr:uid="{00000000-0005-0000-0000-0000FE9D0000}"/>
    <cellStyle name="Comma 3 7 4 2 2 2 2 6 2" xfId="37735" xr:uid="{00000000-0005-0000-0000-0000FF9D0000}"/>
    <cellStyle name="Comma 3 7 4 2 2 2 2 7" xfId="18151" xr:uid="{00000000-0005-0000-0000-0000009E0000}"/>
    <cellStyle name="Comma 3 7 4 2 2 2 2 7 2" xfId="41429" xr:uid="{00000000-0005-0000-0000-0000019E0000}"/>
    <cellStyle name="Comma 3 7 4 2 2 2 2 8" xfId="25495" xr:uid="{00000000-0005-0000-0000-0000029E0000}"/>
    <cellStyle name="Comma 3 7 4 2 2 2 2 9" xfId="46325" xr:uid="{00000000-0005-0000-0000-0000039E0000}"/>
    <cellStyle name="Comma 3 7 4 2 2 2 3" xfId="3440" xr:uid="{00000000-0005-0000-0000-0000049E0000}"/>
    <cellStyle name="Comma 3 7 4 2 2 2 3 2" xfId="16927" xr:uid="{00000000-0005-0000-0000-0000059E0000}"/>
    <cellStyle name="Comma 3 7 4 2 2 2 3 2 2" xfId="40205" xr:uid="{00000000-0005-0000-0000-0000069E0000}"/>
    <cellStyle name="Comma 3 7 4 2 2 2 3 3" xfId="47549" xr:uid="{00000000-0005-0000-0000-0000079E0000}"/>
    <cellStyle name="Comma 3 7 4 2 2 2 3 4" xfId="26719" xr:uid="{00000000-0005-0000-0000-0000089E0000}"/>
    <cellStyle name="Comma 3 7 4 2 2 2 4" xfId="5888" xr:uid="{00000000-0005-0000-0000-0000099E0000}"/>
    <cellStyle name="Comma 3 7 4 2 2 2 4 2" xfId="19375" xr:uid="{00000000-0005-0000-0000-00000A9E0000}"/>
    <cellStyle name="Comma 3 7 4 2 2 2 4 2 2" xfId="42653" xr:uid="{00000000-0005-0000-0000-00000B9E0000}"/>
    <cellStyle name="Comma 3 7 4 2 2 2 4 3" xfId="29167" xr:uid="{00000000-0005-0000-0000-00000C9E0000}"/>
    <cellStyle name="Comma 3 7 4 2 2 2 5" xfId="8336" xr:uid="{00000000-0005-0000-0000-00000D9E0000}"/>
    <cellStyle name="Comma 3 7 4 2 2 2 5 2" xfId="31615" xr:uid="{00000000-0005-0000-0000-00000E9E0000}"/>
    <cellStyle name="Comma 3 7 4 2 2 2 6" xfId="10784" xr:uid="{00000000-0005-0000-0000-00000F9E0000}"/>
    <cellStyle name="Comma 3 7 4 2 2 2 6 2" xfId="34063" xr:uid="{00000000-0005-0000-0000-0000109E0000}"/>
    <cellStyle name="Comma 3 7 4 2 2 2 7" xfId="13232" xr:uid="{00000000-0005-0000-0000-0000119E0000}"/>
    <cellStyle name="Comma 3 7 4 2 2 2 7 2" xfId="36511" xr:uid="{00000000-0005-0000-0000-0000129E0000}"/>
    <cellStyle name="Comma 3 7 4 2 2 2 8" xfId="15703" xr:uid="{00000000-0005-0000-0000-0000139E0000}"/>
    <cellStyle name="Comma 3 7 4 2 2 2 8 2" xfId="38981" xr:uid="{00000000-0005-0000-0000-0000149E0000}"/>
    <cellStyle name="Comma 3 7 4 2 2 2 9" xfId="24271" xr:uid="{00000000-0005-0000-0000-0000159E0000}"/>
    <cellStyle name="Comma 3 7 4 2 2 3" xfId="1604" xr:uid="{00000000-0005-0000-0000-0000169E0000}"/>
    <cellStyle name="Comma 3 7 4 2 2 3 10" xfId="22435" xr:uid="{00000000-0005-0000-0000-0000179E0000}"/>
    <cellStyle name="Comma 3 7 4 2 2 3 2" xfId="4052" xr:uid="{00000000-0005-0000-0000-0000189E0000}"/>
    <cellStyle name="Comma 3 7 4 2 2 3 2 2" xfId="19987" xr:uid="{00000000-0005-0000-0000-0000199E0000}"/>
    <cellStyle name="Comma 3 7 4 2 2 3 2 2 2" xfId="43265" xr:uid="{00000000-0005-0000-0000-00001A9E0000}"/>
    <cellStyle name="Comma 3 7 4 2 2 3 2 3" xfId="48161" xr:uid="{00000000-0005-0000-0000-00001B9E0000}"/>
    <cellStyle name="Comma 3 7 4 2 2 3 2 4" xfId="27331" xr:uid="{00000000-0005-0000-0000-00001C9E0000}"/>
    <cellStyle name="Comma 3 7 4 2 2 3 3" xfId="6500" xr:uid="{00000000-0005-0000-0000-00001D9E0000}"/>
    <cellStyle name="Comma 3 7 4 2 2 3 3 2" xfId="29779" xr:uid="{00000000-0005-0000-0000-00001E9E0000}"/>
    <cellStyle name="Comma 3 7 4 2 2 3 4" xfId="8948" xr:uid="{00000000-0005-0000-0000-00001F9E0000}"/>
    <cellStyle name="Comma 3 7 4 2 2 3 4 2" xfId="32227" xr:uid="{00000000-0005-0000-0000-0000209E0000}"/>
    <cellStyle name="Comma 3 7 4 2 2 3 5" xfId="11396" xr:uid="{00000000-0005-0000-0000-0000219E0000}"/>
    <cellStyle name="Comma 3 7 4 2 2 3 5 2" xfId="34675" xr:uid="{00000000-0005-0000-0000-0000229E0000}"/>
    <cellStyle name="Comma 3 7 4 2 2 3 6" xfId="13844" xr:uid="{00000000-0005-0000-0000-0000239E0000}"/>
    <cellStyle name="Comma 3 7 4 2 2 3 6 2" xfId="37123" xr:uid="{00000000-0005-0000-0000-0000249E0000}"/>
    <cellStyle name="Comma 3 7 4 2 2 3 7" xfId="17539" xr:uid="{00000000-0005-0000-0000-0000259E0000}"/>
    <cellStyle name="Comma 3 7 4 2 2 3 7 2" xfId="40817" xr:uid="{00000000-0005-0000-0000-0000269E0000}"/>
    <cellStyle name="Comma 3 7 4 2 2 3 8" xfId="24883" xr:uid="{00000000-0005-0000-0000-0000279E0000}"/>
    <cellStyle name="Comma 3 7 4 2 2 3 9" xfId="45713" xr:uid="{00000000-0005-0000-0000-0000289E0000}"/>
    <cellStyle name="Comma 3 7 4 2 2 4" xfId="2828" xr:uid="{00000000-0005-0000-0000-0000299E0000}"/>
    <cellStyle name="Comma 3 7 4 2 2 4 2" xfId="16315" xr:uid="{00000000-0005-0000-0000-00002A9E0000}"/>
    <cellStyle name="Comma 3 7 4 2 2 4 2 2" xfId="39593" xr:uid="{00000000-0005-0000-0000-00002B9E0000}"/>
    <cellStyle name="Comma 3 7 4 2 2 4 3" xfId="46937" xr:uid="{00000000-0005-0000-0000-00002C9E0000}"/>
    <cellStyle name="Comma 3 7 4 2 2 4 4" xfId="26107" xr:uid="{00000000-0005-0000-0000-00002D9E0000}"/>
    <cellStyle name="Comma 3 7 4 2 2 5" xfId="5276" xr:uid="{00000000-0005-0000-0000-00002E9E0000}"/>
    <cellStyle name="Comma 3 7 4 2 2 5 2" xfId="18763" xr:uid="{00000000-0005-0000-0000-00002F9E0000}"/>
    <cellStyle name="Comma 3 7 4 2 2 5 2 2" xfId="42041" xr:uid="{00000000-0005-0000-0000-0000309E0000}"/>
    <cellStyle name="Comma 3 7 4 2 2 5 3" xfId="28555" xr:uid="{00000000-0005-0000-0000-0000319E0000}"/>
    <cellStyle name="Comma 3 7 4 2 2 6" xfId="7724" xr:uid="{00000000-0005-0000-0000-0000329E0000}"/>
    <cellStyle name="Comma 3 7 4 2 2 6 2" xfId="31003" xr:uid="{00000000-0005-0000-0000-0000339E0000}"/>
    <cellStyle name="Comma 3 7 4 2 2 7" xfId="10172" xr:uid="{00000000-0005-0000-0000-0000349E0000}"/>
    <cellStyle name="Comma 3 7 4 2 2 7 2" xfId="33451" xr:uid="{00000000-0005-0000-0000-0000359E0000}"/>
    <cellStyle name="Comma 3 7 4 2 2 8" xfId="12620" xr:uid="{00000000-0005-0000-0000-0000369E0000}"/>
    <cellStyle name="Comma 3 7 4 2 2 8 2" xfId="35899" xr:uid="{00000000-0005-0000-0000-0000379E0000}"/>
    <cellStyle name="Comma 3 7 4 2 2 9" xfId="15091" xr:uid="{00000000-0005-0000-0000-0000389E0000}"/>
    <cellStyle name="Comma 3 7 4 2 2 9 2" xfId="38369" xr:uid="{00000000-0005-0000-0000-0000399E0000}"/>
    <cellStyle name="Comma 3 7 4 2 3" xfId="584" xr:uid="{00000000-0005-0000-0000-00003A9E0000}"/>
    <cellStyle name="Comma 3 7 4 2 3 10" xfId="23863" xr:uid="{00000000-0005-0000-0000-00003B9E0000}"/>
    <cellStyle name="Comma 3 7 4 2 3 11" xfId="44693" xr:uid="{00000000-0005-0000-0000-00003C9E0000}"/>
    <cellStyle name="Comma 3 7 4 2 3 12" xfId="21415" xr:uid="{00000000-0005-0000-0000-00003D9E0000}"/>
    <cellStyle name="Comma 3 7 4 2 3 2" xfId="1196" xr:uid="{00000000-0005-0000-0000-00003E9E0000}"/>
    <cellStyle name="Comma 3 7 4 2 3 2 10" xfId="45305" xr:uid="{00000000-0005-0000-0000-00003F9E0000}"/>
    <cellStyle name="Comma 3 7 4 2 3 2 11" xfId="22027" xr:uid="{00000000-0005-0000-0000-0000409E0000}"/>
    <cellStyle name="Comma 3 7 4 2 3 2 2" xfId="2420" xr:uid="{00000000-0005-0000-0000-0000419E0000}"/>
    <cellStyle name="Comma 3 7 4 2 3 2 2 10" xfId="23251" xr:uid="{00000000-0005-0000-0000-0000429E0000}"/>
    <cellStyle name="Comma 3 7 4 2 3 2 2 2" xfId="4868" xr:uid="{00000000-0005-0000-0000-0000439E0000}"/>
    <cellStyle name="Comma 3 7 4 2 3 2 2 2 2" xfId="20803" xr:uid="{00000000-0005-0000-0000-0000449E0000}"/>
    <cellStyle name="Comma 3 7 4 2 3 2 2 2 2 2" xfId="44081" xr:uid="{00000000-0005-0000-0000-0000459E0000}"/>
    <cellStyle name="Comma 3 7 4 2 3 2 2 2 3" xfId="48977" xr:uid="{00000000-0005-0000-0000-0000469E0000}"/>
    <cellStyle name="Comma 3 7 4 2 3 2 2 2 4" xfId="28147" xr:uid="{00000000-0005-0000-0000-0000479E0000}"/>
    <cellStyle name="Comma 3 7 4 2 3 2 2 3" xfId="7316" xr:uid="{00000000-0005-0000-0000-0000489E0000}"/>
    <cellStyle name="Comma 3 7 4 2 3 2 2 3 2" xfId="30595" xr:uid="{00000000-0005-0000-0000-0000499E0000}"/>
    <cellStyle name="Comma 3 7 4 2 3 2 2 4" xfId="9764" xr:uid="{00000000-0005-0000-0000-00004A9E0000}"/>
    <cellStyle name="Comma 3 7 4 2 3 2 2 4 2" xfId="33043" xr:uid="{00000000-0005-0000-0000-00004B9E0000}"/>
    <cellStyle name="Comma 3 7 4 2 3 2 2 5" xfId="12212" xr:uid="{00000000-0005-0000-0000-00004C9E0000}"/>
    <cellStyle name="Comma 3 7 4 2 3 2 2 5 2" xfId="35491" xr:uid="{00000000-0005-0000-0000-00004D9E0000}"/>
    <cellStyle name="Comma 3 7 4 2 3 2 2 6" xfId="14660" xr:uid="{00000000-0005-0000-0000-00004E9E0000}"/>
    <cellStyle name="Comma 3 7 4 2 3 2 2 6 2" xfId="37939" xr:uid="{00000000-0005-0000-0000-00004F9E0000}"/>
    <cellStyle name="Comma 3 7 4 2 3 2 2 7" xfId="18355" xr:uid="{00000000-0005-0000-0000-0000509E0000}"/>
    <cellStyle name="Comma 3 7 4 2 3 2 2 7 2" xfId="41633" xr:uid="{00000000-0005-0000-0000-0000519E0000}"/>
    <cellStyle name="Comma 3 7 4 2 3 2 2 8" xfId="25699" xr:uid="{00000000-0005-0000-0000-0000529E0000}"/>
    <cellStyle name="Comma 3 7 4 2 3 2 2 9" xfId="46529" xr:uid="{00000000-0005-0000-0000-0000539E0000}"/>
    <cellStyle name="Comma 3 7 4 2 3 2 3" xfId="3644" xr:uid="{00000000-0005-0000-0000-0000549E0000}"/>
    <cellStyle name="Comma 3 7 4 2 3 2 3 2" xfId="17131" xr:uid="{00000000-0005-0000-0000-0000559E0000}"/>
    <cellStyle name="Comma 3 7 4 2 3 2 3 2 2" xfId="40409" xr:uid="{00000000-0005-0000-0000-0000569E0000}"/>
    <cellStyle name="Comma 3 7 4 2 3 2 3 3" xfId="47753" xr:uid="{00000000-0005-0000-0000-0000579E0000}"/>
    <cellStyle name="Comma 3 7 4 2 3 2 3 4" xfId="26923" xr:uid="{00000000-0005-0000-0000-0000589E0000}"/>
    <cellStyle name="Comma 3 7 4 2 3 2 4" xfId="6092" xr:uid="{00000000-0005-0000-0000-0000599E0000}"/>
    <cellStyle name="Comma 3 7 4 2 3 2 4 2" xfId="19579" xr:uid="{00000000-0005-0000-0000-00005A9E0000}"/>
    <cellStyle name="Comma 3 7 4 2 3 2 4 2 2" xfId="42857" xr:uid="{00000000-0005-0000-0000-00005B9E0000}"/>
    <cellStyle name="Comma 3 7 4 2 3 2 4 3" xfId="29371" xr:uid="{00000000-0005-0000-0000-00005C9E0000}"/>
    <cellStyle name="Comma 3 7 4 2 3 2 5" xfId="8540" xr:uid="{00000000-0005-0000-0000-00005D9E0000}"/>
    <cellStyle name="Comma 3 7 4 2 3 2 5 2" xfId="31819" xr:uid="{00000000-0005-0000-0000-00005E9E0000}"/>
    <cellStyle name="Comma 3 7 4 2 3 2 6" xfId="10988" xr:uid="{00000000-0005-0000-0000-00005F9E0000}"/>
    <cellStyle name="Comma 3 7 4 2 3 2 6 2" xfId="34267" xr:uid="{00000000-0005-0000-0000-0000609E0000}"/>
    <cellStyle name="Comma 3 7 4 2 3 2 7" xfId="13436" xr:uid="{00000000-0005-0000-0000-0000619E0000}"/>
    <cellStyle name="Comma 3 7 4 2 3 2 7 2" xfId="36715" xr:uid="{00000000-0005-0000-0000-0000629E0000}"/>
    <cellStyle name="Comma 3 7 4 2 3 2 8" xfId="15907" xr:uid="{00000000-0005-0000-0000-0000639E0000}"/>
    <cellStyle name="Comma 3 7 4 2 3 2 8 2" xfId="39185" xr:uid="{00000000-0005-0000-0000-0000649E0000}"/>
    <cellStyle name="Comma 3 7 4 2 3 2 9" xfId="24475" xr:uid="{00000000-0005-0000-0000-0000659E0000}"/>
    <cellStyle name="Comma 3 7 4 2 3 3" xfId="1808" xr:uid="{00000000-0005-0000-0000-0000669E0000}"/>
    <cellStyle name="Comma 3 7 4 2 3 3 10" xfId="22639" xr:uid="{00000000-0005-0000-0000-0000679E0000}"/>
    <cellStyle name="Comma 3 7 4 2 3 3 2" xfId="4256" xr:uid="{00000000-0005-0000-0000-0000689E0000}"/>
    <cellStyle name="Comma 3 7 4 2 3 3 2 2" xfId="20191" xr:uid="{00000000-0005-0000-0000-0000699E0000}"/>
    <cellStyle name="Comma 3 7 4 2 3 3 2 2 2" xfId="43469" xr:uid="{00000000-0005-0000-0000-00006A9E0000}"/>
    <cellStyle name="Comma 3 7 4 2 3 3 2 3" xfId="48365" xr:uid="{00000000-0005-0000-0000-00006B9E0000}"/>
    <cellStyle name="Comma 3 7 4 2 3 3 2 4" xfId="27535" xr:uid="{00000000-0005-0000-0000-00006C9E0000}"/>
    <cellStyle name="Comma 3 7 4 2 3 3 3" xfId="6704" xr:uid="{00000000-0005-0000-0000-00006D9E0000}"/>
    <cellStyle name="Comma 3 7 4 2 3 3 3 2" xfId="29983" xr:uid="{00000000-0005-0000-0000-00006E9E0000}"/>
    <cellStyle name="Comma 3 7 4 2 3 3 4" xfId="9152" xr:uid="{00000000-0005-0000-0000-00006F9E0000}"/>
    <cellStyle name="Comma 3 7 4 2 3 3 4 2" xfId="32431" xr:uid="{00000000-0005-0000-0000-0000709E0000}"/>
    <cellStyle name="Comma 3 7 4 2 3 3 5" xfId="11600" xr:uid="{00000000-0005-0000-0000-0000719E0000}"/>
    <cellStyle name="Comma 3 7 4 2 3 3 5 2" xfId="34879" xr:uid="{00000000-0005-0000-0000-0000729E0000}"/>
    <cellStyle name="Comma 3 7 4 2 3 3 6" xfId="14048" xr:uid="{00000000-0005-0000-0000-0000739E0000}"/>
    <cellStyle name="Comma 3 7 4 2 3 3 6 2" xfId="37327" xr:uid="{00000000-0005-0000-0000-0000749E0000}"/>
    <cellStyle name="Comma 3 7 4 2 3 3 7" xfId="17743" xr:uid="{00000000-0005-0000-0000-0000759E0000}"/>
    <cellStyle name="Comma 3 7 4 2 3 3 7 2" xfId="41021" xr:uid="{00000000-0005-0000-0000-0000769E0000}"/>
    <cellStyle name="Comma 3 7 4 2 3 3 8" xfId="25087" xr:uid="{00000000-0005-0000-0000-0000779E0000}"/>
    <cellStyle name="Comma 3 7 4 2 3 3 9" xfId="45917" xr:uid="{00000000-0005-0000-0000-0000789E0000}"/>
    <cellStyle name="Comma 3 7 4 2 3 4" xfId="3032" xr:uid="{00000000-0005-0000-0000-0000799E0000}"/>
    <cellStyle name="Comma 3 7 4 2 3 4 2" xfId="16519" xr:uid="{00000000-0005-0000-0000-00007A9E0000}"/>
    <cellStyle name="Comma 3 7 4 2 3 4 2 2" xfId="39797" xr:uid="{00000000-0005-0000-0000-00007B9E0000}"/>
    <cellStyle name="Comma 3 7 4 2 3 4 3" xfId="47141" xr:uid="{00000000-0005-0000-0000-00007C9E0000}"/>
    <cellStyle name="Comma 3 7 4 2 3 4 4" xfId="26311" xr:uid="{00000000-0005-0000-0000-00007D9E0000}"/>
    <cellStyle name="Comma 3 7 4 2 3 5" xfId="5480" xr:uid="{00000000-0005-0000-0000-00007E9E0000}"/>
    <cellStyle name="Comma 3 7 4 2 3 5 2" xfId="18967" xr:uid="{00000000-0005-0000-0000-00007F9E0000}"/>
    <cellStyle name="Comma 3 7 4 2 3 5 2 2" xfId="42245" xr:uid="{00000000-0005-0000-0000-0000809E0000}"/>
    <cellStyle name="Comma 3 7 4 2 3 5 3" xfId="28759" xr:uid="{00000000-0005-0000-0000-0000819E0000}"/>
    <cellStyle name="Comma 3 7 4 2 3 6" xfId="7928" xr:uid="{00000000-0005-0000-0000-0000829E0000}"/>
    <cellStyle name="Comma 3 7 4 2 3 6 2" xfId="31207" xr:uid="{00000000-0005-0000-0000-0000839E0000}"/>
    <cellStyle name="Comma 3 7 4 2 3 7" xfId="10376" xr:uid="{00000000-0005-0000-0000-0000849E0000}"/>
    <cellStyle name="Comma 3 7 4 2 3 7 2" xfId="33655" xr:uid="{00000000-0005-0000-0000-0000859E0000}"/>
    <cellStyle name="Comma 3 7 4 2 3 8" xfId="12824" xr:uid="{00000000-0005-0000-0000-0000869E0000}"/>
    <cellStyle name="Comma 3 7 4 2 3 8 2" xfId="36103" xr:uid="{00000000-0005-0000-0000-0000879E0000}"/>
    <cellStyle name="Comma 3 7 4 2 3 9" xfId="15295" xr:uid="{00000000-0005-0000-0000-0000889E0000}"/>
    <cellStyle name="Comma 3 7 4 2 3 9 2" xfId="38573" xr:uid="{00000000-0005-0000-0000-0000899E0000}"/>
    <cellStyle name="Comma 3 7 4 2 4" xfId="788" xr:uid="{00000000-0005-0000-0000-00008A9E0000}"/>
    <cellStyle name="Comma 3 7 4 2 4 10" xfId="44897" xr:uid="{00000000-0005-0000-0000-00008B9E0000}"/>
    <cellStyle name="Comma 3 7 4 2 4 11" xfId="21619" xr:uid="{00000000-0005-0000-0000-00008C9E0000}"/>
    <cellStyle name="Comma 3 7 4 2 4 2" xfId="2012" xr:uid="{00000000-0005-0000-0000-00008D9E0000}"/>
    <cellStyle name="Comma 3 7 4 2 4 2 10" xfId="22843" xr:uid="{00000000-0005-0000-0000-00008E9E0000}"/>
    <cellStyle name="Comma 3 7 4 2 4 2 2" xfId="4460" xr:uid="{00000000-0005-0000-0000-00008F9E0000}"/>
    <cellStyle name="Comma 3 7 4 2 4 2 2 2" xfId="20395" xr:uid="{00000000-0005-0000-0000-0000909E0000}"/>
    <cellStyle name="Comma 3 7 4 2 4 2 2 2 2" xfId="43673" xr:uid="{00000000-0005-0000-0000-0000919E0000}"/>
    <cellStyle name="Comma 3 7 4 2 4 2 2 3" xfId="48569" xr:uid="{00000000-0005-0000-0000-0000929E0000}"/>
    <cellStyle name="Comma 3 7 4 2 4 2 2 4" xfId="27739" xr:uid="{00000000-0005-0000-0000-0000939E0000}"/>
    <cellStyle name="Comma 3 7 4 2 4 2 3" xfId="6908" xr:uid="{00000000-0005-0000-0000-0000949E0000}"/>
    <cellStyle name="Comma 3 7 4 2 4 2 3 2" xfId="30187" xr:uid="{00000000-0005-0000-0000-0000959E0000}"/>
    <cellStyle name="Comma 3 7 4 2 4 2 4" xfId="9356" xr:uid="{00000000-0005-0000-0000-0000969E0000}"/>
    <cellStyle name="Comma 3 7 4 2 4 2 4 2" xfId="32635" xr:uid="{00000000-0005-0000-0000-0000979E0000}"/>
    <cellStyle name="Comma 3 7 4 2 4 2 5" xfId="11804" xr:uid="{00000000-0005-0000-0000-0000989E0000}"/>
    <cellStyle name="Comma 3 7 4 2 4 2 5 2" xfId="35083" xr:uid="{00000000-0005-0000-0000-0000999E0000}"/>
    <cellStyle name="Comma 3 7 4 2 4 2 6" xfId="14252" xr:uid="{00000000-0005-0000-0000-00009A9E0000}"/>
    <cellStyle name="Comma 3 7 4 2 4 2 6 2" xfId="37531" xr:uid="{00000000-0005-0000-0000-00009B9E0000}"/>
    <cellStyle name="Comma 3 7 4 2 4 2 7" xfId="17947" xr:uid="{00000000-0005-0000-0000-00009C9E0000}"/>
    <cellStyle name="Comma 3 7 4 2 4 2 7 2" xfId="41225" xr:uid="{00000000-0005-0000-0000-00009D9E0000}"/>
    <cellStyle name="Comma 3 7 4 2 4 2 8" xfId="25291" xr:uid="{00000000-0005-0000-0000-00009E9E0000}"/>
    <cellStyle name="Comma 3 7 4 2 4 2 9" xfId="46121" xr:uid="{00000000-0005-0000-0000-00009F9E0000}"/>
    <cellStyle name="Comma 3 7 4 2 4 3" xfId="3236" xr:uid="{00000000-0005-0000-0000-0000A09E0000}"/>
    <cellStyle name="Comma 3 7 4 2 4 3 2" xfId="16723" xr:uid="{00000000-0005-0000-0000-0000A19E0000}"/>
    <cellStyle name="Comma 3 7 4 2 4 3 2 2" xfId="40001" xr:uid="{00000000-0005-0000-0000-0000A29E0000}"/>
    <cellStyle name="Comma 3 7 4 2 4 3 3" xfId="47345" xr:uid="{00000000-0005-0000-0000-0000A39E0000}"/>
    <cellStyle name="Comma 3 7 4 2 4 3 4" xfId="26515" xr:uid="{00000000-0005-0000-0000-0000A49E0000}"/>
    <cellStyle name="Comma 3 7 4 2 4 4" xfId="5684" xr:uid="{00000000-0005-0000-0000-0000A59E0000}"/>
    <cellStyle name="Comma 3 7 4 2 4 4 2" xfId="19171" xr:uid="{00000000-0005-0000-0000-0000A69E0000}"/>
    <cellStyle name="Comma 3 7 4 2 4 4 2 2" xfId="42449" xr:uid="{00000000-0005-0000-0000-0000A79E0000}"/>
    <cellStyle name="Comma 3 7 4 2 4 4 3" xfId="28963" xr:uid="{00000000-0005-0000-0000-0000A89E0000}"/>
    <cellStyle name="Comma 3 7 4 2 4 5" xfId="8132" xr:uid="{00000000-0005-0000-0000-0000A99E0000}"/>
    <cellStyle name="Comma 3 7 4 2 4 5 2" xfId="31411" xr:uid="{00000000-0005-0000-0000-0000AA9E0000}"/>
    <cellStyle name="Comma 3 7 4 2 4 6" xfId="10580" xr:uid="{00000000-0005-0000-0000-0000AB9E0000}"/>
    <cellStyle name="Comma 3 7 4 2 4 6 2" xfId="33859" xr:uid="{00000000-0005-0000-0000-0000AC9E0000}"/>
    <cellStyle name="Comma 3 7 4 2 4 7" xfId="13028" xr:uid="{00000000-0005-0000-0000-0000AD9E0000}"/>
    <cellStyle name="Comma 3 7 4 2 4 7 2" xfId="36307" xr:uid="{00000000-0005-0000-0000-0000AE9E0000}"/>
    <cellStyle name="Comma 3 7 4 2 4 8" xfId="15499" xr:uid="{00000000-0005-0000-0000-0000AF9E0000}"/>
    <cellStyle name="Comma 3 7 4 2 4 8 2" xfId="38777" xr:uid="{00000000-0005-0000-0000-0000B09E0000}"/>
    <cellStyle name="Comma 3 7 4 2 4 9" xfId="24067" xr:uid="{00000000-0005-0000-0000-0000B19E0000}"/>
    <cellStyle name="Comma 3 7 4 2 5" xfId="1400" xr:uid="{00000000-0005-0000-0000-0000B29E0000}"/>
    <cellStyle name="Comma 3 7 4 2 5 10" xfId="22231" xr:uid="{00000000-0005-0000-0000-0000B39E0000}"/>
    <cellStyle name="Comma 3 7 4 2 5 2" xfId="3848" xr:uid="{00000000-0005-0000-0000-0000B49E0000}"/>
    <cellStyle name="Comma 3 7 4 2 5 2 2" xfId="19783" xr:uid="{00000000-0005-0000-0000-0000B59E0000}"/>
    <cellStyle name="Comma 3 7 4 2 5 2 2 2" xfId="43061" xr:uid="{00000000-0005-0000-0000-0000B69E0000}"/>
    <cellStyle name="Comma 3 7 4 2 5 2 3" xfId="47957" xr:uid="{00000000-0005-0000-0000-0000B79E0000}"/>
    <cellStyle name="Comma 3 7 4 2 5 2 4" xfId="27127" xr:uid="{00000000-0005-0000-0000-0000B89E0000}"/>
    <cellStyle name="Comma 3 7 4 2 5 3" xfId="6296" xr:uid="{00000000-0005-0000-0000-0000B99E0000}"/>
    <cellStyle name="Comma 3 7 4 2 5 3 2" xfId="29575" xr:uid="{00000000-0005-0000-0000-0000BA9E0000}"/>
    <cellStyle name="Comma 3 7 4 2 5 4" xfId="8744" xr:uid="{00000000-0005-0000-0000-0000BB9E0000}"/>
    <cellStyle name="Comma 3 7 4 2 5 4 2" xfId="32023" xr:uid="{00000000-0005-0000-0000-0000BC9E0000}"/>
    <cellStyle name="Comma 3 7 4 2 5 5" xfId="11192" xr:uid="{00000000-0005-0000-0000-0000BD9E0000}"/>
    <cellStyle name="Comma 3 7 4 2 5 5 2" xfId="34471" xr:uid="{00000000-0005-0000-0000-0000BE9E0000}"/>
    <cellStyle name="Comma 3 7 4 2 5 6" xfId="13640" xr:uid="{00000000-0005-0000-0000-0000BF9E0000}"/>
    <cellStyle name="Comma 3 7 4 2 5 6 2" xfId="36919" xr:uid="{00000000-0005-0000-0000-0000C09E0000}"/>
    <cellStyle name="Comma 3 7 4 2 5 7" xfId="17335" xr:uid="{00000000-0005-0000-0000-0000C19E0000}"/>
    <cellStyle name="Comma 3 7 4 2 5 7 2" xfId="40613" xr:uid="{00000000-0005-0000-0000-0000C29E0000}"/>
    <cellStyle name="Comma 3 7 4 2 5 8" xfId="24679" xr:uid="{00000000-0005-0000-0000-0000C39E0000}"/>
    <cellStyle name="Comma 3 7 4 2 5 9" xfId="45509" xr:uid="{00000000-0005-0000-0000-0000C49E0000}"/>
    <cellStyle name="Comma 3 7 4 2 6" xfId="2624" xr:uid="{00000000-0005-0000-0000-0000C59E0000}"/>
    <cellStyle name="Comma 3 7 4 2 6 2" xfId="16111" xr:uid="{00000000-0005-0000-0000-0000C69E0000}"/>
    <cellStyle name="Comma 3 7 4 2 6 2 2" xfId="39389" xr:uid="{00000000-0005-0000-0000-0000C79E0000}"/>
    <cellStyle name="Comma 3 7 4 2 6 3" xfId="46733" xr:uid="{00000000-0005-0000-0000-0000C89E0000}"/>
    <cellStyle name="Comma 3 7 4 2 6 4" xfId="25903" xr:uid="{00000000-0005-0000-0000-0000C99E0000}"/>
    <cellStyle name="Comma 3 7 4 2 7" xfId="5072" xr:uid="{00000000-0005-0000-0000-0000CA9E0000}"/>
    <cellStyle name="Comma 3 7 4 2 7 2" xfId="18559" xr:uid="{00000000-0005-0000-0000-0000CB9E0000}"/>
    <cellStyle name="Comma 3 7 4 2 7 2 2" xfId="41837" xr:uid="{00000000-0005-0000-0000-0000CC9E0000}"/>
    <cellStyle name="Comma 3 7 4 2 7 3" xfId="28351" xr:uid="{00000000-0005-0000-0000-0000CD9E0000}"/>
    <cellStyle name="Comma 3 7 4 2 8" xfId="7520" xr:uid="{00000000-0005-0000-0000-0000CE9E0000}"/>
    <cellStyle name="Comma 3 7 4 2 8 2" xfId="30799" xr:uid="{00000000-0005-0000-0000-0000CF9E0000}"/>
    <cellStyle name="Comma 3 7 4 2 9" xfId="9968" xr:uid="{00000000-0005-0000-0000-0000D09E0000}"/>
    <cellStyle name="Comma 3 7 4 2 9 2" xfId="33247" xr:uid="{00000000-0005-0000-0000-0000D19E0000}"/>
    <cellStyle name="Comma 3 7 4 3" xfId="244" xr:uid="{00000000-0005-0000-0000-0000D29E0000}"/>
    <cellStyle name="Comma 3 7 4 3 10" xfId="12484" xr:uid="{00000000-0005-0000-0000-0000D39E0000}"/>
    <cellStyle name="Comma 3 7 4 3 10 2" xfId="35763" xr:uid="{00000000-0005-0000-0000-0000D49E0000}"/>
    <cellStyle name="Comma 3 7 4 3 11" xfId="14955" xr:uid="{00000000-0005-0000-0000-0000D59E0000}"/>
    <cellStyle name="Comma 3 7 4 3 11 2" xfId="38233" xr:uid="{00000000-0005-0000-0000-0000D69E0000}"/>
    <cellStyle name="Comma 3 7 4 3 12" xfId="23523" xr:uid="{00000000-0005-0000-0000-0000D79E0000}"/>
    <cellStyle name="Comma 3 7 4 3 13" xfId="44353" xr:uid="{00000000-0005-0000-0000-0000D89E0000}"/>
    <cellStyle name="Comma 3 7 4 3 14" xfId="21075" xr:uid="{00000000-0005-0000-0000-0000D99E0000}"/>
    <cellStyle name="Comma 3 7 4 3 2" xfId="448" xr:uid="{00000000-0005-0000-0000-0000DA9E0000}"/>
    <cellStyle name="Comma 3 7 4 3 2 10" xfId="23727" xr:uid="{00000000-0005-0000-0000-0000DB9E0000}"/>
    <cellStyle name="Comma 3 7 4 3 2 11" xfId="44557" xr:uid="{00000000-0005-0000-0000-0000DC9E0000}"/>
    <cellStyle name="Comma 3 7 4 3 2 12" xfId="21279" xr:uid="{00000000-0005-0000-0000-0000DD9E0000}"/>
    <cellStyle name="Comma 3 7 4 3 2 2" xfId="1060" xr:uid="{00000000-0005-0000-0000-0000DE9E0000}"/>
    <cellStyle name="Comma 3 7 4 3 2 2 10" xfId="45169" xr:uid="{00000000-0005-0000-0000-0000DF9E0000}"/>
    <cellStyle name="Comma 3 7 4 3 2 2 11" xfId="21891" xr:uid="{00000000-0005-0000-0000-0000E09E0000}"/>
    <cellStyle name="Comma 3 7 4 3 2 2 2" xfId="2284" xr:uid="{00000000-0005-0000-0000-0000E19E0000}"/>
    <cellStyle name="Comma 3 7 4 3 2 2 2 10" xfId="23115" xr:uid="{00000000-0005-0000-0000-0000E29E0000}"/>
    <cellStyle name="Comma 3 7 4 3 2 2 2 2" xfId="4732" xr:uid="{00000000-0005-0000-0000-0000E39E0000}"/>
    <cellStyle name="Comma 3 7 4 3 2 2 2 2 2" xfId="20667" xr:uid="{00000000-0005-0000-0000-0000E49E0000}"/>
    <cellStyle name="Comma 3 7 4 3 2 2 2 2 2 2" xfId="43945" xr:uid="{00000000-0005-0000-0000-0000E59E0000}"/>
    <cellStyle name="Comma 3 7 4 3 2 2 2 2 3" xfId="48841" xr:uid="{00000000-0005-0000-0000-0000E69E0000}"/>
    <cellStyle name="Comma 3 7 4 3 2 2 2 2 4" xfId="28011" xr:uid="{00000000-0005-0000-0000-0000E79E0000}"/>
    <cellStyle name="Comma 3 7 4 3 2 2 2 3" xfId="7180" xr:uid="{00000000-0005-0000-0000-0000E89E0000}"/>
    <cellStyle name="Comma 3 7 4 3 2 2 2 3 2" xfId="30459" xr:uid="{00000000-0005-0000-0000-0000E99E0000}"/>
    <cellStyle name="Comma 3 7 4 3 2 2 2 4" xfId="9628" xr:uid="{00000000-0005-0000-0000-0000EA9E0000}"/>
    <cellStyle name="Comma 3 7 4 3 2 2 2 4 2" xfId="32907" xr:uid="{00000000-0005-0000-0000-0000EB9E0000}"/>
    <cellStyle name="Comma 3 7 4 3 2 2 2 5" xfId="12076" xr:uid="{00000000-0005-0000-0000-0000EC9E0000}"/>
    <cellStyle name="Comma 3 7 4 3 2 2 2 5 2" xfId="35355" xr:uid="{00000000-0005-0000-0000-0000ED9E0000}"/>
    <cellStyle name="Comma 3 7 4 3 2 2 2 6" xfId="14524" xr:uid="{00000000-0005-0000-0000-0000EE9E0000}"/>
    <cellStyle name="Comma 3 7 4 3 2 2 2 6 2" xfId="37803" xr:uid="{00000000-0005-0000-0000-0000EF9E0000}"/>
    <cellStyle name="Comma 3 7 4 3 2 2 2 7" xfId="18219" xr:uid="{00000000-0005-0000-0000-0000F09E0000}"/>
    <cellStyle name="Comma 3 7 4 3 2 2 2 7 2" xfId="41497" xr:uid="{00000000-0005-0000-0000-0000F19E0000}"/>
    <cellStyle name="Comma 3 7 4 3 2 2 2 8" xfId="25563" xr:uid="{00000000-0005-0000-0000-0000F29E0000}"/>
    <cellStyle name="Comma 3 7 4 3 2 2 2 9" xfId="46393" xr:uid="{00000000-0005-0000-0000-0000F39E0000}"/>
    <cellStyle name="Comma 3 7 4 3 2 2 3" xfId="3508" xr:uid="{00000000-0005-0000-0000-0000F49E0000}"/>
    <cellStyle name="Comma 3 7 4 3 2 2 3 2" xfId="16995" xr:uid="{00000000-0005-0000-0000-0000F59E0000}"/>
    <cellStyle name="Comma 3 7 4 3 2 2 3 2 2" xfId="40273" xr:uid="{00000000-0005-0000-0000-0000F69E0000}"/>
    <cellStyle name="Comma 3 7 4 3 2 2 3 3" xfId="47617" xr:uid="{00000000-0005-0000-0000-0000F79E0000}"/>
    <cellStyle name="Comma 3 7 4 3 2 2 3 4" xfId="26787" xr:uid="{00000000-0005-0000-0000-0000F89E0000}"/>
    <cellStyle name="Comma 3 7 4 3 2 2 4" xfId="5956" xr:uid="{00000000-0005-0000-0000-0000F99E0000}"/>
    <cellStyle name="Comma 3 7 4 3 2 2 4 2" xfId="19443" xr:uid="{00000000-0005-0000-0000-0000FA9E0000}"/>
    <cellStyle name="Comma 3 7 4 3 2 2 4 2 2" xfId="42721" xr:uid="{00000000-0005-0000-0000-0000FB9E0000}"/>
    <cellStyle name="Comma 3 7 4 3 2 2 4 3" xfId="29235" xr:uid="{00000000-0005-0000-0000-0000FC9E0000}"/>
    <cellStyle name="Comma 3 7 4 3 2 2 5" xfId="8404" xr:uid="{00000000-0005-0000-0000-0000FD9E0000}"/>
    <cellStyle name="Comma 3 7 4 3 2 2 5 2" xfId="31683" xr:uid="{00000000-0005-0000-0000-0000FE9E0000}"/>
    <cellStyle name="Comma 3 7 4 3 2 2 6" xfId="10852" xr:uid="{00000000-0005-0000-0000-0000FF9E0000}"/>
    <cellStyle name="Comma 3 7 4 3 2 2 6 2" xfId="34131" xr:uid="{00000000-0005-0000-0000-0000009F0000}"/>
    <cellStyle name="Comma 3 7 4 3 2 2 7" xfId="13300" xr:uid="{00000000-0005-0000-0000-0000019F0000}"/>
    <cellStyle name="Comma 3 7 4 3 2 2 7 2" xfId="36579" xr:uid="{00000000-0005-0000-0000-0000029F0000}"/>
    <cellStyle name="Comma 3 7 4 3 2 2 8" xfId="15771" xr:uid="{00000000-0005-0000-0000-0000039F0000}"/>
    <cellStyle name="Comma 3 7 4 3 2 2 8 2" xfId="39049" xr:uid="{00000000-0005-0000-0000-0000049F0000}"/>
    <cellStyle name="Comma 3 7 4 3 2 2 9" xfId="24339" xr:uid="{00000000-0005-0000-0000-0000059F0000}"/>
    <cellStyle name="Comma 3 7 4 3 2 3" xfId="1672" xr:uid="{00000000-0005-0000-0000-0000069F0000}"/>
    <cellStyle name="Comma 3 7 4 3 2 3 10" xfId="22503" xr:uid="{00000000-0005-0000-0000-0000079F0000}"/>
    <cellStyle name="Comma 3 7 4 3 2 3 2" xfId="4120" xr:uid="{00000000-0005-0000-0000-0000089F0000}"/>
    <cellStyle name="Comma 3 7 4 3 2 3 2 2" xfId="20055" xr:uid="{00000000-0005-0000-0000-0000099F0000}"/>
    <cellStyle name="Comma 3 7 4 3 2 3 2 2 2" xfId="43333" xr:uid="{00000000-0005-0000-0000-00000A9F0000}"/>
    <cellStyle name="Comma 3 7 4 3 2 3 2 3" xfId="48229" xr:uid="{00000000-0005-0000-0000-00000B9F0000}"/>
    <cellStyle name="Comma 3 7 4 3 2 3 2 4" xfId="27399" xr:uid="{00000000-0005-0000-0000-00000C9F0000}"/>
    <cellStyle name="Comma 3 7 4 3 2 3 3" xfId="6568" xr:uid="{00000000-0005-0000-0000-00000D9F0000}"/>
    <cellStyle name="Comma 3 7 4 3 2 3 3 2" xfId="29847" xr:uid="{00000000-0005-0000-0000-00000E9F0000}"/>
    <cellStyle name="Comma 3 7 4 3 2 3 4" xfId="9016" xr:uid="{00000000-0005-0000-0000-00000F9F0000}"/>
    <cellStyle name="Comma 3 7 4 3 2 3 4 2" xfId="32295" xr:uid="{00000000-0005-0000-0000-0000109F0000}"/>
    <cellStyle name="Comma 3 7 4 3 2 3 5" xfId="11464" xr:uid="{00000000-0005-0000-0000-0000119F0000}"/>
    <cellStyle name="Comma 3 7 4 3 2 3 5 2" xfId="34743" xr:uid="{00000000-0005-0000-0000-0000129F0000}"/>
    <cellStyle name="Comma 3 7 4 3 2 3 6" xfId="13912" xr:uid="{00000000-0005-0000-0000-0000139F0000}"/>
    <cellStyle name="Comma 3 7 4 3 2 3 6 2" xfId="37191" xr:uid="{00000000-0005-0000-0000-0000149F0000}"/>
    <cellStyle name="Comma 3 7 4 3 2 3 7" xfId="17607" xr:uid="{00000000-0005-0000-0000-0000159F0000}"/>
    <cellStyle name="Comma 3 7 4 3 2 3 7 2" xfId="40885" xr:uid="{00000000-0005-0000-0000-0000169F0000}"/>
    <cellStyle name="Comma 3 7 4 3 2 3 8" xfId="24951" xr:uid="{00000000-0005-0000-0000-0000179F0000}"/>
    <cellStyle name="Comma 3 7 4 3 2 3 9" xfId="45781" xr:uid="{00000000-0005-0000-0000-0000189F0000}"/>
    <cellStyle name="Comma 3 7 4 3 2 4" xfId="2896" xr:uid="{00000000-0005-0000-0000-0000199F0000}"/>
    <cellStyle name="Comma 3 7 4 3 2 4 2" xfId="16383" xr:uid="{00000000-0005-0000-0000-00001A9F0000}"/>
    <cellStyle name="Comma 3 7 4 3 2 4 2 2" xfId="39661" xr:uid="{00000000-0005-0000-0000-00001B9F0000}"/>
    <cellStyle name="Comma 3 7 4 3 2 4 3" xfId="47005" xr:uid="{00000000-0005-0000-0000-00001C9F0000}"/>
    <cellStyle name="Comma 3 7 4 3 2 4 4" xfId="26175" xr:uid="{00000000-0005-0000-0000-00001D9F0000}"/>
    <cellStyle name="Comma 3 7 4 3 2 5" xfId="5344" xr:uid="{00000000-0005-0000-0000-00001E9F0000}"/>
    <cellStyle name="Comma 3 7 4 3 2 5 2" xfId="18831" xr:uid="{00000000-0005-0000-0000-00001F9F0000}"/>
    <cellStyle name="Comma 3 7 4 3 2 5 2 2" xfId="42109" xr:uid="{00000000-0005-0000-0000-0000209F0000}"/>
    <cellStyle name="Comma 3 7 4 3 2 5 3" xfId="28623" xr:uid="{00000000-0005-0000-0000-0000219F0000}"/>
    <cellStyle name="Comma 3 7 4 3 2 6" xfId="7792" xr:uid="{00000000-0005-0000-0000-0000229F0000}"/>
    <cellStyle name="Comma 3 7 4 3 2 6 2" xfId="31071" xr:uid="{00000000-0005-0000-0000-0000239F0000}"/>
    <cellStyle name="Comma 3 7 4 3 2 7" xfId="10240" xr:uid="{00000000-0005-0000-0000-0000249F0000}"/>
    <cellStyle name="Comma 3 7 4 3 2 7 2" xfId="33519" xr:uid="{00000000-0005-0000-0000-0000259F0000}"/>
    <cellStyle name="Comma 3 7 4 3 2 8" xfId="12688" xr:uid="{00000000-0005-0000-0000-0000269F0000}"/>
    <cellStyle name="Comma 3 7 4 3 2 8 2" xfId="35967" xr:uid="{00000000-0005-0000-0000-0000279F0000}"/>
    <cellStyle name="Comma 3 7 4 3 2 9" xfId="15159" xr:uid="{00000000-0005-0000-0000-0000289F0000}"/>
    <cellStyle name="Comma 3 7 4 3 2 9 2" xfId="38437" xr:uid="{00000000-0005-0000-0000-0000299F0000}"/>
    <cellStyle name="Comma 3 7 4 3 3" xfId="652" xr:uid="{00000000-0005-0000-0000-00002A9F0000}"/>
    <cellStyle name="Comma 3 7 4 3 3 10" xfId="23931" xr:uid="{00000000-0005-0000-0000-00002B9F0000}"/>
    <cellStyle name="Comma 3 7 4 3 3 11" xfId="44761" xr:uid="{00000000-0005-0000-0000-00002C9F0000}"/>
    <cellStyle name="Comma 3 7 4 3 3 12" xfId="21483" xr:uid="{00000000-0005-0000-0000-00002D9F0000}"/>
    <cellStyle name="Comma 3 7 4 3 3 2" xfId="1264" xr:uid="{00000000-0005-0000-0000-00002E9F0000}"/>
    <cellStyle name="Comma 3 7 4 3 3 2 10" xfId="45373" xr:uid="{00000000-0005-0000-0000-00002F9F0000}"/>
    <cellStyle name="Comma 3 7 4 3 3 2 11" xfId="22095" xr:uid="{00000000-0005-0000-0000-0000309F0000}"/>
    <cellStyle name="Comma 3 7 4 3 3 2 2" xfId="2488" xr:uid="{00000000-0005-0000-0000-0000319F0000}"/>
    <cellStyle name="Comma 3 7 4 3 3 2 2 10" xfId="23319" xr:uid="{00000000-0005-0000-0000-0000329F0000}"/>
    <cellStyle name="Comma 3 7 4 3 3 2 2 2" xfId="4936" xr:uid="{00000000-0005-0000-0000-0000339F0000}"/>
    <cellStyle name="Comma 3 7 4 3 3 2 2 2 2" xfId="20871" xr:uid="{00000000-0005-0000-0000-0000349F0000}"/>
    <cellStyle name="Comma 3 7 4 3 3 2 2 2 2 2" xfId="44149" xr:uid="{00000000-0005-0000-0000-0000359F0000}"/>
    <cellStyle name="Comma 3 7 4 3 3 2 2 2 3" xfId="49045" xr:uid="{00000000-0005-0000-0000-0000369F0000}"/>
    <cellStyle name="Comma 3 7 4 3 3 2 2 2 4" xfId="28215" xr:uid="{00000000-0005-0000-0000-0000379F0000}"/>
    <cellStyle name="Comma 3 7 4 3 3 2 2 3" xfId="7384" xr:uid="{00000000-0005-0000-0000-0000389F0000}"/>
    <cellStyle name="Comma 3 7 4 3 3 2 2 3 2" xfId="30663" xr:uid="{00000000-0005-0000-0000-0000399F0000}"/>
    <cellStyle name="Comma 3 7 4 3 3 2 2 4" xfId="9832" xr:uid="{00000000-0005-0000-0000-00003A9F0000}"/>
    <cellStyle name="Comma 3 7 4 3 3 2 2 4 2" xfId="33111" xr:uid="{00000000-0005-0000-0000-00003B9F0000}"/>
    <cellStyle name="Comma 3 7 4 3 3 2 2 5" xfId="12280" xr:uid="{00000000-0005-0000-0000-00003C9F0000}"/>
    <cellStyle name="Comma 3 7 4 3 3 2 2 5 2" xfId="35559" xr:uid="{00000000-0005-0000-0000-00003D9F0000}"/>
    <cellStyle name="Comma 3 7 4 3 3 2 2 6" xfId="14728" xr:uid="{00000000-0005-0000-0000-00003E9F0000}"/>
    <cellStyle name="Comma 3 7 4 3 3 2 2 6 2" xfId="38007" xr:uid="{00000000-0005-0000-0000-00003F9F0000}"/>
    <cellStyle name="Comma 3 7 4 3 3 2 2 7" xfId="18423" xr:uid="{00000000-0005-0000-0000-0000409F0000}"/>
    <cellStyle name="Comma 3 7 4 3 3 2 2 7 2" xfId="41701" xr:uid="{00000000-0005-0000-0000-0000419F0000}"/>
    <cellStyle name="Comma 3 7 4 3 3 2 2 8" xfId="25767" xr:uid="{00000000-0005-0000-0000-0000429F0000}"/>
    <cellStyle name="Comma 3 7 4 3 3 2 2 9" xfId="46597" xr:uid="{00000000-0005-0000-0000-0000439F0000}"/>
    <cellStyle name="Comma 3 7 4 3 3 2 3" xfId="3712" xr:uid="{00000000-0005-0000-0000-0000449F0000}"/>
    <cellStyle name="Comma 3 7 4 3 3 2 3 2" xfId="17199" xr:uid="{00000000-0005-0000-0000-0000459F0000}"/>
    <cellStyle name="Comma 3 7 4 3 3 2 3 2 2" xfId="40477" xr:uid="{00000000-0005-0000-0000-0000469F0000}"/>
    <cellStyle name="Comma 3 7 4 3 3 2 3 3" xfId="47821" xr:uid="{00000000-0005-0000-0000-0000479F0000}"/>
    <cellStyle name="Comma 3 7 4 3 3 2 3 4" xfId="26991" xr:uid="{00000000-0005-0000-0000-0000489F0000}"/>
    <cellStyle name="Comma 3 7 4 3 3 2 4" xfId="6160" xr:uid="{00000000-0005-0000-0000-0000499F0000}"/>
    <cellStyle name="Comma 3 7 4 3 3 2 4 2" xfId="19647" xr:uid="{00000000-0005-0000-0000-00004A9F0000}"/>
    <cellStyle name="Comma 3 7 4 3 3 2 4 2 2" xfId="42925" xr:uid="{00000000-0005-0000-0000-00004B9F0000}"/>
    <cellStyle name="Comma 3 7 4 3 3 2 4 3" xfId="29439" xr:uid="{00000000-0005-0000-0000-00004C9F0000}"/>
    <cellStyle name="Comma 3 7 4 3 3 2 5" xfId="8608" xr:uid="{00000000-0005-0000-0000-00004D9F0000}"/>
    <cellStyle name="Comma 3 7 4 3 3 2 5 2" xfId="31887" xr:uid="{00000000-0005-0000-0000-00004E9F0000}"/>
    <cellStyle name="Comma 3 7 4 3 3 2 6" xfId="11056" xr:uid="{00000000-0005-0000-0000-00004F9F0000}"/>
    <cellStyle name="Comma 3 7 4 3 3 2 6 2" xfId="34335" xr:uid="{00000000-0005-0000-0000-0000509F0000}"/>
    <cellStyle name="Comma 3 7 4 3 3 2 7" xfId="13504" xr:uid="{00000000-0005-0000-0000-0000519F0000}"/>
    <cellStyle name="Comma 3 7 4 3 3 2 7 2" xfId="36783" xr:uid="{00000000-0005-0000-0000-0000529F0000}"/>
    <cellStyle name="Comma 3 7 4 3 3 2 8" xfId="15975" xr:uid="{00000000-0005-0000-0000-0000539F0000}"/>
    <cellStyle name="Comma 3 7 4 3 3 2 8 2" xfId="39253" xr:uid="{00000000-0005-0000-0000-0000549F0000}"/>
    <cellStyle name="Comma 3 7 4 3 3 2 9" xfId="24543" xr:uid="{00000000-0005-0000-0000-0000559F0000}"/>
    <cellStyle name="Comma 3 7 4 3 3 3" xfId="1876" xr:uid="{00000000-0005-0000-0000-0000569F0000}"/>
    <cellStyle name="Comma 3 7 4 3 3 3 10" xfId="22707" xr:uid="{00000000-0005-0000-0000-0000579F0000}"/>
    <cellStyle name="Comma 3 7 4 3 3 3 2" xfId="4324" xr:uid="{00000000-0005-0000-0000-0000589F0000}"/>
    <cellStyle name="Comma 3 7 4 3 3 3 2 2" xfId="20259" xr:uid="{00000000-0005-0000-0000-0000599F0000}"/>
    <cellStyle name="Comma 3 7 4 3 3 3 2 2 2" xfId="43537" xr:uid="{00000000-0005-0000-0000-00005A9F0000}"/>
    <cellStyle name="Comma 3 7 4 3 3 3 2 3" xfId="48433" xr:uid="{00000000-0005-0000-0000-00005B9F0000}"/>
    <cellStyle name="Comma 3 7 4 3 3 3 2 4" xfId="27603" xr:uid="{00000000-0005-0000-0000-00005C9F0000}"/>
    <cellStyle name="Comma 3 7 4 3 3 3 3" xfId="6772" xr:uid="{00000000-0005-0000-0000-00005D9F0000}"/>
    <cellStyle name="Comma 3 7 4 3 3 3 3 2" xfId="30051" xr:uid="{00000000-0005-0000-0000-00005E9F0000}"/>
    <cellStyle name="Comma 3 7 4 3 3 3 4" xfId="9220" xr:uid="{00000000-0005-0000-0000-00005F9F0000}"/>
    <cellStyle name="Comma 3 7 4 3 3 3 4 2" xfId="32499" xr:uid="{00000000-0005-0000-0000-0000609F0000}"/>
    <cellStyle name="Comma 3 7 4 3 3 3 5" xfId="11668" xr:uid="{00000000-0005-0000-0000-0000619F0000}"/>
    <cellStyle name="Comma 3 7 4 3 3 3 5 2" xfId="34947" xr:uid="{00000000-0005-0000-0000-0000629F0000}"/>
    <cellStyle name="Comma 3 7 4 3 3 3 6" xfId="14116" xr:uid="{00000000-0005-0000-0000-0000639F0000}"/>
    <cellStyle name="Comma 3 7 4 3 3 3 6 2" xfId="37395" xr:uid="{00000000-0005-0000-0000-0000649F0000}"/>
    <cellStyle name="Comma 3 7 4 3 3 3 7" xfId="17811" xr:uid="{00000000-0005-0000-0000-0000659F0000}"/>
    <cellStyle name="Comma 3 7 4 3 3 3 7 2" xfId="41089" xr:uid="{00000000-0005-0000-0000-0000669F0000}"/>
    <cellStyle name="Comma 3 7 4 3 3 3 8" xfId="25155" xr:uid="{00000000-0005-0000-0000-0000679F0000}"/>
    <cellStyle name="Comma 3 7 4 3 3 3 9" xfId="45985" xr:uid="{00000000-0005-0000-0000-0000689F0000}"/>
    <cellStyle name="Comma 3 7 4 3 3 4" xfId="3100" xr:uid="{00000000-0005-0000-0000-0000699F0000}"/>
    <cellStyle name="Comma 3 7 4 3 3 4 2" xfId="16587" xr:uid="{00000000-0005-0000-0000-00006A9F0000}"/>
    <cellStyle name="Comma 3 7 4 3 3 4 2 2" xfId="39865" xr:uid="{00000000-0005-0000-0000-00006B9F0000}"/>
    <cellStyle name="Comma 3 7 4 3 3 4 3" xfId="47209" xr:uid="{00000000-0005-0000-0000-00006C9F0000}"/>
    <cellStyle name="Comma 3 7 4 3 3 4 4" xfId="26379" xr:uid="{00000000-0005-0000-0000-00006D9F0000}"/>
    <cellStyle name="Comma 3 7 4 3 3 5" xfId="5548" xr:uid="{00000000-0005-0000-0000-00006E9F0000}"/>
    <cellStyle name="Comma 3 7 4 3 3 5 2" xfId="19035" xr:uid="{00000000-0005-0000-0000-00006F9F0000}"/>
    <cellStyle name="Comma 3 7 4 3 3 5 2 2" xfId="42313" xr:uid="{00000000-0005-0000-0000-0000709F0000}"/>
    <cellStyle name="Comma 3 7 4 3 3 5 3" xfId="28827" xr:uid="{00000000-0005-0000-0000-0000719F0000}"/>
    <cellStyle name="Comma 3 7 4 3 3 6" xfId="7996" xr:uid="{00000000-0005-0000-0000-0000729F0000}"/>
    <cellStyle name="Comma 3 7 4 3 3 6 2" xfId="31275" xr:uid="{00000000-0005-0000-0000-0000739F0000}"/>
    <cellStyle name="Comma 3 7 4 3 3 7" xfId="10444" xr:uid="{00000000-0005-0000-0000-0000749F0000}"/>
    <cellStyle name="Comma 3 7 4 3 3 7 2" xfId="33723" xr:uid="{00000000-0005-0000-0000-0000759F0000}"/>
    <cellStyle name="Comma 3 7 4 3 3 8" xfId="12892" xr:uid="{00000000-0005-0000-0000-0000769F0000}"/>
    <cellStyle name="Comma 3 7 4 3 3 8 2" xfId="36171" xr:uid="{00000000-0005-0000-0000-0000779F0000}"/>
    <cellStyle name="Comma 3 7 4 3 3 9" xfId="15363" xr:uid="{00000000-0005-0000-0000-0000789F0000}"/>
    <cellStyle name="Comma 3 7 4 3 3 9 2" xfId="38641" xr:uid="{00000000-0005-0000-0000-0000799F0000}"/>
    <cellStyle name="Comma 3 7 4 3 4" xfId="856" xr:uid="{00000000-0005-0000-0000-00007A9F0000}"/>
    <cellStyle name="Comma 3 7 4 3 4 10" xfId="44965" xr:uid="{00000000-0005-0000-0000-00007B9F0000}"/>
    <cellStyle name="Comma 3 7 4 3 4 11" xfId="21687" xr:uid="{00000000-0005-0000-0000-00007C9F0000}"/>
    <cellStyle name="Comma 3 7 4 3 4 2" xfId="2080" xr:uid="{00000000-0005-0000-0000-00007D9F0000}"/>
    <cellStyle name="Comma 3 7 4 3 4 2 10" xfId="22911" xr:uid="{00000000-0005-0000-0000-00007E9F0000}"/>
    <cellStyle name="Comma 3 7 4 3 4 2 2" xfId="4528" xr:uid="{00000000-0005-0000-0000-00007F9F0000}"/>
    <cellStyle name="Comma 3 7 4 3 4 2 2 2" xfId="20463" xr:uid="{00000000-0005-0000-0000-0000809F0000}"/>
    <cellStyle name="Comma 3 7 4 3 4 2 2 2 2" xfId="43741" xr:uid="{00000000-0005-0000-0000-0000819F0000}"/>
    <cellStyle name="Comma 3 7 4 3 4 2 2 3" xfId="48637" xr:uid="{00000000-0005-0000-0000-0000829F0000}"/>
    <cellStyle name="Comma 3 7 4 3 4 2 2 4" xfId="27807" xr:uid="{00000000-0005-0000-0000-0000839F0000}"/>
    <cellStyle name="Comma 3 7 4 3 4 2 3" xfId="6976" xr:uid="{00000000-0005-0000-0000-0000849F0000}"/>
    <cellStyle name="Comma 3 7 4 3 4 2 3 2" xfId="30255" xr:uid="{00000000-0005-0000-0000-0000859F0000}"/>
    <cellStyle name="Comma 3 7 4 3 4 2 4" xfId="9424" xr:uid="{00000000-0005-0000-0000-0000869F0000}"/>
    <cellStyle name="Comma 3 7 4 3 4 2 4 2" xfId="32703" xr:uid="{00000000-0005-0000-0000-0000879F0000}"/>
    <cellStyle name="Comma 3 7 4 3 4 2 5" xfId="11872" xr:uid="{00000000-0005-0000-0000-0000889F0000}"/>
    <cellStyle name="Comma 3 7 4 3 4 2 5 2" xfId="35151" xr:uid="{00000000-0005-0000-0000-0000899F0000}"/>
    <cellStyle name="Comma 3 7 4 3 4 2 6" xfId="14320" xr:uid="{00000000-0005-0000-0000-00008A9F0000}"/>
    <cellStyle name="Comma 3 7 4 3 4 2 6 2" xfId="37599" xr:uid="{00000000-0005-0000-0000-00008B9F0000}"/>
    <cellStyle name="Comma 3 7 4 3 4 2 7" xfId="18015" xr:uid="{00000000-0005-0000-0000-00008C9F0000}"/>
    <cellStyle name="Comma 3 7 4 3 4 2 7 2" xfId="41293" xr:uid="{00000000-0005-0000-0000-00008D9F0000}"/>
    <cellStyle name="Comma 3 7 4 3 4 2 8" xfId="25359" xr:uid="{00000000-0005-0000-0000-00008E9F0000}"/>
    <cellStyle name="Comma 3 7 4 3 4 2 9" xfId="46189" xr:uid="{00000000-0005-0000-0000-00008F9F0000}"/>
    <cellStyle name="Comma 3 7 4 3 4 3" xfId="3304" xr:uid="{00000000-0005-0000-0000-0000909F0000}"/>
    <cellStyle name="Comma 3 7 4 3 4 3 2" xfId="16791" xr:uid="{00000000-0005-0000-0000-0000919F0000}"/>
    <cellStyle name="Comma 3 7 4 3 4 3 2 2" xfId="40069" xr:uid="{00000000-0005-0000-0000-0000929F0000}"/>
    <cellStyle name="Comma 3 7 4 3 4 3 3" xfId="47413" xr:uid="{00000000-0005-0000-0000-0000939F0000}"/>
    <cellStyle name="Comma 3 7 4 3 4 3 4" xfId="26583" xr:uid="{00000000-0005-0000-0000-0000949F0000}"/>
    <cellStyle name="Comma 3 7 4 3 4 4" xfId="5752" xr:uid="{00000000-0005-0000-0000-0000959F0000}"/>
    <cellStyle name="Comma 3 7 4 3 4 4 2" xfId="19239" xr:uid="{00000000-0005-0000-0000-0000969F0000}"/>
    <cellStyle name="Comma 3 7 4 3 4 4 2 2" xfId="42517" xr:uid="{00000000-0005-0000-0000-0000979F0000}"/>
    <cellStyle name="Comma 3 7 4 3 4 4 3" xfId="29031" xr:uid="{00000000-0005-0000-0000-0000989F0000}"/>
    <cellStyle name="Comma 3 7 4 3 4 5" xfId="8200" xr:uid="{00000000-0005-0000-0000-0000999F0000}"/>
    <cellStyle name="Comma 3 7 4 3 4 5 2" xfId="31479" xr:uid="{00000000-0005-0000-0000-00009A9F0000}"/>
    <cellStyle name="Comma 3 7 4 3 4 6" xfId="10648" xr:uid="{00000000-0005-0000-0000-00009B9F0000}"/>
    <cellStyle name="Comma 3 7 4 3 4 6 2" xfId="33927" xr:uid="{00000000-0005-0000-0000-00009C9F0000}"/>
    <cellStyle name="Comma 3 7 4 3 4 7" xfId="13096" xr:uid="{00000000-0005-0000-0000-00009D9F0000}"/>
    <cellStyle name="Comma 3 7 4 3 4 7 2" xfId="36375" xr:uid="{00000000-0005-0000-0000-00009E9F0000}"/>
    <cellStyle name="Comma 3 7 4 3 4 8" xfId="15567" xr:uid="{00000000-0005-0000-0000-00009F9F0000}"/>
    <cellStyle name="Comma 3 7 4 3 4 8 2" xfId="38845" xr:uid="{00000000-0005-0000-0000-0000A09F0000}"/>
    <cellStyle name="Comma 3 7 4 3 4 9" xfId="24135" xr:uid="{00000000-0005-0000-0000-0000A19F0000}"/>
    <cellStyle name="Comma 3 7 4 3 5" xfId="1468" xr:uid="{00000000-0005-0000-0000-0000A29F0000}"/>
    <cellStyle name="Comma 3 7 4 3 5 10" xfId="22299" xr:uid="{00000000-0005-0000-0000-0000A39F0000}"/>
    <cellStyle name="Comma 3 7 4 3 5 2" xfId="3916" xr:uid="{00000000-0005-0000-0000-0000A49F0000}"/>
    <cellStyle name="Comma 3 7 4 3 5 2 2" xfId="19851" xr:uid="{00000000-0005-0000-0000-0000A59F0000}"/>
    <cellStyle name="Comma 3 7 4 3 5 2 2 2" xfId="43129" xr:uid="{00000000-0005-0000-0000-0000A69F0000}"/>
    <cellStyle name="Comma 3 7 4 3 5 2 3" xfId="48025" xr:uid="{00000000-0005-0000-0000-0000A79F0000}"/>
    <cellStyle name="Comma 3 7 4 3 5 2 4" xfId="27195" xr:uid="{00000000-0005-0000-0000-0000A89F0000}"/>
    <cellStyle name="Comma 3 7 4 3 5 3" xfId="6364" xr:uid="{00000000-0005-0000-0000-0000A99F0000}"/>
    <cellStyle name="Comma 3 7 4 3 5 3 2" xfId="29643" xr:uid="{00000000-0005-0000-0000-0000AA9F0000}"/>
    <cellStyle name="Comma 3 7 4 3 5 4" xfId="8812" xr:uid="{00000000-0005-0000-0000-0000AB9F0000}"/>
    <cellStyle name="Comma 3 7 4 3 5 4 2" xfId="32091" xr:uid="{00000000-0005-0000-0000-0000AC9F0000}"/>
    <cellStyle name="Comma 3 7 4 3 5 5" xfId="11260" xr:uid="{00000000-0005-0000-0000-0000AD9F0000}"/>
    <cellStyle name="Comma 3 7 4 3 5 5 2" xfId="34539" xr:uid="{00000000-0005-0000-0000-0000AE9F0000}"/>
    <cellStyle name="Comma 3 7 4 3 5 6" xfId="13708" xr:uid="{00000000-0005-0000-0000-0000AF9F0000}"/>
    <cellStyle name="Comma 3 7 4 3 5 6 2" xfId="36987" xr:uid="{00000000-0005-0000-0000-0000B09F0000}"/>
    <cellStyle name="Comma 3 7 4 3 5 7" xfId="17403" xr:uid="{00000000-0005-0000-0000-0000B19F0000}"/>
    <cellStyle name="Comma 3 7 4 3 5 7 2" xfId="40681" xr:uid="{00000000-0005-0000-0000-0000B29F0000}"/>
    <cellStyle name="Comma 3 7 4 3 5 8" xfId="24747" xr:uid="{00000000-0005-0000-0000-0000B39F0000}"/>
    <cellStyle name="Comma 3 7 4 3 5 9" xfId="45577" xr:uid="{00000000-0005-0000-0000-0000B49F0000}"/>
    <cellStyle name="Comma 3 7 4 3 6" xfId="2692" xr:uid="{00000000-0005-0000-0000-0000B59F0000}"/>
    <cellStyle name="Comma 3 7 4 3 6 2" xfId="16179" xr:uid="{00000000-0005-0000-0000-0000B69F0000}"/>
    <cellStyle name="Comma 3 7 4 3 6 2 2" xfId="39457" xr:uid="{00000000-0005-0000-0000-0000B79F0000}"/>
    <cellStyle name="Comma 3 7 4 3 6 3" xfId="46801" xr:uid="{00000000-0005-0000-0000-0000B89F0000}"/>
    <cellStyle name="Comma 3 7 4 3 6 4" xfId="25971" xr:uid="{00000000-0005-0000-0000-0000B99F0000}"/>
    <cellStyle name="Comma 3 7 4 3 7" xfId="5140" xr:uid="{00000000-0005-0000-0000-0000BA9F0000}"/>
    <cellStyle name="Comma 3 7 4 3 7 2" xfId="18627" xr:uid="{00000000-0005-0000-0000-0000BB9F0000}"/>
    <cellStyle name="Comma 3 7 4 3 7 2 2" xfId="41905" xr:uid="{00000000-0005-0000-0000-0000BC9F0000}"/>
    <cellStyle name="Comma 3 7 4 3 7 3" xfId="28419" xr:uid="{00000000-0005-0000-0000-0000BD9F0000}"/>
    <cellStyle name="Comma 3 7 4 3 8" xfId="7588" xr:uid="{00000000-0005-0000-0000-0000BE9F0000}"/>
    <cellStyle name="Comma 3 7 4 3 8 2" xfId="30867" xr:uid="{00000000-0005-0000-0000-0000BF9F0000}"/>
    <cellStyle name="Comma 3 7 4 3 9" xfId="10036" xr:uid="{00000000-0005-0000-0000-0000C09F0000}"/>
    <cellStyle name="Comma 3 7 4 3 9 2" xfId="33315" xr:uid="{00000000-0005-0000-0000-0000C19F0000}"/>
    <cellStyle name="Comma 3 7 4 4" xfId="312" xr:uid="{00000000-0005-0000-0000-0000C29F0000}"/>
    <cellStyle name="Comma 3 7 4 4 10" xfId="23591" xr:uid="{00000000-0005-0000-0000-0000C39F0000}"/>
    <cellStyle name="Comma 3 7 4 4 11" xfId="44421" xr:uid="{00000000-0005-0000-0000-0000C49F0000}"/>
    <cellStyle name="Comma 3 7 4 4 12" xfId="21143" xr:uid="{00000000-0005-0000-0000-0000C59F0000}"/>
    <cellStyle name="Comma 3 7 4 4 2" xfId="924" xr:uid="{00000000-0005-0000-0000-0000C69F0000}"/>
    <cellStyle name="Comma 3 7 4 4 2 10" xfId="45033" xr:uid="{00000000-0005-0000-0000-0000C79F0000}"/>
    <cellStyle name="Comma 3 7 4 4 2 11" xfId="21755" xr:uid="{00000000-0005-0000-0000-0000C89F0000}"/>
    <cellStyle name="Comma 3 7 4 4 2 2" xfId="2148" xr:uid="{00000000-0005-0000-0000-0000C99F0000}"/>
    <cellStyle name="Comma 3 7 4 4 2 2 10" xfId="22979" xr:uid="{00000000-0005-0000-0000-0000CA9F0000}"/>
    <cellStyle name="Comma 3 7 4 4 2 2 2" xfId="4596" xr:uid="{00000000-0005-0000-0000-0000CB9F0000}"/>
    <cellStyle name="Comma 3 7 4 4 2 2 2 2" xfId="20531" xr:uid="{00000000-0005-0000-0000-0000CC9F0000}"/>
    <cellStyle name="Comma 3 7 4 4 2 2 2 2 2" xfId="43809" xr:uid="{00000000-0005-0000-0000-0000CD9F0000}"/>
    <cellStyle name="Comma 3 7 4 4 2 2 2 3" xfId="48705" xr:uid="{00000000-0005-0000-0000-0000CE9F0000}"/>
    <cellStyle name="Comma 3 7 4 4 2 2 2 4" xfId="27875" xr:uid="{00000000-0005-0000-0000-0000CF9F0000}"/>
    <cellStyle name="Comma 3 7 4 4 2 2 3" xfId="7044" xr:uid="{00000000-0005-0000-0000-0000D09F0000}"/>
    <cellStyle name="Comma 3 7 4 4 2 2 3 2" xfId="30323" xr:uid="{00000000-0005-0000-0000-0000D19F0000}"/>
    <cellStyle name="Comma 3 7 4 4 2 2 4" xfId="9492" xr:uid="{00000000-0005-0000-0000-0000D29F0000}"/>
    <cellStyle name="Comma 3 7 4 4 2 2 4 2" xfId="32771" xr:uid="{00000000-0005-0000-0000-0000D39F0000}"/>
    <cellStyle name="Comma 3 7 4 4 2 2 5" xfId="11940" xr:uid="{00000000-0005-0000-0000-0000D49F0000}"/>
    <cellStyle name="Comma 3 7 4 4 2 2 5 2" xfId="35219" xr:uid="{00000000-0005-0000-0000-0000D59F0000}"/>
    <cellStyle name="Comma 3 7 4 4 2 2 6" xfId="14388" xr:uid="{00000000-0005-0000-0000-0000D69F0000}"/>
    <cellStyle name="Comma 3 7 4 4 2 2 6 2" xfId="37667" xr:uid="{00000000-0005-0000-0000-0000D79F0000}"/>
    <cellStyle name="Comma 3 7 4 4 2 2 7" xfId="18083" xr:uid="{00000000-0005-0000-0000-0000D89F0000}"/>
    <cellStyle name="Comma 3 7 4 4 2 2 7 2" xfId="41361" xr:uid="{00000000-0005-0000-0000-0000D99F0000}"/>
    <cellStyle name="Comma 3 7 4 4 2 2 8" xfId="25427" xr:uid="{00000000-0005-0000-0000-0000DA9F0000}"/>
    <cellStyle name="Comma 3 7 4 4 2 2 9" xfId="46257" xr:uid="{00000000-0005-0000-0000-0000DB9F0000}"/>
    <cellStyle name="Comma 3 7 4 4 2 3" xfId="3372" xr:uid="{00000000-0005-0000-0000-0000DC9F0000}"/>
    <cellStyle name="Comma 3 7 4 4 2 3 2" xfId="16859" xr:uid="{00000000-0005-0000-0000-0000DD9F0000}"/>
    <cellStyle name="Comma 3 7 4 4 2 3 2 2" xfId="40137" xr:uid="{00000000-0005-0000-0000-0000DE9F0000}"/>
    <cellStyle name="Comma 3 7 4 4 2 3 3" xfId="47481" xr:uid="{00000000-0005-0000-0000-0000DF9F0000}"/>
    <cellStyle name="Comma 3 7 4 4 2 3 4" xfId="26651" xr:uid="{00000000-0005-0000-0000-0000E09F0000}"/>
    <cellStyle name="Comma 3 7 4 4 2 4" xfId="5820" xr:uid="{00000000-0005-0000-0000-0000E19F0000}"/>
    <cellStyle name="Comma 3 7 4 4 2 4 2" xfId="19307" xr:uid="{00000000-0005-0000-0000-0000E29F0000}"/>
    <cellStyle name="Comma 3 7 4 4 2 4 2 2" xfId="42585" xr:uid="{00000000-0005-0000-0000-0000E39F0000}"/>
    <cellStyle name="Comma 3 7 4 4 2 4 3" xfId="29099" xr:uid="{00000000-0005-0000-0000-0000E49F0000}"/>
    <cellStyle name="Comma 3 7 4 4 2 5" xfId="8268" xr:uid="{00000000-0005-0000-0000-0000E59F0000}"/>
    <cellStyle name="Comma 3 7 4 4 2 5 2" xfId="31547" xr:uid="{00000000-0005-0000-0000-0000E69F0000}"/>
    <cellStyle name="Comma 3 7 4 4 2 6" xfId="10716" xr:uid="{00000000-0005-0000-0000-0000E79F0000}"/>
    <cellStyle name="Comma 3 7 4 4 2 6 2" xfId="33995" xr:uid="{00000000-0005-0000-0000-0000E89F0000}"/>
    <cellStyle name="Comma 3 7 4 4 2 7" xfId="13164" xr:uid="{00000000-0005-0000-0000-0000E99F0000}"/>
    <cellStyle name="Comma 3 7 4 4 2 7 2" xfId="36443" xr:uid="{00000000-0005-0000-0000-0000EA9F0000}"/>
    <cellStyle name="Comma 3 7 4 4 2 8" xfId="15635" xr:uid="{00000000-0005-0000-0000-0000EB9F0000}"/>
    <cellStyle name="Comma 3 7 4 4 2 8 2" xfId="38913" xr:uid="{00000000-0005-0000-0000-0000EC9F0000}"/>
    <cellStyle name="Comma 3 7 4 4 2 9" xfId="24203" xr:uid="{00000000-0005-0000-0000-0000ED9F0000}"/>
    <cellStyle name="Comma 3 7 4 4 3" xfId="1536" xr:uid="{00000000-0005-0000-0000-0000EE9F0000}"/>
    <cellStyle name="Comma 3 7 4 4 3 10" xfId="22367" xr:uid="{00000000-0005-0000-0000-0000EF9F0000}"/>
    <cellStyle name="Comma 3 7 4 4 3 2" xfId="3984" xr:uid="{00000000-0005-0000-0000-0000F09F0000}"/>
    <cellStyle name="Comma 3 7 4 4 3 2 2" xfId="19919" xr:uid="{00000000-0005-0000-0000-0000F19F0000}"/>
    <cellStyle name="Comma 3 7 4 4 3 2 2 2" xfId="43197" xr:uid="{00000000-0005-0000-0000-0000F29F0000}"/>
    <cellStyle name="Comma 3 7 4 4 3 2 3" xfId="48093" xr:uid="{00000000-0005-0000-0000-0000F39F0000}"/>
    <cellStyle name="Comma 3 7 4 4 3 2 4" xfId="27263" xr:uid="{00000000-0005-0000-0000-0000F49F0000}"/>
    <cellStyle name="Comma 3 7 4 4 3 3" xfId="6432" xr:uid="{00000000-0005-0000-0000-0000F59F0000}"/>
    <cellStyle name="Comma 3 7 4 4 3 3 2" xfId="29711" xr:uid="{00000000-0005-0000-0000-0000F69F0000}"/>
    <cellStyle name="Comma 3 7 4 4 3 4" xfId="8880" xr:uid="{00000000-0005-0000-0000-0000F79F0000}"/>
    <cellStyle name="Comma 3 7 4 4 3 4 2" xfId="32159" xr:uid="{00000000-0005-0000-0000-0000F89F0000}"/>
    <cellStyle name="Comma 3 7 4 4 3 5" xfId="11328" xr:uid="{00000000-0005-0000-0000-0000F99F0000}"/>
    <cellStyle name="Comma 3 7 4 4 3 5 2" xfId="34607" xr:uid="{00000000-0005-0000-0000-0000FA9F0000}"/>
    <cellStyle name="Comma 3 7 4 4 3 6" xfId="13776" xr:uid="{00000000-0005-0000-0000-0000FB9F0000}"/>
    <cellStyle name="Comma 3 7 4 4 3 6 2" xfId="37055" xr:uid="{00000000-0005-0000-0000-0000FC9F0000}"/>
    <cellStyle name="Comma 3 7 4 4 3 7" xfId="17471" xr:uid="{00000000-0005-0000-0000-0000FD9F0000}"/>
    <cellStyle name="Comma 3 7 4 4 3 7 2" xfId="40749" xr:uid="{00000000-0005-0000-0000-0000FE9F0000}"/>
    <cellStyle name="Comma 3 7 4 4 3 8" xfId="24815" xr:uid="{00000000-0005-0000-0000-0000FF9F0000}"/>
    <cellStyle name="Comma 3 7 4 4 3 9" xfId="45645" xr:uid="{00000000-0005-0000-0000-000000A00000}"/>
    <cellStyle name="Comma 3 7 4 4 4" xfId="2760" xr:uid="{00000000-0005-0000-0000-000001A00000}"/>
    <cellStyle name="Comma 3 7 4 4 4 2" xfId="16247" xr:uid="{00000000-0005-0000-0000-000002A00000}"/>
    <cellStyle name="Comma 3 7 4 4 4 2 2" xfId="39525" xr:uid="{00000000-0005-0000-0000-000003A00000}"/>
    <cellStyle name="Comma 3 7 4 4 4 3" xfId="46869" xr:uid="{00000000-0005-0000-0000-000004A00000}"/>
    <cellStyle name="Comma 3 7 4 4 4 4" xfId="26039" xr:uid="{00000000-0005-0000-0000-000005A00000}"/>
    <cellStyle name="Comma 3 7 4 4 5" xfId="5208" xr:uid="{00000000-0005-0000-0000-000006A00000}"/>
    <cellStyle name="Comma 3 7 4 4 5 2" xfId="18695" xr:uid="{00000000-0005-0000-0000-000007A00000}"/>
    <cellStyle name="Comma 3 7 4 4 5 2 2" xfId="41973" xr:uid="{00000000-0005-0000-0000-000008A00000}"/>
    <cellStyle name="Comma 3 7 4 4 5 3" xfId="28487" xr:uid="{00000000-0005-0000-0000-000009A00000}"/>
    <cellStyle name="Comma 3 7 4 4 6" xfId="7656" xr:uid="{00000000-0005-0000-0000-00000AA00000}"/>
    <cellStyle name="Comma 3 7 4 4 6 2" xfId="30935" xr:uid="{00000000-0005-0000-0000-00000BA00000}"/>
    <cellStyle name="Comma 3 7 4 4 7" xfId="10104" xr:uid="{00000000-0005-0000-0000-00000CA00000}"/>
    <cellStyle name="Comma 3 7 4 4 7 2" xfId="33383" xr:uid="{00000000-0005-0000-0000-00000DA00000}"/>
    <cellStyle name="Comma 3 7 4 4 8" xfId="12552" xr:uid="{00000000-0005-0000-0000-00000EA00000}"/>
    <cellStyle name="Comma 3 7 4 4 8 2" xfId="35831" xr:uid="{00000000-0005-0000-0000-00000FA00000}"/>
    <cellStyle name="Comma 3 7 4 4 9" xfId="15023" xr:uid="{00000000-0005-0000-0000-000010A00000}"/>
    <cellStyle name="Comma 3 7 4 4 9 2" xfId="38301" xr:uid="{00000000-0005-0000-0000-000011A00000}"/>
    <cellStyle name="Comma 3 7 4 5" xfId="516" xr:uid="{00000000-0005-0000-0000-000012A00000}"/>
    <cellStyle name="Comma 3 7 4 5 10" xfId="23795" xr:uid="{00000000-0005-0000-0000-000013A00000}"/>
    <cellStyle name="Comma 3 7 4 5 11" xfId="44625" xr:uid="{00000000-0005-0000-0000-000014A00000}"/>
    <cellStyle name="Comma 3 7 4 5 12" xfId="21347" xr:uid="{00000000-0005-0000-0000-000015A00000}"/>
    <cellStyle name="Comma 3 7 4 5 2" xfId="1128" xr:uid="{00000000-0005-0000-0000-000016A00000}"/>
    <cellStyle name="Comma 3 7 4 5 2 10" xfId="45237" xr:uid="{00000000-0005-0000-0000-000017A00000}"/>
    <cellStyle name="Comma 3 7 4 5 2 11" xfId="21959" xr:uid="{00000000-0005-0000-0000-000018A00000}"/>
    <cellStyle name="Comma 3 7 4 5 2 2" xfId="2352" xr:uid="{00000000-0005-0000-0000-000019A00000}"/>
    <cellStyle name="Comma 3 7 4 5 2 2 10" xfId="23183" xr:uid="{00000000-0005-0000-0000-00001AA00000}"/>
    <cellStyle name="Comma 3 7 4 5 2 2 2" xfId="4800" xr:uid="{00000000-0005-0000-0000-00001BA00000}"/>
    <cellStyle name="Comma 3 7 4 5 2 2 2 2" xfId="20735" xr:uid="{00000000-0005-0000-0000-00001CA00000}"/>
    <cellStyle name="Comma 3 7 4 5 2 2 2 2 2" xfId="44013" xr:uid="{00000000-0005-0000-0000-00001DA00000}"/>
    <cellStyle name="Comma 3 7 4 5 2 2 2 3" xfId="48909" xr:uid="{00000000-0005-0000-0000-00001EA00000}"/>
    <cellStyle name="Comma 3 7 4 5 2 2 2 4" xfId="28079" xr:uid="{00000000-0005-0000-0000-00001FA00000}"/>
    <cellStyle name="Comma 3 7 4 5 2 2 3" xfId="7248" xr:uid="{00000000-0005-0000-0000-000020A00000}"/>
    <cellStyle name="Comma 3 7 4 5 2 2 3 2" xfId="30527" xr:uid="{00000000-0005-0000-0000-000021A00000}"/>
    <cellStyle name="Comma 3 7 4 5 2 2 4" xfId="9696" xr:uid="{00000000-0005-0000-0000-000022A00000}"/>
    <cellStyle name="Comma 3 7 4 5 2 2 4 2" xfId="32975" xr:uid="{00000000-0005-0000-0000-000023A00000}"/>
    <cellStyle name="Comma 3 7 4 5 2 2 5" xfId="12144" xr:uid="{00000000-0005-0000-0000-000024A00000}"/>
    <cellStyle name="Comma 3 7 4 5 2 2 5 2" xfId="35423" xr:uid="{00000000-0005-0000-0000-000025A00000}"/>
    <cellStyle name="Comma 3 7 4 5 2 2 6" xfId="14592" xr:uid="{00000000-0005-0000-0000-000026A00000}"/>
    <cellStyle name="Comma 3 7 4 5 2 2 6 2" xfId="37871" xr:uid="{00000000-0005-0000-0000-000027A00000}"/>
    <cellStyle name="Comma 3 7 4 5 2 2 7" xfId="18287" xr:uid="{00000000-0005-0000-0000-000028A00000}"/>
    <cellStyle name="Comma 3 7 4 5 2 2 7 2" xfId="41565" xr:uid="{00000000-0005-0000-0000-000029A00000}"/>
    <cellStyle name="Comma 3 7 4 5 2 2 8" xfId="25631" xr:uid="{00000000-0005-0000-0000-00002AA00000}"/>
    <cellStyle name="Comma 3 7 4 5 2 2 9" xfId="46461" xr:uid="{00000000-0005-0000-0000-00002BA00000}"/>
    <cellStyle name="Comma 3 7 4 5 2 3" xfId="3576" xr:uid="{00000000-0005-0000-0000-00002CA00000}"/>
    <cellStyle name="Comma 3 7 4 5 2 3 2" xfId="17063" xr:uid="{00000000-0005-0000-0000-00002DA00000}"/>
    <cellStyle name="Comma 3 7 4 5 2 3 2 2" xfId="40341" xr:uid="{00000000-0005-0000-0000-00002EA00000}"/>
    <cellStyle name="Comma 3 7 4 5 2 3 3" xfId="47685" xr:uid="{00000000-0005-0000-0000-00002FA00000}"/>
    <cellStyle name="Comma 3 7 4 5 2 3 4" xfId="26855" xr:uid="{00000000-0005-0000-0000-000030A00000}"/>
    <cellStyle name="Comma 3 7 4 5 2 4" xfId="6024" xr:uid="{00000000-0005-0000-0000-000031A00000}"/>
    <cellStyle name="Comma 3 7 4 5 2 4 2" xfId="19511" xr:uid="{00000000-0005-0000-0000-000032A00000}"/>
    <cellStyle name="Comma 3 7 4 5 2 4 2 2" xfId="42789" xr:uid="{00000000-0005-0000-0000-000033A00000}"/>
    <cellStyle name="Comma 3 7 4 5 2 4 3" xfId="29303" xr:uid="{00000000-0005-0000-0000-000034A00000}"/>
    <cellStyle name="Comma 3 7 4 5 2 5" xfId="8472" xr:uid="{00000000-0005-0000-0000-000035A00000}"/>
    <cellStyle name="Comma 3 7 4 5 2 5 2" xfId="31751" xr:uid="{00000000-0005-0000-0000-000036A00000}"/>
    <cellStyle name="Comma 3 7 4 5 2 6" xfId="10920" xr:uid="{00000000-0005-0000-0000-000037A00000}"/>
    <cellStyle name="Comma 3 7 4 5 2 6 2" xfId="34199" xr:uid="{00000000-0005-0000-0000-000038A00000}"/>
    <cellStyle name="Comma 3 7 4 5 2 7" xfId="13368" xr:uid="{00000000-0005-0000-0000-000039A00000}"/>
    <cellStyle name="Comma 3 7 4 5 2 7 2" xfId="36647" xr:uid="{00000000-0005-0000-0000-00003AA00000}"/>
    <cellStyle name="Comma 3 7 4 5 2 8" xfId="15839" xr:uid="{00000000-0005-0000-0000-00003BA00000}"/>
    <cellStyle name="Comma 3 7 4 5 2 8 2" xfId="39117" xr:uid="{00000000-0005-0000-0000-00003CA00000}"/>
    <cellStyle name="Comma 3 7 4 5 2 9" xfId="24407" xr:uid="{00000000-0005-0000-0000-00003DA00000}"/>
    <cellStyle name="Comma 3 7 4 5 3" xfId="1740" xr:uid="{00000000-0005-0000-0000-00003EA00000}"/>
    <cellStyle name="Comma 3 7 4 5 3 10" xfId="22571" xr:uid="{00000000-0005-0000-0000-00003FA00000}"/>
    <cellStyle name="Comma 3 7 4 5 3 2" xfId="4188" xr:uid="{00000000-0005-0000-0000-000040A00000}"/>
    <cellStyle name="Comma 3 7 4 5 3 2 2" xfId="20123" xr:uid="{00000000-0005-0000-0000-000041A00000}"/>
    <cellStyle name="Comma 3 7 4 5 3 2 2 2" xfId="43401" xr:uid="{00000000-0005-0000-0000-000042A00000}"/>
    <cellStyle name="Comma 3 7 4 5 3 2 3" xfId="48297" xr:uid="{00000000-0005-0000-0000-000043A00000}"/>
    <cellStyle name="Comma 3 7 4 5 3 2 4" xfId="27467" xr:uid="{00000000-0005-0000-0000-000044A00000}"/>
    <cellStyle name="Comma 3 7 4 5 3 3" xfId="6636" xr:uid="{00000000-0005-0000-0000-000045A00000}"/>
    <cellStyle name="Comma 3 7 4 5 3 3 2" xfId="29915" xr:uid="{00000000-0005-0000-0000-000046A00000}"/>
    <cellStyle name="Comma 3 7 4 5 3 4" xfId="9084" xr:uid="{00000000-0005-0000-0000-000047A00000}"/>
    <cellStyle name="Comma 3 7 4 5 3 4 2" xfId="32363" xr:uid="{00000000-0005-0000-0000-000048A00000}"/>
    <cellStyle name="Comma 3 7 4 5 3 5" xfId="11532" xr:uid="{00000000-0005-0000-0000-000049A00000}"/>
    <cellStyle name="Comma 3 7 4 5 3 5 2" xfId="34811" xr:uid="{00000000-0005-0000-0000-00004AA00000}"/>
    <cellStyle name="Comma 3 7 4 5 3 6" xfId="13980" xr:uid="{00000000-0005-0000-0000-00004BA00000}"/>
    <cellStyle name="Comma 3 7 4 5 3 6 2" xfId="37259" xr:uid="{00000000-0005-0000-0000-00004CA00000}"/>
    <cellStyle name="Comma 3 7 4 5 3 7" xfId="17675" xr:uid="{00000000-0005-0000-0000-00004DA00000}"/>
    <cellStyle name="Comma 3 7 4 5 3 7 2" xfId="40953" xr:uid="{00000000-0005-0000-0000-00004EA00000}"/>
    <cellStyle name="Comma 3 7 4 5 3 8" xfId="25019" xr:uid="{00000000-0005-0000-0000-00004FA00000}"/>
    <cellStyle name="Comma 3 7 4 5 3 9" xfId="45849" xr:uid="{00000000-0005-0000-0000-000050A00000}"/>
    <cellStyle name="Comma 3 7 4 5 4" xfId="2964" xr:uid="{00000000-0005-0000-0000-000051A00000}"/>
    <cellStyle name="Comma 3 7 4 5 4 2" xfId="16451" xr:uid="{00000000-0005-0000-0000-000052A00000}"/>
    <cellStyle name="Comma 3 7 4 5 4 2 2" xfId="39729" xr:uid="{00000000-0005-0000-0000-000053A00000}"/>
    <cellStyle name="Comma 3 7 4 5 4 3" xfId="47073" xr:uid="{00000000-0005-0000-0000-000054A00000}"/>
    <cellStyle name="Comma 3 7 4 5 4 4" xfId="26243" xr:uid="{00000000-0005-0000-0000-000055A00000}"/>
    <cellStyle name="Comma 3 7 4 5 5" xfId="5412" xr:uid="{00000000-0005-0000-0000-000056A00000}"/>
    <cellStyle name="Comma 3 7 4 5 5 2" xfId="18899" xr:uid="{00000000-0005-0000-0000-000057A00000}"/>
    <cellStyle name="Comma 3 7 4 5 5 2 2" xfId="42177" xr:uid="{00000000-0005-0000-0000-000058A00000}"/>
    <cellStyle name="Comma 3 7 4 5 5 3" xfId="28691" xr:uid="{00000000-0005-0000-0000-000059A00000}"/>
    <cellStyle name="Comma 3 7 4 5 6" xfId="7860" xr:uid="{00000000-0005-0000-0000-00005AA00000}"/>
    <cellStyle name="Comma 3 7 4 5 6 2" xfId="31139" xr:uid="{00000000-0005-0000-0000-00005BA00000}"/>
    <cellStyle name="Comma 3 7 4 5 7" xfId="10308" xr:uid="{00000000-0005-0000-0000-00005CA00000}"/>
    <cellStyle name="Comma 3 7 4 5 7 2" xfId="33587" xr:uid="{00000000-0005-0000-0000-00005DA00000}"/>
    <cellStyle name="Comma 3 7 4 5 8" xfId="12756" xr:uid="{00000000-0005-0000-0000-00005EA00000}"/>
    <cellStyle name="Comma 3 7 4 5 8 2" xfId="36035" xr:uid="{00000000-0005-0000-0000-00005FA00000}"/>
    <cellStyle name="Comma 3 7 4 5 9" xfId="15227" xr:uid="{00000000-0005-0000-0000-000060A00000}"/>
    <cellStyle name="Comma 3 7 4 5 9 2" xfId="38505" xr:uid="{00000000-0005-0000-0000-000061A00000}"/>
    <cellStyle name="Comma 3 7 4 6" xfId="720" xr:uid="{00000000-0005-0000-0000-000062A00000}"/>
    <cellStyle name="Comma 3 7 4 6 10" xfId="44829" xr:uid="{00000000-0005-0000-0000-000063A00000}"/>
    <cellStyle name="Comma 3 7 4 6 11" xfId="21551" xr:uid="{00000000-0005-0000-0000-000064A00000}"/>
    <cellStyle name="Comma 3 7 4 6 2" xfId="1944" xr:uid="{00000000-0005-0000-0000-000065A00000}"/>
    <cellStyle name="Comma 3 7 4 6 2 10" xfId="22775" xr:uid="{00000000-0005-0000-0000-000066A00000}"/>
    <cellStyle name="Comma 3 7 4 6 2 2" xfId="4392" xr:uid="{00000000-0005-0000-0000-000067A00000}"/>
    <cellStyle name="Comma 3 7 4 6 2 2 2" xfId="20327" xr:uid="{00000000-0005-0000-0000-000068A00000}"/>
    <cellStyle name="Comma 3 7 4 6 2 2 2 2" xfId="43605" xr:uid="{00000000-0005-0000-0000-000069A00000}"/>
    <cellStyle name="Comma 3 7 4 6 2 2 3" xfId="48501" xr:uid="{00000000-0005-0000-0000-00006AA00000}"/>
    <cellStyle name="Comma 3 7 4 6 2 2 4" xfId="27671" xr:uid="{00000000-0005-0000-0000-00006BA00000}"/>
    <cellStyle name="Comma 3 7 4 6 2 3" xfId="6840" xr:uid="{00000000-0005-0000-0000-00006CA00000}"/>
    <cellStyle name="Comma 3 7 4 6 2 3 2" xfId="30119" xr:uid="{00000000-0005-0000-0000-00006DA00000}"/>
    <cellStyle name="Comma 3 7 4 6 2 4" xfId="9288" xr:uid="{00000000-0005-0000-0000-00006EA00000}"/>
    <cellStyle name="Comma 3 7 4 6 2 4 2" xfId="32567" xr:uid="{00000000-0005-0000-0000-00006FA00000}"/>
    <cellStyle name="Comma 3 7 4 6 2 5" xfId="11736" xr:uid="{00000000-0005-0000-0000-000070A00000}"/>
    <cellStyle name="Comma 3 7 4 6 2 5 2" xfId="35015" xr:uid="{00000000-0005-0000-0000-000071A00000}"/>
    <cellStyle name="Comma 3 7 4 6 2 6" xfId="14184" xr:uid="{00000000-0005-0000-0000-000072A00000}"/>
    <cellStyle name="Comma 3 7 4 6 2 6 2" xfId="37463" xr:uid="{00000000-0005-0000-0000-000073A00000}"/>
    <cellStyle name="Comma 3 7 4 6 2 7" xfId="17879" xr:uid="{00000000-0005-0000-0000-000074A00000}"/>
    <cellStyle name="Comma 3 7 4 6 2 7 2" xfId="41157" xr:uid="{00000000-0005-0000-0000-000075A00000}"/>
    <cellStyle name="Comma 3 7 4 6 2 8" xfId="25223" xr:uid="{00000000-0005-0000-0000-000076A00000}"/>
    <cellStyle name="Comma 3 7 4 6 2 9" xfId="46053" xr:uid="{00000000-0005-0000-0000-000077A00000}"/>
    <cellStyle name="Comma 3 7 4 6 3" xfId="3168" xr:uid="{00000000-0005-0000-0000-000078A00000}"/>
    <cellStyle name="Comma 3 7 4 6 3 2" xfId="16655" xr:uid="{00000000-0005-0000-0000-000079A00000}"/>
    <cellStyle name="Comma 3 7 4 6 3 2 2" xfId="39933" xr:uid="{00000000-0005-0000-0000-00007AA00000}"/>
    <cellStyle name="Comma 3 7 4 6 3 3" xfId="47277" xr:uid="{00000000-0005-0000-0000-00007BA00000}"/>
    <cellStyle name="Comma 3 7 4 6 3 4" xfId="26447" xr:uid="{00000000-0005-0000-0000-00007CA00000}"/>
    <cellStyle name="Comma 3 7 4 6 4" xfId="5616" xr:uid="{00000000-0005-0000-0000-00007DA00000}"/>
    <cellStyle name="Comma 3 7 4 6 4 2" xfId="19103" xr:uid="{00000000-0005-0000-0000-00007EA00000}"/>
    <cellStyle name="Comma 3 7 4 6 4 2 2" xfId="42381" xr:uid="{00000000-0005-0000-0000-00007FA00000}"/>
    <cellStyle name="Comma 3 7 4 6 4 3" xfId="28895" xr:uid="{00000000-0005-0000-0000-000080A00000}"/>
    <cellStyle name="Comma 3 7 4 6 5" xfId="8064" xr:uid="{00000000-0005-0000-0000-000081A00000}"/>
    <cellStyle name="Comma 3 7 4 6 5 2" xfId="31343" xr:uid="{00000000-0005-0000-0000-000082A00000}"/>
    <cellStyle name="Comma 3 7 4 6 6" xfId="10512" xr:uid="{00000000-0005-0000-0000-000083A00000}"/>
    <cellStyle name="Comma 3 7 4 6 6 2" xfId="33791" xr:uid="{00000000-0005-0000-0000-000084A00000}"/>
    <cellStyle name="Comma 3 7 4 6 7" xfId="12960" xr:uid="{00000000-0005-0000-0000-000085A00000}"/>
    <cellStyle name="Comma 3 7 4 6 7 2" xfId="36239" xr:uid="{00000000-0005-0000-0000-000086A00000}"/>
    <cellStyle name="Comma 3 7 4 6 8" xfId="15431" xr:uid="{00000000-0005-0000-0000-000087A00000}"/>
    <cellStyle name="Comma 3 7 4 6 8 2" xfId="38709" xr:uid="{00000000-0005-0000-0000-000088A00000}"/>
    <cellStyle name="Comma 3 7 4 6 9" xfId="23999" xr:uid="{00000000-0005-0000-0000-000089A00000}"/>
    <cellStyle name="Comma 3 7 4 7" xfId="1332" xr:uid="{00000000-0005-0000-0000-00008AA00000}"/>
    <cellStyle name="Comma 3 7 4 7 10" xfId="22163" xr:uid="{00000000-0005-0000-0000-00008BA00000}"/>
    <cellStyle name="Comma 3 7 4 7 2" xfId="3780" xr:uid="{00000000-0005-0000-0000-00008CA00000}"/>
    <cellStyle name="Comma 3 7 4 7 2 2" xfId="19715" xr:uid="{00000000-0005-0000-0000-00008DA00000}"/>
    <cellStyle name="Comma 3 7 4 7 2 2 2" xfId="42993" xr:uid="{00000000-0005-0000-0000-00008EA00000}"/>
    <cellStyle name="Comma 3 7 4 7 2 3" xfId="47889" xr:uid="{00000000-0005-0000-0000-00008FA00000}"/>
    <cellStyle name="Comma 3 7 4 7 2 4" xfId="27059" xr:uid="{00000000-0005-0000-0000-000090A00000}"/>
    <cellStyle name="Comma 3 7 4 7 3" xfId="6228" xr:uid="{00000000-0005-0000-0000-000091A00000}"/>
    <cellStyle name="Comma 3 7 4 7 3 2" xfId="29507" xr:uid="{00000000-0005-0000-0000-000092A00000}"/>
    <cellStyle name="Comma 3 7 4 7 4" xfId="8676" xr:uid="{00000000-0005-0000-0000-000093A00000}"/>
    <cellStyle name="Comma 3 7 4 7 4 2" xfId="31955" xr:uid="{00000000-0005-0000-0000-000094A00000}"/>
    <cellStyle name="Comma 3 7 4 7 5" xfId="11124" xr:uid="{00000000-0005-0000-0000-000095A00000}"/>
    <cellStyle name="Comma 3 7 4 7 5 2" xfId="34403" xr:uid="{00000000-0005-0000-0000-000096A00000}"/>
    <cellStyle name="Comma 3 7 4 7 6" xfId="13572" xr:uid="{00000000-0005-0000-0000-000097A00000}"/>
    <cellStyle name="Comma 3 7 4 7 6 2" xfId="36851" xr:uid="{00000000-0005-0000-0000-000098A00000}"/>
    <cellStyle name="Comma 3 7 4 7 7" xfId="17267" xr:uid="{00000000-0005-0000-0000-000099A00000}"/>
    <cellStyle name="Comma 3 7 4 7 7 2" xfId="40545" xr:uid="{00000000-0005-0000-0000-00009AA00000}"/>
    <cellStyle name="Comma 3 7 4 7 8" xfId="24611" xr:uid="{00000000-0005-0000-0000-00009BA00000}"/>
    <cellStyle name="Comma 3 7 4 7 9" xfId="45441" xr:uid="{00000000-0005-0000-0000-00009CA00000}"/>
    <cellStyle name="Comma 3 7 4 8" xfId="2556" xr:uid="{00000000-0005-0000-0000-00009DA00000}"/>
    <cellStyle name="Comma 3 7 4 8 2" xfId="16043" xr:uid="{00000000-0005-0000-0000-00009EA00000}"/>
    <cellStyle name="Comma 3 7 4 8 2 2" xfId="39321" xr:uid="{00000000-0005-0000-0000-00009FA00000}"/>
    <cellStyle name="Comma 3 7 4 8 3" xfId="46665" xr:uid="{00000000-0005-0000-0000-0000A0A00000}"/>
    <cellStyle name="Comma 3 7 4 8 4" xfId="25835" xr:uid="{00000000-0005-0000-0000-0000A1A00000}"/>
    <cellStyle name="Comma 3 7 4 9" xfId="5004" xr:uid="{00000000-0005-0000-0000-0000A2A00000}"/>
    <cellStyle name="Comma 3 7 4 9 2" xfId="18491" xr:uid="{00000000-0005-0000-0000-0000A3A00000}"/>
    <cellStyle name="Comma 3 7 4 9 2 2" xfId="41769" xr:uid="{00000000-0005-0000-0000-0000A4A00000}"/>
    <cellStyle name="Comma 3 7 4 9 3" xfId="28283" xr:uid="{00000000-0005-0000-0000-0000A5A00000}"/>
    <cellStyle name="Comma 3 7 5" xfId="125" xr:uid="{00000000-0005-0000-0000-0000A6A00000}"/>
    <cellStyle name="Comma 3 7 5 10" xfId="12365" xr:uid="{00000000-0005-0000-0000-0000A7A00000}"/>
    <cellStyle name="Comma 3 7 5 10 2" xfId="35644" xr:uid="{00000000-0005-0000-0000-0000A8A00000}"/>
    <cellStyle name="Comma 3 7 5 11" xfId="14836" xr:uid="{00000000-0005-0000-0000-0000A9A00000}"/>
    <cellStyle name="Comma 3 7 5 11 2" xfId="38114" xr:uid="{00000000-0005-0000-0000-0000AAA00000}"/>
    <cellStyle name="Comma 3 7 5 12" xfId="23404" xr:uid="{00000000-0005-0000-0000-0000ABA00000}"/>
    <cellStyle name="Comma 3 7 5 13" xfId="44234" xr:uid="{00000000-0005-0000-0000-0000ACA00000}"/>
    <cellStyle name="Comma 3 7 5 14" xfId="20956" xr:uid="{00000000-0005-0000-0000-0000ADA00000}"/>
    <cellStyle name="Comma 3 7 5 2" xfId="329" xr:uid="{00000000-0005-0000-0000-0000AEA00000}"/>
    <cellStyle name="Comma 3 7 5 2 10" xfId="23608" xr:uid="{00000000-0005-0000-0000-0000AFA00000}"/>
    <cellStyle name="Comma 3 7 5 2 11" xfId="44438" xr:uid="{00000000-0005-0000-0000-0000B0A00000}"/>
    <cellStyle name="Comma 3 7 5 2 12" xfId="21160" xr:uid="{00000000-0005-0000-0000-0000B1A00000}"/>
    <cellStyle name="Comma 3 7 5 2 2" xfId="941" xr:uid="{00000000-0005-0000-0000-0000B2A00000}"/>
    <cellStyle name="Comma 3 7 5 2 2 10" xfId="45050" xr:uid="{00000000-0005-0000-0000-0000B3A00000}"/>
    <cellStyle name="Comma 3 7 5 2 2 11" xfId="21772" xr:uid="{00000000-0005-0000-0000-0000B4A00000}"/>
    <cellStyle name="Comma 3 7 5 2 2 2" xfId="2165" xr:uid="{00000000-0005-0000-0000-0000B5A00000}"/>
    <cellStyle name="Comma 3 7 5 2 2 2 10" xfId="22996" xr:uid="{00000000-0005-0000-0000-0000B6A00000}"/>
    <cellStyle name="Comma 3 7 5 2 2 2 2" xfId="4613" xr:uid="{00000000-0005-0000-0000-0000B7A00000}"/>
    <cellStyle name="Comma 3 7 5 2 2 2 2 2" xfId="20548" xr:uid="{00000000-0005-0000-0000-0000B8A00000}"/>
    <cellStyle name="Comma 3 7 5 2 2 2 2 2 2" xfId="43826" xr:uid="{00000000-0005-0000-0000-0000B9A00000}"/>
    <cellStyle name="Comma 3 7 5 2 2 2 2 3" xfId="48722" xr:uid="{00000000-0005-0000-0000-0000BAA00000}"/>
    <cellStyle name="Comma 3 7 5 2 2 2 2 4" xfId="27892" xr:uid="{00000000-0005-0000-0000-0000BBA00000}"/>
    <cellStyle name="Comma 3 7 5 2 2 2 3" xfId="7061" xr:uid="{00000000-0005-0000-0000-0000BCA00000}"/>
    <cellStyle name="Comma 3 7 5 2 2 2 3 2" xfId="30340" xr:uid="{00000000-0005-0000-0000-0000BDA00000}"/>
    <cellStyle name="Comma 3 7 5 2 2 2 4" xfId="9509" xr:uid="{00000000-0005-0000-0000-0000BEA00000}"/>
    <cellStyle name="Comma 3 7 5 2 2 2 4 2" xfId="32788" xr:uid="{00000000-0005-0000-0000-0000BFA00000}"/>
    <cellStyle name="Comma 3 7 5 2 2 2 5" xfId="11957" xr:uid="{00000000-0005-0000-0000-0000C0A00000}"/>
    <cellStyle name="Comma 3 7 5 2 2 2 5 2" xfId="35236" xr:uid="{00000000-0005-0000-0000-0000C1A00000}"/>
    <cellStyle name="Comma 3 7 5 2 2 2 6" xfId="14405" xr:uid="{00000000-0005-0000-0000-0000C2A00000}"/>
    <cellStyle name="Comma 3 7 5 2 2 2 6 2" xfId="37684" xr:uid="{00000000-0005-0000-0000-0000C3A00000}"/>
    <cellStyle name="Comma 3 7 5 2 2 2 7" xfId="18100" xr:uid="{00000000-0005-0000-0000-0000C4A00000}"/>
    <cellStyle name="Comma 3 7 5 2 2 2 7 2" xfId="41378" xr:uid="{00000000-0005-0000-0000-0000C5A00000}"/>
    <cellStyle name="Comma 3 7 5 2 2 2 8" xfId="25444" xr:uid="{00000000-0005-0000-0000-0000C6A00000}"/>
    <cellStyle name="Comma 3 7 5 2 2 2 9" xfId="46274" xr:uid="{00000000-0005-0000-0000-0000C7A00000}"/>
    <cellStyle name="Comma 3 7 5 2 2 3" xfId="3389" xr:uid="{00000000-0005-0000-0000-0000C8A00000}"/>
    <cellStyle name="Comma 3 7 5 2 2 3 2" xfId="16876" xr:uid="{00000000-0005-0000-0000-0000C9A00000}"/>
    <cellStyle name="Comma 3 7 5 2 2 3 2 2" xfId="40154" xr:uid="{00000000-0005-0000-0000-0000CAA00000}"/>
    <cellStyle name="Comma 3 7 5 2 2 3 3" xfId="47498" xr:uid="{00000000-0005-0000-0000-0000CBA00000}"/>
    <cellStyle name="Comma 3 7 5 2 2 3 4" xfId="26668" xr:uid="{00000000-0005-0000-0000-0000CCA00000}"/>
    <cellStyle name="Comma 3 7 5 2 2 4" xfId="5837" xr:uid="{00000000-0005-0000-0000-0000CDA00000}"/>
    <cellStyle name="Comma 3 7 5 2 2 4 2" xfId="19324" xr:uid="{00000000-0005-0000-0000-0000CEA00000}"/>
    <cellStyle name="Comma 3 7 5 2 2 4 2 2" xfId="42602" xr:uid="{00000000-0005-0000-0000-0000CFA00000}"/>
    <cellStyle name="Comma 3 7 5 2 2 4 3" xfId="29116" xr:uid="{00000000-0005-0000-0000-0000D0A00000}"/>
    <cellStyle name="Comma 3 7 5 2 2 5" xfId="8285" xr:uid="{00000000-0005-0000-0000-0000D1A00000}"/>
    <cellStyle name="Comma 3 7 5 2 2 5 2" xfId="31564" xr:uid="{00000000-0005-0000-0000-0000D2A00000}"/>
    <cellStyle name="Comma 3 7 5 2 2 6" xfId="10733" xr:uid="{00000000-0005-0000-0000-0000D3A00000}"/>
    <cellStyle name="Comma 3 7 5 2 2 6 2" xfId="34012" xr:uid="{00000000-0005-0000-0000-0000D4A00000}"/>
    <cellStyle name="Comma 3 7 5 2 2 7" xfId="13181" xr:uid="{00000000-0005-0000-0000-0000D5A00000}"/>
    <cellStyle name="Comma 3 7 5 2 2 7 2" xfId="36460" xr:uid="{00000000-0005-0000-0000-0000D6A00000}"/>
    <cellStyle name="Comma 3 7 5 2 2 8" xfId="15652" xr:uid="{00000000-0005-0000-0000-0000D7A00000}"/>
    <cellStyle name="Comma 3 7 5 2 2 8 2" xfId="38930" xr:uid="{00000000-0005-0000-0000-0000D8A00000}"/>
    <cellStyle name="Comma 3 7 5 2 2 9" xfId="24220" xr:uid="{00000000-0005-0000-0000-0000D9A00000}"/>
    <cellStyle name="Comma 3 7 5 2 3" xfId="1553" xr:uid="{00000000-0005-0000-0000-0000DAA00000}"/>
    <cellStyle name="Comma 3 7 5 2 3 10" xfId="22384" xr:uid="{00000000-0005-0000-0000-0000DBA00000}"/>
    <cellStyle name="Comma 3 7 5 2 3 2" xfId="4001" xr:uid="{00000000-0005-0000-0000-0000DCA00000}"/>
    <cellStyle name="Comma 3 7 5 2 3 2 2" xfId="19936" xr:uid="{00000000-0005-0000-0000-0000DDA00000}"/>
    <cellStyle name="Comma 3 7 5 2 3 2 2 2" xfId="43214" xr:uid="{00000000-0005-0000-0000-0000DEA00000}"/>
    <cellStyle name="Comma 3 7 5 2 3 2 3" xfId="48110" xr:uid="{00000000-0005-0000-0000-0000DFA00000}"/>
    <cellStyle name="Comma 3 7 5 2 3 2 4" xfId="27280" xr:uid="{00000000-0005-0000-0000-0000E0A00000}"/>
    <cellStyle name="Comma 3 7 5 2 3 3" xfId="6449" xr:uid="{00000000-0005-0000-0000-0000E1A00000}"/>
    <cellStyle name="Comma 3 7 5 2 3 3 2" xfId="29728" xr:uid="{00000000-0005-0000-0000-0000E2A00000}"/>
    <cellStyle name="Comma 3 7 5 2 3 4" xfId="8897" xr:uid="{00000000-0005-0000-0000-0000E3A00000}"/>
    <cellStyle name="Comma 3 7 5 2 3 4 2" xfId="32176" xr:uid="{00000000-0005-0000-0000-0000E4A00000}"/>
    <cellStyle name="Comma 3 7 5 2 3 5" xfId="11345" xr:uid="{00000000-0005-0000-0000-0000E5A00000}"/>
    <cellStyle name="Comma 3 7 5 2 3 5 2" xfId="34624" xr:uid="{00000000-0005-0000-0000-0000E6A00000}"/>
    <cellStyle name="Comma 3 7 5 2 3 6" xfId="13793" xr:uid="{00000000-0005-0000-0000-0000E7A00000}"/>
    <cellStyle name="Comma 3 7 5 2 3 6 2" xfId="37072" xr:uid="{00000000-0005-0000-0000-0000E8A00000}"/>
    <cellStyle name="Comma 3 7 5 2 3 7" xfId="17488" xr:uid="{00000000-0005-0000-0000-0000E9A00000}"/>
    <cellStyle name="Comma 3 7 5 2 3 7 2" xfId="40766" xr:uid="{00000000-0005-0000-0000-0000EAA00000}"/>
    <cellStyle name="Comma 3 7 5 2 3 8" xfId="24832" xr:uid="{00000000-0005-0000-0000-0000EBA00000}"/>
    <cellStyle name="Comma 3 7 5 2 3 9" xfId="45662" xr:uid="{00000000-0005-0000-0000-0000ECA00000}"/>
    <cellStyle name="Comma 3 7 5 2 4" xfId="2777" xr:uid="{00000000-0005-0000-0000-0000EDA00000}"/>
    <cellStyle name="Comma 3 7 5 2 4 2" xfId="16264" xr:uid="{00000000-0005-0000-0000-0000EEA00000}"/>
    <cellStyle name="Comma 3 7 5 2 4 2 2" xfId="39542" xr:uid="{00000000-0005-0000-0000-0000EFA00000}"/>
    <cellStyle name="Comma 3 7 5 2 4 3" xfId="46886" xr:uid="{00000000-0005-0000-0000-0000F0A00000}"/>
    <cellStyle name="Comma 3 7 5 2 4 4" xfId="26056" xr:uid="{00000000-0005-0000-0000-0000F1A00000}"/>
    <cellStyle name="Comma 3 7 5 2 5" xfId="5225" xr:uid="{00000000-0005-0000-0000-0000F2A00000}"/>
    <cellStyle name="Comma 3 7 5 2 5 2" xfId="18712" xr:uid="{00000000-0005-0000-0000-0000F3A00000}"/>
    <cellStyle name="Comma 3 7 5 2 5 2 2" xfId="41990" xr:uid="{00000000-0005-0000-0000-0000F4A00000}"/>
    <cellStyle name="Comma 3 7 5 2 5 3" xfId="28504" xr:uid="{00000000-0005-0000-0000-0000F5A00000}"/>
    <cellStyle name="Comma 3 7 5 2 6" xfId="7673" xr:uid="{00000000-0005-0000-0000-0000F6A00000}"/>
    <cellStyle name="Comma 3 7 5 2 6 2" xfId="30952" xr:uid="{00000000-0005-0000-0000-0000F7A00000}"/>
    <cellStyle name="Comma 3 7 5 2 7" xfId="10121" xr:uid="{00000000-0005-0000-0000-0000F8A00000}"/>
    <cellStyle name="Comma 3 7 5 2 7 2" xfId="33400" xr:uid="{00000000-0005-0000-0000-0000F9A00000}"/>
    <cellStyle name="Comma 3 7 5 2 8" xfId="12569" xr:uid="{00000000-0005-0000-0000-0000FAA00000}"/>
    <cellStyle name="Comma 3 7 5 2 8 2" xfId="35848" xr:uid="{00000000-0005-0000-0000-0000FBA00000}"/>
    <cellStyle name="Comma 3 7 5 2 9" xfId="15040" xr:uid="{00000000-0005-0000-0000-0000FCA00000}"/>
    <cellStyle name="Comma 3 7 5 2 9 2" xfId="38318" xr:uid="{00000000-0005-0000-0000-0000FDA00000}"/>
    <cellStyle name="Comma 3 7 5 3" xfId="533" xr:uid="{00000000-0005-0000-0000-0000FEA00000}"/>
    <cellStyle name="Comma 3 7 5 3 10" xfId="23812" xr:uid="{00000000-0005-0000-0000-0000FFA00000}"/>
    <cellStyle name="Comma 3 7 5 3 11" xfId="44642" xr:uid="{00000000-0005-0000-0000-000000A10000}"/>
    <cellStyle name="Comma 3 7 5 3 12" xfId="21364" xr:uid="{00000000-0005-0000-0000-000001A10000}"/>
    <cellStyle name="Comma 3 7 5 3 2" xfId="1145" xr:uid="{00000000-0005-0000-0000-000002A10000}"/>
    <cellStyle name="Comma 3 7 5 3 2 10" xfId="45254" xr:uid="{00000000-0005-0000-0000-000003A10000}"/>
    <cellStyle name="Comma 3 7 5 3 2 11" xfId="21976" xr:uid="{00000000-0005-0000-0000-000004A10000}"/>
    <cellStyle name="Comma 3 7 5 3 2 2" xfId="2369" xr:uid="{00000000-0005-0000-0000-000005A10000}"/>
    <cellStyle name="Comma 3 7 5 3 2 2 10" xfId="23200" xr:uid="{00000000-0005-0000-0000-000006A10000}"/>
    <cellStyle name="Comma 3 7 5 3 2 2 2" xfId="4817" xr:uid="{00000000-0005-0000-0000-000007A10000}"/>
    <cellStyle name="Comma 3 7 5 3 2 2 2 2" xfId="20752" xr:uid="{00000000-0005-0000-0000-000008A10000}"/>
    <cellStyle name="Comma 3 7 5 3 2 2 2 2 2" xfId="44030" xr:uid="{00000000-0005-0000-0000-000009A10000}"/>
    <cellStyle name="Comma 3 7 5 3 2 2 2 3" xfId="48926" xr:uid="{00000000-0005-0000-0000-00000AA10000}"/>
    <cellStyle name="Comma 3 7 5 3 2 2 2 4" xfId="28096" xr:uid="{00000000-0005-0000-0000-00000BA10000}"/>
    <cellStyle name="Comma 3 7 5 3 2 2 3" xfId="7265" xr:uid="{00000000-0005-0000-0000-00000CA10000}"/>
    <cellStyle name="Comma 3 7 5 3 2 2 3 2" xfId="30544" xr:uid="{00000000-0005-0000-0000-00000DA10000}"/>
    <cellStyle name="Comma 3 7 5 3 2 2 4" xfId="9713" xr:uid="{00000000-0005-0000-0000-00000EA10000}"/>
    <cellStyle name="Comma 3 7 5 3 2 2 4 2" xfId="32992" xr:uid="{00000000-0005-0000-0000-00000FA10000}"/>
    <cellStyle name="Comma 3 7 5 3 2 2 5" xfId="12161" xr:uid="{00000000-0005-0000-0000-000010A10000}"/>
    <cellStyle name="Comma 3 7 5 3 2 2 5 2" xfId="35440" xr:uid="{00000000-0005-0000-0000-000011A10000}"/>
    <cellStyle name="Comma 3 7 5 3 2 2 6" xfId="14609" xr:uid="{00000000-0005-0000-0000-000012A10000}"/>
    <cellStyle name="Comma 3 7 5 3 2 2 6 2" xfId="37888" xr:uid="{00000000-0005-0000-0000-000013A10000}"/>
    <cellStyle name="Comma 3 7 5 3 2 2 7" xfId="18304" xr:uid="{00000000-0005-0000-0000-000014A10000}"/>
    <cellStyle name="Comma 3 7 5 3 2 2 7 2" xfId="41582" xr:uid="{00000000-0005-0000-0000-000015A10000}"/>
    <cellStyle name="Comma 3 7 5 3 2 2 8" xfId="25648" xr:uid="{00000000-0005-0000-0000-000016A10000}"/>
    <cellStyle name="Comma 3 7 5 3 2 2 9" xfId="46478" xr:uid="{00000000-0005-0000-0000-000017A10000}"/>
    <cellStyle name="Comma 3 7 5 3 2 3" xfId="3593" xr:uid="{00000000-0005-0000-0000-000018A10000}"/>
    <cellStyle name="Comma 3 7 5 3 2 3 2" xfId="17080" xr:uid="{00000000-0005-0000-0000-000019A10000}"/>
    <cellStyle name="Comma 3 7 5 3 2 3 2 2" xfId="40358" xr:uid="{00000000-0005-0000-0000-00001AA10000}"/>
    <cellStyle name="Comma 3 7 5 3 2 3 3" xfId="47702" xr:uid="{00000000-0005-0000-0000-00001BA10000}"/>
    <cellStyle name="Comma 3 7 5 3 2 3 4" xfId="26872" xr:uid="{00000000-0005-0000-0000-00001CA10000}"/>
    <cellStyle name="Comma 3 7 5 3 2 4" xfId="6041" xr:uid="{00000000-0005-0000-0000-00001DA10000}"/>
    <cellStyle name="Comma 3 7 5 3 2 4 2" xfId="19528" xr:uid="{00000000-0005-0000-0000-00001EA10000}"/>
    <cellStyle name="Comma 3 7 5 3 2 4 2 2" xfId="42806" xr:uid="{00000000-0005-0000-0000-00001FA10000}"/>
    <cellStyle name="Comma 3 7 5 3 2 4 3" xfId="29320" xr:uid="{00000000-0005-0000-0000-000020A10000}"/>
    <cellStyle name="Comma 3 7 5 3 2 5" xfId="8489" xr:uid="{00000000-0005-0000-0000-000021A10000}"/>
    <cellStyle name="Comma 3 7 5 3 2 5 2" xfId="31768" xr:uid="{00000000-0005-0000-0000-000022A10000}"/>
    <cellStyle name="Comma 3 7 5 3 2 6" xfId="10937" xr:uid="{00000000-0005-0000-0000-000023A10000}"/>
    <cellStyle name="Comma 3 7 5 3 2 6 2" xfId="34216" xr:uid="{00000000-0005-0000-0000-000024A10000}"/>
    <cellStyle name="Comma 3 7 5 3 2 7" xfId="13385" xr:uid="{00000000-0005-0000-0000-000025A10000}"/>
    <cellStyle name="Comma 3 7 5 3 2 7 2" xfId="36664" xr:uid="{00000000-0005-0000-0000-000026A10000}"/>
    <cellStyle name="Comma 3 7 5 3 2 8" xfId="15856" xr:uid="{00000000-0005-0000-0000-000027A10000}"/>
    <cellStyle name="Comma 3 7 5 3 2 8 2" xfId="39134" xr:uid="{00000000-0005-0000-0000-000028A10000}"/>
    <cellStyle name="Comma 3 7 5 3 2 9" xfId="24424" xr:uid="{00000000-0005-0000-0000-000029A10000}"/>
    <cellStyle name="Comma 3 7 5 3 3" xfId="1757" xr:uid="{00000000-0005-0000-0000-00002AA10000}"/>
    <cellStyle name="Comma 3 7 5 3 3 10" xfId="22588" xr:uid="{00000000-0005-0000-0000-00002BA10000}"/>
    <cellStyle name="Comma 3 7 5 3 3 2" xfId="4205" xr:uid="{00000000-0005-0000-0000-00002CA10000}"/>
    <cellStyle name="Comma 3 7 5 3 3 2 2" xfId="20140" xr:uid="{00000000-0005-0000-0000-00002DA10000}"/>
    <cellStyle name="Comma 3 7 5 3 3 2 2 2" xfId="43418" xr:uid="{00000000-0005-0000-0000-00002EA10000}"/>
    <cellStyle name="Comma 3 7 5 3 3 2 3" xfId="48314" xr:uid="{00000000-0005-0000-0000-00002FA10000}"/>
    <cellStyle name="Comma 3 7 5 3 3 2 4" xfId="27484" xr:uid="{00000000-0005-0000-0000-000030A10000}"/>
    <cellStyle name="Comma 3 7 5 3 3 3" xfId="6653" xr:uid="{00000000-0005-0000-0000-000031A10000}"/>
    <cellStyle name="Comma 3 7 5 3 3 3 2" xfId="29932" xr:uid="{00000000-0005-0000-0000-000032A10000}"/>
    <cellStyle name="Comma 3 7 5 3 3 4" xfId="9101" xr:uid="{00000000-0005-0000-0000-000033A10000}"/>
    <cellStyle name="Comma 3 7 5 3 3 4 2" xfId="32380" xr:uid="{00000000-0005-0000-0000-000034A10000}"/>
    <cellStyle name="Comma 3 7 5 3 3 5" xfId="11549" xr:uid="{00000000-0005-0000-0000-000035A10000}"/>
    <cellStyle name="Comma 3 7 5 3 3 5 2" xfId="34828" xr:uid="{00000000-0005-0000-0000-000036A10000}"/>
    <cellStyle name="Comma 3 7 5 3 3 6" xfId="13997" xr:uid="{00000000-0005-0000-0000-000037A10000}"/>
    <cellStyle name="Comma 3 7 5 3 3 6 2" xfId="37276" xr:uid="{00000000-0005-0000-0000-000038A10000}"/>
    <cellStyle name="Comma 3 7 5 3 3 7" xfId="17692" xr:uid="{00000000-0005-0000-0000-000039A10000}"/>
    <cellStyle name="Comma 3 7 5 3 3 7 2" xfId="40970" xr:uid="{00000000-0005-0000-0000-00003AA10000}"/>
    <cellStyle name="Comma 3 7 5 3 3 8" xfId="25036" xr:uid="{00000000-0005-0000-0000-00003BA10000}"/>
    <cellStyle name="Comma 3 7 5 3 3 9" xfId="45866" xr:uid="{00000000-0005-0000-0000-00003CA10000}"/>
    <cellStyle name="Comma 3 7 5 3 4" xfId="2981" xr:uid="{00000000-0005-0000-0000-00003DA10000}"/>
    <cellStyle name="Comma 3 7 5 3 4 2" xfId="16468" xr:uid="{00000000-0005-0000-0000-00003EA10000}"/>
    <cellStyle name="Comma 3 7 5 3 4 2 2" xfId="39746" xr:uid="{00000000-0005-0000-0000-00003FA10000}"/>
    <cellStyle name="Comma 3 7 5 3 4 3" xfId="47090" xr:uid="{00000000-0005-0000-0000-000040A10000}"/>
    <cellStyle name="Comma 3 7 5 3 4 4" xfId="26260" xr:uid="{00000000-0005-0000-0000-000041A10000}"/>
    <cellStyle name="Comma 3 7 5 3 5" xfId="5429" xr:uid="{00000000-0005-0000-0000-000042A10000}"/>
    <cellStyle name="Comma 3 7 5 3 5 2" xfId="18916" xr:uid="{00000000-0005-0000-0000-000043A10000}"/>
    <cellStyle name="Comma 3 7 5 3 5 2 2" xfId="42194" xr:uid="{00000000-0005-0000-0000-000044A10000}"/>
    <cellStyle name="Comma 3 7 5 3 5 3" xfId="28708" xr:uid="{00000000-0005-0000-0000-000045A10000}"/>
    <cellStyle name="Comma 3 7 5 3 6" xfId="7877" xr:uid="{00000000-0005-0000-0000-000046A10000}"/>
    <cellStyle name="Comma 3 7 5 3 6 2" xfId="31156" xr:uid="{00000000-0005-0000-0000-000047A10000}"/>
    <cellStyle name="Comma 3 7 5 3 7" xfId="10325" xr:uid="{00000000-0005-0000-0000-000048A10000}"/>
    <cellStyle name="Comma 3 7 5 3 7 2" xfId="33604" xr:uid="{00000000-0005-0000-0000-000049A10000}"/>
    <cellStyle name="Comma 3 7 5 3 8" xfId="12773" xr:uid="{00000000-0005-0000-0000-00004AA10000}"/>
    <cellStyle name="Comma 3 7 5 3 8 2" xfId="36052" xr:uid="{00000000-0005-0000-0000-00004BA10000}"/>
    <cellStyle name="Comma 3 7 5 3 9" xfId="15244" xr:uid="{00000000-0005-0000-0000-00004CA10000}"/>
    <cellStyle name="Comma 3 7 5 3 9 2" xfId="38522" xr:uid="{00000000-0005-0000-0000-00004DA10000}"/>
    <cellStyle name="Comma 3 7 5 4" xfId="737" xr:uid="{00000000-0005-0000-0000-00004EA10000}"/>
    <cellStyle name="Comma 3 7 5 4 10" xfId="44846" xr:uid="{00000000-0005-0000-0000-00004FA10000}"/>
    <cellStyle name="Comma 3 7 5 4 11" xfId="21568" xr:uid="{00000000-0005-0000-0000-000050A10000}"/>
    <cellStyle name="Comma 3 7 5 4 2" xfId="1961" xr:uid="{00000000-0005-0000-0000-000051A10000}"/>
    <cellStyle name="Comma 3 7 5 4 2 10" xfId="22792" xr:uid="{00000000-0005-0000-0000-000052A10000}"/>
    <cellStyle name="Comma 3 7 5 4 2 2" xfId="4409" xr:uid="{00000000-0005-0000-0000-000053A10000}"/>
    <cellStyle name="Comma 3 7 5 4 2 2 2" xfId="20344" xr:uid="{00000000-0005-0000-0000-000054A10000}"/>
    <cellStyle name="Comma 3 7 5 4 2 2 2 2" xfId="43622" xr:uid="{00000000-0005-0000-0000-000055A10000}"/>
    <cellStyle name="Comma 3 7 5 4 2 2 3" xfId="48518" xr:uid="{00000000-0005-0000-0000-000056A10000}"/>
    <cellStyle name="Comma 3 7 5 4 2 2 4" xfId="27688" xr:uid="{00000000-0005-0000-0000-000057A10000}"/>
    <cellStyle name="Comma 3 7 5 4 2 3" xfId="6857" xr:uid="{00000000-0005-0000-0000-000058A10000}"/>
    <cellStyle name="Comma 3 7 5 4 2 3 2" xfId="30136" xr:uid="{00000000-0005-0000-0000-000059A10000}"/>
    <cellStyle name="Comma 3 7 5 4 2 4" xfId="9305" xr:uid="{00000000-0005-0000-0000-00005AA10000}"/>
    <cellStyle name="Comma 3 7 5 4 2 4 2" xfId="32584" xr:uid="{00000000-0005-0000-0000-00005BA10000}"/>
    <cellStyle name="Comma 3 7 5 4 2 5" xfId="11753" xr:uid="{00000000-0005-0000-0000-00005CA10000}"/>
    <cellStyle name="Comma 3 7 5 4 2 5 2" xfId="35032" xr:uid="{00000000-0005-0000-0000-00005DA10000}"/>
    <cellStyle name="Comma 3 7 5 4 2 6" xfId="14201" xr:uid="{00000000-0005-0000-0000-00005EA10000}"/>
    <cellStyle name="Comma 3 7 5 4 2 6 2" xfId="37480" xr:uid="{00000000-0005-0000-0000-00005FA10000}"/>
    <cellStyle name="Comma 3 7 5 4 2 7" xfId="17896" xr:uid="{00000000-0005-0000-0000-000060A10000}"/>
    <cellStyle name="Comma 3 7 5 4 2 7 2" xfId="41174" xr:uid="{00000000-0005-0000-0000-000061A10000}"/>
    <cellStyle name="Comma 3 7 5 4 2 8" xfId="25240" xr:uid="{00000000-0005-0000-0000-000062A10000}"/>
    <cellStyle name="Comma 3 7 5 4 2 9" xfId="46070" xr:uid="{00000000-0005-0000-0000-000063A10000}"/>
    <cellStyle name="Comma 3 7 5 4 3" xfId="3185" xr:uid="{00000000-0005-0000-0000-000064A10000}"/>
    <cellStyle name="Comma 3 7 5 4 3 2" xfId="16672" xr:uid="{00000000-0005-0000-0000-000065A10000}"/>
    <cellStyle name="Comma 3 7 5 4 3 2 2" xfId="39950" xr:uid="{00000000-0005-0000-0000-000066A10000}"/>
    <cellStyle name="Comma 3 7 5 4 3 3" xfId="47294" xr:uid="{00000000-0005-0000-0000-000067A10000}"/>
    <cellStyle name="Comma 3 7 5 4 3 4" xfId="26464" xr:uid="{00000000-0005-0000-0000-000068A10000}"/>
    <cellStyle name="Comma 3 7 5 4 4" xfId="5633" xr:uid="{00000000-0005-0000-0000-000069A10000}"/>
    <cellStyle name="Comma 3 7 5 4 4 2" xfId="19120" xr:uid="{00000000-0005-0000-0000-00006AA10000}"/>
    <cellStyle name="Comma 3 7 5 4 4 2 2" xfId="42398" xr:uid="{00000000-0005-0000-0000-00006BA10000}"/>
    <cellStyle name="Comma 3 7 5 4 4 3" xfId="28912" xr:uid="{00000000-0005-0000-0000-00006CA10000}"/>
    <cellStyle name="Comma 3 7 5 4 5" xfId="8081" xr:uid="{00000000-0005-0000-0000-00006DA10000}"/>
    <cellStyle name="Comma 3 7 5 4 5 2" xfId="31360" xr:uid="{00000000-0005-0000-0000-00006EA10000}"/>
    <cellStyle name="Comma 3 7 5 4 6" xfId="10529" xr:uid="{00000000-0005-0000-0000-00006FA10000}"/>
    <cellStyle name="Comma 3 7 5 4 6 2" xfId="33808" xr:uid="{00000000-0005-0000-0000-000070A10000}"/>
    <cellStyle name="Comma 3 7 5 4 7" xfId="12977" xr:uid="{00000000-0005-0000-0000-000071A10000}"/>
    <cellStyle name="Comma 3 7 5 4 7 2" xfId="36256" xr:uid="{00000000-0005-0000-0000-000072A10000}"/>
    <cellStyle name="Comma 3 7 5 4 8" xfId="15448" xr:uid="{00000000-0005-0000-0000-000073A10000}"/>
    <cellStyle name="Comma 3 7 5 4 8 2" xfId="38726" xr:uid="{00000000-0005-0000-0000-000074A10000}"/>
    <cellStyle name="Comma 3 7 5 4 9" xfId="24016" xr:uid="{00000000-0005-0000-0000-000075A10000}"/>
    <cellStyle name="Comma 3 7 5 5" xfId="1349" xr:uid="{00000000-0005-0000-0000-000076A10000}"/>
    <cellStyle name="Comma 3 7 5 5 10" xfId="22180" xr:uid="{00000000-0005-0000-0000-000077A10000}"/>
    <cellStyle name="Comma 3 7 5 5 2" xfId="3797" xr:uid="{00000000-0005-0000-0000-000078A10000}"/>
    <cellStyle name="Comma 3 7 5 5 2 2" xfId="19732" xr:uid="{00000000-0005-0000-0000-000079A10000}"/>
    <cellStyle name="Comma 3 7 5 5 2 2 2" xfId="43010" xr:uid="{00000000-0005-0000-0000-00007AA10000}"/>
    <cellStyle name="Comma 3 7 5 5 2 3" xfId="47906" xr:uid="{00000000-0005-0000-0000-00007BA10000}"/>
    <cellStyle name="Comma 3 7 5 5 2 4" xfId="27076" xr:uid="{00000000-0005-0000-0000-00007CA10000}"/>
    <cellStyle name="Comma 3 7 5 5 3" xfId="6245" xr:uid="{00000000-0005-0000-0000-00007DA10000}"/>
    <cellStyle name="Comma 3 7 5 5 3 2" xfId="29524" xr:uid="{00000000-0005-0000-0000-00007EA10000}"/>
    <cellStyle name="Comma 3 7 5 5 4" xfId="8693" xr:uid="{00000000-0005-0000-0000-00007FA10000}"/>
    <cellStyle name="Comma 3 7 5 5 4 2" xfId="31972" xr:uid="{00000000-0005-0000-0000-000080A10000}"/>
    <cellStyle name="Comma 3 7 5 5 5" xfId="11141" xr:uid="{00000000-0005-0000-0000-000081A10000}"/>
    <cellStyle name="Comma 3 7 5 5 5 2" xfId="34420" xr:uid="{00000000-0005-0000-0000-000082A10000}"/>
    <cellStyle name="Comma 3 7 5 5 6" xfId="13589" xr:uid="{00000000-0005-0000-0000-000083A10000}"/>
    <cellStyle name="Comma 3 7 5 5 6 2" xfId="36868" xr:uid="{00000000-0005-0000-0000-000084A10000}"/>
    <cellStyle name="Comma 3 7 5 5 7" xfId="17284" xr:uid="{00000000-0005-0000-0000-000085A10000}"/>
    <cellStyle name="Comma 3 7 5 5 7 2" xfId="40562" xr:uid="{00000000-0005-0000-0000-000086A10000}"/>
    <cellStyle name="Comma 3 7 5 5 8" xfId="24628" xr:uid="{00000000-0005-0000-0000-000087A10000}"/>
    <cellStyle name="Comma 3 7 5 5 9" xfId="45458" xr:uid="{00000000-0005-0000-0000-000088A10000}"/>
    <cellStyle name="Comma 3 7 5 6" xfId="2573" xr:uid="{00000000-0005-0000-0000-000089A10000}"/>
    <cellStyle name="Comma 3 7 5 6 2" xfId="16060" xr:uid="{00000000-0005-0000-0000-00008AA10000}"/>
    <cellStyle name="Comma 3 7 5 6 2 2" xfId="39338" xr:uid="{00000000-0005-0000-0000-00008BA10000}"/>
    <cellStyle name="Comma 3 7 5 6 3" xfId="46682" xr:uid="{00000000-0005-0000-0000-00008CA10000}"/>
    <cellStyle name="Comma 3 7 5 6 4" xfId="25852" xr:uid="{00000000-0005-0000-0000-00008DA10000}"/>
    <cellStyle name="Comma 3 7 5 7" xfId="5021" xr:uid="{00000000-0005-0000-0000-00008EA10000}"/>
    <cellStyle name="Comma 3 7 5 7 2" xfId="18508" xr:uid="{00000000-0005-0000-0000-00008FA10000}"/>
    <cellStyle name="Comma 3 7 5 7 2 2" xfId="41786" xr:uid="{00000000-0005-0000-0000-000090A10000}"/>
    <cellStyle name="Comma 3 7 5 7 3" xfId="28300" xr:uid="{00000000-0005-0000-0000-000091A10000}"/>
    <cellStyle name="Comma 3 7 5 8" xfId="7469" xr:uid="{00000000-0005-0000-0000-000092A10000}"/>
    <cellStyle name="Comma 3 7 5 8 2" xfId="30748" xr:uid="{00000000-0005-0000-0000-000093A10000}"/>
    <cellStyle name="Comma 3 7 5 9" xfId="9917" xr:uid="{00000000-0005-0000-0000-000094A10000}"/>
    <cellStyle name="Comma 3 7 5 9 2" xfId="33196" xr:uid="{00000000-0005-0000-0000-000095A10000}"/>
    <cellStyle name="Comma 3 7 6" xfId="193" xr:uid="{00000000-0005-0000-0000-000096A10000}"/>
    <cellStyle name="Comma 3 7 6 10" xfId="12433" xr:uid="{00000000-0005-0000-0000-000097A10000}"/>
    <cellStyle name="Comma 3 7 6 10 2" xfId="35712" xr:uid="{00000000-0005-0000-0000-000098A10000}"/>
    <cellStyle name="Comma 3 7 6 11" xfId="14904" xr:uid="{00000000-0005-0000-0000-000099A10000}"/>
    <cellStyle name="Comma 3 7 6 11 2" xfId="38182" xr:uid="{00000000-0005-0000-0000-00009AA10000}"/>
    <cellStyle name="Comma 3 7 6 12" xfId="23472" xr:uid="{00000000-0005-0000-0000-00009BA10000}"/>
    <cellStyle name="Comma 3 7 6 13" xfId="44302" xr:uid="{00000000-0005-0000-0000-00009CA10000}"/>
    <cellStyle name="Comma 3 7 6 14" xfId="21024" xr:uid="{00000000-0005-0000-0000-00009DA10000}"/>
    <cellStyle name="Comma 3 7 6 2" xfId="397" xr:uid="{00000000-0005-0000-0000-00009EA10000}"/>
    <cellStyle name="Comma 3 7 6 2 10" xfId="23676" xr:uid="{00000000-0005-0000-0000-00009FA10000}"/>
    <cellStyle name="Comma 3 7 6 2 11" xfId="44506" xr:uid="{00000000-0005-0000-0000-0000A0A10000}"/>
    <cellStyle name="Comma 3 7 6 2 12" xfId="21228" xr:uid="{00000000-0005-0000-0000-0000A1A10000}"/>
    <cellStyle name="Comma 3 7 6 2 2" xfId="1009" xr:uid="{00000000-0005-0000-0000-0000A2A10000}"/>
    <cellStyle name="Comma 3 7 6 2 2 10" xfId="45118" xr:uid="{00000000-0005-0000-0000-0000A3A10000}"/>
    <cellStyle name="Comma 3 7 6 2 2 11" xfId="21840" xr:uid="{00000000-0005-0000-0000-0000A4A10000}"/>
    <cellStyle name="Comma 3 7 6 2 2 2" xfId="2233" xr:uid="{00000000-0005-0000-0000-0000A5A10000}"/>
    <cellStyle name="Comma 3 7 6 2 2 2 10" xfId="23064" xr:uid="{00000000-0005-0000-0000-0000A6A10000}"/>
    <cellStyle name="Comma 3 7 6 2 2 2 2" xfId="4681" xr:uid="{00000000-0005-0000-0000-0000A7A10000}"/>
    <cellStyle name="Comma 3 7 6 2 2 2 2 2" xfId="20616" xr:uid="{00000000-0005-0000-0000-0000A8A10000}"/>
    <cellStyle name="Comma 3 7 6 2 2 2 2 2 2" xfId="43894" xr:uid="{00000000-0005-0000-0000-0000A9A10000}"/>
    <cellStyle name="Comma 3 7 6 2 2 2 2 3" xfId="48790" xr:uid="{00000000-0005-0000-0000-0000AAA10000}"/>
    <cellStyle name="Comma 3 7 6 2 2 2 2 4" xfId="27960" xr:uid="{00000000-0005-0000-0000-0000ABA10000}"/>
    <cellStyle name="Comma 3 7 6 2 2 2 3" xfId="7129" xr:uid="{00000000-0005-0000-0000-0000ACA10000}"/>
    <cellStyle name="Comma 3 7 6 2 2 2 3 2" xfId="30408" xr:uid="{00000000-0005-0000-0000-0000ADA10000}"/>
    <cellStyle name="Comma 3 7 6 2 2 2 4" xfId="9577" xr:uid="{00000000-0005-0000-0000-0000AEA10000}"/>
    <cellStyle name="Comma 3 7 6 2 2 2 4 2" xfId="32856" xr:uid="{00000000-0005-0000-0000-0000AFA10000}"/>
    <cellStyle name="Comma 3 7 6 2 2 2 5" xfId="12025" xr:uid="{00000000-0005-0000-0000-0000B0A10000}"/>
    <cellStyle name="Comma 3 7 6 2 2 2 5 2" xfId="35304" xr:uid="{00000000-0005-0000-0000-0000B1A10000}"/>
    <cellStyle name="Comma 3 7 6 2 2 2 6" xfId="14473" xr:uid="{00000000-0005-0000-0000-0000B2A10000}"/>
    <cellStyle name="Comma 3 7 6 2 2 2 6 2" xfId="37752" xr:uid="{00000000-0005-0000-0000-0000B3A10000}"/>
    <cellStyle name="Comma 3 7 6 2 2 2 7" xfId="18168" xr:uid="{00000000-0005-0000-0000-0000B4A10000}"/>
    <cellStyle name="Comma 3 7 6 2 2 2 7 2" xfId="41446" xr:uid="{00000000-0005-0000-0000-0000B5A10000}"/>
    <cellStyle name="Comma 3 7 6 2 2 2 8" xfId="25512" xr:uid="{00000000-0005-0000-0000-0000B6A10000}"/>
    <cellStyle name="Comma 3 7 6 2 2 2 9" xfId="46342" xr:uid="{00000000-0005-0000-0000-0000B7A10000}"/>
    <cellStyle name="Comma 3 7 6 2 2 3" xfId="3457" xr:uid="{00000000-0005-0000-0000-0000B8A10000}"/>
    <cellStyle name="Comma 3 7 6 2 2 3 2" xfId="16944" xr:uid="{00000000-0005-0000-0000-0000B9A10000}"/>
    <cellStyle name="Comma 3 7 6 2 2 3 2 2" xfId="40222" xr:uid="{00000000-0005-0000-0000-0000BAA10000}"/>
    <cellStyle name="Comma 3 7 6 2 2 3 3" xfId="47566" xr:uid="{00000000-0005-0000-0000-0000BBA10000}"/>
    <cellStyle name="Comma 3 7 6 2 2 3 4" xfId="26736" xr:uid="{00000000-0005-0000-0000-0000BCA10000}"/>
    <cellStyle name="Comma 3 7 6 2 2 4" xfId="5905" xr:uid="{00000000-0005-0000-0000-0000BDA10000}"/>
    <cellStyle name="Comma 3 7 6 2 2 4 2" xfId="19392" xr:uid="{00000000-0005-0000-0000-0000BEA10000}"/>
    <cellStyle name="Comma 3 7 6 2 2 4 2 2" xfId="42670" xr:uid="{00000000-0005-0000-0000-0000BFA10000}"/>
    <cellStyle name="Comma 3 7 6 2 2 4 3" xfId="29184" xr:uid="{00000000-0005-0000-0000-0000C0A10000}"/>
    <cellStyle name="Comma 3 7 6 2 2 5" xfId="8353" xr:uid="{00000000-0005-0000-0000-0000C1A10000}"/>
    <cellStyle name="Comma 3 7 6 2 2 5 2" xfId="31632" xr:uid="{00000000-0005-0000-0000-0000C2A10000}"/>
    <cellStyle name="Comma 3 7 6 2 2 6" xfId="10801" xr:uid="{00000000-0005-0000-0000-0000C3A10000}"/>
    <cellStyle name="Comma 3 7 6 2 2 6 2" xfId="34080" xr:uid="{00000000-0005-0000-0000-0000C4A10000}"/>
    <cellStyle name="Comma 3 7 6 2 2 7" xfId="13249" xr:uid="{00000000-0005-0000-0000-0000C5A10000}"/>
    <cellStyle name="Comma 3 7 6 2 2 7 2" xfId="36528" xr:uid="{00000000-0005-0000-0000-0000C6A10000}"/>
    <cellStyle name="Comma 3 7 6 2 2 8" xfId="15720" xr:uid="{00000000-0005-0000-0000-0000C7A10000}"/>
    <cellStyle name="Comma 3 7 6 2 2 8 2" xfId="38998" xr:uid="{00000000-0005-0000-0000-0000C8A10000}"/>
    <cellStyle name="Comma 3 7 6 2 2 9" xfId="24288" xr:uid="{00000000-0005-0000-0000-0000C9A10000}"/>
    <cellStyle name="Comma 3 7 6 2 3" xfId="1621" xr:uid="{00000000-0005-0000-0000-0000CAA10000}"/>
    <cellStyle name="Comma 3 7 6 2 3 10" xfId="22452" xr:uid="{00000000-0005-0000-0000-0000CBA10000}"/>
    <cellStyle name="Comma 3 7 6 2 3 2" xfId="4069" xr:uid="{00000000-0005-0000-0000-0000CCA10000}"/>
    <cellStyle name="Comma 3 7 6 2 3 2 2" xfId="20004" xr:uid="{00000000-0005-0000-0000-0000CDA10000}"/>
    <cellStyle name="Comma 3 7 6 2 3 2 2 2" xfId="43282" xr:uid="{00000000-0005-0000-0000-0000CEA10000}"/>
    <cellStyle name="Comma 3 7 6 2 3 2 3" xfId="48178" xr:uid="{00000000-0005-0000-0000-0000CFA10000}"/>
    <cellStyle name="Comma 3 7 6 2 3 2 4" xfId="27348" xr:uid="{00000000-0005-0000-0000-0000D0A10000}"/>
    <cellStyle name="Comma 3 7 6 2 3 3" xfId="6517" xr:uid="{00000000-0005-0000-0000-0000D1A10000}"/>
    <cellStyle name="Comma 3 7 6 2 3 3 2" xfId="29796" xr:uid="{00000000-0005-0000-0000-0000D2A10000}"/>
    <cellStyle name="Comma 3 7 6 2 3 4" xfId="8965" xr:uid="{00000000-0005-0000-0000-0000D3A10000}"/>
    <cellStyle name="Comma 3 7 6 2 3 4 2" xfId="32244" xr:uid="{00000000-0005-0000-0000-0000D4A10000}"/>
    <cellStyle name="Comma 3 7 6 2 3 5" xfId="11413" xr:uid="{00000000-0005-0000-0000-0000D5A10000}"/>
    <cellStyle name="Comma 3 7 6 2 3 5 2" xfId="34692" xr:uid="{00000000-0005-0000-0000-0000D6A10000}"/>
    <cellStyle name="Comma 3 7 6 2 3 6" xfId="13861" xr:uid="{00000000-0005-0000-0000-0000D7A10000}"/>
    <cellStyle name="Comma 3 7 6 2 3 6 2" xfId="37140" xr:uid="{00000000-0005-0000-0000-0000D8A10000}"/>
    <cellStyle name="Comma 3 7 6 2 3 7" xfId="17556" xr:uid="{00000000-0005-0000-0000-0000D9A10000}"/>
    <cellStyle name="Comma 3 7 6 2 3 7 2" xfId="40834" xr:uid="{00000000-0005-0000-0000-0000DAA10000}"/>
    <cellStyle name="Comma 3 7 6 2 3 8" xfId="24900" xr:uid="{00000000-0005-0000-0000-0000DBA10000}"/>
    <cellStyle name="Comma 3 7 6 2 3 9" xfId="45730" xr:uid="{00000000-0005-0000-0000-0000DCA10000}"/>
    <cellStyle name="Comma 3 7 6 2 4" xfId="2845" xr:uid="{00000000-0005-0000-0000-0000DDA10000}"/>
    <cellStyle name="Comma 3 7 6 2 4 2" xfId="16332" xr:uid="{00000000-0005-0000-0000-0000DEA10000}"/>
    <cellStyle name="Comma 3 7 6 2 4 2 2" xfId="39610" xr:uid="{00000000-0005-0000-0000-0000DFA10000}"/>
    <cellStyle name="Comma 3 7 6 2 4 3" xfId="46954" xr:uid="{00000000-0005-0000-0000-0000E0A10000}"/>
    <cellStyle name="Comma 3 7 6 2 4 4" xfId="26124" xr:uid="{00000000-0005-0000-0000-0000E1A10000}"/>
    <cellStyle name="Comma 3 7 6 2 5" xfId="5293" xr:uid="{00000000-0005-0000-0000-0000E2A10000}"/>
    <cellStyle name="Comma 3 7 6 2 5 2" xfId="18780" xr:uid="{00000000-0005-0000-0000-0000E3A10000}"/>
    <cellStyle name="Comma 3 7 6 2 5 2 2" xfId="42058" xr:uid="{00000000-0005-0000-0000-0000E4A10000}"/>
    <cellStyle name="Comma 3 7 6 2 5 3" xfId="28572" xr:uid="{00000000-0005-0000-0000-0000E5A10000}"/>
    <cellStyle name="Comma 3 7 6 2 6" xfId="7741" xr:uid="{00000000-0005-0000-0000-0000E6A10000}"/>
    <cellStyle name="Comma 3 7 6 2 6 2" xfId="31020" xr:uid="{00000000-0005-0000-0000-0000E7A10000}"/>
    <cellStyle name="Comma 3 7 6 2 7" xfId="10189" xr:uid="{00000000-0005-0000-0000-0000E8A10000}"/>
    <cellStyle name="Comma 3 7 6 2 7 2" xfId="33468" xr:uid="{00000000-0005-0000-0000-0000E9A10000}"/>
    <cellStyle name="Comma 3 7 6 2 8" xfId="12637" xr:uid="{00000000-0005-0000-0000-0000EAA10000}"/>
    <cellStyle name="Comma 3 7 6 2 8 2" xfId="35916" xr:uid="{00000000-0005-0000-0000-0000EBA10000}"/>
    <cellStyle name="Comma 3 7 6 2 9" xfId="15108" xr:uid="{00000000-0005-0000-0000-0000ECA10000}"/>
    <cellStyle name="Comma 3 7 6 2 9 2" xfId="38386" xr:uid="{00000000-0005-0000-0000-0000EDA10000}"/>
    <cellStyle name="Comma 3 7 6 3" xfId="601" xr:uid="{00000000-0005-0000-0000-0000EEA10000}"/>
    <cellStyle name="Comma 3 7 6 3 10" xfId="23880" xr:uid="{00000000-0005-0000-0000-0000EFA10000}"/>
    <cellStyle name="Comma 3 7 6 3 11" xfId="44710" xr:uid="{00000000-0005-0000-0000-0000F0A10000}"/>
    <cellStyle name="Comma 3 7 6 3 12" xfId="21432" xr:uid="{00000000-0005-0000-0000-0000F1A10000}"/>
    <cellStyle name="Comma 3 7 6 3 2" xfId="1213" xr:uid="{00000000-0005-0000-0000-0000F2A10000}"/>
    <cellStyle name="Comma 3 7 6 3 2 10" xfId="45322" xr:uid="{00000000-0005-0000-0000-0000F3A10000}"/>
    <cellStyle name="Comma 3 7 6 3 2 11" xfId="22044" xr:uid="{00000000-0005-0000-0000-0000F4A10000}"/>
    <cellStyle name="Comma 3 7 6 3 2 2" xfId="2437" xr:uid="{00000000-0005-0000-0000-0000F5A10000}"/>
    <cellStyle name="Comma 3 7 6 3 2 2 10" xfId="23268" xr:uid="{00000000-0005-0000-0000-0000F6A10000}"/>
    <cellStyle name="Comma 3 7 6 3 2 2 2" xfId="4885" xr:uid="{00000000-0005-0000-0000-0000F7A10000}"/>
    <cellStyle name="Comma 3 7 6 3 2 2 2 2" xfId="20820" xr:uid="{00000000-0005-0000-0000-0000F8A10000}"/>
    <cellStyle name="Comma 3 7 6 3 2 2 2 2 2" xfId="44098" xr:uid="{00000000-0005-0000-0000-0000F9A10000}"/>
    <cellStyle name="Comma 3 7 6 3 2 2 2 3" xfId="48994" xr:uid="{00000000-0005-0000-0000-0000FAA10000}"/>
    <cellStyle name="Comma 3 7 6 3 2 2 2 4" xfId="28164" xr:uid="{00000000-0005-0000-0000-0000FBA10000}"/>
    <cellStyle name="Comma 3 7 6 3 2 2 3" xfId="7333" xr:uid="{00000000-0005-0000-0000-0000FCA10000}"/>
    <cellStyle name="Comma 3 7 6 3 2 2 3 2" xfId="30612" xr:uid="{00000000-0005-0000-0000-0000FDA10000}"/>
    <cellStyle name="Comma 3 7 6 3 2 2 4" xfId="9781" xr:uid="{00000000-0005-0000-0000-0000FEA10000}"/>
    <cellStyle name="Comma 3 7 6 3 2 2 4 2" xfId="33060" xr:uid="{00000000-0005-0000-0000-0000FFA10000}"/>
    <cellStyle name="Comma 3 7 6 3 2 2 5" xfId="12229" xr:uid="{00000000-0005-0000-0000-000000A20000}"/>
    <cellStyle name="Comma 3 7 6 3 2 2 5 2" xfId="35508" xr:uid="{00000000-0005-0000-0000-000001A20000}"/>
    <cellStyle name="Comma 3 7 6 3 2 2 6" xfId="14677" xr:uid="{00000000-0005-0000-0000-000002A20000}"/>
    <cellStyle name="Comma 3 7 6 3 2 2 6 2" xfId="37956" xr:uid="{00000000-0005-0000-0000-000003A20000}"/>
    <cellStyle name="Comma 3 7 6 3 2 2 7" xfId="18372" xr:uid="{00000000-0005-0000-0000-000004A20000}"/>
    <cellStyle name="Comma 3 7 6 3 2 2 7 2" xfId="41650" xr:uid="{00000000-0005-0000-0000-000005A20000}"/>
    <cellStyle name="Comma 3 7 6 3 2 2 8" xfId="25716" xr:uid="{00000000-0005-0000-0000-000006A20000}"/>
    <cellStyle name="Comma 3 7 6 3 2 2 9" xfId="46546" xr:uid="{00000000-0005-0000-0000-000007A20000}"/>
    <cellStyle name="Comma 3 7 6 3 2 3" xfId="3661" xr:uid="{00000000-0005-0000-0000-000008A20000}"/>
    <cellStyle name="Comma 3 7 6 3 2 3 2" xfId="17148" xr:uid="{00000000-0005-0000-0000-000009A20000}"/>
    <cellStyle name="Comma 3 7 6 3 2 3 2 2" xfId="40426" xr:uid="{00000000-0005-0000-0000-00000AA20000}"/>
    <cellStyle name="Comma 3 7 6 3 2 3 3" xfId="47770" xr:uid="{00000000-0005-0000-0000-00000BA20000}"/>
    <cellStyle name="Comma 3 7 6 3 2 3 4" xfId="26940" xr:uid="{00000000-0005-0000-0000-00000CA20000}"/>
    <cellStyle name="Comma 3 7 6 3 2 4" xfId="6109" xr:uid="{00000000-0005-0000-0000-00000DA20000}"/>
    <cellStyle name="Comma 3 7 6 3 2 4 2" xfId="19596" xr:uid="{00000000-0005-0000-0000-00000EA20000}"/>
    <cellStyle name="Comma 3 7 6 3 2 4 2 2" xfId="42874" xr:uid="{00000000-0005-0000-0000-00000FA20000}"/>
    <cellStyle name="Comma 3 7 6 3 2 4 3" xfId="29388" xr:uid="{00000000-0005-0000-0000-000010A20000}"/>
    <cellStyle name="Comma 3 7 6 3 2 5" xfId="8557" xr:uid="{00000000-0005-0000-0000-000011A20000}"/>
    <cellStyle name="Comma 3 7 6 3 2 5 2" xfId="31836" xr:uid="{00000000-0005-0000-0000-000012A20000}"/>
    <cellStyle name="Comma 3 7 6 3 2 6" xfId="11005" xr:uid="{00000000-0005-0000-0000-000013A20000}"/>
    <cellStyle name="Comma 3 7 6 3 2 6 2" xfId="34284" xr:uid="{00000000-0005-0000-0000-000014A20000}"/>
    <cellStyle name="Comma 3 7 6 3 2 7" xfId="13453" xr:uid="{00000000-0005-0000-0000-000015A20000}"/>
    <cellStyle name="Comma 3 7 6 3 2 7 2" xfId="36732" xr:uid="{00000000-0005-0000-0000-000016A20000}"/>
    <cellStyle name="Comma 3 7 6 3 2 8" xfId="15924" xr:uid="{00000000-0005-0000-0000-000017A20000}"/>
    <cellStyle name="Comma 3 7 6 3 2 8 2" xfId="39202" xr:uid="{00000000-0005-0000-0000-000018A20000}"/>
    <cellStyle name="Comma 3 7 6 3 2 9" xfId="24492" xr:uid="{00000000-0005-0000-0000-000019A20000}"/>
    <cellStyle name="Comma 3 7 6 3 3" xfId="1825" xr:uid="{00000000-0005-0000-0000-00001AA20000}"/>
    <cellStyle name="Comma 3 7 6 3 3 10" xfId="22656" xr:uid="{00000000-0005-0000-0000-00001BA20000}"/>
    <cellStyle name="Comma 3 7 6 3 3 2" xfId="4273" xr:uid="{00000000-0005-0000-0000-00001CA20000}"/>
    <cellStyle name="Comma 3 7 6 3 3 2 2" xfId="20208" xr:uid="{00000000-0005-0000-0000-00001DA20000}"/>
    <cellStyle name="Comma 3 7 6 3 3 2 2 2" xfId="43486" xr:uid="{00000000-0005-0000-0000-00001EA20000}"/>
    <cellStyle name="Comma 3 7 6 3 3 2 3" xfId="48382" xr:uid="{00000000-0005-0000-0000-00001FA20000}"/>
    <cellStyle name="Comma 3 7 6 3 3 2 4" xfId="27552" xr:uid="{00000000-0005-0000-0000-000020A20000}"/>
    <cellStyle name="Comma 3 7 6 3 3 3" xfId="6721" xr:uid="{00000000-0005-0000-0000-000021A20000}"/>
    <cellStyle name="Comma 3 7 6 3 3 3 2" xfId="30000" xr:uid="{00000000-0005-0000-0000-000022A20000}"/>
    <cellStyle name="Comma 3 7 6 3 3 4" xfId="9169" xr:uid="{00000000-0005-0000-0000-000023A20000}"/>
    <cellStyle name="Comma 3 7 6 3 3 4 2" xfId="32448" xr:uid="{00000000-0005-0000-0000-000024A20000}"/>
    <cellStyle name="Comma 3 7 6 3 3 5" xfId="11617" xr:uid="{00000000-0005-0000-0000-000025A20000}"/>
    <cellStyle name="Comma 3 7 6 3 3 5 2" xfId="34896" xr:uid="{00000000-0005-0000-0000-000026A20000}"/>
    <cellStyle name="Comma 3 7 6 3 3 6" xfId="14065" xr:uid="{00000000-0005-0000-0000-000027A20000}"/>
    <cellStyle name="Comma 3 7 6 3 3 6 2" xfId="37344" xr:uid="{00000000-0005-0000-0000-000028A20000}"/>
    <cellStyle name="Comma 3 7 6 3 3 7" xfId="17760" xr:uid="{00000000-0005-0000-0000-000029A20000}"/>
    <cellStyle name="Comma 3 7 6 3 3 7 2" xfId="41038" xr:uid="{00000000-0005-0000-0000-00002AA20000}"/>
    <cellStyle name="Comma 3 7 6 3 3 8" xfId="25104" xr:uid="{00000000-0005-0000-0000-00002BA20000}"/>
    <cellStyle name="Comma 3 7 6 3 3 9" xfId="45934" xr:uid="{00000000-0005-0000-0000-00002CA20000}"/>
    <cellStyle name="Comma 3 7 6 3 4" xfId="3049" xr:uid="{00000000-0005-0000-0000-00002DA20000}"/>
    <cellStyle name="Comma 3 7 6 3 4 2" xfId="16536" xr:uid="{00000000-0005-0000-0000-00002EA20000}"/>
    <cellStyle name="Comma 3 7 6 3 4 2 2" xfId="39814" xr:uid="{00000000-0005-0000-0000-00002FA20000}"/>
    <cellStyle name="Comma 3 7 6 3 4 3" xfId="47158" xr:uid="{00000000-0005-0000-0000-000030A20000}"/>
    <cellStyle name="Comma 3 7 6 3 4 4" xfId="26328" xr:uid="{00000000-0005-0000-0000-000031A20000}"/>
    <cellStyle name="Comma 3 7 6 3 5" xfId="5497" xr:uid="{00000000-0005-0000-0000-000032A20000}"/>
    <cellStyle name="Comma 3 7 6 3 5 2" xfId="18984" xr:uid="{00000000-0005-0000-0000-000033A20000}"/>
    <cellStyle name="Comma 3 7 6 3 5 2 2" xfId="42262" xr:uid="{00000000-0005-0000-0000-000034A20000}"/>
    <cellStyle name="Comma 3 7 6 3 5 3" xfId="28776" xr:uid="{00000000-0005-0000-0000-000035A20000}"/>
    <cellStyle name="Comma 3 7 6 3 6" xfId="7945" xr:uid="{00000000-0005-0000-0000-000036A20000}"/>
    <cellStyle name="Comma 3 7 6 3 6 2" xfId="31224" xr:uid="{00000000-0005-0000-0000-000037A20000}"/>
    <cellStyle name="Comma 3 7 6 3 7" xfId="10393" xr:uid="{00000000-0005-0000-0000-000038A20000}"/>
    <cellStyle name="Comma 3 7 6 3 7 2" xfId="33672" xr:uid="{00000000-0005-0000-0000-000039A20000}"/>
    <cellStyle name="Comma 3 7 6 3 8" xfId="12841" xr:uid="{00000000-0005-0000-0000-00003AA20000}"/>
    <cellStyle name="Comma 3 7 6 3 8 2" xfId="36120" xr:uid="{00000000-0005-0000-0000-00003BA20000}"/>
    <cellStyle name="Comma 3 7 6 3 9" xfId="15312" xr:uid="{00000000-0005-0000-0000-00003CA20000}"/>
    <cellStyle name="Comma 3 7 6 3 9 2" xfId="38590" xr:uid="{00000000-0005-0000-0000-00003DA20000}"/>
    <cellStyle name="Comma 3 7 6 4" xfId="805" xr:uid="{00000000-0005-0000-0000-00003EA20000}"/>
    <cellStyle name="Comma 3 7 6 4 10" xfId="44914" xr:uid="{00000000-0005-0000-0000-00003FA20000}"/>
    <cellStyle name="Comma 3 7 6 4 11" xfId="21636" xr:uid="{00000000-0005-0000-0000-000040A20000}"/>
    <cellStyle name="Comma 3 7 6 4 2" xfId="2029" xr:uid="{00000000-0005-0000-0000-000041A20000}"/>
    <cellStyle name="Comma 3 7 6 4 2 10" xfId="22860" xr:uid="{00000000-0005-0000-0000-000042A20000}"/>
    <cellStyle name="Comma 3 7 6 4 2 2" xfId="4477" xr:uid="{00000000-0005-0000-0000-000043A20000}"/>
    <cellStyle name="Comma 3 7 6 4 2 2 2" xfId="20412" xr:uid="{00000000-0005-0000-0000-000044A20000}"/>
    <cellStyle name="Comma 3 7 6 4 2 2 2 2" xfId="43690" xr:uid="{00000000-0005-0000-0000-000045A20000}"/>
    <cellStyle name="Comma 3 7 6 4 2 2 3" xfId="48586" xr:uid="{00000000-0005-0000-0000-000046A20000}"/>
    <cellStyle name="Comma 3 7 6 4 2 2 4" xfId="27756" xr:uid="{00000000-0005-0000-0000-000047A20000}"/>
    <cellStyle name="Comma 3 7 6 4 2 3" xfId="6925" xr:uid="{00000000-0005-0000-0000-000048A20000}"/>
    <cellStyle name="Comma 3 7 6 4 2 3 2" xfId="30204" xr:uid="{00000000-0005-0000-0000-000049A20000}"/>
    <cellStyle name="Comma 3 7 6 4 2 4" xfId="9373" xr:uid="{00000000-0005-0000-0000-00004AA20000}"/>
    <cellStyle name="Comma 3 7 6 4 2 4 2" xfId="32652" xr:uid="{00000000-0005-0000-0000-00004BA20000}"/>
    <cellStyle name="Comma 3 7 6 4 2 5" xfId="11821" xr:uid="{00000000-0005-0000-0000-00004CA20000}"/>
    <cellStyle name="Comma 3 7 6 4 2 5 2" xfId="35100" xr:uid="{00000000-0005-0000-0000-00004DA20000}"/>
    <cellStyle name="Comma 3 7 6 4 2 6" xfId="14269" xr:uid="{00000000-0005-0000-0000-00004EA20000}"/>
    <cellStyle name="Comma 3 7 6 4 2 6 2" xfId="37548" xr:uid="{00000000-0005-0000-0000-00004FA20000}"/>
    <cellStyle name="Comma 3 7 6 4 2 7" xfId="17964" xr:uid="{00000000-0005-0000-0000-000050A20000}"/>
    <cellStyle name="Comma 3 7 6 4 2 7 2" xfId="41242" xr:uid="{00000000-0005-0000-0000-000051A20000}"/>
    <cellStyle name="Comma 3 7 6 4 2 8" xfId="25308" xr:uid="{00000000-0005-0000-0000-000052A20000}"/>
    <cellStyle name="Comma 3 7 6 4 2 9" xfId="46138" xr:uid="{00000000-0005-0000-0000-000053A20000}"/>
    <cellStyle name="Comma 3 7 6 4 3" xfId="3253" xr:uid="{00000000-0005-0000-0000-000054A20000}"/>
    <cellStyle name="Comma 3 7 6 4 3 2" xfId="16740" xr:uid="{00000000-0005-0000-0000-000055A20000}"/>
    <cellStyle name="Comma 3 7 6 4 3 2 2" xfId="40018" xr:uid="{00000000-0005-0000-0000-000056A20000}"/>
    <cellStyle name="Comma 3 7 6 4 3 3" xfId="47362" xr:uid="{00000000-0005-0000-0000-000057A20000}"/>
    <cellStyle name="Comma 3 7 6 4 3 4" xfId="26532" xr:uid="{00000000-0005-0000-0000-000058A20000}"/>
    <cellStyle name="Comma 3 7 6 4 4" xfId="5701" xr:uid="{00000000-0005-0000-0000-000059A20000}"/>
    <cellStyle name="Comma 3 7 6 4 4 2" xfId="19188" xr:uid="{00000000-0005-0000-0000-00005AA20000}"/>
    <cellStyle name="Comma 3 7 6 4 4 2 2" xfId="42466" xr:uid="{00000000-0005-0000-0000-00005BA20000}"/>
    <cellStyle name="Comma 3 7 6 4 4 3" xfId="28980" xr:uid="{00000000-0005-0000-0000-00005CA20000}"/>
    <cellStyle name="Comma 3 7 6 4 5" xfId="8149" xr:uid="{00000000-0005-0000-0000-00005DA20000}"/>
    <cellStyle name="Comma 3 7 6 4 5 2" xfId="31428" xr:uid="{00000000-0005-0000-0000-00005EA20000}"/>
    <cellStyle name="Comma 3 7 6 4 6" xfId="10597" xr:uid="{00000000-0005-0000-0000-00005FA20000}"/>
    <cellStyle name="Comma 3 7 6 4 6 2" xfId="33876" xr:uid="{00000000-0005-0000-0000-000060A20000}"/>
    <cellStyle name="Comma 3 7 6 4 7" xfId="13045" xr:uid="{00000000-0005-0000-0000-000061A20000}"/>
    <cellStyle name="Comma 3 7 6 4 7 2" xfId="36324" xr:uid="{00000000-0005-0000-0000-000062A20000}"/>
    <cellStyle name="Comma 3 7 6 4 8" xfId="15516" xr:uid="{00000000-0005-0000-0000-000063A20000}"/>
    <cellStyle name="Comma 3 7 6 4 8 2" xfId="38794" xr:uid="{00000000-0005-0000-0000-000064A20000}"/>
    <cellStyle name="Comma 3 7 6 4 9" xfId="24084" xr:uid="{00000000-0005-0000-0000-000065A20000}"/>
    <cellStyle name="Comma 3 7 6 5" xfId="1417" xr:uid="{00000000-0005-0000-0000-000066A20000}"/>
    <cellStyle name="Comma 3 7 6 5 10" xfId="22248" xr:uid="{00000000-0005-0000-0000-000067A20000}"/>
    <cellStyle name="Comma 3 7 6 5 2" xfId="3865" xr:uid="{00000000-0005-0000-0000-000068A20000}"/>
    <cellStyle name="Comma 3 7 6 5 2 2" xfId="19800" xr:uid="{00000000-0005-0000-0000-000069A20000}"/>
    <cellStyle name="Comma 3 7 6 5 2 2 2" xfId="43078" xr:uid="{00000000-0005-0000-0000-00006AA20000}"/>
    <cellStyle name="Comma 3 7 6 5 2 3" xfId="47974" xr:uid="{00000000-0005-0000-0000-00006BA20000}"/>
    <cellStyle name="Comma 3 7 6 5 2 4" xfId="27144" xr:uid="{00000000-0005-0000-0000-00006CA20000}"/>
    <cellStyle name="Comma 3 7 6 5 3" xfId="6313" xr:uid="{00000000-0005-0000-0000-00006DA20000}"/>
    <cellStyle name="Comma 3 7 6 5 3 2" xfId="29592" xr:uid="{00000000-0005-0000-0000-00006EA20000}"/>
    <cellStyle name="Comma 3 7 6 5 4" xfId="8761" xr:uid="{00000000-0005-0000-0000-00006FA20000}"/>
    <cellStyle name="Comma 3 7 6 5 4 2" xfId="32040" xr:uid="{00000000-0005-0000-0000-000070A20000}"/>
    <cellStyle name="Comma 3 7 6 5 5" xfId="11209" xr:uid="{00000000-0005-0000-0000-000071A20000}"/>
    <cellStyle name="Comma 3 7 6 5 5 2" xfId="34488" xr:uid="{00000000-0005-0000-0000-000072A20000}"/>
    <cellStyle name="Comma 3 7 6 5 6" xfId="13657" xr:uid="{00000000-0005-0000-0000-000073A20000}"/>
    <cellStyle name="Comma 3 7 6 5 6 2" xfId="36936" xr:uid="{00000000-0005-0000-0000-000074A20000}"/>
    <cellStyle name="Comma 3 7 6 5 7" xfId="17352" xr:uid="{00000000-0005-0000-0000-000075A20000}"/>
    <cellStyle name="Comma 3 7 6 5 7 2" xfId="40630" xr:uid="{00000000-0005-0000-0000-000076A20000}"/>
    <cellStyle name="Comma 3 7 6 5 8" xfId="24696" xr:uid="{00000000-0005-0000-0000-000077A20000}"/>
    <cellStyle name="Comma 3 7 6 5 9" xfId="45526" xr:uid="{00000000-0005-0000-0000-000078A20000}"/>
    <cellStyle name="Comma 3 7 6 6" xfId="2641" xr:uid="{00000000-0005-0000-0000-000079A20000}"/>
    <cellStyle name="Comma 3 7 6 6 2" xfId="16128" xr:uid="{00000000-0005-0000-0000-00007AA20000}"/>
    <cellStyle name="Comma 3 7 6 6 2 2" xfId="39406" xr:uid="{00000000-0005-0000-0000-00007BA20000}"/>
    <cellStyle name="Comma 3 7 6 6 3" xfId="46750" xr:uid="{00000000-0005-0000-0000-00007CA20000}"/>
    <cellStyle name="Comma 3 7 6 6 4" xfId="25920" xr:uid="{00000000-0005-0000-0000-00007DA20000}"/>
    <cellStyle name="Comma 3 7 6 7" xfId="5089" xr:uid="{00000000-0005-0000-0000-00007EA20000}"/>
    <cellStyle name="Comma 3 7 6 7 2" xfId="18576" xr:uid="{00000000-0005-0000-0000-00007FA20000}"/>
    <cellStyle name="Comma 3 7 6 7 2 2" xfId="41854" xr:uid="{00000000-0005-0000-0000-000080A20000}"/>
    <cellStyle name="Comma 3 7 6 7 3" xfId="28368" xr:uid="{00000000-0005-0000-0000-000081A20000}"/>
    <cellStyle name="Comma 3 7 6 8" xfId="7537" xr:uid="{00000000-0005-0000-0000-000082A20000}"/>
    <cellStyle name="Comma 3 7 6 8 2" xfId="30816" xr:uid="{00000000-0005-0000-0000-000083A20000}"/>
    <cellStyle name="Comma 3 7 6 9" xfId="9985" xr:uid="{00000000-0005-0000-0000-000084A20000}"/>
    <cellStyle name="Comma 3 7 6 9 2" xfId="33264" xr:uid="{00000000-0005-0000-0000-000085A20000}"/>
    <cellStyle name="Comma 3 7 7" xfId="261" xr:uid="{00000000-0005-0000-0000-000086A20000}"/>
    <cellStyle name="Comma 3 7 7 10" xfId="23540" xr:uid="{00000000-0005-0000-0000-000087A20000}"/>
    <cellStyle name="Comma 3 7 7 11" xfId="44370" xr:uid="{00000000-0005-0000-0000-000088A20000}"/>
    <cellStyle name="Comma 3 7 7 12" xfId="21092" xr:uid="{00000000-0005-0000-0000-000089A20000}"/>
    <cellStyle name="Comma 3 7 7 2" xfId="873" xr:uid="{00000000-0005-0000-0000-00008AA20000}"/>
    <cellStyle name="Comma 3 7 7 2 10" xfId="44982" xr:uid="{00000000-0005-0000-0000-00008BA20000}"/>
    <cellStyle name="Comma 3 7 7 2 11" xfId="21704" xr:uid="{00000000-0005-0000-0000-00008CA20000}"/>
    <cellStyle name="Comma 3 7 7 2 2" xfId="2097" xr:uid="{00000000-0005-0000-0000-00008DA20000}"/>
    <cellStyle name="Comma 3 7 7 2 2 10" xfId="22928" xr:uid="{00000000-0005-0000-0000-00008EA20000}"/>
    <cellStyle name="Comma 3 7 7 2 2 2" xfId="4545" xr:uid="{00000000-0005-0000-0000-00008FA20000}"/>
    <cellStyle name="Comma 3 7 7 2 2 2 2" xfId="20480" xr:uid="{00000000-0005-0000-0000-000090A20000}"/>
    <cellStyle name="Comma 3 7 7 2 2 2 2 2" xfId="43758" xr:uid="{00000000-0005-0000-0000-000091A20000}"/>
    <cellStyle name="Comma 3 7 7 2 2 2 3" xfId="48654" xr:uid="{00000000-0005-0000-0000-000092A20000}"/>
    <cellStyle name="Comma 3 7 7 2 2 2 4" xfId="27824" xr:uid="{00000000-0005-0000-0000-000093A20000}"/>
    <cellStyle name="Comma 3 7 7 2 2 3" xfId="6993" xr:uid="{00000000-0005-0000-0000-000094A20000}"/>
    <cellStyle name="Comma 3 7 7 2 2 3 2" xfId="30272" xr:uid="{00000000-0005-0000-0000-000095A20000}"/>
    <cellStyle name="Comma 3 7 7 2 2 4" xfId="9441" xr:uid="{00000000-0005-0000-0000-000096A20000}"/>
    <cellStyle name="Comma 3 7 7 2 2 4 2" xfId="32720" xr:uid="{00000000-0005-0000-0000-000097A20000}"/>
    <cellStyle name="Comma 3 7 7 2 2 5" xfId="11889" xr:uid="{00000000-0005-0000-0000-000098A20000}"/>
    <cellStyle name="Comma 3 7 7 2 2 5 2" xfId="35168" xr:uid="{00000000-0005-0000-0000-000099A20000}"/>
    <cellStyle name="Comma 3 7 7 2 2 6" xfId="14337" xr:uid="{00000000-0005-0000-0000-00009AA20000}"/>
    <cellStyle name="Comma 3 7 7 2 2 6 2" xfId="37616" xr:uid="{00000000-0005-0000-0000-00009BA20000}"/>
    <cellStyle name="Comma 3 7 7 2 2 7" xfId="18032" xr:uid="{00000000-0005-0000-0000-00009CA20000}"/>
    <cellStyle name="Comma 3 7 7 2 2 7 2" xfId="41310" xr:uid="{00000000-0005-0000-0000-00009DA20000}"/>
    <cellStyle name="Comma 3 7 7 2 2 8" xfId="25376" xr:uid="{00000000-0005-0000-0000-00009EA20000}"/>
    <cellStyle name="Comma 3 7 7 2 2 9" xfId="46206" xr:uid="{00000000-0005-0000-0000-00009FA20000}"/>
    <cellStyle name="Comma 3 7 7 2 3" xfId="3321" xr:uid="{00000000-0005-0000-0000-0000A0A20000}"/>
    <cellStyle name="Comma 3 7 7 2 3 2" xfId="16808" xr:uid="{00000000-0005-0000-0000-0000A1A20000}"/>
    <cellStyle name="Comma 3 7 7 2 3 2 2" xfId="40086" xr:uid="{00000000-0005-0000-0000-0000A2A20000}"/>
    <cellStyle name="Comma 3 7 7 2 3 3" xfId="47430" xr:uid="{00000000-0005-0000-0000-0000A3A20000}"/>
    <cellStyle name="Comma 3 7 7 2 3 4" xfId="26600" xr:uid="{00000000-0005-0000-0000-0000A4A20000}"/>
    <cellStyle name="Comma 3 7 7 2 4" xfId="5769" xr:uid="{00000000-0005-0000-0000-0000A5A20000}"/>
    <cellStyle name="Comma 3 7 7 2 4 2" xfId="19256" xr:uid="{00000000-0005-0000-0000-0000A6A20000}"/>
    <cellStyle name="Comma 3 7 7 2 4 2 2" xfId="42534" xr:uid="{00000000-0005-0000-0000-0000A7A20000}"/>
    <cellStyle name="Comma 3 7 7 2 4 3" xfId="29048" xr:uid="{00000000-0005-0000-0000-0000A8A20000}"/>
    <cellStyle name="Comma 3 7 7 2 5" xfId="8217" xr:uid="{00000000-0005-0000-0000-0000A9A20000}"/>
    <cellStyle name="Comma 3 7 7 2 5 2" xfId="31496" xr:uid="{00000000-0005-0000-0000-0000AAA20000}"/>
    <cellStyle name="Comma 3 7 7 2 6" xfId="10665" xr:uid="{00000000-0005-0000-0000-0000ABA20000}"/>
    <cellStyle name="Comma 3 7 7 2 6 2" xfId="33944" xr:uid="{00000000-0005-0000-0000-0000ACA20000}"/>
    <cellStyle name="Comma 3 7 7 2 7" xfId="13113" xr:uid="{00000000-0005-0000-0000-0000ADA20000}"/>
    <cellStyle name="Comma 3 7 7 2 7 2" xfId="36392" xr:uid="{00000000-0005-0000-0000-0000AEA20000}"/>
    <cellStyle name="Comma 3 7 7 2 8" xfId="15584" xr:uid="{00000000-0005-0000-0000-0000AFA20000}"/>
    <cellStyle name="Comma 3 7 7 2 8 2" xfId="38862" xr:uid="{00000000-0005-0000-0000-0000B0A20000}"/>
    <cellStyle name="Comma 3 7 7 2 9" xfId="24152" xr:uid="{00000000-0005-0000-0000-0000B1A20000}"/>
    <cellStyle name="Comma 3 7 7 3" xfId="1485" xr:uid="{00000000-0005-0000-0000-0000B2A20000}"/>
    <cellStyle name="Comma 3 7 7 3 10" xfId="22316" xr:uid="{00000000-0005-0000-0000-0000B3A20000}"/>
    <cellStyle name="Comma 3 7 7 3 2" xfId="3933" xr:uid="{00000000-0005-0000-0000-0000B4A20000}"/>
    <cellStyle name="Comma 3 7 7 3 2 2" xfId="19868" xr:uid="{00000000-0005-0000-0000-0000B5A20000}"/>
    <cellStyle name="Comma 3 7 7 3 2 2 2" xfId="43146" xr:uid="{00000000-0005-0000-0000-0000B6A20000}"/>
    <cellStyle name="Comma 3 7 7 3 2 3" xfId="48042" xr:uid="{00000000-0005-0000-0000-0000B7A20000}"/>
    <cellStyle name="Comma 3 7 7 3 2 4" xfId="27212" xr:uid="{00000000-0005-0000-0000-0000B8A20000}"/>
    <cellStyle name="Comma 3 7 7 3 3" xfId="6381" xr:uid="{00000000-0005-0000-0000-0000B9A20000}"/>
    <cellStyle name="Comma 3 7 7 3 3 2" xfId="29660" xr:uid="{00000000-0005-0000-0000-0000BAA20000}"/>
    <cellStyle name="Comma 3 7 7 3 4" xfId="8829" xr:uid="{00000000-0005-0000-0000-0000BBA20000}"/>
    <cellStyle name="Comma 3 7 7 3 4 2" xfId="32108" xr:uid="{00000000-0005-0000-0000-0000BCA20000}"/>
    <cellStyle name="Comma 3 7 7 3 5" xfId="11277" xr:uid="{00000000-0005-0000-0000-0000BDA20000}"/>
    <cellStyle name="Comma 3 7 7 3 5 2" xfId="34556" xr:uid="{00000000-0005-0000-0000-0000BEA20000}"/>
    <cellStyle name="Comma 3 7 7 3 6" xfId="13725" xr:uid="{00000000-0005-0000-0000-0000BFA20000}"/>
    <cellStyle name="Comma 3 7 7 3 6 2" xfId="37004" xr:uid="{00000000-0005-0000-0000-0000C0A20000}"/>
    <cellStyle name="Comma 3 7 7 3 7" xfId="17420" xr:uid="{00000000-0005-0000-0000-0000C1A20000}"/>
    <cellStyle name="Comma 3 7 7 3 7 2" xfId="40698" xr:uid="{00000000-0005-0000-0000-0000C2A20000}"/>
    <cellStyle name="Comma 3 7 7 3 8" xfId="24764" xr:uid="{00000000-0005-0000-0000-0000C3A20000}"/>
    <cellStyle name="Comma 3 7 7 3 9" xfId="45594" xr:uid="{00000000-0005-0000-0000-0000C4A20000}"/>
    <cellStyle name="Comma 3 7 7 4" xfId="2709" xr:uid="{00000000-0005-0000-0000-0000C5A20000}"/>
    <cellStyle name="Comma 3 7 7 4 2" xfId="16196" xr:uid="{00000000-0005-0000-0000-0000C6A20000}"/>
    <cellStyle name="Comma 3 7 7 4 2 2" xfId="39474" xr:uid="{00000000-0005-0000-0000-0000C7A20000}"/>
    <cellStyle name="Comma 3 7 7 4 3" xfId="46818" xr:uid="{00000000-0005-0000-0000-0000C8A20000}"/>
    <cellStyle name="Comma 3 7 7 4 4" xfId="25988" xr:uid="{00000000-0005-0000-0000-0000C9A20000}"/>
    <cellStyle name="Comma 3 7 7 5" xfId="5157" xr:uid="{00000000-0005-0000-0000-0000CAA20000}"/>
    <cellStyle name="Comma 3 7 7 5 2" xfId="18644" xr:uid="{00000000-0005-0000-0000-0000CBA20000}"/>
    <cellStyle name="Comma 3 7 7 5 2 2" xfId="41922" xr:uid="{00000000-0005-0000-0000-0000CCA20000}"/>
    <cellStyle name="Comma 3 7 7 5 3" xfId="28436" xr:uid="{00000000-0005-0000-0000-0000CDA20000}"/>
    <cellStyle name="Comma 3 7 7 6" xfId="7605" xr:uid="{00000000-0005-0000-0000-0000CEA20000}"/>
    <cellStyle name="Comma 3 7 7 6 2" xfId="30884" xr:uid="{00000000-0005-0000-0000-0000CFA20000}"/>
    <cellStyle name="Comma 3 7 7 7" xfId="10053" xr:uid="{00000000-0005-0000-0000-0000D0A20000}"/>
    <cellStyle name="Comma 3 7 7 7 2" xfId="33332" xr:uid="{00000000-0005-0000-0000-0000D1A20000}"/>
    <cellStyle name="Comma 3 7 7 8" xfId="12501" xr:uid="{00000000-0005-0000-0000-0000D2A20000}"/>
    <cellStyle name="Comma 3 7 7 8 2" xfId="35780" xr:uid="{00000000-0005-0000-0000-0000D3A20000}"/>
    <cellStyle name="Comma 3 7 7 9" xfId="14972" xr:uid="{00000000-0005-0000-0000-0000D4A20000}"/>
    <cellStyle name="Comma 3 7 7 9 2" xfId="38250" xr:uid="{00000000-0005-0000-0000-0000D5A20000}"/>
    <cellStyle name="Comma 3 7 8" xfId="465" xr:uid="{00000000-0005-0000-0000-0000D6A20000}"/>
    <cellStyle name="Comma 3 7 8 10" xfId="23744" xr:uid="{00000000-0005-0000-0000-0000D7A20000}"/>
    <cellStyle name="Comma 3 7 8 11" xfId="44574" xr:uid="{00000000-0005-0000-0000-0000D8A20000}"/>
    <cellStyle name="Comma 3 7 8 12" xfId="21296" xr:uid="{00000000-0005-0000-0000-0000D9A20000}"/>
    <cellStyle name="Comma 3 7 8 2" xfId="1077" xr:uid="{00000000-0005-0000-0000-0000DAA20000}"/>
    <cellStyle name="Comma 3 7 8 2 10" xfId="45186" xr:uid="{00000000-0005-0000-0000-0000DBA20000}"/>
    <cellStyle name="Comma 3 7 8 2 11" xfId="21908" xr:uid="{00000000-0005-0000-0000-0000DCA20000}"/>
    <cellStyle name="Comma 3 7 8 2 2" xfId="2301" xr:uid="{00000000-0005-0000-0000-0000DDA20000}"/>
    <cellStyle name="Comma 3 7 8 2 2 10" xfId="23132" xr:uid="{00000000-0005-0000-0000-0000DEA20000}"/>
    <cellStyle name="Comma 3 7 8 2 2 2" xfId="4749" xr:uid="{00000000-0005-0000-0000-0000DFA20000}"/>
    <cellStyle name="Comma 3 7 8 2 2 2 2" xfId="20684" xr:uid="{00000000-0005-0000-0000-0000E0A20000}"/>
    <cellStyle name="Comma 3 7 8 2 2 2 2 2" xfId="43962" xr:uid="{00000000-0005-0000-0000-0000E1A20000}"/>
    <cellStyle name="Comma 3 7 8 2 2 2 3" xfId="48858" xr:uid="{00000000-0005-0000-0000-0000E2A20000}"/>
    <cellStyle name="Comma 3 7 8 2 2 2 4" xfId="28028" xr:uid="{00000000-0005-0000-0000-0000E3A20000}"/>
    <cellStyle name="Comma 3 7 8 2 2 3" xfId="7197" xr:uid="{00000000-0005-0000-0000-0000E4A20000}"/>
    <cellStyle name="Comma 3 7 8 2 2 3 2" xfId="30476" xr:uid="{00000000-0005-0000-0000-0000E5A20000}"/>
    <cellStyle name="Comma 3 7 8 2 2 4" xfId="9645" xr:uid="{00000000-0005-0000-0000-0000E6A20000}"/>
    <cellStyle name="Comma 3 7 8 2 2 4 2" xfId="32924" xr:uid="{00000000-0005-0000-0000-0000E7A20000}"/>
    <cellStyle name="Comma 3 7 8 2 2 5" xfId="12093" xr:uid="{00000000-0005-0000-0000-0000E8A20000}"/>
    <cellStyle name="Comma 3 7 8 2 2 5 2" xfId="35372" xr:uid="{00000000-0005-0000-0000-0000E9A20000}"/>
    <cellStyle name="Comma 3 7 8 2 2 6" xfId="14541" xr:uid="{00000000-0005-0000-0000-0000EAA20000}"/>
    <cellStyle name="Comma 3 7 8 2 2 6 2" xfId="37820" xr:uid="{00000000-0005-0000-0000-0000EBA20000}"/>
    <cellStyle name="Comma 3 7 8 2 2 7" xfId="18236" xr:uid="{00000000-0005-0000-0000-0000ECA20000}"/>
    <cellStyle name="Comma 3 7 8 2 2 7 2" xfId="41514" xr:uid="{00000000-0005-0000-0000-0000EDA20000}"/>
    <cellStyle name="Comma 3 7 8 2 2 8" xfId="25580" xr:uid="{00000000-0005-0000-0000-0000EEA20000}"/>
    <cellStyle name="Comma 3 7 8 2 2 9" xfId="46410" xr:uid="{00000000-0005-0000-0000-0000EFA20000}"/>
    <cellStyle name="Comma 3 7 8 2 3" xfId="3525" xr:uid="{00000000-0005-0000-0000-0000F0A20000}"/>
    <cellStyle name="Comma 3 7 8 2 3 2" xfId="17012" xr:uid="{00000000-0005-0000-0000-0000F1A20000}"/>
    <cellStyle name="Comma 3 7 8 2 3 2 2" xfId="40290" xr:uid="{00000000-0005-0000-0000-0000F2A20000}"/>
    <cellStyle name="Comma 3 7 8 2 3 3" xfId="47634" xr:uid="{00000000-0005-0000-0000-0000F3A20000}"/>
    <cellStyle name="Comma 3 7 8 2 3 4" xfId="26804" xr:uid="{00000000-0005-0000-0000-0000F4A20000}"/>
    <cellStyle name="Comma 3 7 8 2 4" xfId="5973" xr:uid="{00000000-0005-0000-0000-0000F5A20000}"/>
    <cellStyle name="Comma 3 7 8 2 4 2" xfId="19460" xr:uid="{00000000-0005-0000-0000-0000F6A20000}"/>
    <cellStyle name="Comma 3 7 8 2 4 2 2" xfId="42738" xr:uid="{00000000-0005-0000-0000-0000F7A20000}"/>
    <cellStyle name="Comma 3 7 8 2 4 3" xfId="29252" xr:uid="{00000000-0005-0000-0000-0000F8A20000}"/>
    <cellStyle name="Comma 3 7 8 2 5" xfId="8421" xr:uid="{00000000-0005-0000-0000-0000F9A20000}"/>
    <cellStyle name="Comma 3 7 8 2 5 2" xfId="31700" xr:uid="{00000000-0005-0000-0000-0000FAA20000}"/>
    <cellStyle name="Comma 3 7 8 2 6" xfId="10869" xr:uid="{00000000-0005-0000-0000-0000FBA20000}"/>
    <cellStyle name="Comma 3 7 8 2 6 2" xfId="34148" xr:uid="{00000000-0005-0000-0000-0000FCA20000}"/>
    <cellStyle name="Comma 3 7 8 2 7" xfId="13317" xr:uid="{00000000-0005-0000-0000-0000FDA20000}"/>
    <cellStyle name="Comma 3 7 8 2 7 2" xfId="36596" xr:uid="{00000000-0005-0000-0000-0000FEA20000}"/>
    <cellStyle name="Comma 3 7 8 2 8" xfId="15788" xr:uid="{00000000-0005-0000-0000-0000FFA20000}"/>
    <cellStyle name="Comma 3 7 8 2 8 2" xfId="39066" xr:uid="{00000000-0005-0000-0000-000000A30000}"/>
    <cellStyle name="Comma 3 7 8 2 9" xfId="24356" xr:uid="{00000000-0005-0000-0000-000001A30000}"/>
    <cellStyle name="Comma 3 7 8 3" xfId="1689" xr:uid="{00000000-0005-0000-0000-000002A30000}"/>
    <cellStyle name="Comma 3 7 8 3 10" xfId="22520" xr:uid="{00000000-0005-0000-0000-000003A30000}"/>
    <cellStyle name="Comma 3 7 8 3 2" xfId="4137" xr:uid="{00000000-0005-0000-0000-000004A30000}"/>
    <cellStyle name="Comma 3 7 8 3 2 2" xfId="20072" xr:uid="{00000000-0005-0000-0000-000005A30000}"/>
    <cellStyle name="Comma 3 7 8 3 2 2 2" xfId="43350" xr:uid="{00000000-0005-0000-0000-000006A30000}"/>
    <cellStyle name="Comma 3 7 8 3 2 3" xfId="48246" xr:uid="{00000000-0005-0000-0000-000007A30000}"/>
    <cellStyle name="Comma 3 7 8 3 2 4" xfId="27416" xr:uid="{00000000-0005-0000-0000-000008A30000}"/>
    <cellStyle name="Comma 3 7 8 3 3" xfId="6585" xr:uid="{00000000-0005-0000-0000-000009A30000}"/>
    <cellStyle name="Comma 3 7 8 3 3 2" xfId="29864" xr:uid="{00000000-0005-0000-0000-00000AA30000}"/>
    <cellStyle name="Comma 3 7 8 3 4" xfId="9033" xr:uid="{00000000-0005-0000-0000-00000BA30000}"/>
    <cellStyle name="Comma 3 7 8 3 4 2" xfId="32312" xr:uid="{00000000-0005-0000-0000-00000CA30000}"/>
    <cellStyle name="Comma 3 7 8 3 5" xfId="11481" xr:uid="{00000000-0005-0000-0000-00000DA30000}"/>
    <cellStyle name="Comma 3 7 8 3 5 2" xfId="34760" xr:uid="{00000000-0005-0000-0000-00000EA30000}"/>
    <cellStyle name="Comma 3 7 8 3 6" xfId="13929" xr:uid="{00000000-0005-0000-0000-00000FA30000}"/>
    <cellStyle name="Comma 3 7 8 3 6 2" xfId="37208" xr:uid="{00000000-0005-0000-0000-000010A30000}"/>
    <cellStyle name="Comma 3 7 8 3 7" xfId="17624" xr:uid="{00000000-0005-0000-0000-000011A30000}"/>
    <cellStyle name="Comma 3 7 8 3 7 2" xfId="40902" xr:uid="{00000000-0005-0000-0000-000012A30000}"/>
    <cellStyle name="Comma 3 7 8 3 8" xfId="24968" xr:uid="{00000000-0005-0000-0000-000013A30000}"/>
    <cellStyle name="Comma 3 7 8 3 9" xfId="45798" xr:uid="{00000000-0005-0000-0000-000014A30000}"/>
    <cellStyle name="Comma 3 7 8 4" xfId="2913" xr:uid="{00000000-0005-0000-0000-000015A30000}"/>
    <cellStyle name="Comma 3 7 8 4 2" xfId="16400" xr:uid="{00000000-0005-0000-0000-000016A30000}"/>
    <cellStyle name="Comma 3 7 8 4 2 2" xfId="39678" xr:uid="{00000000-0005-0000-0000-000017A30000}"/>
    <cellStyle name="Comma 3 7 8 4 3" xfId="47022" xr:uid="{00000000-0005-0000-0000-000018A30000}"/>
    <cellStyle name="Comma 3 7 8 4 4" xfId="26192" xr:uid="{00000000-0005-0000-0000-000019A30000}"/>
    <cellStyle name="Comma 3 7 8 5" xfId="5361" xr:uid="{00000000-0005-0000-0000-00001AA30000}"/>
    <cellStyle name="Comma 3 7 8 5 2" xfId="18848" xr:uid="{00000000-0005-0000-0000-00001BA30000}"/>
    <cellStyle name="Comma 3 7 8 5 2 2" xfId="42126" xr:uid="{00000000-0005-0000-0000-00001CA30000}"/>
    <cellStyle name="Comma 3 7 8 5 3" xfId="28640" xr:uid="{00000000-0005-0000-0000-00001DA30000}"/>
    <cellStyle name="Comma 3 7 8 6" xfId="7809" xr:uid="{00000000-0005-0000-0000-00001EA30000}"/>
    <cellStyle name="Comma 3 7 8 6 2" xfId="31088" xr:uid="{00000000-0005-0000-0000-00001FA30000}"/>
    <cellStyle name="Comma 3 7 8 7" xfId="10257" xr:uid="{00000000-0005-0000-0000-000020A30000}"/>
    <cellStyle name="Comma 3 7 8 7 2" xfId="33536" xr:uid="{00000000-0005-0000-0000-000021A30000}"/>
    <cellStyle name="Comma 3 7 8 8" xfId="12705" xr:uid="{00000000-0005-0000-0000-000022A30000}"/>
    <cellStyle name="Comma 3 7 8 8 2" xfId="35984" xr:uid="{00000000-0005-0000-0000-000023A30000}"/>
    <cellStyle name="Comma 3 7 8 9" xfId="15176" xr:uid="{00000000-0005-0000-0000-000024A30000}"/>
    <cellStyle name="Comma 3 7 8 9 2" xfId="38454" xr:uid="{00000000-0005-0000-0000-000025A30000}"/>
    <cellStyle name="Comma 3 7 9" xfId="669" xr:uid="{00000000-0005-0000-0000-000026A30000}"/>
    <cellStyle name="Comma 3 7 9 10" xfId="44778" xr:uid="{00000000-0005-0000-0000-000027A30000}"/>
    <cellStyle name="Comma 3 7 9 11" xfId="21500" xr:uid="{00000000-0005-0000-0000-000028A30000}"/>
    <cellStyle name="Comma 3 7 9 2" xfId="1893" xr:uid="{00000000-0005-0000-0000-000029A30000}"/>
    <cellStyle name="Comma 3 7 9 2 10" xfId="22724" xr:uid="{00000000-0005-0000-0000-00002AA30000}"/>
    <cellStyle name="Comma 3 7 9 2 2" xfId="4341" xr:uid="{00000000-0005-0000-0000-00002BA30000}"/>
    <cellStyle name="Comma 3 7 9 2 2 2" xfId="20276" xr:uid="{00000000-0005-0000-0000-00002CA30000}"/>
    <cellStyle name="Comma 3 7 9 2 2 2 2" xfId="43554" xr:uid="{00000000-0005-0000-0000-00002DA30000}"/>
    <cellStyle name="Comma 3 7 9 2 2 3" xfId="48450" xr:uid="{00000000-0005-0000-0000-00002EA30000}"/>
    <cellStyle name="Comma 3 7 9 2 2 4" xfId="27620" xr:uid="{00000000-0005-0000-0000-00002FA30000}"/>
    <cellStyle name="Comma 3 7 9 2 3" xfId="6789" xr:uid="{00000000-0005-0000-0000-000030A30000}"/>
    <cellStyle name="Comma 3 7 9 2 3 2" xfId="30068" xr:uid="{00000000-0005-0000-0000-000031A30000}"/>
    <cellStyle name="Comma 3 7 9 2 4" xfId="9237" xr:uid="{00000000-0005-0000-0000-000032A30000}"/>
    <cellStyle name="Comma 3 7 9 2 4 2" xfId="32516" xr:uid="{00000000-0005-0000-0000-000033A30000}"/>
    <cellStyle name="Comma 3 7 9 2 5" xfId="11685" xr:uid="{00000000-0005-0000-0000-000034A30000}"/>
    <cellStyle name="Comma 3 7 9 2 5 2" xfId="34964" xr:uid="{00000000-0005-0000-0000-000035A30000}"/>
    <cellStyle name="Comma 3 7 9 2 6" xfId="14133" xr:uid="{00000000-0005-0000-0000-000036A30000}"/>
    <cellStyle name="Comma 3 7 9 2 6 2" xfId="37412" xr:uid="{00000000-0005-0000-0000-000037A30000}"/>
    <cellStyle name="Comma 3 7 9 2 7" xfId="17828" xr:uid="{00000000-0005-0000-0000-000038A30000}"/>
    <cellStyle name="Comma 3 7 9 2 7 2" xfId="41106" xr:uid="{00000000-0005-0000-0000-000039A30000}"/>
    <cellStyle name="Comma 3 7 9 2 8" xfId="25172" xr:uid="{00000000-0005-0000-0000-00003AA30000}"/>
    <cellStyle name="Comma 3 7 9 2 9" xfId="46002" xr:uid="{00000000-0005-0000-0000-00003BA30000}"/>
    <cellStyle name="Comma 3 7 9 3" xfId="3117" xr:uid="{00000000-0005-0000-0000-00003CA30000}"/>
    <cellStyle name="Comma 3 7 9 3 2" xfId="16604" xr:uid="{00000000-0005-0000-0000-00003DA30000}"/>
    <cellStyle name="Comma 3 7 9 3 2 2" xfId="39882" xr:uid="{00000000-0005-0000-0000-00003EA30000}"/>
    <cellStyle name="Comma 3 7 9 3 3" xfId="47226" xr:uid="{00000000-0005-0000-0000-00003FA30000}"/>
    <cellStyle name="Comma 3 7 9 3 4" xfId="26396" xr:uid="{00000000-0005-0000-0000-000040A30000}"/>
    <cellStyle name="Comma 3 7 9 4" xfId="5565" xr:uid="{00000000-0005-0000-0000-000041A30000}"/>
    <cellStyle name="Comma 3 7 9 4 2" xfId="19052" xr:uid="{00000000-0005-0000-0000-000042A30000}"/>
    <cellStyle name="Comma 3 7 9 4 2 2" xfId="42330" xr:uid="{00000000-0005-0000-0000-000043A30000}"/>
    <cellStyle name="Comma 3 7 9 4 3" xfId="28844" xr:uid="{00000000-0005-0000-0000-000044A30000}"/>
    <cellStyle name="Comma 3 7 9 5" xfId="8013" xr:uid="{00000000-0005-0000-0000-000045A30000}"/>
    <cellStyle name="Comma 3 7 9 5 2" xfId="31292" xr:uid="{00000000-0005-0000-0000-000046A30000}"/>
    <cellStyle name="Comma 3 7 9 6" xfId="10461" xr:uid="{00000000-0005-0000-0000-000047A30000}"/>
    <cellStyle name="Comma 3 7 9 6 2" xfId="33740" xr:uid="{00000000-0005-0000-0000-000048A30000}"/>
    <cellStyle name="Comma 3 7 9 7" xfId="12909" xr:uid="{00000000-0005-0000-0000-000049A30000}"/>
    <cellStyle name="Comma 3 7 9 7 2" xfId="36188" xr:uid="{00000000-0005-0000-0000-00004AA30000}"/>
    <cellStyle name="Comma 3 7 9 8" xfId="15380" xr:uid="{00000000-0005-0000-0000-00004BA30000}"/>
    <cellStyle name="Comma 3 7 9 8 2" xfId="38658" xr:uid="{00000000-0005-0000-0000-00004CA30000}"/>
    <cellStyle name="Comma 3 7 9 9" xfId="23948" xr:uid="{00000000-0005-0000-0000-00004DA30000}"/>
    <cellStyle name="Comma 3 8" xfId="59" xr:uid="{00000000-0005-0000-0000-00004EA30000}"/>
    <cellStyle name="Comma 3 8 10" xfId="7403" xr:uid="{00000000-0005-0000-0000-00004FA30000}"/>
    <cellStyle name="Comma 3 8 10 2" xfId="30682" xr:uid="{00000000-0005-0000-0000-000050A30000}"/>
    <cellStyle name="Comma 3 8 11" xfId="9851" xr:uid="{00000000-0005-0000-0000-000051A30000}"/>
    <cellStyle name="Comma 3 8 11 2" xfId="33130" xr:uid="{00000000-0005-0000-0000-000052A30000}"/>
    <cellStyle name="Comma 3 8 12" xfId="12299" xr:uid="{00000000-0005-0000-0000-000053A30000}"/>
    <cellStyle name="Comma 3 8 12 2" xfId="35578" xr:uid="{00000000-0005-0000-0000-000054A30000}"/>
    <cellStyle name="Comma 3 8 13" xfId="14733" xr:uid="{00000000-0005-0000-0000-000055A30000}"/>
    <cellStyle name="Comma 3 8 13 2" xfId="38012" xr:uid="{00000000-0005-0000-0000-000056A30000}"/>
    <cellStyle name="Comma 3 8 14" xfId="23338" xr:uid="{00000000-0005-0000-0000-000057A30000}"/>
    <cellStyle name="Comma 3 8 15" xfId="44168" xr:uid="{00000000-0005-0000-0000-000058A30000}"/>
    <cellStyle name="Comma 3 8 16" xfId="20890" xr:uid="{00000000-0005-0000-0000-000059A30000}"/>
    <cellStyle name="Comma 3 8 2" xfId="127" xr:uid="{00000000-0005-0000-0000-00005AA30000}"/>
    <cellStyle name="Comma 3 8 2 10" xfId="12367" xr:uid="{00000000-0005-0000-0000-00005BA30000}"/>
    <cellStyle name="Comma 3 8 2 10 2" xfId="35646" xr:uid="{00000000-0005-0000-0000-00005CA30000}"/>
    <cellStyle name="Comma 3 8 2 11" xfId="14838" xr:uid="{00000000-0005-0000-0000-00005DA30000}"/>
    <cellStyle name="Comma 3 8 2 11 2" xfId="38116" xr:uid="{00000000-0005-0000-0000-00005EA30000}"/>
    <cellStyle name="Comma 3 8 2 12" xfId="23406" xr:uid="{00000000-0005-0000-0000-00005FA30000}"/>
    <cellStyle name="Comma 3 8 2 13" xfId="44236" xr:uid="{00000000-0005-0000-0000-000060A30000}"/>
    <cellStyle name="Comma 3 8 2 14" xfId="20958" xr:uid="{00000000-0005-0000-0000-000061A30000}"/>
    <cellStyle name="Comma 3 8 2 2" xfId="331" xr:uid="{00000000-0005-0000-0000-000062A30000}"/>
    <cellStyle name="Comma 3 8 2 2 10" xfId="23610" xr:uid="{00000000-0005-0000-0000-000063A30000}"/>
    <cellStyle name="Comma 3 8 2 2 11" xfId="44440" xr:uid="{00000000-0005-0000-0000-000064A30000}"/>
    <cellStyle name="Comma 3 8 2 2 12" xfId="21162" xr:uid="{00000000-0005-0000-0000-000065A30000}"/>
    <cellStyle name="Comma 3 8 2 2 2" xfId="943" xr:uid="{00000000-0005-0000-0000-000066A30000}"/>
    <cellStyle name="Comma 3 8 2 2 2 10" xfId="45052" xr:uid="{00000000-0005-0000-0000-000067A30000}"/>
    <cellStyle name="Comma 3 8 2 2 2 11" xfId="21774" xr:uid="{00000000-0005-0000-0000-000068A30000}"/>
    <cellStyle name="Comma 3 8 2 2 2 2" xfId="2167" xr:uid="{00000000-0005-0000-0000-000069A30000}"/>
    <cellStyle name="Comma 3 8 2 2 2 2 10" xfId="22998" xr:uid="{00000000-0005-0000-0000-00006AA30000}"/>
    <cellStyle name="Comma 3 8 2 2 2 2 2" xfId="4615" xr:uid="{00000000-0005-0000-0000-00006BA30000}"/>
    <cellStyle name="Comma 3 8 2 2 2 2 2 2" xfId="20550" xr:uid="{00000000-0005-0000-0000-00006CA30000}"/>
    <cellStyle name="Comma 3 8 2 2 2 2 2 2 2" xfId="43828" xr:uid="{00000000-0005-0000-0000-00006DA30000}"/>
    <cellStyle name="Comma 3 8 2 2 2 2 2 3" xfId="48724" xr:uid="{00000000-0005-0000-0000-00006EA30000}"/>
    <cellStyle name="Comma 3 8 2 2 2 2 2 4" xfId="27894" xr:uid="{00000000-0005-0000-0000-00006FA30000}"/>
    <cellStyle name="Comma 3 8 2 2 2 2 3" xfId="7063" xr:uid="{00000000-0005-0000-0000-000070A30000}"/>
    <cellStyle name="Comma 3 8 2 2 2 2 3 2" xfId="30342" xr:uid="{00000000-0005-0000-0000-000071A30000}"/>
    <cellStyle name="Comma 3 8 2 2 2 2 4" xfId="9511" xr:uid="{00000000-0005-0000-0000-000072A30000}"/>
    <cellStyle name="Comma 3 8 2 2 2 2 4 2" xfId="32790" xr:uid="{00000000-0005-0000-0000-000073A30000}"/>
    <cellStyle name="Comma 3 8 2 2 2 2 5" xfId="11959" xr:uid="{00000000-0005-0000-0000-000074A30000}"/>
    <cellStyle name="Comma 3 8 2 2 2 2 5 2" xfId="35238" xr:uid="{00000000-0005-0000-0000-000075A30000}"/>
    <cellStyle name="Comma 3 8 2 2 2 2 6" xfId="14407" xr:uid="{00000000-0005-0000-0000-000076A30000}"/>
    <cellStyle name="Comma 3 8 2 2 2 2 6 2" xfId="37686" xr:uid="{00000000-0005-0000-0000-000077A30000}"/>
    <cellStyle name="Comma 3 8 2 2 2 2 7" xfId="18102" xr:uid="{00000000-0005-0000-0000-000078A30000}"/>
    <cellStyle name="Comma 3 8 2 2 2 2 7 2" xfId="41380" xr:uid="{00000000-0005-0000-0000-000079A30000}"/>
    <cellStyle name="Comma 3 8 2 2 2 2 8" xfId="25446" xr:uid="{00000000-0005-0000-0000-00007AA30000}"/>
    <cellStyle name="Comma 3 8 2 2 2 2 9" xfId="46276" xr:uid="{00000000-0005-0000-0000-00007BA30000}"/>
    <cellStyle name="Comma 3 8 2 2 2 3" xfId="3391" xr:uid="{00000000-0005-0000-0000-00007CA30000}"/>
    <cellStyle name="Comma 3 8 2 2 2 3 2" xfId="16878" xr:uid="{00000000-0005-0000-0000-00007DA30000}"/>
    <cellStyle name="Comma 3 8 2 2 2 3 2 2" xfId="40156" xr:uid="{00000000-0005-0000-0000-00007EA30000}"/>
    <cellStyle name="Comma 3 8 2 2 2 3 3" xfId="47500" xr:uid="{00000000-0005-0000-0000-00007FA30000}"/>
    <cellStyle name="Comma 3 8 2 2 2 3 4" xfId="26670" xr:uid="{00000000-0005-0000-0000-000080A30000}"/>
    <cellStyle name="Comma 3 8 2 2 2 4" xfId="5839" xr:uid="{00000000-0005-0000-0000-000081A30000}"/>
    <cellStyle name="Comma 3 8 2 2 2 4 2" xfId="19326" xr:uid="{00000000-0005-0000-0000-000082A30000}"/>
    <cellStyle name="Comma 3 8 2 2 2 4 2 2" xfId="42604" xr:uid="{00000000-0005-0000-0000-000083A30000}"/>
    <cellStyle name="Comma 3 8 2 2 2 4 3" xfId="29118" xr:uid="{00000000-0005-0000-0000-000084A30000}"/>
    <cellStyle name="Comma 3 8 2 2 2 5" xfId="8287" xr:uid="{00000000-0005-0000-0000-000085A30000}"/>
    <cellStyle name="Comma 3 8 2 2 2 5 2" xfId="31566" xr:uid="{00000000-0005-0000-0000-000086A30000}"/>
    <cellStyle name="Comma 3 8 2 2 2 6" xfId="10735" xr:uid="{00000000-0005-0000-0000-000087A30000}"/>
    <cellStyle name="Comma 3 8 2 2 2 6 2" xfId="34014" xr:uid="{00000000-0005-0000-0000-000088A30000}"/>
    <cellStyle name="Comma 3 8 2 2 2 7" xfId="13183" xr:uid="{00000000-0005-0000-0000-000089A30000}"/>
    <cellStyle name="Comma 3 8 2 2 2 7 2" xfId="36462" xr:uid="{00000000-0005-0000-0000-00008AA30000}"/>
    <cellStyle name="Comma 3 8 2 2 2 8" xfId="15654" xr:uid="{00000000-0005-0000-0000-00008BA30000}"/>
    <cellStyle name="Comma 3 8 2 2 2 8 2" xfId="38932" xr:uid="{00000000-0005-0000-0000-00008CA30000}"/>
    <cellStyle name="Comma 3 8 2 2 2 9" xfId="24222" xr:uid="{00000000-0005-0000-0000-00008DA30000}"/>
    <cellStyle name="Comma 3 8 2 2 3" xfId="1555" xr:uid="{00000000-0005-0000-0000-00008EA30000}"/>
    <cellStyle name="Comma 3 8 2 2 3 10" xfId="22386" xr:uid="{00000000-0005-0000-0000-00008FA30000}"/>
    <cellStyle name="Comma 3 8 2 2 3 2" xfId="4003" xr:uid="{00000000-0005-0000-0000-000090A30000}"/>
    <cellStyle name="Comma 3 8 2 2 3 2 2" xfId="19938" xr:uid="{00000000-0005-0000-0000-000091A30000}"/>
    <cellStyle name="Comma 3 8 2 2 3 2 2 2" xfId="43216" xr:uid="{00000000-0005-0000-0000-000092A30000}"/>
    <cellStyle name="Comma 3 8 2 2 3 2 3" xfId="48112" xr:uid="{00000000-0005-0000-0000-000093A30000}"/>
    <cellStyle name="Comma 3 8 2 2 3 2 4" xfId="27282" xr:uid="{00000000-0005-0000-0000-000094A30000}"/>
    <cellStyle name="Comma 3 8 2 2 3 3" xfId="6451" xr:uid="{00000000-0005-0000-0000-000095A30000}"/>
    <cellStyle name="Comma 3 8 2 2 3 3 2" xfId="29730" xr:uid="{00000000-0005-0000-0000-000096A30000}"/>
    <cellStyle name="Comma 3 8 2 2 3 4" xfId="8899" xr:uid="{00000000-0005-0000-0000-000097A30000}"/>
    <cellStyle name="Comma 3 8 2 2 3 4 2" xfId="32178" xr:uid="{00000000-0005-0000-0000-000098A30000}"/>
    <cellStyle name="Comma 3 8 2 2 3 5" xfId="11347" xr:uid="{00000000-0005-0000-0000-000099A30000}"/>
    <cellStyle name="Comma 3 8 2 2 3 5 2" xfId="34626" xr:uid="{00000000-0005-0000-0000-00009AA30000}"/>
    <cellStyle name="Comma 3 8 2 2 3 6" xfId="13795" xr:uid="{00000000-0005-0000-0000-00009BA30000}"/>
    <cellStyle name="Comma 3 8 2 2 3 6 2" xfId="37074" xr:uid="{00000000-0005-0000-0000-00009CA30000}"/>
    <cellStyle name="Comma 3 8 2 2 3 7" xfId="17490" xr:uid="{00000000-0005-0000-0000-00009DA30000}"/>
    <cellStyle name="Comma 3 8 2 2 3 7 2" xfId="40768" xr:uid="{00000000-0005-0000-0000-00009EA30000}"/>
    <cellStyle name="Comma 3 8 2 2 3 8" xfId="24834" xr:uid="{00000000-0005-0000-0000-00009FA30000}"/>
    <cellStyle name="Comma 3 8 2 2 3 9" xfId="45664" xr:uid="{00000000-0005-0000-0000-0000A0A30000}"/>
    <cellStyle name="Comma 3 8 2 2 4" xfId="2779" xr:uid="{00000000-0005-0000-0000-0000A1A30000}"/>
    <cellStyle name="Comma 3 8 2 2 4 2" xfId="16266" xr:uid="{00000000-0005-0000-0000-0000A2A30000}"/>
    <cellStyle name="Comma 3 8 2 2 4 2 2" xfId="39544" xr:uid="{00000000-0005-0000-0000-0000A3A30000}"/>
    <cellStyle name="Comma 3 8 2 2 4 3" xfId="46888" xr:uid="{00000000-0005-0000-0000-0000A4A30000}"/>
    <cellStyle name="Comma 3 8 2 2 4 4" xfId="26058" xr:uid="{00000000-0005-0000-0000-0000A5A30000}"/>
    <cellStyle name="Comma 3 8 2 2 5" xfId="5227" xr:uid="{00000000-0005-0000-0000-0000A6A30000}"/>
    <cellStyle name="Comma 3 8 2 2 5 2" xfId="18714" xr:uid="{00000000-0005-0000-0000-0000A7A30000}"/>
    <cellStyle name="Comma 3 8 2 2 5 2 2" xfId="41992" xr:uid="{00000000-0005-0000-0000-0000A8A30000}"/>
    <cellStyle name="Comma 3 8 2 2 5 3" xfId="28506" xr:uid="{00000000-0005-0000-0000-0000A9A30000}"/>
    <cellStyle name="Comma 3 8 2 2 6" xfId="7675" xr:uid="{00000000-0005-0000-0000-0000AAA30000}"/>
    <cellStyle name="Comma 3 8 2 2 6 2" xfId="30954" xr:uid="{00000000-0005-0000-0000-0000ABA30000}"/>
    <cellStyle name="Comma 3 8 2 2 7" xfId="10123" xr:uid="{00000000-0005-0000-0000-0000ACA30000}"/>
    <cellStyle name="Comma 3 8 2 2 7 2" xfId="33402" xr:uid="{00000000-0005-0000-0000-0000ADA30000}"/>
    <cellStyle name="Comma 3 8 2 2 8" xfId="12571" xr:uid="{00000000-0005-0000-0000-0000AEA30000}"/>
    <cellStyle name="Comma 3 8 2 2 8 2" xfId="35850" xr:uid="{00000000-0005-0000-0000-0000AFA30000}"/>
    <cellStyle name="Comma 3 8 2 2 9" xfId="15042" xr:uid="{00000000-0005-0000-0000-0000B0A30000}"/>
    <cellStyle name="Comma 3 8 2 2 9 2" xfId="38320" xr:uid="{00000000-0005-0000-0000-0000B1A30000}"/>
    <cellStyle name="Comma 3 8 2 3" xfId="535" xr:uid="{00000000-0005-0000-0000-0000B2A30000}"/>
    <cellStyle name="Comma 3 8 2 3 10" xfId="23814" xr:uid="{00000000-0005-0000-0000-0000B3A30000}"/>
    <cellStyle name="Comma 3 8 2 3 11" xfId="44644" xr:uid="{00000000-0005-0000-0000-0000B4A30000}"/>
    <cellStyle name="Comma 3 8 2 3 12" xfId="21366" xr:uid="{00000000-0005-0000-0000-0000B5A30000}"/>
    <cellStyle name="Comma 3 8 2 3 2" xfId="1147" xr:uid="{00000000-0005-0000-0000-0000B6A30000}"/>
    <cellStyle name="Comma 3 8 2 3 2 10" xfId="45256" xr:uid="{00000000-0005-0000-0000-0000B7A30000}"/>
    <cellStyle name="Comma 3 8 2 3 2 11" xfId="21978" xr:uid="{00000000-0005-0000-0000-0000B8A30000}"/>
    <cellStyle name="Comma 3 8 2 3 2 2" xfId="2371" xr:uid="{00000000-0005-0000-0000-0000B9A30000}"/>
    <cellStyle name="Comma 3 8 2 3 2 2 10" xfId="23202" xr:uid="{00000000-0005-0000-0000-0000BAA30000}"/>
    <cellStyle name="Comma 3 8 2 3 2 2 2" xfId="4819" xr:uid="{00000000-0005-0000-0000-0000BBA30000}"/>
    <cellStyle name="Comma 3 8 2 3 2 2 2 2" xfId="20754" xr:uid="{00000000-0005-0000-0000-0000BCA30000}"/>
    <cellStyle name="Comma 3 8 2 3 2 2 2 2 2" xfId="44032" xr:uid="{00000000-0005-0000-0000-0000BDA30000}"/>
    <cellStyle name="Comma 3 8 2 3 2 2 2 3" xfId="48928" xr:uid="{00000000-0005-0000-0000-0000BEA30000}"/>
    <cellStyle name="Comma 3 8 2 3 2 2 2 4" xfId="28098" xr:uid="{00000000-0005-0000-0000-0000BFA30000}"/>
    <cellStyle name="Comma 3 8 2 3 2 2 3" xfId="7267" xr:uid="{00000000-0005-0000-0000-0000C0A30000}"/>
    <cellStyle name="Comma 3 8 2 3 2 2 3 2" xfId="30546" xr:uid="{00000000-0005-0000-0000-0000C1A30000}"/>
    <cellStyle name="Comma 3 8 2 3 2 2 4" xfId="9715" xr:uid="{00000000-0005-0000-0000-0000C2A30000}"/>
    <cellStyle name="Comma 3 8 2 3 2 2 4 2" xfId="32994" xr:uid="{00000000-0005-0000-0000-0000C3A30000}"/>
    <cellStyle name="Comma 3 8 2 3 2 2 5" xfId="12163" xr:uid="{00000000-0005-0000-0000-0000C4A30000}"/>
    <cellStyle name="Comma 3 8 2 3 2 2 5 2" xfId="35442" xr:uid="{00000000-0005-0000-0000-0000C5A30000}"/>
    <cellStyle name="Comma 3 8 2 3 2 2 6" xfId="14611" xr:uid="{00000000-0005-0000-0000-0000C6A30000}"/>
    <cellStyle name="Comma 3 8 2 3 2 2 6 2" xfId="37890" xr:uid="{00000000-0005-0000-0000-0000C7A30000}"/>
    <cellStyle name="Comma 3 8 2 3 2 2 7" xfId="18306" xr:uid="{00000000-0005-0000-0000-0000C8A30000}"/>
    <cellStyle name="Comma 3 8 2 3 2 2 7 2" xfId="41584" xr:uid="{00000000-0005-0000-0000-0000C9A30000}"/>
    <cellStyle name="Comma 3 8 2 3 2 2 8" xfId="25650" xr:uid="{00000000-0005-0000-0000-0000CAA30000}"/>
    <cellStyle name="Comma 3 8 2 3 2 2 9" xfId="46480" xr:uid="{00000000-0005-0000-0000-0000CBA30000}"/>
    <cellStyle name="Comma 3 8 2 3 2 3" xfId="3595" xr:uid="{00000000-0005-0000-0000-0000CCA30000}"/>
    <cellStyle name="Comma 3 8 2 3 2 3 2" xfId="17082" xr:uid="{00000000-0005-0000-0000-0000CDA30000}"/>
    <cellStyle name="Comma 3 8 2 3 2 3 2 2" xfId="40360" xr:uid="{00000000-0005-0000-0000-0000CEA30000}"/>
    <cellStyle name="Comma 3 8 2 3 2 3 3" xfId="47704" xr:uid="{00000000-0005-0000-0000-0000CFA30000}"/>
    <cellStyle name="Comma 3 8 2 3 2 3 4" xfId="26874" xr:uid="{00000000-0005-0000-0000-0000D0A30000}"/>
    <cellStyle name="Comma 3 8 2 3 2 4" xfId="6043" xr:uid="{00000000-0005-0000-0000-0000D1A30000}"/>
    <cellStyle name="Comma 3 8 2 3 2 4 2" xfId="19530" xr:uid="{00000000-0005-0000-0000-0000D2A30000}"/>
    <cellStyle name="Comma 3 8 2 3 2 4 2 2" xfId="42808" xr:uid="{00000000-0005-0000-0000-0000D3A30000}"/>
    <cellStyle name="Comma 3 8 2 3 2 4 3" xfId="29322" xr:uid="{00000000-0005-0000-0000-0000D4A30000}"/>
    <cellStyle name="Comma 3 8 2 3 2 5" xfId="8491" xr:uid="{00000000-0005-0000-0000-0000D5A30000}"/>
    <cellStyle name="Comma 3 8 2 3 2 5 2" xfId="31770" xr:uid="{00000000-0005-0000-0000-0000D6A30000}"/>
    <cellStyle name="Comma 3 8 2 3 2 6" xfId="10939" xr:uid="{00000000-0005-0000-0000-0000D7A30000}"/>
    <cellStyle name="Comma 3 8 2 3 2 6 2" xfId="34218" xr:uid="{00000000-0005-0000-0000-0000D8A30000}"/>
    <cellStyle name="Comma 3 8 2 3 2 7" xfId="13387" xr:uid="{00000000-0005-0000-0000-0000D9A30000}"/>
    <cellStyle name="Comma 3 8 2 3 2 7 2" xfId="36666" xr:uid="{00000000-0005-0000-0000-0000DAA30000}"/>
    <cellStyle name="Comma 3 8 2 3 2 8" xfId="15858" xr:uid="{00000000-0005-0000-0000-0000DBA30000}"/>
    <cellStyle name="Comma 3 8 2 3 2 8 2" xfId="39136" xr:uid="{00000000-0005-0000-0000-0000DCA30000}"/>
    <cellStyle name="Comma 3 8 2 3 2 9" xfId="24426" xr:uid="{00000000-0005-0000-0000-0000DDA30000}"/>
    <cellStyle name="Comma 3 8 2 3 3" xfId="1759" xr:uid="{00000000-0005-0000-0000-0000DEA30000}"/>
    <cellStyle name="Comma 3 8 2 3 3 10" xfId="22590" xr:uid="{00000000-0005-0000-0000-0000DFA30000}"/>
    <cellStyle name="Comma 3 8 2 3 3 2" xfId="4207" xr:uid="{00000000-0005-0000-0000-0000E0A30000}"/>
    <cellStyle name="Comma 3 8 2 3 3 2 2" xfId="20142" xr:uid="{00000000-0005-0000-0000-0000E1A30000}"/>
    <cellStyle name="Comma 3 8 2 3 3 2 2 2" xfId="43420" xr:uid="{00000000-0005-0000-0000-0000E2A30000}"/>
    <cellStyle name="Comma 3 8 2 3 3 2 3" xfId="48316" xr:uid="{00000000-0005-0000-0000-0000E3A30000}"/>
    <cellStyle name="Comma 3 8 2 3 3 2 4" xfId="27486" xr:uid="{00000000-0005-0000-0000-0000E4A30000}"/>
    <cellStyle name="Comma 3 8 2 3 3 3" xfId="6655" xr:uid="{00000000-0005-0000-0000-0000E5A30000}"/>
    <cellStyle name="Comma 3 8 2 3 3 3 2" xfId="29934" xr:uid="{00000000-0005-0000-0000-0000E6A30000}"/>
    <cellStyle name="Comma 3 8 2 3 3 4" xfId="9103" xr:uid="{00000000-0005-0000-0000-0000E7A30000}"/>
    <cellStyle name="Comma 3 8 2 3 3 4 2" xfId="32382" xr:uid="{00000000-0005-0000-0000-0000E8A30000}"/>
    <cellStyle name="Comma 3 8 2 3 3 5" xfId="11551" xr:uid="{00000000-0005-0000-0000-0000E9A30000}"/>
    <cellStyle name="Comma 3 8 2 3 3 5 2" xfId="34830" xr:uid="{00000000-0005-0000-0000-0000EAA30000}"/>
    <cellStyle name="Comma 3 8 2 3 3 6" xfId="13999" xr:uid="{00000000-0005-0000-0000-0000EBA30000}"/>
    <cellStyle name="Comma 3 8 2 3 3 6 2" xfId="37278" xr:uid="{00000000-0005-0000-0000-0000ECA30000}"/>
    <cellStyle name="Comma 3 8 2 3 3 7" xfId="17694" xr:uid="{00000000-0005-0000-0000-0000EDA30000}"/>
    <cellStyle name="Comma 3 8 2 3 3 7 2" xfId="40972" xr:uid="{00000000-0005-0000-0000-0000EEA30000}"/>
    <cellStyle name="Comma 3 8 2 3 3 8" xfId="25038" xr:uid="{00000000-0005-0000-0000-0000EFA30000}"/>
    <cellStyle name="Comma 3 8 2 3 3 9" xfId="45868" xr:uid="{00000000-0005-0000-0000-0000F0A30000}"/>
    <cellStyle name="Comma 3 8 2 3 4" xfId="2983" xr:uid="{00000000-0005-0000-0000-0000F1A30000}"/>
    <cellStyle name="Comma 3 8 2 3 4 2" xfId="16470" xr:uid="{00000000-0005-0000-0000-0000F2A30000}"/>
    <cellStyle name="Comma 3 8 2 3 4 2 2" xfId="39748" xr:uid="{00000000-0005-0000-0000-0000F3A30000}"/>
    <cellStyle name="Comma 3 8 2 3 4 3" xfId="47092" xr:uid="{00000000-0005-0000-0000-0000F4A30000}"/>
    <cellStyle name="Comma 3 8 2 3 4 4" xfId="26262" xr:uid="{00000000-0005-0000-0000-0000F5A30000}"/>
    <cellStyle name="Comma 3 8 2 3 5" xfId="5431" xr:uid="{00000000-0005-0000-0000-0000F6A30000}"/>
    <cellStyle name="Comma 3 8 2 3 5 2" xfId="18918" xr:uid="{00000000-0005-0000-0000-0000F7A30000}"/>
    <cellStyle name="Comma 3 8 2 3 5 2 2" xfId="42196" xr:uid="{00000000-0005-0000-0000-0000F8A30000}"/>
    <cellStyle name="Comma 3 8 2 3 5 3" xfId="28710" xr:uid="{00000000-0005-0000-0000-0000F9A30000}"/>
    <cellStyle name="Comma 3 8 2 3 6" xfId="7879" xr:uid="{00000000-0005-0000-0000-0000FAA30000}"/>
    <cellStyle name="Comma 3 8 2 3 6 2" xfId="31158" xr:uid="{00000000-0005-0000-0000-0000FBA30000}"/>
    <cellStyle name="Comma 3 8 2 3 7" xfId="10327" xr:uid="{00000000-0005-0000-0000-0000FCA30000}"/>
    <cellStyle name="Comma 3 8 2 3 7 2" xfId="33606" xr:uid="{00000000-0005-0000-0000-0000FDA30000}"/>
    <cellStyle name="Comma 3 8 2 3 8" xfId="12775" xr:uid="{00000000-0005-0000-0000-0000FEA30000}"/>
    <cellStyle name="Comma 3 8 2 3 8 2" xfId="36054" xr:uid="{00000000-0005-0000-0000-0000FFA30000}"/>
    <cellStyle name="Comma 3 8 2 3 9" xfId="15246" xr:uid="{00000000-0005-0000-0000-000000A40000}"/>
    <cellStyle name="Comma 3 8 2 3 9 2" xfId="38524" xr:uid="{00000000-0005-0000-0000-000001A40000}"/>
    <cellStyle name="Comma 3 8 2 4" xfId="739" xr:uid="{00000000-0005-0000-0000-000002A40000}"/>
    <cellStyle name="Comma 3 8 2 4 10" xfId="44848" xr:uid="{00000000-0005-0000-0000-000003A40000}"/>
    <cellStyle name="Comma 3 8 2 4 11" xfId="21570" xr:uid="{00000000-0005-0000-0000-000004A40000}"/>
    <cellStyle name="Comma 3 8 2 4 2" xfId="1963" xr:uid="{00000000-0005-0000-0000-000005A40000}"/>
    <cellStyle name="Comma 3 8 2 4 2 10" xfId="22794" xr:uid="{00000000-0005-0000-0000-000006A40000}"/>
    <cellStyle name="Comma 3 8 2 4 2 2" xfId="4411" xr:uid="{00000000-0005-0000-0000-000007A40000}"/>
    <cellStyle name="Comma 3 8 2 4 2 2 2" xfId="20346" xr:uid="{00000000-0005-0000-0000-000008A40000}"/>
    <cellStyle name="Comma 3 8 2 4 2 2 2 2" xfId="43624" xr:uid="{00000000-0005-0000-0000-000009A40000}"/>
    <cellStyle name="Comma 3 8 2 4 2 2 3" xfId="48520" xr:uid="{00000000-0005-0000-0000-00000AA40000}"/>
    <cellStyle name="Comma 3 8 2 4 2 2 4" xfId="27690" xr:uid="{00000000-0005-0000-0000-00000BA40000}"/>
    <cellStyle name="Comma 3 8 2 4 2 3" xfId="6859" xr:uid="{00000000-0005-0000-0000-00000CA40000}"/>
    <cellStyle name="Comma 3 8 2 4 2 3 2" xfId="30138" xr:uid="{00000000-0005-0000-0000-00000DA40000}"/>
    <cellStyle name="Comma 3 8 2 4 2 4" xfId="9307" xr:uid="{00000000-0005-0000-0000-00000EA40000}"/>
    <cellStyle name="Comma 3 8 2 4 2 4 2" xfId="32586" xr:uid="{00000000-0005-0000-0000-00000FA40000}"/>
    <cellStyle name="Comma 3 8 2 4 2 5" xfId="11755" xr:uid="{00000000-0005-0000-0000-000010A40000}"/>
    <cellStyle name="Comma 3 8 2 4 2 5 2" xfId="35034" xr:uid="{00000000-0005-0000-0000-000011A40000}"/>
    <cellStyle name="Comma 3 8 2 4 2 6" xfId="14203" xr:uid="{00000000-0005-0000-0000-000012A40000}"/>
    <cellStyle name="Comma 3 8 2 4 2 6 2" xfId="37482" xr:uid="{00000000-0005-0000-0000-000013A40000}"/>
    <cellStyle name="Comma 3 8 2 4 2 7" xfId="17898" xr:uid="{00000000-0005-0000-0000-000014A40000}"/>
    <cellStyle name="Comma 3 8 2 4 2 7 2" xfId="41176" xr:uid="{00000000-0005-0000-0000-000015A40000}"/>
    <cellStyle name="Comma 3 8 2 4 2 8" xfId="25242" xr:uid="{00000000-0005-0000-0000-000016A40000}"/>
    <cellStyle name="Comma 3 8 2 4 2 9" xfId="46072" xr:uid="{00000000-0005-0000-0000-000017A40000}"/>
    <cellStyle name="Comma 3 8 2 4 3" xfId="3187" xr:uid="{00000000-0005-0000-0000-000018A40000}"/>
    <cellStyle name="Comma 3 8 2 4 3 2" xfId="16674" xr:uid="{00000000-0005-0000-0000-000019A40000}"/>
    <cellStyle name="Comma 3 8 2 4 3 2 2" xfId="39952" xr:uid="{00000000-0005-0000-0000-00001AA40000}"/>
    <cellStyle name="Comma 3 8 2 4 3 3" xfId="47296" xr:uid="{00000000-0005-0000-0000-00001BA40000}"/>
    <cellStyle name="Comma 3 8 2 4 3 4" xfId="26466" xr:uid="{00000000-0005-0000-0000-00001CA40000}"/>
    <cellStyle name="Comma 3 8 2 4 4" xfId="5635" xr:uid="{00000000-0005-0000-0000-00001DA40000}"/>
    <cellStyle name="Comma 3 8 2 4 4 2" xfId="19122" xr:uid="{00000000-0005-0000-0000-00001EA40000}"/>
    <cellStyle name="Comma 3 8 2 4 4 2 2" xfId="42400" xr:uid="{00000000-0005-0000-0000-00001FA40000}"/>
    <cellStyle name="Comma 3 8 2 4 4 3" xfId="28914" xr:uid="{00000000-0005-0000-0000-000020A40000}"/>
    <cellStyle name="Comma 3 8 2 4 5" xfId="8083" xr:uid="{00000000-0005-0000-0000-000021A40000}"/>
    <cellStyle name="Comma 3 8 2 4 5 2" xfId="31362" xr:uid="{00000000-0005-0000-0000-000022A40000}"/>
    <cellStyle name="Comma 3 8 2 4 6" xfId="10531" xr:uid="{00000000-0005-0000-0000-000023A40000}"/>
    <cellStyle name="Comma 3 8 2 4 6 2" xfId="33810" xr:uid="{00000000-0005-0000-0000-000024A40000}"/>
    <cellStyle name="Comma 3 8 2 4 7" xfId="12979" xr:uid="{00000000-0005-0000-0000-000025A40000}"/>
    <cellStyle name="Comma 3 8 2 4 7 2" xfId="36258" xr:uid="{00000000-0005-0000-0000-000026A40000}"/>
    <cellStyle name="Comma 3 8 2 4 8" xfId="15450" xr:uid="{00000000-0005-0000-0000-000027A40000}"/>
    <cellStyle name="Comma 3 8 2 4 8 2" xfId="38728" xr:uid="{00000000-0005-0000-0000-000028A40000}"/>
    <cellStyle name="Comma 3 8 2 4 9" xfId="24018" xr:uid="{00000000-0005-0000-0000-000029A40000}"/>
    <cellStyle name="Comma 3 8 2 5" xfId="1351" xr:uid="{00000000-0005-0000-0000-00002AA40000}"/>
    <cellStyle name="Comma 3 8 2 5 10" xfId="22182" xr:uid="{00000000-0005-0000-0000-00002BA40000}"/>
    <cellStyle name="Comma 3 8 2 5 2" xfId="3799" xr:uid="{00000000-0005-0000-0000-00002CA40000}"/>
    <cellStyle name="Comma 3 8 2 5 2 2" xfId="19734" xr:uid="{00000000-0005-0000-0000-00002DA40000}"/>
    <cellStyle name="Comma 3 8 2 5 2 2 2" xfId="43012" xr:uid="{00000000-0005-0000-0000-00002EA40000}"/>
    <cellStyle name="Comma 3 8 2 5 2 3" xfId="47908" xr:uid="{00000000-0005-0000-0000-00002FA40000}"/>
    <cellStyle name="Comma 3 8 2 5 2 4" xfId="27078" xr:uid="{00000000-0005-0000-0000-000030A40000}"/>
    <cellStyle name="Comma 3 8 2 5 3" xfId="6247" xr:uid="{00000000-0005-0000-0000-000031A40000}"/>
    <cellStyle name="Comma 3 8 2 5 3 2" xfId="29526" xr:uid="{00000000-0005-0000-0000-000032A40000}"/>
    <cellStyle name="Comma 3 8 2 5 4" xfId="8695" xr:uid="{00000000-0005-0000-0000-000033A40000}"/>
    <cellStyle name="Comma 3 8 2 5 4 2" xfId="31974" xr:uid="{00000000-0005-0000-0000-000034A40000}"/>
    <cellStyle name="Comma 3 8 2 5 5" xfId="11143" xr:uid="{00000000-0005-0000-0000-000035A40000}"/>
    <cellStyle name="Comma 3 8 2 5 5 2" xfId="34422" xr:uid="{00000000-0005-0000-0000-000036A40000}"/>
    <cellStyle name="Comma 3 8 2 5 6" xfId="13591" xr:uid="{00000000-0005-0000-0000-000037A40000}"/>
    <cellStyle name="Comma 3 8 2 5 6 2" xfId="36870" xr:uid="{00000000-0005-0000-0000-000038A40000}"/>
    <cellStyle name="Comma 3 8 2 5 7" xfId="17286" xr:uid="{00000000-0005-0000-0000-000039A40000}"/>
    <cellStyle name="Comma 3 8 2 5 7 2" xfId="40564" xr:uid="{00000000-0005-0000-0000-00003AA40000}"/>
    <cellStyle name="Comma 3 8 2 5 8" xfId="24630" xr:uid="{00000000-0005-0000-0000-00003BA40000}"/>
    <cellStyle name="Comma 3 8 2 5 9" xfId="45460" xr:uid="{00000000-0005-0000-0000-00003CA40000}"/>
    <cellStyle name="Comma 3 8 2 6" xfId="2575" xr:uid="{00000000-0005-0000-0000-00003DA40000}"/>
    <cellStyle name="Comma 3 8 2 6 2" xfId="16062" xr:uid="{00000000-0005-0000-0000-00003EA40000}"/>
    <cellStyle name="Comma 3 8 2 6 2 2" xfId="39340" xr:uid="{00000000-0005-0000-0000-00003FA40000}"/>
    <cellStyle name="Comma 3 8 2 6 3" xfId="46684" xr:uid="{00000000-0005-0000-0000-000040A40000}"/>
    <cellStyle name="Comma 3 8 2 6 4" xfId="25854" xr:uid="{00000000-0005-0000-0000-000041A40000}"/>
    <cellStyle name="Comma 3 8 2 7" xfId="5023" xr:uid="{00000000-0005-0000-0000-000042A40000}"/>
    <cellStyle name="Comma 3 8 2 7 2" xfId="18510" xr:uid="{00000000-0005-0000-0000-000043A40000}"/>
    <cellStyle name="Comma 3 8 2 7 2 2" xfId="41788" xr:uid="{00000000-0005-0000-0000-000044A40000}"/>
    <cellStyle name="Comma 3 8 2 7 3" xfId="28302" xr:uid="{00000000-0005-0000-0000-000045A40000}"/>
    <cellStyle name="Comma 3 8 2 8" xfId="7471" xr:uid="{00000000-0005-0000-0000-000046A40000}"/>
    <cellStyle name="Comma 3 8 2 8 2" xfId="30750" xr:uid="{00000000-0005-0000-0000-000047A40000}"/>
    <cellStyle name="Comma 3 8 2 9" xfId="9919" xr:uid="{00000000-0005-0000-0000-000048A40000}"/>
    <cellStyle name="Comma 3 8 2 9 2" xfId="33198" xr:uid="{00000000-0005-0000-0000-000049A40000}"/>
    <cellStyle name="Comma 3 8 3" xfId="195" xr:uid="{00000000-0005-0000-0000-00004AA40000}"/>
    <cellStyle name="Comma 3 8 3 10" xfId="12435" xr:uid="{00000000-0005-0000-0000-00004BA40000}"/>
    <cellStyle name="Comma 3 8 3 10 2" xfId="35714" xr:uid="{00000000-0005-0000-0000-00004CA40000}"/>
    <cellStyle name="Comma 3 8 3 11" xfId="14906" xr:uid="{00000000-0005-0000-0000-00004DA40000}"/>
    <cellStyle name="Comma 3 8 3 11 2" xfId="38184" xr:uid="{00000000-0005-0000-0000-00004EA40000}"/>
    <cellStyle name="Comma 3 8 3 12" xfId="23474" xr:uid="{00000000-0005-0000-0000-00004FA40000}"/>
    <cellStyle name="Comma 3 8 3 13" xfId="44304" xr:uid="{00000000-0005-0000-0000-000050A40000}"/>
    <cellStyle name="Comma 3 8 3 14" xfId="21026" xr:uid="{00000000-0005-0000-0000-000051A40000}"/>
    <cellStyle name="Comma 3 8 3 2" xfId="399" xr:uid="{00000000-0005-0000-0000-000052A40000}"/>
    <cellStyle name="Comma 3 8 3 2 10" xfId="23678" xr:uid="{00000000-0005-0000-0000-000053A40000}"/>
    <cellStyle name="Comma 3 8 3 2 11" xfId="44508" xr:uid="{00000000-0005-0000-0000-000054A40000}"/>
    <cellStyle name="Comma 3 8 3 2 12" xfId="21230" xr:uid="{00000000-0005-0000-0000-000055A40000}"/>
    <cellStyle name="Comma 3 8 3 2 2" xfId="1011" xr:uid="{00000000-0005-0000-0000-000056A40000}"/>
    <cellStyle name="Comma 3 8 3 2 2 10" xfId="45120" xr:uid="{00000000-0005-0000-0000-000057A40000}"/>
    <cellStyle name="Comma 3 8 3 2 2 11" xfId="21842" xr:uid="{00000000-0005-0000-0000-000058A40000}"/>
    <cellStyle name="Comma 3 8 3 2 2 2" xfId="2235" xr:uid="{00000000-0005-0000-0000-000059A40000}"/>
    <cellStyle name="Comma 3 8 3 2 2 2 10" xfId="23066" xr:uid="{00000000-0005-0000-0000-00005AA40000}"/>
    <cellStyle name="Comma 3 8 3 2 2 2 2" xfId="4683" xr:uid="{00000000-0005-0000-0000-00005BA40000}"/>
    <cellStyle name="Comma 3 8 3 2 2 2 2 2" xfId="20618" xr:uid="{00000000-0005-0000-0000-00005CA40000}"/>
    <cellStyle name="Comma 3 8 3 2 2 2 2 2 2" xfId="43896" xr:uid="{00000000-0005-0000-0000-00005DA40000}"/>
    <cellStyle name="Comma 3 8 3 2 2 2 2 3" xfId="48792" xr:uid="{00000000-0005-0000-0000-00005EA40000}"/>
    <cellStyle name="Comma 3 8 3 2 2 2 2 4" xfId="27962" xr:uid="{00000000-0005-0000-0000-00005FA40000}"/>
    <cellStyle name="Comma 3 8 3 2 2 2 3" xfId="7131" xr:uid="{00000000-0005-0000-0000-000060A40000}"/>
    <cellStyle name="Comma 3 8 3 2 2 2 3 2" xfId="30410" xr:uid="{00000000-0005-0000-0000-000061A40000}"/>
    <cellStyle name="Comma 3 8 3 2 2 2 4" xfId="9579" xr:uid="{00000000-0005-0000-0000-000062A40000}"/>
    <cellStyle name="Comma 3 8 3 2 2 2 4 2" xfId="32858" xr:uid="{00000000-0005-0000-0000-000063A40000}"/>
    <cellStyle name="Comma 3 8 3 2 2 2 5" xfId="12027" xr:uid="{00000000-0005-0000-0000-000064A40000}"/>
    <cellStyle name="Comma 3 8 3 2 2 2 5 2" xfId="35306" xr:uid="{00000000-0005-0000-0000-000065A40000}"/>
    <cellStyle name="Comma 3 8 3 2 2 2 6" xfId="14475" xr:uid="{00000000-0005-0000-0000-000066A40000}"/>
    <cellStyle name="Comma 3 8 3 2 2 2 6 2" xfId="37754" xr:uid="{00000000-0005-0000-0000-000067A40000}"/>
    <cellStyle name="Comma 3 8 3 2 2 2 7" xfId="18170" xr:uid="{00000000-0005-0000-0000-000068A40000}"/>
    <cellStyle name="Comma 3 8 3 2 2 2 7 2" xfId="41448" xr:uid="{00000000-0005-0000-0000-000069A40000}"/>
    <cellStyle name="Comma 3 8 3 2 2 2 8" xfId="25514" xr:uid="{00000000-0005-0000-0000-00006AA40000}"/>
    <cellStyle name="Comma 3 8 3 2 2 2 9" xfId="46344" xr:uid="{00000000-0005-0000-0000-00006BA40000}"/>
    <cellStyle name="Comma 3 8 3 2 2 3" xfId="3459" xr:uid="{00000000-0005-0000-0000-00006CA40000}"/>
    <cellStyle name="Comma 3 8 3 2 2 3 2" xfId="16946" xr:uid="{00000000-0005-0000-0000-00006DA40000}"/>
    <cellStyle name="Comma 3 8 3 2 2 3 2 2" xfId="40224" xr:uid="{00000000-0005-0000-0000-00006EA40000}"/>
    <cellStyle name="Comma 3 8 3 2 2 3 3" xfId="47568" xr:uid="{00000000-0005-0000-0000-00006FA40000}"/>
    <cellStyle name="Comma 3 8 3 2 2 3 4" xfId="26738" xr:uid="{00000000-0005-0000-0000-000070A40000}"/>
    <cellStyle name="Comma 3 8 3 2 2 4" xfId="5907" xr:uid="{00000000-0005-0000-0000-000071A40000}"/>
    <cellStyle name="Comma 3 8 3 2 2 4 2" xfId="19394" xr:uid="{00000000-0005-0000-0000-000072A40000}"/>
    <cellStyle name="Comma 3 8 3 2 2 4 2 2" xfId="42672" xr:uid="{00000000-0005-0000-0000-000073A40000}"/>
    <cellStyle name="Comma 3 8 3 2 2 4 3" xfId="29186" xr:uid="{00000000-0005-0000-0000-000074A40000}"/>
    <cellStyle name="Comma 3 8 3 2 2 5" xfId="8355" xr:uid="{00000000-0005-0000-0000-000075A40000}"/>
    <cellStyle name="Comma 3 8 3 2 2 5 2" xfId="31634" xr:uid="{00000000-0005-0000-0000-000076A40000}"/>
    <cellStyle name="Comma 3 8 3 2 2 6" xfId="10803" xr:uid="{00000000-0005-0000-0000-000077A40000}"/>
    <cellStyle name="Comma 3 8 3 2 2 6 2" xfId="34082" xr:uid="{00000000-0005-0000-0000-000078A40000}"/>
    <cellStyle name="Comma 3 8 3 2 2 7" xfId="13251" xr:uid="{00000000-0005-0000-0000-000079A40000}"/>
    <cellStyle name="Comma 3 8 3 2 2 7 2" xfId="36530" xr:uid="{00000000-0005-0000-0000-00007AA40000}"/>
    <cellStyle name="Comma 3 8 3 2 2 8" xfId="15722" xr:uid="{00000000-0005-0000-0000-00007BA40000}"/>
    <cellStyle name="Comma 3 8 3 2 2 8 2" xfId="39000" xr:uid="{00000000-0005-0000-0000-00007CA40000}"/>
    <cellStyle name="Comma 3 8 3 2 2 9" xfId="24290" xr:uid="{00000000-0005-0000-0000-00007DA40000}"/>
    <cellStyle name="Comma 3 8 3 2 3" xfId="1623" xr:uid="{00000000-0005-0000-0000-00007EA40000}"/>
    <cellStyle name="Comma 3 8 3 2 3 10" xfId="22454" xr:uid="{00000000-0005-0000-0000-00007FA40000}"/>
    <cellStyle name="Comma 3 8 3 2 3 2" xfId="4071" xr:uid="{00000000-0005-0000-0000-000080A40000}"/>
    <cellStyle name="Comma 3 8 3 2 3 2 2" xfId="20006" xr:uid="{00000000-0005-0000-0000-000081A40000}"/>
    <cellStyle name="Comma 3 8 3 2 3 2 2 2" xfId="43284" xr:uid="{00000000-0005-0000-0000-000082A40000}"/>
    <cellStyle name="Comma 3 8 3 2 3 2 3" xfId="48180" xr:uid="{00000000-0005-0000-0000-000083A40000}"/>
    <cellStyle name="Comma 3 8 3 2 3 2 4" xfId="27350" xr:uid="{00000000-0005-0000-0000-000084A40000}"/>
    <cellStyle name="Comma 3 8 3 2 3 3" xfId="6519" xr:uid="{00000000-0005-0000-0000-000085A40000}"/>
    <cellStyle name="Comma 3 8 3 2 3 3 2" xfId="29798" xr:uid="{00000000-0005-0000-0000-000086A40000}"/>
    <cellStyle name="Comma 3 8 3 2 3 4" xfId="8967" xr:uid="{00000000-0005-0000-0000-000087A40000}"/>
    <cellStyle name="Comma 3 8 3 2 3 4 2" xfId="32246" xr:uid="{00000000-0005-0000-0000-000088A40000}"/>
    <cellStyle name="Comma 3 8 3 2 3 5" xfId="11415" xr:uid="{00000000-0005-0000-0000-000089A40000}"/>
    <cellStyle name="Comma 3 8 3 2 3 5 2" xfId="34694" xr:uid="{00000000-0005-0000-0000-00008AA40000}"/>
    <cellStyle name="Comma 3 8 3 2 3 6" xfId="13863" xr:uid="{00000000-0005-0000-0000-00008BA40000}"/>
    <cellStyle name="Comma 3 8 3 2 3 6 2" xfId="37142" xr:uid="{00000000-0005-0000-0000-00008CA40000}"/>
    <cellStyle name="Comma 3 8 3 2 3 7" xfId="17558" xr:uid="{00000000-0005-0000-0000-00008DA40000}"/>
    <cellStyle name="Comma 3 8 3 2 3 7 2" xfId="40836" xr:uid="{00000000-0005-0000-0000-00008EA40000}"/>
    <cellStyle name="Comma 3 8 3 2 3 8" xfId="24902" xr:uid="{00000000-0005-0000-0000-00008FA40000}"/>
    <cellStyle name="Comma 3 8 3 2 3 9" xfId="45732" xr:uid="{00000000-0005-0000-0000-000090A40000}"/>
    <cellStyle name="Comma 3 8 3 2 4" xfId="2847" xr:uid="{00000000-0005-0000-0000-000091A40000}"/>
    <cellStyle name="Comma 3 8 3 2 4 2" xfId="16334" xr:uid="{00000000-0005-0000-0000-000092A40000}"/>
    <cellStyle name="Comma 3 8 3 2 4 2 2" xfId="39612" xr:uid="{00000000-0005-0000-0000-000093A40000}"/>
    <cellStyle name="Comma 3 8 3 2 4 3" xfId="46956" xr:uid="{00000000-0005-0000-0000-000094A40000}"/>
    <cellStyle name="Comma 3 8 3 2 4 4" xfId="26126" xr:uid="{00000000-0005-0000-0000-000095A40000}"/>
    <cellStyle name="Comma 3 8 3 2 5" xfId="5295" xr:uid="{00000000-0005-0000-0000-000096A40000}"/>
    <cellStyle name="Comma 3 8 3 2 5 2" xfId="18782" xr:uid="{00000000-0005-0000-0000-000097A40000}"/>
    <cellStyle name="Comma 3 8 3 2 5 2 2" xfId="42060" xr:uid="{00000000-0005-0000-0000-000098A40000}"/>
    <cellStyle name="Comma 3 8 3 2 5 3" xfId="28574" xr:uid="{00000000-0005-0000-0000-000099A40000}"/>
    <cellStyle name="Comma 3 8 3 2 6" xfId="7743" xr:uid="{00000000-0005-0000-0000-00009AA40000}"/>
    <cellStyle name="Comma 3 8 3 2 6 2" xfId="31022" xr:uid="{00000000-0005-0000-0000-00009BA40000}"/>
    <cellStyle name="Comma 3 8 3 2 7" xfId="10191" xr:uid="{00000000-0005-0000-0000-00009CA40000}"/>
    <cellStyle name="Comma 3 8 3 2 7 2" xfId="33470" xr:uid="{00000000-0005-0000-0000-00009DA40000}"/>
    <cellStyle name="Comma 3 8 3 2 8" xfId="12639" xr:uid="{00000000-0005-0000-0000-00009EA40000}"/>
    <cellStyle name="Comma 3 8 3 2 8 2" xfId="35918" xr:uid="{00000000-0005-0000-0000-00009FA40000}"/>
    <cellStyle name="Comma 3 8 3 2 9" xfId="15110" xr:uid="{00000000-0005-0000-0000-0000A0A40000}"/>
    <cellStyle name="Comma 3 8 3 2 9 2" xfId="38388" xr:uid="{00000000-0005-0000-0000-0000A1A40000}"/>
    <cellStyle name="Comma 3 8 3 3" xfId="603" xr:uid="{00000000-0005-0000-0000-0000A2A40000}"/>
    <cellStyle name="Comma 3 8 3 3 10" xfId="23882" xr:uid="{00000000-0005-0000-0000-0000A3A40000}"/>
    <cellStyle name="Comma 3 8 3 3 11" xfId="44712" xr:uid="{00000000-0005-0000-0000-0000A4A40000}"/>
    <cellStyle name="Comma 3 8 3 3 12" xfId="21434" xr:uid="{00000000-0005-0000-0000-0000A5A40000}"/>
    <cellStyle name="Comma 3 8 3 3 2" xfId="1215" xr:uid="{00000000-0005-0000-0000-0000A6A40000}"/>
    <cellStyle name="Comma 3 8 3 3 2 10" xfId="45324" xr:uid="{00000000-0005-0000-0000-0000A7A40000}"/>
    <cellStyle name="Comma 3 8 3 3 2 11" xfId="22046" xr:uid="{00000000-0005-0000-0000-0000A8A40000}"/>
    <cellStyle name="Comma 3 8 3 3 2 2" xfId="2439" xr:uid="{00000000-0005-0000-0000-0000A9A40000}"/>
    <cellStyle name="Comma 3 8 3 3 2 2 10" xfId="23270" xr:uid="{00000000-0005-0000-0000-0000AAA40000}"/>
    <cellStyle name="Comma 3 8 3 3 2 2 2" xfId="4887" xr:uid="{00000000-0005-0000-0000-0000ABA40000}"/>
    <cellStyle name="Comma 3 8 3 3 2 2 2 2" xfId="20822" xr:uid="{00000000-0005-0000-0000-0000ACA40000}"/>
    <cellStyle name="Comma 3 8 3 3 2 2 2 2 2" xfId="44100" xr:uid="{00000000-0005-0000-0000-0000ADA40000}"/>
    <cellStyle name="Comma 3 8 3 3 2 2 2 3" xfId="48996" xr:uid="{00000000-0005-0000-0000-0000AEA40000}"/>
    <cellStyle name="Comma 3 8 3 3 2 2 2 4" xfId="28166" xr:uid="{00000000-0005-0000-0000-0000AFA40000}"/>
    <cellStyle name="Comma 3 8 3 3 2 2 3" xfId="7335" xr:uid="{00000000-0005-0000-0000-0000B0A40000}"/>
    <cellStyle name="Comma 3 8 3 3 2 2 3 2" xfId="30614" xr:uid="{00000000-0005-0000-0000-0000B1A40000}"/>
    <cellStyle name="Comma 3 8 3 3 2 2 4" xfId="9783" xr:uid="{00000000-0005-0000-0000-0000B2A40000}"/>
    <cellStyle name="Comma 3 8 3 3 2 2 4 2" xfId="33062" xr:uid="{00000000-0005-0000-0000-0000B3A40000}"/>
    <cellStyle name="Comma 3 8 3 3 2 2 5" xfId="12231" xr:uid="{00000000-0005-0000-0000-0000B4A40000}"/>
    <cellStyle name="Comma 3 8 3 3 2 2 5 2" xfId="35510" xr:uid="{00000000-0005-0000-0000-0000B5A40000}"/>
    <cellStyle name="Comma 3 8 3 3 2 2 6" xfId="14679" xr:uid="{00000000-0005-0000-0000-0000B6A40000}"/>
    <cellStyle name="Comma 3 8 3 3 2 2 6 2" xfId="37958" xr:uid="{00000000-0005-0000-0000-0000B7A40000}"/>
    <cellStyle name="Comma 3 8 3 3 2 2 7" xfId="18374" xr:uid="{00000000-0005-0000-0000-0000B8A40000}"/>
    <cellStyle name="Comma 3 8 3 3 2 2 7 2" xfId="41652" xr:uid="{00000000-0005-0000-0000-0000B9A40000}"/>
    <cellStyle name="Comma 3 8 3 3 2 2 8" xfId="25718" xr:uid="{00000000-0005-0000-0000-0000BAA40000}"/>
    <cellStyle name="Comma 3 8 3 3 2 2 9" xfId="46548" xr:uid="{00000000-0005-0000-0000-0000BBA40000}"/>
    <cellStyle name="Comma 3 8 3 3 2 3" xfId="3663" xr:uid="{00000000-0005-0000-0000-0000BCA40000}"/>
    <cellStyle name="Comma 3 8 3 3 2 3 2" xfId="17150" xr:uid="{00000000-0005-0000-0000-0000BDA40000}"/>
    <cellStyle name="Comma 3 8 3 3 2 3 2 2" xfId="40428" xr:uid="{00000000-0005-0000-0000-0000BEA40000}"/>
    <cellStyle name="Comma 3 8 3 3 2 3 3" xfId="47772" xr:uid="{00000000-0005-0000-0000-0000BFA40000}"/>
    <cellStyle name="Comma 3 8 3 3 2 3 4" xfId="26942" xr:uid="{00000000-0005-0000-0000-0000C0A40000}"/>
    <cellStyle name="Comma 3 8 3 3 2 4" xfId="6111" xr:uid="{00000000-0005-0000-0000-0000C1A40000}"/>
    <cellStyle name="Comma 3 8 3 3 2 4 2" xfId="19598" xr:uid="{00000000-0005-0000-0000-0000C2A40000}"/>
    <cellStyle name="Comma 3 8 3 3 2 4 2 2" xfId="42876" xr:uid="{00000000-0005-0000-0000-0000C3A40000}"/>
    <cellStyle name="Comma 3 8 3 3 2 4 3" xfId="29390" xr:uid="{00000000-0005-0000-0000-0000C4A40000}"/>
    <cellStyle name="Comma 3 8 3 3 2 5" xfId="8559" xr:uid="{00000000-0005-0000-0000-0000C5A40000}"/>
    <cellStyle name="Comma 3 8 3 3 2 5 2" xfId="31838" xr:uid="{00000000-0005-0000-0000-0000C6A40000}"/>
    <cellStyle name="Comma 3 8 3 3 2 6" xfId="11007" xr:uid="{00000000-0005-0000-0000-0000C7A40000}"/>
    <cellStyle name="Comma 3 8 3 3 2 6 2" xfId="34286" xr:uid="{00000000-0005-0000-0000-0000C8A40000}"/>
    <cellStyle name="Comma 3 8 3 3 2 7" xfId="13455" xr:uid="{00000000-0005-0000-0000-0000C9A40000}"/>
    <cellStyle name="Comma 3 8 3 3 2 7 2" xfId="36734" xr:uid="{00000000-0005-0000-0000-0000CAA40000}"/>
    <cellStyle name="Comma 3 8 3 3 2 8" xfId="15926" xr:uid="{00000000-0005-0000-0000-0000CBA40000}"/>
    <cellStyle name="Comma 3 8 3 3 2 8 2" xfId="39204" xr:uid="{00000000-0005-0000-0000-0000CCA40000}"/>
    <cellStyle name="Comma 3 8 3 3 2 9" xfId="24494" xr:uid="{00000000-0005-0000-0000-0000CDA40000}"/>
    <cellStyle name="Comma 3 8 3 3 3" xfId="1827" xr:uid="{00000000-0005-0000-0000-0000CEA40000}"/>
    <cellStyle name="Comma 3 8 3 3 3 10" xfId="22658" xr:uid="{00000000-0005-0000-0000-0000CFA40000}"/>
    <cellStyle name="Comma 3 8 3 3 3 2" xfId="4275" xr:uid="{00000000-0005-0000-0000-0000D0A40000}"/>
    <cellStyle name="Comma 3 8 3 3 3 2 2" xfId="20210" xr:uid="{00000000-0005-0000-0000-0000D1A40000}"/>
    <cellStyle name="Comma 3 8 3 3 3 2 2 2" xfId="43488" xr:uid="{00000000-0005-0000-0000-0000D2A40000}"/>
    <cellStyle name="Comma 3 8 3 3 3 2 3" xfId="48384" xr:uid="{00000000-0005-0000-0000-0000D3A40000}"/>
    <cellStyle name="Comma 3 8 3 3 3 2 4" xfId="27554" xr:uid="{00000000-0005-0000-0000-0000D4A40000}"/>
    <cellStyle name="Comma 3 8 3 3 3 3" xfId="6723" xr:uid="{00000000-0005-0000-0000-0000D5A40000}"/>
    <cellStyle name="Comma 3 8 3 3 3 3 2" xfId="30002" xr:uid="{00000000-0005-0000-0000-0000D6A40000}"/>
    <cellStyle name="Comma 3 8 3 3 3 4" xfId="9171" xr:uid="{00000000-0005-0000-0000-0000D7A40000}"/>
    <cellStyle name="Comma 3 8 3 3 3 4 2" xfId="32450" xr:uid="{00000000-0005-0000-0000-0000D8A40000}"/>
    <cellStyle name="Comma 3 8 3 3 3 5" xfId="11619" xr:uid="{00000000-0005-0000-0000-0000D9A40000}"/>
    <cellStyle name="Comma 3 8 3 3 3 5 2" xfId="34898" xr:uid="{00000000-0005-0000-0000-0000DAA40000}"/>
    <cellStyle name="Comma 3 8 3 3 3 6" xfId="14067" xr:uid="{00000000-0005-0000-0000-0000DBA40000}"/>
    <cellStyle name="Comma 3 8 3 3 3 6 2" xfId="37346" xr:uid="{00000000-0005-0000-0000-0000DCA40000}"/>
    <cellStyle name="Comma 3 8 3 3 3 7" xfId="17762" xr:uid="{00000000-0005-0000-0000-0000DDA40000}"/>
    <cellStyle name="Comma 3 8 3 3 3 7 2" xfId="41040" xr:uid="{00000000-0005-0000-0000-0000DEA40000}"/>
    <cellStyle name="Comma 3 8 3 3 3 8" xfId="25106" xr:uid="{00000000-0005-0000-0000-0000DFA40000}"/>
    <cellStyle name="Comma 3 8 3 3 3 9" xfId="45936" xr:uid="{00000000-0005-0000-0000-0000E0A40000}"/>
    <cellStyle name="Comma 3 8 3 3 4" xfId="3051" xr:uid="{00000000-0005-0000-0000-0000E1A40000}"/>
    <cellStyle name="Comma 3 8 3 3 4 2" xfId="16538" xr:uid="{00000000-0005-0000-0000-0000E2A40000}"/>
    <cellStyle name="Comma 3 8 3 3 4 2 2" xfId="39816" xr:uid="{00000000-0005-0000-0000-0000E3A40000}"/>
    <cellStyle name="Comma 3 8 3 3 4 3" xfId="47160" xr:uid="{00000000-0005-0000-0000-0000E4A40000}"/>
    <cellStyle name="Comma 3 8 3 3 4 4" xfId="26330" xr:uid="{00000000-0005-0000-0000-0000E5A40000}"/>
    <cellStyle name="Comma 3 8 3 3 5" xfId="5499" xr:uid="{00000000-0005-0000-0000-0000E6A40000}"/>
    <cellStyle name="Comma 3 8 3 3 5 2" xfId="18986" xr:uid="{00000000-0005-0000-0000-0000E7A40000}"/>
    <cellStyle name="Comma 3 8 3 3 5 2 2" xfId="42264" xr:uid="{00000000-0005-0000-0000-0000E8A40000}"/>
    <cellStyle name="Comma 3 8 3 3 5 3" xfId="28778" xr:uid="{00000000-0005-0000-0000-0000E9A40000}"/>
    <cellStyle name="Comma 3 8 3 3 6" xfId="7947" xr:uid="{00000000-0005-0000-0000-0000EAA40000}"/>
    <cellStyle name="Comma 3 8 3 3 6 2" xfId="31226" xr:uid="{00000000-0005-0000-0000-0000EBA40000}"/>
    <cellStyle name="Comma 3 8 3 3 7" xfId="10395" xr:uid="{00000000-0005-0000-0000-0000ECA40000}"/>
    <cellStyle name="Comma 3 8 3 3 7 2" xfId="33674" xr:uid="{00000000-0005-0000-0000-0000EDA40000}"/>
    <cellStyle name="Comma 3 8 3 3 8" xfId="12843" xr:uid="{00000000-0005-0000-0000-0000EEA40000}"/>
    <cellStyle name="Comma 3 8 3 3 8 2" xfId="36122" xr:uid="{00000000-0005-0000-0000-0000EFA40000}"/>
    <cellStyle name="Comma 3 8 3 3 9" xfId="15314" xr:uid="{00000000-0005-0000-0000-0000F0A40000}"/>
    <cellStyle name="Comma 3 8 3 3 9 2" xfId="38592" xr:uid="{00000000-0005-0000-0000-0000F1A40000}"/>
    <cellStyle name="Comma 3 8 3 4" xfId="807" xr:uid="{00000000-0005-0000-0000-0000F2A40000}"/>
    <cellStyle name="Comma 3 8 3 4 10" xfId="44916" xr:uid="{00000000-0005-0000-0000-0000F3A40000}"/>
    <cellStyle name="Comma 3 8 3 4 11" xfId="21638" xr:uid="{00000000-0005-0000-0000-0000F4A40000}"/>
    <cellStyle name="Comma 3 8 3 4 2" xfId="2031" xr:uid="{00000000-0005-0000-0000-0000F5A40000}"/>
    <cellStyle name="Comma 3 8 3 4 2 10" xfId="22862" xr:uid="{00000000-0005-0000-0000-0000F6A40000}"/>
    <cellStyle name="Comma 3 8 3 4 2 2" xfId="4479" xr:uid="{00000000-0005-0000-0000-0000F7A40000}"/>
    <cellStyle name="Comma 3 8 3 4 2 2 2" xfId="20414" xr:uid="{00000000-0005-0000-0000-0000F8A40000}"/>
    <cellStyle name="Comma 3 8 3 4 2 2 2 2" xfId="43692" xr:uid="{00000000-0005-0000-0000-0000F9A40000}"/>
    <cellStyle name="Comma 3 8 3 4 2 2 3" xfId="48588" xr:uid="{00000000-0005-0000-0000-0000FAA40000}"/>
    <cellStyle name="Comma 3 8 3 4 2 2 4" xfId="27758" xr:uid="{00000000-0005-0000-0000-0000FBA40000}"/>
    <cellStyle name="Comma 3 8 3 4 2 3" xfId="6927" xr:uid="{00000000-0005-0000-0000-0000FCA40000}"/>
    <cellStyle name="Comma 3 8 3 4 2 3 2" xfId="30206" xr:uid="{00000000-0005-0000-0000-0000FDA40000}"/>
    <cellStyle name="Comma 3 8 3 4 2 4" xfId="9375" xr:uid="{00000000-0005-0000-0000-0000FEA40000}"/>
    <cellStyle name="Comma 3 8 3 4 2 4 2" xfId="32654" xr:uid="{00000000-0005-0000-0000-0000FFA40000}"/>
    <cellStyle name="Comma 3 8 3 4 2 5" xfId="11823" xr:uid="{00000000-0005-0000-0000-000000A50000}"/>
    <cellStyle name="Comma 3 8 3 4 2 5 2" xfId="35102" xr:uid="{00000000-0005-0000-0000-000001A50000}"/>
    <cellStyle name="Comma 3 8 3 4 2 6" xfId="14271" xr:uid="{00000000-0005-0000-0000-000002A50000}"/>
    <cellStyle name="Comma 3 8 3 4 2 6 2" xfId="37550" xr:uid="{00000000-0005-0000-0000-000003A50000}"/>
    <cellStyle name="Comma 3 8 3 4 2 7" xfId="17966" xr:uid="{00000000-0005-0000-0000-000004A50000}"/>
    <cellStyle name="Comma 3 8 3 4 2 7 2" xfId="41244" xr:uid="{00000000-0005-0000-0000-000005A50000}"/>
    <cellStyle name="Comma 3 8 3 4 2 8" xfId="25310" xr:uid="{00000000-0005-0000-0000-000006A50000}"/>
    <cellStyle name="Comma 3 8 3 4 2 9" xfId="46140" xr:uid="{00000000-0005-0000-0000-000007A50000}"/>
    <cellStyle name="Comma 3 8 3 4 3" xfId="3255" xr:uid="{00000000-0005-0000-0000-000008A50000}"/>
    <cellStyle name="Comma 3 8 3 4 3 2" xfId="16742" xr:uid="{00000000-0005-0000-0000-000009A50000}"/>
    <cellStyle name="Comma 3 8 3 4 3 2 2" xfId="40020" xr:uid="{00000000-0005-0000-0000-00000AA50000}"/>
    <cellStyle name="Comma 3 8 3 4 3 3" xfId="47364" xr:uid="{00000000-0005-0000-0000-00000BA50000}"/>
    <cellStyle name="Comma 3 8 3 4 3 4" xfId="26534" xr:uid="{00000000-0005-0000-0000-00000CA50000}"/>
    <cellStyle name="Comma 3 8 3 4 4" xfId="5703" xr:uid="{00000000-0005-0000-0000-00000DA50000}"/>
    <cellStyle name="Comma 3 8 3 4 4 2" xfId="19190" xr:uid="{00000000-0005-0000-0000-00000EA50000}"/>
    <cellStyle name="Comma 3 8 3 4 4 2 2" xfId="42468" xr:uid="{00000000-0005-0000-0000-00000FA50000}"/>
    <cellStyle name="Comma 3 8 3 4 4 3" xfId="28982" xr:uid="{00000000-0005-0000-0000-000010A50000}"/>
    <cellStyle name="Comma 3 8 3 4 5" xfId="8151" xr:uid="{00000000-0005-0000-0000-000011A50000}"/>
    <cellStyle name="Comma 3 8 3 4 5 2" xfId="31430" xr:uid="{00000000-0005-0000-0000-000012A50000}"/>
    <cellStyle name="Comma 3 8 3 4 6" xfId="10599" xr:uid="{00000000-0005-0000-0000-000013A50000}"/>
    <cellStyle name="Comma 3 8 3 4 6 2" xfId="33878" xr:uid="{00000000-0005-0000-0000-000014A50000}"/>
    <cellStyle name="Comma 3 8 3 4 7" xfId="13047" xr:uid="{00000000-0005-0000-0000-000015A50000}"/>
    <cellStyle name="Comma 3 8 3 4 7 2" xfId="36326" xr:uid="{00000000-0005-0000-0000-000016A50000}"/>
    <cellStyle name="Comma 3 8 3 4 8" xfId="15518" xr:uid="{00000000-0005-0000-0000-000017A50000}"/>
    <cellStyle name="Comma 3 8 3 4 8 2" xfId="38796" xr:uid="{00000000-0005-0000-0000-000018A50000}"/>
    <cellStyle name="Comma 3 8 3 4 9" xfId="24086" xr:uid="{00000000-0005-0000-0000-000019A50000}"/>
    <cellStyle name="Comma 3 8 3 5" xfId="1419" xr:uid="{00000000-0005-0000-0000-00001AA50000}"/>
    <cellStyle name="Comma 3 8 3 5 10" xfId="22250" xr:uid="{00000000-0005-0000-0000-00001BA50000}"/>
    <cellStyle name="Comma 3 8 3 5 2" xfId="3867" xr:uid="{00000000-0005-0000-0000-00001CA50000}"/>
    <cellStyle name="Comma 3 8 3 5 2 2" xfId="19802" xr:uid="{00000000-0005-0000-0000-00001DA50000}"/>
    <cellStyle name="Comma 3 8 3 5 2 2 2" xfId="43080" xr:uid="{00000000-0005-0000-0000-00001EA50000}"/>
    <cellStyle name="Comma 3 8 3 5 2 3" xfId="47976" xr:uid="{00000000-0005-0000-0000-00001FA50000}"/>
    <cellStyle name="Comma 3 8 3 5 2 4" xfId="27146" xr:uid="{00000000-0005-0000-0000-000020A50000}"/>
    <cellStyle name="Comma 3 8 3 5 3" xfId="6315" xr:uid="{00000000-0005-0000-0000-000021A50000}"/>
    <cellStyle name="Comma 3 8 3 5 3 2" xfId="29594" xr:uid="{00000000-0005-0000-0000-000022A50000}"/>
    <cellStyle name="Comma 3 8 3 5 4" xfId="8763" xr:uid="{00000000-0005-0000-0000-000023A50000}"/>
    <cellStyle name="Comma 3 8 3 5 4 2" xfId="32042" xr:uid="{00000000-0005-0000-0000-000024A50000}"/>
    <cellStyle name="Comma 3 8 3 5 5" xfId="11211" xr:uid="{00000000-0005-0000-0000-000025A50000}"/>
    <cellStyle name="Comma 3 8 3 5 5 2" xfId="34490" xr:uid="{00000000-0005-0000-0000-000026A50000}"/>
    <cellStyle name="Comma 3 8 3 5 6" xfId="13659" xr:uid="{00000000-0005-0000-0000-000027A50000}"/>
    <cellStyle name="Comma 3 8 3 5 6 2" xfId="36938" xr:uid="{00000000-0005-0000-0000-000028A50000}"/>
    <cellStyle name="Comma 3 8 3 5 7" xfId="17354" xr:uid="{00000000-0005-0000-0000-000029A50000}"/>
    <cellStyle name="Comma 3 8 3 5 7 2" xfId="40632" xr:uid="{00000000-0005-0000-0000-00002AA50000}"/>
    <cellStyle name="Comma 3 8 3 5 8" xfId="24698" xr:uid="{00000000-0005-0000-0000-00002BA50000}"/>
    <cellStyle name="Comma 3 8 3 5 9" xfId="45528" xr:uid="{00000000-0005-0000-0000-00002CA50000}"/>
    <cellStyle name="Comma 3 8 3 6" xfId="2643" xr:uid="{00000000-0005-0000-0000-00002DA50000}"/>
    <cellStyle name="Comma 3 8 3 6 2" xfId="16130" xr:uid="{00000000-0005-0000-0000-00002EA50000}"/>
    <cellStyle name="Comma 3 8 3 6 2 2" xfId="39408" xr:uid="{00000000-0005-0000-0000-00002FA50000}"/>
    <cellStyle name="Comma 3 8 3 6 3" xfId="46752" xr:uid="{00000000-0005-0000-0000-000030A50000}"/>
    <cellStyle name="Comma 3 8 3 6 4" xfId="25922" xr:uid="{00000000-0005-0000-0000-000031A50000}"/>
    <cellStyle name="Comma 3 8 3 7" xfId="5091" xr:uid="{00000000-0005-0000-0000-000032A50000}"/>
    <cellStyle name="Comma 3 8 3 7 2" xfId="18578" xr:uid="{00000000-0005-0000-0000-000033A50000}"/>
    <cellStyle name="Comma 3 8 3 7 2 2" xfId="41856" xr:uid="{00000000-0005-0000-0000-000034A50000}"/>
    <cellStyle name="Comma 3 8 3 7 3" xfId="28370" xr:uid="{00000000-0005-0000-0000-000035A50000}"/>
    <cellStyle name="Comma 3 8 3 8" xfId="7539" xr:uid="{00000000-0005-0000-0000-000036A50000}"/>
    <cellStyle name="Comma 3 8 3 8 2" xfId="30818" xr:uid="{00000000-0005-0000-0000-000037A50000}"/>
    <cellStyle name="Comma 3 8 3 9" xfId="9987" xr:uid="{00000000-0005-0000-0000-000038A50000}"/>
    <cellStyle name="Comma 3 8 3 9 2" xfId="33266" xr:uid="{00000000-0005-0000-0000-000039A50000}"/>
    <cellStyle name="Comma 3 8 4" xfId="263" xr:uid="{00000000-0005-0000-0000-00003AA50000}"/>
    <cellStyle name="Comma 3 8 4 10" xfId="23542" xr:uid="{00000000-0005-0000-0000-00003BA50000}"/>
    <cellStyle name="Comma 3 8 4 11" xfId="44372" xr:uid="{00000000-0005-0000-0000-00003CA50000}"/>
    <cellStyle name="Comma 3 8 4 12" xfId="21094" xr:uid="{00000000-0005-0000-0000-00003DA50000}"/>
    <cellStyle name="Comma 3 8 4 2" xfId="875" xr:uid="{00000000-0005-0000-0000-00003EA50000}"/>
    <cellStyle name="Comma 3 8 4 2 10" xfId="44984" xr:uid="{00000000-0005-0000-0000-00003FA50000}"/>
    <cellStyle name="Comma 3 8 4 2 11" xfId="21706" xr:uid="{00000000-0005-0000-0000-000040A50000}"/>
    <cellStyle name="Comma 3 8 4 2 2" xfId="2099" xr:uid="{00000000-0005-0000-0000-000041A50000}"/>
    <cellStyle name="Comma 3 8 4 2 2 10" xfId="22930" xr:uid="{00000000-0005-0000-0000-000042A50000}"/>
    <cellStyle name="Comma 3 8 4 2 2 2" xfId="4547" xr:uid="{00000000-0005-0000-0000-000043A50000}"/>
    <cellStyle name="Comma 3 8 4 2 2 2 2" xfId="20482" xr:uid="{00000000-0005-0000-0000-000044A50000}"/>
    <cellStyle name="Comma 3 8 4 2 2 2 2 2" xfId="43760" xr:uid="{00000000-0005-0000-0000-000045A50000}"/>
    <cellStyle name="Comma 3 8 4 2 2 2 3" xfId="48656" xr:uid="{00000000-0005-0000-0000-000046A50000}"/>
    <cellStyle name="Comma 3 8 4 2 2 2 4" xfId="27826" xr:uid="{00000000-0005-0000-0000-000047A50000}"/>
    <cellStyle name="Comma 3 8 4 2 2 3" xfId="6995" xr:uid="{00000000-0005-0000-0000-000048A50000}"/>
    <cellStyle name="Comma 3 8 4 2 2 3 2" xfId="30274" xr:uid="{00000000-0005-0000-0000-000049A50000}"/>
    <cellStyle name="Comma 3 8 4 2 2 4" xfId="9443" xr:uid="{00000000-0005-0000-0000-00004AA50000}"/>
    <cellStyle name="Comma 3 8 4 2 2 4 2" xfId="32722" xr:uid="{00000000-0005-0000-0000-00004BA50000}"/>
    <cellStyle name="Comma 3 8 4 2 2 5" xfId="11891" xr:uid="{00000000-0005-0000-0000-00004CA50000}"/>
    <cellStyle name="Comma 3 8 4 2 2 5 2" xfId="35170" xr:uid="{00000000-0005-0000-0000-00004DA50000}"/>
    <cellStyle name="Comma 3 8 4 2 2 6" xfId="14339" xr:uid="{00000000-0005-0000-0000-00004EA50000}"/>
    <cellStyle name="Comma 3 8 4 2 2 6 2" xfId="37618" xr:uid="{00000000-0005-0000-0000-00004FA50000}"/>
    <cellStyle name="Comma 3 8 4 2 2 7" xfId="18034" xr:uid="{00000000-0005-0000-0000-000050A50000}"/>
    <cellStyle name="Comma 3 8 4 2 2 7 2" xfId="41312" xr:uid="{00000000-0005-0000-0000-000051A50000}"/>
    <cellStyle name="Comma 3 8 4 2 2 8" xfId="25378" xr:uid="{00000000-0005-0000-0000-000052A50000}"/>
    <cellStyle name="Comma 3 8 4 2 2 9" xfId="46208" xr:uid="{00000000-0005-0000-0000-000053A50000}"/>
    <cellStyle name="Comma 3 8 4 2 3" xfId="3323" xr:uid="{00000000-0005-0000-0000-000054A50000}"/>
    <cellStyle name="Comma 3 8 4 2 3 2" xfId="16810" xr:uid="{00000000-0005-0000-0000-000055A50000}"/>
    <cellStyle name="Comma 3 8 4 2 3 2 2" xfId="40088" xr:uid="{00000000-0005-0000-0000-000056A50000}"/>
    <cellStyle name="Comma 3 8 4 2 3 3" xfId="47432" xr:uid="{00000000-0005-0000-0000-000057A50000}"/>
    <cellStyle name="Comma 3 8 4 2 3 4" xfId="26602" xr:uid="{00000000-0005-0000-0000-000058A50000}"/>
    <cellStyle name="Comma 3 8 4 2 4" xfId="5771" xr:uid="{00000000-0005-0000-0000-000059A50000}"/>
    <cellStyle name="Comma 3 8 4 2 4 2" xfId="19258" xr:uid="{00000000-0005-0000-0000-00005AA50000}"/>
    <cellStyle name="Comma 3 8 4 2 4 2 2" xfId="42536" xr:uid="{00000000-0005-0000-0000-00005BA50000}"/>
    <cellStyle name="Comma 3 8 4 2 4 3" xfId="29050" xr:uid="{00000000-0005-0000-0000-00005CA50000}"/>
    <cellStyle name="Comma 3 8 4 2 5" xfId="8219" xr:uid="{00000000-0005-0000-0000-00005DA50000}"/>
    <cellStyle name="Comma 3 8 4 2 5 2" xfId="31498" xr:uid="{00000000-0005-0000-0000-00005EA50000}"/>
    <cellStyle name="Comma 3 8 4 2 6" xfId="10667" xr:uid="{00000000-0005-0000-0000-00005FA50000}"/>
    <cellStyle name="Comma 3 8 4 2 6 2" xfId="33946" xr:uid="{00000000-0005-0000-0000-000060A50000}"/>
    <cellStyle name="Comma 3 8 4 2 7" xfId="13115" xr:uid="{00000000-0005-0000-0000-000061A50000}"/>
    <cellStyle name="Comma 3 8 4 2 7 2" xfId="36394" xr:uid="{00000000-0005-0000-0000-000062A50000}"/>
    <cellStyle name="Comma 3 8 4 2 8" xfId="15586" xr:uid="{00000000-0005-0000-0000-000063A50000}"/>
    <cellStyle name="Comma 3 8 4 2 8 2" xfId="38864" xr:uid="{00000000-0005-0000-0000-000064A50000}"/>
    <cellStyle name="Comma 3 8 4 2 9" xfId="24154" xr:uid="{00000000-0005-0000-0000-000065A50000}"/>
    <cellStyle name="Comma 3 8 4 3" xfId="1487" xr:uid="{00000000-0005-0000-0000-000066A50000}"/>
    <cellStyle name="Comma 3 8 4 3 10" xfId="22318" xr:uid="{00000000-0005-0000-0000-000067A50000}"/>
    <cellStyle name="Comma 3 8 4 3 2" xfId="3935" xr:uid="{00000000-0005-0000-0000-000068A50000}"/>
    <cellStyle name="Comma 3 8 4 3 2 2" xfId="19870" xr:uid="{00000000-0005-0000-0000-000069A50000}"/>
    <cellStyle name="Comma 3 8 4 3 2 2 2" xfId="43148" xr:uid="{00000000-0005-0000-0000-00006AA50000}"/>
    <cellStyle name="Comma 3 8 4 3 2 3" xfId="48044" xr:uid="{00000000-0005-0000-0000-00006BA50000}"/>
    <cellStyle name="Comma 3 8 4 3 2 4" xfId="27214" xr:uid="{00000000-0005-0000-0000-00006CA50000}"/>
    <cellStyle name="Comma 3 8 4 3 3" xfId="6383" xr:uid="{00000000-0005-0000-0000-00006DA50000}"/>
    <cellStyle name="Comma 3 8 4 3 3 2" xfId="29662" xr:uid="{00000000-0005-0000-0000-00006EA50000}"/>
    <cellStyle name="Comma 3 8 4 3 4" xfId="8831" xr:uid="{00000000-0005-0000-0000-00006FA50000}"/>
    <cellStyle name="Comma 3 8 4 3 4 2" xfId="32110" xr:uid="{00000000-0005-0000-0000-000070A50000}"/>
    <cellStyle name="Comma 3 8 4 3 5" xfId="11279" xr:uid="{00000000-0005-0000-0000-000071A50000}"/>
    <cellStyle name="Comma 3 8 4 3 5 2" xfId="34558" xr:uid="{00000000-0005-0000-0000-000072A50000}"/>
    <cellStyle name="Comma 3 8 4 3 6" xfId="13727" xr:uid="{00000000-0005-0000-0000-000073A50000}"/>
    <cellStyle name="Comma 3 8 4 3 6 2" xfId="37006" xr:uid="{00000000-0005-0000-0000-000074A50000}"/>
    <cellStyle name="Comma 3 8 4 3 7" xfId="17422" xr:uid="{00000000-0005-0000-0000-000075A50000}"/>
    <cellStyle name="Comma 3 8 4 3 7 2" xfId="40700" xr:uid="{00000000-0005-0000-0000-000076A50000}"/>
    <cellStyle name="Comma 3 8 4 3 8" xfId="24766" xr:uid="{00000000-0005-0000-0000-000077A50000}"/>
    <cellStyle name="Comma 3 8 4 3 9" xfId="45596" xr:uid="{00000000-0005-0000-0000-000078A50000}"/>
    <cellStyle name="Comma 3 8 4 4" xfId="2711" xr:uid="{00000000-0005-0000-0000-000079A50000}"/>
    <cellStyle name="Comma 3 8 4 4 2" xfId="16198" xr:uid="{00000000-0005-0000-0000-00007AA50000}"/>
    <cellStyle name="Comma 3 8 4 4 2 2" xfId="39476" xr:uid="{00000000-0005-0000-0000-00007BA50000}"/>
    <cellStyle name="Comma 3 8 4 4 3" xfId="46820" xr:uid="{00000000-0005-0000-0000-00007CA50000}"/>
    <cellStyle name="Comma 3 8 4 4 4" xfId="25990" xr:uid="{00000000-0005-0000-0000-00007DA50000}"/>
    <cellStyle name="Comma 3 8 4 5" xfId="5159" xr:uid="{00000000-0005-0000-0000-00007EA50000}"/>
    <cellStyle name="Comma 3 8 4 5 2" xfId="18646" xr:uid="{00000000-0005-0000-0000-00007FA50000}"/>
    <cellStyle name="Comma 3 8 4 5 2 2" xfId="41924" xr:uid="{00000000-0005-0000-0000-000080A50000}"/>
    <cellStyle name="Comma 3 8 4 5 3" xfId="28438" xr:uid="{00000000-0005-0000-0000-000081A50000}"/>
    <cellStyle name="Comma 3 8 4 6" xfId="7607" xr:uid="{00000000-0005-0000-0000-000082A50000}"/>
    <cellStyle name="Comma 3 8 4 6 2" xfId="30886" xr:uid="{00000000-0005-0000-0000-000083A50000}"/>
    <cellStyle name="Comma 3 8 4 7" xfId="10055" xr:uid="{00000000-0005-0000-0000-000084A50000}"/>
    <cellStyle name="Comma 3 8 4 7 2" xfId="33334" xr:uid="{00000000-0005-0000-0000-000085A50000}"/>
    <cellStyle name="Comma 3 8 4 8" xfId="12503" xr:uid="{00000000-0005-0000-0000-000086A50000}"/>
    <cellStyle name="Comma 3 8 4 8 2" xfId="35782" xr:uid="{00000000-0005-0000-0000-000087A50000}"/>
    <cellStyle name="Comma 3 8 4 9" xfId="14974" xr:uid="{00000000-0005-0000-0000-000088A50000}"/>
    <cellStyle name="Comma 3 8 4 9 2" xfId="38252" xr:uid="{00000000-0005-0000-0000-000089A50000}"/>
    <cellStyle name="Comma 3 8 5" xfId="467" xr:uid="{00000000-0005-0000-0000-00008AA50000}"/>
    <cellStyle name="Comma 3 8 5 10" xfId="23746" xr:uid="{00000000-0005-0000-0000-00008BA50000}"/>
    <cellStyle name="Comma 3 8 5 11" xfId="44576" xr:uid="{00000000-0005-0000-0000-00008CA50000}"/>
    <cellStyle name="Comma 3 8 5 12" xfId="21298" xr:uid="{00000000-0005-0000-0000-00008DA50000}"/>
    <cellStyle name="Comma 3 8 5 2" xfId="1079" xr:uid="{00000000-0005-0000-0000-00008EA50000}"/>
    <cellStyle name="Comma 3 8 5 2 10" xfId="45188" xr:uid="{00000000-0005-0000-0000-00008FA50000}"/>
    <cellStyle name="Comma 3 8 5 2 11" xfId="21910" xr:uid="{00000000-0005-0000-0000-000090A50000}"/>
    <cellStyle name="Comma 3 8 5 2 2" xfId="2303" xr:uid="{00000000-0005-0000-0000-000091A50000}"/>
    <cellStyle name="Comma 3 8 5 2 2 10" xfId="23134" xr:uid="{00000000-0005-0000-0000-000092A50000}"/>
    <cellStyle name="Comma 3 8 5 2 2 2" xfId="4751" xr:uid="{00000000-0005-0000-0000-000093A50000}"/>
    <cellStyle name="Comma 3 8 5 2 2 2 2" xfId="20686" xr:uid="{00000000-0005-0000-0000-000094A50000}"/>
    <cellStyle name="Comma 3 8 5 2 2 2 2 2" xfId="43964" xr:uid="{00000000-0005-0000-0000-000095A50000}"/>
    <cellStyle name="Comma 3 8 5 2 2 2 3" xfId="48860" xr:uid="{00000000-0005-0000-0000-000096A50000}"/>
    <cellStyle name="Comma 3 8 5 2 2 2 4" xfId="28030" xr:uid="{00000000-0005-0000-0000-000097A50000}"/>
    <cellStyle name="Comma 3 8 5 2 2 3" xfId="7199" xr:uid="{00000000-0005-0000-0000-000098A50000}"/>
    <cellStyle name="Comma 3 8 5 2 2 3 2" xfId="30478" xr:uid="{00000000-0005-0000-0000-000099A50000}"/>
    <cellStyle name="Comma 3 8 5 2 2 4" xfId="9647" xr:uid="{00000000-0005-0000-0000-00009AA50000}"/>
    <cellStyle name="Comma 3 8 5 2 2 4 2" xfId="32926" xr:uid="{00000000-0005-0000-0000-00009BA50000}"/>
    <cellStyle name="Comma 3 8 5 2 2 5" xfId="12095" xr:uid="{00000000-0005-0000-0000-00009CA50000}"/>
    <cellStyle name="Comma 3 8 5 2 2 5 2" xfId="35374" xr:uid="{00000000-0005-0000-0000-00009DA50000}"/>
    <cellStyle name="Comma 3 8 5 2 2 6" xfId="14543" xr:uid="{00000000-0005-0000-0000-00009EA50000}"/>
    <cellStyle name="Comma 3 8 5 2 2 6 2" xfId="37822" xr:uid="{00000000-0005-0000-0000-00009FA50000}"/>
    <cellStyle name="Comma 3 8 5 2 2 7" xfId="18238" xr:uid="{00000000-0005-0000-0000-0000A0A50000}"/>
    <cellStyle name="Comma 3 8 5 2 2 7 2" xfId="41516" xr:uid="{00000000-0005-0000-0000-0000A1A50000}"/>
    <cellStyle name="Comma 3 8 5 2 2 8" xfId="25582" xr:uid="{00000000-0005-0000-0000-0000A2A50000}"/>
    <cellStyle name="Comma 3 8 5 2 2 9" xfId="46412" xr:uid="{00000000-0005-0000-0000-0000A3A50000}"/>
    <cellStyle name="Comma 3 8 5 2 3" xfId="3527" xr:uid="{00000000-0005-0000-0000-0000A4A50000}"/>
    <cellStyle name="Comma 3 8 5 2 3 2" xfId="17014" xr:uid="{00000000-0005-0000-0000-0000A5A50000}"/>
    <cellStyle name="Comma 3 8 5 2 3 2 2" xfId="40292" xr:uid="{00000000-0005-0000-0000-0000A6A50000}"/>
    <cellStyle name="Comma 3 8 5 2 3 3" xfId="47636" xr:uid="{00000000-0005-0000-0000-0000A7A50000}"/>
    <cellStyle name="Comma 3 8 5 2 3 4" xfId="26806" xr:uid="{00000000-0005-0000-0000-0000A8A50000}"/>
    <cellStyle name="Comma 3 8 5 2 4" xfId="5975" xr:uid="{00000000-0005-0000-0000-0000A9A50000}"/>
    <cellStyle name="Comma 3 8 5 2 4 2" xfId="19462" xr:uid="{00000000-0005-0000-0000-0000AAA50000}"/>
    <cellStyle name="Comma 3 8 5 2 4 2 2" xfId="42740" xr:uid="{00000000-0005-0000-0000-0000ABA50000}"/>
    <cellStyle name="Comma 3 8 5 2 4 3" xfId="29254" xr:uid="{00000000-0005-0000-0000-0000ACA50000}"/>
    <cellStyle name="Comma 3 8 5 2 5" xfId="8423" xr:uid="{00000000-0005-0000-0000-0000ADA50000}"/>
    <cellStyle name="Comma 3 8 5 2 5 2" xfId="31702" xr:uid="{00000000-0005-0000-0000-0000AEA50000}"/>
    <cellStyle name="Comma 3 8 5 2 6" xfId="10871" xr:uid="{00000000-0005-0000-0000-0000AFA50000}"/>
    <cellStyle name="Comma 3 8 5 2 6 2" xfId="34150" xr:uid="{00000000-0005-0000-0000-0000B0A50000}"/>
    <cellStyle name="Comma 3 8 5 2 7" xfId="13319" xr:uid="{00000000-0005-0000-0000-0000B1A50000}"/>
    <cellStyle name="Comma 3 8 5 2 7 2" xfId="36598" xr:uid="{00000000-0005-0000-0000-0000B2A50000}"/>
    <cellStyle name="Comma 3 8 5 2 8" xfId="15790" xr:uid="{00000000-0005-0000-0000-0000B3A50000}"/>
    <cellStyle name="Comma 3 8 5 2 8 2" xfId="39068" xr:uid="{00000000-0005-0000-0000-0000B4A50000}"/>
    <cellStyle name="Comma 3 8 5 2 9" xfId="24358" xr:uid="{00000000-0005-0000-0000-0000B5A50000}"/>
    <cellStyle name="Comma 3 8 5 3" xfId="1691" xr:uid="{00000000-0005-0000-0000-0000B6A50000}"/>
    <cellStyle name="Comma 3 8 5 3 10" xfId="22522" xr:uid="{00000000-0005-0000-0000-0000B7A50000}"/>
    <cellStyle name="Comma 3 8 5 3 2" xfId="4139" xr:uid="{00000000-0005-0000-0000-0000B8A50000}"/>
    <cellStyle name="Comma 3 8 5 3 2 2" xfId="20074" xr:uid="{00000000-0005-0000-0000-0000B9A50000}"/>
    <cellStyle name="Comma 3 8 5 3 2 2 2" xfId="43352" xr:uid="{00000000-0005-0000-0000-0000BAA50000}"/>
    <cellStyle name="Comma 3 8 5 3 2 3" xfId="48248" xr:uid="{00000000-0005-0000-0000-0000BBA50000}"/>
    <cellStyle name="Comma 3 8 5 3 2 4" xfId="27418" xr:uid="{00000000-0005-0000-0000-0000BCA50000}"/>
    <cellStyle name="Comma 3 8 5 3 3" xfId="6587" xr:uid="{00000000-0005-0000-0000-0000BDA50000}"/>
    <cellStyle name="Comma 3 8 5 3 3 2" xfId="29866" xr:uid="{00000000-0005-0000-0000-0000BEA50000}"/>
    <cellStyle name="Comma 3 8 5 3 4" xfId="9035" xr:uid="{00000000-0005-0000-0000-0000BFA50000}"/>
    <cellStyle name="Comma 3 8 5 3 4 2" xfId="32314" xr:uid="{00000000-0005-0000-0000-0000C0A50000}"/>
    <cellStyle name="Comma 3 8 5 3 5" xfId="11483" xr:uid="{00000000-0005-0000-0000-0000C1A50000}"/>
    <cellStyle name="Comma 3 8 5 3 5 2" xfId="34762" xr:uid="{00000000-0005-0000-0000-0000C2A50000}"/>
    <cellStyle name="Comma 3 8 5 3 6" xfId="13931" xr:uid="{00000000-0005-0000-0000-0000C3A50000}"/>
    <cellStyle name="Comma 3 8 5 3 6 2" xfId="37210" xr:uid="{00000000-0005-0000-0000-0000C4A50000}"/>
    <cellStyle name="Comma 3 8 5 3 7" xfId="17626" xr:uid="{00000000-0005-0000-0000-0000C5A50000}"/>
    <cellStyle name="Comma 3 8 5 3 7 2" xfId="40904" xr:uid="{00000000-0005-0000-0000-0000C6A50000}"/>
    <cellStyle name="Comma 3 8 5 3 8" xfId="24970" xr:uid="{00000000-0005-0000-0000-0000C7A50000}"/>
    <cellStyle name="Comma 3 8 5 3 9" xfId="45800" xr:uid="{00000000-0005-0000-0000-0000C8A50000}"/>
    <cellStyle name="Comma 3 8 5 4" xfId="2915" xr:uid="{00000000-0005-0000-0000-0000C9A50000}"/>
    <cellStyle name="Comma 3 8 5 4 2" xfId="16402" xr:uid="{00000000-0005-0000-0000-0000CAA50000}"/>
    <cellStyle name="Comma 3 8 5 4 2 2" xfId="39680" xr:uid="{00000000-0005-0000-0000-0000CBA50000}"/>
    <cellStyle name="Comma 3 8 5 4 3" xfId="47024" xr:uid="{00000000-0005-0000-0000-0000CCA50000}"/>
    <cellStyle name="Comma 3 8 5 4 4" xfId="26194" xr:uid="{00000000-0005-0000-0000-0000CDA50000}"/>
    <cellStyle name="Comma 3 8 5 5" xfId="5363" xr:uid="{00000000-0005-0000-0000-0000CEA50000}"/>
    <cellStyle name="Comma 3 8 5 5 2" xfId="18850" xr:uid="{00000000-0005-0000-0000-0000CFA50000}"/>
    <cellStyle name="Comma 3 8 5 5 2 2" xfId="42128" xr:uid="{00000000-0005-0000-0000-0000D0A50000}"/>
    <cellStyle name="Comma 3 8 5 5 3" xfId="28642" xr:uid="{00000000-0005-0000-0000-0000D1A50000}"/>
    <cellStyle name="Comma 3 8 5 6" xfId="7811" xr:uid="{00000000-0005-0000-0000-0000D2A50000}"/>
    <cellStyle name="Comma 3 8 5 6 2" xfId="31090" xr:uid="{00000000-0005-0000-0000-0000D3A50000}"/>
    <cellStyle name="Comma 3 8 5 7" xfId="10259" xr:uid="{00000000-0005-0000-0000-0000D4A50000}"/>
    <cellStyle name="Comma 3 8 5 7 2" xfId="33538" xr:uid="{00000000-0005-0000-0000-0000D5A50000}"/>
    <cellStyle name="Comma 3 8 5 8" xfId="12707" xr:uid="{00000000-0005-0000-0000-0000D6A50000}"/>
    <cellStyle name="Comma 3 8 5 8 2" xfId="35986" xr:uid="{00000000-0005-0000-0000-0000D7A50000}"/>
    <cellStyle name="Comma 3 8 5 9" xfId="15178" xr:uid="{00000000-0005-0000-0000-0000D8A50000}"/>
    <cellStyle name="Comma 3 8 5 9 2" xfId="38456" xr:uid="{00000000-0005-0000-0000-0000D9A50000}"/>
    <cellStyle name="Comma 3 8 6" xfId="671" xr:uid="{00000000-0005-0000-0000-0000DAA50000}"/>
    <cellStyle name="Comma 3 8 6 10" xfId="44780" xr:uid="{00000000-0005-0000-0000-0000DBA50000}"/>
    <cellStyle name="Comma 3 8 6 11" xfId="21502" xr:uid="{00000000-0005-0000-0000-0000DCA50000}"/>
    <cellStyle name="Comma 3 8 6 2" xfId="1895" xr:uid="{00000000-0005-0000-0000-0000DDA50000}"/>
    <cellStyle name="Comma 3 8 6 2 10" xfId="22726" xr:uid="{00000000-0005-0000-0000-0000DEA50000}"/>
    <cellStyle name="Comma 3 8 6 2 2" xfId="4343" xr:uid="{00000000-0005-0000-0000-0000DFA50000}"/>
    <cellStyle name="Comma 3 8 6 2 2 2" xfId="20278" xr:uid="{00000000-0005-0000-0000-0000E0A50000}"/>
    <cellStyle name="Comma 3 8 6 2 2 2 2" xfId="43556" xr:uid="{00000000-0005-0000-0000-0000E1A50000}"/>
    <cellStyle name="Comma 3 8 6 2 2 3" xfId="48452" xr:uid="{00000000-0005-0000-0000-0000E2A50000}"/>
    <cellStyle name="Comma 3 8 6 2 2 4" xfId="27622" xr:uid="{00000000-0005-0000-0000-0000E3A50000}"/>
    <cellStyle name="Comma 3 8 6 2 3" xfId="6791" xr:uid="{00000000-0005-0000-0000-0000E4A50000}"/>
    <cellStyle name="Comma 3 8 6 2 3 2" xfId="30070" xr:uid="{00000000-0005-0000-0000-0000E5A50000}"/>
    <cellStyle name="Comma 3 8 6 2 4" xfId="9239" xr:uid="{00000000-0005-0000-0000-0000E6A50000}"/>
    <cellStyle name="Comma 3 8 6 2 4 2" xfId="32518" xr:uid="{00000000-0005-0000-0000-0000E7A50000}"/>
    <cellStyle name="Comma 3 8 6 2 5" xfId="11687" xr:uid="{00000000-0005-0000-0000-0000E8A50000}"/>
    <cellStyle name="Comma 3 8 6 2 5 2" xfId="34966" xr:uid="{00000000-0005-0000-0000-0000E9A50000}"/>
    <cellStyle name="Comma 3 8 6 2 6" xfId="14135" xr:uid="{00000000-0005-0000-0000-0000EAA50000}"/>
    <cellStyle name="Comma 3 8 6 2 6 2" xfId="37414" xr:uid="{00000000-0005-0000-0000-0000EBA50000}"/>
    <cellStyle name="Comma 3 8 6 2 7" xfId="17830" xr:uid="{00000000-0005-0000-0000-0000ECA50000}"/>
    <cellStyle name="Comma 3 8 6 2 7 2" xfId="41108" xr:uid="{00000000-0005-0000-0000-0000EDA50000}"/>
    <cellStyle name="Comma 3 8 6 2 8" xfId="25174" xr:uid="{00000000-0005-0000-0000-0000EEA50000}"/>
    <cellStyle name="Comma 3 8 6 2 9" xfId="46004" xr:uid="{00000000-0005-0000-0000-0000EFA50000}"/>
    <cellStyle name="Comma 3 8 6 3" xfId="3119" xr:uid="{00000000-0005-0000-0000-0000F0A50000}"/>
    <cellStyle name="Comma 3 8 6 3 2" xfId="16606" xr:uid="{00000000-0005-0000-0000-0000F1A50000}"/>
    <cellStyle name="Comma 3 8 6 3 2 2" xfId="39884" xr:uid="{00000000-0005-0000-0000-0000F2A50000}"/>
    <cellStyle name="Comma 3 8 6 3 3" xfId="47228" xr:uid="{00000000-0005-0000-0000-0000F3A50000}"/>
    <cellStyle name="Comma 3 8 6 3 4" xfId="26398" xr:uid="{00000000-0005-0000-0000-0000F4A50000}"/>
    <cellStyle name="Comma 3 8 6 4" xfId="5567" xr:uid="{00000000-0005-0000-0000-0000F5A50000}"/>
    <cellStyle name="Comma 3 8 6 4 2" xfId="19054" xr:uid="{00000000-0005-0000-0000-0000F6A50000}"/>
    <cellStyle name="Comma 3 8 6 4 2 2" xfId="42332" xr:uid="{00000000-0005-0000-0000-0000F7A50000}"/>
    <cellStyle name="Comma 3 8 6 4 3" xfId="28846" xr:uid="{00000000-0005-0000-0000-0000F8A50000}"/>
    <cellStyle name="Comma 3 8 6 5" xfId="8015" xr:uid="{00000000-0005-0000-0000-0000F9A50000}"/>
    <cellStyle name="Comma 3 8 6 5 2" xfId="31294" xr:uid="{00000000-0005-0000-0000-0000FAA50000}"/>
    <cellStyle name="Comma 3 8 6 6" xfId="10463" xr:uid="{00000000-0005-0000-0000-0000FBA50000}"/>
    <cellStyle name="Comma 3 8 6 6 2" xfId="33742" xr:uid="{00000000-0005-0000-0000-0000FCA50000}"/>
    <cellStyle name="Comma 3 8 6 7" xfId="12911" xr:uid="{00000000-0005-0000-0000-0000FDA50000}"/>
    <cellStyle name="Comma 3 8 6 7 2" xfId="36190" xr:uid="{00000000-0005-0000-0000-0000FEA50000}"/>
    <cellStyle name="Comma 3 8 6 8" xfId="15382" xr:uid="{00000000-0005-0000-0000-0000FFA50000}"/>
    <cellStyle name="Comma 3 8 6 8 2" xfId="38660" xr:uid="{00000000-0005-0000-0000-000000A60000}"/>
    <cellStyle name="Comma 3 8 6 9" xfId="23950" xr:uid="{00000000-0005-0000-0000-000001A60000}"/>
    <cellStyle name="Comma 3 8 7" xfId="1283" xr:uid="{00000000-0005-0000-0000-000002A60000}"/>
    <cellStyle name="Comma 3 8 7 10" xfId="22114" xr:uid="{00000000-0005-0000-0000-000003A60000}"/>
    <cellStyle name="Comma 3 8 7 2" xfId="3731" xr:uid="{00000000-0005-0000-0000-000004A60000}"/>
    <cellStyle name="Comma 3 8 7 2 2" xfId="17218" xr:uid="{00000000-0005-0000-0000-000005A60000}"/>
    <cellStyle name="Comma 3 8 7 2 2 2" xfId="40496" xr:uid="{00000000-0005-0000-0000-000006A60000}"/>
    <cellStyle name="Comma 3 8 7 2 3" xfId="47840" xr:uid="{00000000-0005-0000-0000-000007A60000}"/>
    <cellStyle name="Comma 3 8 7 2 4" xfId="27010" xr:uid="{00000000-0005-0000-0000-000008A60000}"/>
    <cellStyle name="Comma 3 8 7 3" xfId="6179" xr:uid="{00000000-0005-0000-0000-000009A60000}"/>
    <cellStyle name="Comma 3 8 7 3 2" xfId="19666" xr:uid="{00000000-0005-0000-0000-00000AA60000}"/>
    <cellStyle name="Comma 3 8 7 3 2 2" xfId="42944" xr:uid="{00000000-0005-0000-0000-00000BA60000}"/>
    <cellStyle name="Comma 3 8 7 3 3" xfId="29458" xr:uid="{00000000-0005-0000-0000-00000CA60000}"/>
    <cellStyle name="Comma 3 8 7 4" xfId="8627" xr:uid="{00000000-0005-0000-0000-00000DA60000}"/>
    <cellStyle name="Comma 3 8 7 4 2" xfId="31906" xr:uid="{00000000-0005-0000-0000-00000EA60000}"/>
    <cellStyle name="Comma 3 8 7 5" xfId="11075" xr:uid="{00000000-0005-0000-0000-00000FA60000}"/>
    <cellStyle name="Comma 3 8 7 5 2" xfId="34354" xr:uid="{00000000-0005-0000-0000-000010A60000}"/>
    <cellStyle name="Comma 3 8 7 6" xfId="13523" xr:uid="{00000000-0005-0000-0000-000011A60000}"/>
    <cellStyle name="Comma 3 8 7 6 2" xfId="36802" xr:uid="{00000000-0005-0000-0000-000012A60000}"/>
    <cellStyle name="Comma 3 8 7 7" xfId="14770" xr:uid="{00000000-0005-0000-0000-000013A60000}"/>
    <cellStyle name="Comma 3 8 7 7 2" xfId="38048" xr:uid="{00000000-0005-0000-0000-000014A60000}"/>
    <cellStyle name="Comma 3 8 7 8" xfId="24562" xr:uid="{00000000-0005-0000-0000-000015A60000}"/>
    <cellStyle name="Comma 3 8 7 9" xfId="45392" xr:uid="{00000000-0005-0000-0000-000016A60000}"/>
    <cellStyle name="Comma 3 8 8" xfId="2507" xr:uid="{00000000-0005-0000-0000-000017A60000}"/>
    <cellStyle name="Comma 3 8 8 2" xfId="15994" xr:uid="{00000000-0005-0000-0000-000018A60000}"/>
    <cellStyle name="Comma 3 8 8 2 2" xfId="39272" xr:uid="{00000000-0005-0000-0000-000019A60000}"/>
    <cellStyle name="Comma 3 8 8 3" xfId="46616" xr:uid="{00000000-0005-0000-0000-00001AA60000}"/>
    <cellStyle name="Comma 3 8 8 4" xfId="25786" xr:uid="{00000000-0005-0000-0000-00001BA60000}"/>
    <cellStyle name="Comma 3 8 9" xfId="4955" xr:uid="{00000000-0005-0000-0000-00001CA60000}"/>
    <cellStyle name="Comma 3 8 9 2" xfId="18442" xr:uid="{00000000-0005-0000-0000-00001DA60000}"/>
    <cellStyle name="Comma 3 8 9 2 2" xfId="41720" xr:uid="{00000000-0005-0000-0000-00001EA60000}"/>
    <cellStyle name="Comma 3 8 9 3" xfId="28234" xr:uid="{00000000-0005-0000-0000-00001FA60000}"/>
    <cellStyle name="Comma 3 9" xfId="76" xr:uid="{00000000-0005-0000-0000-000020A60000}"/>
    <cellStyle name="Comma 3 9 10" xfId="7420" xr:uid="{00000000-0005-0000-0000-000021A60000}"/>
    <cellStyle name="Comma 3 9 10 2" xfId="30699" xr:uid="{00000000-0005-0000-0000-000022A60000}"/>
    <cellStyle name="Comma 3 9 11" xfId="9868" xr:uid="{00000000-0005-0000-0000-000023A60000}"/>
    <cellStyle name="Comma 3 9 11 2" xfId="33147" xr:uid="{00000000-0005-0000-0000-000024A60000}"/>
    <cellStyle name="Comma 3 9 12" xfId="12316" xr:uid="{00000000-0005-0000-0000-000025A60000}"/>
    <cellStyle name="Comma 3 9 12 2" xfId="35595" xr:uid="{00000000-0005-0000-0000-000026A60000}"/>
    <cellStyle name="Comma 3 9 13" xfId="14787" xr:uid="{00000000-0005-0000-0000-000027A60000}"/>
    <cellStyle name="Comma 3 9 13 2" xfId="38065" xr:uid="{00000000-0005-0000-0000-000028A60000}"/>
    <cellStyle name="Comma 3 9 14" xfId="23355" xr:uid="{00000000-0005-0000-0000-000029A60000}"/>
    <cellStyle name="Comma 3 9 15" xfId="44185" xr:uid="{00000000-0005-0000-0000-00002AA60000}"/>
    <cellStyle name="Comma 3 9 16" xfId="20907" xr:uid="{00000000-0005-0000-0000-00002BA60000}"/>
    <cellStyle name="Comma 3 9 2" xfId="144" xr:uid="{00000000-0005-0000-0000-00002CA60000}"/>
    <cellStyle name="Comma 3 9 2 10" xfId="12384" xr:uid="{00000000-0005-0000-0000-00002DA60000}"/>
    <cellStyle name="Comma 3 9 2 10 2" xfId="35663" xr:uid="{00000000-0005-0000-0000-00002EA60000}"/>
    <cellStyle name="Comma 3 9 2 11" xfId="14855" xr:uid="{00000000-0005-0000-0000-00002FA60000}"/>
    <cellStyle name="Comma 3 9 2 11 2" xfId="38133" xr:uid="{00000000-0005-0000-0000-000030A60000}"/>
    <cellStyle name="Comma 3 9 2 12" xfId="23423" xr:uid="{00000000-0005-0000-0000-000031A60000}"/>
    <cellStyle name="Comma 3 9 2 13" xfId="44253" xr:uid="{00000000-0005-0000-0000-000032A60000}"/>
    <cellStyle name="Comma 3 9 2 14" xfId="20975" xr:uid="{00000000-0005-0000-0000-000033A60000}"/>
    <cellStyle name="Comma 3 9 2 2" xfId="348" xr:uid="{00000000-0005-0000-0000-000034A60000}"/>
    <cellStyle name="Comma 3 9 2 2 10" xfId="23627" xr:uid="{00000000-0005-0000-0000-000035A60000}"/>
    <cellStyle name="Comma 3 9 2 2 11" xfId="44457" xr:uid="{00000000-0005-0000-0000-000036A60000}"/>
    <cellStyle name="Comma 3 9 2 2 12" xfId="21179" xr:uid="{00000000-0005-0000-0000-000037A60000}"/>
    <cellStyle name="Comma 3 9 2 2 2" xfId="960" xr:uid="{00000000-0005-0000-0000-000038A60000}"/>
    <cellStyle name="Comma 3 9 2 2 2 10" xfId="45069" xr:uid="{00000000-0005-0000-0000-000039A60000}"/>
    <cellStyle name="Comma 3 9 2 2 2 11" xfId="21791" xr:uid="{00000000-0005-0000-0000-00003AA60000}"/>
    <cellStyle name="Comma 3 9 2 2 2 2" xfId="2184" xr:uid="{00000000-0005-0000-0000-00003BA60000}"/>
    <cellStyle name="Comma 3 9 2 2 2 2 10" xfId="23015" xr:uid="{00000000-0005-0000-0000-00003CA60000}"/>
    <cellStyle name="Comma 3 9 2 2 2 2 2" xfId="4632" xr:uid="{00000000-0005-0000-0000-00003DA60000}"/>
    <cellStyle name="Comma 3 9 2 2 2 2 2 2" xfId="20567" xr:uid="{00000000-0005-0000-0000-00003EA60000}"/>
    <cellStyle name="Comma 3 9 2 2 2 2 2 2 2" xfId="43845" xr:uid="{00000000-0005-0000-0000-00003FA60000}"/>
    <cellStyle name="Comma 3 9 2 2 2 2 2 3" xfId="48741" xr:uid="{00000000-0005-0000-0000-000040A60000}"/>
    <cellStyle name="Comma 3 9 2 2 2 2 2 4" xfId="27911" xr:uid="{00000000-0005-0000-0000-000041A60000}"/>
    <cellStyle name="Comma 3 9 2 2 2 2 3" xfId="7080" xr:uid="{00000000-0005-0000-0000-000042A60000}"/>
    <cellStyle name="Comma 3 9 2 2 2 2 3 2" xfId="30359" xr:uid="{00000000-0005-0000-0000-000043A60000}"/>
    <cellStyle name="Comma 3 9 2 2 2 2 4" xfId="9528" xr:uid="{00000000-0005-0000-0000-000044A60000}"/>
    <cellStyle name="Comma 3 9 2 2 2 2 4 2" xfId="32807" xr:uid="{00000000-0005-0000-0000-000045A60000}"/>
    <cellStyle name="Comma 3 9 2 2 2 2 5" xfId="11976" xr:uid="{00000000-0005-0000-0000-000046A60000}"/>
    <cellStyle name="Comma 3 9 2 2 2 2 5 2" xfId="35255" xr:uid="{00000000-0005-0000-0000-000047A60000}"/>
    <cellStyle name="Comma 3 9 2 2 2 2 6" xfId="14424" xr:uid="{00000000-0005-0000-0000-000048A60000}"/>
    <cellStyle name="Comma 3 9 2 2 2 2 6 2" xfId="37703" xr:uid="{00000000-0005-0000-0000-000049A60000}"/>
    <cellStyle name="Comma 3 9 2 2 2 2 7" xfId="18119" xr:uid="{00000000-0005-0000-0000-00004AA60000}"/>
    <cellStyle name="Comma 3 9 2 2 2 2 7 2" xfId="41397" xr:uid="{00000000-0005-0000-0000-00004BA60000}"/>
    <cellStyle name="Comma 3 9 2 2 2 2 8" xfId="25463" xr:uid="{00000000-0005-0000-0000-00004CA60000}"/>
    <cellStyle name="Comma 3 9 2 2 2 2 9" xfId="46293" xr:uid="{00000000-0005-0000-0000-00004DA60000}"/>
    <cellStyle name="Comma 3 9 2 2 2 3" xfId="3408" xr:uid="{00000000-0005-0000-0000-00004EA60000}"/>
    <cellStyle name="Comma 3 9 2 2 2 3 2" xfId="16895" xr:uid="{00000000-0005-0000-0000-00004FA60000}"/>
    <cellStyle name="Comma 3 9 2 2 2 3 2 2" xfId="40173" xr:uid="{00000000-0005-0000-0000-000050A60000}"/>
    <cellStyle name="Comma 3 9 2 2 2 3 3" xfId="47517" xr:uid="{00000000-0005-0000-0000-000051A60000}"/>
    <cellStyle name="Comma 3 9 2 2 2 3 4" xfId="26687" xr:uid="{00000000-0005-0000-0000-000052A60000}"/>
    <cellStyle name="Comma 3 9 2 2 2 4" xfId="5856" xr:uid="{00000000-0005-0000-0000-000053A60000}"/>
    <cellStyle name="Comma 3 9 2 2 2 4 2" xfId="19343" xr:uid="{00000000-0005-0000-0000-000054A60000}"/>
    <cellStyle name="Comma 3 9 2 2 2 4 2 2" xfId="42621" xr:uid="{00000000-0005-0000-0000-000055A60000}"/>
    <cellStyle name="Comma 3 9 2 2 2 4 3" xfId="29135" xr:uid="{00000000-0005-0000-0000-000056A60000}"/>
    <cellStyle name="Comma 3 9 2 2 2 5" xfId="8304" xr:uid="{00000000-0005-0000-0000-000057A60000}"/>
    <cellStyle name="Comma 3 9 2 2 2 5 2" xfId="31583" xr:uid="{00000000-0005-0000-0000-000058A60000}"/>
    <cellStyle name="Comma 3 9 2 2 2 6" xfId="10752" xr:uid="{00000000-0005-0000-0000-000059A60000}"/>
    <cellStyle name="Comma 3 9 2 2 2 6 2" xfId="34031" xr:uid="{00000000-0005-0000-0000-00005AA60000}"/>
    <cellStyle name="Comma 3 9 2 2 2 7" xfId="13200" xr:uid="{00000000-0005-0000-0000-00005BA60000}"/>
    <cellStyle name="Comma 3 9 2 2 2 7 2" xfId="36479" xr:uid="{00000000-0005-0000-0000-00005CA60000}"/>
    <cellStyle name="Comma 3 9 2 2 2 8" xfId="15671" xr:uid="{00000000-0005-0000-0000-00005DA60000}"/>
    <cellStyle name="Comma 3 9 2 2 2 8 2" xfId="38949" xr:uid="{00000000-0005-0000-0000-00005EA60000}"/>
    <cellStyle name="Comma 3 9 2 2 2 9" xfId="24239" xr:uid="{00000000-0005-0000-0000-00005FA60000}"/>
    <cellStyle name="Comma 3 9 2 2 3" xfId="1572" xr:uid="{00000000-0005-0000-0000-000060A60000}"/>
    <cellStyle name="Comma 3 9 2 2 3 10" xfId="22403" xr:uid="{00000000-0005-0000-0000-000061A60000}"/>
    <cellStyle name="Comma 3 9 2 2 3 2" xfId="4020" xr:uid="{00000000-0005-0000-0000-000062A60000}"/>
    <cellStyle name="Comma 3 9 2 2 3 2 2" xfId="19955" xr:uid="{00000000-0005-0000-0000-000063A60000}"/>
    <cellStyle name="Comma 3 9 2 2 3 2 2 2" xfId="43233" xr:uid="{00000000-0005-0000-0000-000064A60000}"/>
    <cellStyle name="Comma 3 9 2 2 3 2 3" xfId="48129" xr:uid="{00000000-0005-0000-0000-000065A60000}"/>
    <cellStyle name="Comma 3 9 2 2 3 2 4" xfId="27299" xr:uid="{00000000-0005-0000-0000-000066A60000}"/>
    <cellStyle name="Comma 3 9 2 2 3 3" xfId="6468" xr:uid="{00000000-0005-0000-0000-000067A60000}"/>
    <cellStyle name="Comma 3 9 2 2 3 3 2" xfId="29747" xr:uid="{00000000-0005-0000-0000-000068A60000}"/>
    <cellStyle name="Comma 3 9 2 2 3 4" xfId="8916" xr:uid="{00000000-0005-0000-0000-000069A60000}"/>
    <cellStyle name="Comma 3 9 2 2 3 4 2" xfId="32195" xr:uid="{00000000-0005-0000-0000-00006AA60000}"/>
    <cellStyle name="Comma 3 9 2 2 3 5" xfId="11364" xr:uid="{00000000-0005-0000-0000-00006BA60000}"/>
    <cellStyle name="Comma 3 9 2 2 3 5 2" xfId="34643" xr:uid="{00000000-0005-0000-0000-00006CA60000}"/>
    <cellStyle name="Comma 3 9 2 2 3 6" xfId="13812" xr:uid="{00000000-0005-0000-0000-00006DA60000}"/>
    <cellStyle name="Comma 3 9 2 2 3 6 2" xfId="37091" xr:uid="{00000000-0005-0000-0000-00006EA60000}"/>
    <cellStyle name="Comma 3 9 2 2 3 7" xfId="17507" xr:uid="{00000000-0005-0000-0000-00006FA60000}"/>
    <cellStyle name="Comma 3 9 2 2 3 7 2" xfId="40785" xr:uid="{00000000-0005-0000-0000-000070A60000}"/>
    <cellStyle name="Comma 3 9 2 2 3 8" xfId="24851" xr:uid="{00000000-0005-0000-0000-000071A60000}"/>
    <cellStyle name="Comma 3 9 2 2 3 9" xfId="45681" xr:uid="{00000000-0005-0000-0000-000072A60000}"/>
    <cellStyle name="Comma 3 9 2 2 4" xfId="2796" xr:uid="{00000000-0005-0000-0000-000073A60000}"/>
    <cellStyle name="Comma 3 9 2 2 4 2" xfId="16283" xr:uid="{00000000-0005-0000-0000-000074A60000}"/>
    <cellStyle name="Comma 3 9 2 2 4 2 2" xfId="39561" xr:uid="{00000000-0005-0000-0000-000075A60000}"/>
    <cellStyle name="Comma 3 9 2 2 4 3" xfId="46905" xr:uid="{00000000-0005-0000-0000-000076A60000}"/>
    <cellStyle name="Comma 3 9 2 2 4 4" xfId="26075" xr:uid="{00000000-0005-0000-0000-000077A60000}"/>
    <cellStyle name="Comma 3 9 2 2 5" xfId="5244" xr:uid="{00000000-0005-0000-0000-000078A60000}"/>
    <cellStyle name="Comma 3 9 2 2 5 2" xfId="18731" xr:uid="{00000000-0005-0000-0000-000079A60000}"/>
    <cellStyle name="Comma 3 9 2 2 5 2 2" xfId="42009" xr:uid="{00000000-0005-0000-0000-00007AA60000}"/>
    <cellStyle name="Comma 3 9 2 2 5 3" xfId="28523" xr:uid="{00000000-0005-0000-0000-00007BA60000}"/>
    <cellStyle name="Comma 3 9 2 2 6" xfId="7692" xr:uid="{00000000-0005-0000-0000-00007CA60000}"/>
    <cellStyle name="Comma 3 9 2 2 6 2" xfId="30971" xr:uid="{00000000-0005-0000-0000-00007DA60000}"/>
    <cellStyle name="Comma 3 9 2 2 7" xfId="10140" xr:uid="{00000000-0005-0000-0000-00007EA60000}"/>
    <cellStyle name="Comma 3 9 2 2 7 2" xfId="33419" xr:uid="{00000000-0005-0000-0000-00007FA60000}"/>
    <cellStyle name="Comma 3 9 2 2 8" xfId="12588" xr:uid="{00000000-0005-0000-0000-000080A60000}"/>
    <cellStyle name="Comma 3 9 2 2 8 2" xfId="35867" xr:uid="{00000000-0005-0000-0000-000081A60000}"/>
    <cellStyle name="Comma 3 9 2 2 9" xfId="15059" xr:uid="{00000000-0005-0000-0000-000082A60000}"/>
    <cellStyle name="Comma 3 9 2 2 9 2" xfId="38337" xr:uid="{00000000-0005-0000-0000-000083A60000}"/>
    <cellStyle name="Comma 3 9 2 3" xfId="552" xr:uid="{00000000-0005-0000-0000-000084A60000}"/>
    <cellStyle name="Comma 3 9 2 3 10" xfId="23831" xr:uid="{00000000-0005-0000-0000-000085A60000}"/>
    <cellStyle name="Comma 3 9 2 3 11" xfId="44661" xr:uid="{00000000-0005-0000-0000-000086A60000}"/>
    <cellStyle name="Comma 3 9 2 3 12" xfId="21383" xr:uid="{00000000-0005-0000-0000-000087A60000}"/>
    <cellStyle name="Comma 3 9 2 3 2" xfId="1164" xr:uid="{00000000-0005-0000-0000-000088A60000}"/>
    <cellStyle name="Comma 3 9 2 3 2 10" xfId="45273" xr:uid="{00000000-0005-0000-0000-000089A60000}"/>
    <cellStyle name="Comma 3 9 2 3 2 11" xfId="21995" xr:uid="{00000000-0005-0000-0000-00008AA60000}"/>
    <cellStyle name="Comma 3 9 2 3 2 2" xfId="2388" xr:uid="{00000000-0005-0000-0000-00008BA60000}"/>
    <cellStyle name="Comma 3 9 2 3 2 2 10" xfId="23219" xr:uid="{00000000-0005-0000-0000-00008CA60000}"/>
    <cellStyle name="Comma 3 9 2 3 2 2 2" xfId="4836" xr:uid="{00000000-0005-0000-0000-00008DA60000}"/>
    <cellStyle name="Comma 3 9 2 3 2 2 2 2" xfId="20771" xr:uid="{00000000-0005-0000-0000-00008EA60000}"/>
    <cellStyle name="Comma 3 9 2 3 2 2 2 2 2" xfId="44049" xr:uid="{00000000-0005-0000-0000-00008FA60000}"/>
    <cellStyle name="Comma 3 9 2 3 2 2 2 3" xfId="48945" xr:uid="{00000000-0005-0000-0000-000090A60000}"/>
    <cellStyle name="Comma 3 9 2 3 2 2 2 4" xfId="28115" xr:uid="{00000000-0005-0000-0000-000091A60000}"/>
    <cellStyle name="Comma 3 9 2 3 2 2 3" xfId="7284" xr:uid="{00000000-0005-0000-0000-000092A60000}"/>
    <cellStyle name="Comma 3 9 2 3 2 2 3 2" xfId="30563" xr:uid="{00000000-0005-0000-0000-000093A60000}"/>
    <cellStyle name="Comma 3 9 2 3 2 2 4" xfId="9732" xr:uid="{00000000-0005-0000-0000-000094A60000}"/>
    <cellStyle name="Comma 3 9 2 3 2 2 4 2" xfId="33011" xr:uid="{00000000-0005-0000-0000-000095A60000}"/>
    <cellStyle name="Comma 3 9 2 3 2 2 5" xfId="12180" xr:uid="{00000000-0005-0000-0000-000096A60000}"/>
    <cellStyle name="Comma 3 9 2 3 2 2 5 2" xfId="35459" xr:uid="{00000000-0005-0000-0000-000097A60000}"/>
    <cellStyle name="Comma 3 9 2 3 2 2 6" xfId="14628" xr:uid="{00000000-0005-0000-0000-000098A60000}"/>
    <cellStyle name="Comma 3 9 2 3 2 2 6 2" xfId="37907" xr:uid="{00000000-0005-0000-0000-000099A60000}"/>
    <cellStyle name="Comma 3 9 2 3 2 2 7" xfId="18323" xr:uid="{00000000-0005-0000-0000-00009AA60000}"/>
    <cellStyle name="Comma 3 9 2 3 2 2 7 2" xfId="41601" xr:uid="{00000000-0005-0000-0000-00009BA60000}"/>
    <cellStyle name="Comma 3 9 2 3 2 2 8" xfId="25667" xr:uid="{00000000-0005-0000-0000-00009CA60000}"/>
    <cellStyle name="Comma 3 9 2 3 2 2 9" xfId="46497" xr:uid="{00000000-0005-0000-0000-00009DA60000}"/>
    <cellStyle name="Comma 3 9 2 3 2 3" xfId="3612" xr:uid="{00000000-0005-0000-0000-00009EA60000}"/>
    <cellStyle name="Comma 3 9 2 3 2 3 2" xfId="17099" xr:uid="{00000000-0005-0000-0000-00009FA60000}"/>
    <cellStyle name="Comma 3 9 2 3 2 3 2 2" xfId="40377" xr:uid="{00000000-0005-0000-0000-0000A0A60000}"/>
    <cellStyle name="Comma 3 9 2 3 2 3 3" xfId="47721" xr:uid="{00000000-0005-0000-0000-0000A1A60000}"/>
    <cellStyle name="Comma 3 9 2 3 2 3 4" xfId="26891" xr:uid="{00000000-0005-0000-0000-0000A2A60000}"/>
    <cellStyle name="Comma 3 9 2 3 2 4" xfId="6060" xr:uid="{00000000-0005-0000-0000-0000A3A60000}"/>
    <cellStyle name="Comma 3 9 2 3 2 4 2" xfId="19547" xr:uid="{00000000-0005-0000-0000-0000A4A60000}"/>
    <cellStyle name="Comma 3 9 2 3 2 4 2 2" xfId="42825" xr:uid="{00000000-0005-0000-0000-0000A5A60000}"/>
    <cellStyle name="Comma 3 9 2 3 2 4 3" xfId="29339" xr:uid="{00000000-0005-0000-0000-0000A6A60000}"/>
    <cellStyle name="Comma 3 9 2 3 2 5" xfId="8508" xr:uid="{00000000-0005-0000-0000-0000A7A60000}"/>
    <cellStyle name="Comma 3 9 2 3 2 5 2" xfId="31787" xr:uid="{00000000-0005-0000-0000-0000A8A60000}"/>
    <cellStyle name="Comma 3 9 2 3 2 6" xfId="10956" xr:uid="{00000000-0005-0000-0000-0000A9A60000}"/>
    <cellStyle name="Comma 3 9 2 3 2 6 2" xfId="34235" xr:uid="{00000000-0005-0000-0000-0000AAA60000}"/>
    <cellStyle name="Comma 3 9 2 3 2 7" xfId="13404" xr:uid="{00000000-0005-0000-0000-0000ABA60000}"/>
    <cellStyle name="Comma 3 9 2 3 2 7 2" xfId="36683" xr:uid="{00000000-0005-0000-0000-0000ACA60000}"/>
    <cellStyle name="Comma 3 9 2 3 2 8" xfId="15875" xr:uid="{00000000-0005-0000-0000-0000ADA60000}"/>
    <cellStyle name="Comma 3 9 2 3 2 8 2" xfId="39153" xr:uid="{00000000-0005-0000-0000-0000AEA60000}"/>
    <cellStyle name="Comma 3 9 2 3 2 9" xfId="24443" xr:uid="{00000000-0005-0000-0000-0000AFA60000}"/>
    <cellStyle name="Comma 3 9 2 3 3" xfId="1776" xr:uid="{00000000-0005-0000-0000-0000B0A60000}"/>
    <cellStyle name="Comma 3 9 2 3 3 10" xfId="22607" xr:uid="{00000000-0005-0000-0000-0000B1A60000}"/>
    <cellStyle name="Comma 3 9 2 3 3 2" xfId="4224" xr:uid="{00000000-0005-0000-0000-0000B2A60000}"/>
    <cellStyle name="Comma 3 9 2 3 3 2 2" xfId="20159" xr:uid="{00000000-0005-0000-0000-0000B3A60000}"/>
    <cellStyle name="Comma 3 9 2 3 3 2 2 2" xfId="43437" xr:uid="{00000000-0005-0000-0000-0000B4A60000}"/>
    <cellStyle name="Comma 3 9 2 3 3 2 3" xfId="48333" xr:uid="{00000000-0005-0000-0000-0000B5A60000}"/>
    <cellStyle name="Comma 3 9 2 3 3 2 4" xfId="27503" xr:uid="{00000000-0005-0000-0000-0000B6A60000}"/>
    <cellStyle name="Comma 3 9 2 3 3 3" xfId="6672" xr:uid="{00000000-0005-0000-0000-0000B7A60000}"/>
    <cellStyle name="Comma 3 9 2 3 3 3 2" xfId="29951" xr:uid="{00000000-0005-0000-0000-0000B8A60000}"/>
    <cellStyle name="Comma 3 9 2 3 3 4" xfId="9120" xr:uid="{00000000-0005-0000-0000-0000B9A60000}"/>
    <cellStyle name="Comma 3 9 2 3 3 4 2" xfId="32399" xr:uid="{00000000-0005-0000-0000-0000BAA60000}"/>
    <cellStyle name="Comma 3 9 2 3 3 5" xfId="11568" xr:uid="{00000000-0005-0000-0000-0000BBA60000}"/>
    <cellStyle name="Comma 3 9 2 3 3 5 2" xfId="34847" xr:uid="{00000000-0005-0000-0000-0000BCA60000}"/>
    <cellStyle name="Comma 3 9 2 3 3 6" xfId="14016" xr:uid="{00000000-0005-0000-0000-0000BDA60000}"/>
    <cellStyle name="Comma 3 9 2 3 3 6 2" xfId="37295" xr:uid="{00000000-0005-0000-0000-0000BEA60000}"/>
    <cellStyle name="Comma 3 9 2 3 3 7" xfId="17711" xr:uid="{00000000-0005-0000-0000-0000BFA60000}"/>
    <cellStyle name="Comma 3 9 2 3 3 7 2" xfId="40989" xr:uid="{00000000-0005-0000-0000-0000C0A60000}"/>
    <cellStyle name="Comma 3 9 2 3 3 8" xfId="25055" xr:uid="{00000000-0005-0000-0000-0000C1A60000}"/>
    <cellStyle name="Comma 3 9 2 3 3 9" xfId="45885" xr:uid="{00000000-0005-0000-0000-0000C2A60000}"/>
    <cellStyle name="Comma 3 9 2 3 4" xfId="3000" xr:uid="{00000000-0005-0000-0000-0000C3A60000}"/>
    <cellStyle name="Comma 3 9 2 3 4 2" xfId="16487" xr:uid="{00000000-0005-0000-0000-0000C4A60000}"/>
    <cellStyle name="Comma 3 9 2 3 4 2 2" xfId="39765" xr:uid="{00000000-0005-0000-0000-0000C5A60000}"/>
    <cellStyle name="Comma 3 9 2 3 4 3" xfId="47109" xr:uid="{00000000-0005-0000-0000-0000C6A60000}"/>
    <cellStyle name="Comma 3 9 2 3 4 4" xfId="26279" xr:uid="{00000000-0005-0000-0000-0000C7A60000}"/>
    <cellStyle name="Comma 3 9 2 3 5" xfId="5448" xr:uid="{00000000-0005-0000-0000-0000C8A60000}"/>
    <cellStyle name="Comma 3 9 2 3 5 2" xfId="18935" xr:uid="{00000000-0005-0000-0000-0000C9A60000}"/>
    <cellStyle name="Comma 3 9 2 3 5 2 2" xfId="42213" xr:uid="{00000000-0005-0000-0000-0000CAA60000}"/>
    <cellStyle name="Comma 3 9 2 3 5 3" xfId="28727" xr:uid="{00000000-0005-0000-0000-0000CBA60000}"/>
    <cellStyle name="Comma 3 9 2 3 6" xfId="7896" xr:uid="{00000000-0005-0000-0000-0000CCA60000}"/>
    <cellStyle name="Comma 3 9 2 3 6 2" xfId="31175" xr:uid="{00000000-0005-0000-0000-0000CDA60000}"/>
    <cellStyle name="Comma 3 9 2 3 7" xfId="10344" xr:uid="{00000000-0005-0000-0000-0000CEA60000}"/>
    <cellStyle name="Comma 3 9 2 3 7 2" xfId="33623" xr:uid="{00000000-0005-0000-0000-0000CFA60000}"/>
    <cellStyle name="Comma 3 9 2 3 8" xfId="12792" xr:uid="{00000000-0005-0000-0000-0000D0A60000}"/>
    <cellStyle name="Comma 3 9 2 3 8 2" xfId="36071" xr:uid="{00000000-0005-0000-0000-0000D1A60000}"/>
    <cellStyle name="Comma 3 9 2 3 9" xfId="15263" xr:uid="{00000000-0005-0000-0000-0000D2A60000}"/>
    <cellStyle name="Comma 3 9 2 3 9 2" xfId="38541" xr:uid="{00000000-0005-0000-0000-0000D3A60000}"/>
    <cellStyle name="Comma 3 9 2 4" xfId="756" xr:uid="{00000000-0005-0000-0000-0000D4A60000}"/>
    <cellStyle name="Comma 3 9 2 4 10" xfId="44865" xr:uid="{00000000-0005-0000-0000-0000D5A60000}"/>
    <cellStyle name="Comma 3 9 2 4 11" xfId="21587" xr:uid="{00000000-0005-0000-0000-0000D6A60000}"/>
    <cellStyle name="Comma 3 9 2 4 2" xfId="1980" xr:uid="{00000000-0005-0000-0000-0000D7A60000}"/>
    <cellStyle name="Comma 3 9 2 4 2 10" xfId="22811" xr:uid="{00000000-0005-0000-0000-0000D8A60000}"/>
    <cellStyle name="Comma 3 9 2 4 2 2" xfId="4428" xr:uid="{00000000-0005-0000-0000-0000D9A60000}"/>
    <cellStyle name="Comma 3 9 2 4 2 2 2" xfId="20363" xr:uid="{00000000-0005-0000-0000-0000DAA60000}"/>
    <cellStyle name="Comma 3 9 2 4 2 2 2 2" xfId="43641" xr:uid="{00000000-0005-0000-0000-0000DBA60000}"/>
    <cellStyle name="Comma 3 9 2 4 2 2 3" xfId="48537" xr:uid="{00000000-0005-0000-0000-0000DCA60000}"/>
    <cellStyle name="Comma 3 9 2 4 2 2 4" xfId="27707" xr:uid="{00000000-0005-0000-0000-0000DDA60000}"/>
    <cellStyle name="Comma 3 9 2 4 2 3" xfId="6876" xr:uid="{00000000-0005-0000-0000-0000DEA60000}"/>
    <cellStyle name="Comma 3 9 2 4 2 3 2" xfId="30155" xr:uid="{00000000-0005-0000-0000-0000DFA60000}"/>
    <cellStyle name="Comma 3 9 2 4 2 4" xfId="9324" xr:uid="{00000000-0005-0000-0000-0000E0A60000}"/>
    <cellStyle name="Comma 3 9 2 4 2 4 2" xfId="32603" xr:uid="{00000000-0005-0000-0000-0000E1A60000}"/>
    <cellStyle name="Comma 3 9 2 4 2 5" xfId="11772" xr:uid="{00000000-0005-0000-0000-0000E2A60000}"/>
    <cellStyle name="Comma 3 9 2 4 2 5 2" xfId="35051" xr:uid="{00000000-0005-0000-0000-0000E3A60000}"/>
    <cellStyle name="Comma 3 9 2 4 2 6" xfId="14220" xr:uid="{00000000-0005-0000-0000-0000E4A60000}"/>
    <cellStyle name="Comma 3 9 2 4 2 6 2" xfId="37499" xr:uid="{00000000-0005-0000-0000-0000E5A60000}"/>
    <cellStyle name="Comma 3 9 2 4 2 7" xfId="17915" xr:uid="{00000000-0005-0000-0000-0000E6A60000}"/>
    <cellStyle name="Comma 3 9 2 4 2 7 2" xfId="41193" xr:uid="{00000000-0005-0000-0000-0000E7A60000}"/>
    <cellStyle name="Comma 3 9 2 4 2 8" xfId="25259" xr:uid="{00000000-0005-0000-0000-0000E8A60000}"/>
    <cellStyle name="Comma 3 9 2 4 2 9" xfId="46089" xr:uid="{00000000-0005-0000-0000-0000E9A60000}"/>
    <cellStyle name="Comma 3 9 2 4 3" xfId="3204" xr:uid="{00000000-0005-0000-0000-0000EAA60000}"/>
    <cellStyle name="Comma 3 9 2 4 3 2" xfId="16691" xr:uid="{00000000-0005-0000-0000-0000EBA60000}"/>
    <cellStyle name="Comma 3 9 2 4 3 2 2" xfId="39969" xr:uid="{00000000-0005-0000-0000-0000ECA60000}"/>
    <cellStyle name="Comma 3 9 2 4 3 3" xfId="47313" xr:uid="{00000000-0005-0000-0000-0000EDA60000}"/>
    <cellStyle name="Comma 3 9 2 4 3 4" xfId="26483" xr:uid="{00000000-0005-0000-0000-0000EEA60000}"/>
    <cellStyle name="Comma 3 9 2 4 4" xfId="5652" xr:uid="{00000000-0005-0000-0000-0000EFA60000}"/>
    <cellStyle name="Comma 3 9 2 4 4 2" xfId="19139" xr:uid="{00000000-0005-0000-0000-0000F0A60000}"/>
    <cellStyle name="Comma 3 9 2 4 4 2 2" xfId="42417" xr:uid="{00000000-0005-0000-0000-0000F1A60000}"/>
    <cellStyle name="Comma 3 9 2 4 4 3" xfId="28931" xr:uid="{00000000-0005-0000-0000-0000F2A60000}"/>
    <cellStyle name="Comma 3 9 2 4 5" xfId="8100" xr:uid="{00000000-0005-0000-0000-0000F3A60000}"/>
    <cellStyle name="Comma 3 9 2 4 5 2" xfId="31379" xr:uid="{00000000-0005-0000-0000-0000F4A60000}"/>
    <cellStyle name="Comma 3 9 2 4 6" xfId="10548" xr:uid="{00000000-0005-0000-0000-0000F5A60000}"/>
    <cellStyle name="Comma 3 9 2 4 6 2" xfId="33827" xr:uid="{00000000-0005-0000-0000-0000F6A60000}"/>
    <cellStyle name="Comma 3 9 2 4 7" xfId="12996" xr:uid="{00000000-0005-0000-0000-0000F7A60000}"/>
    <cellStyle name="Comma 3 9 2 4 7 2" xfId="36275" xr:uid="{00000000-0005-0000-0000-0000F8A60000}"/>
    <cellStyle name="Comma 3 9 2 4 8" xfId="15467" xr:uid="{00000000-0005-0000-0000-0000F9A60000}"/>
    <cellStyle name="Comma 3 9 2 4 8 2" xfId="38745" xr:uid="{00000000-0005-0000-0000-0000FAA60000}"/>
    <cellStyle name="Comma 3 9 2 4 9" xfId="24035" xr:uid="{00000000-0005-0000-0000-0000FBA60000}"/>
    <cellStyle name="Comma 3 9 2 5" xfId="1368" xr:uid="{00000000-0005-0000-0000-0000FCA60000}"/>
    <cellStyle name="Comma 3 9 2 5 10" xfId="22199" xr:uid="{00000000-0005-0000-0000-0000FDA60000}"/>
    <cellStyle name="Comma 3 9 2 5 2" xfId="3816" xr:uid="{00000000-0005-0000-0000-0000FEA60000}"/>
    <cellStyle name="Comma 3 9 2 5 2 2" xfId="19751" xr:uid="{00000000-0005-0000-0000-0000FFA60000}"/>
    <cellStyle name="Comma 3 9 2 5 2 2 2" xfId="43029" xr:uid="{00000000-0005-0000-0000-000000A70000}"/>
    <cellStyle name="Comma 3 9 2 5 2 3" xfId="47925" xr:uid="{00000000-0005-0000-0000-000001A70000}"/>
    <cellStyle name="Comma 3 9 2 5 2 4" xfId="27095" xr:uid="{00000000-0005-0000-0000-000002A70000}"/>
    <cellStyle name="Comma 3 9 2 5 3" xfId="6264" xr:uid="{00000000-0005-0000-0000-000003A70000}"/>
    <cellStyle name="Comma 3 9 2 5 3 2" xfId="29543" xr:uid="{00000000-0005-0000-0000-000004A70000}"/>
    <cellStyle name="Comma 3 9 2 5 4" xfId="8712" xr:uid="{00000000-0005-0000-0000-000005A70000}"/>
    <cellStyle name="Comma 3 9 2 5 4 2" xfId="31991" xr:uid="{00000000-0005-0000-0000-000006A70000}"/>
    <cellStyle name="Comma 3 9 2 5 5" xfId="11160" xr:uid="{00000000-0005-0000-0000-000007A70000}"/>
    <cellStyle name="Comma 3 9 2 5 5 2" xfId="34439" xr:uid="{00000000-0005-0000-0000-000008A70000}"/>
    <cellStyle name="Comma 3 9 2 5 6" xfId="13608" xr:uid="{00000000-0005-0000-0000-000009A70000}"/>
    <cellStyle name="Comma 3 9 2 5 6 2" xfId="36887" xr:uid="{00000000-0005-0000-0000-00000AA70000}"/>
    <cellStyle name="Comma 3 9 2 5 7" xfId="17303" xr:uid="{00000000-0005-0000-0000-00000BA70000}"/>
    <cellStyle name="Comma 3 9 2 5 7 2" xfId="40581" xr:uid="{00000000-0005-0000-0000-00000CA70000}"/>
    <cellStyle name="Comma 3 9 2 5 8" xfId="24647" xr:uid="{00000000-0005-0000-0000-00000DA70000}"/>
    <cellStyle name="Comma 3 9 2 5 9" xfId="45477" xr:uid="{00000000-0005-0000-0000-00000EA70000}"/>
    <cellStyle name="Comma 3 9 2 6" xfId="2592" xr:uid="{00000000-0005-0000-0000-00000FA70000}"/>
    <cellStyle name="Comma 3 9 2 6 2" xfId="16079" xr:uid="{00000000-0005-0000-0000-000010A70000}"/>
    <cellStyle name="Comma 3 9 2 6 2 2" xfId="39357" xr:uid="{00000000-0005-0000-0000-000011A70000}"/>
    <cellStyle name="Comma 3 9 2 6 3" xfId="46701" xr:uid="{00000000-0005-0000-0000-000012A70000}"/>
    <cellStyle name="Comma 3 9 2 6 4" xfId="25871" xr:uid="{00000000-0005-0000-0000-000013A70000}"/>
    <cellStyle name="Comma 3 9 2 7" xfId="5040" xr:uid="{00000000-0005-0000-0000-000014A70000}"/>
    <cellStyle name="Comma 3 9 2 7 2" xfId="18527" xr:uid="{00000000-0005-0000-0000-000015A70000}"/>
    <cellStyle name="Comma 3 9 2 7 2 2" xfId="41805" xr:uid="{00000000-0005-0000-0000-000016A70000}"/>
    <cellStyle name="Comma 3 9 2 7 3" xfId="28319" xr:uid="{00000000-0005-0000-0000-000017A70000}"/>
    <cellStyle name="Comma 3 9 2 8" xfId="7488" xr:uid="{00000000-0005-0000-0000-000018A70000}"/>
    <cellStyle name="Comma 3 9 2 8 2" xfId="30767" xr:uid="{00000000-0005-0000-0000-000019A70000}"/>
    <cellStyle name="Comma 3 9 2 9" xfId="9936" xr:uid="{00000000-0005-0000-0000-00001AA70000}"/>
    <cellStyle name="Comma 3 9 2 9 2" xfId="33215" xr:uid="{00000000-0005-0000-0000-00001BA70000}"/>
    <cellStyle name="Comma 3 9 3" xfId="212" xr:uid="{00000000-0005-0000-0000-00001CA70000}"/>
    <cellStyle name="Comma 3 9 3 10" xfId="12452" xr:uid="{00000000-0005-0000-0000-00001DA70000}"/>
    <cellStyle name="Comma 3 9 3 10 2" xfId="35731" xr:uid="{00000000-0005-0000-0000-00001EA70000}"/>
    <cellStyle name="Comma 3 9 3 11" xfId="14923" xr:uid="{00000000-0005-0000-0000-00001FA70000}"/>
    <cellStyle name="Comma 3 9 3 11 2" xfId="38201" xr:uid="{00000000-0005-0000-0000-000020A70000}"/>
    <cellStyle name="Comma 3 9 3 12" xfId="23491" xr:uid="{00000000-0005-0000-0000-000021A70000}"/>
    <cellStyle name="Comma 3 9 3 13" xfId="44321" xr:uid="{00000000-0005-0000-0000-000022A70000}"/>
    <cellStyle name="Comma 3 9 3 14" xfId="21043" xr:uid="{00000000-0005-0000-0000-000023A70000}"/>
    <cellStyle name="Comma 3 9 3 2" xfId="416" xr:uid="{00000000-0005-0000-0000-000024A70000}"/>
    <cellStyle name="Comma 3 9 3 2 10" xfId="23695" xr:uid="{00000000-0005-0000-0000-000025A70000}"/>
    <cellStyle name="Comma 3 9 3 2 11" xfId="44525" xr:uid="{00000000-0005-0000-0000-000026A70000}"/>
    <cellStyle name="Comma 3 9 3 2 12" xfId="21247" xr:uid="{00000000-0005-0000-0000-000027A70000}"/>
    <cellStyle name="Comma 3 9 3 2 2" xfId="1028" xr:uid="{00000000-0005-0000-0000-000028A70000}"/>
    <cellStyle name="Comma 3 9 3 2 2 10" xfId="45137" xr:uid="{00000000-0005-0000-0000-000029A70000}"/>
    <cellStyle name="Comma 3 9 3 2 2 11" xfId="21859" xr:uid="{00000000-0005-0000-0000-00002AA70000}"/>
    <cellStyle name="Comma 3 9 3 2 2 2" xfId="2252" xr:uid="{00000000-0005-0000-0000-00002BA70000}"/>
    <cellStyle name="Comma 3 9 3 2 2 2 10" xfId="23083" xr:uid="{00000000-0005-0000-0000-00002CA70000}"/>
    <cellStyle name="Comma 3 9 3 2 2 2 2" xfId="4700" xr:uid="{00000000-0005-0000-0000-00002DA70000}"/>
    <cellStyle name="Comma 3 9 3 2 2 2 2 2" xfId="20635" xr:uid="{00000000-0005-0000-0000-00002EA70000}"/>
    <cellStyle name="Comma 3 9 3 2 2 2 2 2 2" xfId="43913" xr:uid="{00000000-0005-0000-0000-00002FA70000}"/>
    <cellStyle name="Comma 3 9 3 2 2 2 2 3" xfId="48809" xr:uid="{00000000-0005-0000-0000-000030A70000}"/>
    <cellStyle name="Comma 3 9 3 2 2 2 2 4" xfId="27979" xr:uid="{00000000-0005-0000-0000-000031A70000}"/>
    <cellStyle name="Comma 3 9 3 2 2 2 3" xfId="7148" xr:uid="{00000000-0005-0000-0000-000032A70000}"/>
    <cellStyle name="Comma 3 9 3 2 2 2 3 2" xfId="30427" xr:uid="{00000000-0005-0000-0000-000033A70000}"/>
    <cellStyle name="Comma 3 9 3 2 2 2 4" xfId="9596" xr:uid="{00000000-0005-0000-0000-000034A70000}"/>
    <cellStyle name="Comma 3 9 3 2 2 2 4 2" xfId="32875" xr:uid="{00000000-0005-0000-0000-000035A70000}"/>
    <cellStyle name="Comma 3 9 3 2 2 2 5" xfId="12044" xr:uid="{00000000-0005-0000-0000-000036A70000}"/>
    <cellStyle name="Comma 3 9 3 2 2 2 5 2" xfId="35323" xr:uid="{00000000-0005-0000-0000-000037A70000}"/>
    <cellStyle name="Comma 3 9 3 2 2 2 6" xfId="14492" xr:uid="{00000000-0005-0000-0000-000038A70000}"/>
    <cellStyle name="Comma 3 9 3 2 2 2 6 2" xfId="37771" xr:uid="{00000000-0005-0000-0000-000039A70000}"/>
    <cellStyle name="Comma 3 9 3 2 2 2 7" xfId="18187" xr:uid="{00000000-0005-0000-0000-00003AA70000}"/>
    <cellStyle name="Comma 3 9 3 2 2 2 7 2" xfId="41465" xr:uid="{00000000-0005-0000-0000-00003BA70000}"/>
    <cellStyle name="Comma 3 9 3 2 2 2 8" xfId="25531" xr:uid="{00000000-0005-0000-0000-00003CA70000}"/>
    <cellStyle name="Comma 3 9 3 2 2 2 9" xfId="46361" xr:uid="{00000000-0005-0000-0000-00003DA70000}"/>
    <cellStyle name="Comma 3 9 3 2 2 3" xfId="3476" xr:uid="{00000000-0005-0000-0000-00003EA70000}"/>
    <cellStyle name="Comma 3 9 3 2 2 3 2" xfId="16963" xr:uid="{00000000-0005-0000-0000-00003FA70000}"/>
    <cellStyle name="Comma 3 9 3 2 2 3 2 2" xfId="40241" xr:uid="{00000000-0005-0000-0000-000040A70000}"/>
    <cellStyle name="Comma 3 9 3 2 2 3 3" xfId="47585" xr:uid="{00000000-0005-0000-0000-000041A70000}"/>
    <cellStyle name="Comma 3 9 3 2 2 3 4" xfId="26755" xr:uid="{00000000-0005-0000-0000-000042A70000}"/>
    <cellStyle name="Comma 3 9 3 2 2 4" xfId="5924" xr:uid="{00000000-0005-0000-0000-000043A70000}"/>
    <cellStyle name="Comma 3 9 3 2 2 4 2" xfId="19411" xr:uid="{00000000-0005-0000-0000-000044A70000}"/>
    <cellStyle name="Comma 3 9 3 2 2 4 2 2" xfId="42689" xr:uid="{00000000-0005-0000-0000-000045A70000}"/>
    <cellStyle name="Comma 3 9 3 2 2 4 3" xfId="29203" xr:uid="{00000000-0005-0000-0000-000046A70000}"/>
    <cellStyle name="Comma 3 9 3 2 2 5" xfId="8372" xr:uid="{00000000-0005-0000-0000-000047A70000}"/>
    <cellStyle name="Comma 3 9 3 2 2 5 2" xfId="31651" xr:uid="{00000000-0005-0000-0000-000048A70000}"/>
    <cellStyle name="Comma 3 9 3 2 2 6" xfId="10820" xr:uid="{00000000-0005-0000-0000-000049A70000}"/>
    <cellStyle name="Comma 3 9 3 2 2 6 2" xfId="34099" xr:uid="{00000000-0005-0000-0000-00004AA70000}"/>
    <cellStyle name="Comma 3 9 3 2 2 7" xfId="13268" xr:uid="{00000000-0005-0000-0000-00004BA70000}"/>
    <cellStyle name="Comma 3 9 3 2 2 7 2" xfId="36547" xr:uid="{00000000-0005-0000-0000-00004CA70000}"/>
    <cellStyle name="Comma 3 9 3 2 2 8" xfId="15739" xr:uid="{00000000-0005-0000-0000-00004DA70000}"/>
    <cellStyle name="Comma 3 9 3 2 2 8 2" xfId="39017" xr:uid="{00000000-0005-0000-0000-00004EA70000}"/>
    <cellStyle name="Comma 3 9 3 2 2 9" xfId="24307" xr:uid="{00000000-0005-0000-0000-00004FA70000}"/>
    <cellStyle name="Comma 3 9 3 2 3" xfId="1640" xr:uid="{00000000-0005-0000-0000-000050A70000}"/>
    <cellStyle name="Comma 3 9 3 2 3 10" xfId="22471" xr:uid="{00000000-0005-0000-0000-000051A70000}"/>
    <cellStyle name="Comma 3 9 3 2 3 2" xfId="4088" xr:uid="{00000000-0005-0000-0000-000052A70000}"/>
    <cellStyle name="Comma 3 9 3 2 3 2 2" xfId="20023" xr:uid="{00000000-0005-0000-0000-000053A70000}"/>
    <cellStyle name="Comma 3 9 3 2 3 2 2 2" xfId="43301" xr:uid="{00000000-0005-0000-0000-000054A70000}"/>
    <cellStyle name="Comma 3 9 3 2 3 2 3" xfId="48197" xr:uid="{00000000-0005-0000-0000-000055A70000}"/>
    <cellStyle name="Comma 3 9 3 2 3 2 4" xfId="27367" xr:uid="{00000000-0005-0000-0000-000056A70000}"/>
    <cellStyle name="Comma 3 9 3 2 3 3" xfId="6536" xr:uid="{00000000-0005-0000-0000-000057A70000}"/>
    <cellStyle name="Comma 3 9 3 2 3 3 2" xfId="29815" xr:uid="{00000000-0005-0000-0000-000058A70000}"/>
    <cellStyle name="Comma 3 9 3 2 3 4" xfId="8984" xr:uid="{00000000-0005-0000-0000-000059A70000}"/>
    <cellStyle name="Comma 3 9 3 2 3 4 2" xfId="32263" xr:uid="{00000000-0005-0000-0000-00005AA70000}"/>
    <cellStyle name="Comma 3 9 3 2 3 5" xfId="11432" xr:uid="{00000000-0005-0000-0000-00005BA70000}"/>
    <cellStyle name="Comma 3 9 3 2 3 5 2" xfId="34711" xr:uid="{00000000-0005-0000-0000-00005CA70000}"/>
    <cellStyle name="Comma 3 9 3 2 3 6" xfId="13880" xr:uid="{00000000-0005-0000-0000-00005DA70000}"/>
    <cellStyle name="Comma 3 9 3 2 3 6 2" xfId="37159" xr:uid="{00000000-0005-0000-0000-00005EA70000}"/>
    <cellStyle name="Comma 3 9 3 2 3 7" xfId="17575" xr:uid="{00000000-0005-0000-0000-00005FA70000}"/>
    <cellStyle name="Comma 3 9 3 2 3 7 2" xfId="40853" xr:uid="{00000000-0005-0000-0000-000060A70000}"/>
    <cellStyle name="Comma 3 9 3 2 3 8" xfId="24919" xr:uid="{00000000-0005-0000-0000-000061A70000}"/>
    <cellStyle name="Comma 3 9 3 2 3 9" xfId="45749" xr:uid="{00000000-0005-0000-0000-000062A70000}"/>
    <cellStyle name="Comma 3 9 3 2 4" xfId="2864" xr:uid="{00000000-0005-0000-0000-000063A70000}"/>
    <cellStyle name="Comma 3 9 3 2 4 2" xfId="16351" xr:uid="{00000000-0005-0000-0000-000064A70000}"/>
    <cellStyle name="Comma 3 9 3 2 4 2 2" xfId="39629" xr:uid="{00000000-0005-0000-0000-000065A70000}"/>
    <cellStyle name="Comma 3 9 3 2 4 3" xfId="46973" xr:uid="{00000000-0005-0000-0000-000066A70000}"/>
    <cellStyle name="Comma 3 9 3 2 4 4" xfId="26143" xr:uid="{00000000-0005-0000-0000-000067A70000}"/>
    <cellStyle name="Comma 3 9 3 2 5" xfId="5312" xr:uid="{00000000-0005-0000-0000-000068A70000}"/>
    <cellStyle name="Comma 3 9 3 2 5 2" xfId="18799" xr:uid="{00000000-0005-0000-0000-000069A70000}"/>
    <cellStyle name="Comma 3 9 3 2 5 2 2" xfId="42077" xr:uid="{00000000-0005-0000-0000-00006AA70000}"/>
    <cellStyle name="Comma 3 9 3 2 5 3" xfId="28591" xr:uid="{00000000-0005-0000-0000-00006BA70000}"/>
    <cellStyle name="Comma 3 9 3 2 6" xfId="7760" xr:uid="{00000000-0005-0000-0000-00006CA70000}"/>
    <cellStyle name="Comma 3 9 3 2 6 2" xfId="31039" xr:uid="{00000000-0005-0000-0000-00006DA70000}"/>
    <cellStyle name="Comma 3 9 3 2 7" xfId="10208" xr:uid="{00000000-0005-0000-0000-00006EA70000}"/>
    <cellStyle name="Comma 3 9 3 2 7 2" xfId="33487" xr:uid="{00000000-0005-0000-0000-00006FA70000}"/>
    <cellStyle name="Comma 3 9 3 2 8" xfId="12656" xr:uid="{00000000-0005-0000-0000-000070A70000}"/>
    <cellStyle name="Comma 3 9 3 2 8 2" xfId="35935" xr:uid="{00000000-0005-0000-0000-000071A70000}"/>
    <cellStyle name="Comma 3 9 3 2 9" xfId="15127" xr:uid="{00000000-0005-0000-0000-000072A70000}"/>
    <cellStyle name="Comma 3 9 3 2 9 2" xfId="38405" xr:uid="{00000000-0005-0000-0000-000073A70000}"/>
    <cellStyle name="Comma 3 9 3 3" xfId="620" xr:uid="{00000000-0005-0000-0000-000074A70000}"/>
    <cellStyle name="Comma 3 9 3 3 10" xfId="23899" xr:uid="{00000000-0005-0000-0000-000075A70000}"/>
    <cellStyle name="Comma 3 9 3 3 11" xfId="44729" xr:uid="{00000000-0005-0000-0000-000076A70000}"/>
    <cellStyle name="Comma 3 9 3 3 12" xfId="21451" xr:uid="{00000000-0005-0000-0000-000077A70000}"/>
    <cellStyle name="Comma 3 9 3 3 2" xfId="1232" xr:uid="{00000000-0005-0000-0000-000078A70000}"/>
    <cellStyle name="Comma 3 9 3 3 2 10" xfId="45341" xr:uid="{00000000-0005-0000-0000-000079A70000}"/>
    <cellStyle name="Comma 3 9 3 3 2 11" xfId="22063" xr:uid="{00000000-0005-0000-0000-00007AA70000}"/>
    <cellStyle name="Comma 3 9 3 3 2 2" xfId="2456" xr:uid="{00000000-0005-0000-0000-00007BA70000}"/>
    <cellStyle name="Comma 3 9 3 3 2 2 10" xfId="23287" xr:uid="{00000000-0005-0000-0000-00007CA70000}"/>
    <cellStyle name="Comma 3 9 3 3 2 2 2" xfId="4904" xr:uid="{00000000-0005-0000-0000-00007DA70000}"/>
    <cellStyle name="Comma 3 9 3 3 2 2 2 2" xfId="20839" xr:uid="{00000000-0005-0000-0000-00007EA70000}"/>
    <cellStyle name="Comma 3 9 3 3 2 2 2 2 2" xfId="44117" xr:uid="{00000000-0005-0000-0000-00007FA70000}"/>
    <cellStyle name="Comma 3 9 3 3 2 2 2 3" xfId="49013" xr:uid="{00000000-0005-0000-0000-000080A70000}"/>
    <cellStyle name="Comma 3 9 3 3 2 2 2 4" xfId="28183" xr:uid="{00000000-0005-0000-0000-000081A70000}"/>
    <cellStyle name="Comma 3 9 3 3 2 2 3" xfId="7352" xr:uid="{00000000-0005-0000-0000-000082A70000}"/>
    <cellStyle name="Comma 3 9 3 3 2 2 3 2" xfId="30631" xr:uid="{00000000-0005-0000-0000-000083A70000}"/>
    <cellStyle name="Comma 3 9 3 3 2 2 4" xfId="9800" xr:uid="{00000000-0005-0000-0000-000084A70000}"/>
    <cellStyle name="Comma 3 9 3 3 2 2 4 2" xfId="33079" xr:uid="{00000000-0005-0000-0000-000085A70000}"/>
    <cellStyle name="Comma 3 9 3 3 2 2 5" xfId="12248" xr:uid="{00000000-0005-0000-0000-000086A70000}"/>
    <cellStyle name="Comma 3 9 3 3 2 2 5 2" xfId="35527" xr:uid="{00000000-0005-0000-0000-000087A70000}"/>
    <cellStyle name="Comma 3 9 3 3 2 2 6" xfId="14696" xr:uid="{00000000-0005-0000-0000-000088A70000}"/>
    <cellStyle name="Comma 3 9 3 3 2 2 6 2" xfId="37975" xr:uid="{00000000-0005-0000-0000-000089A70000}"/>
    <cellStyle name="Comma 3 9 3 3 2 2 7" xfId="18391" xr:uid="{00000000-0005-0000-0000-00008AA70000}"/>
    <cellStyle name="Comma 3 9 3 3 2 2 7 2" xfId="41669" xr:uid="{00000000-0005-0000-0000-00008BA70000}"/>
    <cellStyle name="Comma 3 9 3 3 2 2 8" xfId="25735" xr:uid="{00000000-0005-0000-0000-00008CA70000}"/>
    <cellStyle name="Comma 3 9 3 3 2 2 9" xfId="46565" xr:uid="{00000000-0005-0000-0000-00008DA70000}"/>
    <cellStyle name="Comma 3 9 3 3 2 3" xfId="3680" xr:uid="{00000000-0005-0000-0000-00008EA70000}"/>
    <cellStyle name="Comma 3 9 3 3 2 3 2" xfId="17167" xr:uid="{00000000-0005-0000-0000-00008FA70000}"/>
    <cellStyle name="Comma 3 9 3 3 2 3 2 2" xfId="40445" xr:uid="{00000000-0005-0000-0000-000090A70000}"/>
    <cellStyle name="Comma 3 9 3 3 2 3 3" xfId="47789" xr:uid="{00000000-0005-0000-0000-000091A70000}"/>
    <cellStyle name="Comma 3 9 3 3 2 3 4" xfId="26959" xr:uid="{00000000-0005-0000-0000-000092A70000}"/>
    <cellStyle name="Comma 3 9 3 3 2 4" xfId="6128" xr:uid="{00000000-0005-0000-0000-000093A70000}"/>
    <cellStyle name="Comma 3 9 3 3 2 4 2" xfId="19615" xr:uid="{00000000-0005-0000-0000-000094A70000}"/>
    <cellStyle name="Comma 3 9 3 3 2 4 2 2" xfId="42893" xr:uid="{00000000-0005-0000-0000-000095A70000}"/>
    <cellStyle name="Comma 3 9 3 3 2 4 3" xfId="29407" xr:uid="{00000000-0005-0000-0000-000096A70000}"/>
    <cellStyle name="Comma 3 9 3 3 2 5" xfId="8576" xr:uid="{00000000-0005-0000-0000-000097A70000}"/>
    <cellStyle name="Comma 3 9 3 3 2 5 2" xfId="31855" xr:uid="{00000000-0005-0000-0000-000098A70000}"/>
    <cellStyle name="Comma 3 9 3 3 2 6" xfId="11024" xr:uid="{00000000-0005-0000-0000-000099A70000}"/>
    <cellStyle name="Comma 3 9 3 3 2 6 2" xfId="34303" xr:uid="{00000000-0005-0000-0000-00009AA70000}"/>
    <cellStyle name="Comma 3 9 3 3 2 7" xfId="13472" xr:uid="{00000000-0005-0000-0000-00009BA70000}"/>
    <cellStyle name="Comma 3 9 3 3 2 7 2" xfId="36751" xr:uid="{00000000-0005-0000-0000-00009CA70000}"/>
    <cellStyle name="Comma 3 9 3 3 2 8" xfId="15943" xr:uid="{00000000-0005-0000-0000-00009DA70000}"/>
    <cellStyle name="Comma 3 9 3 3 2 8 2" xfId="39221" xr:uid="{00000000-0005-0000-0000-00009EA70000}"/>
    <cellStyle name="Comma 3 9 3 3 2 9" xfId="24511" xr:uid="{00000000-0005-0000-0000-00009FA70000}"/>
    <cellStyle name="Comma 3 9 3 3 3" xfId="1844" xr:uid="{00000000-0005-0000-0000-0000A0A70000}"/>
    <cellStyle name="Comma 3 9 3 3 3 10" xfId="22675" xr:uid="{00000000-0005-0000-0000-0000A1A70000}"/>
    <cellStyle name="Comma 3 9 3 3 3 2" xfId="4292" xr:uid="{00000000-0005-0000-0000-0000A2A70000}"/>
    <cellStyle name="Comma 3 9 3 3 3 2 2" xfId="20227" xr:uid="{00000000-0005-0000-0000-0000A3A70000}"/>
    <cellStyle name="Comma 3 9 3 3 3 2 2 2" xfId="43505" xr:uid="{00000000-0005-0000-0000-0000A4A70000}"/>
    <cellStyle name="Comma 3 9 3 3 3 2 3" xfId="48401" xr:uid="{00000000-0005-0000-0000-0000A5A70000}"/>
    <cellStyle name="Comma 3 9 3 3 3 2 4" xfId="27571" xr:uid="{00000000-0005-0000-0000-0000A6A70000}"/>
    <cellStyle name="Comma 3 9 3 3 3 3" xfId="6740" xr:uid="{00000000-0005-0000-0000-0000A7A70000}"/>
    <cellStyle name="Comma 3 9 3 3 3 3 2" xfId="30019" xr:uid="{00000000-0005-0000-0000-0000A8A70000}"/>
    <cellStyle name="Comma 3 9 3 3 3 4" xfId="9188" xr:uid="{00000000-0005-0000-0000-0000A9A70000}"/>
    <cellStyle name="Comma 3 9 3 3 3 4 2" xfId="32467" xr:uid="{00000000-0005-0000-0000-0000AAA70000}"/>
    <cellStyle name="Comma 3 9 3 3 3 5" xfId="11636" xr:uid="{00000000-0005-0000-0000-0000ABA70000}"/>
    <cellStyle name="Comma 3 9 3 3 3 5 2" xfId="34915" xr:uid="{00000000-0005-0000-0000-0000ACA70000}"/>
    <cellStyle name="Comma 3 9 3 3 3 6" xfId="14084" xr:uid="{00000000-0005-0000-0000-0000ADA70000}"/>
    <cellStyle name="Comma 3 9 3 3 3 6 2" xfId="37363" xr:uid="{00000000-0005-0000-0000-0000AEA70000}"/>
    <cellStyle name="Comma 3 9 3 3 3 7" xfId="17779" xr:uid="{00000000-0005-0000-0000-0000AFA70000}"/>
    <cellStyle name="Comma 3 9 3 3 3 7 2" xfId="41057" xr:uid="{00000000-0005-0000-0000-0000B0A70000}"/>
    <cellStyle name="Comma 3 9 3 3 3 8" xfId="25123" xr:uid="{00000000-0005-0000-0000-0000B1A70000}"/>
    <cellStyle name="Comma 3 9 3 3 3 9" xfId="45953" xr:uid="{00000000-0005-0000-0000-0000B2A70000}"/>
    <cellStyle name="Comma 3 9 3 3 4" xfId="3068" xr:uid="{00000000-0005-0000-0000-0000B3A70000}"/>
    <cellStyle name="Comma 3 9 3 3 4 2" xfId="16555" xr:uid="{00000000-0005-0000-0000-0000B4A70000}"/>
    <cellStyle name="Comma 3 9 3 3 4 2 2" xfId="39833" xr:uid="{00000000-0005-0000-0000-0000B5A70000}"/>
    <cellStyle name="Comma 3 9 3 3 4 3" xfId="47177" xr:uid="{00000000-0005-0000-0000-0000B6A70000}"/>
    <cellStyle name="Comma 3 9 3 3 4 4" xfId="26347" xr:uid="{00000000-0005-0000-0000-0000B7A70000}"/>
    <cellStyle name="Comma 3 9 3 3 5" xfId="5516" xr:uid="{00000000-0005-0000-0000-0000B8A70000}"/>
    <cellStyle name="Comma 3 9 3 3 5 2" xfId="19003" xr:uid="{00000000-0005-0000-0000-0000B9A70000}"/>
    <cellStyle name="Comma 3 9 3 3 5 2 2" xfId="42281" xr:uid="{00000000-0005-0000-0000-0000BAA70000}"/>
    <cellStyle name="Comma 3 9 3 3 5 3" xfId="28795" xr:uid="{00000000-0005-0000-0000-0000BBA70000}"/>
    <cellStyle name="Comma 3 9 3 3 6" xfId="7964" xr:uid="{00000000-0005-0000-0000-0000BCA70000}"/>
    <cellStyle name="Comma 3 9 3 3 6 2" xfId="31243" xr:uid="{00000000-0005-0000-0000-0000BDA70000}"/>
    <cellStyle name="Comma 3 9 3 3 7" xfId="10412" xr:uid="{00000000-0005-0000-0000-0000BEA70000}"/>
    <cellStyle name="Comma 3 9 3 3 7 2" xfId="33691" xr:uid="{00000000-0005-0000-0000-0000BFA70000}"/>
    <cellStyle name="Comma 3 9 3 3 8" xfId="12860" xr:uid="{00000000-0005-0000-0000-0000C0A70000}"/>
    <cellStyle name="Comma 3 9 3 3 8 2" xfId="36139" xr:uid="{00000000-0005-0000-0000-0000C1A70000}"/>
    <cellStyle name="Comma 3 9 3 3 9" xfId="15331" xr:uid="{00000000-0005-0000-0000-0000C2A70000}"/>
    <cellStyle name="Comma 3 9 3 3 9 2" xfId="38609" xr:uid="{00000000-0005-0000-0000-0000C3A70000}"/>
    <cellStyle name="Comma 3 9 3 4" xfId="824" xr:uid="{00000000-0005-0000-0000-0000C4A70000}"/>
    <cellStyle name="Comma 3 9 3 4 10" xfId="44933" xr:uid="{00000000-0005-0000-0000-0000C5A70000}"/>
    <cellStyle name="Comma 3 9 3 4 11" xfId="21655" xr:uid="{00000000-0005-0000-0000-0000C6A70000}"/>
    <cellStyle name="Comma 3 9 3 4 2" xfId="2048" xr:uid="{00000000-0005-0000-0000-0000C7A70000}"/>
    <cellStyle name="Comma 3 9 3 4 2 10" xfId="22879" xr:uid="{00000000-0005-0000-0000-0000C8A70000}"/>
    <cellStyle name="Comma 3 9 3 4 2 2" xfId="4496" xr:uid="{00000000-0005-0000-0000-0000C9A70000}"/>
    <cellStyle name="Comma 3 9 3 4 2 2 2" xfId="20431" xr:uid="{00000000-0005-0000-0000-0000CAA70000}"/>
    <cellStyle name="Comma 3 9 3 4 2 2 2 2" xfId="43709" xr:uid="{00000000-0005-0000-0000-0000CBA70000}"/>
    <cellStyle name="Comma 3 9 3 4 2 2 3" xfId="48605" xr:uid="{00000000-0005-0000-0000-0000CCA70000}"/>
    <cellStyle name="Comma 3 9 3 4 2 2 4" xfId="27775" xr:uid="{00000000-0005-0000-0000-0000CDA70000}"/>
    <cellStyle name="Comma 3 9 3 4 2 3" xfId="6944" xr:uid="{00000000-0005-0000-0000-0000CEA70000}"/>
    <cellStyle name="Comma 3 9 3 4 2 3 2" xfId="30223" xr:uid="{00000000-0005-0000-0000-0000CFA70000}"/>
    <cellStyle name="Comma 3 9 3 4 2 4" xfId="9392" xr:uid="{00000000-0005-0000-0000-0000D0A70000}"/>
    <cellStyle name="Comma 3 9 3 4 2 4 2" xfId="32671" xr:uid="{00000000-0005-0000-0000-0000D1A70000}"/>
    <cellStyle name="Comma 3 9 3 4 2 5" xfId="11840" xr:uid="{00000000-0005-0000-0000-0000D2A70000}"/>
    <cellStyle name="Comma 3 9 3 4 2 5 2" xfId="35119" xr:uid="{00000000-0005-0000-0000-0000D3A70000}"/>
    <cellStyle name="Comma 3 9 3 4 2 6" xfId="14288" xr:uid="{00000000-0005-0000-0000-0000D4A70000}"/>
    <cellStyle name="Comma 3 9 3 4 2 6 2" xfId="37567" xr:uid="{00000000-0005-0000-0000-0000D5A70000}"/>
    <cellStyle name="Comma 3 9 3 4 2 7" xfId="17983" xr:uid="{00000000-0005-0000-0000-0000D6A70000}"/>
    <cellStyle name="Comma 3 9 3 4 2 7 2" xfId="41261" xr:uid="{00000000-0005-0000-0000-0000D7A70000}"/>
    <cellStyle name="Comma 3 9 3 4 2 8" xfId="25327" xr:uid="{00000000-0005-0000-0000-0000D8A70000}"/>
    <cellStyle name="Comma 3 9 3 4 2 9" xfId="46157" xr:uid="{00000000-0005-0000-0000-0000D9A70000}"/>
    <cellStyle name="Comma 3 9 3 4 3" xfId="3272" xr:uid="{00000000-0005-0000-0000-0000DAA70000}"/>
    <cellStyle name="Comma 3 9 3 4 3 2" xfId="16759" xr:uid="{00000000-0005-0000-0000-0000DBA70000}"/>
    <cellStyle name="Comma 3 9 3 4 3 2 2" xfId="40037" xr:uid="{00000000-0005-0000-0000-0000DCA70000}"/>
    <cellStyle name="Comma 3 9 3 4 3 3" xfId="47381" xr:uid="{00000000-0005-0000-0000-0000DDA70000}"/>
    <cellStyle name="Comma 3 9 3 4 3 4" xfId="26551" xr:uid="{00000000-0005-0000-0000-0000DEA70000}"/>
    <cellStyle name="Comma 3 9 3 4 4" xfId="5720" xr:uid="{00000000-0005-0000-0000-0000DFA70000}"/>
    <cellStyle name="Comma 3 9 3 4 4 2" xfId="19207" xr:uid="{00000000-0005-0000-0000-0000E0A70000}"/>
    <cellStyle name="Comma 3 9 3 4 4 2 2" xfId="42485" xr:uid="{00000000-0005-0000-0000-0000E1A70000}"/>
    <cellStyle name="Comma 3 9 3 4 4 3" xfId="28999" xr:uid="{00000000-0005-0000-0000-0000E2A70000}"/>
    <cellStyle name="Comma 3 9 3 4 5" xfId="8168" xr:uid="{00000000-0005-0000-0000-0000E3A70000}"/>
    <cellStyle name="Comma 3 9 3 4 5 2" xfId="31447" xr:uid="{00000000-0005-0000-0000-0000E4A70000}"/>
    <cellStyle name="Comma 3 9 3 4 6" xfId="10616" xr:uid="{00000000-0005-0000-0000-0000E5A70000}"/>
    <cellStyle name="Comma 3 9 3 4 6 2" xfId="33895" xr:uid="{00000000-0005-0000-0000-0000E6A70000}"/>
    <cellStyle name="Comma 3 9 3 4 7" xfId="13064" xr:uid="{00000000-0005-0000-0000-0000E7A70000}"/>
    <cellStyle name="Comma 3 9 3 4 7 2" xfId="36343" xr:uid="{00000000-0005-0000-0000-0000E8A70000}"/>
    <cellStyle name="Comma 3 9 3 4 8" xfId="15535" xr:uid="{00000000-0005-0000-0000-0000E9A70000}"/>
    <cellStyle name="Comma 3 9 3 4 8 2" xfId="38813" xr:uid="{00000000-0005-0000-0000-0000EAA70000}"/>
    <cellStyle name="Comma 3 9 3 4 9" xfId="24103" xr:uid="{00000000-0005-0000-0000-0000EBA70000}"/>
    <cellStyle name="Comma 3 9 3 5" xfId="1436" xr:uid="{00000000-0005-0000-0000-0000ECA70000}"/>
    <cellStyle name="Comma 3 9 3 5 10" xfId="22267" xr:uid="{00000000-0005-0000-0000-0000EDA70000}"/>
    <cellStyle name="Comma 3 9 3 5 2" xfId="3884" xr:uid="{00000000-0005-0000-0000-0000EEA70000}"/>
    <cellStyle name="Comma 3 9 3 5 2 2" xfId="19819" xr:uid="{00000000-0005-0000-0000-0000EFA70000}"/>
    <cellStyle name="Comma 3 9 3 5 2 2 2" xfId="43097" xr:uid="{00000000-0005-0000-0000-0000F0A70000}"/>
    <cellStyle name="Comma 3 9 3 5 2 3" xfId="47993" xr:uid="{00000000-0005-0000-0000-0000F1A70000}"/>
    <cellStyle name="Comma 3 9 3 5 2 4" xfId="27163" xr:uid="{00000000-0005-0000-0000-0000F2A70000}"/>
    <cellStyle name="Comma 3 9 3 5 3" xfId="6332" xr:uid="{00000000-0005-0000-0000-0000F3A70000}"/>
    <cellStyle name="Comma 3 9 3 5 3 2" xfId="29611" xr:uid="{00000000-0005-0000-0000-0000F4A70000}"/>
    <cellStyle name="Comma 3 9 3 5 4" xfId="8780" xr:uid="{00000000-0005-0000-0000-0000F5A70000}"/>
    <cellStyle name="Comma 3 9 3 5 4 2" xfId="32059" xr:uid="{00000000-0005-0000-0000-0000F6A70000}"/>
    <cellStyle name="Comma 3 9 3 5 5" xfId="11228" xr:uid="{00000000-0005-0000-0000-0000F7A70000}"/>
    <cellStyle name="Comma 3 9 3 5 5 2" xfId="34507" xr:uid="{00000000-0005-0000-0000-0000F8A70000}"/>
    <cellStyle name="Comma 3 9 3 5 6" xfId="13676" xr:uid="{00000000-0005-0000-0000-0000F9A70000}"/>
    <cellStyle name="Comma 3 9 3 5 6 2" xfId="36955" xr:uid="{00000000-0005-0000-0000-0000FAA70000}"/>
    <cellStyle name="Comma 3 9 3 5 7" xfId="17371" xr:uid="{00000000-0005-0000-0000-0000FBA70000}"/>
    <cellStyle name="Comma 3 9 3 5 7 2" xfId="40649" xr:uid="{00000000-0005-0000-0000-0000FCA70000}"/>
    <cellStyle name="Comma 3 9 3 5 8" xfId="24715" xr:uid="{00000000-0005-0000-0000-0000FDA70000}"/>
    <cellStyle name="Comma 3 9 3 5 9" xfId="45545" xr:uid="{00000000-0005-0000-0000-0000FEA70000}"/>
    <cellStyle name="Comma 3 9 3 6" xfId="2660" xr:uid="{00000000-0005-0000-0000-0000FFA70000}"/>
    <cellStyle name="Comma 3 9 3 6 2" xfId="16147" xr:uid="{00000000-0005-0000-0000-000000A80000}"/>
    <cellStyle name="Comma 3 9 3 6 2 2" xfId="39425" xr:uid="{00000000-0005-0000-0000-000001A80000}"/>
    <cellStyle name="Comma 3 9 3 6 3" xfId="46769" xr:uid="{00000000-0005-0000-0000-000002A80000}"/>
    <cellStyle name="Comma 3 9 3 6 4" xfId="25939" xr:uid="{00000000-0005-0000-0000-000003A80000}"/>
    <cellStyle name="Comma 3 9 3 7" xfId="5108" xr:uid="{00000000-0005-0000-0000-000004A80000}"/>
    <cellStyle name="Comma 3 9 3 7 2" xfId="18595" xr:uid="{00000000-0005-0000-0000-000005A80000}"/>
    <cellStyle name="Comma 3 9 3 7 2 2" xfId="41873" xr:uid="{00000000-0005-0000-0000-000006A80000}"/>
    <cellStyle name="Comma 3 9 3 7 3" xfId="28387" xr:uid="{00000000-0005-0000-0000-000007A80000}"/>
    <cellStyle name="Comma 3 9 3 8" xfId="7556" xr:uid="{00000000-0005-0000-0000-000008A80000}"/>
    <cellStyle name="Comma 3 9 3 8 2" xfId="30835" xr:uid="{00000000-0005-0000-0000-000009A80000}"/>
    <cellStyle name="Comma 3 9 3 9" xfId="10004" xr:uid="{00000000-0005-0000-0000-00000AA80000}"/>
    <cellStyle name="Comma 3 9 3 9 2" xfId="33283" xr:uid="{00000000-0005-0000-0000-00000BA80000}"/>
    <cellStyle name="Comma 3 9 4" xfId="280" xr:uid="{00000000-0005-0000-0000-00000CA80000}"/>
    <cellStyle name="Comma 3 9 4 10" xfId="23559" xr:uid="{00000000-0005-0000-0000-00000DA80000}"/>
    <cellStyle name="Comma 3 9 4 11" xfId="44389" xr:uid="{00000000-0005-0000-0000-00000EA80000}"/>
    <cellStyle name="Comma 3 9 4 12" xfId="21111" xr:uid="{00000000-0005-0000-0000-00000FA80000}"/>
    <cellStyle name="Comma 3 9 4 2" xfId="892" xr:uid="{00000000-0005-0000-0000-000010A80000}"/>
    <cellStyle name="Comma 3 9 4 2 10" xfId="45001" xr:uid="{00000000-0005-0000-0000-000011A80000}"/>
    <cellStyle name="Comma 3 9 4 2 11" xfId="21723" xr:uid="{00000000-0005-0000-0000-000012A80000}"/>
    <cellStyle name="Comma 3 9 4 2 2" xfId="2116" xr:uid="{00000000-0005-0000-0000-000013A80000}"/>
    <cellStyle name="Comma 3 9 4 2 2 10" xfId="22947" xr:uid="{00000000-0005-0000-0000-000014A80000}"/>
    <cellStyle name="Comma 3 9 4 2 2 2" xfId="4564" xr:uid="{00000000-0005-0000-0000-000015A80000}"/>
    <cellStyle name="Comma 3 9 4 2 2 2 2" xfId="20499" xr:uid="{00000000-0005-0000-0000-000016A80000}"/>
    <cellStyle name="Comma 3 9 4 2 2 2 2 2" xfId="43777" xr:uid="{00000000-0005-0000-0000-000017A80000}"/>
    <cellStyle name="Comma 3 9 4 2 2 2 3" xfId="48673" xr:uid="{00000000-0005-0000-0000-000018A80000}"/>
    <cellStyle name="Comma 3 9 4 2 2 2 4" xfId="27843" xr:uid="{00000000-0005-0000-0000-000019A80000}"/>
    <cellStyle name="Comma 3 9 4 2 2 3" xfId="7012" xr:uid="{00000000-0005-0000-0000-00001AA80000}"/>
    <cellStyle name="Comma 3 9 4 2 2 3 2" xfId="30291" xr:uid="{00000000-0005-0000-0000-00001BA80000}"/>
    <cellStyle name="Comma 3 9 4 2 2 4" xfId="9460" xr:uid="{00000000-0005-0000-0000-00001CA80000}"/>
    <cellStyle name="Comma 3 9 4 2 2 4 2" xfId="32739" xr:uid="{00000000-0005-0000-0000-00001DA80000}"/>
    <cellStyle name="Comma 3 9 4 2 2 5" xfId="11908" xr:uid="{00000000-0005-0000-0000-00001EA80000}"/>
    <cellStyle name="Comma 3 9 4 2 2 5 2" xfId="35187" xr:uid="{00000000-0005-0000-0000-00001FA80000}"/>
    <cellStyle name="Comma 3 9 4 2 2 6" xfId="14356" xr:uid="{00000000-0005-0000-0000-000020A80000}"/>
    <cellStyle name="Comma 3 9 4 2 2 6 2" xfId="37635" xr:uid="{00000000-0005-0000-0000-000021A80000}"/>
    <cellStyle name="Comma 3 9 4 2 2 7" xfId="18051" xr:uid="{00000000-0005-0000-0000-000022A80000}"/>
    <cellStyle name="Comma 3 9 4 2 2 7 2" xfId="41329" xr:uid="{00000000-0005-0000-0000-000023A80000}"/>
    <cellStyle name="Comma 3 9 4 2 2 8" xfId="25395" xr:uid="{00000000-0005-0000-0000-000024A80000}"/>
    <cellStyle name="Comma 3 9 4 2 2 9" xfId="46225" xr:uid="{00000000-0005-0000-0000-000025A80000}"/>
    <cellStyle name="Comma 3 9 4 2 3" xfId="3340" xr:uid="{00000000-0005-0000-0000-000026A80000}"/>
    <cellStyle name="Comma 3 9 4 2 3 2" xfId="16827" xr:uid="{00000000-0005-0000-0000-000027A80000}"/>
    <cellStyle name="Comma 3 9 4 2 3 2 2" xfId="40105" xr:uid="{00000000-0005-0000-0000-000028A80000}"/>
    <cellStyle name="Comma 3 9 4 2 3 3" xfId="47449" xr:uid="{00000000-0005-0000-0000-000029A80000}"/>
    <cellStyle name="Comma 3 9 4 2 3 4" xfId="26619" xr:uid="{00000000-0005-0000-0000-00002AA80000}"/>
    <cellStyle name="Comma 3 9 4 2 4" xfId="5788" xr:uid="{00000000-0005-0000-0000-00002BA80000}"/>
    <cellStyle name="Comma 3 9 4 2 4 2" xfId="19275" xr:uid="{00000000-0005-0000-0000-00002CA80000}"/>
    <cellStyle name="Comma 3 9 4 2 4 2 2" xfId="42553" xr:uid="{00000000-0005-0000-0000-00002DA80000}"/>
    <cellStyle name="Comma 3 9 4 2 4 3" xfId="29067" xr:uid="{00000000-0005-0000-0000-00002EA80000}"/>
    <cellStyle name="Comma 3 9 4 2 5" xfId="8236" xr:uid="{00000000-0005-0000-0000-00002FA80000}"/>
    <cellStyle name="Comma 3 9 4 2 5 2" xfId="31515" xr:uid="{00000000-0005-0000-0000-000030A80000}"/>
    <cellStyle name="Comma 3 9 4 2 6" xfId="10684" xr:uid="{00000000-0005-0000-0000-000031A80000}"/>
    <cellStyle name="Comma 3 9 4 2 6 2" xfId="33963" xr:uid="{00000000-0005-0000-0000-000032A80000}"/>
    <cellStyle name="Comma 3 9 4 2 7" xfId="13132" xr:uid="{00000000-0005-0000-0000-000033A80000}"/>
    <cellStyle name="Comma 3 9 4 2 7 2" xfId="36411" xr:uid="{00000000-0005-0000-0000-000034A80000}"/>
    <cellStyle name="Comma 3 9 4 2 8" xfId="15603" xr:uid="{00000000-0005-0000-0000-000035A80000}"/>
    <cellStyle name="Comma 3 9 4 2 8 2" xfId="38881" xr:uid="{00000000-0005-0000-0000-000036A80000}"/>
    <cellStyle name="Comma 3 9 4 2 9" xfId="24171" xr:uid="{00000000-0005-0000-0000-000037A80000}"/>
    <cellStyle name="Comma 3 9 4 3" xfId="1504" xr:uid="{00000000-0005-0000-0000-000038A80000}"/>
    <cellStyle name="Comma 3 9 4 3 10" xfId="22335" xr:uid="{00000000-0005-0000-0000-000039A80000}"/>
    <cellStyle name="Comma 3 9 4 3 2" xfId="3952" xr:uid="{00000000-0005-0000-0000-00003AA80000}"/>
    <cellStyle name="Comma 3 9 4 3 2 2" xfId="19887" xr:uid="{00000000-0005-0000-0000-00003BA80000}"/>
    <cellStyle name="Comma 3 9 4 3 2 2 2" xfId="43165" xr:uid="{00000000-0005-0000-0000-00003CA80000}"/>
    <cellStyle name="Comma 3 9 4 3 2 3" xfId="48061" xr:uid="{00000000-0005-0000-0000-00003DA80000}"/>
    <cellStyle name="Comma 3 9 4 3 2 4" xfId="27231" xr:uid="{00000000-0005-0000-0000-00003EA80000}"/>
    <cellStyle name="Comma 3 9 4 3 3" xfId="6400" xr:uid="{00000000-0005-0000-0000-00003FA80000}"/>
    <cellStyle name="Comma 3 9 4 3 3 2" xfId="29679" xr:uid="{00000000-0005-0000-0000-000040A80000}"/>
    <cellStyle name="Comma 3 9 4 3 4" xfId="8848" xr:uid="{00000000-0005-0000-0000-000041A80000}"/>
    <cellStyle name="Comma 3 9 4 3 4 2" xfId="32127" xr:uid="{00000000-0005-0000-0000-000042A80000}"/>
    <cellStyle name="Comma 3 9 4 3 5" xfId="11296" xr:uid="{00000000-0005-0000-0000-000043A80000}"/>
    <cellStyle name="Comma 3 9 4 3 5 2" xfId="34575" xr:uid="{00000000-0005-0000-0000-000044A80000}"/>
    <cellStyle name="Comma 3 9 4 3 6" xfId="13744" xr:uid="{00000000-0005-0000-0000-000045A80000}"/>
    <cellStyle name="Comma 3 9 4 3 6 2" xfId="37023" xr:uid="{00000000-0005-0000-0000-000046A80000}"/>
    <cellStyle name="Comma 3 9 4 3 7" xfId="17439" xr:uid="{00000000-0005-0000-0000-000047A80000}"/>
    <cellStyle name="Comma 3 9 4 3 7 2" xfId="40717" xr:uid="{00000000-0005-0000-0000-000048A80000}"/>
    <cellStyle name="Comma 3 9 4 3 8" xfId="24783" xr:uid="{00000000-0005-0000-0000-000049A80000}"/>
    <cellStyle name="Comma 3 9 4 3 9" xfId="45613" xr:uid="{00000000-0005-0000-0000-00004AA80000}"/>
    <cellStyle name="Comma 3 9 4 4" xfId="2728" xr:uid="{00000000-0005-0000-0000-00004BA80000}"/>
    <cellStyle name="Comma 3 9 4 4 2" xfId="16215" xr:uid="{00000000-0005-0000-0000-00004CA80000}"/>
    <cellStyle name="Comma 3 9 4 4 2 2" xfId="39493" xr:uid="{00000000-0005-0000-0000-00004DA80000}"/>
    <cellStyle name="Comma 3 9 4 4 3" xfId="46837" xr:uid="{00000000-0005-0000-0000-00004EA80000}"/>
    <cellStyle name="Comma 3 9 4 4 4" xfId="26007" xr:uid="{00000000-0005-0000-0000-00004FA80000}"/>
    <cellStyle name="Comma 3 9 4 5" xfId="5176" xr:uid="{00000000-0005-0000-0000-000050A80000}"/>
    <cellStyle name="Comma 3 9 4 5 2" xfId="18663" xr:uid="{00000000-0005-0000-0000-000051A80000}"/>
    <cellStyle name="Comma 3 9 4 5 2 2" xfId="41941" xr:uid="{00000000-0005-0000-0000-000052A80000}"/>
    <cellStyle name="Comma 3 9 4 5 3" xfId="28455" xr:uid="{00000000-0005-0000-0000-000053A80000}"/>
    <cellStyle name="Comma 3 9 4 6" xfId="7624" xr:uid="{00000000-0005-0000-0000-000054A80000}"/>
    <cellStyle name="Comma 3 9 4 6 2" xfId="30903" xr:uid="{00000000-0005-0000-0000-000055A80000}"/>
    <cellStyle name="Comma 3 9 4 7" xfId="10072" xr:uid="{00000000-0005-0000-0000-000056A80000}"/>
    <cellStyle name="Comma 3 9 4 7 2" xfId="33351" xr:uid="{00000000-0005-0000-0000-000057A80000}"/>
    <cellStyle name="Comma 3 9 4 8" xfId="12520" xr:uid="{00000000-0005-0000-0000-000058A80000}"/>
    <cellStyle name="Comma 3 9 4 8 2" xfId="35799" xr:uid="{00000000-0005-0000-0000-000059A80000}"/>
    <cellStyle name="Comma 3 9 4 9" xfId="14991" xr:uid="{00000000-0005-0000-0000-00005AA80000}"/>
    <cellStyle name="Comma 3 9 4 9 2" xfId="38269" xr:uid="{00000000-0005-0000-0000-00005BA80000}"/>
    <cellStyle name="Comma 3 9 5" xfId="484" xr:uid="{00000000-0005-0000-0000-00005CA80000}"/>
    <cellStyle name="Comma 3 9 5 10" xfId="23763" xr:uid="{00000000-0005-0000-0000-00005DA80000}"/>
    <cellStyle name="Comma 3 9 5 11" xfId="44593" xr:uid="{00000000-0005-0000-0000-00005EA80000}"/>
    <cellStyle name="Comma 3 9 5 12" xfId="21315" xr:uid="{00000000-0005-0000-0000-00005FA80000}"/>
    <cellStyle name="Comma 3 9 5 2" xfId="1096" xr:uid="{00000000-0005-0000-0000-000060A80000}"/>
    <cellStyle name="Comma 3 9 5 2 10" xfId="45205" xr:uid="{00000000-0005-0000-0000-000061A80000}"/>
    <cellStyle name="Comma 3 9 5 2 11" xfId="21927" xr:uid="{00000000-0005-0000-0000-000062A80000}"/>
    <cellStyle name="Comma 3 9 5 2 2" xfId="2320" xr:uid="{00000000-0005-0000-0000-000063A80000}"/>
    <cellStyle name="Comma 3 9 5 2 2 10" xfId="23151" xr:uid="{00000000-0005-0000-0000-000064A80000}"/>
    <cellStyle name="Comma 3 9 5 2 2 2" xfId="4768" xr:uid="{00000000-0005-0000-0000-000065A80000}"/>
    <cellStyle name="Comma 3 9 5 2 2 2 2" xfId="20703" xr:uid="{00000000-0005-0000-0000-000066A80000}"/>
    <cellStyle name="Comma 3 9 5 2 2 2 2 2" xfId="43981" xr:uid="{00000000-0005-0000-0000-000067A80000}"/>
    <cellStyle name="Comma 3 9 5 2 2 2 3" xfId="48877" xr:uid="{00000000-0005-0000-0000-000068A80000}"/>
    <cellStyle name="Comma 3 9 5 2 2 2 4" xfId="28047" xr:uid="{00000000-0005-0000-0000-000069A80000}"/>
    <cellStyle name="Comma 3 9 5 2 2 3" xfId="7216" xr:uid="{00000000-0005-0000-0000-00006AA80000}"/>
    <cellStyle name="Comma 3 9 5 2 2 3 2" xfId="30495" xr:uid="{00000000-0005-0000-0000-00006BA80000}"/>
    <cellStyle name="Comma 3 9 5 2 2 4" xfId="9664" xr:uid="{00000000-0005-0000-0000-00006CA80000}"/>
    <cellStyle name="Comma 3 9 5 2 2 4 2" xfId="32943" xr:uid="{00000000-0005-0000-0000-00006DA80000}"/>
    <cellStyle name="Comma 3 9 5 2 2 5" xfId="12112" xr:uid="{00000000-0005-0000-0000-00006EA80000}"/>
    <cellStyle name="Comma 3 9 5 2 2 5 2" xfId="35391" xr:uid="{00000000-0005-0000-0000-00006FA80000}"/>
    <cellStyle name="Comma 3 9 5 2 2 6" xfId="14560" xr:uid="{00000000-0005-0000-0000-000070A80000}"/>
    <cellStyle name="Comma 3 9 5 2 2 6 2" xfId="37839" xr:uid="{00000000-0005-0000-0000-000071A80000}"/>
    <cellStyle name="Comma 3 9 5 2 2 7" xfId="18255" xr:uid="{00000000-0005-0000-0000-000072A80000}"/>
    <cellStyle name="Comma 3 9 5 2 2 7 2" xfId="41533" xr:uid="{00000000-0005-0000-0000-000073A80000}"/>
    <cellStyle name="Comma 3 9 5 2 2 8" xfId="25599" xr:uid="{00000000-0005-0000-0000-000074A80000}"/>
    <cellStyle name="Comma 3 9 5 2 2 9" xfId="46429" xr:uid="{00000000-0005-0000-0000-000075A80000}"/>
    <cellStyle name="Comma 3 9 5 2 3" xfId="3544" xr:uid="{00000000-0005-0000-0000-000076A80000}"/>
    <cellStyle name="Comma 3 9 5 2 3 2" xfId="17031" xr:uid="{00000000-0005-0000-0000-000077A80000}"/>
    <cellStyle name="Comma 3 9 5 2 3 2 2" xfId="40309" xr:uid="{00000000-0005-0000-0000-000078A80000}"/>
    <cellStyle name="Comma 3 9 5 2 3 3" xfId="47653" xr:uid="{00000000-0005-0000-0000-000079A80000}"/>
    <cellStyle name="Comma 3 9 5 2 3 4" xfId="26823" xr:uid="{00000000-0005-0000-0000-00007AA80000}"/>
    <cellStyle name="Comma 3 9 5 2 4" xfId="5992" xr:uid="{00000000-0005-0000-0000-00007BA80000}"/>
    <cellStyle name="Comma 3 9 5 2 4 2" xfId="19479" xr:uid="{00000000-0005-0000-0000-00007CA80000}"/>
    <cellStyle name="Comma 3 9 5 2 4 2 2" xfId="42757" xr:uid="{00000000-0005-0000-0000-00007DA80000}"/>
    <cellStyle name="Comma 3 9 5 2 4 3" xfId="29271" xr:uid="{00000000-0005-0000-0000-00007EA80000}"/>
    <cellStyle name="Comma 3 9 5 2 5" xfId="8440" xr:uid="{00000000-0005-0000-0000-00007FA80000}"/>
    <cellStyle name="Comma 3 9 5 2 5 2" xfId="31719" xr:uid="{00000000-0005-0000-0000-000080A80000}"/>
    <cellStyle name="Comma 3 9 5 2 6" xfId="10888" xr:uid="{00000000-0005-0000-0000-000081A80000}"/>
    <cellStyle name="Comma 3 9 5 2 6 2" xfId="34167" xr:uid="{00000000-0005-0000-0000-000082A80000}"/>
    <cellStyle name="Comma 3 9 5 2 7" xfId="13336" xr:uid="{00000000-0005-0000-0000-000083A80000}"/>
    <cellStyle name="Comma 3 9 5 2 7 2" xfId="36615" xr:uid="{00000000-0005-0000-0000-000084A80000}"/>
    <cellStyle name="Comma 3 9 5 2 8" xfId="15807" xr:uid="{00000000-0005-0000-0000-000085A80000}"/>
    <cellStyle name="Comma 3 9 5 2 8 2" xfId="39085" xr:uid="{00000000-0005-0000-0000-000086A80000}"/>
    <cellStyle name="Comma 3 9 5 2 9" xfId="24375" xr:uid="{00000000-0005-0000-0000-000087A80000}"/>
    <cellStyle name="Comma 3 9 5 3" xfId="1708" xr:uid="{00000000-0005-0000-0000-000088A80000}"/>
    <cellStyle name="Comma 3 9 5 3 10" xfId="22539" xr:uid="{00000000-0005-0000-0000-000089A80000}"/>
    <cellStyle name="Comma 3 9 5 3 2" xfId="4156" xr:uid="{00000000-0005-0000-0000-00008AA80000}"/>
    <cellStyle name="Comma 3 9 5 3 2 2" xfId="20091" xr:uid="{00000000-0005-0000-0000-00008BA80000}"/>
    <cellStyle name="Comma 3 9 5 3 2 2 2" xfId="43369" xr:uid="{00000000-0005-0000-0000-00008CA80000}"/>
    <cellStyle name="Comma 3 9 5 3 2 3" xfId="48265" xr:uid="{00000000-0005-0000-0000-00008DA80000}"/>
    <cellStyle name="Comma 3 9 5 3 2 4" xfId="27435" xr:uid="{00000000-0005-0000-0000-00008EA80000}"/>
    <cellStyle name="Comma 3 9 5 3 3" xfId="6604" xr:uid="{00000000-0005-0000-0000-00008FA80000}"/>
    <cellStyle name="Comma 3 9 5 3 3 2" xfId="29883" xr:uid="{00000000-0005-0000-0000-000090A80000}"/>
    <cellStyle name="Comma 3 9 5 3 4" xfId="9052" xr:uid="{00000000-0005-0000-0000-000091A80000}"/>
    <cellStyle name="Comma 3 9 5 3 4 2" xfId="32331" xr:uid="{00000000-0005-0000-0000-000092A80000}"/>
    <cellStyle name="Comma 3 9 5 3 5" xfId="11500" xr:uid="{00000000-0005-0000-0000-000093A80000}"/>
    <cellStyle name="Comma 3 9 5 3 5 2" xfId="34779" xr:uid="{00000000-0005-0000-0000-000094A80000}"/>
    <cellStyle name="Comma 3 9 5 3 6" xfId="13948" xr:uid="{00000000-0005-0000-0000-000095A80000}"/>
    <cellStyle name="Comma 3 9 5 3 6 2" xfId="37227" xr:uid="{00000000-0005-0000-0000-000096A80000}"/>
    <cellStyle name="Comma 3 9 5 3 7" xfId="17643" xr:uid="{00000000-0005-0000-0000-000097A80000}"/>
    <cellStyle name="Comma 3 9 5 3 7 2" xfId="40921" xr:uid="{00000000-0005-0000-0000-000098A80000}"/>
    <cellStyle name="Comma 3 9 5 3 8" xfId="24987" xr:uid="{00000000-0005-0000-0000-000099A80000}"/>
    <cellStyle name="Comma 3 9 5 3 9" xfId="45817" xr:uid="{00000000-0005-0000-0000-00009AA80000}"/>
    <cellStyle name="Comma 3 9 5 4" xfId="2932" xr:uid="{00000000-0005-0000-0000-00009BA80000}"/>
    <cellStyle name="Comma 3 9 5 4 2" xfId="16419" xr:uid="{00000000-0005-0000-0000-00009CA80000}"/>
    <cellStyle name="Comma 3 9 5 4 2 2" xfId="39697" xr:uid="{00000000-0005-0000-0000-00009DA80000}"/>
    <cellStyle name="Comma 3 9 5 4 3" xfId="47041" xr:uid="{00000000-0005-0000-0000-00009EA80000}"/>
    <cellStyle name="Comma 3 9 5 4 4" xfId="26211" xr:uid="{00000000-0005-0000-0000-00009FA80000}"/>
    <cellStyle name="Comma 3 9 5 5" xfId="5380" xr:uid="{00000000-0005-0000-0000-0000A0A80000}"/>
    <cellStyle name="Comma 3 9 5 5 2" xfId="18867" xr:uid="{00000000-0005-0000-0000-0000A1A80000}"/>
    <cellStyle name="Comma 3 9 5 5 2 2" xfId="42145" xr:uid="{00000000-0005-0000-0000-0000A2A80000}"/>
    <cellStyle name="Comma 3 9 5 5 3" xfId="28659" xr:uid="{00000000-0005-0000-0000-0000A3A80000}"/>
    <cellStyle name="Comma 3 9 5 6" xfId="7828" xr:uid="{00000000-0005-0000-0000-0000A4A80000}"/>
    <cellStyle name="Comma 3 9 5 6 2" xfId="31107" xr:uid="{00000000-0005-0000-0000-0000A5A80000}"/>
    <cellStyle name="Comma 3 9 5 7" xfId="10276" xr:uid="{00000000-0005-0000-0000-0000A6A80000}"/>
    <cellStyle name="Comma 3 9 5 7 2" xfId="33555" xr:uid="{00000000-0005-0000-0000-0000A7A80000}"/>
    <cellStyle name="Comma 3 9 5 8" xfId="12724" xr:uid="{00000000-0005-0000-0000-0000A8A80000}"/>
    <cellStyle name="Comma 3 9 5 8 2" xfId="36003" xr:uid="{00000000-0005-0000-0000-0000A9A80000}"/>
    <cellStyle name="Comma 3 9 5 9" xfId="15195" xr:uid="{00000000-0005-0000-0000-0000AAA80000}"/>
    <cellStyle name="Comma 3 9 5 9 2" xfId="38473" xr:uid="{00000000-0005-0000-0000-0000ABA80000}"/>
    <cellStyle name="Comma 3 9 6" xfId="688" xr:uid="{00000000-0005-0000-0000-0000ACA80000}"/>
    <cellStyle name="Comma 3 9 6 10" xfId="44797" xr:uid="{00000000-0005-0000-0000-0000ADA80000}"/>
    <cellStyle name="Comma 3 9 6 11" xfId="21519" xr:uid="{00000000-0005-0000-0000-0000AEA80000}"/>
    <cellStyle name="Comma 3 9 6 2" xfId="1912" xr:uid="{00000000-0005-0000-0000-0000AFA80000}"/>
    <cellStyle name="Comma 3 9 6 2 10" xfId="22743" xr:uid="{00000000-0005-0000-0000-0000B0A80000}"/>
    <cellStyle name="Comma 3 9 6 2 2" xfId="4360" xr:uid="{00000000-0005-0000-0000-0000B1A80000}"/>
    <cellStyle name="Comma 3 9 6 2 2 2" xfId="20295" xr:uid="{00000000-0005-0000-0000-0000B2A80000}"/>
    <cellStyle name="Comma 3 9 6 2 2 2 2" xfId="43573" xr:uid="{00000000-0005-0000-0000-0000B3A80000}"/>
    <cellStyle name="Comma 3 9 6 2 2 3" xfId="48469" xr:uid="{00000000-0005-0000-0000-0000B4A80000}"/>
    <cellStyle name="Comma 3 9 6 2 2 4" xfId="27639" xr:uid="{00000000-0005-0000-0000-0000B5A80000}"/>
    <cellStyle name="Comma 3 9 6 2 3" xfId="6808" xr:uid="{00000000-0005-0000-0000-0000B6A80000}"/>
    <cellStyle name="Comma 3 9 6 2 3 2" xfId="30087" xr:uid="{00000000-0005-0000-0000-0000B7A80000}"/>
    <cellStyle name="Comma 3 9 6 2 4" xfId="9256" xr:uid="{00000000-0005-0000-0000-0000B8A80000}"/>
    <cellStyle name="Comma 3 9 6 2 4 2" xfId="32535" xr:uid="{00000000-0005-0000-0000-0000B9A80000}"/>
    <cellStyle name="Comma 3 9 6 2 5" xfId="11704" xr:uid="{00000000-0005-0000-0000-0000BAA80000}"/>
    <cellStyle name="Comma 3 9 6 2 5 2" xfId="34983" xr:uid="{00000000-0005-0000-0000-0000BBA80000}"/>
    <cellStyle name="Comma 3 9 6 2 6" xfId="14152" xr:uid="{00000000-0005-0000-0000-0000BCA80000}"/>
    <cellStyle name="Comma 3 9 6 2 6 2" xfId="37431" xr:uid="{00000000-0005-0000-0000-0000BDA80000}"/>
    <cellStyle name="Comma 3 9 6 2 7" xfId="17847" xr:uid="{00000000-0005-0000-0000-0000BEA80000}"/>
    <cellStyle name="Comma 3 9 6 2 7 2" xfId="41125" xr:uid="{00000000-0005-0000-0000-0000BFA80000}"/>
    <cellStyle name="Comma 3 9 6 2 8" xfId="25191" xr:uid="{00000000-0005-0000-0000-0000C0A80000}"/>
    <cellStyle name="Comma 3 9 6 2 9" xfId="46021" xr:uid="{00000000-0005-0000-0000-0000C1A80000}"/>
    <cellStyle name="Comma 3 9 6 3" xfId="3136" xr:uid="{00000000-0005-0000-0000-0000C2A80000}"/>
    <cellStyle name="Comma 3 9 6 3 2" xfId="16623" xr:uid="{00000000-0005-0000-0000-0000C3A80000}"/>
    <cellStyle name="Comma 3 9 6 3 2 2" xfId="39901" xr:uid="{00000000-0005-0000-0000-0000C4A80000}"/>
    <cellStyle name="Comma 3 9 6 3 3" xfId="47245" xr:uid="{00000000-0005-0000-0000-0000C5A80000}"/>
    <cellStyle name="Comma 3 9 6 3 4" xfId="26415" xr:uid="{00000000-0005-0000-0000-0000C6A80000}"/>
    <cellStyle name="Comma 3 9 6 4" xfId="5584" xr:uid="{00000000-0005-0000-0000-0000C7A80000}"/>
    <cellStyle name="Comma 3 9 6 4 2" xfId="19071" xr:uid="{00000000-0005-0000-0000-0000C8A80000}"/>
    <cellStyle name="Comma 3 9 6 4 2 2" xfId="42349" xr:uid="{00000000-0005-0000-0000-0000C9A80000}"/>
    <cellStyle name="Comma 3 9 6 4 3" xfId="28863" xr:uid="{00000000-0005-0000-0000-0000CAA80000}"/>
    <cellStyle name="Comma 3 9 6 5" xfId="8032" xr:uid="{00000000-0005-0000-0000-0000CBA80000}"/>
    <cellStyle name="Comma 3 9 6 5 2" xfId="31311" xr:uid="{00000000-0005-0000-0000-0000CCA80000}"/>
    <cellStyle name="Comma 3 9 6 6" xfId="10480" xr:uid="{00000000-0005-0000-0000-0000CDA80000}"/>
    <cellStyle name="Comma 3 9 6 6 2" xfId="33759" xr:uid="{00000000-0005-0000-0000-0000CEA80000}"/>
    <cellStyle name="Comma 3 9 6 7" xfId="12928" xr:uid="{00000000-0005-0000-0000-0000CFA80000}"/>
    <cellStyle name="Comma 3 9 6 7 2" xfId="36207" xr:uid="{00000000-0005-0000-0000-0000D0A80000}"/>
    <cellStyle name="Comma 3 9 6 8" xfId="15399" xr:uid="{00000000-0005-0000-0000-0000D1A80000}"/>
    <cellStyle name="Comma 3 9 6 8 2" xfId="38677" xr:uid="{00000000-0005-0000-0000-0000D2A80000}"/>
    <cellStyle name="Comma 3 9 6 9" xfId="23967" xr:uid="{00000000-0005-0000-0000-0000D3A80000}"/>
    <cellStyle name="Comma 3 9 7" xfId="1300" xr:uid="{00000000-0005-0000-0000-0000D4A80000}"/>
    <cellStyle name="Comma 3 9 7 10" xfId="22131" xr:uid="{00000000-0005-0000-0000-0000D5A80000}"/>
    <cellStyle name="Comma 3 9 7 2" xfId="3748" xr:uid="{00000000-0005-0000-0000-0000D6A80000}"/>
    <cellStyle name="Comma 3 9 7 2 2" xfId="19683" xr:uid="{00000000-0005-0000-0000-0000D7A80000}"/>
    <cellStyle name="Comma 3 9 7 2 2 2" xfId="42961" xr:uid="{00000000-0005-0000-0000-0000D8A80000}"/>
    <cellStyle name="Comma 3 9 7 2 3" xfId="47857" xr:uid="{00000000-0005-0000-0000-0000D9A80000}"/>
    <cellStyle name="Comma 3 9 7 2 4" xfId="27027" xr:uid="{00000000-0005-0000-0000-0000DAA80000}"/>
    <cellStyle name="Comma 3 9 7 3" xfId="6196" xr:uid="{00000000-0005-0000-0000-0000DBA80000}"/>
    <cellStyle name="Comma 3 9 7 3 2" xfId="29475" xr:uid="{00000000-0005-0000-0000-0000DCA80000}"/>
    <cellStyle name="Comma 3 9 7 4" xfId="8644" xr:uid="{00000000-0005-0000-0000-0000DDA80000}"/>
    <cellStyle name="Comma 3 9 7 4 2" xfId="31923" xr:uid="{00000000-0005-0000-0000-0000DEA80000}"/>
    <cellStyle name="Comma 3 9 7 5" xfId="11092" xr:uid="{00000000-0005-0000-0000-0000DFA80000}"/>
    <cellStyle name="Comma 3 9 7 5 2" xfId="34371" xr:uid="{00000000-0005-0000-0000-0000E0A80000}"/>
    <cellStyle name="Comma 3 9 7 6" xfId="13540" xr:uid="{00000000-0005-0000-0000-0000E1A80000}"/>
    <cellStyle name="Comma 3 9 7 6 2" xfId="36819" xr:uid="{00000000-0005-0000-0000-0000E2A80000}"/>
    <cellStyle name="Comma 3 9 7 7" xfId="17235" xr:uid="{00000000-0005-0000-0000-0000E3A80000}"/>
    <cellStyle name="Comma 3 9 7 7 2" xfId="40513" xr:uid="{00000000-0005-0000-0000-0000E4A80000}"/>
    <cellStyle name="Comma 3 9 7 8" xfId="24579" xr:uid="{00000000-0005-0000-0000-0000E5A80000}"/>
    <cellStyle name="Comma 3 9 7 9" xfId="45409" xr:uid="{00000000-0005-0000-0000-0000E6A80000}"/>
    <cellStyle name="Comma 3 9 8" xfId="2524" xr:uid="{00000000-0005-0000-0000-0000E7A80000}"/>
    <cellStyle name="Comma 3 9 8 2" xfId="16011" xr:uid="{00000000-0005-0000-0000-0000E8A80000}"/>
    <cellStyle name="Comma 3 9 8 2 2" xfId="39289" xr:uid="{00000000-0005-0000-0000-0000E9A80000}"/>
    <cellStyle name="Comma 3 9 8 3" xfId="46633" xr:uid="{00000000-0005-0000-0000-0000EAA80000}"/>
    <cellStyle name="Comma 3 9 8 4" xfId="25803" xr:uid="{00000000-0005-0000-0000-0000EBA80000}"/>
    <cellStyle name="Comma 3 9 9" xfId="4972" xr:uid="{00000000-0005-0000-0000-0000ECA80000}"/>
    <cellStyle name="Comma 3 9 9 2" xfId="18459" xr:uid="{00000000-0005-0000-0000-0000EDA80000}"/>
    <cellStyle name="Comma 3 9 9 2 2" xfId="41737" xr:uid="{00000000-0005-0000-0000-0000EEA80000}"/>
    <cellStyle name="Comma 3 9 9 3" xfId="28251" xr:uid="{00000000-0005-0000-0000-0000EFA80000}"/>
    <cellStyle name="Comma 4" xfId="19" xr:uid="{00000000-0005-0000-0000-0000F0A80000}"/>
    <cellStyle name="Comma 4 2" xfId="47" xr:uid="{00000000-0005-0000-0000-0000F1A80000}"/>
    <cellStyle name="Comma 4 2 10" xfId="1271" xr:uid="{00000000-0005-0000-0000-0000F2A80000}"/>
    <cellStyle name="Comma 4 2 10 10" xfId="22102" xr:uid="{00000000-0005-0000-0000-0000F3A80000}"/>
    <cellStyle name="Comma 4 2 10 2" xfId="3719" xr:uid="{00000000-0005-0000-0000-0000F4A80000}"/>
    <cellStyle name="Comma 4 2 10 2 2" xfId="17206" xr:uid="{00000000-0005-0000-0000-0000F5A80000}"/>
    <cellStyle name="Comma 4 2 10 2 2 2" xfId="40484" xr:uid="{00000000-0005-0000-0000-0000F6A80000}"/>
    <cellStyle name="Comma 4 2 10 2 3" xfId="47828" xr:uid="{00000000-0005-0000-0000-0000F7A80000}"/>
    <cellStyle name="Comma 4 2 10 2 4" xfId="26998" xr:uid="{00000000-0005-0000-0000-0000F8A80000}"/>
    <cellStyle name="Comma 4 2 10 3" xfId="6167" xr:uid="{00000000-0005-0000-0000-0000F9A80000}"/>
    <cellStyle name="Comma 4 2 10 3 2" xfId="19654" xr:uid="{00000000-0005-0000-0000-0000FAA80000}"/>
    <cellStyle name="Comma 4 2 10 3 2 2" xfId="42932" xr:uid="{00000000-0005-0000-0000-0000FBA80000}"/>
    <cellStyle name="Comma 4 2 10 3 3" xfId="29446" xr:uid="{00000000-0005-0000-0000-0000FCA80000}"/>
    <cellStyle name="Comma 4 2 10 4" xfId="8615" xr:uid="{00000000-0005-0000-0000-0000FDA80000}"/>
    <cellStyle name="Comma 4 2 10 4 2" xfId="31894" xr:uid="{00000000-0005-0000-0000-0000FEA80000}"/>
    <cellStyle name="Comma 4 2 10 5" xfId="11063" xr:uid="{00000000-0005-0000-0000-0000FFA80000}"/>
    <cellStyle name="Comma 4 2 10 5 2" xfId="34342" xr:uid="{00000000-0005-0000-0000-000000A90000}"/>
    <cellStyle name="Comma 4 2 10 6" xfId="13511" xr:uid="{00000000-0005-0000-0000-000001A90000}"/>
    <cellStyle name="Comma 4 2 10 6 2" xfId="36790" xr:uid="{00000000-0005-0000-0000-000002A90000}"/>
    <cellStyle name="Comma 4 2 10 7" xfId="14758" xr:uid="{00000000-0005-0000-0000-000003A90000}"/>
    <cellStyle name="Comma 4 2 10 7 2" xfId="38036" xr:uid="{00000000-0005-0000-0000-000004A90000}"/>
    <cellStyle name="Comma 4 2 10 8" xfId="24550" xr:uid="{00000000-0005-0000-0000-000005A90000}"/>
    <cellStyle name="Comma 4 2 10 9" xfId="45380" xr:uid="{00000000-0005-0000-0000-000006A90000}"/>
    <cellStyle name="Comma 4 2 11" xfId="2495" xr:uid="{00000000-0005-0000-0000-000007A90000}"/>
    <cellStyle name="Comma 4 2 11 2" xfId="15982" xr:uid="{00000000-0005-0000-0000-000008A90000}"/>
    <cellStyle name="Comma 4 2 11 2 2" xfId="39260" xr:uid="{00000000-0005-0000-0000-000009A90000}"/>
    <cellStyle name="Comma 4 2 11 3" xfId="46604" xr:uid="{00000000-0005-0000-0000-00000AA90000}"/>
    <cellStyle name="Comma 4 2 11 4" xfId="25774" xr:uid="{00000000-0005-0000-0000-00000BA90000}"/>
    <cellStyle name="Comma 4 2 12" xfId="4943" xr:uid="{00000000-0005-0000-0000-00000CA90000}"/>
    <cellStyle name="Comma 4 2 12 2" xfId="18430" xr:uid="{00000000-0005-0000-0000-00000DA90000}"/>
    <cellStyle name="Comma 4 2 12 2 2" xfId="41708" xr:uid="{00000000-0005-0000-0000-00000EA90000}"/>
    <cellStyle name="Comma 4 2 12 3" xfId="28222" xr:uid="{00000000-0005-0000-0000-00000FA90000}"/>
    <cellStyle name="Comma 4 2 13" xfId="7391" xr:uid="{00000000-0005-0000-0000-000010A90000}"/>
    <cellStyle name="Comma 4 2 13 2" xfId="30670" xr:uid="{00000000-0005-0000-0000-000011A90000}"/>
    <cellStyle name="Comma 4 2 14" xfId="9839" xr:uid="{00000000-0005-0000-0000-000012A90000}"/>
    <cellStyle name="Comma 4 2 14 2" xfId="33118" xr:uid="{00000000-0005-0000-0000-000013A90000}"/>
    <cellStyle name="Comma 4 2 15" xfId="12287" xr:uid="{00000000-0005-0000-0000-000014A90000}"/>
    <cellStyle name="Comma 4 2 15 2" xfId="35566" xr:uid="{00000000-0005-0000-0000-000015A90000}"/>
    <cellStyle name="Comma 4 2 16" xfId="14741" xr:uid="{00000000-0005-0000-0000-000016A90000}"/>
    <cellStyle name="Comma 4 2 16 2" xfId="38019" xr:uid="{00000000-0005-0000-0000-000017A90000}"/>
    <cellStyle name="Comma 4 2 17" xfId="23326" xr:uid="{00000000-0005-0000-0000-000018A90000}"/>
    <cellStyle name="Comma 4 2 18" xfId="44156" xr:uid="{00000000-0005-0000-0000-000019A90000}"/>
    <cellStyle name="Comma 4 2 19" xfId="20878" xr:uid="{00000000-0005-0000-0000-00001AA90000}"/>
    <cellStyle name="Comma 4 2 2" xfId="64" xr:uid="{00000000-0005-0000-0000-00001BA90000}"/>
    <cellStyle name="Comma 4 2 2 10" xfId="7408" xr:uid="{00000000-0005-0000-0000-00001CA90000}"/>
    <cellStyle name="Comma 4 2 2 10 2" xfId="30687" xr:uid="{00000000-0005-0000-0000-00001DA90000}"/>
    <cellStyle name="Comma 4 2 2 11" xfId="9856" xr:uid="{00000000-0005-0000-0000-00001EA90000}"/>
    <cellStyle name="Comma 4 2 2 11 2" xfId="33135" xr:uid="{00000000-0005-0000-0000-00001FA90000}"/>
    <cellStyle name="Comma 4 2 2 12" xfId="12304" xr:uid="{00000000-0005-0000-0000-000020A90000}"/>
    <cellStyle name="Comma 4 2 2 12 2" xfId="35583" xr:uid="{00000000-0005-0000-0000-000021A90000}"/>
    <cellStyle name="Comma 4 2 2 13" xfId="14775" xr:uid="{00000000-0005-0000-0000-000022A90000}"/>
    <cellStyle name="Comma 4 2 2 13 2" xfId="38053" xr:uid="{00000000-0005-0000-0000-000023A90000}"/>
    <cellStyle name="Comma 4 2 2 14" xfId="23343" xr:uid="{00000000-0005-0000-0000-000024A90000}"/>
    <cellStyle name="Comma 4 2 2 15" xfId="44173" xr:uid="{00000000-0005-0000-0000-000025A90000}"/>
    <cellStyle name="Comma 4 2 2 16" xfId="20895" xr:uid="{00000000-0005-0000-0000-000026A90000}"/>
    <cellStyle name="Comma 4 2 2 2" xfId="132" xr:uid="{00000000-0005-0000-0000-000027A90000}"/>
    <cellStyle name="Comma 4 2 2 2 10" xfId="12372" xr:uid="{00000000-0005-0000-0000-000028A90000}"/>
    <cellStyle name="Comma 4 2 2 2 10 2" xfId="35651" xr:uid="{00000000-0005-0000-0000-000029A90000}"/>
    <cellStyle name="Comma 4 2 2 2 11" xfId="14843" xr:uid="{00000000-0005-0000-0000-00002AA90000}"/>
    <cellStyle name="Comma 4 2 2 2 11 2" xfId="38121" xr:uid="{00000000-0005-0000-0000-00002BA90000}"/>
    <cellStyle name="Comma 4 2 2 2 12" xfId="23411" xr:uid="{00000000-0005-0000-0000-00002CA90000}"/>
    <cellStyle name="Comma 4 2 2 2 13" xfId="44241" xr:uid="{00000000-0005-0000-0000-00002DA90000}"/>
    <cellStyle name="Comma 4 2 2 2 14" xfId="20963" xr:uid="{00000000-0005-0000-0000-00002EA90000}"/>
    <cellStyle name="Comma 4 2 2 2 2" xfId="336" xr:uid="{00000000-0005-0000-0000-00002FA90000}"/>
    <cellStyle name="Comma 4 2 2 2 2 10" xfId="23615" xr:uid="{00000000-0005-0000-0000-000030A90000}"/>
    <cellStyle name="Comma 4 2 2 2 2 11" xfId="44445" xr:uid="{00000000-0005-0000-0000-000031A90000}"/>
    <cellStyle name="Comma 4 2 2 2 2 12" xfId="21167" xr:uid="{00000000-0005-0000-0000-000032A90000}"/>
    <cellStyle name="Comma 4 2 2 2 2 2" xfId="948" xr:uid="{00000000-0005-0000-0000-000033A90000}"/>
    <cellStyle name="Comma 4 2 2 2 2 2 10" xfId="45057" xr:uid="{00000000-0005-0000-0000-000034A90000}"/>
    <cellStyle name="Comma 4 2 2 2 2 2 11" xfId="21779" xr:uid="{00000000-0005-0000-0000-000035A90000}"/>
    <cellStyle name="Comma 4 2 2 2 2 2 2" xfId="2172" xr:uid="{00000000-0005-0000-0000-000036A90000}"/>
    <cellStyle name="Comma 4 2 2 2 2 2 2 10" xfId="23003" xr:uid="{00000000-0005-0000-0000-000037A90000}"/>
    <cellStyle name="Comma 4 2 2 2 2 2 2 2" xfId="4620" xr:uid="{00000000-0005-0000-0000-000038A90000}"/>
    <cellStyle name="Comma 4 2 2 2 2 2 2 2 2" xfId="20555" xr:uid="{00000000-0005-0000-0000-000039A90000}"/>
    <cellStyle name="Comma 4 2 2 2 2 2 2 2 2 2" xfId="43833" xr:uid="{00000000-0005-0000-0000-00003AA90000}"/>
    <cellStyle name="Comma 4 2 2 2 2 2 2 2 3" xfId="48729" xr:uid="{00000000-0005-0000-0000-00003BA90000}"/>
    <cellStyle name="Comma 4 2 2 2 2 2 2 2 4" xfId="27899" xr:uid="{00000000-0005-0000-0000-00003CA90000}"/>
    <cellStyle name="Comma 4 2 2 2 2 2 2 3" xfId="7068" xr:uid="{00000000-0005-0000-0000-00003DA90000}"/>
    <cellStyle name="Comma 4 2 2 2 2 2 2 3 2" xfId="30347" xr:uid="{00000000-0005-0000-0000-00003EA90000}"/>
    <cellStyle name="Comma 4 2 2 2 2 2 2 4" xfId="9516" xr:uid="{00000000-0005-0000-0000-00003FA90000}"/>
    <cellStyle name="Comma 4 2 2 2 2 2 2 4 2" xfId="32795" xr:uid="{00000000-0005-0000-0000-000040A90000}"/>
    <cellStyle name="Comma 4 2 2 2 2 2 2 5" xfId="11964" xr:uid="{00000000-0005-0000-0000-000041A90000}"/>
    <cellStyle name="Comma 4 2 2 2 2 2 2 5 2" xfId="35243" xr:uid="{00000000-0005-0000-0000-000042A90000}"/>
    <cellStyle name="Comma 4 2 2 2 2 2 2 6" xfId="14412" xr:uid="{00000000-0005-0000-0000-000043A90000}"/>
    <cellStyle name="Comma 4 2 2 2 2 2 2 6 2" xfId="37691" xr:uid="{00000000-0005-0000-0000-000044A90000}"/>
    <cellStyle name="Comma 4 2 2 2 2 2 2 7" xfId="18107" xr:uid="{00000000-0005-0000-0000-000045A90000}"/>
    <cellStyle name="Comma 4 2 2 2 2 2 2 7 2" xfId="41385" xr:uid="{00000000-0005-0000-0000-000046A90000}"/>
    <cellStyle name="Comma 4 2 2 2 2 2 2 8" xfId="25451" xr:uid="{00000000-0005-0000-0000-000047A90000}"/>
    <cellStyle name="Comma 4 2 2 2 2 2 2 9" xfId="46281" xr:uid="{00000000-0005-0000-0000-000048A90000}"/>
    <cellStyle name="Comma 4 2 2 2 2 2 3" xfId="3396" xr:uid="{00000000-0005-0000-0000-000049A90000}"/>
    <cellStyle name="Comma 4 2 2 2 2 2 3 2" xfId="16883" xr:uid="{00000000-0005-0000-0000-00004AA90000}"/>
    <cellStyle name="Comma 4 2 2 2 2 2 3 2 2" xfId="40161" xr:uid="{00000000-0005-0000-0000-00004BA90000}"/>
    <cellStyle name="Comma 4 2 2 2 2 2 3 3" xfId="47505" xr:uid="{00000000-0005-0000-0000-00004CA90000}"/>
    <cellStyle name="Comma 4 2 2 2 2 2 3 4" xfId="26675" xr:uid="{00000000-0005-0000-0000-00004DA90000}"/>
    <cellStyle name="Comma 4 2 2 2 2 2 4" xfId="5844" xr:uid="{00000000-0005-0000-0000-00004EA90000}"/>
    <cellStyle name="Comma 4 2 2 2 2 2 4 2" xfId="19331" xr:uid="{00000000-0005-0000-0000-00004FA90000}"/>
    <cellStyle name="Comma 4 2 2 2 2 2 4 2 2" xfId="42609" xr:uid="{00000000-0005-0000-0000-000050A90000}"/>
    <cellStyle name="Comma 4 2 2 2 2 2 4 3" xfId="29123" xr:uid="{00000000-0005-0000-0000-000051A90000}"/>
    <cellStyle name="Comma 4 2 2 2 2 2 5" xfId="8292" xr:uid="{00000000-0005-0000-0000-000052A90000}"/>
    <cellStyle name="Comma 4 2 2 2 2 2 5 2" xfId="31571" xr:uid="{00000000-0005-0000-0000-000053A90000}"/>
    <cellStyle name="Comma 4 2 2 2 2 2 6" xfId="10740" xr:uid="{00000000-0005-0000-0000-000054A90000}"/>
    <cellStyle name="Comma 4 2 2 2 2 2 6 2" xfId="34019" xr:uid="{00000000-0005-0000-0000-000055A90000}"/>
    <cellStyle name="Comma 4 2 2 2 2 2 7" xfId="13188" xr:uid="{00000000-0005-0000-0000-000056A90000}"/>
    <cellStyle name="Comma 4 2 2 2 2 2 7 2" xfId="36467" xr:uid="{00000000-0005-0000-0000-000057A90000}"/>
    <cellStyle name="Comma 4 2 2 2 2 2 8" xfId="15659" xr:uid="{00000000-0005-0000-0000-000058A90000}"/>
    <cellStyle name="Comma 4 2 2 2 2 2 8 2" xfId="38937" xr:uid="{00000000-0005-0000-0000-000059A90000}"/>
    <cellStyle name="Comma 4 2 2 2 2 2 9" xfId="24227" xr:uid="{00000000-0005-0000-0000-00005AA90000}"/>
    <cellStyle name="Comma 4 2 2 2 2 3" xfId="1560" xr:uid="{00000000-0005-0000-0000-00005BA90000}"/>
    <cellStyle name="Comma 4 2 2 2 2 3 10" xfId="22391" xr:uid="{00000000-0005-0000-0000-00005CA90000}"/>
    <cellStyle name="Comma 4 2 2 2 2 3 2" xfId="4008" xr:uid="{00000000-0005-0000-0000-00005DA90000}"/>
    <cellStyle name="Comma 4 2 2 2 2 3 2 2" xfId="19943" xr:uid="{00000000-0005-0000-0000-00005EA90000}"/>
    <cellStyle name="Comma 4 2 2 2 2 3 2 2 2" xfId="43221" xr:uid="{00000000-0005-0000-0000-00005FA90000}"/>
    <cellStyle name="Comma 4 2 2 2 2 3 2 3" xfId="48117" xr:uid="{00000000-0005-0000-0000-000060A90000}"/>
    <cellStyle name="Comma 4 2 2 2 2 3 2 4" xfId="27287" xr:uid="{00000000-0005-0000-0000-000061A90000}"/>
    <cellStyle name="Comma 4 2 2 2 2 3 3" xfId="6456" xr:uid="{00000000-0005-0000-0000-000062A90000}"/>
    <cellStyle name="Comma 4 2 2 2 2 3 3 2" xfId="29735" xr:uid="{00000000-0005-0000-0000-000063A90000}"/>
    <cellStyle name="Comma 4 2 2 2 2 3 4" xfId="8904" xr:uid="{00000000-0005-0000-0000-000064A90000}"/>
    <cellStyle name="Comma 4 2 2 2 2 3 4 2" xfId="32183" xr:uid="{00000000-0005-0000-0000-000065A90000}"/>
    <cellStyle name="Comma 4 2 2 2 2 3 5" xfId="11352" xr:uid="{00000000-0005-0000-0000-000066A90000}"/>
    <cellStyle name="Comma 4 2 2 2 2 3 5 2" xfId="34631" xr:uid="{00000000-0005-0000-0000-000067A90000}"/>
    <cellStyle name="Comma 4 2 2 2 2 3 6" xfId="13800" xr:uid="{00000000-0005-0000-0000-000068A90000}"/>
    <cellStyle name="Comma 4 2 2 2 2 3 6 2" xfId="37079" xr:uid="{00000000-0005-0000-0000-000069A90000}"/>
    <cellStyle name="Comma 4 2 2 2 2 3 7" xfId="17495" xr:uid="{00000000-0005-0000-0000-00006AA90000}"/>
    <cellStyle name="Comma 4 2 2 2 2 3 7 2" xfId="40773" xr:uid="{00000000-0005-0000-0000-00006BA90000}"/>
    <cellStyle name="Comma 4 2 2 2 2 3 8" xfId="24839" xr:uid="{00000000-0005-0000-0000-00006CA90000}"/>
    <cellStyle name="Comma 4 2 2 2 2 3 9" xfId="45669" xr:uid="{00000000-0005-0000-0000-00006DA90000}"/>
    <cellStyle name="Comma 4 2 2 2 2 4" xfId="2784" xr:uid="{00000000-0005-0000-0000-00006EA90000}"/>
    <cellStyle name="Comma 4 2 2 2 2 4 2" xfId="16271" xr:uid="{00000000-0005-0000-0000-00006FA90000}"/>
    <cellStyle name="Comma 4 2 2 2 2 4 2 2" xfId="39549" xr:uid="{00000000-0005-0000-0000-000070A90000}"/>
    <cellStyle name="Comma 4 2 2 2 2 4 3" xfId="46893" xr:uid="{00000000-0005-0000-0000-000071A90000}"/>
    <cellStyle name="Comma 4 2 2 2 2 4 4" xfId="26063" xr:uid="{00000000-0005-0000-0000-000072A90000}"/>
    <cellStyle name="Comma 4 2 2 2 2 5" xfId="5232" xr:uid="{00000000-0005-0000-0000-000073A90000}"/>
    <cellStyle name="Comma 4 2 2 2 2 5 2" xfId="18719" xr:uid="{00000000-0005-0000-0000-000074A90000}"/>
    <cellStyle name="Comma 4 2 2 2 2 5 2 2" xfId="41997" xr:uid="{00000000-0005-0000-0000-000075A90000}"/>
    <cellStyle name="Comma 4 2 2 2 2 5 3" xfId="28511" xr:uid="{00000000-0005-0000-0000-000076A90000}"/>
    <cellStyle name="Comma 4 2 2 2 2 6" xfId="7680" xr:uid="{00000000-0005-0000-0000-000077A90000}"/>
    <cellStyle name="Comma 4 2 2 2 2 6 2" xfId="30959" xr:uid="{00000000-0005-0000-0000-000078A90000}"/>
    <cellStyle name="Comma 4 2 2 2 2 7" xfId="10128" xr:uid="{00000000-0005-0000-0000-000079A90000}"/>
    <cellStyle name="Comma 4 2 2 2 2 7 2" xfId="33407" xr:uid="{00000000-0005-0000-0000-00007AA90000}"/>
    <cellStyle name="Comma 4 2 2 2 2 8" xfId="12576" xr:uid="{00000000-0005-0000-0000-00007BA90000}"/>
    <cellStyle name="Comma 4 2 2 2 2 8 2" xfId="35855" xr:uid="{00000000-0005-0000-0000-00007CA90000}"/>
    <cellStyle name="Comma 4 2 2 2 2 9" xfId="15047" xr:uid="{00000000-0005-0000-0000-00007DA90000}"/>
    <cellStyle name="Comma 4 2 2 2 2 9 2" xfId="38325" xr:uid="{00000000-0005-0000-0000-00007EA90000}"/>
    <cellStyle name="Comma 4 2 2 2 3" xfId="540" xr:uid="{00000000-0005-0000-0000-00007FA90000}"/>
    <cellStyle name="Comma 4 2 2 2 3 10" xfId="23819" xr:uid="{00000000-0005-0000-0000-000080A90000}"/>
    <cellStyle name="Comma 4 2 2 2 3 11" xfId="44649" xr:uid="{00000000-0005-0000-0000-000081A90000}"/>
    <cellStyle name="Comma 4 2 2 2 3 12" xfId="21371" xr:uid="{00000000-0005-0000-0000-000082A90000}"/>
    <cellStyle name="Comma 4 2 2 2 3 2" xfId="1152" xr:uid="{00000000-0005-0000-0000-000083A90000}"/>
    <cellStyle name="Comma 4 2 2 2 3 2 10" xfId="45261" xr:uid="{00000000-0005-0000-0000-000084A90000}"/>
    <cellStyle name="Comma 4 2 2 2 3 2 11" xfId="21983" xr:uid="{00000000-0005-0000-0000-000085A90000}"/>
    <cellStyle name="Comma 4 2 2 2 3 2 2" xfId="2376" xr:uid="{00000000-0005-0000-0000-000086A90000}"/>
    <cellStyle name="Comma 4 2 2 2 3 2 2 10" xfId="23207" xr:uid="{00000000-0005-0000-0000-000087A90000}"/>
    <cellStyle name="Comma 4 2 2 2 3 2 2 2" xfId="4824" xr:uid="{00000000-0005-0000-0000-000088A90000}"/>
    <cellStyle name="Comma 4 2 2 2 3 2 2 2 2" xfId="20759" xr:uid="{00000000-0005-0000-0000-000089A90000}"/>
    <cellStyle name="Comma 4 2 2 2 3 2 2 2 2 2" xfId="44037" xr:uid="{00000000-0005-0000-0000-00008AA90000}"/>
    <cellStyle name="Comma 4 2 2 2 3 2 2 2 3" xfId="48933" xr:uid="{00000000-0005-0000-0000-00008BA90000}"/>
    <cellStyle name="Comma 4 2 2 2 3 2 2 2 4" xfId="28103" xr:uid="{00000000-0005-0000-0000-00008CA90000}"/>
    <cellStyle name="Comma 4 2 2 2 3 2 2 3" xfId="7272" xr:uid="{00000000-0005-0000-0000-00008DA90000}"/>
    <cellStyle name="Comma 4 2 2 2 3 2 2 3 2" xfId="30551" xr:uid="{00000000-0005-0000-0000-00008EA90000}"/>
    <cellStyle name="Comma 4 2 2 2 3 2 2 4" xfId="9720" xr:uid="{00000000-0005-0000-0000-00008FA90000}"/>
    <cellStyle name="Comma 4 2 2 2 3 2 2 4 2" xfId="32999" xr:uid="{00000000-0005-0000-0000-000090A90000}"/>
    <cellStyle name="Comma 4 2 2 2 3 2 2 5" xfId="12168" xr:uid="{00000000-0005-0000-0000-000091A90000}"/>
    <cellStyle name="Comma 4 2 2 2 3 2 2 5 2" xfId="35447" xr:uid="{00000000-0005-0000-0000-000092A90000}"/>
    <cellStyle name="Comma 4 2 2 2 3 2 2 6" xfId="14616" xr:uid="{00000000-0005-0000-0000-000093A90000}"/>
    <cellStyle name="Comma 4 2 2 2 3 2 2 6 2" xfId="37895" xr:uid="{00000000-0005-0000-0000-000094A90000}"/>
    <cellStyle name="Comma 4 2 2 2 3 2 2 7" xfId="18311" xr:uid="{00000000-0005-0000-0000-000095A90000}"/>
    <cellStyle name="Comma 4 2 2 2 3 2 2 7 2" xfId="41589" xr:uid="{00000000-0005-0000-0000-000096A90000}"/>
    <cellStyle name="Comma 4 2 2 2 3 2 2 8" xfId="25655" xr:uid="{00000000-0005-0000-0000-000097A90000}"/>
    <cellStyle name="Comma 4 2 2 2 3 2 2 9" xfId="46485" xr:uid="{00000000-0005-0000-0000-000098A90000}"/>
    <cellStyle name="Comma 4 2 2 2 3 2 3" xfId="3600" xr:uid="{00000000-0005-0000-0000-000099A90000}"/>
    <cellStyle name="Comma 4 2 2 2 3 2 3 2" xfId="17087" xr:uid="{00000000-0005-0000-0000-00009AA90000}"/>
    <cellStyle name="Comma 4 2 2 2 3 2 3 2 2" xfId="40365" xr:uid="{00000000-0005-0000-0000-00009BA90000}"/>
    <cellStyle name="Comma 4 2 2 2 3 2 3 3" xfId="47709" xr:uid="{00000000-0005-0000-0000-00009CA90000}"/>
    <cellStyle name="Comma 4 2 2 2 3 2 3 4" xfId="26879" xr:uid="{00000000-0005-0000-0000-00009DA90000}"/>
    <cellStyle name="Comma 4 2 2 2 3 2 4" xfId="6048" xr:uid="{00000000-0005-0000-0000-00009EA90000}"/>
    <cellStyle name="Comma 4 2 2 2 3 2 4 2" xfId="19535" xr:uid="{00000000-0005-0000-0000-00009FA90000}"/>
    <cellStyle name="Comma 4 2 2 2 3 2 4 2 2" xfId="42813" xr:uid="{00000000-0005-0000-0000-0000A0A90000}"/>
    <cellStyle name="Comma 4 2 2 2 3 2 4 3" xfId="29327" xr:uid="{00000000-0005-0000-0000-0000A1A90000}"/>
    <cellStyle name="Comma 4 2 2 2 3 2 5" xfId="8496" xr:uid="{00000000-0005-0000-0000-0000A2A90000}"/>
    <cellStyle name="Comma 4 2 2 2 3 2 5 2" xfId="31775" xr:uid="{00000000-0005-0000-0000-0000A3A90000}"/>
    <cellStyle name="Comma 4 2 2 2 3 2 6" xfId="10944" xr:uid="{00000000-0005-0000-0000-0000A4A90000}"/>
    <cellStyle name="Comma 4 2 2 2 3 2 6 2" xfId="34223" xr:uid="{00000000-0005-0000-0000-0000A5A90000}"/>
    <cellStyle name="Comma 4 2 2 2 3 2 7" xfId="13392" xr:uid="{00000000-0005-0000-0000-0000A6A90000}"/>
    <cellStyle name="Comma 4 2 2 2 3 2 7 2" xfId="36671" xr:uid="{00000000-0005-0000-0000-0000A7A90000}"/>
    <cellStyle name="Comma 4 2 2 2 3 2 8" xfId="15863" xr:uid="{00000000-0005-0000-0000-0000A8A90000}"/>
    <cellStyle name="Comma 4 2 2 2 3 2 8 2" xfId="39141" xr:uid="{00000000-0005-0000-0000-0000A9A90000}"/>
    <cellStyle name="Comma 4 2 2 2 3 2 9" xfId="24431" xr:uid="{00000000-0005-0000-0000-0000AAA90000}"/>
    <cellStyle name="Comma 4 2 2 2 3 3" xfId="1764" xr:uid="{00000000-0005-0000-0000-0000ABA90000}"/>
    <cellStyle name="Comma 4 2 2 2 3 3 10" xfId="22595" xr:uid="{00000000-0005-0000-0000-0000ACA90000}"/>
    <cellStyle name="Comma 4 2 2 2 3 3 2" xfId="4212" xr:uid="{00000000-0005-0000-0000-0000ADA90000}"/>
    <cellStyle name="Comma 4 2 2 2 3 3 2 2" xfId="20147" xr:uid="{00000000-0005-0000-0000-0000AEA90000}"/>
    <cellStyle name="Comma 4 2 2 2 3 3 2 2 2" xfId="43425" xr:uid="{00000000-0005-0000-0000-0000AFA90000}"/>
    <cellStyle name="Comma 4 2 2 2 3 3 2 3" xfId="48321" xr:uid="{00000000-0005-0000-0000-0000B0A90000}"/>
    <cellStyle name="Comma 4 2 2 2 3 3 2 4" xfId="27491" xr:uid="{00000000-0005-0000-0000-0000B1A90000}"/>
    <cellStyle name="Comma 4 2 2 2 3 3 3" xfId="6660" xr:uid="{00000000-0005-0000-0000-0000B2A90000}"/>
    <cellStyle name="Comma 4 2 2 2 3 3 3 2" xfId="29939" xr:uid="{00000000-0005-0000-0000-0000B3A90000}"/>
    <cellStyle name="Comma 4 2 2 2 3 3 4" xfId="9108" xr:uid="{00000000-0005-0000-0000-0000B4A90000}"/>
    <cellStyle name="Comma 4 2 2 2 3 3 4 2" xfId="32387" xr:uid="{00000000-0005-0000-0000-0000B5A90000}"/>
    <cellStyle name="Comma 4 2 2 2 3 3 5" xfId="11556" xr:uid="{00000000-0005-0000-0000-0000B6A90000}"/>
    <cellStyle name="Comma 4 2 2 2 3 3 5 2" xfId="34835" xr:uid="{00000000-0005-0000-0000-0000B7A90000}"/>
    <cellStyle name="Comma 4 2 2 2 3 3 6" xfId="14004" xr:uid="{00000000-0005-0000-0000-0000B8A90000}"/>
    <cellStyle name="Comma 4 2 2 2 3 3 6 2" xfId="37283" xr:uid="{00000000-0005-0000-0000-0000B9A90000}"/>
    <cellStyle name="Comma 4 2 2 2 3 3 7" xfId="17699" xr:uid="{00000000-0005-0000-0000-0000BAA90000}"/>
    <cellStyle name="Comma 4 2 2 2 3 3 7 2" xfId="40977" xr:uid="{00000000-0005-0000-0000-0000BBA90000}"/>
    <cellStyle name="Comma 4 2 2 2 3 3 8" xfId="25043" xr:uid="{00000000-0005-0000-0000-0000BCA90000}"/>
    <cellStyle name="Comma 4 2 2 2 3 3 9" xfId="45873" xr:uid="{00000000-0005-0000-0000-0000BDA90000}"/>
    <cellStyle name="Comma 4 2 2 2 3 4" xfId="2988" xr:uid="{00000000-0005-0000-0000-0000BEA90000}"/>
    <cellStyle name="Comma 4 2 2 2 3 4 2" xfId="16475" xr:uid="{00000000-0005-0000-0000-0000BFA90000}"/>
    <cellStyle name="Comma 4 2 2 2 3 4 2 2" xfId="39753" xr:uid="{00000000-0005-0000-0000-0000C0A90000}"/>
    <cellStyle name="Comma 4 2 2 2 3 4 3" xfId="47097" xr:uid="{00000000-0005-0000-0000-0000C1A90000}"/>
    <cellStyle name="Comma 4 2 2 2 3 4 4" xfId="26267" xr:uid="{00000000-0005-0000-0000-0000C2A90000}"/>
    <cellStyle name="Comma 4 2 2 2 3 5" xfId="5436" xr:uid="{00000000-0005-0000-0000-0000C3A90000}"/>
    <cellStyle name="Comma 4 2 2 2 3 5 2" xfId="18923" xr:uid="{00000000-0005-0000-0000-0000C4A90000}"/>
    <cellStyle name="Comma 4 2 2 2 3 5 2 2" xfId="42201" xr:uid="{00000000-0005-0000-0000-0000C5A90000}"/>
    <cellStyle name="Comma 4 2 2 2 3 5 3" xfId="28715" xr:uid="{00000000-0005-0000-0000-0000C6A90000}"/>
    <cellStyle name="Comma 4 2 2 2 3 6" xfId="7884" xr:uid="{00000000-0005-0000-0000-0000C7A90000}"/>
    <cellStyle name="Comma 4 2 2 2 3 6 2" xfId="31163" xr:uid="{00000000-0005-0000-0000-0000C8A90000}"/>
    <cellStyle name="Comma 4 2 2 2 3 7" xfId="10332" xr:uid="{00000000-0005-0000-0000-0000C9A90000}"/>
    <cellStyle name="Comma 4 2 2 2 3 7 2" xfId="33611" xr:uid="{00000000-0005-0000-0000-0000CAA90000}"/>
    <cellStyle name="Comma 4 2 2 2 3 8" xfId="12780" xr:uid="{00000000-0005-0000-0000-0000CBA90000}"/>
    <cellStyle name="Comma 4 2 2 2 3 8 2" xfId="36059" xr:uid="{00000000-0005-0000-0000-0000CCA90000}"/>
    <cellStyle name="Comma 4 2 2 2 3 9" xfId="15251" xr:uid="{00000000-0005-0000-0000-0000CDA90000}"/>
    <cellStyle name="Comma 4 2 2 2 3 9 2" xfId="38529" xr:uid="{00000000-0005-0000-0000-0000CEA90000}"/>
    <cellStyle name="Comma 4 2 2 2 4" xfId="744" xr:uid="{00000000-0005-0000-0000-0000CFA90000}"/>
    <cellStyle name="Comma 4 2 2 2 4 10" xfId="44853" xr:uid="{00000000-0005-0000-0000-0000D0A90000}"/>
    <cellStyle name="Comma 4 2 2 2 4 11" xfId="21575" xr:uid="{00000000-0005-0000-0000-0000D1A90000}"/>
    <cellStyle name="Comma 4 2 2 2 4 2" xfId="1968" xr:uid="{00000000-0005-0000-0000-0000D2A90000}"/>
    <cellStyle name="Comma 4 2 2 2 4 2 10" xfId="22799" xr:uid="{00000000-0005-0000-0000-0000D3A90000}"/>
    <cellStyle name="Comma 4 2 2 2 4 2 2" xfId="4416" xr:uid="{00000000-0005-0000-0000-0000D4A90000}"/>
    <cellStyle name="Comma 4 2 2 2 4 2 2 2" xfId="20351" xr:uid="{00000000-0005-0000-0000-0000D5A90000}"/>
    <cellStyle name="Comma 4 2 2 2 4 2 2 2 2" xfId="43629" xr:uid="{00000000-0005-0000-0000-0000D6A90000}"/>
    <cellStyle name="Comma 4 2 2 2 4 2 2 3" xfId="48525" xr:uid="{00000000-0005-0000-0000-0000D7A90000}"/>
    <cellStyle name="Comma 4 2 2 2 4 2 2 4" xfId="27695" xr:uid="{00000000-0005-0000-0000-0000D8A90000}"/>
    <cellStyle name="Comma 4 2 2 2 4 2 3" xfId="6864" xr:uid="{00000000-0005-0000-0000-0000D9A90000}"/>
    <cellStyle name="Comma 4 2 2 2 4 2 3 2" xfId="30143" xr:uid="{00000000-0005-0000-0000-0000DAA90000}"/>
    <cellStyle name="Comma 4 2 2 2 4 2 4" xfId="9312" xr:uid="{00000000-0005-0000-0000-0000DBA90000}"/>
    <cellStyle name="Comma 4 2 2 2 4 2 4 2" xfId="32591" xr:uid="{00000000-0005-0000-0000-0000DCA90000}"/>
    <cellStyle name="Comma 4 2 2 2 4 2 5" xfId="11760" xr:uid="{00000000-0005-0000-0000-0000DDA90000}"/>
    <cellStyle name="Comma 4 2 2 2 4 2 5 2" xfId="35039" xr:uid="{00000000-0005-0000-0000-0000DEA90000}"/>
    <cellStyle name="Comma 4 2 2 2 4 2 6" xfId="14208" xr:uid="{00000000-0005-0000-0000-0000DFA90000}"/>
    <cellStyle name="Comma 4 2 2 2 4 2 6 2" xfId="37487" xr:uid="{00000000-0005-0000-0000-0000E0A90000}"/>
    <cellStyle name="Comma 4 2 2 2 4 2 7" xfId="17903" xr:uid="{00000000-0005-0000-0000-0000E1A90000}"/>
    <cellStyle name="Comma 4 2 2 2 4 2 7 2" xfId="41181" xr:uid="{00000000-0005-0000-0000-0000E2A90000}"/>
    <cellStyle name="Comma 4 2 2 2 4 2 8" xfId="25247" xr:uid="{00000000-0005-0000-0000-0000E3A90000}"/>
    <cellStyle name="Comma 4 2 2 2 4 2 9" xfId="46077" xr:uid="{00000000-0005-0000-0000-0000E4A90000}"/>
    <cellStyle name="Comma 4 2 2 2 4 3" xfId="3192" xr:uid="{00000000-0005-0000-0000-0000E5A90000}"/>
    <cellStyle name="Comma 4 2 2 2 4 3 2" xfId="16679" xr:uid="{00000000-0005-0000-0000-0000E6A90000}"/>
    <cellStyle name="Comma 4 2 2 2 4 3 2 2" xfId="39957" xr:uid="{00000000-0005-0000-0000-0000E7A90000}"/>
    <cellStyle name="Comma 4 2 2 2 4 3 3" xfId="47301" xr:uid="{00000000-0005-0000-0000-0000E8A90000}"/>
    <cellStyle name="Comma 4 2 2 2 4 3 4" xfId="26471" xr:uid="{00000000-0005-0000-0000-0000E9A90000}"/>
    <cellStyle name="Comma 4 2 2 2 4 4" xfId="5640" xr:uid="{00000000-0005-0000-0000-0000EAA90000}"/>
    <cellStyle name="Comma 4 2 2 2 4 4 2" xfId="19127" xr:uid="{00000000-0005-0000-0000-0000EBA90000}"/>
    <cellStyle name="Comma 4 2 2 2 4 4 2 2" xfId="42405" xr:uid="{00000000-0005-0000-0000-0000ECA90000}"/>
    <cellStyle name="Comma 4 2 2 2 4 4 3" xfId="28919" xr:uid="{00000000-0005-0000-0000-0000EDA90000}"/>
    <cellStyle name="Comma 4 2 2 2 4 5" xfId="8088" xr:uid="{00000000-0005-0000-0000-0000EEA90000}"/>
    <cellStyle name="Comma 4 2 2 2 4 5 2" xfId="31367" xr:uid="{00000000-0005-0000-0000-0000EFA90000}"/>
    <cellStyle name="Comma 4 2 2 2 4 6" xfId="10536" xr:uid="{00000000-0005-0000-0000-0000F0A90000}"/>
    <cellStyle name="Comma 4 2 2 2 4 6 2" xfId="33815" xr:uid="{00000000-0005-0000-0000-0000F1A90000}"/>
    <cellStyle name="Comma 4 2 2 2 4 7" xfId="12984" xr:uid="{00000000-0005-0000-0000-0000F2A90000}"/>
    <cellStyle name="Comma 4 2 2 2 4 7 2" xfId="36263" xr:uid="{00000000-0005-0000-0000-0000F3A90000}"/>
    <cellStyle name="Comma 4 2 2 2 4 8" xfId="15455" xr:uid="{00000000-0005-0000-0000-0000F4A90000}"/>
    <cellStyle name="Comma 4 2 2 2 4 8 2" xfId="38733" xr:uid="{00000000-0005-0000-0000-0000F5A90000}"/>
    <cellStyle name="Comma 4 2 2 2 4 9" xfId="24023" xr:uid="{00000000-0005-0000-0000-0000F6A90000}"/>
    <cellStyle name="Comma 4 2 2 2 5" xfId="1356" xr:uid="{00000000-0005-0000-0000-0000F7A90000}"/>
    <cellStyle name="Comma 4 2 2 2 5 10" xfId="22187" xr:uid="{00000000-0005-0000-0000-0000F8A90000}"/>
    <cellStyle name="Comma 4 2 2 2 5 2" xfId="3804" xr:uid="{00000000-0005-0000-0000-0000F9A90000}"/>
    <cellStyle name="Comma 4 2 2 2 5 2 2" xfId="19739" xr:uid="{00000000-0005-0000-0000-0000FAA90000}"/>
    <cellStyle name="Comma 4 2 2 2 5 2 2 2" xfId="43017" xr:uid="{00000000-0005-0000-0000-0000FBA90000}"/>
    <cellStyle name="Comma 4 2 2 2 5 2 3" xfId="47913" xr:uid="{00000000-0005-0000-0000-0000FCA90000}"/>
    <cellStyle name="Comma 4 2 2 2 5 2 4" xfId="27083" xr:uid="{00000000-0005-0000-0000-0000FDA90000}"/>
    <cellStyle name="Comma 4 2 2 2 5 3" xfId="6252" xr:uid="{00000000-0005-0000-0000-0000FEA90000}"/>
    <cellStyle name="Comma 4 2 2 2 5 3 2" xfId="29531" xr:uid="{00000000-0005-0000-0000-0000FFA90000}"/>
    <cellStyle name="Comma 4 2 2 2 5 4" xfId="8700" xr:uid="{00000000-0005-0000-0000-000000AA0000}"/>
    <cellStyle name="Comma 4 2 2 2 5 4 2" xfId="31979" xr:uid="{00000000-0005-0000-0000-000001AA0000}"/>
    <cellStyle name="Comma 4 2 2 2 5 5" xfId="11148" xr:uid="{00000000-0005-0000-0000-000002AA0000}"/>
    <cellStyle name="Comma 4 2 2 2 5 5 2" xfId="34427" xr:uid="{00000000-0005-0000-0000-000003AA0000}"/>
    <cellStyle name="Comma 4 2 2 2 5 6" xfId="13596" xr:uid="{00000000-0005-0000-0000-000004AA0000}"/>
    <cellStyle name="Comma 4 2 2 2 5 6 2" xfId="36875" xr:uid="{00000000-0005-0000-0000-000005AA0000}"/>
    <cellStyle name="Comma 4 2 2 2 5 7" xfId="17291" xr:uid="{00000000-0005-0000-0000-000006AA0000}"/>
    <cellStyle name="Comma 4 2 2 2 5 7 2" xfId="40569" xr:uid="{00000000-0005-0000-0000-000007AA0000}"/>
    <cellStyle name="Comma 4 2 2 2 5 8" xfId="24635" xr:uid="{00000000-0005-0000-0000-000008AA0000}"/>
    <cellStyle name="Comma 4 2 2 2 5 9" xfId="45465" xr:uid="{00000000-0005-0000-0000-000009AA0000}"/>
    <cellStyle name="Comma 4 2 2 2 6" xfId="2580" xr:uid="{00000000-0005-0000-0000-00000AAA0000}"/>
    <cellStyle name="Comma 4 2 2 2 6 2" xfId="16067" xr:uid="{00000000-0005-0000-0000-00000BAA0000}"/>
    <cellStyle name="Comma 4 2 2 2 6 2 2" xfId="39345" xr:uid="{00000000-0005-0000-0000-00000CAA0000}"/>
    <cellStyle name="Comma 4 2 2 2 6 3" xfId="46689" xr:uid="{00000000-0005-0000-0000-00000DAA0000}"/>
    <cellStyle name="Comma 4 2 2 2 6 4" xfId="25859" xr:uid="{00000000-0005-0000-0000-00000EAA0000}"/>
    <cellStyle name="Comma 4 2 2 2 7" xfId="5028" xr:uid="{00000000-0005-0000-0000-00000FAA0000}"/>
    <cellStyle name="Comma 4 2 2 2 7 2" xfId="18515" xr:uid="{00000000-0005-0000-0000-000010AA0000}"/>
    <cellStyle name="Comma 4 2 2 2 7 2 2" xfId="41793" xr:uid="{00000000-0005-0000-0000-000011AA0000}"/>
    <cellStyle name="Comma 4 2 2 2 7 3" xfId="28307" xr:uid="{00000000-0005-0000-0000-000012AA0000}"/>
    <cellStyle name="Comma 4 2 2 2 8" xfId="7476" xr:uid="{00000000-0005-0000-0000-000013AA0000}"/>
    <cellStyle name="Comma 4 2 2 2 8 2" xfId="30755" xr:uid="{00000000-0005-0000-0000-000014AA0000}"/>
    <cellStyle name="Comma 4 2 2 2 9" xfId="9924" xr:uid="{00000000-0005-0000-0000-000015AA0000}"/>
    <cellStyle name="Comma 4 2 2 2 9 2" xfId="33203" xr:uid="{00000000-0005-0000-0000-000016AA0000}"/>
    <cellStyle name="Comma 4 2 2 3" xfId="200" xr:uid="{00000000-0005-0000-0000-000017AA0000}"/>
    <cellStyle name="Comma 4 2 2 3 10" xfId="12440" xr:uid="{00000000-0005-0000-0000-000018AA0000}"/>
    <cellStyle name="Comma 4 2 2 3 10 2" xfId="35719" xr:uid="{00000000-0005-0000-0000-000019AA0000}"/>
    <cellStyle name="Comma 4 2 2 3 11" xfId="14911" xr:uid="{00000000-0005-0000-0000-00001AAA0000}"/>
    <cellStyle name="Comma 4 2 2 3 11 2" xfId="38189" xr:uid="{00000000-0005-0000-0000-00001BAA0000}"/>
    <cellStyle name="Comma 4 2 2 3 12" xfId="23479" xr:uid="{00000000-0005-0000-0000-00001CAA0000}"/>
    <cellStyle name="Comma 4 2 2 3 13" xfId="44309" xr:uid="{00000000-0005-0000-0000-00001DAA0000}"/>
    <cellStyle name="Comma 4 2 2 3 14" xfId="21031" xr:uid="{00000000-0005-0000-0000-00001EAA0000}"/>
    <cellStyle name="Comma 4 2 2 3 2" xfId="404" xr:uid="{00000000-0005-0000-0000-00001FAA0000}"/>
    <cellStyle name="Comma 4 2 2 3 2 10" xfId="23683" xr:uid="{00000000-0005-0000-0000-000020AA0000}"/>
    <cellStyle name="Comma 4 2 2 3 2 11" xfId="44513" xr:uid="{00000000-0005-0000-0000-000021AA0000}"/>
    <cellStyle name="Comma 4 2 2 3 2 12" xfId="21235" xr:uid="{00000000-0005-0000-0000-000022AA0000}"/>
    <cellStyle name="Comma 4 2 2 3 2 2" xfId="1016" xr:uid="{00000000-0005-0000-0000-000023AA0000}"/>
    <cellStyle name="Comma 4 2 2 3 2 2 10" xfId="45125" xr:uid="{00000000-0005-0000-0000-000024AA0000}"/>
    <cellStyle name="Comma 4 2 2 3 2 2 11" xfId="21847" xr:uid="{00000000-0005-0000-0000-000025AA0000}"/>
    <cellStyle name="Comma 4 2 2 3 2 2 2" xfId="2240" xr:uid="{00000000-0005-0000-0000-000026AA0000}"/>
    <cellStyle name="Comma 4 2 2 3 2 2 2 10" xfId="23071" xr:uid="{00000000-0005-0000-0000-000027AA0000}"/>
    <cellStyle name="Comma 4 2 2 3 2 2 2 2" xfId="4688" xr:uid="{00000000-0005-0000-0000-000028AA0000}"/>
    <cellStyle name="Comma 4 2 2 3 2 2 2 2 2" xfId="20623" xr:uid="{00000000-0005-0000-0000-000029AA0000}"/>
    <cellStyle name="Comma 4 2 2 3 2 2 2 2 2 2" xfId="43901" xr:uid="{00000000-0005-0000-0000-00002AAA0000}"/>
    <cellStyle name="Comma 4 2 2 3 2 2 2 2 3" xfId="48797" xr:uid="{00000000-0005-0000-0000-00002BAA0000}"/>
    <cellStyle name="Comma 4 2 2 3 2 2 2 2 4" xfId="27967" xr:uid="{00000000-0005-0000-0000-00002CAA0000}"/>
    <cellStyle name="Comma 4 2 2 3 2 2 2 3" xfId="7136" xr:uid="{00000000-0005-0000-0000-00002DAA0000}"/>
    <cellStyle name="Comma 4 2 2 3 2 2 2 3 2" xfId="30415" xr:uid="{00000000-0005-0000-0000-00002EAA0000}"/>
    <cellStyle name="Comma 4 2 2 3 2 2 2 4" xfId="9584" xr:uid="{00000000-0005-0000-0000-00002FAA0000}"/>
    <cellStyle name="Comma 4 2 2 3 2 2 2 4 2" xfId="32863" xr:uid="{00000000-0005-0000-0000-000030AA0000}"/>
    <cellStyle name="Comma 4 2 2 3 2 2 2 5" xfId="12032" xr:uid="{00000000-0005-0000-0000-000031AA0000}"/>
    <cellStyle name="Comma 4 2 2 3 2 2 2 5 2" xfId="35311" xr:uid="{00000000-0005-0000-0000-000032AA0000}"/>
    <cellStyle name="Comma 4 2 2 3 2 2 2 6" xfId="14480" xr:uid="{00000000-0005-0000-0000-000033AA0000}"/>
    <cellStyle name="Comma 4 2 2 3 2 2 2 6 2" xfId="37759" xr:uid="{00000000-0005-0000-0000-000034AA0000}"/>
    <cellStyle name="Comma 4 2 2 3 2 2 2 7" xfId="18175" xr:uid="{00000000-0005-0000-0000-000035AA0000}"/>
    <cellStyle name="Comma 4 2 2 3 2 2 2 7 2" xfId="41453" xr:uid="{00000000-0005-0000-0000-000036AA0000}"/>
    <cellStyle name="Comma 4 2 2 3 2 2 2 8" xfId="25519" xr:uid="{00000000-0005-0000-0000-000037AA0000}"/>
    <cellStyle name="Comma 4 2 2 3 2 2 2 9" xfId="46349" xr:uid="{00000000-0005-0000-0000-000038AA0000}"/>
    <cellStyle name="Comma 4 2 2 3 2 2 3" xfId="3464" xr:uid="{00000000-0005-0000-0000-000039AA0000}"/>
    <cellStyle name="Comma 4 2 2 3 2 2 3 2" xfId="16951" xr:uid="{00000000-0005-0000-0000-00003AAA0000}"/>
    <cellStyle name="Comma 4 2 2 3 2 2 3 2 2" xfId="40229" xr:uid="{00000000-0005-0000-0000-00003BAA0000}"/>
    <cellStyle name="Comma 4 2 2 3 2 2 3 3" xfId="47573" xr:uid="{00000000-0005-0000-0000-00003CAA0000}"/>
    <cellStyle name="Comma 4 2 2 3 2 2 3 4" xfId="26743" xr:uid="{00000000-0005-0000-0000-00003DAA0000}"/>
    <cellStyle name="Comma 4 2 2 3 2 2 4" xfId="5912" xr:uid="{00000000-0005-0000-0000-00003EAA0000}"/>
    <cellStyle name="Comma 4 2 2 3 2 2 4 2" xfId="19399" xr:uid="{00000000-0005-0000-0000-00003FAA0000}"/>
    <cellStyle name="Comma 4 2 2 3 2 2 4 2 2" xfId="42677" xr:uid="{00000000-0005-0000-0000-000040AA0000}"/>
    <cellStyle name="Comma 4 2 2 3 2 2 4 3" xfId="29191" xr:uid="{00000000-0005-0000-0000-000041AA0000}"/>
    <cellStyle name="Comma 4 2 2 3 2 2 5" xfId="8360" xr:uid="{00000000-0005-0000-0000-000042AA0000}"/>
    <cellStyle name="Comma 4 2 2 3 2 2 5 2" xfId="31639" xr:uid="{00000000-0005-0000-0000-000043AA0000}"/>
    <cellStyle name="Comma 4 2 2 3 2 2 6" xfId="10808" xr:uid="{00000000-0005-0000-0000-000044AA0000}"/>
    <cellStyle name="Comma 4 2 2 3 2 2 6 2" xfId="34087" xr:uid="{00000000-0005-0000-0000-000045AA0000}"/>
    <cellStyle name="Comma 4 2 2 3 2 2 7" xfId="13256" xr:uid="{00000000-0005-0000-0000-000046AA0000}"/>
    <cellStyle name="Comma 4 2 2 3 2 2 7 2" xfId="36535" xr:uid="{00000000-0005-0000-0000-000047AA0000}"/>
    <cellStyle name="Comma 4 2 2 3 2 2 8" xfId="15727" xr:uid="{00000000-0005-0000-0000-000048AA0000}"/>
    <cellStyle name="Comma 4 2 2 3 2 2 8 2" xfId="39005" xr:uid="{00000000-0005-0000-0000-000049AA0000}"/>
    <cellStyle name="Comma 4 2 2 3 2 2 9" xfId="24295" xr:uid="{00000000-0005-0000-0000-00004AAA0000}"/>
    <cellStyle name="Comma 4 2 2 3 2 3" xfId="1628" xr:uid="{00000000-0005-0000-0000-00004BAA0000}"/>
    <cellStyle name="Comma 4 2 2 3 2 3 10" xfId="22459" xr:uid="{00000000-0005-0000-0000-00004CAA0000}"/>
    <cellStyle name="Comma 4 2 2 3 2 3 2" xfId="4076" xr:uid="{00000000-0005-0000-0000-00004DAA0000}"/>
    <cellStyle name="Comma 4 2 2 3 2 3 2 2" xfId="20011" xr:uid="{00000000-0005-0000-0000-00004EAA0000}"/>
    <cellStyle name="Comma 4 2 2 3 2 3 2 2 2" xfId="43289" xr:uid="{00000000-0005-0000-0000-00004FAA0000}"/>
    <cellStyle name="Comma 4 2 2 3 2 3 2 3" xfId="48185" xr:uid="{00000000-0005-0000-0000-000050AA0000}"/>
    <cellStyle name="Comma 4 2 2 3 2 3 2 4" xfId="27355" xr:uid="{00000000-0005-0000-0000-000051AA0000}"/>
    <cellStyle name="Comma 4 2 2 3 2 3 3" xfId="6524" xr:uid="{00000000-0005-0000-0000-000052AA0000}"/>
    <cellStyle name="Comma 4 2 2 3 2 3 3 2" xfId="29803" xr:uid="{00000000-0005-0000-0000-000053AA0000}"/>
    <cellStyle name="Comma 4 2 2 3 2 3 4" xfId="8972" xr:uid="{00000000-0005-0000-0000-000054AA0000}"/>
    <cellStyle name="Comma 4 2 2 3 2 3 4 2" xfId="32251" xr:uid="{00000000-0005-0000-0000-000055AA0000}"/>
    <cellStyle name="Comma 4 2 2 3 2 3 5" xfId="11420" xr:uid="{00000000-0005-0000-0000-000056AA0000}"/>
    <cellStyle name="Comma 4 2 2 3 2 3 5 2" xfId="34699" xr:uid="{00000000-0005-0000-0000-000057AA0000}"/>
    <cellStyle name="Comma 4 2 2 3 2 3 6" xfId="13868" xr:uid="{00000000-0005-0000-0000-000058AA0000}"/>
    <cellStyle name="Comma 4 2 2 3 2 3 6 2" xfId="37147" xr:uid="{00000000-0005-0000-0000-000059AA0000}"/>
    <cellStyle name="Comma 4 2 2 3 2 3 7" xfId="17563" xr:uid="{00000000-0005-0000-0000-00005AAA0000}"/>
    <cellStyle name="Comma 4 2 2 3 2 3 7 2" xfId="40841" xr:uid="{00000000-0005-0000-0000-00005BAA0000}"/>
    <cellStyle name="Comma 4 2 2 3 2 3 8" xfId="24907" xr:uid="{00000000-0005-0000-0000-00005CAA0000}"/>
    <cellStyle name="Comma 4 2 2 3 2 3 9" xfId="45737" xr:uid="{00000000-0005-0000-0000-00005DAA0000}"/>
    <cellStyle name="Comma 4 2 2 3 2 4" xfId="2852" xr:uid="{00000000-0005-0000-0000-00005EAA0000}"/>
    <cellStyle name="Comma 4 2 2 3 2 4 2" xfId="16339" xr:uid="{00000000-0005-0000-0000-00005FAA0000}"/>
    <cellStyle name="Comma 4 2 2 3 2 4 2 2" xfId="39617" xr:uid="{00000000-0005-0000-0000-000060AA0000}"/>
    <cellStyle name="Comma 4 2 2 3 2 4 3" xfId="46961" xr:uid="{00000000-0005-0000-0000-000061AA0000}"/>
    <cellStyle name="Comma 4 2 2 3 2 4 4" xfId="26131" xr:uid="{00000000-0005-0000-0000-000062AA0000}"/>
    <cellStyle name="Comma 4 2 2 3 2 5" xfId="5300" xr:uid="{00000000-0005-0000-0000-000063AA0000}"/>
    <cellStyle name="Comma 4 2 2 3 2 5 2" xfId="18787" xr:uid="{00000000-0005-0000-0000-000064AA0000}"/>
    <cellStyle name="Comma 4 2 2 3 2 5 2 2" xfId="42065" xr:uid="{00000000-0005-0000-0000-000065AA0000}"/>
    <cellStyle name="Comma 4 2 2 3 2 5 3" xfId="28579" xr:uid="{00000000-0005-0000-0000-000066AA0000}"/>
    <cellStyle name="Comma 4 2 2 3 2 6" xfId="7748" xr:uid="{00000000-0005-0000-0000-000067AA0000}"/>
    <cellStyle name="Comma 4 2 2 3 2 6 2" xfId="31027" xr:uid="{00000000-0005-0000-0000-000068AA0000}"/>
    <cellStyle name="Comma 4 2 2 3 2 7" xfId="10196" xr:uid="{00000000-0005-0000-0000-000069AA0000}"/>
    <cellStyle name="Comma 4 2 2 3 2 7 2" xfId="33475" xr:uid="{00000000-0005-0000-0000-00006AAA0000}"/>
    <cellStyle name="Comma 4 2 2 3 2 8" xfId="12644" xr:uid="{00000000-0005-0000-0000-00006BAA0000}"/>
    <cellStyle name="Comma 4 2 2 3 2 8 2" xfId="35923" xr:uid="{00000000-0005-0000-0000-00006CAA0000}"/>
    <cellStyle name="Comma 4 2 2 3 2 9" xfId="15115" xr:uid="{00000000-0005-0000-0000-00006DAA0000}"/>
    <cellStyle name="Comma 4 2 2 3 2 9 2" xfId="38393" xr:uid="{00000000-0005-0000-0000-00006EAA0000}"/>
    <cellStyle name="Comma 4 2 2 3 3" xfId="608" xr:uid="{00000000-0005-0000-0000-00006FAA0000}"/>
    <cellStyle name="Comma 4 2 2 3 3 10" xfId="23887" xr:uid="{00000000-0005-0000-0000-000070AA0000}"/>
    <cellStyle name="Comma 4 2 2 3 3 11" xfId="44717" xr:uid="{00000000-0005-0000-0000-000071AA0000}"/>
    <cellStyle name="Comma 4 2 2 3 3 12" xfId="21439" xr:uid="{00000000-0005-0000-0000-000072AA0000}"/>
    <cellStyle name="Comma 4 2 2 3 3 2" xfId="1220" xr:uid="{00000000-0005-0000-0000-000073AA0000}"/>
    <cellStyle name="Comma 4 2 2 3 3 2 10" xfId="45329" xr:uid="{00000000-0005-0000-0000-000074AA0000}"/>
    <cellStyle name="Comma 4 2 2 3 3 2 11" xfId="22051" xr:uid="{00000000-0005-0000-0000-000075AA0000}"/>
    <cellStyle name="Comma 4 2 2 3 3 2 2" xfId="2444" xr:uid="{00000000-0005-0000-0000-000076AA0000}"/>
    <cellStyle name="Comma 4 2 2 3 3 2 2 10" xfId="23275" xr:uid="{00000000-0005-0000-0000-000077AA0000}"/>
    <cellStyle name="Comma 4 2 2 3 3 2 2 2" xfId="4892" xr:uid="{00000000-0005-0000-0000-000078AA0000}"/>
    <cellStyle name="Comma 4 2 2 3 3 2 2 2 2" xfId="20827" xr:uid="{00000000-0005-0000-0000-000079AA0000}"/>
    <cellStyle name="Comma 4 2 2 3 3 2 2 2 2 2" xfId="44105" xr:uid="{00000000-0005-0000-0000-00007AAA0000}"/>
    <cellStyle name="Comma 4 2 2 3 3 2 2 2 3" xfId="49001" xr:uid="{00000000-0005-0000-0000-00007BAA0000}"/>
    <cellStyle name="Comma 4 2 2 3 3 2 2 2 4" xfId="28171" xr:uid="{00000000-0005-0000-0000-00007CAA0000}"/>
    <cellStyle name="Comma 4 2 2 3 3 2 2 3" xfId="7340" xr:uid="{00000000-0005-0000-0000-00007DAA0000}"/>
    <cellStyle name="Comma 4 2 2 3 3 2 2 3 2" xfId="30619" xr:uid="{00000000-0005-0000-0000-00007EAA0000}"/>
    <cellStyle name="Comma 4 2 2 3 3 2 2 4" xfId="9788" xr:uid="{00000000-0005-0000-0000-00007FAA0000}"/>
    <cellStyle name="Comma 4 2 2 3 3 2 2 4 2" xfId="33067" xr:uid="{00000000-0005-0000-0000-000080AA0000}"/>
    <cellStyle name="Comma 4 2 2 3 3 2 2 5" xfId="12236" xr:uid="{00000000-0005-0000-0000-000081AA0000}"/>
    <cellStyle name="Comma 4 2 2 3 3 2 2 5 2" xfId="35515" xr:uid="{00000000-0005-0000-0000-000082AA0000}"/>
    <cellStyle name="Comma 4 2 2 3 3 2 2 6" xfId="14684" xr:uid="{00000000-0005-0000-0000-000083AA0000}"/>
    <cellStyle name="Comma 4 2 2 3 3 2 2 6 2" xfId="37963" xr:uid="{00000000-0005-0000-0000-000084AA0000}"/>
    <cellStyle name="Comma 4 2 2 3 3 2 2 7" xfId="18379" xr:uid="{00000000-0005-0000-0000-000085AA0000}"/>
    <cellStyle name="Comma 4 2 2 3 3 2 2 7 2" xfId="41657" xr:uid="{00000000-0005-0000-0000-000086AA0000}"/>
    <cellStyle name="Comma 4 2 2 3 3 2 2 8" xfId="25723" xr:uid="{00000000-0005-0000-0000-000087AA0000}"/>
    <cellStyle name="Comma 4 2 2 3 3 2 2 9" xfId="46553" xr:uid="{00000000-0005-0000-0000-000088AA0000}"/>
    <cellStyle name="Comma 4 2 2 3 3 2 3" xfId="3668" xr:uid="{00000000-0005-0000-0000-000089AA0000}"/>
    <cellStyle name="Comma 4 2 2 3 3 2 3 2" xfId="17155" xr:uid="{00000000-0005-0000-0000-00008AAA0000}"/>
    <cellStyle name="Comma 4 2 2 3 3 2 3 2 2" xfId="40433" xr:uid="{00000000-0005-0000-0000-00008BAA0000}"/>
    <cellStyle name="Comma 4 2 2 3 3 2 3 3" xfId="47777" xr:uid="{00000000-0005-0000-0000-00008CAA0000}"/>
    <cellStyle name="Comma 4 2 2 3 3 2 3 4" xfId="26947" xr:uid="{00000000-0005-0000-0000-00008DAA0000}"/>
    <cellStyle name="Comma 4 2 2 3 3 2 4" xfId="6116" xr:uid="{00000000-0005-0000-0000-00008EAA0000}"/>
    <cellStyle name="Comma 4 2 2 3 3 2 4 2" xfId="19603" xr:uid="{00000000-0005-0000-0000-00008FAA0000}"/>
    <cellStyle name="Comma 4 2 2 3 3 2 4 2 2" xfId="42881" xr:uid="{00000000-0005-0000-0000-000090AA0000}"/>
    <cellStyle name="Comma 4 2 2 3 3 2 4 3" xfId="29395" xr:uid="{00000000-0005-0000-0000-000091AA0000}"/>
    <cellStyle name="Comma 4 2 2 3 3 2 5" xfId="8564" xr:uid="{00000000-0005-0000-0000-000092AA0000}"/>
    <cellStyle name="Comma 4 2 2 3 3 2 5 2" xfId="31843" xr:uid="{00000000-0005-0000-0000-000093AA0000}"/>
    <cellStyle name="Comma 4 2 2 3 3 2 6" xfId="11012" xr:uid="{00000000-0005-0000-0000-000094AA0000}"/>
    <cellStyle name="Comma 4 2 2 3 3 2 6 2" xfId="34291" xr:uid="{00000000-0005-0000-0000-000095AA0000}"/>
    <cellStyle name="Comma 4 2 2 3 3 2 7" xfId="13460" xr:uid="{00000000-0005-0000-0000-000096AA0000}"/>
    <cellStyle name="Comma 4 2 2 3 3 2 7 2" xfId="36739" xr:uid="{00000000-0005-0000-0000-000097AA0000}"/>
    <cellStyle name="Comma 4 2 2 3 3 2 8" xfId="15931" xr:uid="{00000000-0005-0000-0000-000098AA0000}"/>
    <cellStyle name="Comma 4 2 2 3 3 2 8 2" xfId="39209" xr:uid="{00000000-0005-0000-0000-000099AA0000}"/>
    <cellStyle name="Comma 4 2 2 3 3 2 9" xfId="24499" xr:uid="{00000000-0005-0000-0000-00009AAA0000}"/>
    <cellStyle name="Comma 4 2 2 3 3 3" xfId="1832" xr:uid="{00000000-0005-0000-0000-00009BAA0000}"/>
    <cellStyle name="Comma 4 2 2 3 3 3 10" xfId="22663" xr:uid="{00000000-0005-0000-0000-00009CAA0000}"/>
    <cellStyle name="Comma 4 2 2 3 3 3 2" xfId="4280" xr:uid="{00000000-0005-0000-0000-00009DAA0000}"/>
    <cellStyle name="Comma 4 2 2 3 3 3 2 2" xfId="20215" xr:uid="{00000000-0005-0000-0000-00009EAA0000}"/>
    <cellStyle name="Comma 4 2 2 3 3 3 2 2 2" xfId="43493" xr:uid="{00000000-0005-0000-0000-00009FAA0000}"/>
    <cellStyle name="Comma 4 2 2 3 3 3 2 3" xfId="48389" xr:uid="{00000000-0005-0000-0000-0000A0AA0000}"/>
    <cellStyle name="Comma 4 2 2 3 3 3 2 4" xfId="27559" xr:uid="{00000000-0005-0000-0000-0000A1AA0000}"/>
    <cellStyle name="Comma 4 2 2 3 3 3 3" xfId="6728" xr:uid="{00000000-0005-0000-0000-0000A2AA0000}"/>
    <cellStyle name="Comma 4 2 2 3 3 3 3 2" xfId="30007" xr:uid="{00000000-0005-0000-0000-0000A3AA0000}"/>
    <cellStyle name="Comma 4 2 2 3 3 3 4" xfId="9176" xr:uid="{00000000-0005-0000-0000-0000A4AA0000}"/>
    <cellStyle name="Comma 4 2 2 3 3 3 4 2" xfId="32455" xr:uid="{00000000-0005-0000-0000-0000A5AA0000}"/>
    <cellStyle name="Comma 4 2 2 3 3 3 5" xfId="11624" xr:uid="{00000000-0005-0000-0000-0000A6AA0000}"/>
    <cellStyle name="Comma 4 2 2 3 3 3 5 2" xfId="34903" xr:uid="{00000000-0005-0000-0000-0000A7AA0000}"/>
    <cellStyle name="Comma 4 2 2 3 3 3 6" xfId="14072" xr:uid="{00000000-0005-0000-0000-0000A8AA0000}"/>
    <cellStyle name="Comma 4 2 2 3 3 3 6 2" xfId="37351" xr:uid="{00000000-0005-0000-0000-0000A9AA0000}"/>
    <cellStyle name="Comma 4 2 2 3 3 3 7" xfId="17767" xr:uid="{00000000-0005-0000-0000-0000AAAA0000}"/>
    <cellStyle name="Comma 4 2 2 3 3 3 7 2" xfId="41045" xr:uid="{00000000-0005-0000-0000-0000ABAA0000}"/>
    <cellStyle name="Comma 4 2 2 3 3 3 8" xfId="25111" xr:uid="{00000000-0005-0000-0000-0000ACAA0000}"/>
    <cellStyle name="Comma 4 2 2 3 3 3 9" xfId="45941" xr:uid="{00000000-0005-0000-0000-0000ADAA0000}"/>
    <cellStyle name="Comma 4 2 2 3 3 4" xfId="3056" xr:uid="{00000000-0005-0000-0000-0000AEAA0000}"/>
    <cellStyle name="Comma 4 2 2 3 3 4 2" xfId="16543" xr:uid="{00000000-0005-0000-0000-0000AFAA0000}"/>
    <cellStyle name="Comma 4 2 2 3 3 4 2 2" xfId="39821" xr:uid="{00000000-0005-0000-0000-0000B0AA0000}"/>
    <cellStyle name="Comma 4 2 2 3 3 4 3" xfId="47165" xr:uid="{00000000-0005-0000-0000-0000B1AA0000}"/>
    <cellStyle name="Comma 4 2 2 3 3 4 4" xfId="26335" xr:uid="{00000000-0005-0000-0000-0000B2AA0000}"/>
    <cellStyle name="Comma 4 2 2 3 3 5" xfId="5504" xr:uid="{00000000-0005-0000-0000-0000B3AA0000}"/>
    <cellStyle name="Comma 4 2 2 3 3 5 2" xfId="18991" xr:uid="{00000000-0005-0000-0000-0000B4AA0000}"/>
    <cellStyle name="Comma 4 2 2 3 3 5 2 2" xfId="42269" xr:uid="{00000000-0005-0000-0000-0000B5AA0000}"/>
    <cellStyle name="Comma 4 2 2 3 3 5 3" xfId="28783" xr:uid="{00000000-0005-0000-0000-0000B6AA0000}"/>
    <cellStyle name="Comma 4 2 2 3 3 6" xfId="7952" xr:uid="{00000000-0005-0000-0000-0000B7AA0000}"/>
    <cellStyle name="Comma 4 2 2 3 3 6 2" xfId="31231" xr:uid="{00000000-0005-0000-0000-0000B8AA0000}"/>
    <cellStyle name="Comma 4 2 2 3 3 7" xfId="10400" xr:uid="{00000000-0005-0000-0000-0000B9AA0000}"/>
    <cellStyle name="Comma 4 2 2 3 3 7 2" xfId="33679" xr:uid="{00000000-0005-0000-0000-0000BAAA0000}"/>
    <cellStyle name="Comma 4 2 2 3 3 8" xfId="12848" xr:uid="{00000000-0005-0000-0000-0000BBAA0000}"/>
    <cellStyle name="Comma 4 2 2 3 3 8 2" xfId="36127" xr:uid="{00000000-0005-0000-0000-0000BCAA0000}"/>
    <cellStyle name="Comma 4 2 2 3 3 9" xfId="15319" xr:uid="{00000000-0005-0000-0000-0000BDAA0000}"/>
    <cellStyle name="Comma 4 2 2 3 3 9 2" xfId="38597" xr:uid="{00000000-0005-0000-0000-0000BEAA0000}"/>
    <cellStyle name="Comma 4 2 2 3 4" xfId="812" xr:uid="{00000000-0005-0000-0000-0000BFAA0000}"/>
    <cellStyle name="Comma 4 2 2 3 4 10" xfId="44921" xr:uid="{00000000-0005-0000-0000-0000C0AA0000}"/>
    <cellStyle name="Comma 4 2 2 3 4 11" xfId="21643" xr:uid="{00000000-0005-0000-0000-0000C1AA0000}"/>
    <cellStyle name="Comma 4 2 2 3 4 2" xfId="2036" xr:uid="{00000000-0005-0000-0000-0000C2AA0000}"/>
    <cellStyle name="Comma 4 2 2 3 4 2 10" xfId="22867" xr:uid="{00000000-0005-0000-0000-0000C3AA0000}"/>
    <cellStyle name="Comma 4 2 2 3 4 2 2" xfId="4484" xr:uid="{00000000-0005-0000-0000-0000C4AA0000}"/>
    <cellStyle name="Comma 4 2 2 3 4 2 2 2" xfId="20419" xr:uid="{00000000-0005-0000-0000-0000C5AA0000}"/>
    <cellStyle name="Comma 4 2 2 3 4 2 2 2 2" xfId="43697" xr:uid="{00000000-0005-0000-0000-0000C6AA0000}"/>
    <cellStyle name="Comma 4 2 2 3 4 2 2 3" xfId="48593" xr:uid="{00000000-0005-0000-0000-0000C7AA0000}"/>
    <cellStyle name="Comma 4 2 2 3 4 2 2 4" xfId="27763" xr:uid="{00000000-0005-0000-0000-0000C8AA0000}"/>
    <cellStyle name="Comma 4 2 2 3 4 2 3" xfId="6932" xr:uid="{00000000-0005-0000-0000-0000C9AA0000}"/>
    <cellStyle name="Comma 4 2 2 3 4 2 3 2" xfId="30211" xr:uid="{00000000-0005-0000-0000-0000CAAA0000}"/>
    <cellStyle name="Comma 4 2 2 3 4 2 4" xfId="9380" xr:uid="{00000000-0005-0000-0000-0000CBAA0000}"/>
    <cellStyle name="Comma 4 2 2 3 4 2 4 2" xfId="32659" xr:uid="{00000000-0005-0000-0000-0000CCAA0000}"/>
    <cellStyle name="Comma 4 2 2 3 4 2 5" xfId="11828" xr:uid="{00000000-0005-0000-0000-0000CDAA0000}"/>
    <cellStyle name="Comma 4 2 2 3 4 2 5 2" xfId="35107" xr:uid="{00000000-0005-0000-0000-0000CEAA0000}"/>
    <cellStyle name="Comma 4 2 2 3 4 2 6" xfId="14276" xr:uid="{00000000-0005-0000-0000-0000CFAA0000}"/>
    <cellStyle name="Comma 4 2 2 3 4 2 6 2" xfId="37555" xr:uid="{00000000-0005-0000-0000-0000D0AA0000}"/>
    <cellStyle name="Comma 4 2 2 3 4 2 7" xfId="17971" xr:uid="{00000000-0005-0000-0000-0000D1AA0000}"/>
    <cellStyle name="Comma 4 2 2 3 4 2 7 2" xfId="41249" xr:uid="{00000000-0005-0000-0000-0000D2AA0000}"/>
    <cellStyle name="Comma 4 2 2 3 4 2 8" xfId="25315" xr:uid="{00000000-0005-0000-0000-0000D3AA0000}"/>
    <cellStyle name="Comma 4 2 2 3 4 2 9" xfId="46145" xr:uid="{00000000-0005-0000-0000-0000D4AA0000}"/>
    <cellStyle name="Comma 4 2 2 3 4 3" xfId="3260" xr:uid="{00000000-0005-0000-0000-0000D5AA0000}"/>
    <cellStyle name="Comma 4 2 2 3 4 3 2" xfId="16747" xr:uid="{00000000-0005-0000-0000-0000D6AA0000}"/>
    <cellStyle name="Comma 4 2 2 3 4 3 2 2" xfId="40025" xr:uid="{00000000-0005-0000-0000-0000D7AA0000}"/>
    <cellStyle name="Comma 4 2 2 3 4 3 3" xfId="47369" xr:uid="{00000000-0005-0000-0000-0000D8AA0000}"/>
    <cellStyle name="Comma 4 2 2 3 4 3 4" xfId="26539" xr:uid="{00000000-0005-0000-0000-0000D9AA0000}"/>
    <cellStyle name="Comma 4 2 2 3 4 4" xfId="5708" xr:uid="{00000000-0005-0000-0000-0000DAAA0000}"/>
    <cellStyle name="Comma 4 2 2 3 4 4 2" xfId="19195" xr:uid="{00000000-0005-0000-0000-0000DBAA0000}"/>
    <cellStyle name="Comma 4 2 2 3 4 4 2 2" xfId="42473" xr:uid="{00000000-0005-0000-0000-0000DCAA0000}"/>
    <cellStyle name="Comma 4 2 2 3 4 4 3" xfId="28987" xr:uid="{00000000-0005-0000-0000-0000DDAA0000}"/>
    <cellStyle name="Comma 4 2 2 3 4 5" xfId="8156" xr:uid="{00000000-0005-0000-0000-0000DEAA0000}"/>
    <cellStyle name="Comma 4 2 2 3 4 5 2" xfId="31435" xr:uid="{00000000-0005-0000-0000-0000DFAA0000}"/>
    <cellStyle name="Comma 4 2 2 3 4 6" xfId="10604" xr:uid="{00000000-0005-0000-0000-0000E0AA0000}"/>
    <cellStyle name="Comma 4 2 2 3 4 6 2" xfId="33883" xr:uid="{00000000-0005-0000-0000-0000E1AA0000}"/>
    <cellStyle name="Comma 4 2 2 3 4 7" xfId="13052" xr:uid="{00000000-0005-0000-0000-0000E2AA0000}"/>
    <cellStyle name="Comma 4 2 2 3 4 7 2" xfId="36331" xr:uid="{00000000-0005-0000-0000-0000E3AA0000}"/>
    <cellStyle name="Comma 4 2 2 3 4 8" xfId="15523" xr:uid="{00000000-0005-0000-0000-0000E4AA0000}"/>
    <cellStyle name="Comma 4 2 2 3 4 8 2" xfId="38801" xr:uid="{00000000-0005-0000-0000-0000E5AA0000}"/>
    <cellStyle name="Comma 4 2 2 3 4 9" xfId="24091" xr:uid="{00000000-0005-0000-0000-0000E6AA0000}"/>
    <cellStyle name="Comma 4 2 2 3 5" xfId="1424" xr:uid="{00000000-0005-0000-0000-0000E7AA0000}"/>
    <cellStyle name="Comma 4 2 2 3 5 10" xfId="22255" xr:uid="{00000000-0005-0000-0000-0000E8AA0000}"/>
    <cellStyle name="Comma 4 2 2 3 5 2" xfId="3872" xr:uid="{00000000-0005-0000-0000-0000E9AA0000}"/>
    <cellStyle name="Comma 4 2 2 3 5 2 2" xfId="19807" xr:uid="{00000000-0005-0000-0000-0000EAAA0000}"/>
    <cellStyle name="Comma 4 2 2 3 5 2 2 2" xfId="43085" xr:uid="{00000000-0005-0000-0000-0000EBAA0000}"/>
    <cellStyle name="Comma 4 2 2 3 5 2 3" xfId="47981" xr:uid="{00000000-0005-0000-0000-0000ECAA0000}"/>
    <cellStyle name="Comma 4 2 2 3 5 2 4" xfId="27151" xr:uid="{00000000-0005-0000-0000-0000EDAA0000}"/>
    <cellStyle name="Comma 4 2 2 3 5 3" xfId="6320" xr:uid="{00000000-0005-0000-0000-0000EEAA0000}"/>
    <cellStyle name="Comma 4 2 2 3 5 3 2" xfId="29599" xr:uid="{00000000-0005-0000-0000-0000EFAA0000}"/>
    <cellStyle name="Comma 4 2 2 3 5 4" xfId="8768" xr:uid="{00000000-0005-0000-0000-0000F0AA0000}"/>
    <cellStyle name="Comma 4 2 2 3 5 4 2" xfId="32047" xr:uid="{00000000-0005-0000-0000-0000F1AA0000}"/>
    <cellStyle name="Comma 4 2 2 3 5 5" xfId="11216" xr:uid="{00000000-0005-0000-0000-0000F2AA0000}"/>
    <cellStyle name="Comma 4 2 2 3 5 5 2" xfId="34495" xr:uid="{00000000-0005-0000-0000-0000F3AA0000}"/>
    <cellStyle name="Comma 4 2 2 3 5 6" xfId="13664" xr:uid="{00000000-0005-0000-0000-0000F4AA0000}"/>
    <cellStyle name="Comma 4 2 2 3 5 6 2" xfId="36943" xr:uid="{00000000-0005-0000-0000-0000F5AA0000}"/>
    <cellStyle name="Comma 4 2 2 3 5 7" xfId="17359" xr:uid="{00000000-0005-0000-0000-0000F6AA0000}"/>
    <cellStyle name="Comma 4 2 2 3 5 7 2" xfId="40637" xr:uid="{00000000-0005-0000-0000-0000F7AA0000}"/>
    <cellStyle name="Comma 4 2 2 3 5 8" xfId="24703" xr:uid="{00000000-0005-0000-0000-0000F8AA0000}"/>
    <cellStyle name="Comma 4 2 2 3 5 9" xfId="45533" xr:uid="{00000000-0005-0000-0000-0000F9AA0000}"/>
    <cellStyle name="Comma 4 2 2 3 6" xfId="2648" xr:uid="{00000000-0005-0000-0000-0000FAAA0000}"/>
    <cellStyle name="Comma 4 2 2 3 6 2" xfId="16135" xr:uid="{00000000-0005-0000-0000-0000FBAA0000}"/>
    <cellStyle name="Comma 4 2 2 3 6 2 2" xfId="39413" xr:uid="{00000000-0005-0000-0000-0000FCAA0000}"/>
    <cellStyle name="Comma 4 2 2 3 6 3" xfId="46757" xr:uid="{00000000-0005-0000-0000-0000FDAA0000}"/>
    <cellStyle name="Comma 4 2 2 3 6 4" xfId="25927" xr:uid="{00000000-0005-0000-0000-0000FEAA0000}"/>
    <cellStyle name="Comma 4 2 2 3 7" xfId="5096" xr:uid="{00000000-0005-0000-0000-0000FFAA0000}"/>
    <cellStyle name="Comma 4 2 2 3 7 2" xfId="18583" xr:uid="{00000000-0005-0000-0000-000000AB0000}"/>
    <cellStyle name="Comma 4 2 2 3 7 2 2" xfId="41861" xr:uid="{00000000-0005-0000-0000-000001AB0000}"/>
    <cellStyle name="Comma 4 2 2 3 7 3" xfId="28375" xr:uid="{00000000-0005-0000-0000-000002AB0000}"/>
    <cellStyle name="Comma 4 2 2 3 8" xfId="7544" xr:uid="{00000000-0005-0000-0000-000003AB0000}"/>
    <cellStyle name="Comma 4 2 2 3 8 2" xfId="30823" xr:uid="{00000000-0005-0000-0000-000004AB0000}"/>
    <cellStyle name="Comma 4 2 2 3 9" xfId="9992" xr:uid="{00000000-0005-0000-0000-000005AB0000}"/>
    <cellStyle name="Comma 4 2 2 3 9 2" xfId="33271" xr:uid="{00000000-0005-0000-0000-000006AB0000}"/>
    <cellStyle name="Comma 4 2 2 4" xfId="268" xr:uid="{00000000-0005-0000-0000-000007AB0000}"/>
    <cellStyle name="Comma 4 2 2 4 10" xfId="23547" xr:uid="{00000000-0005-0000-0000-000008AB0000}"/>
    <cellStyle name="Comma 4 2 2 4 11" xfId="44377" xr:uid="{00000000-0005-0000-0000-000009AB0000}"/>
    <cellStyle name="Comma 4 2 2 4 12" xfId="21099" xr:uid="{00000000-0005-0000-0000-00000AAB0000}"/>
    <cellStyle name="Comma 4 2 2 4 2" xfId="880" xr:uid="{00000000-0005-0000-0000-00000BAB0000}"/>
    <cellStyle name="Comma 4 2 2 4 2 10" xfId="44989" xr:uid="{00000000-0005-0000-0000-00000CAB0000}"/>
    <cellStyle name="Comma 4 2 2 4 2 11" xfId="21711" xr:uid="{00000000-0005-0000-0000-00000DAB0000}"/>
    <cellStyle name="Comma 4 2 2 4 2 2" xfId="2104" xr:uid="{00000000-0005-0000-0000-00000EAB0000}"/>
    <cellStyle name="Comma 4 2 2 4 2 2 10" xfId="22935" xr:uid="{00000000-0005-0000-0000-00000FAB0000}"/>
    <cellStyle name="Comma 4 2 2 4 2 2 2" xfId="4552" xr:uid="{00000000-0005-0000-0000-000010AB0000}"/>
    <cellStyle name="Comma 4 2 2 4 2 2 2 2" xfId="20487" xr:uid="{00000000-0005-0000-0000-000011AB0000}"/>
    <cellStyle name="Comma 4 2 2 4 2 2 2 2 2" xfId="43765" xr:uid="{00000000-0005-0000-0000-000012AB0000}"/>
    <cellStyle name="Comma 4 2 2 4 2 2 2 3" xfId="48661" xr:uid="{00000000-0005-0000-0000-000013AB0000}"/>
    <cellStyle name="Comma 4 2 2 4 2 2 2 4" xfId="27831" xr:uid="{00000000-0005-0000-0000-000014AB0000}"/>
    <cellStyle name="Comma 4 2 2 4 2 2 3" xfId="7000" xr:uid="{00000000-0005-0000-0000-000015AB0000}"/>
    <cellStyle name="Comma 4 2 2 4 2 2 3 2" xfId="30279" xr:uid="{00000000-0005-0000-0000-000016AB0000}"/>
    <cellStyle name="Comma 4 2 2 4 2 2 4" xfId="9448" xr:uid="{00000000-0005-0000-0000-000017AB0000}"/>
    <cellStyle name="Comma 4 2 2 4 2 2 4 2" xfId="32727" xr:uid="{00000000-0005-0000-0000-000018AB0000}"/>
    <cellStyle name="Comma 4 2 2 4 2 2 5" xfId="11896" xr:uid="{00000000-0005-0000-0000-000019AB0000}"/>
    <cellStyle name="Comma 4 2 2 4 2 2 5 2" xfId="35175" xr:uid="{00000000-0005-0000-0000-00001AAB0000}"/>
    <cellStyle name="Comma 4 2 2 4 2 2 6" xfId="14344" xr:uid="{00000000-0005-0000-0000-00001BAB0000}"/>
    <cellStyle name="Comma 4 2 2 4 2 2 6 2" xfId="37623" xr:uid="{00000000-0005-0000-0000-00001CAB0000}"/>
    <cellStyle name="Comma 4 2 2 4 2 2 7" xfId="18039" xr:uid="{00000000-0005-0000-0000-00001DAB0000}"/>
    <cellStyle name="Comma 4 2 2 4 2 2 7 2" xfId="41317" xr:uid="{00000000-0005-0000-0000-00001EAB0000}"/>
    <cellStyle name="Comma 4 2 2 4 2 2 8" xfId="25383" xr:uid="{00000000-0005-0000-0000-00001FAB0000}"/>
    <cellStyle name="Comma 4 2 2 4 2 2 9" xfId="46213" xr:uid="{00000000-0005-0000-0000-000020AB0000}"/>
    <cellStyle name="Comma 4 2 2 4 2 3" xfId="3328" xr:uid="{00000000-0005-0000-0000-000021AB0000}"/>
    <cellStyle name="Comma 4 2 2 4 2 3 2" xfId="16815" xr:uid="{00000000-0005-0000-0000-000022AB0000}"/>
    <cellStyle name="Comma 4 2 2 4 2 3 2 2" xfId="40093" xr:uid="{00000000-0005-0000-0000-000023AB0000}"/>
    <cellStyle name="Comma 4 2 2 4 2 3 3" xfId="47437" xr:uid="{00000000-0005-0000-0000-000024AB0000}"/>
    <cellStyle name="Comma 4 2 2 4 2 3 4" xfId="26607" xr:uid="{00000000-0005-0000-0000-000025AB0000}"/>
    <cellStyle name="Comma 4 2 2 4 2 4" xfId="5776" xr:uid="{00000000-0005-0000-0000-000026AB0000}"/>
    <cellStyle name="Comma 4 2 2 4 2 4 2" xfId="19263" xr:uid="{00000000-0005-0000-0000-000027AB0000}"/>
    <cellStyle name="Comma 4 2 2 4 2 4 2 2" xfId="42541" xr:uid="{00000000-0005-0000-0000-000028AB0000}"/>
    <cellStyle name="Comma 4 2 2 4 2 4 3" xfId="29055" xr:uid="{00000000-0005-0000-0000-000029AB0000}"/>
    <cellStyle name="Comma 4 2 2 4 2 5" xfId="8224" xr:uid="{00000000-0005-0000-0000-00002AAB0000}"/>
    <cellStyle name="Comma 4 2 2 4 2 5 2" xfId="31503" xr:uid="{00000000-0005-0000-0000-00002BAB0000}"/>
    <cellStyle name="Comma 4 2 2 4 2 6" xfId="10672" xr:uid="{00000000-0005-0000-0000-00002CAB0000}"/>
    <cellStyle name="Comma 4 2 2 4 2 6 2" xfId="33951" xr:uid="{00000000-0005-0000-0000-00002DAB0000}"/>
    <cellStyle name="Comma 4 2 2 4 2 7" xfId="13120" xr:uid="{00000000-0005-0000-0000-00002EAB0000}"/>
    <cellStyle name="Comma 4 2 2 4 2 7 2" xfId="36399" xr:uid="{00000000-0005-0000-0000-00002FAB0000}"/>
    <cellStyle name="Comma 4 2 2 4 2 8" xfId="15591" xr:uid="{00000000-0005-0000-0000-000030AB0000}"/>
    <cellStyle name="Comma 4 2 2 4 2 8 2" xfId="38869" xr:uid="{00000000-0005-0000-0000-000031AB0000}"/>
    <cellStyle name="Comma 4 2 2 4 2 9" xfId="24159" xr:uid="{00000000-0005-0000-0000-000032AB0000}"/>
    <cellStyle name="Comma 4 2 2 4 3" xfId="1492" xr:uid="{00000000-0005-0000-0000-000033AB0000}"/>
    <cellStyle name="Comma 4 2 2 4 3 10" xfId="22323" xr:uid="{00000000-0005-0000-0000-000034AB0000}"/>
    <cellStyle name="Comma 4 2 2 4 3 2" xfId="3940" xr:uid="{00000000-0005-0000-0000-000035AB0000}"/>
    <cellStyle name="Comma 4 2 2 4 3 2 2" xfId="19875" xr:uid="{00000000-0005-0000-0000-000036AB0000}"/>
    <cellStyle name="Comma 4 2 2 4 3 2 2 2" xfId="43153" xr:uid="{00000000-0005-0000-0000-000037AB0000}"/>
    <cellStyle name="Comma 4 2 2 4 3 2 3" xfId="48049" xr:uid="{00000000-0005-0000-0000-000038AB0000}"/>
    <cellStyle name="Comma 4 2 2 4 3 2 4" xfId="27219" xr:uid="{00000000-0005-0000-0000-000039AB0000}"/>
    <cellStyle name="Comma 4 2 2 4 3 3" xfId="6388" xr:uid="{00000000-0005-0000-0000-00003AAB0000}"/>
    <cellStyle name="Comma 4 2 2 4 3 3 2" xfId="29667" xr:uid="{00000000-0005-0000-0000-00003BAB0000}"/>
    <cellStyle name="Comma 4 2 2 4 3 4" xfId="8836" xr:uid="{00000000-0005-0000-0000-00003CAB0000}"/>
    <cellStyle name="Comma 4 2 2 4 3 4 2" xfId="32115" xr:uid="{00000000-0005-0000-0000-00003DAB0000}"/>
    <cellStyle name="Comma 4 2 2 4 3 5" xfId="11284" xr:uid="{00000000-0005-0000-0000-00003EAB0000}"/>
    <cellStyle name="Comma 4 2 2 4 3 5 2" xfId="34563" xr:uid="{00000000-0005-0000-0000-00003FAB0000}"/>
    <cellStyle name="Comma 4 2 2 4 3 6" xfId="13732" xr:uid="{00000000-0005-0000-0000-000040AB0000}"/>
    <cellStyle name="Comma 4 2 2 4 3 6 2" xfId="37011" xr:uid="{00000000-0005-0000-0000-000041AB0000}"/>
    <cellStyle name="Comma 4 2 2 4 3 7" xfId="17427" xr:uid="{00000000-0005-0000-0000-000042AB0000}"/>
    <cellStyle name="Comma 4 2 2 4 3 7 2" xfId="40705" xr:uid="{00000000-0005-0000-0000-000043AB0000}"/>
    <cellStyle name="Comma 4 2 2 4 3 8" xfId="24771" xr:uid="{00000000-0005-0000-0000-000044AB0000}"/>
    <cellStyle name="Comma 4 2 2 4 3 9" xfId="45601" xr:uid="{00000000-0005-0000-0000-000045AB0000}"/>
    <cellStyle name="Comma 4 2 2 4 4" xfId="2716" xr:uid="{00000000-0005-0000-0000-000046AB0000}"/>
    <cellStyle name="Comma 4 2 2 4 4 2" xfId="16203" xr:uid="{00000000-0005-0000-0000-000047AB0000}"/>
    <cellStyle name="Comma 4 2 2 4 4 2 2" xfId="39481" xr:uid="{00000000-0005-0000-0000-000048AB0000}"/>
    <cellStyle name="Comma 4 2 2 4 4 3" xfId="46825" xr:uid="{00000000-0005-0000-0000-000049AB0000}"/>
    <cellStyle name="Comma 4 2 2 4 4 4" xfId="25995" xr:uid="{00000000-0005-0000-0000-00004AAB0000}"/>
    <cellStyle name="Comma 4 2 2 4 5" xfId="5164" xr:uid="{00000000-0005-0000-0000-00004BAB0000}"/>
    <cellStyle name="Comma 4 2 2 4 5 2" xfId="18651" xr:uid="{00000000-0005-0000-0000-00004CAB0000}"/>
    <cellStyle name="Comma 4 2 2 4 5 2 2" xfId="41929" xr:uid="{00000000-0005-0000-0000-00004DAB0000}"/>
    <cellStyle name="Comma 4 2 2 4 5 3" xfId="28443" xr:uid="{00000000-0005-0000-0000-00004EAB0000}"/>
    <cellStyle name="Comma 4 2 2 4 6" xfId="7612" xr:uid="{00000000-0005-0000-0000-00004FAB0000}"/>
    <cellStyle name="Comma 4 2 2 4 6 2" xfId="30891" xr:uid="{00000000-0005-0000-0000-000050AB0000}"/>
    <cellStyle name="Comma 4 2 2 4 7" xfId="10060" xr:uid="{00000000-0005-0000-0000-000051AB0000}"/>
    <cellStyle name="Comma 4 2 2 4 7 2" xfId="33339" xr:uid="{00000000-0005-0000-0000-000052AB0000}"/>
    <cellStyle name="Comma 4 2 2 4 8" xfId="12508" xr:uid="{00000000-0005-0000-0000-000053AB0000}"/>
    <cellStyle name="Comma 4 2 2 4 8 2" xfId="35787" xr:uid="{00000000-0005-0000-0000-000054AB0000}"/>
    <cellStyle name="Comma 4 2 2 4 9" xfId="14979" xr:uid="{00000000-0005-0000-0000-000055AB0000}"/>
    <cellStyle name="Comma 4 2 2 4 9 2" xfId="38257" xr:uid="{00000000-0005-0000-0000-000056AB0000}"/>
    <cellStyle name="Comma 4 2 2 5" xfId="472" xr:uid="{00000000-0005-0000-0000-000057AB0000}"/>
    <cellStyle name="Comma 4 2 2 5 10" xfId="23751" xr:uid="{00000000-0005-0000-0000-000058AB0000}"/>
    <cellStyle name="Comma 4 2 2 5 11" xfId="44581" xr:uid="{00000000-0005-0000-0000-000059AB0000}"/>
    <cellStyle name="Comma 4 2 2 5 12" xfId="21303" xr:uid="{00000000-0005-0000-0000-00005AAB0000}"/>
    <cellStyle name="Comma 4 2 2 5 2" xfId="1084" xr:uid="{00000000-0005-0000-0000-00005BAB0000}"/>
    <cellStyle name="Comma 4 2 2 5 2 10" xfId="45193" xr:uid="{00000000-0005-0000-0000-00005CAB0000}"/>
    <cellStyle name="Comma 4 2 2 5 2 11" xfId="21915" xr:uid="{00000000-0005-0000-0000-00005DAB0000}"/>
    <cellStyle name="Comma 4 2 2 5 2 2" xfId="2308" xr:uid="{00000000-0005-0000-0000-00005EAB0000}"/>
    <cellStyle name="Comma 4 2 2 5 2 2 10" xfId="23139" xr:uid="{00000000-0005-0000-0000-00005FAB0000}"/>
    <cellStyle name="Comma 4 2 2 5 2 2 2" xfId="4756" xr:uid="{00000000-0005-0000-0000-000060AB0000}"/>
    <cellStyle name="Comma 4 2 2 5 2 2 2 2" xfId="20691" xr:uid="{00000000-0005-0000-0000-000061AB0000}"/>
    <cellStyle name="Comma 4 2 2 5 2 2 2 2 2" xfId="43969" xr:uid="{00000000-0005-0000-0000-000062AB0000}"/>
    <cellStyle name="Comma 4 2 2 5 2 2 2 3" xfId="48865" xr:uid="{00000000-0005-0000-0000-000063AB0000}"/>
    <cellStyle name="Comma 4 2 2 5 2 2 2 4" xfId="28035" xr:uid="{00000000-0005-0000-0000-000064AB0000}"/>
    <cellStyle name="Comma 4 2 2 5 2 2 3" xfId="7204" xr:uid="{00000000-0005-0000-0000-000065AB0000}"/>
    <cellStyle name="Comma 4 2 2 5 2 2 3 2" xfId="30483" xr:uid="{00000000-0005-0000-0000-000066AB0000}"/>
    <cellStyle name="Comma 4 2 2 5 2 2 4" xfId="9652" xr:uid="{00000000-0005-0000-0000-000067AB0000}"/>
    <cellStyle name="Comma 4 2 2 5 2 2 4 2" xfId="32931" xr:uid="{00000000-0005-0000-0000-000068AB0000}"/>
    <cellStyle name="Comma 4 2 2 5 2 2 5" xfId="12100" xr:uid="{00000000-0005-0000-0000-000069AB0000}"/>
    <cellStyle name="Comma 4 2 2 5 2 2 5 2" xfId="35379" xr:uid="{00000000-0005-0000-0000-00006AAB0000}"/>
    <cellStyle name="Comma 4 2 2 5 2 2 6" xfId="14548" xr:uid="{00000000-0005-0000-0000-00006BAB0000}"/>
    <cellStyle name="Comma 4 2 2 5 2 2 6 2" xfId="37827" xr:uid="{00000000-0005-0000-0000-00006CAB0000}"/>
    <cellStyle name="Comma 4 2 2 5 2 2 7" xfId="18243" xr:uid="{00000000-0005-0000-0000-00006DAB0000}"/>
    <cellStyle name="Comma 4 2 2 5 2 2 7 2" xfId="41521" xr:uid="{00000000-0005-0000-0000-00006EAB0000}"/>
    <cellStyle name="Comma 4 2 2 5 2 2 8" xfId="25587" xr:uid="{00000000-0005-0000-0000-00006FAB0000}"/>
    <cellStyle name="Comma 4 2 2 5 2 2 9" xfId="46417" xr:uid="{00000000-0005-0000-0000-000070AB0000}"/>
    <cellStyle name="Comma 4 2 2 5 2 3" xfId="3532" xr:uid="{00000000-0005-0000-0000-000071AB0000}"/>
    <cellStyle name="Comma 4 2 2 5 2 3 2" xfId="17019" xr:uid="{00000000-0005-0000-0000-000072AB0000}"/>
    <cellStyle name="Comma 4 2 2 5 2 3 2 2" xfId="40297" xr:uid="{00000000-0005-0000-0000-000073AB0000}"/>
    <cellStyle name="Comma 4 2 2 5 2 3 3" xfId="47641" xr:uid="{00000000-0005-0000-0000-000074AB0000}"/>
    <cellStyle name="Comma 4 2 2 5 2 3 4" xfId="26811" xr:uid="{00000000-0005-0000-0000-000075AB0000}"/>
    <cellStyle name="Comma 4 2 2 5 2 4" xfId="5980" xr:uid="{00000000-0005-0000-0000-000076AB0000}"/>
    <cellStyle name="Comma 4 2 2 5 2 4 2" xfId="19467" xr:uid="{00000000-0005-0000-0000-000077AB0000}"/>
    <cellStyle name="Comma 4 2 2 5 2 4 2 2" xfId="42745" xr:uid="{00000000-0005-0000-0000-000078AB0000}"/>
    <cellStyle name="Comma 4 2 2 5 2 4 3" xfId="29259" xr:uid="{00000000-0005-0000-0000-000079AB0000}"/>
    <cellStyle name="Comma 4 2 2 5 2 5" xfId="8428" xr:uid="{00000000-0005-0000-0000-00007AAB0000}"/>
    <cellStyle name="Comma 4 2 2 5 2 5 2" xfId="31707" xr:uid="{00000000-0005-0000-0000-00007BAB0000}"/>
    <cellStyle name="Comma 4 2 2 5 2 6" xfId="10876" xr:uid="{00000000-0005-0000-0000-00007CAB0000}"/>
    <cellStyle name="Comma 4 2 2 5 2 6 2" xfId="34155" xr:uid="{00000000-0005-0000-0000-00007DAB0000}"/>
    <cellStyle name="Comma 4 2 2 5 2 7" xfId="13324" xr:uid="{00000000-0005-0000-0000-00007EAB0000}"/>
    <cellStyle name="Comma 4 2 2 5 2 7 2" xfId="36603" xr:uid="{00000000-0005-0000-0000-00007FAB0000}"/>
    <cellStyle name="Comma 4 2 2 5 2 8" xfId="15795" xr:uid="{00000000-0005-0000-0000-000080AB0000}"/>
    <cellStyle name="Comma 4 2 2 5 2 8 2" xfId="39073" xr:uid="{00000000-0005-0000-0000-000081AB0000}"/>
    <cellStyle name="Comma 4 2 2 5 2 9" xfId="24363" xr:uid="{00000000-0005-0000-0000-000082AB0000}"/>
    <cellStyle name="Comma 4 2 2 5 3" xfId="1696" xr:uid="{00000000-0005-0000-0000-000083AB0000}"/>
    <cellStyle name="Comma 4 2 2 5 3 10" xfId="22527" xr:uid="{00000000-0005-0000-0000-000084AB0000}"/>
    <cellStyle name="Comma 4 2 2 5 3 2" xfId="4144" xr:uid="{00000000-0005-0000-0000-000085AB0000}"/>
    <cellStyle name="Comma 4 2 2 5 3 2 2" xfId="20079" xr:uid="{00000000-0005-0000-0000-000086AB0000}"/>
    <cellStyle name="Comma 4 2 2 5 3 2 2 2" xfId="43357" xr:uid="{00000000-0005-0000-0000-000087AB0000}"/>
    <cellStyle name="Comma 4 2 2 5 3 2 3" xfId="48253" xr:uid="{00000000-0005-0000-0000-000088AB0000}"/>
    <cellStyle name="Comma 4 2 2 5 3 2 4" xfId="27423" xr:uid="{00000000-0005-0000-0000-000089AB0000}"/>
    <cellStyle name="Comma 4 2 2 5 3 3" xfId="6592" xr:uid="{00000000-0005-0000-0000-00008AAB0000}"/>
    <cellStyle name="Comma 4 2 2 5 3 3 2" xfId="29871" xr:uid="{00000000-0005-0000-0000-00008BAB0000}"/>
    <cellStyle name="Comma 4 2 2 5 3 4" xfId="9040" xr:uid="{00000000-0005-0000-0000-00008CAB0000}"/>
    <cellStyle name="Comma 4 2 2 5 3 4 2" xfId="32319" xr:uid="{00000000-0005-0000-0000-00008DAB0000}"/>
    <cellStyle name="Comma 4 2 2 5 3 5" xfId="11488" xr:uid="{00000000-0005-0000-0000-00008EAB0000}"/>
    <cellStyle name="Comma 4 2 2 5 3 5 2" xfId="34767" xr:uid="{00000000-0005-0000-0000-00008FAB0000}"/>
    <cellStyle name="Comma 4 2 2 5 3 6" xfId="13936" xr:uid="{00000000-0005-0000-0000-000090AB0000}"/>
    <cellStyle name="Comma 4 2 2 5 3 6 2" xfId="37215" xr:uid="{00000000-0005-0000-0000-000091AB0000}"/>
    <cellStyle name="Comma 4 2 2 5 3 7" xfId="17631" xr:uid="{00000000-0005-0000-0000-000092AB0000}"/>
    <cellStyle name="Comma 4 2 2 5 3 7 2" xfId="40909" xr:uid="{00000000-0005-0000-0000-000093AB0000}"/>
    <cellStyle name="Comma 4 2 2 5 3 8" xfId="24975" xr:uid="{00000000-0005-0000-0000-000094AB0000}"/>
    <cellStyle name="Comma 4 2 2 5 3 9" xfId="45805" xr:uid="{00000000-0005-0000-0000-000095AB0000}"/>
    <cellStyle name="Comma 4 2 2 5 4" xfId="2920" xr:uid="{00000000-0005-0000-0000-000096AB0000}"/>
    <cellStyle name="Comma 4 2 2 5 4 2" xfId="16407" xr:uid="{00000000-0005-0000-0000-000097AB0000}"/>
    <cellStyle name="Comma 4 2 2 5 4 2 2" xfId="39685" xr:uid="{00000000-0005-0000-0000-000098AB0000}"/>
    <cellStyle name="Comma 4 2 2 5 4 3" xfId="47029" xr:uid="{00000000-0005-0000-0000-000099AB0000}"/>
    <cellStyle name="Comma 4 2 2 5 4 4" xfId="26199" xr:uid="{00000000-0005-0000-0000-00009AAB0000}"/>
    <cellStyle name="Comma 4 2 2 5 5" xfId="5368" xr:uid="{00000000-0005-0000-0000-00009BAB0000}"/>
    <cellStyle name="Comma 4 2 2 5 5 2" xfId="18855" xr:uid="{00000000-0005-0000-0000-00009CAB0000}"/>
    <cellStyle name="Comma 4 2 2 5 5 2 2" xfId="42133" xr:uid="{00000000-0005-0000-0000-00009DAB0000}"/>
    <cellStyle name="Comma 4 2 2 5 5 3" xfId="28647" xr:uid="{00000000-0005-0000-0000-00009EAB0000}"/>
    <cellStyle name="Comma 4 2 2 5 6" xfId="7816" xr:uid="{00000000-0005-0000-0000-00009FAB0000}"/>
    <cellStyle name="Comma 4 2 2 5 6 2" xfId="31095" xr:uid="{00000000-0005-0000-0000-0000A0AB0000}"/>
    <cellStyle name="Comma 4 2 2 5 7" xfId="10264" xr:uid="{00000000-0005-0000-0000-0000A1AB0000}"/>
    <cellStyle name="Comma 4 2 2 5 7 2" xfId="33543" xr:uid="{00000000-0005-0000-0000-0000A2AB0000}"/>
    <cellStyle name="Comma 4 2 2 5 8" xfId="12712" xr:uid="{00000000-0005-0000-0000-0000A3AB0000}"/>
    <cellStyle name="Comma 4 2 2 5 8 2" xfId="35991" xr:uid="{00000000-0005-0000-0000-0000A4AB0000}"/>
    <cellStyle name="Comma 4 2 2 5 9" xfId="15183" xr:uid="{00000000-0005-0000-0000-0000A5AB0000}"/>
    <cellStyle name="Comma 4 2 2 5 9 2" xfId="38461" xr:uid="{00000000-0005-0000-0000-0000A6AB0000}"/>
    <cellStyle name="Comma 4 2 2 6" xfId="676" xr:uid="{00000000-0005-0000-0000-0000A7AB0000}"/>
    <cellStyle name="Comma 4 2 2 6 10" xfId="44785" xr:uid="{00000000-0005-0000-0000-0000A8AB0000}"/>
    <cellStyle name="Comma 4 2 2 6 11" xfId="21507" xr:uid="{00000000-0005-0000-0000-0000A9AB0000}"/>
    <cellStyle name="Comma 4 2 2 6 2" xfId="1900" xr:uid="{00000000-0005-0000-0000-0000AAAB0000}"/>
    <cellStyle name="Comma 4 2 2 6 2 10" xfId="22731" xr:uid="{00000000-0005-0000-0000-0000ABAB0000}"/>
    <cellStyle name="Comma 4 2 2 6 2 2" xfId="4348" xr:uid="{00000000-0005-0000-0000-0000ACAB0000}"/>
    <cellStyle name="Comma 4 2 2 6 2 2 2" xfId="20283" xr:uid="{00000000-0005-0000-0000-0000ADAB0000}"/>
    <cellStyle name="Comma 4 2 2 6 2 2 2 2" xfId="43561" xr:uid="{00000000-0005-0000-0000-0000AEAB0000}"/>
    <cellStyle name="Comma 4 2 2 6 2 2 3" xfId="48457" xr:uid="{00000000-0005-0000-0000-0000AFAB0000}"/>
    <cellStyle name="Comma 4 2 2 6 2 2 4" xfId="27627" xr:uid="{00000000-0005-0000-0000-0000B0AB0000}"/>
    <cellStyle name="Comma 4 2 2 6 2 3" xfId="6796" xr:uid="{00000000-0005-0000-0000-0000B1AB0000}"/>
    <cellStyle name="Comma 4 2 2 6 2 3 2" xfId="30075" xr:uid="{00000000-0005-0000-0000-0000B2AB0000}"/>
    <cellStyle name="Comma 4 2 2 6 2 4" xfId="9244" xr:uid="{00000000-0005-0000-0000-0000B3AB0000}"/>
    <cellStyle name="Comma 4 2 2 6 2 4 2" xfId="32523" xr:uid="{00000000-0005-0000-0000-0000B4AB0000}"/>
    <cellStyle name="Comma 4 2 2 6 2 5" xfId="11692" xr:uid="{00000000-0005-0000-0000-0000B5AB0000}"/>
    <cellStyle name="Comma 4 2 2 6 2 5 2" xfId="34971" xr:uid="{00000000-0005-0000-0000-0000B6AB0000}"/>
    <cellStyle name="Comma 4 2 2 6 2 6" xfId="14140" xr:uid="{00000000-0005-0000-0000-0000B7AB0000}"/>
    <cellStyle name="Comma 4 2 2 6 2 6 2" xfId="37419" xr:uid="{00000000-0005-0000-0000-0000B8AB0000}"/>
    <cellStyle name="Comma 4 2 2 6 2 7" xfId="17835" xr:uid="{00000000-0005-0000-0000-0000B9AB0000}"/>
    <cellStyle name="Comma 4 2 2 6 2 7 2" xfId="41113" xr:uid="{00000000-0005-0000-0000-0000BAAB0000}"/>
    <cellStyle name="Comma 4 2 2 6 2 8" xfId="25179" xr:uid="{00000000-0005-0000-0000-0000BBAB0000}"/>
    <cellStyle name="Comma 4 2 2 6 2 9" xfId="46009" xr:uid="{00000000-0005-0000-0000-0000BCAB0000}"/>
    <cellStyle name="Comma 4 2 2 6 3" xfId="3124" xr:uid="{00000000-0005-0000-0000-0000BDAB0000}"/>
    <cellStyle name="Comma 4 2 2 6 3 2" xfId="16611" xr:uid="{00000000-0005-0000-0000-0000BEAB0000}"/>
    <cellStyle name="Comma 4 2 2 6 3 2 2" xfId="39889" xr:uid="{00000000-0005-0000-0000-0000BFAB0000}"/>
    <cellStyle name="Comma 4 2 2 6 3 3" xfId="47233" xr:uid="{00000000-0005-0000-0000-0000C0AB0000}"/>
    <cellStyle name="Comma 4 2 2 6 3 4" xfId="26403" xr:uid="{00000000-0005-0000-0000-0000C1AB0000}"/>
    <cellStyle name="Comma 4 2 2 6 4" xfId="5572" xr:uid="{00000000-0005-0000-0000-0000C2AB0000}"/>
    <cellStyle name="Comma 4 2 2 6 4 2" xfId="19059" xr:uid="{00000000-0005-0000-0000-0000C3AB0000}"/>
    <cellStyle name="Comma 4 2 2 6 4 2 2" xfId="42337" xr:uid="{00000000-0005-0000-0000-0000C4AB0000}"/>
    <cellStyle name="Comma 4 2 2 6 4 3" xfId="28851" xr:uid="{00000000-0005-0000-0000-0000C5AB0000}"/>
    <cellStyle name="Comma 4 2 2 6 5" xfId="8020" xr:uid="{00000000-0005-0000-0000-0000C6AB0000}"/>
    <cellStyle name="Comma 4 2 2 6 5 2" xfId="31299" xr:uid="{00000000-0005-0000-0000-0000C7AB0000}"/>
    <cellStyle name="Comma 4 2 2 6 6" xfId="10468" xr:uid="{00000000-0005-0000-0000-0000C8AB0000}"/>
    <cellStyle name="Comma 4 2 2 6 6 2" xfId="33747" xr:uid="{00000000-0005-0000-0000-0000C9AB0000}"/>
    <cellStyle name="Comma 4 2 2 6 7" xfId="12916" xr:uid="{00000000-0005-0000-0000-0000CAAB0000}"/>
    <cellStyle name="Comma 4 2 2 6 7 2" xfId="36195" xr:uid="{00000000-0005-0000-0000-0000CBAB0000}"/>
    <cellStyle name="Comma 4 2 2 6 8" xfId="15387" xr:uid="{00000000-0005-0000-0000-0000CCAB0000}"/>
    <cellStyle name="Comma 4 2 2 6 8 2" xfId="38665" xr:uid="{00000000-0005-0000-0000-0000CDAB0000}"/>
    <cellStyle name="Comma 4 2 2 6 9" xfId="23955" xr:uid="{00000000-0005-0000-0000-0000CEAB0000}"/>
    <cellStyle name="Comma 4 2 2 7" xfId="1288" xr:uid="{00000000-0005-0000-0000-0000CFAB0000}"/>
    <cellStyle name="Comma 4 2 2 7 10" xfId="22119" xr:uid="{00000000-0005-0000-0000-0000D0AB0000}"/>
    <cellStyle name="Comma 4 2 2 7 2" xfId="3736" xr:uid="{00000000-0005-0000-0000-0000D1AB0000}"/>
    <cellStyle name="Comma 4 2 2 7 2 2" xfId="19671" xr:uid="{00000000-0005-0000-0000-0000D2AB0000}"/>
    <cellStyle name="Comma 4 2 2 7 2 2 2" xfId="42949" xr:uid="{00000000-0005-0000-0000-0000D3AB0000}"/>
    <cellStyle name="Comma 4 2 2 7 2 3" xfId="47845" xr:uid="{00000000-0005-0000-0000-0000D4AB0000}"/>
    <cellStyle name="Comma 4 2 2 7 2 4" xfId="27015" xr:uid="{00000000-0005-0000-0000-0000D5AB0000}"/>
    <cellStyle name="Comma 4 2 2 7 3" xfId="6184" xr:uid="{00000000-0005-0000-0000-0000D6AB0000}"/>
    <cellStyle name="Comma 4 2 2 7 3 2" xfId="29463" xr:uid="{00000000-0005-0000-0000-0000D7AB0000}"/>
    <cellStyle name="Comma 4 2 2 7 4" xfId="8632" xr:uid="{00000000-0005-0000-0000-0000D8AB0000}"/>
    <cellStyle name="Comma 4 2 2 7 4 2" xfId="31911" xr:uid="{00000000-0005-0000-0000-0000D9AB0000}"/>
    <cellStyle name="Comma 4 2 2 7 5" xfId="11080" xr:uid="{00000000-0005-0000-0000-0000DAAB0000}"/>
    <cellStyle name="Comma 4 2 2 7 5 2" xfId="34359" xr:uid="{00000000-0005-0000-0000-0000DBAB0000}"/>
    <cellStyle name="Comma 4 2 2 7 6" xfId="13528" xr:uid="{00000000-0005-0000-0000-0000DCAB0000}"/>
    <cellStyle name="Comma 4 2 2 7 6 2" xfId="36807" xr:uid="{00000000-0005-0000-0000-0000DDAB0000}"/>
    <cellStyle name="Comma 4 2 2 7 7" xfId="17223" xr:uid="{00000000-0005-0000-0000-0000DEAB0000}"/>
    <cellStyle name="Comma 4 2 2 7 7 2" xfId="40501" xr:uid="{00000000-0005-0000-0000-0000DFAB0000}"/>
    <cellStyle name="Comma 4 2 2 7 8" xfId="24567" xr:uid="{00000000-0005-0000-0000-0000E0AB0000}"/>
    <cellStyle name="Comma 4 2 2 7 9" xfId="45397" xr:uid="{00000000-0005-0000-0000-0000E1AB0000}"/>
    <cellStyle name="Comma 4 2 2 8" xfId="2512" xr:uid="{00000000-0005-0000-0000-0000E2AB0000}"/>
    <cellStyle name="Comma 4 2 2 8 2" xfId="15999" xr:uid="{00000000-0005-0000-0000-0000E3AB0000}"/>
    <cellStyle name="Comma 4 2 2 8 2 2" xfId="39277" xr:uid="{00000000-0005-0000-0000-0000E4AB0000}"/>
    <cellStyle name="Comma 4 2 2 8 3" xfId="46621" xr:uid="{00000000-0005-0000-0000-0000E5AB0000}"/>
    <cellStyle name="Comma 4 2 2 8 4" xfId="25791" xr:uid="{00000000-0005-0000-0000-0000E6AB0000}"/>
    <cellStyle name="Comma 4 2 2 9" xfId="4960" xr:uid="{00000000-0005-0000-0000-0000E7AB0000}"/>
    <cellStyle name="Comma 4 2 2 9 2" xfId="18447" xr:uid="{00000000-0005-0000-0000-0000E8AB0000}"/>
    <cellStyle name="Comma 4 2 2 9 2 2" xfId="41725" xr:uid="{00000000-0005-0000-0000-0000E9AB0000}"/>
    <cellStyle name="Comma 4 2 2 9 3" xfId="28239" xr:uid="{00000000-0005-0000-0000-0000EAAB0000}"/>
    <cellStyle name="Comma 4 2 3" xfId="81" xr:uid="{00000000-0005-0000-0000-0000EBAB0000}"/>
    <cellStyle name="Comma 4 2 3 10" xfId="7425" xr:uid="{00000000-0005-0000-0000-0000ECAB0000}"/>
    <cellStyle name="Comma 4 2 3 10 2" xfId="30704" xr:uid="{00000000-0005-0000-0000-0000EDAB0000}"/>
    <cellStyle name="Comma 4 2 3 11" xfId="9873" xr:uid="{00000000-0005-0000-0000-0000EEAB0000}"/>
    <cellStyle name="Comma 4 2 3 11 2" xfId="33152" xr:uid="{00000000-0005-0000-0000-0000EFAB0000}"/>
    <cellStyle name="Comma 4 2 3 12" xfId="12321" xr:uid="{00000000-0005-0000-0000-0000F0AB0000}"/>
    <cellStyle name="Comma 4 2 3 12 2" xfId="35600" xr:uid="{00000000-0005-0000-0000-0000F1AB0000}"/>
    <cellStyle name="Comma 4 2 3 13" xfId="14792" xr:uid="{00000000-0005-0000-0000-0000F2AB0000}"/>
    <cellStyle name="Comma 4 2 3 13 2" xfId="38070" xr:uid="{00000000-0005-0000-0000-0000F3AB0000}"/>
    <cellStyle name="Comma 4 2 3 14" xfId="23360" xr:uid="{00000000-0005-0000-0000-0000F4AB0000}"/>
    <cellStyle name="Comma 4 2 3 15" xfId="44190" xr:uid="{00000000-0005-0000-0000-0000F5AB0000}"/>
    <cellStyle name="Comma 4 2 3 16" xfId="20912" xr:uid="{00000000-0005-0000-0000-0000F6AB0000}"/>
    <cellStyle name="Comma 4 2 3 2" xfId="149" xr:uid="{00000000-0005-0000-0000-0000F7AB0000}"/>
    <cellStyle name="Comma 4 2 3 2 10" xfId="12389" xr:uid="{00000000-0005-0000-0000-0000F8AB0000}"/>
    <cellStyle name="Comma 4 2 3 2 10 2" xfId="35668" xr:uid="{00000000-0005-0000-0000-0000F9AB0000}"/>
    <cellStyle name="Comma 4 2 3 2 11" xfId="14860" xr:uid="{00000000-0005-0000-0000-0000FAAB0000}"/>
    <cellStyle name="Comma 4 2 3 2 11 2" xfId="38138" xr:uid="{00000000-0005-0000-0000-0000FBAB0000}"/>
    <cellStyle name="Comma 4 2 3 2 12" xfId="23428" xr:uid="{00000000-0005-0000-0000-0000FCAB0000}"/>
    <cellStyle name="Comma 4 2 3 2 13" xfId="44258" xr:uid="{00000000-0005-0000-0000-0000FDAB0000}"/>
    <cellStyle name="Comma 4 2 3 2 14" xfId="20980" xr:uid="{00000000-0005-0000-0000-0000FEAB0000}"/>
    <cellStyle name="Comma 4 2 3 2 2" xfId="353" xr:uid="{00000000-0005-0000-0000-0000FFAB0000}"/>
    <cellStyle name="Comma 4 2 3 2 2 10" xfId="23632" xr:uid="{00000000-0005-0000-0000-000000AC0000}"/>
    <cellStyle name="Comma 4 2 3 2 2 11" xfId="44462" xr:uid="{00000000-0005-0000-0000-000001AC0000}"/>
    <cellStyle name="Comma 4 2 3 2 2 12" xfId="21184" xr:uid="{00000000-0005-0000-0000-000002AC0000}"/>
    <cellStyle name="Comma 4 2 3 2 2 2" xfId="965" xr:uid="{00000000-0005-0000-0000-000003AC0000}"/>
    <cellStyle name="Comma 4 2 3 2 2 2 10" xfId="45074" xr:uid="{00000000-0005-0000-0000-000004AC0000}"/>
    <cellStyle name="Comma 4 2 3 2 2 2 11" xfId="21796" xr:uid="{00000000-0005-0000-0000-000005AC0000}"/>
    <cellStyle name="Comma 4 2 3 2 2 2 2" xfId="2189" xr:uid="{00000000-0005-0000-0000-000006AC0000}"/>
    <cellStyle name="Comma 4 2 3 2 2 2 2 10" xfId="23020" xr:uid="{00000000-0005-0000-0000-000007AC0000}"/>
    <cellStyle name="Comma 4 2 3 2 2 2 2 2" xfId="4637" xr:uid="{00000000-0005-0000-0000-000008AC0000}"/>
    <cellStyle name="Comma 4 2 3 2 2 2 2 2 2" xfId="20572" xr:uid="{00000000-0005-0000-0000-000009AC0000}"/>
    <cellStyle name="Comma 4 2 3 2 2 2 2 2 2 2" xfId="43850" xr:uid="{00000000-0005-0000-0000-00000AAC0000}"/>
    <cellStyle name="Comma 4 2 3 2 2 2 2 2 3" xfId="48746" xr:uid="{00000000-0005-0000-0000-00000BAC0000}"/>
    <cellStyle name="Comma 4 2 3 2 2 2 2 2 4" xfId="27916" xr:uid="{00000000-0005-0000-0000-00000CAC0000}"/>
    <cellStyle name="Comma 4 2 3 2 2 2 2 3" xfId="7085" xr:uid="{00000000-0005-0000-0000-00000DAC0000}"/>
    <cellStyle name="Comma 4 2 3 2 2 2 2 3 2" xfId="30364" xr:uid="{00000000-0005-0000-0000-00000EAC0000}"/>
    <cellStyle name="Comma 4 2 3 2 2 2 2 4" xfId="9533" xr:uid="{00000000-0005-0000-0000-00000FAC0000}"/>
    <cellStyle name="Comma 4 2 3 2 2 2 2 4 2" xfId="32812" xr:uid="{00000000-0005-0000-0000-000010AC0000}"/>
    <cellStyle name="Comma 4 2 3 2 2 2 2 5" xfId="11981" xr:uid="{00000000-0005-0000-0000-000011AC0000}"/>
    <cellStyle name="Comma 4 2 3 2 2 2 2 5 2" xfId="35260" xr:uid="{00000000-0005-0000-0000-000012AC0000}"/>
    <cellStyle name="Comma 4 2 3 2 2 2 2 6" xfId="14429" xr:uid="{00000000-0005-0000-0000-000013AC0000}"/>
    <cellStyle name="Comma 4 2 3 2 2 2 2 6 2" xfId="37708" xr:uid="{00000000-0005-0000-0000-000014AC0000}"/>
    <cellStyle name="Comma 4 2 3 2 2 2 2 7" xfId="18124" xr:uid="{00000000-0005-0000-0000-000015AC0000}"/>
    <cellStyle name="Comma 4 2 3 2 2 2 2 7 2" xfId="41402" xr:uid="{00000000-0005-0000-0000-000016AC0000}"/>
    <cellStyle name="Comma 4 2 3 2 2 2 2 8" xfId="25468" xr:uid="{00000000-0005-0000-0000-000017AC0000}"/>
    <cellStyle name="Comma 4 2 3 2 2 2 2 9" xfId="46298" xr:uid="{00000000-0005-0000-0000-000018AC0000}"/>
    <cellStyle name="Comma 4 2 3 2 2 2 3" xfId="3413" xr:uid="{00000000-0005-0000-0000-000019AC0000}"/>
    <cellStyle name="Comma 4 2 3 2 2 2 3 2" xfId="16900" xr:uid="{00000000-0005-0000-0000-00001AAC0000}"/>
    <cellStyle name="Comma 4 2 3 2 2 2 3 2 2" xfId="40178" xr:uid="{00000000-0005-0000-0000-00001BAC0000}"/>
    <cellStyle name="Comma 4 2 3 2 2 2 3 3" xfId="47522" xr:uid="{00000000-0005-0000-0000-00001CAC0000}"/>
    <cellStyle name="Comma 4 2 3 2 2 2 3 4" xfId="26692" xr:uid="{00000000-0005-0000-0000-00001DAC0000}"/>
    <cellStyle name="Comma 4 2 3 2 2 2 4" xfId="5861" xr:uid="{00000000-0005-0000-0000-00001EAC0000}"/>
    <cellStyle name="Comma 4 2 3 2 2 2 4 2" xfId="19348" xr:uid="{00000000-0005-0000-0000-00001FAC0000}"/>
    <cellStyle name="Comma 4 2 3 2 2 2 4 2 2" xfId="42626" xr:uid="{00000000-0005-0000-0000-000020AC0000}"/>
    <cellStyle name="Comma 4 2 3 2 2 2 4 3" xfId="29140" xr:uid="{00000000-0005-0000-0000-000021AC0000}"/>
    <cellStyle name="Comma 4 2 3 2 2 2 5" xfId="8309" xr:uid="{00000000-0005-0000-0000-000022AC0000}"/>
    <cellStyle name="Comma 4 2 3 2 2 2 5 2" xfId="31588" xr:uid="{00000000-0005-0000-0000-000023AC0000}"/>
    <cellStyle name="Comma 4 2 3 2 2 2 6" xfId="10757" xr:uid="{00000000-0005-0000-0000-000024AC0000}"/>
    <cellStyle name="Comma 4 2 3 2 2 2 6 2" xfId="34036" xr:uid="{00000000-0005-0000-0000-000025AC0000}"/>
    <cellStyle name="Comma 4 2 3 2 2 2 7" xfId="13205" xr:uid="{00000000-0005-0000-0000-000026AC0000}"/>
    <cellStyle name="Comma 4 2 3 2 2 2 7 2" xfId="36484" xr:uid="{00000000-0005-0000-0000-000027AC0000}"/>
    <cellStyle name="Comma 4 2 3 2 2 2 8" xfId="15676" xr:uid="{00000000-0005-0000-0000-000028AC0000}"/>
    <cellStyle name="Comma 4 2 3 2 2 2 8 2" xfId="38954" xr:uid="{00000000-0005-0000-0000-000029AC0000}"/>
    <cellStyle name="Comma 4 2 3 2 2 2 9" xfId="24244" xr:uid="{00000000-0005-0000-0000-00002AAC0000}"/>
    <cellStyle name="Comma 4 2 3 2 2 3" xfId="1577" xr:uid="{00000000-0005-0000-0000-00002BAC0000}"/>
    <cellStyle name="Comma 4 2 3 2 2 3 10" xfId="22408" xr:uid="{00000000-0005-0000-0000-00002CAC0000}"/>
    <cellStyle name="Comma 4 2 3 2 2 3 2" xfId="4025" xr:uid="{00000000-0005-0000-0000-00002DAC0000}"/>
    <cellStyle name="Comma 4 2 3 2 2 3 2 2" xfId="19960" xr:uid="{00000000-0005-0000-0000-00002EAC0000}"/>
    <cellStyle name="Comma 4 2 3 2 2 3 2 2 2" xfId="43238" xr:uid="{00000000-0005-0000-0000-00002FAC0000}"/>
    <cellStyle name="Comma 4 2 3 2 2 3 2 3" xfId="48134" xr:uid="{00000000-0005-0000-0000-000030AC0000}"/>
    <cellStyle name="Comma 4 2 3 2 2 3 2 4" xfId="27304" xr:uid="{00000000-0005-0000-0000-000031AC0000}"/>
    <cellStyle name="Comma 4 2 3 2 2 3 3" xfId="6473" xr:uid="{00000000-0005-0000-0000-000032AC0000}"/>
    <cellStyle name="Comma 4 2 3 2 2 3 3 2" xfId="29752" xr:uid="{00000000-0005-0000-0000-000033AC0000}"/>
    <cellStyle name="Comma 4 2 3 2 2 3 4" xfId="8921" xr:uid="{00000000-0005-0000-0000-000034AC0000}"/>
    <cellStyle name="Comma 4 2 3 2 2 3 4 2" xfId="32200" xr:uid="{00000000-0005-0000-0000-000035AC0000}"/>
    <cellStyle name="Comma 4 2 3 2 2 3 5" xfId="11369" xr:uid="{00000000-0005-0000-0000-000036AC0000}"/>
    <cellStyle name="Comma 4 2 3 2 2 3 5 2" xfId="34648" xr:uid="{00000000-0005-0000-0000-000037AC0000}"/>
    <cellStyle name="Comma 4 2 3 2 2 3 6" xfId="13817" xr:uid="{00000000-0005-0000-0000-000038AC0000}"/>
    <cellStyle name="Comma 4 2 3 2 2 3 6 2" xfId="37096" xr:uid="{00000000-0005-0000-0000-000039AC0000}"/>
    <cellStyle name="Comma 4 2 3 2 2 3 7" xfId="17512" xr:uid="{00000000-0005-0000-0000-00003AAC0000}"/>
    <cellStyle name="Comma 4 2 3 2 2 3 7 2" xfId="40790" xr:uid="{00000000-0005-0000-0000-00003BAC0000}"/>
    <cellStyle name="Comma 4 2 3 2 2 3 8" xfId="24856" xr:uid="{00000000-0005-0000-0000-00003CAC0000}"/>
    <cellStyle name="Comma 4 2 3 2 2 3 9" xfId="45686" xr:uid="{00000000-0005-0000-0000-00003DAC0000}"/>
    <cellStyle name="Comma 4 2 3 2 2 4" xfId="2801" xr:uid="{00000000-0005-0000-0000-00003EAC0000}"/>
    <cellStyle name="Comma 4 2 3 2 2 4 2" xfId="16288" xr:uid="{00000000-0005-0000-0000-00003FAC0000}"/>
    <cellStyle name="Comma 4 2 3 2 2 4 2 2" xfId="39566" xr:uid="{00000000-0005-0000-0000-000040AC0000}"/>
    <cellStyle name="Comma 4 2 3 2 2 4 3" xfId="46910" xr:uid="{00000000-0005-0000-0000-000041AC0000}"/>
    <cellStyle name="Comma 4 2 3 2 2 4 4" xfId="26080" xr:uid="{00000000-0005-0000-0000-000042AC0000}"/>
    <cellStyle name="Comma 4 2 3 2 2 5" xfId="5249" xr:uid="{00000000-0005-0000-0000-000043AC0000}"/>
    <cellStyle name="Comma 4 2 3 2 2 5 2" xfId="18736" xr:uid="{00000000-0005-0000-0000-000044AC0000}"/>
    <cellStyle name="Comma 4 2 3 2 2 5 2 2" xfId="42014" xr:uid="{00000000-0005-0000-0000-000045AC0000}"/>
    <cellStyle name="Comma 4 2 3 2 2 5 3" xfId="28528" xr:uid="{00000000-0005-0000-0000-000046AC0000}"/>
    <cellStyle name="Comma 4 2 3 2 2 6" xfId="7697" xr:uid="{00000000-0005-0000-0000-000047AC0000}"/>
    <cellStyle name="Comma 4 2 3 2 2 6 2" xfId="30976" xr:uid="{00000000-0005-0000-0000-000048AC0000}"/>
    <cellStyle name="Comma 4 2 3 2 2 7" xfId="10145" xr:uid="{00000000-0005-0000-0000-000049AC0000}"/>
    <cellStyle name="Comma 4 2 3 2 2 7 2" xfId="33424" xr:uid="{00000000-0005-0000-0000-00004AAC0000}"/>
    <cellStyle name="Comma 4 2 3 2 2 8" xfId="12593" xr:uid="{00000000-0005-0000-0000-00004BAC0000}"/>
    <cellStyle name="Comma 4 2 3 2 2 8 2" xfId="35872" xr:uid="{00000000-0005-0000-0000-00004CAC0000}"/>
    <cellStyle name="Comma 4 2 3 2 2 9" xfId="15064" xr:uid="{00000000-0005-0000-0000-00004DAC0000}"/>
    <cellStyle name="Comma 4 2 3 2 2 9 2" xfId="38342" xr:uid="{00000000-0005-0000-0000-00004EAC0000}"/>
    <cellStyle name="Comma 4 2 3 2 3" xfId="557" xr:uid="{00000000-0005-0000-0000-00004FAC0000}"/>
    <cellStyle name="Comma 4 2 3 2 3 10" xfId="23836" xr:uid="{00000000-0005-0000-0000-000050AC0000}"/>
    <cellStyle name="Comma 4 2 3 2 3 11" xfId="44666" xr:uid="{00000000-0005-0000-0000-000051AC0000}"/>
    <cellStyle name="Comma 4 2 3 2 3 12" xfId="21388" xr:uid="{00000000-0005-0000-0000-000052AC0000}"/>
    <cellStyle name="Comma 4 2 3 2 3 2" xfId="1169" xr:uid="{00000000-0005-0000-0000-000053AC0000}"/>
    <cellStyle name="Comma 4 2 3 2 3 2 10" xfId="45278" xr:uid="{00000000-0005-0000-0000-000054AC0000}"/>
    <cellStyle name="Comma 4 2 3 2 3 2 11" xfId="22000" xr:uid="{00000000-0005-0000-0000-000055AC0000}"/>
    <cellStyle name="Comma 4 2 3 2 3 2 2" xfId="2393" xr:uid="{00000000-0005-0000-0000-000056AC0000}"/>
    <cellStyle name="Comma 4 2 3 2 3 2 2 10" xfId="23224" xr:uid="{00000000-0005-0000-0000-000057AC0000}"/>
    <cellStyle name="Comma 4 2 3 2 3 2 2 2" xfId="4841" xr:uid="{00000000-0005-0000-0000-000058AC0000}"/>
    <cellStyle name="Comma 4 2 3 2 3 2 2 2 2" xfId="20776" xr:uid="{00000000-0005-0000-0000-000059AC0000}"/>
    <cellStyle name="Comma 4 2 3 2 3 2 2 2 2 2" xfId="44054" xr:uid="{00000000-0005-0000-0000-00005AAC0000}"/>
    <cellStyle name="Comma 4 2 3 2 3 2 2 2 3" xfId="48950" xr:uid="{00000000-0005-0000-0000-00005BAC0000}"/>
    <cellStyle name="Comma 4 2 3 2 3 2 2 2 4" xfId="28120" xr:uid="{00000000-0005-0000-0000-00005CAC0000}"/>
    <cellStyle name="Comma 4 2 3 2 3 2 2 3" xfId="7289" xr:uid="{00000000-0005-0000-0000-00005DAC0000}"/>
    <cellStyle name="Comma 4 2 3 2 3 2 2 3 2" xfId="30568" xr:uid="{00000000-0005-0000-0000-00005EAC0000}"/>
    <cellStyle name="Comma 4 2 3 2 3 2 2 4" xfId="9737" xr:uid="{00000000-0005-0000-0000-00005FAC0000}"/>
    <cellStyle name="Comma 4 2 3 2 3 2 2 4 2" xfId="33016" xr:uid="{00000000-0005-0000-0000-000060AC0000}"/>
    <cellStyle name="Comma 4 2 3 2 3 2 2 5" xfId="12185" xr:uid="{00000000-0005-0000-0000-000061AC0000}"/>
    <cellStyle name="Comma 4 2 3 2 3 2 2 5 2" xfId="35464" xr:uid="{00000000-0005-0000-0000-000062AC0000}"/>
    <cellStyle name="Comma 4 2 3 2 3 2 2 6" xfId="14633" xr:uid="{00000000-0005-0000-0000-000063AC0000}"/>
    <cellStyle name="Comma 4 2 3 2 3 2 2 6 2" xfId="37912" xr:uid="{00000000-0005-0000-0000-000064AC0000}"/>
    <cellStyle name="Comma 4 2 3 2 3 2 2 7" xfId="18328" xr:uid="{00000000-0005-0000-0000-000065AC0000}"/>
    <cellStyle name="Comma 4 2 3 2 3 2 2 7 2" xfId="41606" xr:uid="{00000000-0005-0000-0000-000066AC0000}"/>
    <cellStyle name="Comma 4 2 3 2 3 2 2 8" xfId="25672" xr:uid="{00000000-0005-0000-0000-000067AC0000}"/>
    <cellStyle name="Comma 4 2 3 2 3 2 2 9" xfId="46502" xr:uid="{00000000-0005-0000-0000-000068AC0000}"/>
    <cellStyle name="Comma 4 2 3 2 3 2 3" xfId="3617" xr:uid="{00000000-0005-0000-0000-000069AC0000}"/>
    <cellStyle name="Comma 4 2 3 2 3 2 3 2" xfId="17104" xr:uid="{00000000-0005-0000-0000-00006AAC0000}"/>
    <cellStyle name="Comma 4 2 3 2 3 2 3 2 2" xfId="40382" xr:uid="{00000000-0005-0000-0000-00006BAC0000}"/>
    <cellStyle name="Comma 4 2 3 2 3 2 3 3" xfId="47726" xr:uid="{00000000-0005-0000-0000-00006CAC0000}"/>
    <cellStyle name="Comma 4 2 3 2 3 2 3 4" xfId="26896" xr:uid="{00000000-0005-0000-0000-00006DAC0000}"/>
    <cellStyle name="Comma 4 2 3 2 3 2 4" xfId="6065" xr:uid="{00000000-0005-0000-0000-00006EAC0000}"/>
    <cellStyle name="Comma 4 2 3 2 3 2 4 2" xfId="19552" xr:uid="{00000000-0005-0000-0000-00006FAC0000}"/>
    <cellStyle name="Comma 4 2 3 2 3 2 4 2 2" xfId="42830" xr:uid="{00000000-0005-0000-0000-000070AC0000}"/>
    <cellStyle name="Comma 4 2 3 2 3 2 4 3" xfId="29344" xr:uid="{00000000-0005-0000-0000-000071AC0000}"/>
    <cellStyle name="Comma 4 2 3 2 3 2 5" xfId="8513" xr:uid="{00000000-0005-0000-0000-000072AC0000}"/>
    <cellStyle name="Comma 4 2 3 2 3 2 5 2" xfId="31792" xr:uid="{00000000-0005-0000-0000-000073AC0000}"/>
    <cellStyle name="Comma 4 2 3 2 3 2 6" xfId="10961" xr:uid="{00000000-0005-0000-0000-000074AC0000}"/>
    <cellStyle name="Comma 4 2 3 2 3 2 6 2" xfId="34240" xr:uid="{00000000-0005-0000-0000-000075AC0000}"/>
    <cellStyle name="Comma 4 2 3 2 3 2 7" xfId="13409" xr:uid="{00000000-0005-0000-0000-000076AC0000}"/>
    <cellStyle name="Comma 4 2 3 2 3 2 7 2" xfId="36688" xr:uid="{00000000-0005-0000-0000-000077AC0000}"/>
    <cellStyle name="Comma 4 2 3 2 3 2 8" xfId="15880" xr:uid="{00000000-0005-0000-0000-000078AC0000}"/>
    <cellStyle name="Comma 4 2 3 2 3 2 8 2" xfId="39158" xr:uid="{00000000-0005-0000-0000-000079AC0000}"/>
    <cellStyle name="Comma 4 2 3 2 3 2 9" xfId="24448" xr:uid="{00000000-0005-0000-0000-00007AAC0000}"/>
    <cellStyle name="Comma 4 2 3 2 3 3" xfId="1781" xr:uid="{00000000-0005-0000-0000-00007BAC0000}"/>
    <cellStyle name="Comma 4 2 3 2 3 3 10" xfId="22612" xr:uid="{00000000-0005-0000-0000-00007CAC0000}"/>
    <cellStyle name="Comma 4 2 3 2 3 3 2" xfId="4229" xr:uid="{00000000-0005-0000-0000-00007DAC0000}"/>
    <cellStyle name="Comma 4 2 3 2 3 3 2 2" xfId="20164" xr:uid="{00000000-0005-0000-0000-00007EAC0000}"/>
    <cellStyle name="Comma 4 2 3 2 3 3 2 2 2" xfId="43442" xr:uid="{00000000-0005-0000-0000-00007FAC0000}"/>
    <cellStyle name="Comma 4 2 3 2 3 3 2 3" xfId="48338" xr:uid="{00000000-0005-0000-0000-000080AC0000}"/>
    <cellStyle name="Comma 4 2 3 2 3 3 2 4" xfId="27508" xr:uid="{00000000-0005-0000-0000-000081AC0000}"/>
    <cellStyle name="Comma 4 2 3 2 3 3 3" xfId="6677" xr:uid="{00000000-0005-0000-0000-000082AC0000}"/>
    <cellStyle name="Comma 4 2 3 2 3 3 3 2" xfId="29956" xr:uid="{00000000-0005-0000-0000-000083AC0000}"/>
    <cellStyle name="Comma 4 2 3 2 3 3 4" xfId="9125" xr:uid="{00000000-0005-0000-0000-000084AC0000}"/>
    <cellStyle name="Comma 4 2 3 2 3 3 4 2" xfId="32404" xr:uid="{00000000-0005-0000-0000-000085AC0000}"/>
    <cellStyle name="Comma 4 2 3 2 3 3 5" xfId="11573" xr:uid="{00000000-0005-0000-0000-000086AC0000}"/>
    <cellStyle name="Comma 4 2 3 2 3 3 5 2" xfId="34852" xr:uid="{00000000-0005-0000-0000-000087AC0000}"/>
    <cellStyle name="Comma 4 2 3 2 3 3 6" xfId="14021" xr:uid="{00000000-0005-0000-0000-000088AC0000}"/>
    <cellStyle name="Comma 4 2 3 2 3 3 6 2" xfId="37300" xr:uid="{00000000-0005-0000-0000-000089AC0000}"/>
    <cellStyle name="Comma 4 2 3 2 3 3 7" xfId="17716" xr:uid="{00000000-0005-0000-0000-00008AAC0000}"/>
    <cellStyle name="Comma 4 2 3 2 3 3 7 2" xfId="40994" xr:uid="{00000000-0005-0000-0000-00008BAC0000}"/>
    <cellStyle name="Comma 4 2 3 2 3 3 8" xfId="25060" xr:uid="{00000000-0005-0000-0000-00008CAC0000}"/>
    <cellStyle name="Comma 4 2 3 2 3 3 9" xfId="45890" xr:uid="{00000000-0005-0000-0000-00008DAC0000}"/>
    <cellStyle name="Comma 4 2 3 2 3 4" xfId="3005" xr:uid="{00000000-0005-0000-0000-00008EAC0000}"/>
    <cellStyle name="Comma 4 2 3 2 3 4 2" xfId="16492" xr:uid="{00000000-0005-0000-0000-00008FAC0000}"/>
    <cellStyle name="Comma 4 2 3 2 3 4 2 2" xfId="39770" xr:uid="{00000000-0005-0000-0000-000090AC0000}"/>
    <cellStyle name="Comma 4 2 3 2 3 4 3" xfId="47114" xr:uid="{00000000-0005-0000-0000-000091AC0000}"/>
    <cellStyle name="Comma 4 2 3 2 3 4 4" xfId="26284" xr:uid="{00000000-0005-0000-0000-000092AC0000}"/>
    <cellStyle name="Comma 4 2 3 2 3 5" xfId="5453" xr:uid="{00000000-0005-0000-0000-000093AC0000}"/>
    <cellStyle name="Comma 4 2 3 2 3 5 2" xfId="18940" xr:uid="{00000000-0005-0000-0000-000094AC0000}"/>
    <cellStyle name="Comma 4 2 3 2 3 5 2 2" xfId="42218" xr:uid="{00000000-0005-0000-0000-000095AC0000}"/>
    <cellStyle name="Comma 4 2 3 2 3 5 3" xfId="28732" xr:uid="{00000000-0005-0000-0000-000096AC0000}"/>
    <cellStyle name="Comma 4 2 3 2 3 6" xfId="7901" xr:uid="{00000000-0005-0000-0000-000097AC0000}"/>
    <cellStyle name="Comma 4 2 3 2 3 6 2" xfId="31180" xr:uid="{00000000-0005-0000-0000-000098AC0000}"/>
    <cellStyle name="Comma 4 2 3 2 3 7" xfId="10349" xr:uid="{00000000-0005-0000-0000-000099AC0000}"/>
    <cellStyle name="Comma 4 2 3 2 3 7 2" xfId="33628" xr:uid="{00000000-0005-0000-0000-00009AAC0000}"/>
    <cellStyle name="Comma 4 2 3 2 3 8" xfId="12797" xr:uid="{00000000-0005-0000-0000-00009BAC0000}"/>
    <cellStyle name="Comma 4 2 3 2 3 8 2" xfId="36076" xr:uid="{00000000-0005-0000-0000-00009CAC0000}"/>
    <cellStyle name="Comma 4 2 3 2 3 9" xfId="15268" xr:uid="{00000000-0005-0000-0000-00009DAC0000}"/>
    <cellStyle name="Comma 4 2 3 2 3 9 2" xfId="38546" xr:uid="{00000000-0005-0000-0000-00009EAC0000}"/>
    <cellStyle name="Comma 4 2 3 2 4" xfId="761" xr:uid="{00000000-0005-0000-0000-00009FAC0000}"/>
    <cellStyle name="Comma 4 2 3 2 4 10" xfId="44870" xr:uid="{00000000-0005-0000-0000-0000A0AC0000}"/>
    <cellStyle name="Comma 4 2 3 2 4 11" xfId="21592" xr:uid="{00000000-0005-0000-0000-0000A1AC0000}"/>
    <cellStyle name="Comma 4 2 3 2 4 2" xfId="1985" xr:uid="{00000000-0005-0000-0000-0000A2AC0000}"/>
    <cellStyle name="Comma 4 2 3 2 4 2 10" xfId="22816" xr:uid="{00000000-0005-0000-0000-0000A3AC0000}"/>
    <cellStyle name="Comma 4 2 3 2 4 2 2" xfId="4433" xr:uid="{00000000-0005-0000-0000-0000A4AC0000}"/>
    <cellStyle name="Comma 4 2 3 2 4 2 2 2" xfId="20368" xr:uid="{00000000-0005-0000-0000-0000A5AC0000}"/>
    <cellStyle name="Comma 4 2 3 2 4 2 2 2 2" xfId="43646" xr:uid="{00000000-0005-0000-0000-0000A6AC0000}"/>
    <cellStyle name="Comma 4 2 3 2 4 2 2 3" xfId="48542" xr:uid="{00000000-0005-0000-0000-0000A7AC0000}"/>
    <cellStyle name="Comma 4 2 3 2 4 2 2 4" xfId="27712" xr:uid="{00000000-0005-0000-0000-0000A8AC0000}"/>
    <cellStyle name="Comma 4 2 3 2 4 2 3" xfId="6881" xr:uid="{00000000-0005-0000-0000-0000A9AC0000}"/>
    <cellStyle name="Comma 4 2 3 2 4 2 3 2" xfId="30160" xr:uid="{00000000-0005-0000-0000-0000AAAC0000}"/>
    <cellStyle name="Comma 4 2 3 2 4 2 4" xfId="9329" xr:uid="{00000000-0005-0000-0000-0000ABAC0000}"/>
    <cellStyle name="Comma 4 2 3 2 4 2 4 2" xfId="32608" xr:uid="{00000000-0005-0000-0000-0000ACAC0000}"/>
    <cellStyle name="Comma 4 2 3 2 4 2 5" xfId="11777" xr:uid="{00000000-0005-0000-0000-0000ADAC0000}"/>
    <cellStyle name="Comma 4 2 3 2 4 2 5 2" xfId="35056" xr:uid="{00000000-0005-0000-0000-0000AEAC0000}"/>
    <cellStyle name="Comma 4 2 3 2 4 2 6" xfId="14225" xr:uid="{00000000-0005-0000-0000-0000AFAC0000}"/>
    <cellStyle name="Comma 4 2 3 2 4 2 6 2" xfId="37504" xr:uid="{00000000-0005-0000-0000-0000B0AC0000}"/>
    <cellStyle name="Comma 4 2 3 2 4 2 7" xfId="17920" xr:uid="{00000000-0005-0000-0000-0000B1AC0000}"/>
    <cellStyle name="Comma 4 2 3 2 4 2 7 2" xfId="41198" xr:uid="{00000000-0005-0000-0000-0000B2AC0000}"/>
    <cellStyle name="Comma 4 2 3 2 4 2 8" xfId="25264" xr:uid="{00000000-0005-0000-0000-0000B3AC0000}"/>
    <cellStyle name="Comma 4 2 3 2 4 2 9" xfId="46094" xr:uid="{00000000-0005-0000-0000-0000B4AC0000}"/>
    <cellStyle name="Comma 4 2 3 2 4 3" xfId="3209" xr:uid="{00000000-0005-0000-0000-0000B5AC0000}"/>
    <cellStyle name="Comma 4 2 3 2 4 3 2" xfId="16696" xr:uid="{00000000-0005-0000-0000-0000B6AC0000}"/>
    <cellStyle name="Comma 4 2 3 2 4 3 2 2" xfId="39974" xr:uid="{00000000-0005-0000-0000-0000B7AC0000}"/>
    <cellStyle name="Comma 4 2 3 2 4 3 3" xfId="47318" xr:uid="{00000000-0005-0000-0000-0000B8AC0000}"/>
    <cellStyle name="Comma 4 2 3 2 4 3 4" xfId="26488" xr:uid="{00000000-0005-0000-0000-0000B9AC0000}"/>
    <cellStyle name="Comma 4 2 3 2 4 4" xfId="5657" xr:uid="{00000000-0005-0000-0000-0000BAAC0000}"/>
    <cellStyle name="Comma 4 2 3 2 4 4 2" xfId="19144" xr:uid="{00000000-0005-0000-0000-0000BBAC0000}"/>
    <cellStyle name="Comma 4 2 3 2 4 4 2 2" xfId="42422" xr:uid="{00000000-0005-0000-0000-0000BCAC0000}"/>
    <cellStyle name="Comma 4 2 3 2 4 4 3" xfId="28936" xr:uid="{00000000-0005-0000-0000-0000BDAC0000}"/>
    <cellStyle name="Comma 4 2 3 2 4 5" xfId="8105" xr:uid="{00000000-0005-0000-0000-0000BEAC0000}"/>
    <cellStyle name="Comma 4 2 3 2 4 5 2" xfId="31384" xr:uid="{00000000-0005-0000-0000-0000BFAC0000}"/>
    <cellStyle name="Comma 4 2 3 2 4 6" xfId="10553" xr:uid="{00000000-0005-0000-0000-0000C0AC0000}"/>
    <cellStyle name="Comma 4 2 3 2 4 6 2" xfId="33832" xr:uid="{00000000-0005-0000-0000-0000C1AC0000}"/>
    <cellStyle name="Comma 4 2 3 2 4 7" xfId="13001" xr:uid="{00000000-0005-0000-0000-0000C2AC0000}"/>
    <cellStyle name="Comma 4 2 3 2 4 7 2" xfId="36280" xr:uid="{00000000-0005-0000-0000-0000C3AC0000}"/>
    <cellStyle name="Comma 4 2 3 2 4 8" xfId="15472" xr:uid="{00000000-0005-0000-0000-0000C4AC0000}"/>
    <cellStyle name="Comma 4 2 3 2 4 8 2" xfId="38750" xr:uid="{00000000-0005-0000-0000-0000C5AC0000}"/>
    <cellStyle name="Comma 4 2 3 2 4 9" xfId="24040" xr:uid="{00000000-0005-0000-0000-0000C6AC0000}"/>
    <cellStyle name="Comma 4 2 3 2 5" xfId="1373" xr:uid="{00000000-0005-0000-0000-0000C7AC0000}"/>
    <cellStyle name="Comma 4 2 3 2 5 10" xfId="22204" xr:uid="{00000000-0005-0000-0000-0000C8AC0000}"/>
    <cellStyle name="Comma 4 2 3 2 5 2" xfId="3821" xr:uid="{00000000-0005-0000-0000-0000C9AC0000}"/>
    <cellStyle name="Comma 4 2 3 2 5 2 2" xfId="19756" xr:uid="{00000000-0005-0000-0000-0000CAAC0000}"/>
    <cellStyle name="Comma 4 2 3 2 5 2 2 2" xfId="43034" xr:uid="{00000000-0005-0000-0000-0000CBAC0000}"/>
    <cellStyle name="Comma 4 2 3 2 5 2 3" xfId="47930" xr:uid="{00000000-0005-0000-0000-0000CCAC0000}"/>
    <cellStyle name="Comma 4 2 3 2 5 2 4" xfId="27100" xr:uid="{00000000-0005-0000-0000-0000CDAC0000}"/>
    <cellStyle name="Comma 4 2 3 2 5 3" xfId="6269" xr:uid="{00000000-0005-0000-0000-0000CEAC0000}"/>
    <cellStyle name="Comma 4 2 3 2 5 3 2" xfId="29548" xr:uid="{00000000-0005-0000-0000-0000CFAC0000}"/>
    <cellStyle name="Comma 4 2 3 2 5 4" xfId="8717" xr:uid="{00000000-0005-0000-0000-0000D0AC0000}"/>
    <cellStyle name="Comma 4 2 3 2 5 4 2" xfId="31996" xr:uid="{00000000-0005-0000-0000-0000D1AC0000}"/>
    <cellStyle name="Comma 4 2 3 2 5 5" xfId="11165" xr:uid="{00000000-0005-0000-0000-0000D2AC0000}"/>
    <cellStyle name="Comma 4 2 3 2 5 5 2" xfId="34444" xr:uid="{00000000-0005-0000-0000-0000D3AC0000}"/>
    <cellStyle name="Comma 4 2 3 2 5 6" xfId="13613" xr:uid="{00000000-0005-0000-0000-0000D4AC0000}"/>
    <cellStyle name="Comma 4 2 3 2 5 6 2" xfId="36892" xr:uid="{00000000-0005-0000-0000-0000D5AC0000}"/>
    <cellStyle name="Comma 4 2 3 2 5 7" xfId="17308" xr:uid="{00000000-0005-0000-0000-0000D6AC0000}"/>
    <cellStyle name="Comma 4 2 3 2 5 7 2" xfId="40586" xr:uid="{00000000-0005-0000-0000-0000D7AC0000}"/>
    <cellStyle name="Comma 4 2 3 2 5 8" xfId="24652" xr:uid="{00000000-0005-0000-0000-0000D8AC0000}"/>
    <cellStyle name="Comma 4 2 3 2 5 9" xfId="45482" xr:uid="{00000000-0005-0000-0000-0000D9AC0000}"/>
    <cellStyle name="Comma 4 2 3 2 6" xfId="2597" xr:uid="{00000000-0005-0000-0000-0000DAAC0000}"/>
    <cellStyle name="Comma 4 2 3 2 6 2" xfId="16084" xr:uid="{00000000-0005-0000-0000-0000DBAC0000}"/>
    <cellStyle name="Comma 4 2 3 2 6 2 2" xfId="39362" xr:uid="{00000000-0005-0000-0000-0000DCAC0000}"/>
    <cellStyle name="Comma 4 2 3 2 6 3" xfId="46706" xr:uid="{00000000-0005-0000-0000-0000DDAC0000}"/>
    <cellStyle name="Comma 4 2 3 2 6 4" xfId="25876" xr:uid="{00000000-0005-0000-0000-0000DEAC0000}"/>
    <cellStyle name="Comma 4 2 3 2 7" xfId="5045" xr:uid="{00000000-0005-0000-0000-0000DFAC0000}"/>
    <cellStyle name="Comma 4 2 3 2 7 2" xfId="18532" xr:uid="{00000000-0005-0000-0000-0000E0AC0000}"/>
    <cellStyle name="Comma 4 2 3 2 7 2 2" xfId="41810" xr:uid="{00000000-0005-0000-0000-0000E1AC0000}"/>
    <cellStyle name="Comma 4 2 3 2 7 3" xfId="28324" xr:uid="{00000000-0005-0000-0000-0000E2AC0000}"/>
    <cellStyle name="Comma 4 2 3 2 8" xfId="7493" xr:uid="{00000000-0005-0000-0000-0000E3AC0000}"/>
    <cellStyle name="Comma 4 2 3 2 8 2" xfId="30772" xr:uid="{00000000-0005-0000-0000-0000E4AC0000}"/>
    <cellStyle name="Comma 4 2 3 2 9" xfId="9941" xr:uid="{00000000-0005-0000-0000-0000E5AC0000}"/>
    <cellStyle name="Comma 4 2 3 2 9 2" xfId="33220" xr:uid="{00000000-0005-0000-0000-0000E6AC0000}"/>
    <cellStyle name="Comma 4 2 3 3" xfId="217" xr:uid="{00000000-0005-0000-0000-0000E7AC0000}"/>
    <cellStyle name="Comma 4 2 3 3 10" xfId="12457" xr:uid="{00000000-0005-0000-0000-0000E8AC0000}"/>
    <cellStyle name="Comma 4 2 3 3 10 2" xfId="35736" xr:uid="{00000000-0005-0000-0000-0000E9AC0000}"/>
    <cellStyle name="Comma 4 2 3 3 11" xfId="14928" xr:uid="{00000000-0005-0000-0000-0000EAAC0000}"/>
    <cellStyle name="Comma 4 2 3 3 11 2" xfId="38206" xr:uid="{00000000-0005-0000-0000-0000EBAC0000}"/>
    <cellStyle name="Comma 4 2 3 3 12" xfId="23496" xr:uid="{00000000-0005-0000-0000-0000ECAC0000}"/>
    <cellStyle name="Comma 4 2 3 3 13" xfId="44326" xr:uid="{00000000-0005-0000-0000-0000EDAC0000}"/>
    <cellStyle name="Comma 4 2 3 3 14" xfId="21048" xr:uid="{00000000-0005-0000-0000-0000EEAC0000}"/>
    <cellStyle name="Comma 4 2 3 3 2" xfId="421" xr:uid="{00000000-0005-0000-0000-0000EFAC0000}"/>
    <cellStyle name="Comma 4 2 3 3 2 10" xfId="23700" xr:uid="{00000000-0005-0000-0000-0000F0AC0000}"/>
    <cellStyle name="Comma 4 2 3 3 2 11" xfId="44530" xr:uid="{00000000-0005-0000-0000-0000F1AC0000}"/>
    <cellStyle name="Comma 4 2 3 3 2 12" xfId="21252" xr:uid="{00000000-0005-0000-0000-0000F2AC0000}"/>
    <cellStyle name="Comma 4 2 3 3 2 2" xfId="1033" xr:uid="{00000000-0005-0000-0000-0000F3AC0000}"/>
    <cellStyle name="Comma 4 2 3 3 2 2 10" xfId="45142" xr:uid="{00000000-0005-0000-0000-0000F4AC0000}"/>
    <cellStyle name="Comma 4 2 3 3 2 2 11" xfId="21864" xr:uid="{00000000-0005-0000-0000-0000F5AC0000}"/>
    <cellStyle name="Comma 4 2 3 3 2 2 2" xfId="2257" xr:uid="{00000000-0005-0000-0000-0000F6AC0000}"/>
    <cellStyle name="Comma 4 2 3 3 2 2 2 10" xfId="23088" xr:uid="{00000000-0005-0000-0000-0000F7AC0000}"/>
    <cellStyle name="Comma 4 2 3 3 2 2 2 2" xfId="4705" xr:uid="{00000000-0005-0000-0000-0000F8AC0000}"/>
    <cellStyle name="Comma 4 2 3 3 2 2 2 2 2" xfId="20640" xr:uid="{00000000-0005-0000-0000-0000F9AC0000}"/>
    <cellStyle name="Comma 4 2 3 3 2 2 2 2 2 2" xfId="43918" xr:uid="{00000000-0005-0000-0000-0000FAAC0000}"/>
    <cellStyle name="Comma 4 2 3 3 2 2 2 2 3" xfId="48814" xr:uid="{00000000-0005-0000-0000-0000FBAC0000}"/>
    <cellStyle name="Comma 4 2 3 3 2 2 2 2 4" xfId="27984" xr:uid="{00000000-0005-0000-0000-0000FCAC0000}"/>
    <cellStyle name="Comma 4 2 3 3 2 2 2 3" xfId="7153" xr:uid="{00000000-0005-0000-0000-0000FDAC0000}"/>
    <cellStyle name="Comma 4 2 3 3 2 2 2 3 2" xfId="30432" xr:uid="{00000000-0005-0000-0000-0000FEAC0000}"/>
    <cellStyle name="Comma 4 2 3 3 2 2 2 4" xfId="9601" xr:uid="{00000000-0005-0000-0000-0000FFAC0000}"/>
    <cellStyle name="Comma 4 2 3 3 2 2 2 4 2" xfId="32880" xr:uid="{00000000-0005-0000-0000-000000AD0000}"/>
    <cellStyle name="Comma 4 2 3 3 2 2 2 5" xfId="12049" xr:uid="{00000000-0005-0000-0000-000001AD0000}"/>
    <cellStyle name="Comma 4 2 3 3 2 2 2 5 2" xfId="35328" xr:uid="{00000000-0005-0000-0000-000002AD0000}"/>
    <cellStyle name="Comma 4 2 3 3 2 2 2 6" xfId="14497" xr:uid="{00000000-0005-0000-0000-000003AD0000}"/>
    <cellStyle name="Comma 4 2 3 3 2 2 2 6 2" xfId="37776" xr:uid="{00000000-0005-0000-0000-000004AD0000}"/>
    <cellStyle name="Comma 4 2 3 3 2 2 2 7" xfId="18192" xr:uid="{00000000-0005-0000-0000-000005AD0000}"/>
    <cellStyle name="Comma 4 2 3 3 2 2 2 7 2" xfId="41470" xr:uid="{00000000-0005-0000-0000-000006AD0000}"/>
    <cellStyle name="Comma 4 2 3 3 2 2 2 8" xfId="25536" xr:uid="{00000000-0005-0000-0000-000007AD0000}"/>
    <cellStyle name="Comma 4 2 3 3 2 2 2 9" xfId="46366" xr:uid="{00000000-0005-0000-0000-000008AD0000}"/>
    <cellStyle name="Comma 4 2 3 3 2 2 3" xfId="3481" xr:uid="{00000000-0005-0000-0000-000009AD0000}"/>
    <cellStyle name="Comma 4 2 3 3 2 2 3 2" xfId="16968" xr:uid="{00000000-0005-0000-0000-00000AAD0000}"/>
    <cellStyle name="Comma 4 2 3 3 2 2 3 2 2" xfId="40246" xr:uid="{00000000-0005-0000-0000-00000BAD0000}"/>
    <cellStyle name="Comma 4 2 3 3 2 2 3 3" xfId="47590" xr:uid="{00000000-0005-0000-0000-00000CAD0000}"/>
    <cellStyle name="Comma 4 2 3 3 2 2 3 4" xfId="26760" xr:uid="{00000000-0005-0000-0000-00000DAD0000}"/>
    <cellStyle name="Comma 4 2 3 3 2 2 4" xfId="5929" xr:uid="{00000000-0005-0000-0000-00000EAD0000}"/>
    <cellStyle name="Comma 4 2 3 3 2 2 4 2" xfId="19416" xr:uid="{00000000-0005-0000-0000-00000FAD0000}"/>
    <cellStyle name="Comma 4 2 3 3 2 2 4 2 2" xfId="42694" xr:uid="{00000000-0005-0000-0000-000010AD0000}"/>
    <cellStyle name="Comma 4 2 3 3 2 2 4 3" xfId="29208" xr:uid="{00000000-0005-0000-0000-000011AD0000}"/>
    <cellStyle name="Comma 4 2 3 3 2 2 5" xfId="8377" xr:uid="{00000000-0005-0000-0000-000012AD0000}"/>
    <cellStyle name="Comma 4 2 3 3 2 2 5 2" xfId="31656" xr:uid="{00000000-0005-0000-0000-000013AD0000}"/>
    <cellStyle name="Comma 4 2 3 3 2 2 6" xfId="10825" xr:uid="{00000000-0005-0000-0000-000014AD0000}"/>
    <cellStyle name="Comma 4 2 3 3 2 2 6 2" xfId="34104" xr:uid="{00000000-0005-0000-0000-000015AD0000}"/>
    <cellStyle name="Comma 4 2 3 3 2 2 7" xfId="13273" xr:uid="{00000000-0005-0000-0000-000016AD0000}"/>
    <cellStyle name="Comma 4 2 3 3 2 2 7 2" xfId="36552" xr:uid="{00000000-0005-0000-0000-000017AD0000}"/>
    <cellStyle name="Comma 4 2 3 3 2 2 8" xfId="15744" xr:uid="{00000000-0005-0000-0000-000018AD0000}"/>
    <cellStyle name="Comma 4 2 3 3 2 2 8 2" xfId="39022" xr:uid="{00000000-0005-0000-0000-000019AD0000}"/>
    <cellStyle name="Comma 4 2 3 3 2 2 9" xfId="24312" xr:uid="{00000000-0005-0000-0000-00001AAD0000}"/>
    <cellStyle name="Comma 4 2 3 3 2 3" xfId="1645" xr:uid="{00000000-0005-0000-0000-00001BAD0000}"/>
    <cellStyle name="Comma 4 2 3 3 2 3 10" xfId="22476" xr:uid="{00000000-0005-0000-0000-00001CAD0000}"/>
    <cellStyle name="Comma 4 2 3 3 2 3 2" xfId="4093" xr:uid="{00000000-0005-0000-0000-00001DAD0000}"/>
    <cellStyle name="Comma 4 2 3 3 2 3 2 2" xfId="20028" xr:uid="{00000000-0005-0000-0000-00001EAD0000}"/>
    <cellStyle name="Comma 4 2 3 3 2 3 2 2 2" xfId="43306" xr:uid="{00000000-0005-0000-0000-00001FAD0000}"/>
    <cellStyle name="Comma 4 2 3 3 2 3 2 3" xfId="48202" xr:uid="{00000000-0005-0000-0000-000020AD0000}"/>
    <cellStyle name="Comma 4 2 3 3 2 3 2 4" xfId="27372" xr:uid="{00000000-0005-0000-0000-000021AD0000}"/>
    <cellStyle name="Comma 4 2 3 3 2 3 3" xfId="6541" xr:uid="{00000000-0005-0000-0000-000022AD0000}"/>
    <cellStyle name="Comma 4 2 3 3 2 3 3 2" xfId="29820" xr:uid="{00000000-0005-0000-0000-000023AD0000}"/>
    <cellStyle name="Comma 4 2 3 3 2 3 4" xfId="8989" xr:uid="{00000000-0005-0000-0000-000024AD0000}"/>
    <cellStyle name="Comma 4 2 3 3 2 3 4 2" xfId="32268" xr:uid="{00000000-0005-0000-0000-000025AD0000}"/>
    <cellStyle name="Comma 4 2 3 3 2 3 5" xfId="11437" xr:uid="{00000000-0005-0000-0000-000026AD0000}"/>
    <cellStyle name="Comma 4 2 3 3 2 3 5 2" xfId="34716" xr:uid="{00000000-0005-0000-0000-000027AD0000}"/>
    <cellStyle name="Comma 4 2 3 3 2 3 6" xfId="13885" xr:uid="{00000000-0005-0000-0000-000028AD0000}"/>
    <cellStyle name="Comma 4 2 3 3 2 3 6 2" xfId="37164" xr:uid="{00000000-0005-0000-0000-000029AD0000}"/>
    <cellStyle name="Comma 4 2 3 3 2 3 7" xfId="17580" xr:uid="{00000000-0005-0000-0000-00002AAD0000}"/>
    <cellStyle name="Comma 4 2 3 3 2 3 7 2" xfId="40858" xr:uid="{00000000-0005-0000-0000-00002BAD0000}"/>
    <cellStyle name="Comma 4 2 3 3 2 3 8" xfId="24924" xr:uid="{00000000-0005-0000-0000-00002CAD0000}"/>
    <cellStyle name="Comma 4 2 3 3 2 3 9" xfId="45754" xr:uid="{00000000-0005-0000-0000-00002DAD0000}"/>
    <cellStyle name="Comma 4 2 3 3 2 4" xfId="2869" xr:uid="{00000000-0005-0000-0000-00002EAD0000}"/>
    <cellStyle name="Comma 4 2 3 3 2 4 2" xfId="16356" xr:uid="{00000000-0005-0000-0000-00002FAD0000}"/>
    <cellStyle name="Comma 4 2 3 3 2 4 2 2" xfId="39634" xr:uid="{00000000-0005-0000-0000-000030AD0000}"/>
    <cellStyle name="Comma 4 2 3 3 2 4 3" xfId="46978" xr:uid="{00000000-0005-0000-0000-000031AD0000}"/>
    <cellStyle name="Comma 4 2 3 3 2 4 4" xfId="26148" xr:uid="{00000000-0005-0000-0000-000032AD0000}"/>
    <cellStyle name="Comma 4 2 3 3 2 5" xfId="5317" xr:uid="{00000000-0005-0000-0000-000033AD0000}"/>
    <cellStyle name="Comma 4 2 3 3 2 5 2" xfId="18804" xr:uid="{00000000-0005-0000-0000-000034AD0000}"/>
    <cellStyle name="Comma 4 2 3 3 2 5 2 2" xfId="42082" xr:uid="{00000000-0005-0000-0000-000035AD0000}"/>
    <cellStyle name="Comma 4 2 3 3 2 5 3" xfId="28596" xr:uid="{00000000-0005-0000-0000-000036AD0000}"/>
    <cellStyle name="Comma 4 2 3 3 2 6" xfId="7765" xr:uid="{00000000-0005-0000-0000-000037AD0000}"/>
    <cellStyle name="Comma 4 2 3 3 2 6 2" xfId="31044" xr:uid="{00000000-0005-0000-0000-000038AD0000}"/>
    <cellStyle name="Comma 4 2 3 3 2 7" xfId="10213" xr:uid="{00000000-0005-0000-0000-000039AD0000}"/>
    <cellStyle name="Comma 4 2 3 3 2 7 2" xfId="33492" xr:uid="{00000000-0005-0000-0000-00003AAD0000}"/>
    <cellStyle name="Comma 4 2 3 3 2 8" xfId="12661" xr:uid="{00000000-0005-0000-0000-00003BAD0000}"/>
    <cellStyle name="Comma 4 2 3 3 2 8 2" xfId="35940" xr:uid="{00000000-0005-0000-0000-00003CAD0000}"/>
    <cellStyle name="Comma 4 2 3 3 2 9" xfId="15132" xr:uid="{00000000-0005-0000-0000-00003DAD0000}"/>
    <cellStyle name="Comma 4 2 3 3 2 9 2" xfId="38410" xr:uid="{00000000-0005-0000-0000-00003EAD0000}"/>
    <cellStyle name="Comma 4 2 3 3 3" xfId="625" xr:uid="{00000000-0005-0000-0000-00003FAD0000}"/>
    <cellStyle name="Comma 4 2 3 3 3 10" xfId="23904" xr:uid="{00000000-0005-0000-0000-000040AD0000}"/>
    <cellStyle name="Comma 4 2 3 3 3 11" xfId="44734" xr:uid="{00000000-0005-0000-0000-000041AD0000}"/>
    <cellStyle name="Comma 4 2 3 3 3 12" xfId="21456" xr:uid="{00000000-0005-0000-0000-000042AD0000}"/>
    <cellStyle name="Comma 4 2 3 3 3 2" xfId="1237" xr:uid="{00000000-0005-0000-0000-000043AD0000}"/>
    <cellStyle name="Comma 4 2 3 3 3 2 10" xfId="45346" xr:uid="{00000000-0005-0000-0000-000044AD0000}"/>
    <cellStyle name="Comma 4 2 3 3 3 2 11" xfId="22068" xr:uid="{00000000-0005-0000-0000-000045AD0000}"/>
    <cellStyle name="Comma 4 2 3 3 3 2 2" xfId="2461" xr:uid="{00000000-0005-0000-0000-000046AD0000}"/>
    <cellStyle name="Comma 4 2 3 3 3 2 2 10" xfId="23292" xr:uid="{00000000-0005-0000-0000-000047AD0000}"/>
    <cellStyle name="Comma 4 2 3 3 3 2 2 2" xfId="4909" xr:uid="{00000000-0005-0000-0000-000048AD0000}"/>
    <cellStyle name="Comma 4 2 3 3 3 2 2 2 2" xfId="20844" xr:uid="{00000000-0005-0000-0000-000049AD0000}"/>
    <cellStyle name="Comma 4 2 3 3 3 2 2 2 2 2" xfId="44122" xr:uid="{00000000-0005-0000-0000-00004AAD0000}"/>
    <cellStyle name="Comma 4 2 3 3 3 2 2 2 3" xfId="49018" xr:uid="{00000000-0005-0000-0000-00004BAD0000}"/>
    <cellStyle name="Comma 4 2 3 3 3 2 2 2 4" xfId="28188" xr:uid="{00000000-0005-0000-0000-00004CAD0000}"/>
    <cellStyle name="Comma 4 2 3 3 3 2 2 3" xfId="7357" xr:uid="{00000000-0005-0000-0000-00004DAD0000}"/>
    <cellStyle name="Comma 4 2 3 3 3 2 2 3 2" xfId="30636" xr:uid="{00000000-0005-0000-0000-00004EAD0000}"/>
    <cellStyle name="Comma 4 2 3 3 3 2 2 4" xfId="9805" xr:uid="{00000000-0005-0000-0000-00004FAD0000}"/>
    <cellStyle name="Comma 4 2 3 3 3 2 2 4 2" xfId="33084" xr:uid="{00000000-0005-0000-0000-000050AD0000}"/>
    <cellStyle name="Comma 4 2 3 3 3 2 2 5" xfId="12253" xr:uid="{00000000-0005-0000-0000-000051AD0000}"/>
    <cellStyle name="Comma 4 2 3 3 3 2 2 5 2" xfId="35532" xr:uid="{00000000-0005-0000-0000-000052AD0000}"/>
    <cellStyle name="Comma 4 2 3 3 3 2 2 6" xfId="14701" xr:uid="{00000000-0005-0000-0000-000053AD0000}"/>
    <cellStyle name="Comma 4 2 3 3 3 2 2 6 2" xfId="37980" xr:uid="{00000000-0005-0000-0000-000054AD0000}"/>
    <cellStyle name="Comma 4 2 3 3 3 2 2 7" xfId="18396" xr:uid="{00000000-0005-0000-0000-000055AD0000}"/>
    <cellStyle name="Comma 4 2 3 3 3 2 2 7 2" xfId="41674" xr:uid="{00000000-0005-0000-0000-000056AD0000}"/>
    <cellStyle name="Comma 4 2 3 3 3 2 2 8" xfId="25740" xr:uid="{00000000-0005-0000-0000-000057AD0000}"/>
    <cellStyle name="Comma 4 2 3 3 3 2 2 9" xfId="46570" xr:uid="{00000000-0005-0000-0000-000058AD0000}"/>
    <cellStyle name="Comma 4 2 3 3 3 2 3" xfId="3685" xr:uid="{00000000-0005-0000-0000-000059AD0000}"/>
    <cellStyle name="Comma 4 2 3 3 3 2 3 2" xfId="17172" xr:uid="{00000000-0005-0000-0000-00005AAD0000}"/>
    <cellStyle name="Comma 4 2 3 3 3 2 3 2 2" xfId="40450" xr:uid="{00000000-0005-0000-0000-00005BAD0000}"/>
    <cellStyle name="Comma 4 2 3 3 3 2 3 3" xfId="47794" xr:uid="{00000000-0005-0000-0000-00005CAD0000}"/>
    <cellStyle name="Comma 4 2 3 3 3 2 3 4" xfId="26964" xr:uid="{00000000-0005-0000-0000-00005DAD0000}"/>
    <cellStyle name="Comma 4 2 3 3 3 2 4" xfId="6133" xr:uid="{00000000-0005-0000-0000-00005EAD0000}"/>
    <cellStyle name="Comma 4 2 3 3 3 2 4 2" xfId="19620" xr:uid="{00000000-0005-0000-0000-00005FAD0000}"/>
    <cellStyle name="Comma 4 2 3 3 3 2 4 2 2" xfId="42898" xr:uid="{00000000-0005-0000-0000-000060AD0000}"/>
    <cellStyle name="Comma 4 2 3 3 3 2 4 3" xfId="29412" xr:uid="{00000000-0005-0000-0000-000061AD0000}"/>
    <cellStyle name="Comma 4 2 3 3 3 2 5" xfId="8581" xr:uid="{00000000-0005-0000-0000-000062AD0000}"/>
    <cellStyle name="Comma 4 2 3 3 3 2 5 2" xfId="31860" xr:uid="{00000000-0005-0000-0000-000063AD0000}"/>
    <cellStyle name="Comma 4 2 3 3 3 2 6" xfId="11029" xr:uid="{00000000-0005-0000-0000-000064AD0000}"/>
    <cellStyle name="Comma 4 2 3 3 3 2 6 2" xfId="34308" xr:uid="{00000000-0005-0000-0000-000065AD0000}"/>
    <cellStyle name="Comma 4 2 3 3 3 2 7" xfId="13477" xr:uid="{00000000-0005-0000-0000-000066AD0000}"/>
    <cellStyle name="Comma 4 2 3 3 3 2 7 2" xfId="36756" xr:uid="{00000000-0005-0000-0000-000067AD0000}"/>
    <cellStyle name="Comma 4 2 3 3 3 2 8" xfId="15948" xr:uid="{00000000-0005-0000-0000-000068AD0000}"/>
    <cellStyle name="Comma 4 2 3 3 3 2 8 2" xfId="39226" xr:uid="{00000000-0005-0000-0000-000069AD0000}"/>
    <cellStyle name="Comma 4 2 3 3 3 2 9" xfId="24516" xr:uid="{00000000-0005-0000-0000-00006AAD0000}"/>
    <cellStyle name="Comma 4 2 3 3 3 3" xfId="1849" xr:uid="{00000000-0005-0000-0000-00006BAD0000}"/>
    <cellStyle name="Comma 4 2 3 3 3 3 10" xfId="22680" xr:uid="{00000000-0005-0000-0000-00006CAD0000}"/>
    <cellStyle name="Comma 4 2 3 3 3 3 2" xfId="4297" xr:uid="{00000000-0005-0000-0000-00006DAD0000}"/>
    <cellStyle name="Comma 4 2 3 3 3 3 2 2" xfId="20232" xr:uid="{00000000-0005-0000-0000-00006EAD0000}"/>
    <cellStyle name="Comma 4 2 3 3 3 3 2 2 2" xfId="43510" xr:uid="{00000000-0005-0000-0000-00006FAD0000}"/>
    <cellStyle name="Comma 4 2 3 3 3 3 2 3" xfId="48406" xr:uid="{00000000-0005-0000-0000-000070AD0000}"/>
    <cellStyle name="Comma 4 2 3 3 3 3 2 4" xfId="27576" xr:uid="{00000000-0005-0000-0000-000071AD0000}"/>
    <cellStyle name="Comma 4 2 3 3 3 3 3" xfId="6745" xr:uid="{00000000-0005-0000-0000-000072AD0000}"/>
    <cellStyle name="Comma 4 2 3 3 3 3 3 2" xfId="30024" xr:uid="{00000000-0005-0000-0000-000073AD0000}"/>
    <cellStyle name="Comma 4 2 3 3 3 3 4" xfId="9193" xr:uid="{00000000-0005-0000-0000-000074AD0000}"/>
    <cellStyle name="Comma 4 2 3 3 3 3 4 2" xfId="32472" xr:uid="{00000000-0005-0000-0000-000075AD0000}"/>
    <cellStyle name="Comma 4 2 3 3 3 3 5" xfId="11641" xr:uid="{00000000-0005-0000-0000-000076AD0000}"/>
    <cellStyle name="Comma 4 2 3 3 3 3 5 2" xfId="34920" xr:uid="{00000000-0005-0000-0000-000077AD0000}"/>
    <cellStyle name="Comma 4 2 3 3 3 3 6" xfId="14089" xr:uid="{00000000-0005-0000-0000-000078AD0000}"/>
    <cellStyle name="Comma 4 2 3 3 3 3 6 2" xfId="37368" xr:uid="{00000000-0005-0000-0000-000079AD0000}"/>
    <cellStyle name="Comma 4 2 3 3 3 3 7" xfId="17784" xr:uid="{00000000-0005-0000-0000-00007AAD0000}"/>
    <cellStyle name="Comma 4 2 3 3 3 3 7 2" xfId="41062" xr:uid="{00000000-0005-0000-0000-00007BAD0000}"/>
    <cellStyle name="Comma 4 2 3 3 3 3 8" xfId="25128" xr:uid="{00000000-0005-0000-0000-00007CAD0000}"/>
    <cellStyle name="Comma 4 2 3 3 3 3 9" xfId="45958" xr:uid="{00000000-0005-0000-0000-00007DAD0000}"/>
    <cellStyle name="Comma 4 2 3 3 3 4" xfId="3073" xr:uid="{00000000-0005-0000-0000-00007EAD0000}"/>
    <cellStyle name="Comma 4 2 3 3 3 4 2" xfId="16560" xr:uid="{00000000-0005-0000-0000-00007FAD0000}"/>
    <cellStyle name="Comma 4 2 3 3 3 4 2 2" xfId="39838" xr:uid="{00000000-0005-0000-0000-000080AD0000}"/>
    <cellStyle name="Comma 4 2 3 3 3 4 3" xfId="47182" xr:uid="{00000000-0005-0000-0000-000081AD0000}"/>
    <cellStyle name="Comma 4 2 3 3 3 4 4" xfId="26352" xr:uid="{00000000-0005-0000-0000-000082AD0000}"/>
    <cellStyle name="Comma 4 2 3 3 3 5" xfId="5521" xr:uid="{00000000-0005-0000-0000-000083AD0000}"/>
    <cellStyle name="Comma 4 2 3 3 3 5 2" xfId="19008" xr:uid="{00000000-0005-0000-0000-000084AD0000}"/>
    <cellStyle name="Comma 4 2 3 3 3 5 2 2" xfId="42286" xr:uid="{00000000-0005-0000-0000-000085AD0000}"/>
    <cellStyle name="Comma 4 2 3 3 3 5 3" xfId="28800" xr:uid="{00000000-0005-0000-0000-000086AD0000}"/>
    <cellStyle name="Comma 4 2 3 3 3 6" xfId="7969" xr:uid="{00000000-0005-0000-0000-000087AD0000}"/>
    <cellStyle name="Comma 4 2 3 3 3 6 2" xfId="31248" xr:uid="{00000000-0005-0000-0000-000088AD0000}"/>
    <cellStyle name="Comma 4 2 3 3 3 7" xfId="10417" xr:uid="{00000000-0005-0000-0000-000089AD0000}"/>
    <cellStyle name="Comma 4 2 3 3 3 7 2" xfId="33696" xr:uid="{00000000-0005-0000-0000-00008AAD0000}"/>
    <cellStyle name="Comma 4 2 3 3 3 8" xfId="12865" xr:uid="{00000000-0005-0000-0000-00008BAD0000}"/>
    <cellStyle name="Comma 4 2 3 3 3 8 2" xfId="36144" xr:uid="{00000000-0005-0000-0000-00008CAD0000}"/>
    <cellStyle name="Comma 4 2 3 3 3 9" xfId="15336" xr:uid="{00000000-0005-0000-0000-00008DAD0000}"/>
    <cellStyle name="Comma 4 2 3 3 3 9 2" xfId="38614" xr:uid="{00000000-0005-0000-0000-00008EAD0000}"/>
    <cellStyle name="Comma 4 2 3 3 4" xfId="829" xr:uid="{00000000-0005-0000-0000-00008FAD0000}"/>
    <cellStyle name="Comma 4 2 3 3 4 10" xfId="44938" xr:uid="{00000000-0005-0000-0000-000090AD0000}"/>
    <cellStyle name="Comma 4 2 3 3 4 11" xfId="21660" xr:uid="{00000000-0005-0000-0000-000091AD0000}"/>
    <cellStyle name="Comma 4 2 3 3 4 2" xfId="2053" xr:uid="{00000000-0005-0000-0000-000092AD0000}"/>
    <cellStyle name="Comma 4 2 3 3 4 2 10" xfId="22884" xr:uid="{00000000-0005-0000-0000-000093AD0000}"/>
    <cellStyle name="Comma 4 2 3 3 4 2 2" xfId="4501" xr:uid="{00000000-0005-0000-0000-000094AD0000}"/>
    <cellStyle name="Comma 4 2 3 3 4 2 2 2" xfId="20436" xr:uid="{00000000-0005-0000-0000-000095AD0000}"/>
    <cellStyle name="Comma 4 2 3 3 4 2 2 2 2" xfId="43714" xr:uid="{00000000-0005-0000-0000-000096AD0000}"/>
    <cellStyle name="Comma 4 2 3 3 4 2 2 3" xfId="48610" xr:uid="{00000000-0005-0000-0000-000097AD0000}"/>
    <cellStyle name="Comma 4 2 3 3 4 2 2 4" xfId="27780" xr:uid="{00000000-0005-0000-0000-000098AD0000}"/>
    <cellStyle name="Comma 4 2 3 3 4 2 3" xfId="6949" xr:uid="{00000000-0005-0000-0000-000099AD0000}"/>
    <cellStyle name="Comma 4 2 3 3 4 2 3 2" xfId="30228" xr:uid="{00000000-0005-0000-0000-00009AAD0000}"/>
    <cellStyle name="Comma 4 2 3 3 4 2 4" xfId="9397" xr:uid="{00000000-0005-0000-0000-00009BAD0000}"/>
    <cellStyle name="Comma 4 2 3 3 4 2 4 2" xfId="32676" xr:uid="{00000000-0005-0000-0000-00009CAD0000}"/>
    <cellStyle name="Comma 4 2 3 3 4 2 5" xfId="11845" xr:uid="{00000000-0005-0000-0000-00009DAD0000}"/>
    <cellStyle name="Comma 4 2 3 3 4 2 5 2" xfId="35124" xr:uid="{00000000-0005-0000-0000-00009EAD0000}"/>
    <cellStyle name="Comma 4 2 3 3 4 2 6" xfId="14293" xr:uid="{00000000-0005-0000-0000-00009FAD0000}"/>
    <cellStyle name="Comma 4 2 3 3 4 2 6 2" xfId="37572" xr:uid="{00000000-0005-0000-0000-0000A0AD0000}"/>
    <cellStyle name="Comma 4 2 3 3 4 2 7" xfId="17988" xr:uid="{00000000-0005-0000-0000-0000A1AD0000}"/>
    <cellStyle name="Comma 4 2 3 3 4 2 7 2" xfId="41266" xr:uid="{00000000-0005-0000-0000-0000A2AD0000}"/>
    <cellStyle name="Comma 4 2 3 3 4 2 8" xfId="25332" xr:uid="{00000000-0005-0000-0000-0000A3AD0000}"/>
    <cellStyle name="Comma 4 2 3 3 4 2 9" xfId="46162" xr:uid="{00000000-0005-0000-0000-0000A4AD0000}"/>
    <cellStyle name="Comma 4 2 3 3 4 3" xfId="3277" xr:uid="{00000000-0005-0000-0000-0000A5AD0000}"/>
    <cellStyle name="Comma 4 2 3 3 4 3 2" xfId="16764" xr:uid="{00000000-0005-0000-0000-0000A6AD0000}"/>
    <cellStyle name="Comma 4 2 3 3 4 3 2 2" xfId="40042" xr:uid="{00000000-0005-0000-0000-0000A7AD0000}"/>
    <cellStyle name="Comma 4 2 3 3 4 3 3" xfId="47386" xr:uid="{00000000-0005-0000-0000-0000A8AD0000}"/>
    <cellStyle name="Comma 4 2 3 3 4 3 4" xfId="26556" xr:uid="{00000000-0005-0000-0000-0000A9AD0000}"/>
    <cellStyle name="Comma 4 2 3 3 4 4" xfId="5725" xr:uid="{00000000-0005-0000-0000-0000AAAD0000}"/>
    <cellStyle name="Comma 4 2 3 3 4 4 2" xfId="19212" xr:uid="{00000000-0005-0000-0000-0000ABAD0000}"/>
    <cellStyle name="Comma 4 2 3 3 4 4 2 2" xfId="42490" xr:uid="{00000000-0005-0000-0000-0000ACAD0000}"/>
    <cellStyle name="Comma 4 2 3 3 4 4 3" xfId="29004" xr:uid="{00000000-0005-0000-0000-0000ADAD0000}"/>
    <cellStyle name="Comma 4 2 3 3 4 5" xfId="8173" xr:uid="{00000000-0005-0000-0000-0000AEAD0000}"/>
    <cellStyle name="Comma 4 2 3 3 4 5 2" xfId="31452" xr:uid="{00000000-0005-0000-0000-0000AFAD0000}"/>
    <cellStyle name="Comma 4 2 3 3 4 6" xfId="10621" xr:uid="{00000000-0005-0000-0000-0000B0AD0000}"/>
    <cellStyle name="Comma 4 2 3 3 4 6 2" xfId="33900" xr:uid="{00000000-0005-0000-0000-0000B1AD0000}"/>
    <cellStyle name="Comma 4 2 3 3 4 7" xfId="13069" xr:uid="{00000000-0005-0000-0000-0000B2AD0000}"/>
    <cellStyle name="Comma 4 2 3 3 4 7 2" xfId="36348" xr:uid="{00000000-0005-0000-0000-0000B3AD0000}"/>
    <cellStyle name="Comma 4 2 3 3 4 8" xfId="15540" xr:uid="{00000000-0005-0000-0000-0000B4AD0000}"/>
    <cellStyle name="Comma 4 2 3 3 4 8 2" xfId="38818" xr:uid="{00000000-0005-0000-0000-0000B5AD0000}"/>
    <cellStyle name="Comma 4 2 3 3 4 9" xfId="24108" xr:uid="{00000000-0005-0000-0000-0000B6AD0000}"/>
    <cellStyle name="Comma 4 2 3 3 5" xfId="1441" xr:uid="{00000000-0005-0000-0000-0000B7AD0000}"/>
    <cellStyle name="Comma 4 2 3 3 5 10" xfId="22272" xr:uid="{00000000-0005-0000-0000-0000B8AD0000}"/>
    <cellStyle name="Comma 4 2 3 3 5 2" xfId="3889" xr:uid="{00000000-0005-0000-0000-0000B9AD0000}"/>
    <cellStyle name="Comma 4 2 3 3 5 2 2" xfId="19824" xr:uid="{00000000-0005-0000-0000-0000BAAD0000}"/>
    <cellStyle name="Comma 4 2 3 3 5 2 2 2" xfId="43102" xr:uid="{00000000-0005-0000-0000-0000BBAD0000}"/>
    <cellStyle name="Comma 4 2 3 3 5 2 3" xfId="47998" xr:uid="{00000000-0005-0000-0000-0000BCAD0000}"/>
    <cellStyle name="Comma 4 2 3 3 5 2 4" xfId="27168" xr:uid="{00000000-0005-0000-0000-0000BDAD0000}"/>
    <cellStyle name="Comma 4 2 3 3 5 3" xfId="6337" xr:uid="{00000000-0005-0000-0000-0000BEAD0000}"/>
    <cellStyle name="Comma 4 2 3 3 5 3 2" xfId="29616" xr:uid="{00000000-0005-0000-0000-0000BFAD0000}"/>
    <cellStyle name="Comma 4 2 3 3 5 4" xfId="8785" xr:uid="{00000000-0005-0000-0000-0000C0AD0000}"/>
    <cellStyle name="Comma 4 2 3 3 5 4 2" xfId="32064" xr:uid="{00000000-0005-0000-0000-0000C1AD0000}"/>
    <cellStyle name="Comma 4 2 3 3 5 5" xfId="11233" xr:uid="{00000000-0005-0000-0000-0000C2AD0000}"/>
    <cellStyle name="Comma 4 2 3 3 5 5 2" xfId="34512" xr:uid="{00000000-0005-0000-0000-0000C3AD0000}"/>
    <cellStyle name="Comma 4 2 3 3 5 6" xfId="13681" xr:uid="{00000000-0005-0000-0000-0000C4AD0000}"/>
    <cellStyle name="Comma 4 2 3 3 5 6 2" xfId="36960" xr:uid="{00000000-0005-0000-0000-0000C5AD0000}"/>
    <cellStyle name="Comma 4 2 3 3 5 7" xfId="17376" xr:uid="{00000000-0005-0000-0000-0000C6AD0000}"/>
    <cellStyle name="Comma 4 2 3 3 5 7 2" xfId="40654" xr:uid="{00000000-0005-0000-0000-0000C7AD0000}"/>
    <cellStyle name="Comma 4 2 3 3 5 8" xfId="24720" xr:uid="{00000000-0005-0000-0000-0000C8AD0000}"/>
    <cellStyle name="Comma 4 2 3 3 5 9" xfId="45550" xr:uid="{00000000-0005-0000-0000-0000C9AD0000}"/>
    <cellStyle name="Comma 4 2 3 3 6" xfId="2665" xr:uid="{00000000-0005-0000-0000-0000CAAD0000}"/>
    <cellStyle name="Comma 4 2 3 3 6 2" xfId="16152" xr:uid="{00000000-0005-0000-0000-0000CBAD0000}"/>
    <cellStyle name="Comma 4 2 3 3 6 2 2" xfId="39430" xr:uid="{00000000-0005-0000-0000-0000CCAD0000}"/>
    <cellStyle name="Comma 4 2 3 3 6 3" xfId="46774" xr:uid="{00000000-0005-0000-0000-0000CDAD0000}"/>
    <cellStyle name="Comma 4 2 3 3 6 4" xfId="25944" xr:uid="{00000000-0005-0000-0000-0000CEAD0000}"/>
    <cellStyle name="Comma 4 2 3 3 7" xfId="5113" xr:uid="{00000000-0005-0000-0000-0000CFAD0000}"/>
    <cellStyle name="Comma 4 2 3 3 7 2" xfId="18600" xr:uid="{00000000-0005-0000-0000-0000D0AD0000}"/>
    <cellStyle name="Comma 4 2 3 3 7 2 2" xfId="41878" xr:uid="{00000000-0005-0000-0000-0000D1AD0000}"/>
    <cellStyle name="Comma 4 2 3 3 7 3" xfId="28392" xr:uid="{00000000-0005-0000-0000-0000D2AD0000}"/>
    <cellStyle name="Comma 4 2 3 3 8" xfId="7561" xr:uid="{00000000-0005-0000-0000-0000D3AD0000}"/>
    <cellStyle name="Comma 4 2 3 3 8 2" xfId="30840" xr:uid="{00000000-0005-0000-0000-0000D4AD0000}"/>
    <cellStyle name="Comma 4 2 3 3 9" xfId="10009" xr:uid="{00000000-0005-0000-0000-0000D5AD0000}"/>
    <cellStyle name="Comma 4 2 3 3 9 2" xfId="33288" xr:uid="{00000000-0005-0000-0000-0000D6AD0000}"/>
    <cellStyle name="Comma 4 2 3 4" xfId="285" xr:uid="{00000000-0005-0000-0000-0000D7AD0000}"/>
    <cellStyle name="Comma 4 2 3 4 10" xfId="23564" xr:uid="{00000000-0005-0000-0000-0000D8AD0000}"/>
    <cellStyle name="Comma 4 2 3 4 11" xfId="44394" xr:uid="{00000000-0005-0000-0000-0000D9AD0000}"/>
    <cellStyle name="Comma 4 2 3 4 12" xfId="21116" xr:uid="{00000000-0005-0000-0000-0000DAAD0000}"/>
    <cellStyle name="Comma 4 2 3 4 2" xfId="897" xr:uid="{00000000-0005-0000-0000-0000DBAD0000}"/>
    <cellStyle name="Comma 4 2 3 4 2 10" xfId="45006" xr:uid="{00000000-0005-0000-0000-0000DCAD0000}"/>
    <cellStyle name="Comma 4 2 3 4 2 11" xfId="21728" xr:uid="{00000000-0005-0000-0000-0000DDAD0000}"/>
    <cellStyle name="Comma 4 2 3 4 2 2" xfId="2121" xr:uid="{00000000-0005-0000-0000-0000DEAD0000}"/>
    <cellStyle name="Comma 4 2 3 4 2 2 10" xfId="22952" xr:uid="{00000000-0005-0000-0000-0000DFAD0000}"/>
    <cellStyle name="Comma 4 2 3 4 2 2 2" xfId="4569" xr:uid="{00000000-0005-0000-0000-0000E0AD0000}"/>
    <cellStyle name="Comma 4 2 3 4 2 2 2 2" xfId="20504" xr:uid="{00000000-0005-0000-0000-0000E1AD0000}"/>
    <cellStyle name="Comma 4 2 3 4 2 2 2 2 2" xfId="43782" xr:uid="{00000000-0005-0000-0000-0000E2AD0000}"/>
    <cellStyle name="Comma 4 2 3 4 2 2 2 3" xfId="48678" xr:uid="{00000000-0005-0000-0000-0000E3AD0000}"/>
    <cellStyle name="Comma 4 2 3 4 2 2 2 4" xfId="27848" xr:uid="{00000000-0005-0000-0000-0000E4AD0000}"/>
    <cellStyle name="Comma 4 2 3 4 2 2 3" xfId="7017" xr:uid="{00000000-0005-0000-0000-0000E5AD0000}"/>
    <cellStyle name="Comma 4 2 3 4 2 2 3 2" xfId="30296" xr:uid="{00000000-0005-0000-0000-0000E6AD0000}"/>
    <cellStyle name="Comma 4 2 3 4 2 2 4" xfId="9465" xr:uid="{00000000-0005-0000-0000-0000E7AD0000}"/>
    <cellStyle name="Comma 4 2 3 4 2 2 4 2" xfId="32744" xr:uid="{00000000-0005-0000-0000-0000E8AD0000}"/>
    <cellStyle name="Comma 4 2 3 4 2 2 5" xfId="11913" xr:uid="{00000000-0005-0000-0000-0000E9AD0000}"/>
    <cellStyle name="Comma 4 2 3 4 2 2 5 2" xfId="35192" xr:uid="{00000000-0005-0000-0000-0000EAAD0000}"/>
    <cellStyle name="Comma 4 2 3 4 2 2 6" xfId="14361" xr:uid="{00000000-0005-0000-0000-0000EBAD0000}"/>
    <cellStyle name="Comma 4 2 3 4 2 2 6 2" xfId="37640" xr:uid="{00000000-0005-0000-0000-0000ECAD0000}"/>
    <cellStyle name="Comma 4 2 3 4 2 2 7" xfId="18056" xr:uid="{00000000-0005-0000-0000-0000EDAD0000}"/>
    <cellStyle name="Comma 4 2 3 4 2 2 7 2" xfId="41334" xr:uid="{00000000-0005-0000-0000-0000EEAD0000}"/>
    <cellStyle name="Comma 4 2 3 4 2 2 8" xfId="25400" xr:uid="{00000000-0005-0000-0000-0000EFAD0000}"/>
    <cellStyle name="Comma 4 2 3 4 2 2 9" xfId="46230" xr:uid="{00000000-0005-0000-0000-0000F0AD0000}"/>
    <cellStyle name="Comma 4 2 3 4 2 3" xfId="3345" xr:uid="{00000000-0005-0000-0000-0000F1AD0000}"/>
    <cellStyle name="Comma 4 2 3 4 2 3 2" xfId="16832" xr:uid="{00000000-0005-0000-0000-0000F2AD0000}"/>
    <cellStyle name="Comma 4 2 3 4 2 3 2 2" xfId="40110" xr:uid="{00000000-0005-0000-0000-0000F3AD0000}"/>
    <cellStyle name="Comma 4 2 3 4 2 3 3" xfId="47454" xr:uid="{00000000-0005-0000-0000-0000F4AD0000}"/>
    <cellStyle name="Comma 4 2 3 4 2 3 4" xfId="26624" xr:uid="{00000000-0005-0000-0000-0000F5AD0000}"/>
    <cellStyle name="Comma 4 2 3 4 2 4" xfId="5793" xr:uid="{00000000-0005-0000-0000-0000F6AD0000}"/>
    <cellStyle name="Comma 4 2 3 4 2 4 2" xfId="19280" xr:uid="{00000000-0005-0000-0000-0000F7AD0000}"/>
    <cellStyle name="Comma 4 2 3 4 2 4 2 2" xfId="42558" xr:uid="{00000000-0005-0000-0000-0000F8AD0000}"/>
    <cellStyle name="Comma 4 2 3 4 2 4 3" xfId="29072" xr:uid="{00000000-0005-0000-0000-0000F9AD0000}"/>
    <cellStyle name="Comma 4 2 3 4 2 5" xfId="8241" xr:uid="{00000000-0005-0000-0000-0000FAAD0000}"/>
    <cellStyle name="Comma 4 2 3 4 2 5 2" xfId="31520" xr:uid="{00000000-0005-0000-0000-0000FBAD0000}"/>
    <cellStyle name="Comma 4 2 3 4 2 6" xfId="10689" xr:uid="{00000000-0005-0000-0000-0000FCAD0000}"/>
    <cellStyle name="Comma 4 2 3 4 2 6 2" xfId="33968" xr:uid="{00000000-0005-0000-0000-0000FDAD0000}"/>
    <cellStyle name="Comma 4 2 3 4 2 7" xfId="13137" xr:uid="{00000000-0005-0000-0000-0000FEAD0000}"/>
    <cellStyle name="Comma 4 2 3 4 2 7 2" xfId="36416" xr:uid="{00000000-0005-0000-0000-0000FFAD0000}"/>
    <cellStyle name="Comma 4 2 3 4 2 8" xfId="15608" xr:uid="{00000000-0005-0000-0000-000000AE0000}"/>
    <cellStyle name="Comma 4 2 3 4 2 8 2" xfId="38886" xr:uid="{00000000-0005-0000-0000-000001AE0000}"/>
    <cellStyle name="Comma 4 2 3 4 2 9" xfId="24176" xr:uid="{00000000-0005-0000-0000-000002AE0000}"/>
    <cellStyle name="Comma 4 2 3 4 3" xfId="1509" xr:uid="{00000000-0005-0000-0000-000003AE0000}"/>
    <cellStyle name="Comma 4 2 3 4 3 10" xfId="22340" xr:uid="{00000000-0005-0000-0000-000004AE0000}"/>
    <cellStyle name="Comma 4 2 3 4 3 2" xfId="3957" xr:uid="{00000000-0005-0000-0000-000005AE0000}"/>
    <cellStyle name="Comma 4 2 3 4 3 2 2" xfId="19892" xr:uid="{00000000-0005-0000-0000-000006AE0000}"/>
    <cellStyle name="Comma 4 2 3 4 3 2 2 2" xfId="43170" xr:uid="{00000000-0005-0000-0000-000007AE0000}"/>
    <cellStyle name="Comma 4 2 3 4 3 2 3" xfId="48066" xr:uid="{00000000-0005-0000-0000-000008AE0000}"/>
    <cellStyle name="Comma 4 2 3 4 3 2 4" xfId="27236" xr:uid="{00000000-0005-0000-0000-000009AE0000}"/>
    <cellStyle name="Comma 4 2 3 4 3 3" xfId="6405" xr:uid="{00000000-0005-0000-0000-00000AAE0000}"/>
    <cellStyle name="Comma 4 2 3 4 3 3 2" xfId="29684" xr:uid="{00000000-0005-0000-0000-00000BAE0000}"/>
    <cellStyle name="Comma 4 2 3 4 3 4" xfId="8853" xr:uid="{00000000-0005-0000-0000-00000CAE0000}"/>
    <cellStyle name="Comma 4 2 3 4 3 4 2" xfId="32132" xr:uid="{00000000-0005-0000-0000-00000DAE0000}"/>
    <cellStyle name="Comma 4 2 3 4 3 5" xfId="11301" xr:uid="{00000000-0005-0000-0000-00000EAE0000}"/>
    <cellStyle name="Comma 4 2 3 4 3 5 2" xfId="34580" xr:uid="{00000000-0005-0000-0000-00000FAE0000}"/>
    <cellStyle name="Comma 4 2 3 4 3 6" xfId="13749" xr:uid="{00000000-0005-0000-0000-000010AE0000}"/>
    <cellStyle name="Comma 4 2 3 4 3 6 2" xfId="37028" xr:uid="{00000000-0005-0000-0000-000011AE0000}"/>
    <cellStyle name="Comma 4 2 3 4 3 7" xfId="17444" xr:uid="{00000000-0005-0000-0000-000012AE0000}"/>
    <cellStyle name="Comma 4 2 3 4 3 7 2" xfId="40722" xr:uid="{00000000-0005-0000-0000-000013AE0000}"/>
    <cellStyle name="Comma 4 2 3 4 3 8" xfId="24788" xr:uid="{00000000-0005-0000-0000-000014AE0000}"/>
    <cellStyle name="Comma 4 2 3 4 3 9" xfId="45618" xr:uid="{00000000-0005-0000-0000-000015AE0000}"/>
    <cellStyle name="Comma 4 2 3 4 4" xfId="2733" xr:uid="{00000000-0005-0000-0000-000016AE0000}"/>
    <cellStyle name="Comma 4 2 3 4 4 2" xfId="16220" xr:uid="{00000000-0005-0000-0000-000017AE0000}"/>
    <cellStyle name="Comma 4 2 3 4 4 2 2" xfId="39498" xr:uid="{00000000-0005-0000-0000-000018AE0000}"/>
    <cellStyle name="Comma 4 2 3 4 4 3" xfId="46842" xr:uid="{00000000-0005-0000-0000-000019AE0000}"/>
    <cellStyle name="Comma 4 2 3 4 4 4" xfId="26012" xr:uid="{00000000-0005-0000-0000-00001AAE0000}"/>
    <cellStyle name="Comma 4 2 3 4 5" xfId="5181" xr:uid="{00000000-0005-0000-0000-00001BAE0000}"/>
    <cellStyle name="Comma 4 2 3 4 5 2" xfId="18668" xr:uid="{00000000-0005-0000-0000-00001CAE0000}"/>
    <cellStyle name="Comma 4 2 3 4 5 2 2" xfId="41946" xr:uid="{00000000-0005-0000-0000-00001DAE0000}"/>
    <cellStyle name="Comma 4 2 3 4 5 3" xfId="28460" xr:uid="{00000000-0005-0000-0000-00001EAE0000}"/>
    <cellStyle name="Comma 4 2 3 4 6" xfId="7629" xr:uid="{00000000-0005-0000-0000-00001FAE0000}"/>
    <cellStyle name="Comma 4 2 3 4 6 2" xfId="30908" xr:uid="{00000000-0005-0000-0000-000020AE0000}"/>
    <cellStyle name="Comma 4 2 3 4 7" xfId="10077" xr:uid="{00000000-0005-0000-0000-000021AE0000}"/>
    <cellStyle name="Comma 4 2 3 4 7 2" xfId="33356" xr:uid="{00000000-0005-0000-0000-000022AE0000}"/>
    <cellStyle name="Comma 4 2 3 4 8" xfId="12525" xr:uid="{00000000-0005-0000-0000-000023AE0000}"/>
    <cellStyle name="Comma 4 2 3 4 8 2" xfId="35804" xr:uid="{00000000-0005-0000-0000-000024AE0000}"/>
    <cellStyle name="Comma 4 2 3 4 9" xfId="14996" xr:uid="{00000000-0005-0000-0000-000025AE0000}"/>
    <cellStyle name="Comma 4 2 3 4 9 2" xfId="38274" xr:uid="{00000000-0005-0000-0000-000026AE0000}"/>
    <cellStyle name="Comma 4 2 3 5" xfId="489" xr:uid="{00000000-0005-0000-0000-000027AE0000}"/>
    <cellStyle name="Comma 4 2 3 5 10" xfId="23768" xr:uid="{00000000-0005-0000-0000-000028AE0000}"/>
    <cellStyle name="Comma 4 2 3 5 11" xfId="44598" xr:uid="{00000000-0005-0000-0000-000029AE0000}"/>
    <cellStyle name="Comma 4 2 3 5 12" xfId="21320" xr:uid="{00000000-0005-0000-0000-00002AAE0000}"/>
    <cellStyle name="Comma 4 2 3 5 2" xfId="1101" xr:uid="{00000000-0005-0000-0000-00002BAE0000}"/>
    <cellStyle name="Comma 4 2 3 5 2 10" xfId="45210" xr:uid="{00000000-0005-0000-0000-00002CAE0000}"/>
    <cellStyle name="Comma 4 2 3 5 2 11" xfId="21932" xr:uid="{00000000-0005-0000-0000-00002DAE0000}"/>
    <cellStyle name="Comma 4 2 3 5 2 2" xfId="2325" xr:uid="{00000000-0005-0000-0000-00002EAE0000}"/>
    <cellStyle name="Comma 4 2 3 5 2 2 10" xfId="23156" xr:uid="{00000000-0005-0000-0000-00002FAE0000}"/>
    <cellStyle name="Comma 4 2 3 5 2 2 2" xfId="4773" xr:uid="{00000000-0005-0000-0000-000030AE0000}"/>
    <cellStyle name="Comma 4 2 3 5 2 2 2 2" xfId="20708" xr:uid="{00000000-0005-0000-0000-000031AE0000}"/>
    <cellStyle name="Comma 4 2 3 5 2 2 2 2 2" xfId="43986" xr:uid="{00000000-0005-0000-0000-000032AE0000}"/>
    <cellStyle name="Comma 4 2 3 5 2 2 2 3" xfId="48882" xr:uid="{00000000-0005-0000-0000-000033AE0000}"/>
    <cellStyle name="Comma 4 2 3 5 2 2 2 4" xfId="28052" xr:uid="{00000000-0005-0000-0000-000034AE0000}"/>
    <cellStyle name="Comma 4 2 3 5 2 2 3" xfId="7221" xr:uid="{00000000-0005-0000-0000-000035AE0000}"/>
    <cellStyle name="Comma 4 2 3 5 2 2 3 2" xfId="30500" xr:uid="{00000000-0005-0000-0000-000036AE0000}"/>
    <cellStyle name="Comma 4 2 3 5 2 2 4" xfId="9669" xr:uid="{00000000-0005-0000-0000-000037AE0000}"/>
    <cellStyle name="Comma 4 2 3 5 2 2 4 2" xfId="32948" xr:uid="{00000000-0005-0000-0000-000038AE0000}"/>
    <cellStyle name="Comma 4 2 3 5 2 2 5" xfId="12117" xr:uid="{00000000-0005-0000-0000-000039AE0000}"/>
    <cellStyle name="Comma 4 2 3 5 2 2 5 2" xfId="35396" xr:uid="{00000000-0005-0000-0000-00003AAE0000}"/>
    <cellStyle name="Comma 4 2 3 5 2 2 6" xfId="14565" xr:uid="{00000000-0005-0000-0000-00003BAE0000}"/>
    <cellStyle name="Comma 4 2 3 5 2 2 6 2" xfId="37844" xr:uid="{00000000-0005-0000-0000-00003CAE0000}"/>
    <cellStyle name="Comma 4 2 3 5 2 2 7" xfId="18260" xr:uid="{00000000-0005-0000-0000-00003DAE0000}"/>
    <cellStyle name="Comma 4 2 3 5 2 2 7 2" xfId="41538" xr:uid="{00000000-0005-0000-0000-00003EAE0000}"/>
    <cellStyle name="Comma 4 2 3 5 2 2 8" xfId="25604" xr:uid="{00000000-0005-0000-0000-00003FAE0000}"/>
    <cellStyle name="Comma 4 2 3 5 2 2 9" xfId="46434" xr:uid="{00000000-0005-0000-0000-000040AE0000}"/>
    <cellStyle name="Comma 4 2 3 5 2 3" xfId="3549" xr:uid="{00000000-0005-0000-0000-000041AE0000}"/>
    <cellStyle name="Comma 4 2 3 5 2 3 2" xfId="17036" xr:uid="{00000000-0005-0000-0000-000042AE0000}"/>
    <cellStyle name="Comma 4 2 3 5 2 3 2 2" xfId="40314" xr:uid="{00000000-0005-0000-0000-000043AE0000}"/>
    <cellStyle name="Comma 4 2 3 5 2 3 3" xfId="47658" xr:uid="{00000000-0005-0000-0000-000044AE0000}"/>
    <cellStyle name="Comma 4 2 3 5 2 3 4" xfId="26828" xr:uid="{00000000-0005-0000-0000-000045AE0000}"/>
    <cellStyle name="Comma 4 2 3 5 2 4" xfId="5997" xr:uid="{00000000-0005-0000-0000-000046AE0000}"/>
    <cellStyle name="Comma 4 2 3 5 2 4 2" xfId="19484" xr:uid="{00000000-0005-0000-0000-000047AE0000}"/>
    <cellStyle name="Comma 4 2 3 5 2 4 2 2" xfId="42762" xr:uid="{00000000-0005-0000-0000-000048AE0000}"/>
    <cellStyle name="Comma 4 2 3 5 2 4 3" xfId="29276" xr:uid="{00000000-0005-0000-0000-000049AE0000}"/>
    <cellStyle name="Comma 4 2 3 5 2 5" xfId="8445" xr:uid="{00000000-0005-0000-0000-00004AAE0000}"/>
    <cellStyle name="Comma 4 2 3 5 2 5 2" xfId="31724" xr:uid="{00000000-0005-0000-0000-00004BAE0000}"/>
    <cellStyle name="Comma 4 2 3 5 2 6" xfId="10893" xr:uid="{00000000-0005-0000-0000-00004CAE0000}"/>
    <cellStyle name="Comma 4 2 3 5 2 6 2" xfId="34172" xr:uid="{00000000-0005-0000-0000-00004DAE0000}"/>
    <cellStyle name="Comma 4 2 3 5 2 7" xfId="13341" xr:uid="{00000000-0005-0000-0000-00004EAE0000}"/>
    <cellStyle name="Comma 4 2 3 5 2 7 2" xfId="36620" xr:uid="{00000000-0005-0000-0000-00004FAE0000}"/>
    <cellStyle name="Comma 4 2 3 5 2 8" xfId="15812" xr:uid="{00000000-0005-0000-0000-000050AE0000}"/>
    <cellStyle name="Comma 4 2 3 5 2 8 2" xfId="39090" xr:uid="{00000000-0005-0000-0000-000051AE0000}"/>
    <cellStyle name="Comma 4 2 3 5 2 9" xfId="24380" xr:uid="{00000000-0005-0000-0000-000052AE0000}"/>
    <cellStyle name="Comma 4 2 3 5 3" xfId="1713" xr:uid="{00000000-0005-0000-0000-000053AE0000}"/>
    <cellStyle name="Comma 4 2 3 5 3 10" xfId="22544" xr:uid="{00000000-0005-0000-0000-000054AE0000}"/>
    <cellStyle name="Comma 4 2 3 5 3 2" xfId="4161" xr:uid="{00000000-0005-0000-0000-000055AE0000}"/>
    <cellStyle name="Comma 4 2 3 5 3 2 2" xfId="20096" xr:uid="{00000000-0005-0000-0000-000056AE0000}"/>
    <cellStyle name="Comma 4 2 3 5 3 2 2 2" xfId="43374" xr:uid="{00000000-0005-0000-0000-000057AE0000}"/>
    <cellStyle name="Comma 4 2 3 5 3 2 3" xfId="48270" xr:uid="{00000000-0005-0000-0000-000058AE0000}"/>
    <cellStyle name="Comma 4 2 3 5 3 2 4" xfId="27440" xr:uid="{00000000-0005-0000-0000-000059AE0000}"/>
    <cellStyle name="Comma 4 2 3 5 3 3" xfId="6609" xr:uid="{00000000-0005-0000-0000-00005AAE0000}"/>
    <cellStyle name="Comma 4 2 3 5 3 3 2" xfId="29888" xr:uid="{00000000-0005-0000-0000-00005BAE0000}"/>
    <cellStyle name="Comma 4 2 3 5 3 4" xfId="9057" xr:uid="{00000000-0005-0000-0000-00005CAE0000}"/>
    <cellStyle name="Comma 4 2 3 5 3 4 2" xfId="32336" xr:uid="{00000000-0005-0000-0000-00005DAE0000}"/>
    <cellStyle name="Comma 4 2 3 5 3 5" xfId="11505" xr:uid="{00000000-0005-0000-0000-00005EAE0000}"/>
    <cellStyle name="Comma 4 2 3 5 3 5 2" xfId="34784" xr:uid="{00000000-0005-0000-0000-00005FAE0000}"/>
    <cellStyle name="Comma 4 2 3 5 3 6" xfId="13953" xr:uid="{00000000-0005-0000-0000-000060AE0000}"/>
    <cellStyle name="Comma 4 2 3 5 3 6 2" xfId="37232" xr:uid="{00000000-0005-0000-0000-000061AE0000}"/>
    <cellStyle name="Comma 4 2 3 5 3 7" xfId="17648" xr:uid="{00000000-0005-0000-0000-000062AE0000}"/>
    <cellStyle name="Comma 4 2 3 5 3 7 2" xfId="40926" xr:uid="{00000000-0005-0000-0000-000063AE0000}"/>
    <cellStyle name="Comma 4 2 3 5 3 8" xfId="24992" xr:uid="{00000000-0005-0000-0000-000064AE0000}"/>
    <cellStyle name="Comma 4 2 3 5 3 9" xfId="45822" xr:uid="{00000000-0005-0000-0000-000065AE0000}"/>
    <cellStyle name="Comma 4 2 3 5 4" xfId="2937" xr:uid="{00000000-0005-0000-0000-000066AE0000}"/>
    <cellStyle name="Comma 4 2 3 5 4 2" xfId="16424" xr:uid="{00000000-0005-0000-0000-000067AE0000}"/>
    <cellStyle name="Comma 4 2 3 5 4 2 2" xfId="39702" xr:uid="{00000000-0005-0000-0000-000068AE0000}"/>
    <cellStyle name="Comma 4 2 3 5 4 3" xfId="47046" xr:uid="{00000000-0005-0000-0000-000069AE0000}"/>
    <cellStyle name="Comma 4 2 3 5 4 4" xfId="26216" xr:uid="{00000000-0005-0000-0000-00006AAE0000}"/>
    <cellStyle name="Comma 4 2 3 5 5" xfId="5385" xr:uid="{00000000-0005-0000-0000-00006BAE0000}"/>
    <cellStyle name="Comma 4 2 3 5 5 2" xfId="18872" xr:uid="{00000000-0005-0000-0000-00006CAE0000}"/>
    <cellStyle name="Comma 4 2 3 5 5 2 2" xfId="42150" xr:uid="{00000000-0005-0000-0000-00006DAE0000}"/>
    <cellStyle name="Comma 4 2 3 5 5 3" xfId="28664" xr:uid="{00000000-0005-0000-0000-00006EAE0000}"/>
    <cellStyle name="Comma 4 2 3 5 6" xfId="7833" xr:uid="{00000000-0005-0000-0000-00006FAE0000}"/>
    <cellStyle name="Comma 4 2 3 5 6 2" xfId="31112" xr:uid="{00000000-0005-0000-0000-000070AE0000}"/>
    <cellStyle name="Comma 4 2 3 5 7" xfId="10281" xr:uid="{00000000-0005-0000-0000-000071AE0000}"/>
    <cellStyle name="Comma 4 2 3 5 7 2" xfId="33560" xr:uid="{00000000-0005-0000-0000-000072AE0000}"/>
    <cellStyle name="Comma 4 2 3 5 8" xfId="12729" xr:uid="{00000000-0005-0000-0000-000073AE0000}"/>
    <cellStyle name="Comma 4 2 3 5 8 2" xfId="36008" xr:uid="{00000000-0005-0000-0000-000074AE0000}"/>
    <cellStyle name="Comma 4 2 3 5 9" xfId="15200" xr:uid="{00000000-0005-0000-0000-000075AE0000}"/>
    <cellStyle name="Comma 4 2 3 5 9 2" xfId="38478" xr:uid="{00000000-0005-0000-0000-000076AE0000}"/>
    <cellStyle name="Comma 4 2 3 6" xfId="693" xr:uid="{00000000-0005-0000-0000-000077AE0000}"/>
    <cellStyle name="Comma 4 2 3 6 10" xfId="44802" xr:uid="{00000000-0005-0000-0000-000078AE0000}"/>
    <cellStyle name="Comma 4 2 3 6 11" xfId="21524" xr:uid="{00000000-0005-0000-0000-000079AE0000}"/>
    <cellStyle name="Comma 4 2 3 6 2" xfId="1917" xr:uid="{00000000-0005-0000-0000-00007AAE0000}"/>
    <cellStyle name="Comma 4 2 3 6 2 10" xfId="22748" xr:uid="{00000000-0005-0000-0000-00007BAE0000}"/>
    <cellStyle name="Comma 4 2 3 6 2 2" xfId="4365" xr:uid="{00000000-0005-0000-0000-00007CAE0000}"/>
    <cellStyle name="Comma 4 2 3 6 2 2 2" xfId="20300" xr:uid="{00000000-0005-0000-0000-00007DAE0000}"/>
    <cellStyle name="Comma 4 2 3 6 2 2 2 2" xfId="43578" xr:uid="{00000000-0005-0000-0000-00007EAE0000}"/>
    <cellStyle name="Comma 4 2 3 6 2 2 3" xfId="48474" xr:uid="{00000000-0005-0000-0000-00007FAE0000}"/>
    <cellStyle name="Comma 4 2 3 6 2 2 4" xfId="27644" xr:uid="{00000000-0005-0000-0000-000080AE0000}"/>
    <cellStyle name="Comma 4 2 3 6 2 3" xfId="6813" xr:uid="{00000000-0005-0000-0000-000081AE0000}"/>
    <cellStyle name="Comma 4 2 3 6 2 3 2" xfId="30092" xr:uid="{00000000-0005-0000-0000-000082AE0000}"/>
    <cellStyle name="Comma 4 2 3 6 2 4" xfId="9261" xr:uid="{00000000-0005-0000-0000-000083AE0000}"/>
    <cellStyle name="Comma 4 2 3 6 2 4 2" xfId="32540" xr:uid="{00000000-0005-0000-0000-000084AE0000}"/>
    <cellStyle name="Comma 4 2 3 6 2 5" xfId="11709" xr:uid="{00000000-0005-0000-0000-000085AE0000}"/>
    <cellStyle name="Comma 4 2 3 6 2 5 2" xfId="34988" xr:uid="{00000000-0005-0000-0000-000086AE0000}"/>
    <cellStyle name="Comma 4 2 3 6 2 6" xfId="14157" xr:uid="{00000000-0005-0000-0000-000087AE0000}"/>
    <cellStyle name="Comma 4 2 3 6 2 6 2" xfId="37436" xr:uid="{00000000-0005-0000-0000-000088AE0000}"/>
    <cellStyle name="Comma 4 2 3 6 2 7" xfId="17852" xr:uid="{00000000-0005-0000-0000-000089AE0000}"/>
    <cellStyle name="Comma 4 2 3 6 2 7 2" xfId="41130" xr:uid="{00000000-0005-0000-0000-00008AAE0000}"/>
    <cellStyle name="Comma 4 2 3 6 2 8" xfId="25196" xr:uid="{00000000-0005-0000-0000-00008BAE0000}"/>
    <cellStyle name="Comma 4 2 3 6 2 9" xfId="46026" xr:uid="{00000000-0005-0000-0000-00008CAE0000}"/>
    <cellStyle name="Comma 4 2 3 6 3" xfId="3141" xr:uid="{00000000-0005-0000-0000-00008DAE0000}"/>
    <cellStyle name="Comma 4 2 3 6 3 2" xfId="16628" xr:uid="{00000000-0005-0000-0000-00008EAE0000}"/>
    <cellStyle name="Comma 4 2 3 6 3 2 2" xfId="39906" xr:uid="{00000000-0005-0000-0000-00008FAE0000}"/>
    <cellStyle name="Comma 4 2 3 6 3 3" xfId="47250" xr:uid="{00000000-0005-0000-0000-000090AE0000}"/>
    <cellStyle name="Comma 4 2 3 6 3 4" xfId="26420" xr:uid="{00000000-0005-0000-0000-000091AE0000}"/>
    <cellStyle name="Comma 4 2 3 6 4" xfId="5589" xr:uid="{00000000-0005-0000-0000-000092AE0000}"/>
    <cellStyle name="Comma 4 2 3 6 4 2" xfId="19076" xr:uid="{00000000-0005-0000-0000-000093AE0000}"/>
    <cellStyle name="Comma 4 2 3 6 4 2 2" xfId="42354" xr:uid="{00000000-0005-0000-0000-000094AE0000}"/>
    <cellStyle name="Comma 4 2 3 6 4 3" xfId="28868" xr:uid="{00000000-0005-0000-0000-000095AE0000}"/>
    <cellStyle name="Comma 4 2 3 6 5" xfId="8037" xr:uid="{00000000-0005-0000-0000-000096AE0000}"/>
    <cellStyle name="Comma 4 2 3 6 5 2" xfId="31316" xr:uid="{00000000-0005-0000-0000-000097AE0000}"/>
    <cellStyle name="Comma 4 2 3 6 6" xfId="10485" xr:uid="{00000000-0005-0000-0000-000098AE0000}"/>
    <cellStyle name="Comma 4 2 3 6 6 2" xfId="33764" xr:uid="{00000000-0005-0000-0000-000099AE0000}"/>
    <cellStyle name="Comma 4 2 3 6 7" xfId="12933" xr:uid="{00000000-0005-0000-0000-00009AAE0000}"/>
    <cellStyle name="Comma 4 2 3 6 7 2" xfId="36212" xr:uid="{00000000-0005-0000-0000-00009BAE0000}"/>
    <cellStyle name="Comma 4 2 3 6 8" xfId="15404" xr:uid="{00000000-0005-0000-0000-00009CAE0000}"/>
    <cellStyle name="Comma 4 2 3 6 8 2" xfId="38682" xr:uid="{00000000-0005-0000-0000-00009DAE0000}"/>
    <cellStyle name="Comma 4 2 3 6 9" xfId="23972" xr:uid="{00000000-0005-0000-0000-00009EAE0000}"/>
    <cellStyle name="Comma 4 2 3 7" xfId="1305" xr:uid="{00000000-0005-0000-0000-00009FAE0000}"/>
    <cellStyle name="Comma 4 2 3 7 10" xfId="22136" xr:uid="{00000000-0005-0000-0000-0000A0AE0000}"/>
    <cellStyle name="Comma 4 2 3 7 2" xfId="3753" xr:uid="{00000000-0005-0000-0000-0000A1AE0000}"/>
    <cellStyle name="Comma 4 2 3 7 2 2" xfId="19688" xr:uid="{00000000-0005-0000-0000-0000A2AE0000}"/>
    <cellStyle name="Comma 4 2 3 7 2 2 2" xfId="42966" xr:uid="{00000000-0005-0000-0000-0000A3AE0000}"/>
    <cellStyle name="Comma 4 2 3 7 2 3" xfId="47862" xr:uid="{00000000-0005-0000-0000-0000A4AE0000}"/>
    <cellStyle name="Comma 4 2 3 7 2 4" xfId="27032" xr:uid="{00000000-0005-0000-0000-0000A5AE0000}"/>
    <cellStyle name="Comma 4 2 3 7 3" xfId="6201" xr:uid="{00000000-0005-0000-0000-0000A6AE0000}"/>
    <cellStyle name="Comma 4 2 3 7 3 2" xfId="29480" xr:uid="{00000000-0005-0000-0000-0000A7AE0000}"/>
    <cellStyle name="Comma 4 2 3 7 4" xfId="8649" xr:uid="{00000000-0005-0000-0000-0000A8AE0000}"/>
    <cellStyle name="Comma 4 2 3 7 4 2" xfId="31928" xr:uid="{00000000-0005-0000-0000-0000A9AE0000}"/>
    <cellStyle name="Comma 4 2 3 7 5" xfId="11097" xr:uid="{00000000-0005-0000-0000-0000AAAE0000}"/>
    <cellStyle name="Comma 4 2 3 7 5 2" xfId="34376" xr:uid="{00000000-0005-0000-0000-0000ABAE0000}"/>
    <cellStyle name="Comma 4 2 3 7 6" xfId="13545" xr:uid="{00000000-0005-0000-0000-0000ACAE0000}"/>
    <cellStyle name="Comma 4 2 3 7 6 2" xfId="36824" xr:uid="{00000000-0005-0000-0000-0000ADAE0000}"/>
    <cellStyle name="Comma 4 2 3 7 7" xfId="17240" xr:uid="{00000000-0005-0000-0000-0000AEAE0000}"/>
    <cellStyle name="Comma 4 2 3 7 7 2" xfId="40518" xr:uid="{00000000-0005-0000-0000-0000AFAE0000}"/>
    <cellStyle name="Comma 4 2 3 7 8" xfId="24584" xr:uid="{00000000-0005-0000-0000-0000B0AE0000}"/>
    <cellStyle name="Comma 4 2 3 7 9" xfId="45414" xr:uid="{00000000-0005-0000-0000-0000B1AE0000}"/>
    <cellStyle name="Comma 4 2 3 8" xfId="2529" xr:uid="{00000000-0005-0000-0000-0000B2AE0000}"/>
    <cellStyle name="Comma 4 2 3 8 2" xfId="16016" xr:uid="{00000000-0005-0000-0000-0000B3AE0000}"/>
    <cellStyle name="Comma 4 2 3 8 2 2" xfId="39294" xr:uid="{00000000-0005-0000-0000-0000B4AE0000}"/>
    <cellStyle name="Comma 4 2 3 8 3" xfId="46638" xr:uid="{00000000-0005-0000-0000-0000B5AE0000}"/>
    <cellStyle name="Comma 4 2 3 8 4" xfId="25808" xr:uid="{00000000-0005-0000-0000-0000B6AE0000}"/>
    <cellStyle name="Comma 4 2 3 9" xfId="4977" xr:uid="{00000000-0005-0000-0000-0000B7AE0000}"/>
    <cellStyle name="Comma 4 2 3 9 2" xfId="18464" xr:uid="{00000000-0005-0000-0000-0000B8AE0000}"/>
    <cellStyle name="Comma 4 2 3 9 2 2" xfId="41742" xr:uid="{00000000-0005-0000-0000-0000B9AE0000}"/>
    <cellStyle name="Comma 4 2 3 9 3" xfId="28256" xr:uid="{00000000-0005-0000-0000-0000BAAE0000}"/>
    <cellStyle name="Comma 4 2 4" xfId="98" xr:uid="{00000000-0005-0000-0000-0000BBAE0000}"/>
    <cellStyle name="Comma 4 2 4 10" xfId="7442" xr:uid="{00000000-0005-0000-0000-0000BCAE0000}"/>
    <cellStyle name="Comma 4 2 4 10 2" xfId="30721" xr:uid="{00000000-0005-0000-0000-0000BDAE0000}"/>
    <cellStyle name="Comma 4 2 4 11" xfId="9890" xr:uid="{00000000-0005-0000-0000-0000BEAE0000}"/>
    <cellStyle name="Comma 4 2 4 11 2" xfId="33169" xr:uid="{00000000-0005-0000-0000-0000BFAE0000}"/>
    <cellStyle name="Comma 4 2 4 12" xfId="12338" xr:uid="{00000000-0005-0000-0000-0000C0AE0000}"/>
    <cellStyle name="Comma 4 2 4 12 2" xfId="35617" xr:uid="{00000000-0005-0000-0000-0000C1AE0000}"/>
    <cellStyle name="Comma 4 2 4 13" xfId="14809" xr:uid="{00000000-0005-0000-0000-0000C2AE0000}"/>
    <cellStyle name="Comma 4 2 4 13 2" xfId="38087" xr:uid="{00000000-0005-0000-0000-0000C3AE0000}"/>
    <cellStyle name="Comma 4 2 4 14" xfId="23377" xr:uid="{00000000-0005-0000-0000-0000C4AE0000}"/>
    <cellStyle name="Comma 4 2 4 15" xfId="44207" xr:uid="{00000000-0005-0000-0000-0000C5AE0000}"/>
    <cellStyle name="Comma 4 2 4 16" xfId="20929" xr:uid="{00000000-0005-0000-0000-0000C6AE0000}"/>
    <cellStyle name="Comma 4 2 4 2" xfId="166" xr:uid="{00000000-0005-0000-0000-0000C7AE0000}"/>
    <cellStyle name="Comma 4 2 4 2 10" xfId="12406" xr:uid="{00000000-0005-0000-0000-0000C8AE0000}"/>
    <cellStyle name="Comma 4 2 4 2 10 2" xfId="35685" xr:uid="{00000000-0005-0000-0000-0000C9AE0000}"/>
    <cellStyle name="Comma 4 2 4 2 11" xfId="14877" xr:uid="{00000000-0005-0000-0000-0000CAAE0000}"/>
    <cellStyle name="Comma 4 2 4 2 11 2" xfId="38155" xr:uid="{00000000-0005-0000-0000-0000CBAE0000}"/>
    <cellStyle name="Comma 4 2 4 2 12" xfId="23445" xr:uid="{00000000-0005-0000-0000-0000CCAE0000}"/>
    <cellStyle name="Comma 4 2 4 2 13" xfId="44275" xr:uid="{00000000-0005-0000-0000-0000CDAE0000}"/>
    <cellStyle name="Comma 4 2 4 2 14" xfId="20997" xr:uid="{00000000-0005-0000-0000-0000CEAE0000}"/>
    <cellStyle name="Comma 4 2 4 2 2" xfId="370" xr:uid="{00000000-0005-0000-0000-0000CFAE0000}"/>
    <cellStyle name="Comma 4 2 4 2 2 10" xfId="23649" xr:uid="{00000000-0005-0000-0000-0000D0AE0000}"/>
    <cellStyle name="Comma 4 2 4 2 2 11" xfId="44479" xr:uid="{00000000-0005-0000-0000-0000D1AE0000}"/>
    <cellStyle name="Comma 4 2 4 2 2 12" xfId="21201" xr:uid="{00000000-0005-0000-0000-0000D2AE0000}"/>
    <cellStyle name="Comma 4 2 4 2 2 2" xfId="982" xr:uid="{00000000-0005-0000-0000-0000D3AE0000}"/>
    <cellStyle name="Comma 4 2 4 2 2 2 10" xfId="45091" xr:uid="{00000000-0005-0000-0000-0000D4AE0000}"/>
    <cellStyle name="Comma 4 2 4 2 2 2 11" xfId="21813" xr:uid="{00000000-0005-0000-0000-0000D5AE0000}"/>
    <cellStyle name="Comma 4 2 4 2 2 2 2" xfId="2206" xr:uid="{00000000-0005-0000-0000-0000D6AE0000}"/>
    <cellStyle name="Comma 4 2 4 2 2 2 2 10" xfId="23037" xr:uid="{00000000-0005-0000-0000-0000D7AE0000}"/>
    <cellStyle name="Comma 4 2 4 2 2 2 2 2" xfId="4654" xr:uid="{00000000-0005-0000-0000-0000D8AE0000}"/>
    <cellStyle name="Comma 4 2 4 2 2 2 2 2 2" xfId="20589" xr:uid="{00000000-0005-0000-0000-0000D9AE0000}"/>
    <cellStyle name="Comma 4 2 4 2 2 2 2 2 2 2" xfId="43867" xr:uid="{00000000-0005-0000-0000-0000DAAE0000}"/>
    <cellStyle name="Comma 4 2 4 2 2 2 2 2 3" xfId="48763" xr:uid="{00000000-0005-0000-0000-0000DBAE0000}"/>
    <cellStyle name="Comma 4 2 4 2 2 2 2 2 4" xfId="27933" xr:uid="{00000000-0005-0000-0000-0000DCAE0000}"/>
    <cellStyle name="Comma 4 2 4 2 2 2 2 3" xfId="7102" xr:uid="{00000000-0005-0000-0000-0000DDAE0000}"/>
    <cellStyle name="Comma 4 2 4 2 2 2 2 3 2" xfId="30381" xr:uid="{00000000-0005-0000-0000-0000DEAE0000}"/>
    <cellStyle name="Comma 4 2 4 2 2 2 2 4" xfId="9550" xr:uid="{00000000-0005-0000-0000-0000DFAE0000}"/>
    <cellStyle name="Comma 4 2 4 2 2 2 2 4 2" xfId="32829" xr:uid="{00000000-0005-0000-0000-0000E0AE0000}"/>
    <cellStyle name="Comma 4 2 4 2 2 2 2 5" xfId="11998" xr:uid="{00000000-0005-0000-0000-0000E1AE0000}"/>
    <cellStyle name="Comma 4 2 4 2 2 2 2 5 2" xfId="35277" xr:uid="{00000000-0005-0000-0000-0000E2AE0000}"/>
    <cellStyle name="Comma 4 2 4 2 2 2 2 6" xfId="14446" xr:uid="{00000000-0005-0000-0000-0000E3AE0000}"/>
    <cellStyle name="Comma 4 2 4 2 2 2 2 6 2" xfId="37725" xr:uid="{00000000-0005-0000-0000-0000E4AE0000}"/>
    <cellStyle name="Comma 4 2 4 2 2 2 2 7" xfId="18141" xr:uid="{00000000-0005-0000-0000-0000E5AE0000}"/>
    <cellStyle name="Comma 4 2 4 2 2 2 2 7 2" xfId="41419" xr:uid="{00000000-0005-0000-0000-0000E6AE0000}"/>
    <cellStyle name="Comma 4 2 4 2 2 2 2 8" xfId="25485" xr:uid="{00000000-0005-0000-0000-0000E7AE0000}"/>
    <cellStyle name="Comma 4 2 4 2 2 2 2 9" xfId="46315" xr:uid="{00000000-0005-0000-0000-0000E8AE0000}"/>
    <cellStyle name="Comma 4 2 4 2 2 2 3" xfId="3430" xr:uid="{00000000-0005-0000-0000-0000E9AE0000}"/>
    <cellStyle name="Comma 4 2 4 2 2 2 3 2" xfId="16917" xr:uid="{00000000-0005-0000-0000-0000EAAE0000}"/>
    <cellStyle name="Comma 4 2 4 2 2 2 3 2 2" xfId="40195" xr:uid="{00000000-0005-0000-0000-0000EBAE0000}"/>
    <cellStyle name="Comma 4 2 4 2 2 2 3 3" xfId="47539" xr:uid="{00000000-0005-0000-0000-0000ECAE0000}"/>
    <cellStyle name="Comma 4 2 4 2 2 2 3 4" xfId="26709" xr:uid="{00000000-0005-0000-0000-0000EDAE0000}"/>
    <cellStyle name="Comma 4 2 4 2 2 2 4" xfId="5878" xr:uid="{00000000-0005-0000-0000-0000EEAE0000}"/>
    <cellStyle name="Comma 4 2 4 2 2 2 4 2" xfId="19365" xr:uid="{00000000-0005-0000-0000-0000EFAE0000}"/>
    <cellStyle name="Comma 4 2 4 2 2 2 4 2 2" xfId="42643" xr:uid="{00000000-0005-0000-0000-0000F0AE0000}"/>
    <cellStyle name="Comma 4 2 4 2 2 2 4 3" xfId="29157" xr:uid="{00000000-0005-0000-0000-0000F1AE0000}"/>
    <cellStyle name="Comma 4 2 4 2 2 2 5" xfId="8326" xr:uid="{00000000-0005-0000-0000-0000F2AE0000}"/>
    <cellStyle name="Comma 4 2 4 2 2 2 5 2" xfId="31605" xr:uid="{00000000-0005-0000-0000-0000F3AE0000}"/>
    <cellStyle name="Comma 4 2 4 2 2 2 6" xfId="10774" xr:uid="{00000000-0005-0000-0000-0000F4AE0000}"/>
    <cellStyle name="Comma 4 2 4 2 2 2 6 2" xfId="34053" xr:uid="{00000000-0005-0000-0000-0000F5AE0000}"/>
    <cellStyle name="Comma 4 2 4 2 2 2 7" xfId="13222" xr:uid="{00000000-0005-0000-0000-0000F6AE0000}"/>
    <cellStyle name="Comma 4 2 4 2 2 2 7 2" xfId="36501" xr:uid="{00000000-0005-0000-0000-0000F7AE0000}"/>
    <cellStyle name="Comma 4 2 4 2 2 2 8" xfId="15693" xr:uid="{00000000-0005-0000-0000-0000F8AE0000}"/>
    <cellStyle name="Comma 4 2 4 2 2 2 8 2" xfId="38971" xr:uid="{00000000-0005-0000-0000-0000F9AE0000}"/>
    <cellStyle name="Comma 4 2 4 2 2 2 9" xfId="24261" xr:uid="{00000000-0005-0000-0000-0000FAAE0000}"/>
    <cellStyle name="Comma 4 2 4 2 2 3" xfId="1594" xr:uid="{00000000-0005-0000-0000-0000FBAE0000}"/>
    <cellStyle name="Comma 4 2 4 2 2 3 10" xfId="22425" xr:uid="{00000000-0005-0000-0000-0000FCAE0000}"/>
    <cellStyle name="Comma 4 2 4 2 2 3 2" xfId="4042" xr:uid="{00000000-0005-0000-0000-0000FDAE0000}"/>
    <cellStyle name="Comma 4 2 4 2 2 3 2 2" xfId="19977" xr:uid="{00000000-0005-0000-0000-0000FEAE0000}"/>
    <cellStyle name="Comma 4 2 4 2 2 3 2 2 2" xfId="43255" xr:uid="{00000000-0005-0000-0000-0000FFAE0000}"/>
    <cellStyle name="Comma 4 2 4 2 2 3 2 3" xfId="48151" xr:uid="{00000000-0005-0000-0000-000000AF0000}"/>
    <cellStyle name="Comma 4 2 4 2 2 3 2 4" xfId="27321" xr:uid="{00000000-0005-0000-0000-000001AF0000}"/>
    <cellStyle name="Comma 4 2 4 2 2 3 3" xfId="6490" xr:uid="{00000000-0005-0000-0000-000002AF0000}"/>
    <cellStyle name="Comma 4 2 4 2 2 3 3 2" xfId="29769" xr:uid="{00000000-0005-0000-0000-000003AF0000}"/>
    <cellStyle name="Comma 4 2 4 2 2 3 4" xfId="8938" xr:uid="{00000000-0005-0000-0000-000004AF0000}"/>
    <cellStyle name="Comma 4 2 4 2 2 3 4 2" xfId="32217" xr:uid="{00000000-0005-0000-0000-000005AF0000}"/>
    <cellStyle name="Comma 4 2 4 2 2 3 5" xfId="11386" xr:uid="{00000000-0005-0000-0000-000006AF0000}"/>
    <cellStyle name="Comma 4 2 4 2 2 3 5 2" xfId="34665" xr:uid="{00000000-0005-0000-0000-000007AF0000}"/>
    <cellStyle name="Comma 4 2 4 2 2 3 6" xfId="13834" xr:uid="{00000000-0005-0000-0000-000008AF0000}"/>
    <cellStyle name="Comma 4 2 4 2 2 3 6 2" xfId="37113" xr:uid="{00000000-0005-0000-0000-000009AF0000}"/>
    <cellStyle name="Comma 4 2 4 2 2 3 7" xfId="17529" xr:uid="{00000000-0005-0000-0000-00000AAF0000}"/>
    <cellStyle name="Comma 4 2 4 2 2 3 7 2" xfId="40807" xr:uid="{00000000-0005-0000-0000-00000BAF0000}"/>
    <cellStyle name="Comma 4 2 4 2 2 3 8" xfId="24873" xr:uid="{00000000-0005-0000-0000-00000CAF0000}"/>
    <cellStyle name="Comma 4 2 4 2 2 3 9" xfId="45703" xr:uid="{00000000-0005-0000-0000-00000DAF0000}"/>
    <cellStyle name="Comma 4 2 4 2 2 4" xfId="2818" xr:uid="{00000000-0005-0000-0000-00000EAF0000}"/>
    <cellStyle name="Comma 4 2 4 2 2 4 2" xfId="16305" xr:uid="{00000000-0005-0000-0000-00000FAF0000}"/>
    <cellStyle name="Comma 4 2 4 2 2 4 2 2" xfId="39583" xr:uid="{00000000-0005-0000-0000-000010AF0000}"/>
    <cellStyle name="Comma 4 2 4 2 2 4 3" xfId="46927" xr:uid="{00000000-0005-0000-0000-000011AF0000}"/>
    <cellStyle name="Comma 4 2 4 2 2 4 4" xfId="26097" xr:uid="{00000000-0005-0000-0000-000012AF0000}"/>
    <cellStyle name="Comma 4 2 4 2 2 5" xfId="5266" xr:uid="{00000000-0005-0000-0000-000013AF0000}"/>
    <cellStyle name="Comma 4 2 4 2 2 5 2" xfId="18753" xr:uid="{00000000-0005-0000-0000-000014AF0000}"/>
    <cellStyle name="Comma 4 2 4 2 2 5 2 2" xfId="42031" xr:uid="{00000000-0005-0000-0000-000015AF0000}"/>
    <cellStyle name="Comma 4 2 4 2 2 5 3" xfId="28545" xr:uid="{00000000-0005-0000-0000-000016AF0000}"/>
    <cellStyle name="Comma 4 2 4 2 2 6" xfId="7714" xr:uid="{00000000-0005-0000-0000-000017AF0000}"/>
    <cellStyle name="Comma 4 2 4 2 2 6 2" xfId="30993" xr:uid="{00000000-0005-0000-0000-000018AF0000}"/>
    <cellStyle name="Comma 4 2 4 2 2 7" xfId="10162" xr:uid="{00000000-0005-0000-0000-000019AF0000}"/>
    <cellStyle name="Comma 4 2 4 2 2 7 2" xfId="33441" xr:uid="{00000000-0005-0000-0000-00001AAF0000}"/>
    <cellStyle name="Comma 4 2 4 2 2 8" xfId="12610" xr:uid="{00000000-0005-0000-0000-00001BAF0000}"/>
    <cellStyle name="Comma 4 2 4 2 2 8 2" xfId="35889" xr:uid="{00000000-0005-0000-0000-00001CAF0000}"/>
    <cellStyle name="Comma 4 2 4 2 2 9" xfId="15081" xr:uid="{00000000-0005-0000-0000-00001DAF0000}"/>
    <cellStyle name="Comma 4 2 4 2 2 9 2" xfId="38359" xr:uid="{00000000-0005-0000-0000-00001EAF0000}"/>
    <cellStyle name="Comma 4 2 4 2 3" xfId="574" xr:uid="{00000000-0005-0000-0000-00001FAF0000}"/>
    <cellStyle name="Comma 4 2 4 2 3 10" xfId="23853" xr:uid="{00000000-0005-0000-0000-000020AF0000}"/>
    <cellStyle name="Comma 4 2 4 2 3 11" xfId="44683" xr:uid="{00000000-0005-0000-0000-000021AF0000}"/>
    <cellStyle name="Comma 4 2 4 2 3 12" xfId="21405" xr:uid="{00000000-0005-0000-0000-000022AF0000}"/>
    <cellStyle name="Comma 4 2 4 2 3 2" xfId="1186" xr:uid="{00000000-0005-0000-0000-000023AF0000}"/>
    <cellStyle name="Comma 4 2 4 2 3 2 10" xfId="45295" xr:uid="{00000000-0005-0000-0000-000024AF0000}"/>
    <cellStyle name="Comma 4 2 4 2 3 2 11" xfId="22017" xr:uid="{00000000-0005-0000-0000-000025AF0000}"/>
    <cellStyle name="Comma 4 2 4 2 3 2 2" xfId="2410" xr:uid="{00000000-0005-0000-0000-000026AF0000}"/>
    <cellStyle name="Comma 4 2 4 2 3 2 2 10" xfId="23241" xr:uid="{00000000-0005-0000-0000-000027AF0000}"/>
    <cellStyle name="Comma 4 2 4 2 3 2 2 2" xfId="4858" xr:uid="{00000000-0005-0000-0000-000028AF0000}"/>
    <cellStyle name="Comma 4 2 4 2 3 2 2 2 2" xfId="20793" xr:uid="{00000000-0005-0000-0000-000029AF0000}"/>
    <cellStyle name="Comma 4 2 4 2 3 2 2 2 2 2" xfId="44071" xr:uid="{00000000-0005-0000-0000-00002AAF0000}"/>
    <cellStyle name="Comma 4 2 4 2 3 2 2 2 3" xfId="48967" xr:uid="{00000000-0005-0000-0000-00002BAF0000}"/>
    <cellStyle name="Comma 4 2 4 2 3 2 2 2 4" xfId="28137" xr:uid="{00000000-0005-0000-0000-00002CAF0000}"/>
    <cellStyle name="Comma 4 2 4 2 3 2 2 3" xfId="7306" xr:uid="{00000000-0005-0000-0000-00002DAF0000}"/>
    <cellStyle name="Comma 4 2 4 2 3 2 2 3 2" xfId="30585" xr:uid="{00000000-0005-0000-0000-00002EAF0000}"/>
    <cellStyle name="Comma 4 2 4 2 3 2 2 4" xfId="9754" xr:uid="{00000000-0005-0000-0000-00002FAF0000}"/>
    <cellStyle name="Comma 4 2 4 2 3 2 2 4 2" xfId="33033" xr:uid="{00000000-0005-0000-0000-000030AF0000}"/>
    <cellStyle name="Comma 4 2 4 2 3 2 2 5" xfId="12202" xr:uid="{00000000-0005-0000-0000-000031AF0000}"/>
    <cellStyle name="Comma 4 2 4 2 3 2 2 5 2" xfId="35481" xr:uid="{00000000-0005-0000-0000-000032AF0000}"/>
    <cellStyle name="Comma 4 2 4 2 3 2 2 6" xfId="14650" xr:uid="{00000000-0005-0000-0000-000033AF0000}"/>
    <cellStyle name="Comma 4 2 4 2 3 2 2 6 2" xfId="37929" xr:uid="{00000000-0005-0000-0000-000034AF0000}"/>
    <cellStyle name="Comma 4 2 4 2 3 2 2 7" xfId="18345" xr:uid="{00000000-0005-0000-0000-000035AF0000}"/>
    <cellStyle name="Comma 4 2 4 2 3 2 2 7 2" xfId="41623" xr:uid="{00000000-0005-0000-0000-000036AF0000}"/>
    <cellStyle name="Comma 4 2 4 2 3 2 2 8" xfId="25689" xr:uid="{00000000-0005-0000-0000-000037AF0000}"/>
    <cellStyle name="Comma 4 2 4 2 3 2 2 9" xfId="46519" xr:uid="{00000000-0005-0000-0000-000038AF0000}"/>
    <cellStyle name="Comma 4 2 4 2 3 2 3" xfId="3634" xr:uid="{00000000-0005-0000-0000-000039AF0000}"/>
    <cellStyle name="Comma 4 2 4 2 3 2 3 2" xfId="17121" xr:uid="{00000000-0005-0000-0000-00003AAF0000}"/>
    <cellStyle name="Comma 4 2 4 2 3 2 3 2 2" xfId="40399" xr:uid="{00000000-0005-0000-0000-00003BAF0000}"/>
    <cellStyle name="Comma 4 2 4 2 3 2 3 3" xfId="47743" xr:uid="{00000000-0005-0000-0000-00003CAF0000}"/>
    <cellStyle name="Comma 4 2 4 2 3 2 3 4" xfId="26913" xr:uid="{00000000-0005-0000-0000-00003DAF0000}"/>
    <cellStyle name="Comma 4 2 4 2 3 2 4" xfId="6082" xr:uid="{00000000-0005-0000-0000-00003EAF0000}"/>
    <cellStyle name="Comma 4 2 4 2 3 2 4 2" xfId="19569" xr:uid="{00000000-0005-0000-0000-00003FAF0000}"/>
    <cellStyle name="Comma 4 2 4 2 3 2 4 2 2" xfId="42847" xr:uid="{00000000-0005-0000-0000-000040AF0000}"/>
    <cellStyle name="Comma 4 2 4 2 3 2 4 3" xfId="29361" xr:uid="{00000000-0005-0000-0000-000041AF0000}"/>
    <cellStyle name="Comma 4 2 4 2 3 2 5" xfId="8530" xr:uid="{00000000-0005-0000-0000-000042AF0000}"/>
    <cellStyle name="Comma 4 2 4 2 3 2 5 2" xfId="31809" xr:uid="{00000000-0005-0000-0000-000043AF0000}"/>
    <cellStyle name="Comma 4 2 4 2 3 2 6" xfId="10978" xr:uid="{00000000-0005-0000-0000-000044AF0000}"/>
    <cellStyle name="Comma 4 2 4 2 3 2 6 2" xfId="34257" xr:uid="{00000000-0005-0000-0000-000045AF0000}"/>
    <cellStyle name="Comma 4 2 4 2 3 2 7" xfId="13426" xr:uid="{00000000-0005-0000-0000-000046AF0000}"/>
    <cellStyle name="Comma 4 2 4 2 3 2 7 2" xfId="36705" xr:uid="{00000000-0005-0000-0000-000047AF0000}"/>
    <cellStyle name="Comma 4 2 4 2 3 2 8" xfId="15897" xr:uid="{00000000-0005-0000-0000-000048AF0000}"/>
    <cellStyle name="Comma 4 2 4 2 3 2 8 2" xfId="39175" xr:uid="{00000000-0005-0000-0000-000049AF0000}"/>
    <cellStyle name="Comma 4 2 4 2 3 2 9" xfId="24465" xr:uid="{00000000-0005-0000-0000-00004AAF0000}"/>
    <cellStyle name="Comma 4 2 4 2 3 3" xfId="1798" xr:uid="{00000000-0005-0000-0000-00004BAF0000}"/>
    <cellStyle name="Comma 4 2 4 2 3 3 10" xfId="22629" xr:uid="{00000000-0005-0000-0000-00004CAF0000}"/>
    <cellStyle name="Comma 4 2 4 2 3 3 2" xfId="4246" xr:uid="{00000000-0005-0000-0000-00004DAF0000}"/>
    <cellStyle name="Comma 4 2 4 2 3 3 2 2" xfId="20181" xr:uid="{00000000-0005-0000-0000-00004EAF0000}"/>
    <cellStyle name="Comma 4 2 4 2 3 3 2 2 2" xfId="43459" xr:uid="{00000000-0005-0000-0000-00004FAF0000}"/>
    <cellStyle name="Comma 4 2 4 2 3 3 2 3" xfId="48355" xr:uid="{00000000-0005-0000-0000-000050AF0000}"/>
    <cellStyle name="Comma 4 2 4 2 3 3 2 4" xfId="27525" xr:uid="{00000000-0005-0000-0000-000051AF0000}"/>
    <cellStyle name="Comma 4 2 4 2 3 3 3" xfId="6694" xr:uid="{00000000-0005-0000-0000-000052AF0000}"/>
    <cellStyle name="Comma 4 2 4 2 3 3 3 2" xfId="29973" xr:uid="{00000000-0005-0000-0000-000053AF0000}"/>
    <cellStyle name="Comma 4 2 4 2 3 3 4" xfId="9142" xr:uid="{00000000-0005-0000-0000-000054AF0000}"/>
    <cellStyle name="Comma 4 2 4 2 3 3 4 2" xfId="32421" xr:uid="{00000000-0005-0000-0000-000055AF0000}"/>
    <cellStyle name="Comma 4 2 4 2 3 3 5" xfId="11590" xr:uid="{00000000-0005-0000-0000-000056AF0000}"/>
    <cellStyle name="Comma 4 2 4 2 3 3 5 2" xfId="34869" xr:uid="{00000000-0005-0000-0000-000057AF0000}"/>
    <cellStyle name="Comma 4 2 4 2 3 3 6" xfId="14038" xr:uid="{00000000-0005-0000-0000-000058AF0000}"/>
    <cellStyle name="Comma 4 2 4 2 3 3 6 2" xfId="37317" xr:uid="{00000000-0005-0000-0000-000059AF0000}"/>
    <cellStyle name="Comma 4 2 4 2 3 3 7" xfId="17733" xr:uid="{00000000-0005-0000-0000-00005AAF0000}"/>
    <cellStyle name="Comma 4 2 4 2 3 3 7 2" xfId="41011" xr:uid="{00000000-0005-0000-0000-00005BAF0000}"/>
    <cellStyle name="Comma 4 2 4 2 3 3 8" xfId="25077" xr:uid="{00000000-0005-0000-0000-00005CAF0000}"/>
    <cellStyle name="Comma 4 2 4 2 3 3 9" xfId="45907" xr:uid="{00000000-0005-0000-0000-00005DAF0000}"/>
    <cellStyle name="Comma 4 2 4 2 3 4" xfId="3022" xr:uid="{00000000-0005-0000-0000-00005EAF0000}"/>
    <cellStyle name="Comma 4 2 4 2 3 4 2" xfId="16509" xr:uid="{00000000-0005-0000-0000-00005FAF0000}"/>
    <cellStyle name="Comma 4 2 4 2 3 4 2 2" xfId="39787" xr:uid="{00000000-0005-0000-0000-000060AF0000}"/>
    <cellStyle name="Comma 4 2 4 2 3 4 3" xfId="47131" xr:uid="{00000000-0005-0000-0000-000061AF0000}"/>
    <cellStyle name="Comma 4 2 4 2 3 4 4" xfId="26301" xr:uid="{00000000-0005-0000-0000-000062AF0000}"/>
    <cellStyle name="Comma 4 2 4 2 3 5" xfId="5470" xr:uid="{00000000-0005-0000-0000-000063AF0000}"/>
    <cellStyle name="Comma 4 2 4 2 3 5 2" xfId="18957" xr:uid="{00000000-0005-0000-0000-000064AF0000}"/>
    <cellStyle name="Comma 4 2 4 2 3 5 2 2" xfId="42235" xr:uid="{00000000-0005-0000-0000-000065AF0000}"/>
    <cellStyle name="Comma 4 2 4 2 3 5 3" xfId="28749" xr:uid="{00000000-0005-0000-0000-000066AF0000}"/>
    <cellStyle name="Comma 4 2 4 2 3 6" xfId="7918" xr:uid="{00000000-0005-0000-0000-000067AF0000}"/>
    <cellStyle name="Comma 4 2 4 2 3 6 2" xfId="31197" xr:uid="{00000000-0005-0000-0000-000068AF0000}"/>
    <cellStyle name="Comma 4 2 4 2 3 7" xfId="10366" xr:uid="{00000000-0005-0000-0000-000069AF0000}"/>
    <cellStyle name="Comma 4 2 4 2 3 7 2" xfId="33645" xr:uid="{00000000-0005-0000-0000-00006AAF0000}"/>
    <cellStyle name="Comma 4 2 4 2 3 8" xfId="12814" xr:uid="{00000000-0005-0000-0000-00006BAF0000}"/>
    <cellStyle name="Comma 4 2 4 2 3 8 2" xfId="36093" xr:uid="{00000000-0005-0000-0000-00006CAF0000}"/>
    <cellStyle name="Comma 4 2 4 2 3 9" xfId="15285" xr:uid="{00000000-0005-0000-0000-00006DAF0000}"/>
    <cellStyle name="Comma 4 2 4 2 3 9 2" xfId="38563" xr:uid="{00000000-0005-0000-0000-00006EAF0000}"/>
    <cellStyle name="Comma 4 2 4 2 4" xfId="778" xr:uid="{00000000-0005-0000-0000-00006FAF0000}"/>
    <cellStyle name="Comma 4 2 4 2 4 10" xfId="44887" xr:uid="{00000000-0005-0000-0000-000070AF0000}"/>
    <cellStyle name="Comma 4 2 4 2 4 11" xfId="21609" xr:uid="{00000000-0005-0000-0000-000071AF0000}"/>
    <cellStyle name="Comma 4 2 4 2 4 2" xfId="2002" xr:uid="{00000000-0005-0000-0000-000072AF0000}"/>
    <cellStyle name="Comma 4 2 4 2 4 2 10" xfId="22833" xr:uid="{00000000-0005-0000-0000-000073AF0000}"/>
    <cellStyle name="Comma 4 2 4 2 4 2 2" xfId="4450" xr:uid="{00000000-0005-0000-0000-000074AF0000}"/>
    <cellStyle name="Comma 4 2 4 2 4 2 2 2" xfId="20385" xr:uid="{00000000-0005-0000-0000-000075AF0000}"/>
    <cellStyle name="Comma 4 2 4 2 4 2 2 2 2" xfId="43663" xr:uid="{00000000-0005-0000-0000-000076AF0000}"/>
    <cellStyle name="Comma 4 2 4 2 4 2 2 3" xfId="48559" xr:uid="{00000000-0005-0000-0000-000077AF0000}"/>
    <cellStyle name="Comma 4 2 4 2 4 2 2 4" xfId="27729" xr:uid="{00000000-0005-0000-0000-000078AF0000}"/>
    <cellStyle name="Comma 4 2 4 2 4 2 3" xfId="6898" xr:uid="{00000000-0005-0000-0000-000079AF0000}"/>
    <cellStyle name="Comma 4 2 4 2 4 2 3 2" xfId="30177" xr:uid="{00000000-0005-0000-0000-00007AAF0000}"/>
    <cellStyle name="Comma 4 2 4 2 4 2 4" xfId="9346" xr:uid="{00000000-0005-0000-0000-00007BAF0000}"/>
    <cellStyle name="Comma 4 2 4 2 4 2 4 2" xfId="32625" xr:uid="{00000000-0005-0000-0000-00007CAF0000}"/>
    <cellStyle name="Comma 4 2 4 2 4 2 5" xfId="11794" xr:uid="{00000000-0005-0000-0000-00007DAF0000}"/>
    <cellStyle name="Comma 4 2 4 2 4 2 5 2" xfId="35073" xr:uid="{00000000-0005-0000-0000-00007EAF0000}"/>
    <cellStyle name="Comma 4 2 4 2 4 2 6" xfId="14242" xr:uid="{00000000-0005-0000-0000-00007FAF0000}"/>
    <cellStyle name="Comma 4 2 4 2 4 2 6 2" xfId="37521" xr:uid="{00000000-0005-0000-0000-000080AF0000}"/>
    <cellStyle name="Comma 4 2 4 2 4 2 7" xfId="17937" xr:uid="{00000000-0005-0000-0000-000081AF0000}"/>
    <cellStyle name="Comma 4 2 4 2 4 2 7 2" xfId="41215" xr:uid="{00000000-0005-0000-0000-000082AF0000}"/>
    <cellStyle name="Comma 4 2 4 2 4 2 8" xfId="25281" xr:uid="{00000000-0005-0000-0000-000083AF0000}"/>
    <cellStyle name="Comma 4 2 4 2 4 2 9" xfId="46111" xr:uid="{00000000-0005-0000-0000-000084AF0000}"/>
    <cellStyle name="Comma 4 2 4 2 4 3" xfId="3226" xr:uid="{00000000-0005-0000-0000-000085AF0000}"/>
    <cellStyle name="Comma 4 2 4 2 4 3 2" xfId="16713" xr:uid="{00000000-0005-0000-0000-000086AF0000}"/>
    <cellStyle name="Comma 4 2 4 2 4 3 2 2" xfId="39991" xr:uid="{00000000-0005-0000-0000-000087AF0000}"/>
    <cellStyle name="Comma 4 2 4 2 4 3 3" xfId="47335" xr:uid="{00000000-0005-0000-0000-000088AF0000}"/>
    <cellStyle name="Comma 4 2 4 2 4 3 4" xfId="26505" xr:uid="{00000000-0005-0000-0000-000089AF0000}"/>
    <cellStyle name="Comma 4 2 4 2 4 4" xfId="5674" xr:uid="{00000000-0005-0000-0000-00008AAF0000}"/>
    <cellStyle name="Comma 4 2 4 2 4 4 2" xfId="19161" xr:uid="{00000000-0005-0000-0000-00008BAF0000}"/>
    <cellStyle name="Comma 4 2 4 2 4 4 2 2" xfId="42439" xr:uid="{00000000-0005-0000-0000-00008CAF0000}"/>
    <cellStyle name="Comma 4 2 4 2 4 4 3" xfId="28953" xr:uid="{00000000-0005-0000-0000-00008DAF0000}"/>
    <cellStyle name="Comma 4 2 4 2 4 5" xfId="8122" xr:uid="{00000000-0005-0000-0000-00008EAF0000}"/>
    <cellStyle name="Comma 4 2 4 2 4 5 2" xfId="31401" xr:uid="{00000000-0005-0000-0000-00008FAF0000}"/>
    <cellStyle name="Comma 4 2 4 2 4 6" xfId="10570" xr:uid="{00000000-0005-0000-0000-000090AF0000}"/>
    <cellStyle name="Comma 4 2 4 2 4 6 2" xfId="33849" xr:uid="{00000000-0005-0000-0000-000091AF0000}"/>
    <cellStyle name="Comma 4 2 4 2 4 7" xfId="13018" xr:uid="{00000000-0005-0000-0000-000092AF0000}"/>
    <cellStyle name="Comma 4 2 4 2 4 7 2" xfId="36297" xr:uid="{00000000-0005-0000-0000-000093AF0000}"/>
    <cellStyle name="Comma 4 2 4 2 4 8" xfId="15489" xr:uid="{00000000-0005-0000-0000-000094AF0000}"/>
    <cellStyle name="Comma 4 2 4 2 4 8 2" xfId="38767" xr:uid="{00000000-0005-0000-0000-000095AF0000}"/>
    <cellStyle name="Comma 4 2 4 2 4 9" xfId="24057" xr:uid="{00000000-0005-0000-0000-000096AF0000}"/>
    <cellStyle name="Comma 4 2 4 2 5" xfId="1390" xr:uid="{00000000-0005-0000-0000-000097AF0000}"/>
    <cellStyle name="Comma 4 2 4 2 5 10" xfId="22221" xr:uid="{00000000-0005-0000-0000-000098AF0000}"/>
    <cellStyle name="Comma 4 2 4 2 5 2" xfId="3838" xr:uid="{00000000-0005-0000-0000-000099AF0000}"/>
    <cellStyle name="Comma 4 2 4 2 5 2 2" xfId="19773" xr:uid="{00000000-0005-0000-0000-00009AAF0000}"/>
    <cellStyle name="Comma 4 2 4 2 5 2 2 2" xfId="43051" xr:uid="{00000000-0005-0000-0000-00009BAF0000}"/>
    <cellStyle name="Comma 4 2 4 2 5 2 3" xfId="47947" xr:uid="{00000000-0005-0000-0000-00009CAF0000}"/>
    <cellStyle name="Comma 4 2 4 2 5 2 4" xfId="27117" xr:uid="{00000000-0005-0000-0000-00009DAF0000}"/>
    <cellStyle name="Comma 4 2 4 2 5 3" xfId="6286" xr:uid="{00000000-0005-0000-0000-00009EAF0000}"/>
    <cellStyle name="Comma 4 2 4 2 5 3 2" xfId="29565" xr:uid="{00000000-0005-0000-0000-00009FAF0000}"/>
    <cellStyle name="Comma 4 2 4 2 5 4" xfId="8734" xr:uid="{00000000-0005-0000-0000-0000A0AF0000}"/>
    <cellStyle name="Comma 4 2 4 2 5 4 2" xfId="32013" xr:uid="{00000000-0005-0000-0000-0000A1AF0000}"/>
    <cellStyle name="Comma 4 2 4 2 5 5" xfId="11182" xr:uid="{00000000-0005-0000-0000-0000A2AF0000}"/>
    <cellStyle name="Comma 4 2 4 2 5 5 2" xfId="34461" xr:uid="{00000000-0005-0000-0000-0000A3AF0000}"/>
    <cellStyle name="Comma 4 2 4 2 5 6" xfId="13630" xr:uid="{00000000-0005-0000-0000-0000A4AF0000}"/>
    <cellStyle name="Comma 4 2 4 2 5 6 2" xfId="36909" xr:uid="{00000000-0005-0000-0000-0000A5AF0000}"/>
    <cellStyle name="Comma 4 2 4 2 5 7" xfId="17325" xr:uid="{00000000-0005-0000-0000-0000A6AF0000}"/>
    <cellStyle name="Comma 4 2 4 2 5 7 2" xfId="40603" xr:uid="{00000000-0005-0000-0000-0000A7AF0000}"/>
    <cellStyle name="Comma 4 2 4 2 5 8" xfId="24669" xr:uid="{00000000-0005-0000-0000-0000A8AF0000}"/>
    <cellStyle name="Comma 4 2 4 2 5 9" xfId="45499" xr:uid="{00000000-0005-0000-0000-0000A9AF0000}"/>
    <cellStyle name="Comma 4 2 4 2 6" xfId="2614" xr:uid="{00000000-0005-0000-0000-0000AAAF0000}"/>
    <cellStyle name="Comma 4 2 4 2 6 2" xfId="16101" xr:uid="{00000000-0005-0000-0000-0000ABAF0000}"/>
    <cellStyle name="Comma 4 2 4 2 6 2 2" xfId="39379" xr:uid="{00000000-0005-0000-0000-0000ACAF0000}"/>
    <cellStyle name="Comma 4 2 4 2 6 3" xfId="46723" xr:uid="{00000000-0005-0000-0000-0000ADAF0000}"/>
    <cellStyle name="Comma 4 2 4 2 6 4" xfId="25893" xr:uid="{00000000-0005-0000-0000-0000AEAF0000}"/>
    <cellStyle name="Comma 4 2 4 2 7" xfId="5062" xr:uid="{00000000-0005-0000-0000-0000AFAF0000}"/>
    <cellStyle name="Comma 4 2 4 2 7 2" xfId="18549" xr:uid="{00000000-0005-0000-0000-0000B0AF0000}"/>
    <cellStyle name="Comma 4 2 4 2 7 2 2" xfId="41827" xr:uid="{00000000-0005-0000-0000-0000B1AF0000}"/>
    <cellStyle name="Comma 4 2 4 2 7 3" xfId="28341" xr:uid="{00000000-0005-0000-0000-0000B2AF0000}"/>
    <cellStyle name="Comma 4 2 4 2 8" xfId="7510" xr:uid="{00000000-0005-0000-0000-0000B3AF0000}"/>
    <cellStyle name="Comma 4 2 4 2 8 2" xfId="30789" xr:uid="{00000000-0005-0000-0000-0000B4AF0000}"/>
    <cellStyle name="Comma 4 2 4 2 9" xfId="9958" xr:uid="{00000000-0005-0000-0000-0000B5AF0000}"/>
    <cellStyle name="Comma 4 2 4 2 9 2" xfId="33237" xr:uid="{00000000-0005-0000-0000-0000B6AF0000}"/>
    <cellStyle name="Comma 4 2 4 3" xfId="234" xr:uid="{00000000-0005-0000-0000-0000B7AF0000}"/>
    <cellStyle name="Comma 4 2 4 3 10" xfId="12474" xr:uid="{00000000-0005-0000-0000-0000B8AF0000}"/>
    <cellStyle name="Comma 4 2 4 3 10 2" xfId="35753" xr:uid="{00000000-0005-0000-0000-0000B9AF0000}"/>
    <cellStyle name="Comma 4 2 4 3 11" xfId="14945" xr:uid="{00000000-0005-0000-0000-0000BAAF0000}"/>
    <cellStyle name="Comma 4 2 4 3 11 2" xfId="38223" xr:uid="{00000000-0005-0000-0000-0000BBAF0000}"/>
    <cellStyle name="Comma 4 2 4 3 12" xfId="23513" xr:uid="{00000000-0005-0000-0000-0000BCAF0000}"/>
    <cellStyle name="Comma 4 2 4 3 13" xfId="44343" xr:uid="{00000000-0005-0000-0000-0000BDAF0000}"/>
    <cellStyle name="Comma 4 2 4 3 14" xfId="21065" xr:uid="{00000000-0005-0000-0000-0000BEAF0000}"/>
    <cellStyle name="Comma 4 2 4 3 2" xfId="438" xr:uid="{00000000-0005-0000-0000-0000BFAF0000}"/>
    <cellStyle name="Comma 4 2 4 3 2 10" xfId="23717" xr:uid="{00000000-0005-0000-0000-0000C0AF0000}"/>
    <cellStyle name="Comma 4 2 4 3 2 11" xfId="44547" xr:uid="{00000000-0005-0000-0000-0000C1AF0000}"/>
    <cellStyle name="Comma 4 2 4 3 2 12" xfId="21269" xr:uid="{00000000-0005-0000-0000-0000C2AF0000}"/>
    <cellStyle name="Comma 4 2 4 3 2 2" xfId="1050" xr:uid="{00000000-0005-0000-0000-0000C3AF0000}"/>
    <cellStyle name="Comma 4 2 4 3 2 2 10" xfId="45159" xr:uid="{00000000-0005-0000-0000-0000C4AF0000}"/>
    <cellStyle name="Comma 4 2 4 3 2 2 11" xfId="21881" xr:uid="{00000000-0005-0000-0000-0000C5AF0000}"/>
    <cellStyle name="Comma 4 2 4 3 2 2 2" xfId="2274" xr:uid="{00000000-0005-0000-0000-0000C6AF0000}"/>
    <cellStyle name="Comma 4 2 4 3 2 2 2 10" xfId="23105" xr:uid="{00000000-0005-0000-0000-0000C7AF0000}"/>
    <cellStyle name="Comma 4 2 4 3 2 2 2 2" xfId="4722" xr:uid="{00000000-0005-0000-0000-0000C8AF0000}"/>
    <cellStyle name="Comma 4 2 4 3 2 2 2 2 2" xfId="20657" xr:uid="{00000000-0005-0000-0000-0000C9AF0000}"/>
    <cellStyle name="Comma 4 2 4 3 2 2 2 2 2 2" xfId="43935" xr:uid="{00000000-0005-0000-0000-0000CAAF0000}"/>
    <cellStyle name="Comma 4 2 4 3 2 2 2 2 3" xfId="48831" xr:uid="{00000000-0005-0000-0000-0000CBAF0000}"/>
    <cellStyle name="Comma 4 2 4 3 2 2 2 2 4" xfId="28001" xr:uid="{00000000-0005-0000-0000-0000CCAF0000}"/>
    <cellStyle name="Comma 4 2 4 3 2 2 2 3" xfId="7170" xr:uid="{00000000-0005-0000-0000-0000CDAF0000}"/>
    <cellStyle name="Comma 4 2 4 3 2 2 2 3 2" xfId="30449" xr:uid="{00000000-0005-0000-0000-0000CEAF0000}"/>
    <cellStyle name="Comma 4 2 4 3 2 2 2 4" xfId="9618" xr:uid="{00000000-0005-0000-0000-0000CFAF0000}"/>
    <cellStyle name="Comma 4 2 4 3 2 2 2 4 2" xfId="32897" xr:uid="{00000000-0005-0000-0000-0000D0AF0000}"/>
    <cellStyle name="Comma 4 2 4 3 2 2 2 5" xfId="12066" xr:uid="{00000000-0005-0000-0000-0000D1AF0000}"/>
    <cellStyle name="Comma 4 2 4 3 2 2 2 5 2" xfId="35345" xr:uid="{00000000-0005-0000-0000-0000D2AF0000}"/>
    <cellStyle name="Comma 4 2 4 3 2 2 2 6" xfId="14514" xr:uid="{00000000-0005-0000-0000-0000D3AF0000}"/>
    <cellStyle name="Comma 4 2 4 3 2 2 2 6 2" xfId="37793" xr:uid="{00000000-0005-0000-0000-0000D4AF0000}"/>
    <cellStyle name="Comma 4 2 4 3 2 2 2 7" xfId="18209" xr:uid="{00000000-0005-0000-0000-0000D5AF0000}"/>
    <cellStyle name="Comma 4 2 4 3 2 2 2 7 2" xfId="41487" xr:uid="{00000000-0005-0000-0000-0000D6AF0000}"/>
    <cellStyle name="Comma 4 2 4 3 2 2 2 8" xfId="25553" xr:uid="{00000000-0005-0000-0000-0000D7AF0000}"/>
    <cellStyle name="Comma 4 2 4 3 2 2 2 9" xfId="46383" xr:uid="{00000000-0005-0000-0000-0000D8AF0000}"/>
    <cellStyle name="Comma 4 2 4 3 2 2 3" xfId="3498" xr:uid="{00000000-0005-0000-0000-0000D9AF0000}"/>
    <cellStyle name="Comma 4 2 4 3 2 2 3 2" xfId="16985" xr:uid="{00000000-0005-0000-0000-0000DAAF0000}"/>
    <cellStyle name="Comma 4 2 4 3 2 2 3 2 2" xfId="40263" xr:uid="{00000000-0005-0000-0000-0000DBAF0000}"/>
    <cellStyle name="Comma 4 2 4 3 2 2 3 3" xfId="47607" xr:uid="{00000000-0005-0000-0000-0000DCAF0000}"/>
    <cellStyle name="Comma 4 2 4 3 2 2 3 4" xfId="26777" xr:uid="{00000000-0005-0000-0000-0000DDAF0000}"/>
    <cellStyle name="Comma 4 2 4 3 2 2 4" xfId="5946" xr:uid="{00000000-0005-0000-0000-0000DEAF0000}"/>
    <cellStyle name="Comma 4 2 4 3 2 2 4 2" xfId="19433" xr:uid="{00000000-0005-0000-0000-0000DFAF0000}"/>
    <cellStyle name="Comma 4 2 4 3 2 2 4 2 2" xfId="42711" xr:uid="{00000000-0005-0000-0000-0000E0AF0000}"/>
    <cellStyle name="Comma 4 2 4 3 2 2 4 3" xfId="29225" xr:uid="{00000000-0005-0000-0000-0000E1AF0000}"/>
    <cellStyle name="Comma 4 2 4 3 2 2 5" xfId="8394" xr:uid="{00000000-0005-0000-0000-0000E2AF0000}"/>
    <cellStyle name="Comma 4 2 4 3 2 2 5 2" xfId="31673" xr:uid="{00000000-0005-0000-0000-0000E3AF0000}"/>
    <cellStyle name="Comma 4 2 4 3 2 2 6" xfId="10842" xr:uid="{00000000-0005-0000-0000-0000E4AF0000}"/>
    <cellStyle name="Comma 4 2 4 3 2 2 6 2" xfId="34121" xr:uid="{00000000-0005-0000-0000-0000E5AF0000}"/>
    <cellStyle name="Comma 4 2 4 3 2 2 7" xfId="13290" xr:uid="{00000000-0005-0000-0000-0000E6AF0000}"/>
    <cellStyle name="Comma 4 2 4 3 2 2 7 2" xfId="36569" xr:uid="{00000000-0005-0000-0000-0000E7AF0000}"/>
    <cellStyle name="Comma 4 2 4 3 2 2 8" xfId="15761" xr:uid="{00000000-0005-0000-0000-0000E8AF0000}"/>
    <cellStyle name="Comma 4 2 4 3 2 2 8 2" xfId="39039" xr:uid="{00000000-0005-0000-0000-0000E9AF0000}"/>
    <cellStyle name="Comma 4 2 4 3 2 2 9" xfId="24329" xr:uid="{00000000-0005-0000-0000-0000EAAF0000}"/>
    <cellStyle name="Comma 4 2 4 3 2 3" xfId="1662" xr:uid="{00000000-0005-0000-0000-0000EBAF0000}"/>
    <cellStyle name="Comma 4 2 4 3 2 3 10" xfId="22493" xr:uid="{00000000-0005-0000-0000-0000ECAF0000}"/>
    <cellStyle name="Comma 4 2 4 3 2 3 2" xfId="4110" xr:uid="{00000000-0005-0000-0000-0000EDAF0000}"/>
    <cellStyle name="Comma 4 2 4 3 2 3 2 2" xfId="20045" xr:uid="{00000000-0005-0000-0000-0000EEAF0000}"/>
    <cellStyle name="Comma 4 2 4 3 2 3 2 2 2" xfId="43323" xr:uid="{00000000-0005-0000-0000-0000EFAF0000}"/>
    <cellStyle name="Comma 4 2 4 3 2 3 2 3" xfId="48219" xr:uid="{00000000-0005-0000-0000-0000F0AF0000}"/>
    <cellStyle name="Comma 4 2 4 3 2 3 2 4" xfId="27389" xr:uid="{00000000-0005-0000-0000-0000F1AF0000}"/>
    <cellStyle name="Comma 4 2 4 3 2 3 3" xfId="6558" xr:uid="{00000000-0005-0000-0000-0000F2AF0000}"/>
    <cellStyle name="Comma 4 2 4 3 2 3 3 2" xfId="29837" xr:uid="{00000000-0005-0000-0000-0000F3AF0000}"/>
    <cellStyle name="Comma 4 2 4 3 2 3 4" xfId="9006" xr:uid="{00000000-0005-0000-0000-0000F4AF0000}"/>
    <cellStyle name="Comma 4 2 4 3 2 3 4 2" xfId="32285" xr:uid="{00000000-0005-0000-0000-0000F5AF0000}"/>
    <cellStyle name="Comma 4 2 4 3 2 3 5" xfId="11454" xr:uid="{00000000-0005-0000-0000-0000F6AF0000}"/>
    <cellStyle name="Comma 4 2 4 3 2 3 5 2" xfId="34733" xr:uid="{00000000-0005-0000-0000-0000F7AF0000}"/>
    <cellStyle name="Comma 4 2 4 3 2 3 6" xfId="13902" xr:uid="{00000000-0005-0000-0000-0000F8AF0000}"/>
    <cellStyle name="Comma 4 2 4 3 2 3 6 2" xfId="37181" xr:uid="{00000000-0005-0000-0000-0000F9AF0000}"/>
    <cellStyle name="Comma 4 2 4 3 2 3 7" xfId="17597" xr:uid="{00000000-0005-0000-0000-0000FAAF0000}"/>
    <cellStyle name="Comma 4 2 4 3 2 3 7 2" xfId="40875" xr:uid="{00000000-0005-0000-0000-0000FBAF0000}"/>
    <cellStyle name="Comma 4 2 4 3 2 3 8" xfId="24941" xr:uid="{00000000-0005-0000-0000-0000FCAF0000}"/>
    <cellStyle name="Comma 4 2 4 3 2 3 9" xfId="45771" xr:uid="{00000000-0005-0000-0000-0000FDAF0000}"/>
    <cellStyle name="Comma 4 2 4 3 2 4" xfId="2886" xr:uid="{00000000-0005-0000-0000-0000FEAF0000}"/>
    <cellStyle name="Comma 4 2 4 3 2 4 2" xfId="16373" xr:uid="{00000000-0005-0000-0000-0000FFAF0000}"/>
    <cellStyle name="Comma 4 2 4 3 2 4 2 2" xfId="39651" xr:uid="{00000000-0005-0000-0000-000000B00000}"/>
    <cellStyle name="Comma 4 2 4 3 2 4 3" xfId="46995" xr:uid="{00000000-0005-0000-0000-000001B00000}"/>
    <cellStyle name="Comma 4 2 4 3 2 4 4" xfId="26165" xr:uid="{00000000-0005-0000-0000-000002B00000}"/>
    <cellStyle name="Comma 4 2 4 3 2 5" xfId="5334" xr:uid="{00000000-0005-0000-0000-000003B00000}"/>
    <cellStyle name="Comma 4 2 4 3 2 5 2" xfId="18821" xr:uid="{00000000-0005-0000-0000-000004B00000}"/>
    <cellStyle name="Comma 4 2 4 3 2 5 2 2" xfId="42099" xr:uid="{00000000-0005-0000-0000-000005B00000}"/>
    <cellStyle name="Comma 4 2 4 3 2 5 3" xfId="28613" xr:uid="{00000000-0005-0000-0000-000006B00000}"/>
    <cellStyle name="Comma 4 2 4 3 2 6" xfId="7782" xr:uid="{00000000-0005-0000-0000-000007B00000}"/>
    <cellStyle name="Comma 4 2 4 3 2 6 2" xfId="31061" xr:uid="{00000000-0005-0000-0000-000008B00000}"/>
    <cellStyle name="Comma 4 2 4 3 2 7" xfId="10230" xr:uid="{00000000-0005-0000-0000-000009B00000}"/>
    <cellStyle name="Comma 4 2 4 3 2 7 2" xfId="33509" xr:uid="{00000000-0005-0000-0000-00000AB00000}"/>
    <cellStyle name="Comma 4 2 4 3 2 8" xfId="12678" xr:uid="{00000000-0005-0000-0000-00000BB00000}"/>
    <cellStyle name="Comma 4 2 4 3 2 8 2" xfId="35957" xr:uid="{00000000-0005-0000-0000-00000CB00000}"/>
    <cellStyle name="Comma 4 2 4 3 2 9" xfId="15149" xr:uid="{00000000-0005-0000-0000-00000DB00000}"/>
    <cellStyle name="Comma 4 2 4 3 2 9 2" xfId="38427" xr:uid="{00000000-0005-0000-0000-00000EB00000}"/>
    <cellStyle name="Comma 4 2 4 3 3" xfId="642" xr:uid="{00000000-0005-0000-0000-00000FB00000}"/>
    <cellStyle name="Comma 4 2 4 3 3 10" xfId="23921" xr:uid="{00000000-0005-0000-0000-000010B00000}"/>
    <cellStyle name="Comma 4 2 4 3 3 11" xfId="44751" xr:uid="{00000000-0005-0000-0000-000011B00000}"/>
    <cellStyle name="Comma 4 2 4 3 3 12" xfId="21473" xr:uid="{00000000-0005-0000-0000-000012B00000}"/>
    <cellStyle name="Comma 4 2 4 3 3 2" xfId="1254" xr:uid="{00000000-0005-0000-0000-000013B00000}"/>
    <cellStyle name="Comma 4 2 4 3 3 2 10" xfId="45363" xr:uid="{00000000-0005-0000-0000-000014B00000}"/>
    <cellStyle name="Comma 4 2 4 3 3 2 11" xfId="22085" xr:uid="{00000000-0005-0000-0000-000015B00000}"/>
    <cellStyle name="Comma 4 2 4 3 3 2 2" xfId="2478" xr:uid="{00000000-0005-0000-0000-000016B00000}"/>
    <cellStyle name="Comma 4 2 4 3 3 2 2 10" xfId="23309" xr:uid="{00000000-0005-0000-0000-000017B00000}"/>
    <cellStyle name="Comma 4 2 4 3 3 2 2 2" xfId="4926" xr:uid="{00000000-0005-0000-0000-000018B00000}"/>
    <cellStyle name="Comma 4 2 4 3 3 2 2 2 2" xfId="20861" xr:uid="{00000000-0005-0000-0000-000019B00000}"/>
    <cellStyle name="Comma 4 2 4 3 3 2 2 2 2 2" xfId="44139" xr:uid="{00000000-0005-0000-0000-00001AB00000}"/>
    <cellStyle name="Comma 4 2 4 3 3 2 2 2 3" xfId="49035" xr:uid="{00000000-0005-0000-0000-00001BB00000}"/>
    <cellStyle name="Comma 4 2 4 3 3 2 2 2 4" xfId="28205" xr:uid="{00000000-0005-0000-0000-00001CB00000}"/>
    <cellStyle name="Comma 4 2 4 3 3 2 2 3" xfId="7374" xr:uid="{00000000-0005-0000-0000-00001DB00000}"/>
    <cellStyle name="Comma 4 2 4 3 3 2 2 3 2" xfId="30653" xr:uid="{00000000-0005-0000-0000-00001EB00000}"/>
    <cellStyle name="Comma 4 2 4 3 3 2 2 4" xfId="9822" xr:uid="{00000000-0005-0000-0000-00001FB00000}"/>
    <cellStyle name="Comma 4 2 4 3 3 2 2 4 2" xfId="33101" xr:uid="{00000000-0005-0000-0000-000020B00000}"/>
    <cellStyle name="Comma 4 2 4 3 3 2 2 5" xfId="12270" xr:uid="{00000000-0005-0000-0000-000021B00000}"/>
    <cellStyle name="Comma 4 2 4 3 3 2 2 5 2" xfId="35549" xr:uid="{00000000-0005-0000-0000-000022B00000}"/>
    <cellStyle name="Comma 4 2 4 3 3 2 2 6" xfId="14718" xr:uid="{00000000-0005-0000-0000-000023B00000}"/>
    <cellStyle name="Comma 4 2 4 3 3 2 2 6 2" xfId="37997" xr:uid="{00000000-0005-0000-0000-000024B00000}"/>
    <cellStyle name="Comma 4 2 4 3 3 2 2 7" xfId="18413" xr:uid="{00000000-0005-0000-0000-000025B00000}"/>
    <cellStyle name="Comma 4 2 4 3 3 2 2 7 2" xfId="41691" xr:uid="{00000000-0005-0000-0000-000026B00000}"/>
    <cellStyle name="Comma 4 2 4 3 3 2 2 8" xfId="25757" xr:uid="{00000000-0005-0000-0000-000027B00000}"/>
    <cellStyle name="Comma 4 2 4 3 3 2 2 9" xfId="46587" xr:uid="{00000000-0005-0000-0000-000028B00000}"/>
    <cellStyle name="Comma 4 2 4 3 3 2 3" xfId="3702" xr:uid="{00000000-0005-0000-0000-000029B00000}"/>
    <cellStyle name="Comma 4 2 4 3 3 2 3 2" xfId="17189" xr:uid="{00000000-0005-0000-0000-00002AB00000}"/>
    <cellStyle name="Comma 4 2 4 3 3 2 3 2 2" xfId="40467" xr:uid="{00000000-0005-0000-0000-00002BB00000}"/>
    <cellStyle name="Comma 4 2 4 3 3 2 3 3" xfId="47811" xr:uid="{00000000-0005-0000-0000-00002CB00000}"/>
    <cellStyle name="Comma 4 2 4 3 3 2 3 4" xfId="26981" xr:uid="{00000000-0005-0000-0000-00002DB00000}"/>
    <cellStyle name="Comma 4 2 4 3 3 2 4" xfId="6150" xr:uid="{00000000-0005-0000-0000-00002EB00000}"/>
    <cellStyle name="Comma 4 2 4 3 3 2 4 2" xfId="19637" xr:uid="{00000000-0005-0000-0000-00002FB00000}"/>
    <cellStyle name="Comma 4 2 4 3 3 2 4 2 2" xfId="42915" xr:uid="{00000000-0005-0000-0000-000030B00000}"/>
    <cellStyle name="Comma 4 2 4 3 3 2 4 3" xfId="29429" xr:uid="{00000000-0005-0000-0000-000031B00000}"/>
    <cellStyle name="Comma 4 2 4 3 3 2 5" xfId="8598" xr:uid="{00000000-0005-0000-0000-000032B00000}"/>
    <cellStyle name="Comma 4 2 4 3 3 2 5 2" xfId="31877" xr:uid="{00000000-0005-0000-0000-000033B00000}"/>
    <cellStyle name="Comma 4 2 4 3 3 2 6" xfId="11046" xr:uid="{00000000-0005-0000-0000-000034B00000}"/>
    <cellStyle name="Comma 4 2 4 3 3 2 6 2" xfId="34325" xr:uid="{00000000-0005-0000-0000-000035B00000}"/>
    <cellStyle name="Comma 4 2 4 3 3 2 7" xfId="13494" xr:uid="{00000000-0005-0000-0000-000036B00000}"/>
    <cellStyle name="Comma 4 2 4 3 3 2 7 2" xfId="36773" xr:uid="{00000000-0005-0000-0000-000037B00000}"/>
    <cellStyle name="Comma 4 2 4 3 3 2 8" xfId="15965" xr:uid="{00000000-0005-0000-0000-000038B00000}"/>
    <cellStyle name="Comma 4 2 4 3 3 2 8 2" xfId="39243" xr:uid="{00000000-0005-0000-0000-000039B00000}"/>
    <cellStyle name="Comma 4 2 4 3 3 2 9" xfId="24533" xr:uid="{00000000-0005-0000-0000-00003AB00000}"/>
    <cellStyle name="Comma 4 2 4 3 3 3" xfId="1866" xr:uid="{00000000-0005-0000-0000-00003BB00000}"/>
    <cellStyle name="Comma 4 2 4 3 3 3 10" xfId="22697" xr:uid="{00000000-0005-0000-0000-00003CB00000}"/>
    <cellStyle name="Comma 4 2 4 3 3 3 2" xfId="4314" xr:uid="{00000000-0005-0000-0000-00003DB00000}"/>
    <cellStyle name="Comma 4 2 4 3 3 3 2 2" xfId="20249" xr:uid="{00000000-0005-0000-0000-00003EB00000}"/>
    <cellStyle name="Comma 4 2 4 3 3 3 2 2 2" xfId="43527" xr:uid="{00000000-0005-0000-0000-00003FB00000}"/>
    <cellStyle name="Comma 4 2 4 3 3 3 2 3" xfId="48423" xr:uid="{00000000-0005-0000-0000-000040B00000}"/>
    <cellStyle name="Comma 4 2 4 3 3 3 2 4" xfId="27593" xr:uid="{00000000-0005-0000-0000-000041B00000}"/>
    <cellStyle name="Comma 4 2 4 3 3 3 3" xfId="6762" xr:uid="{00000000-0005-0000-0000-000042B00000}"/>
    <cellStyle name="Comma 4 2 4 3 3 3 3 2" xfId="30041" xr:uid="{00000000-0005-0000-0000-000043B00000}"/>
    <cellStyle name="Comma 4 2 4 3 3 3 4" xfId="9210" xr:uid="{00000000-0005-0000-0000-000044B00000}"/>
    <cellStyle name="Comma 4 2 4 3 3 3 4 2" xfId="32489" xr:uid="{00000000-0005-0000-0000-000045B00000}"/>
    <cellStyle name="Comma 4 2 4 3 3 3 5" xfId="11658" xr:uid="{00000000-0005-0000-0000-000046B00000}"/>
    <cellStyle name="Comma 4 2 4 3 3 3 5 2" xfId="34937" xr:uid="{00000000-0005-0000-0000-000047B00000}"/>
    <cellStyle name="Comma 4 2 4 3 3 3 6" xfId="14106" xr:uid="{00000000-0005-0000-0000-000048B00000}"/>
    <cellStyle name="Comma 4 2 4 3 3 3 6 2" xfId="37385" xr:uid="{00000000-0005-0000-0000-000049B00000}"/>
    <cellStyle name="Comma 4 2 4 3 3 3 7" xfId="17801" xr:uid="{00000000-0005-0000-0000-00004AB00000}"/>
    <cellStyle name="Comma 4 2 4 3 3 3 7 2" xfId="41079" xr:uid="{00000000-0005-0000-0000-00004BB00000}"/>
    <cellStyle name="Comma 4 2 4 3 3 3 8" xfId="25145" xr:uid="{00000000-0005-0000-0000-00004CB00000}"/>
    <cellStyle name="Comma 4 2 4 3 3 3 9" xfId="45975" xr:uid="{00000000-0005-0000-0000-00004DB00000}"/>
    <cellStyle name="Comma 4 2 4 3 3 4" xfId="3090" xr:uid="{00000000-0005-0000-0000-00004EB00000}"/>
    <cellStyle name="Comma 4 2 4 3 3 4 2" xfId="16577" xr:uid="{00000000-0005-0000-0000-00004FB00000}"/>
    <cellStyle name="Comma 4 2 4 3 3 4 2 2" xfId="39855" xr:uid="{00000000-0005-0000-0000-000050B00000}"/>
    <cellStyle name="Comma 4 2 4 3 3 4 3" xfId="47199" xr:uid="{00000000-0005-0000-0000-000051B00000}"/>
    <cellStyle name="Comma 4 2 4 3 3 4 4" xfId="26369" xr:uid="{00000000-0005-0000-0000-000052B00000}"/>
    <cellStyle name="Comma 4 2 4 3 3 5" xfId="5538" xr:uid="{00000000-0005-0000-0000-000053B00000}"/>
    <cellStyle name="Comma 4 2 4 3 3 5 2" xfId="19025" xr:uid="{00000000-0005-0000-0000-000054B00000}"/>
    <cellStyle name="Comma 4 2 4 3 3 5 2 2" xfId="42303" xr:uid="{00000000-0005-0000-0000-000055B00000}"/>
    <cellStyle name="Comma 4 2 4 3 3 5 3" xfId="28817" xr:uid="{00000000-0005-0000-0000-000056B00000}"/>
    <cellStyle name="Comma 4 2 4 3 3 6" xfId="7986" xr:uid="{00000000-0005-0000-0000-000057B00000}"/>
    <cellStyle name="Comma 4 2 4 3 3 6 2" xfId="31265" xr:uid="{00000000-0005-0000-0000-000058B00000}"/>
    <cellStyle name="Comma 4 2 4 3 3 7" xfId="10434" xr:uid="{00000000-0005-0000-0000-000059B00000}"/>
    <cellStyle name="Comma 4 2 4 3 3 7 2" xfId="33713" xr:uid="{00000000-0005-0000-0000-00005AB00000}"/>
    <cellStyle name="Comma 4 2 4 3 3 8" xfId="12882" xr:uid="{00000000-0005-0000-0000-00005BB00000}"/>
    <cellStyle name="Comma 4 2 4 3 3 8 2" xfId="36161" xr:uid="{00000000-0005-0000-0000-00005CB00000}"/>
    <cellStyle name="Comma 4 2 4 3 3 9" xfId="15353" xr:uid="{00000000-0005-0000-0000-00005DB00000}"/>
    <cellStyle name="Comma 4 2 4 3 3 9 2" xfId="38631" xr:uid="{00000000-0005-0000-0000-00005EB00000}"/>
    <cellStyle name="Comma 4 2 4 3 4" xfId="846" xr:uid="{00000000-0005-0000-0000-00005FB00000}"/>
    <cellStyle name="Comma 4 2 4 3 4 10" xfId="44955" xr:uid="{00000000-0005-0000-0000-000060B00000}"/>
    <cellStyle name="Comma 4 2 4 3 4 11" xfId="21677" xr:uid="{00000000-0005-0000-0000-000061B00000}"/>
    <cellStyle name="Comma 4 2 4 3 4 2" xfId="2070" xr:uid="{00000000-0005-0000-0000-000062B00000}"/>
    <cellStyle name="Comma 4 2 4 3 4 2 10" xfId="22901" xr:uid="{00000000-0005-0000-0000-000063B00000}"/>
    <cellStyle name="Comma 4 2 4 3 4 2 2" xfId="4518" xr:uid="{00000000-0005-0000-0000-000064B00000}"/>
    <cellStyle name="Comma 4 2 4 3 4 2 2 2" xfId="20453" xr:uid="{00000000-0005-0000-0000-000065B00000}"/>
    <cellStyle name="Comma 4 2 4 3 4 2 2 2 2" xfId="43731" xr:uid="{00000000-0005-0000-0000-000066B00000}"/>
    <cellStyle name="Comma 4 2 4 3 4 2 2 3" xfId="48627" xr:uid="{00000000-0005-0000-0000-000067B00000}"/>
    <cellStyle name="Comma 4 2 4 3 4 2 2 4" xfId="27797" xr:uid="{00000000-0005-0000-0000-000068B00000}"/>
    <cellStyle name="Comma 4 2 4 3 4 2 3" xfId="6966" xr:uid="{00000000-0005-0000-0000-000069B00000}"/>
    <cellStyle name="Comma 4 2 4 3 4 2 3 2" xfId="30245" xr:uid="{00000000-0005-0000-0000-00006AB00000}"/>
    <cellStyle name="Comma 4 2 4 3 4 2 4" xfId="9414" xr:uid="{00000000-0005-0000-0000-00006BB00000}"/>
    <cellStyle name="Comma 4 2 4 3 4 2 4 2" xfId="32693" xr:uid="{00000000-0005-0000-0000-00006CB00000}"/>
    <cellStyle name="Comma 4 2 4 3 4 2 5" xfId="11862" xr:uid="{00000000-0005-0000-0000-00006DB00000}"/>
    <cellStyle name="Comma 4 2 4 3 4 2 5 2" xfId="35141" xr:uid="{00000000-0005-0000-0000-00006EB00000}"/>
    <cellStyle name="Comma 4 2 4 3 4 2 6" xfId="14310" xr:uid="{00000000-0005-0000-0000-00006FB00000}"/>
    <cellStyle name="Comma 4 2 4 3 4 2 6 2" xfId="37589" xr:uid="{00000000-0005-0000-0000-000070B00000}"/>
    <cellStyle name="Comma 4 2 4 3 4 2 7" xfId="18005" xr:uid="{00000000-0005-0000-0000-000071B00000}"/>
    <cellStyle name="Comma 4 2 4 3 4 2 7 2" xfId="41283" xr:uid="{00000000-0005-0000-0000-000072B00000}"/>
    <cellStyle name="Comma 4 2 4 3 4 2 8" xfId="25349" xr:uid="{00000000-0005-0000-0000-000073B00000}"/>
    <cellStyle name="Comma 4 2 4 3 4 2 9" xfId="46179" xr:uid="{00000000-0005-0000-0000-000074B00000}"/>
    <cellStyle name="Comma 4 2 4 3 4 3" xfId="3294" xr:uid="{00000000-0005-0000-0000-000075B00000}"/>
    <cellStyle name="Comma 4 2 4 3 4 3 2" xfId="16781" xr:uid="{00000000-0005-0000-0000-000076B00000}"/>
    <cellStyle name="Comma 4 2 4 3 4 3 2 2" xfId="40059" xr:uid="{00000000-0005-0000-0000-000077B00000}"/>
    <cellStyle name="Comma 4 2 4 3 4 3 3" xfId="47403" xr:uid="{00000000-0005-0000-0000-000078B00000}"/>
    <cellStyle name="Comma 4 2 4 3 4 3 4" xfId="26573" xr:uid="{00000000-0005-0000-0000-000079B00000}"/>
    <cellStyle name="Comma 4 2 4 3 4 4" xfId="5742" xr:uid="{00000000-0005-0000-0000-00007AB00000}"/>
    <cellStyle name="Comma 4 2 4 3 4 4 2" xfId="19229" xr:uid="{00000000-0005-0000-0000-00007BB00000}"/>
    <cellStyle name="Comma 4 2 4 3 4 4 2 2" xfId="42507" xr:uid="{00000000-0005-0000-0000-00007CB00000}"/>
    <cellStyle name="Comma 4 2 4 3 4 4 3" xfId="29021" xr:uid="{00000000-0005-0000-0000-00007DB00000}"/>
    <cellStyle name="Comma 4 2 4 3 4 5" xfId="8190" xr:uid="{00000000-0005-0000-0000-00007EB00000}"/>
    <cellStyle name="Comma 4 2 4 3 4 5 2" xfId="31469" xr:uid="{00000000-0005-0000-0000-00007FB00000}"/>
    <cellStyle name="Comma 4 2 4 3 4 6" xfId="10638" xr:uid="{00000000-0005-0000-0000-000080B00000}"/>
    <cellStyle name="Comma 4 2 4 3 4 6 2" xfId="33917" xr:uid="{00000000-0005-0000-0000-000081B00000}"/>
    <cellStyle name="Comma 4 2 4 3 4 7" xfId="13086" xr:uid="{00000000-0005-0000-0000-000082B00000}"/>
    <cellStyle name="Comma 4 2 4 3 4 7 2" xfId="36365" xr:uid="{00000000-0005-0000-0000-000083B00000}"/>
    <cellStyle name="Comma 4 2 4 3 4 8" xfId="15557" xr:uid="{00000000-0005-0000-0000-000084B00000}"/>
    <cellStyle name="Comma 4 2 4 3 4 8 2" xfId="38835" xr:uid="{00000000-0005-0000-0000-000085B00000}"/>
    <cellStyle name="Comma 4 2 4 3 4 9" xfId="24125" xr:uid="{00000000-0005-0000-0000-000086B00000}"/>
    <cellStyle name="Comma 4 2 4 3 5" xfId="1458" xr:uid="{00000000-0005-0000-0000-000087B00000}"/>
    <cellStyle name="Comma 4 2 4 3 5 10" xfId="22289" xr:uid="{00000000-0005-0000-0000-000088B00000}"/>
    <cellStyle name="Comma 4 2 4 3 5 2" xfId="3906" xr:uid="{00000000-0005-0000-0000-000089B00000}"/>
    <cellStyle name="Comma 4 2 4 3 5 2 2" xfId="19841" xr:uid="{00000000-0005-0000-0000-00008AB00000}"/>
    <cellStyle name="Comma 4 2 4 3 5 2 2 2" xfId="43119" xr:uid="{00000000-0005-0000-0000-00008BB00000}"/>
    <cellStyle name="Comma 4 2 4 3 5 2 3" xfId="48015" xr:uid="{00000000-0005-0000-0000-00008CB00000}"/>
    <cellStyle name="Comma 4 2 4 3 5 2 4" xfId="27185" xr:uid="{00000000-0005-0000-0000-00008DB00000}"/>
    <cellStyle name="Comma 4 2 4 3 5 3" xfId="6354" xr:uid="{00000000-0005-0000-0000-00008EB00000}"/>
    <cellStyle name="Comma 4 2 4 3 5 3 2" xfId="29633" xr:uid="{00000000-0005-0000-0000-00008FB00000}"/>
    <cellStyle name="Comma 4 2 4 3 5 4" xfId="8802" xr:uid="{00000000-0005-0000-0000-000090B00000}"/>
    <cellStyle name="Comma 4 2 4 3 5 4 2" xfId="32081" xr:uid="{00000000-0005-0000-0000-000091B00000}"/>
    <cellStyle name="Comma 4 2 4 3 5 5" xfId="11250" xr:uid="{00000000-0005-0000-0000-000092B00000}"/>
    <cellStyle name="Comma 4 2 4 3 5 5 2" xfId="34529" xr:uid="{00000000-0005-0000-0000-000093B00000}"/>
    <cellStyle name="Comma 4 2 4 3 5 6" xfId="13698" xr:uid="{00000000-0005-0000-0000-000094B00000}"/>
    <cellStyle name="Comma 4 2 4 3 5 6 2" xfId="36977" xr:uid="{00000000-0005-0000-0000-000095B00000}"/>
    <cellStyle name="Comma 4 2 4 3 5 7" xfId="17393" xr:uid="{00000000-0005-0000-0000-000096B00000}"/>
    <cellStyle name="Comma 4 2 4 3 5 7 2" xfId="40671" xr:uid="{00000000-0005-0000-0000-000097B00000}"/>
    <cellStyle name="Comma 4 2 4 3 5 8" xfId="24737" xr:uid="{00000000-0005-0000-0000-000098B00000}"/>
    <cellStyle name="Comma 4 2 4 3 5 9" xfId="45567" xr:uid="{00000000-0005-0000-0000-000099B00000}"/>
    <cellStyle name="Comma 4 2 4 3 6" xfId="2682" xr:uid="{00000000-0005-0000-0000-00009AB00000}"/>
    <cellStyle name="Comma 4 2 4 3 6 2" xfId="16169" xr:uid="{00000000-0005-0000-0000-00009BB00000}"/>
    <cellStyle name="Comma 4 2 4 3 6 2 2" xfId="39447" xr:uid="{00000000-0005-0000-0000-00009CB00000}"/>
    <cellStyle name="Comma 4 2 4 3 6 3" xfId="46791" xr:uid="{00000000-0005-0000-0000-00009DB00000}"/>
    <cellStyle name="Comma 4 2 4 3 6 4" xfId="25961" xr:uid="{00000000-0005-0000-0000-00009EB00000}"/>
    <cellStyle name="Comma 4 2 4 3 7" xfId="5130" xr:uid="{00000000-0005-0000-0000-00009FB00000}"/>
    <cellStyle name="Comma 4 2 4 3 7 2" xfId="18617" xr:uid="{00000000-0005-0000-0000-0000A0B00000}"/>
    <cellStyle name="Comma 4 2 4 3 7 2 2" xfId="41895" xr:uid="{00000000-0005-0000-0000-0000A1B00000}"/>
    <cellStyle name="Comma 4 2 4 3 7 3" xfId="28409" xr:uid="{00000000-0005-0000-0000-0000A2B00000}"/>
    <cellStyle name="Comma 4 2 4 3 8" xfId="7578" xr:uid="{00000000-0005-0000-0000-0000A3B00000}"/>
    <cellStyle name="Comma 4 2 4 3 8 2" xfId="30857" xr:uid="{00000000-0005-0000-0000-0000A4B00000}"/>
    <cellStyle name="Comma 4 2 4 3 9" xfId="10026" xr:uid="{00000000-0005-0000-0000-0000A5B00000}"/>
    <cellStyle name="Comma 4 2 4 3 9 2" xfId="33305" xr:uid="{00000000-0005-0000-0000-0000A6B00000}"/>
    <cellStyle name="Comma 4 2 4 4" xfId="302" xr:uid="{00000000-0005-0000-0000-0000A7B00000}"/>
    <cellStyle name="Comma 4 2 4 4 10" xfId="23581" xr:uid="{00000000-0005-0000-0000-0000A8B00000}"/>
    <cellStyle name="Comma 4 2 4 4 11" xfId="44411" xr:uid="{00000000-0005-0000-0000-0000A9B00000}"/>
    <cellStyle name="Comma 4 2 4 4 12" xfId="21133" xr:uid="{00000000-0005-0000-0000-0000AAB00000}"/>
    <cellStyle name="Comma 4 2 4 4 2" xfId="914" xr:uid="{00000000-0005-0000-0000-0000ABB00000}"/>
    <cellStyle name="Comma 4 2 4 4 2 10" xfId="45023" xr:uid="{00000000-0005-0000-0000-0000ACB00000}"/>
    <cellStyle name="Comma 4 2 4 4 2 11" xfId="21745" xr:uid="{00000000-0005-0000-0000-0000ADB00000}"/>
    <cellStyle name="Comma 4 2 4 4 2 2" xfId="2138" xr:uid="{00000000-0005-0000-0000-0000AEB00000}"/>
    <cellStyle name="Comma 4 2 4 4 2 2 10" xfId="22969" xr:uid="{00000000-0005-0000-0000-0000AFB00000}"/>
    <cellStyle name="Comma 4 2 4 4 2 2 2" xfId="4586" xr:uid="{00000000-0005-0000-0000-0000B0B00000}"/>
    <cellStyle name="Comma 4 2 4 4 2 2 2 2" xfId="20521" xr:uid="{00000000-0005-0000-0000-0000B1B00000}"/>
    <cellStyle name="Comma 4 2 4 4 2 2 2 2 2" xfId="43799" xr:uid="{00000000-0005-0000-0000-0000B2B00000}"/>
    <cellStyle name="Comma 4 2 4 4 2 2 2 3" xfId="48695" xr:uid="{00000000-0005-0000-0000-0000B3B00000}"/>
    <cellStyle name="Comma 4 2 4 4 2 2 2 4" xfId="27865" xr:uid="{00000000-0005-0000-0000-0000B4B00000}"/>
    <cellStyle name="Comma 4 2 4 4 2 2 3" xfId="7034" xr:uid="{00000000-0005-0000-0000-0000B5B00000}"/>
    <cellStyle name="Comma 4 2 4 4 2 2 3 2" xfId="30313" xr:uid="{00000000-0005-0000-0000-0000B6B00000}"/>
    <cellStyle name="Comma 4 2 4 4 2 2 4" xfId="9482" xr:uid="{00000000-0005-0000-0000-0000B7B00000}"/>
    <cellStyle name="Comma 4 2 4 4 2 2 4 2" xfId="32761" xr:uid="{00000000-0005-0000-0000-0000B8B00000}"/>
    <cellStyle name="Comma 4 2 4 4 2 2 5" xfId="11930" xr:uid="{00000000-0005-0000-0000-0000B9B00000}"/>
    <cellStyle name="Comma 4 2 4 4 2 2 5 2" xfId="35209" xr:uid="{00000000-0005-0000-0000-0000BAB00000}"/>
    <cellStyle name="Comma 4 2 4 4 2 2 6" xfId="14378" xr:uid="{00000000-0005-0000-0000-0000BBB00000}"/>
    <cellStyle name="Comma 4 2 4 4 2 2 6 2" xfId="37657" xr:uid="{00000000-0005-0000-0000-0000BCB00000}"/>
    <cellStyle name="Comma 4 2 4 4 2 2 7" xfId="18073" xr:uid="{00000000-0005-0000-0000-0000BDB00000}"/>
    <cellStyle name="Comma 4 2 4 4 2 2 7 2" xfId="41351" xr:uid="{00000000-0005-0000-0000-0000BEB00000}"/>
    <cellStyle name="Comma 4 2 4 4 2 2 8" xfId="25417" xr:uid="{00000000-0005-0000-0000-0000BFB00000}"/>
    <cellStyle name="Comma 4 2 4 4 2 2 9" xfId="46247" xr:uid="{00000000-0005-0000-0000-0000C0B00000}"/>
    <cellStyle name="Comma 4 2 4 4 2 3" xfId="3362" xr:uid="{00000000-0005-0000-0000-0000C1B00000}"/>
    <cellStyle name="Comma 4 2 4 4 2 3 2" xfId="16849" xr:uid="{00000000-0005-0000-0000-0000C2B00000}"/>
    <cellStyle name="Comma 4 2 4 4 2 3 2 2" xfId="40127" xr:uid="{00000000-0005-0000-0000-0000C3B00000}"/>
    <cellStyle name="Comma 4 2 4 4 2 3 3" xfId="47471" xr:uid="{00000000-0005-0000-0000-0000C4B00000}"/>
    <cellStyle name="Comma 4 2 4 4 2 3 4" xfId="26641" xr:uid="{00000000-0005-0000-0000-0000C5B00000}"/>
    <cellStyle name="Comma 4 2 4 4 2 4" xfId="5810" xr:uid="{00000000-0005-0000-0000-0000C6B00000}"/>
    <cellStyle name="Comma 4 2 4 4 2 4 2" xfId="19297" xr:uid="{00000000-0005-0000-0000-0000C7B00000}"/>
    <cellStyle name="Comma 4 2 4 4 2 4 2 2" xfId="42575" xr:uid="{00000000-0005-0000-0000-0000C8B00000}"/>
    <cellStyle name="Comma 4 2 4 4 2 4 3" xfId="29089" xr:uid="{00000000-0005-0000-0000-0000C9B00000}"/>
    <cellStyle name="Comma 4 2 4 4 2 5" xfId="8258" xr:uid="{00000000-0005-0000-0000-0000CAB00000}"/>
    <cellStyle name="Comma 4 2 4 4 2 5 2" xfId="31537" xr:uid="{00000000-0005-0000-0000-0000CBB00000}"/>
    <cellStyle name="Comma 4 2 4 4 2 6" xfId="10706" xr:uid="{00000000-0005-0000-0000-0000CCB00000}"/>
    <cellStyle name="Comma 4 2 4 4 2 6 2" xfId="33985" xr:uid="{00000000-0005-0000-0000-0000CDB00000}"/>
    <cellStyle name="Comma 4 2 4 4 2 7" xfId="13154" xr:uid="{00000000-0005-0000-0000-0000CEB00000}"/>
    <cellStyle name="Comma 4 2 4 4 2 7 2" xfId="36433" xr:uid="{00000000-0005-0000-0000-0000CFB00000}"/>
    <cellStyle name="Comma 4 2 4 4 2 8" xfId="15625" xr:uid="{00000000-0005-0000-0000-0000D0B00000}"/>
    <cellStyle name="Comma 4 2 4 4 2 8 2" xfId="38903" xr:uid="{00000000-0005-0000-0000-0000D1B00000}"/>
    <cellStyle name="Comma 4 2 4 4 2 9" xfId="24193" xr:uid="{00000000-0005-0000-0000-0000D2B00000}"/>
    <cellStyle name="Comma 4 2 4 4 3" xfId="1526" xr:uid="{00000000-0005-0000-0000-0000D3B00000}"/>
    <cellStyle name="Comma 4 2 4 4 3 10" xfId="22357" xr:uid="{00000000-0005-0000-0000-0000D4B00000}"/>
    <cellStyle name="Comma 4 2 4 4 3 2" xfId="3974" xr:uid="{00000000-0005-0000-0000-0000D5B00000}"/>
    <cellStyle name="Comma 4 2 4 4 3 2 2" xfId="19909" xr:uid="{00000000-0005-0000-0000-0000D6B00000}"/>
    <cellStyle name="Comma 4 2 4 4 3 2 2 2" xfId="43187" xr:uid="{00000000-0005-0000-0000-0000D7B00000}"/>
    <cellStyle name="Comma 4 2 4 4 3 2 3" xfId="48083" xr:uid="{00000000-0005-0000-0000-0000D8B00000}"/>
    <cellStyle name="Comma 4 2 4 4 3 2 4" xfId="27253" xr:uid="{00000000-0005-0000-0000-0000D9B00000}"/>
    <cellStyle name="Comma 4 2 4 4 3 3" xfId="6422" xr:uid="{00000000-0005-0000-0000-0000DAB00000}"/>
    <cellStyle name="Comma 4 2 4 4 3 3 2" xfId="29701" xr:uid="{00000000-0005-0000-0000-0000DBB00000}"/>
    <cellStyle name="Comma 4 2 4 4 3 4" xfId="8870" xr:uid="{00000000-0005-0000-0000-0000DCB00000}"/>
    <cellStyle name="Comma 4 2 4 4 3 4 2" xfId="32149" xr:uid="{00000000-0005-0000-0000-0000DDB00000}"/>
    <cellStyle name="Comma 4 2 4 4 3 5" xfId="11318" xr:uid="{00000000-0005-0000-0000-0000DEB00000}"/>
    <cellStyle name="Comma 4 2 4 4 3 5 2" xfId="34597" xr:uid="{00000000-0005-0000-0000-0000DFB00000}"/>
    <cellStyle name="Comma 4 2 4 4 3 6" xfId="13766" xr:uid="{00000000-0005-0000-0000-0000E0B00000}"/>
    <cellStyle name="Comma 4 2 4 4 3 6 2" xfId="37045" xr:uid="{00000000-0005-0000-0000-0000E1B00000}"/>
    <cellStyle name="Comma 4 2 4 4 3 7" xfId="17461" xr:uid="{00000000-0005-0000-0000-0000E2B00000}"/>
    <cellStyle name="Comma 4 2 4 4 3 7 2" xfId="40739" xr:uid="{00000000-0005-0000-0000-0000E3B00000}"/>
    <cellStyle name="Comma 4 2 4 4 3 8" xfId="24805" xr:uid="{00000000-0005-0000-0000-0000E4B00000}"/>
    <cellStyle name="Comma 4 2 4 4 3 9" xfId="45635" xr:uid="{00000000-0005-0000-0000-0000E5B00000}"/>
    <cellStyle name="Comma 4 2 4 4 4" xfId="2750" xr:uid="{00000000-0005-0000-0000-0000E6B00000}"/>
    <cellStyle name="Comma 4 2 4 4 4 2" xfId="16237" xr:uid="{00000000-0005-0000-0000-0000E7B00000}"/>
    <cellStyle name="Comma 4 2 4 4 4 2 2" xfId="39515" xr:uid="{00000000-0005-0000-0000-0000E8B00000}"/>
    <cellStyle name="Comma 4 2 4 4 4 3" xfId="46859" xr:uid="{00000000-0005-0000-0000-0000E9B00000}"/>
    <cellStyle name="Comma 4 2 4 4 4 4" xfId="26029" xr:uid="{00000000-0005-0000-0000-0000EAB00000}"/>
    <cellStyle name="Comma 4 2 4 4 5" xfId="5198" xr:uid="{00000000-0005-0000-0000-0000EBB00000}"/>
    <cellStyle name="Comma 4 2 4 4 5 2" xfId="18685" xr:uid="{00000000-0005-0000-0000-0000ECB00000}"/>
    <cellStyle name="Comma 4 2 4 4 5 2 2" xfId="41963" xr:uid="{00000000-0005-0000-0000-0000EDB00000}"/>
    <cellStyle name="Comma 4 2 4 4 5 3" xfId="28477" xr:uid="{00000000-0005-0000-0000-0000EEB00000}"/>
    <cellStyle name="Comma 4 2 4 4 6" xfId="7646" xr:uid="{00000000-0005-0000-0000-0000EFB00000}"/>
    <cellStyle name="Comma 4 2 4 4 6 2" xfId="30925" xr:uid="{00000000-0005-0000-0000-0000F0B00000}"/>
    <cellStyle name="Comma 4 2 4 4 7" xfId="10094" xr:uid="{00000000-0005-0000-0000-0000F1B00000}"/>
    <cellStyle name="Comma 4 2 4 4 7 2" xfId="33373" xr:uid="{00000000-0005-0000-0000-0000F2B00000}"/>
    <cellStyle name="Comma 4 2 4 4 8" xfId="12542" xr:uid="{00000000-0005-0000-0000-0000F3B00000}"/>
    <cellStyle name="Comma 4 2 4 4 8 2" xfId="35821" xr:uid="{00000000-0005-0000-0000-0000F4B00000}"/>
    <cellStyle name="Comma 4 2 4 4 9" xfId="15013" xr:uid="{00000000-0005-0000-0000-0000F5B00000}"/>
    <cellStyle name="Comma 4 2 4 4 9 2" xfId="38291" xr:uid="{00000000-0005-0000-0000-0000F6B00000}"/>
    <cellStyle name="Comma 4 2 4 5" xfId="506" xr:uid="{00000000-0005-0000-0000-0000F7B00000}"/>
    <cellStyle name="Comma 4 2 4 5 10" xfId="23785" xr:uid="{00000000-0005-0000-0000-0000F8B00000}"/>
    <cellStyle name="Comma 4 2 4 5 11" xfId="44615" xr:uid="{00000000-0005-0000-0000-0000F9B00000}"/>
    <cellStyle name="Comma 4 2 4 5 12" xfId="21337" xr:uid="{00000000-0005-0000-0000-0000FAB00000}"/>
    <cellStyle name="Comma 4 2 4 5 2" xfId="1118" xr:uid="{00000000-0005-0000-0000-0000FBB00000}"/>
    <cellStyle name="Comma 4 2 4 5 2 10" xfId="45227" xr:uid="{00000000-0005-0000-0000-0000FCB00000}"/>
    <cellStyle name="Comma 4 2 4 5 2 11" xfId="21949" xr:uid="{00000000-0005-0000-0000-0000FDB00000}"/>
    <cellStyle name="Comma 4 2 4 5 2 2" xfId="2342" xr:uid="{00000000-0005-0000-0000-0000FEB00000}"/>
    <cellStyle name="Comma 4 2 4 5 2 2 10" xfId="23173" xr:uid="{00000000-0005-0000-0000-0000FFB00000}"/>
    <cellStyle name="Comma 4 2 4 5 2 2 2" xfId="4790" xr:uid="{00000000-0005-0000-0000-000000B10000}"/>
    <cellStyle name="Comma 4 2 4 5 2 2 2 2" xfId="20725" xr:uid="{00000000-0005-0000-0000-000001B10000}"/>
    <cellStyle name="Comma 4 2 4 5 2 2 2 2 2" xfId="44003" xr:uid="{00000000-0005-0000-0000-000002B10000}"/>
    <cellStyle name="Comma 4 2 4 5 2 2 2 3" xfId="48899" xr:uid="{00000000-0005-0000-0000-000003B10000}"/>
    <cellStyle name="Comma 4 2 4 5 2 2 2 4" xfId="28069" xr:uid="{00000000-0005-0000-0000-000004B10000}"/>
    <cellStyle name="Comma 4 2 4 5 2 2 3" xfId="7238" xr:uid="{00000000-0005-0000-0000-000005B10000}"/>
    <cellStyle name="Comma 4 2 4 5 2 2 3 2" xfId="30517" xr:uid="{00000000-0005-0000-0000-000006B10000}"/>
    <cellStyle name="Comma 4 2 4 5 2 2 4" xfId="9686" xr:uid="{00000000-0005-0000-0000-000007B10000}"/>
    <cellStyle name="Comma 4 2 4 5 2 2 4 2" xfId="32965" xr:uid="{00000000-0005-0000-0000-000008B10000}"/>
    <cellStyle name="Comma 4 2 4 5 2 2 5" xfId="12134" xr:uid="{00000000-0005-0000-0000-000009B10000}"/>
    <cellStyle name="Comma 4 2 4 5 2 2 5 2" xfId="35413" xr:uid="{00000000-0005-0000-0000-00000AB10000}"/>
    <cellStyle name="Comma 4 2 4 5 2 2 6" xfId="14582" xr:uid="{00000000-0005-0000-0000-00000BB10000}"/>
    <cellStyle name="Comma 4 2 4 5 2 2 6 2" xfId="37861" xr:uid="{00000000-0005-0000-0000-00000CB10000}"/>
    <cellStyle name="Comma 4 2 4 5 2 2 7" xfId="18277" xr:uid="{00000000-0005-0000-0000-00000DB10000}"/>
    <cellStyle name="Comma 4 2 4 5 2 2 7 2" xfId="41555" xr:uid="{00000000-0005-0000-0000-00000EB10000}"/>
    <cellStyle name="Comma 4 2 4 5 2 2 8" xfId="25621" xr:uid="{00000000-0005-0000-0000-00000FB10000}"/>
    <cellStyle name="Comma 4 2 4 5 2 2 9" xfId="46451" xr:uid="{00000000-0005-0000-0000-000010B10000}"/>
    <cellStyle name="Comma 4 2 4 5 2 3" xfId="3566" xr:uid="{00000000-0005-0000-0000-000011B10000}"/>
    <cellStyle name="Comma 4 2 4 5 2 3 2" xfId="17053" xr:uid="{00000000-0005-0000-0000-000012B10000}"/>
    <cellStyle name="Comma 4 2 4 5 2 3 2 2" xfId="40331" xr:uid="{00000000-0005-0000-0000-000013B10000}"/>
    <cellStyle name="Comma 4 2 4 5 2 3 3" xfId="47675" xr:uid="{00000000-0005-0000-0000-000014B10000}"/>
    <cellStyle name="Comma 4 2 4 5 2 3 4" xfId="26845" xr:uid="{00000000-0005-0000-0000-000015B10000}"/>
    <cellStyle name="Comma 4 2 4 5 2 4" xfId="6014" xr:uid="{00000000-0005-0000-0000-000016B10000}"/>
    <cellStyle name="Comma 4 2 4 5 2 4 2" xfId="19501" xr:uid="{00000000-0005-0000-0000-000017B10000}"/>
    <cellStyle name="Comma 4 2 4 5 2 4 2 2" xfId="42779" xr:uid="{00000000-0005-0000-0000-000018B10000}"/>
    <cellStyle name="Comma 4 2 4 5 2 4 3" xfId="29293" xr:uid="{00000000-0005-0000-0000-000019B10000}"/>
    <cellStyle name="Comma 4 2 4 5 2 5" xfId="8462" xr:uid="{00000000-0005-0000-0000-00001AB10000}"/>
    <cellStyle name="Comma 4 2 4 5 2 5 2" xfId="31741" xr:uid="{00000000-0005-0000-0000-00001BB10000}"/>
    <cellStyle name="Comma 4 2 4 5 2 6" xfId="10910" xr:uid="{00000000-0005-0000-0000-00001CB10000}"/>
    <cellStyle name="Comma 4 2 4 5 2 6 2" xfId="34189" xr:uid="{00000000-0005-0000-0000-00001DB10000}"/>
    <cellStyle name="Comma 4 2 4 5 2 7" xfId="13358" xr:uid="{00000000-0005-0000-0000-00001EB10000}"/>
    <cellStyle name="Comma 4 2 4 5 2 7 2" xfId="36637" xr:uid="{00000000-0005-0000-0000-00001FB10000}"/>
    <cellStyle name="Comma 4 2 4 5 2 8" xfId="15829" xr:uid="{00000000-0005-0000-0000-000020B10000}"/>
    <cellStyle name="Comma 4 2 4 5 2 8 2" xfId="39107" xr:uid="{00000000-0005-0000-0000-000021B10000}"/>
    <cellStyle name="Comma 4 2 4 5 2 9" xfId="24397" xr:uid="{00000000-0005-0000-0000-000022B10000}"/>
    <cellStyle name="Comma 4 2 4 5 3" xfId="1730" xr:uid="{00000000-0005-0000-0000-000023B10000}"/>
    <cellStyle name="Comma 4 2 4 5 3 10" xfId="22561" xr:uid="{00000000-0005-0000-0000-000024B10000}"/>
    <cellStyle name="Comma 4 2 4 5 3 2" xfId="4178" xr:uid="{00000000-0005-0000-0000-000025B10000}"/>
    <cellStyle name="Comma 4 2 4 5 3 2 2" xfId="20113" xr:uid="{00000000-0005-0000-0000-000026B10000}"/>
    <cellStyle name="Comma 4 2 4 5 3 2 2 2" xfId="43391" xr:uid="{00000000-0005-0000-0000-000027B10000}"/>
    <cellStyle name="Comma 4 2 4 5 3 2 3" xfId="48287" xr:uid="{00000000-0005-0000-0000-000028B10000}"/>
    <cellStyle name="Comma 4 2 4 5 3 2 4" xfId="27457" xr:uid="{00000000-0005-0000-0000-000029B10000}"/>
    <cellStyle name="Comma 4 2 4 5 3 3" xfId="6626" xr:uid="{00000000-0005-0000-0000-00002AB10000}"/>
    <cellStyle name="Comma 4 2 4 5 3 3 2" xfId="29905" xr:uid="{00000000-0005-0000-0000-00002BB10000}"/>
    <cellStyle name="Comma 4 2 4 5 3 4" xfId="9074" xr:uid="{00000000-0005-0000-0000-00002CB10000}"/>
    <cellStyle name="Comma 4 2 4 5 3 4 2" xfId="32353" xr:uid="{00000000-0005-0000-0000-00002DB10000}"/>
    <cellStyle name="Comma 4 2 4 5 3 5" xfId="11522" xr:uid="{00000000-0005-0000-0000-00002EB10000}"/>
    <cellStyle name="Comma 4 2 4 5 3 5 2" xfId="34801" xr:uid="{00000000-0005-0000-0000-00002FB10000}"/>
    <cellStyle name="Comma 4 2 4 5 3 6" xfId="13970" xr:uid="{00000000-0005-0000-0000-000030B10000}"/>
    <cellStyle name="Comma 4 2 4 5 3 6 2" xfId="37249" xr:uid="{00000000-0005-0000-0000-000031B10000}"/>
    <cellStyle name="Comma 4 2 4 5 3 7" xfId="17665" xr:uid="{00000000-0005-0000-0000-000032B10000}"/>
    <cellStyle name="Comma 4 2 4 5 3 7 2" xfId="40943" xr:uid="{00000000-0005-0000-0000-000033B10000}"/>
    <cellStyle name="Comma 4 2 4 5 3 8" xfId="25009" xr:uid="{00000000-0005-0000-0000-000034B10000}"/>
    <cellStyle name="Comma 4 2 4 5 3 9" xfId="45839" xr:uid="{00000000-0005-0000-0000-000035B10000}"/>
    <cellStyle name="Comma 4 2 4 5 4" xfId="2954" xr:uid="{00000000-0005-0000-0000-000036B10000}"/>
    <cellStyle name="Comma 4 2 4 5 4 2" xfId="16441" xr:uid="{00000000-0005-0000-0000-000037B10000}"/>
    <cellStyle name="Comma 4 2 4 5 4 2 2" xfId="39719" xr:uid="{00000000-0005-0000-0000-000038B10000}"/>
    <cellStyle name="Comma 4 2 4 5 4 3" xfId="47063" xr:uid="{00000000-0005-0000-0000-000039B10000}"/>
    <cellStyle name="Comma 4 2 4 5 4 4" xfId="26233" xr:uid="{00000000-0005-0000-0000-00003AB10000}"/>
    <cellStyle name="Comma 4 2 4 5 5" xfId="5402" xr:uid="{00000000-0005-0000-0000-00003BB10000}"/>
    <cellStyle name="Comma 4 2 4 5 5 2" xfId="18889" xr:uid="{00000000-0005-0000-0000-00003CB10000}"/>
    <cellStyle name="Comma 4 2 4 5 5 2 2" xfId="42167" xr:uid="{00000000-0005-0000-0000-00003DB10000}"/>
    <cellStyle name="Comma 4 2 4 5 5 3" xfId="28681" xr:uid="{00000000-0005-0000-0000-00003EB10000}"/>
    <cellStyle name="Comma 4 2 4 5 6" xfId="7850" xr:uid="{00000000-0005-0000-0000-00003FB10000}"/>
    <cellStyle name="Comma 4 2 4 5 6 2" xfId="31129" xr:uid="{00000000-0005-0000-0000-000040B10000}"/>
    <cellStyle name="Comma 4 2 4 5 7" xfId="10298" xr:uid="{00000000-0005-0000-0000-000041B10000}"/>
    <cellStyle name="Comma 4 2 4 5 7 2" xfId="33577" xr:uid="{00000000-0005-0000-0000-000042B10000}"/>
    <cellStyle name="Comma 4 2 4 5 8" xfId="12746" xr:uid="{00000000-0005-0000-0000-000043B10000}"/>
    <cellStyle name="Comma 4 2 4 5 8 2" xfId="36025" xr:uid="{00000000-0005-0000-0000-000044B10000}"/>
    <cellStyle name="Comma 4 2 4 5 9" xfId="15217" xr:uid="{00000000-0005-0000-0000-000045B10000}"/>
    <cellStyle name="Comma 4 2 4 5 9 2" xfId="38495" xr:uid="{00000000-0005-0000-0000-000046B10000}"/>
    <cellStyle name="Comma 4 2 4 6" xfId="710" xr:uid="{00000000-0005-0000-0000-000047B10000}"/>
    <cellStyle name="Comma 4 2 4 6 10" xfId="44819" xr:uid="{00000000-0005-0000-0000-000048B10000}"/>
    <cellStyle name="Comma 4 2 4 6 11" xfId="21541" xr:uid="{00000000-0005-0000-0000-000049B10000}"/>
    <cellStyle name="Comma 4 2 4 6 2" xfId="1934" xr:uid="{00000000-0005-0000-0000-00004AB10000}"/>
    <cellStyle name="Comma 4 2 4 6 2 10" xfId="22765" xr:uid="{00000000-0005-0000-0000-00004BB10000}"/>
    <cellStyle name="Comma 4 2 4 6 2 2" xfId="4382" xr:uid="{00000000-0005-0000-0000-00004CB10000}"/>
    <cellStyle name="Comma 4 2 4 6 2 2 2" xfId="20317" xr:uid="{00000000-0005-0000-0000-00004DB10000}"/>
    <cellStyle name="Comma 4 2 4 6 2 2 2 2" xfId="43595" xr:uid="{00000000-0005-0000-0000-00004EB10000}"/>
    <cellStyle name="Comma 4 2 4 6 2 2 3" xfId="48491" xr:uid="{00000000-0005-0000-0000-00004FB10000}"/>
    <cellStyle name="Comma 4 2 4 6 2 2 4" xfId="27661" xr:uid="{00000000-0005-0000-0000-000050B10000}"/>
    <cellStyle name="Comma 4 2 4 6 2 3" xfId="6830" xr:uid="{00000000-0005-0000-0000-000051B10000}"/>
    <cellStyle name="Comma 4 2 4 6 2 3 2" xfId="30109" xr:uid="{00000000-0005-0000-0000-000052B10000}"/>
    <cellStyle name="Comma 4 2 4 6 2 4" xfId="9278" xr:uid="{00000000-0005-0000-0000-000053B10000}"/>
    <cellStyle name="Comma 4 2 4 6 2 4 2" xfId="32557" xr:uid="{00000000-0005-0000-0000-000054B10000}"/>
    <cellStyle name="Comma 4 2 4 6 2 5" xfId="11726" xr:uid="{00000000-0005-0000-0000-000055B10000}"/>
    <cellStyle name="Comma 4 2 4 6 2 5 2" xfId="35005" xr:uid="{00000000-0005-0000-0000-000056B10000}"/>
    <cellStyle name="Comma 4 2 4 6 2 6" xfId="14174" xr:uid="{00000000-0005-0000-0000-000057B10000}"/>
    <cellStyle name="Comma 4 2 4 6 2 6 2" xfId="37453" xr:uid="{00000000-0005-0000-0000-000058B10000}"/>
    <cellStyle name="Comma 4 2 4 6 2 7" xfId="17869" xr:uid="{00000000-0005-0000-0000-000059B10000}"/>
    <cellStyle name="Comma 4 2 4 6 2 7 2" xfId="41147" xr:uid="{00000000-0005-0000-0000-00005AB10000}"/>
    <cellStyle name="Comma 4 2 4 6 2 8" xfId="25213" xr:uid="{00000000-0005-0000-0000-00005BB10000}"/>
    <cellStyle name="Comma 4 2 4 6 2 9" xfId="46043" xr:uid="{00000000-0005-0000-0000-00005CB10000}"/>
    <cellStyle name="Comma 4 2 4 6 3" xfId="3158" xr:uid="{00000000-0005-0000-0000-00005DB10000}"/>
    <cellStyle name="Comma 4 2 4 6 3 2" xfId="16645" xr:uid="{00000000-0005-0000-0000-00005EB10000}"/>
    <cellStyle name="Comma 4 2 4 6 3 2 2" xfId="39923" xr:uid="{00000000-0005-0000-0000-00005FB10000}"/>
    <cellStyle name="Comma 4 2 4 6 3 3" xfId="47267" xr:uid="{00000000-0005-0000-0000-000060B10000}"/>
    <cellStyle name="Comma 4 2 4 6 3 4" xfId="26437" xr:uid="{00000000-0005-0000-0000-000061B10000}"/>
    <cellStyle name="Comma 4 2 4 6 4" xfId="5606" xr:uid="{00000000-0005-0000-0000-000062B10000}"/>
    <cellStyle name="Comma 4 2 4 6 4 2" xfId="19093" xr:uid="{00000000-0005-0000-0000-000063B10000}"/>
    <cellStyle name="Comma 4 2 4 6 4 2 2" xfId="42371" xr:uid="{00000000-0005-0000-0000-000064B10000}"/>
    <cellStyle name="Comma 4 2 4 6 4 3" xfId="28885" xr:uid="{00000000-0005-0000-0000-000065B10000}"/>
    <cellStyle name="Comma 4 2 4 6 5" xfId="8054" xr:uid="{00000000-0005-0000-0000-000066B10000}"/>
    <cellStyle name="Comma 4 2 4 6 5 2" xfId="31333" xr:uid="{00000000-0005-0000-0000-000067B10000}"/>
    <cellStyle name="Comma 4 2 4 6 6" xfId="10502" xr:uid="{00000000-0005-0000-0000-000068B10000}"/>
    <cellStyle name="Comma 4 2 4 6 6 2" xfId="33781" xr:uid="{00000000-0005-0000-0000-000069B10000}"/>
    <cellStyle name="Comma 4 2 4 6 7" xfId="12950" xr:uid="{00000000-0005-0000-0000-00006AB10000}"/>
    <cellStyle name="Comma 4 2 4 6 7 2" xfId="36229" xr:uid="{00000000-0005-0000-0000-00006BB10000}"/>
    <cellStyle name="Comma 4 2 4 6 8" xfId="15421" xr:uid="{00000000-0005-0000-0000-00006CB10000}"/>
    <cellStyle name="Comma 4 2 4 6 8 2" xfId="38699" xr:uid="{00000000-0005-0000-0000-00006DB10000}"/>
    <cellStyle name="Comma 4 2 4 6 9" xfId="23989" xr:uid="{00000000-0005-0000-0000-00006EB10000}"/>
    <cellStyle name="Comma 4 2 4 7" xfId="1322" xr:uid="{00000000-0005-0000-0000-00006FB10000}"/>
    <cellStyle name="Comma 4 2 4 7 10" xfId="22153" xr:uid="{00000000-0005-0000-0000-000070B10000}"/>
    <cellStyle name="Comma 4 2 4 7 2" xfId="3770" xr:uid="{00000000-0005-0000-0000-000071B10000}"/>
    <cellStyle name="Comma 4 2 4 7 2 2" xfId="19705" xr:uid="{00000000-0005-0000-0000-000072B10000}"/>
    <cellStyle name="Comma 4 2 4 7 2 2 2" xfId="42983" xr:uid="{00000000-0005-0000-0000-000073B10000}"/>
    <cellStyle name="Comma 4 2 4 7 2 3" xfId="47879" xr:uid="{00000000-0005-0000-0000-000074B10000}"/>
    <cellStyle name="Comma 4 2 4 7 2 4" xfId="27049" xr:uid="{00000000-0005-0000-0000-000075B10000}"/>
    <cellStyle name="Comma 4 2 4 7 3" xfId="6218" xr:uid="{00000000-0005-0000-0000-000076B10000}"/>
    <cellStyle name="Comma 4 2 4 7 3 2" xfId="29497" xr:uid="{00000000-0005-0000-0000-000077B10000}"/>
    <cellStyle name="Comma 4 2 4 7 4" xfId="8666" xr:uid="{00000000-0005-0000-0000-000078B10000}"/>
    <cellStyle name="Comma 4 2 4 7 4 2" xfId="31945" xr:uid="{00000000-0005-0000-0000-000079B10000}"/>
    <cellStyle name="Comma 4 2 4 7 5" xfId="11114" xr:uid="{00000000-0005-0000-0000-00007AB10000}"/>
    <cellStyle name="Comma 4 2 4 7 5 2" xfId="34393" xr:uid="{00000000-0005-0000-0000-00007BB10000}"/>
    <cellStyle name="Comma 4 2 4 7 6" xfId="13562" xr:uid="{00000000-0005-0000-0000-00007CB10000}"/>
    <cellStyle name="Comma 4 2 4 7 6 2" xfId="36841" xr:uid="{00000000-0005-0000-0000-00007DB10000}"/>
    <cellStyle name="Comma 4 2 4 7 7" xfId="17257" xr:uid="{00000000-0005-0000-0000-00007EB10000}"/>
    <cellStyle name="Comma 4 2 4 7 7 2" xfId="40535" xr:uid="{00000000-0005-0000-0000-00007FB10000}"/>
    <cellStyle name="Comma 4 2 4 7 8" xfId="24601" xr:uid="{00000000-0005-0000-0000-000080B10000}"/>
    <cellStyle name="Comma 4 2 4 7 9" xfId="45431" xr:uid="{00000000-0005-0000-0000-000081B10000}"/>
    <cellStyle name="Comma 4 2 4 8" xfId="2546" xr:uid="{00000000-0005-0000-0000-000082B10000}"/>
    <cellStyle name="Comma 4 2 4 8 2" xfId="16033" xr:uid="{00000000-0005-0000-0000-000083B10000}"/>
    <cellStyle name="Comma 4 2 4 8 2 2" xfId="39311" xr:uid="{00000000-0005-0000-0000-000084B10000}"/>
    <cellStyle name="Comma 4 2 4 8 3" xfId="46655" xr:uid="{00000000-0005-0000-0000-000085B10000}"/>
    <cellStyle name="Comma 4 2 4 8 4" xfId="25825" xr:uid="{00000000-0005-0000-0000-000086B10000}"/>
    <cellStyle name="Comma 4 2 4 9" xfId="4994" xr:uid="{00000000-0005-0000-0000-000087B10000}"/>
    <cellStyle name="Comma 4 2 4 9 2" xfId="18481" xr:uid="{00000000-0005-0000-0000-000088B10000}"/>
    <cellStyle name="Comma 4 2 4 9 2 2" xfId="41759" xr:uid="{00000000-0005-0000-0000-000089B10000}"/>
    <cellStyle name="Comma 4 2 4 9 3" xfId="28273" xr:uid="{00000000-0005-0000-0000-00008AB10000}"/>
    <cellStyle name="Comma 4 2 5" xfId="115" xr:uid="{00000000-0005-0000-0000-00008BB10000}"/>
    <cellStyle name="Comma 4 2 5 10" xfId="12355" xr:uid="{00000000-0005-0000-0000-00008CB10000}"/>
    <cellStyle name="Comma 4 2 5 10 2" xfId="35634" xr:uid="{00000000-0005-0000-0000-00008DB10000}"/>
    <cellStyle name="Comma 4 2 5 11" xfId="14826" xr:uid="{00000000-0005-0000-0000-00008EB10000}"/>
    <cellStyle name="Comma 4 2 5 11 2" xfId="38104" xr:uid="{00000000-0005-0000-0000-00008FB10000}"/>
    <cellStyle name="Comma 4 2 5 12" xfId="23394" xr:uid="{00000000-0005-0000-0000-000090B10000}"/>
    <cellStyle name="Comma 4 2 5 13" xfId="44224" xr:uid="{00000000-0005-0000-0000-000091B10000}"/>
    <cellStyle name="Comma 4 2 5 14" xfId="20946" xr:uid="{00000000-0005-0000-0000-000092B10000}"/>
    <cellStyle name="Comma 4 2 5 2" xfId="319" xr:uid="{00000000-0005-0000-0000-000093B10000}"/>
    <cellStyle name="Comma 4 2 5 2 10" xfId="23598" xr:uid="{00000000-0005-0000-0000-000094B10000}"/>
    <cellStyle name="Comma 4 2 5 2 11" xfId="44428" xr:uid="{00000000-0005-0000-0000-000095B10000}"/>
    <cellStyle name="Comma 4 2 5 2 12" xfId="21150" xr:uid="{00000000-0005-0000-0000-000096B10000}"/>
    <cellStyle name="Comma 4 2 5 2 2" xfId="931" xr:uid="{00000000-0005-0000-0000-000097B10000}"/>
    <cellStyle name="Comma 4 2 5 2 2 10" xfId="45040" xr:uid="{00000000-0005-0000-0000-000098B10000}"/>
    <cellStyle name="Comma 4 2 5 2 2 11" xfId="21762" xr:uid="{00000000-0005-0000-0000-000099B10000}"/>
    <cellStyle name="Comma 4 2 5 2 2 2" xfId="2155" xr:uid="{00000000-0005-0000-0000-00009AB10000}"/>
    <cellStyle name="Comma 4 2 5 2 2 2 10" xfId="22986" xr:uid="{00000000-0005-0000-0000-00009BB10000}"/>
    <cellStyle name="Comma 4 2 5 2 2 2 2" xfId="4603" xr:uid="{00000000-0005-0000-0000-00009CB10000}"/>
    <cellStyle name="Comma 4 2 5 2 2 2 2 2" xfId="20538" xr:uid="{00000000-0005-0000-0000-00009DB10000}"/>
    <cellStyle name="Comma 4 2 5 2 2 2 2 2 2" xfId="43816" xr:uid="{00000000-0005-0000-0000-00009EB10000}"/>
    <cellStyle name="Comma 4 2 5 2 2 2 2 3" xfId="48712" xr:uid="{00000000-0005-0000-0000-00009FB10000}"/>
    <cellStyle name="Comma 4 2 5 2 2 2 2 4" xfId="27882" xr:uid="{00000000-0005-0000-0000-0000A0B10000}"/>
    <cellStyle name="Comma 4 2 5 2 2 2 3" xfId="7051" xr:uid="{00000000-0005-0000-0000-0000A1B10000}"/>
    <cellStyle name="Comma 4 2 5 2 2 2 3 2" xfId="30330" xr:uid="{00000000-0005-0000-0000-0000A2B10000}"/>
    <cellStyle name="Comma 4 2 5 2 2 2 4" xfId="9499" xr:uid="{00000000-0005-0000-0000-0000A3B10000}"/>
    <cellStyle name="Comma 4 2 5 2 2 2 4 2" xfId="32778" xr:uid="{00000000-0005-0000-0000-0000A4B10000}"/>
    <cellStyle name="Comma 4 2 5 2 2 2 5" xfId="11947" xr:uid="{00000000-0005-0000-0000-0000A5B10000}"/>
    <cellStyle name="Comma 4 2 5 2 2 2 5 2" xfId="35226" xr:uid="{00000000-0005-0000-0000-0000A6B10000}"/>
    <cellStyle name="Comma 4 2 5 2 2 2 6" xfId="14395" xr:uid="{00000000-0005-0000-0000-0000A7B10000}"/>
    <cellStyle name="Comma 4 2 5 2 2 2 6 2" xfId="37674" xr:uid="{00000000-0005-0000-0000-0000A8B10000}"/>
    <cellStyle name="Comma 4 2 5 2 2 2 7" xfId="18090" xr:uid="{00000000-0005-0000-0000-0000A9B10000}"/>
    <cellStyle name="Comma 4 2 5 2 2 2 7 2" xfId="41368" xr:uid="{00000000-0005-0000-0000-0000AAB10000}"/>
    <cellStyle name="Comma 4 2 5 2 2 2 8" xfId="25434" xr:uid="{00000000-0005-0000-0000-0000ABB10000}"/>
    <cellStyle name="Comma 4 2 5 2 2 2 9" xfId="46264" xr:uid="{00000000-0005-0000-0000-0000ACB10000}"/>
    <cellStyle name="Comma 4 2 5 2 2 3" xfId="3379" xr:uid="{00000000-0005-0000-0000-0000ADB10000}"/>
    <cellStyle name="Comma 4 2 5 2 2 3 2" xfId="16866" xr:uid="{00000000-0005-0000-0000-0000AEB10000}"/>
    <cellStyle name="Comma 4 2 5 2 2 3 2 2" xfId="40144" xr:uid="{00000000-0005-0000-0000-0000AFB10000}"/>
    <cellStyle name="Comma 4 2 5 2 2 3 3" xfId="47488" xr:uid="{00000000-0005-0000-0000-0000B0B10000}"/>
    <cellStyle name="Comma 4 2 5 2 2 3 4" xfId="26658" xr:uid="{00000000-0005-0000-0000-0000B1B10000}"/>
    <cellStyle name="Comma 4 2 5 2 2 4" xfId="5827" xr:uid="{00000000-0005-0000-0000-0000B2B10000}"/>
    <cellStyle name="Comma 4 2 5 2 2 4 2" xfId="19314" xr:uid="{00000000-0005-0000-0000-0000B3B10000}"/>
    <cellStyle name="Comma 4 2 5 2 2 4 2 2" xfId="42592" xr:uid="{00000000-0005-0000-0000-0000B4B10000}"/>
    <cellStyle name="Comma 4 2 5 2 2 4 3" xfId="29106" xr:uid="{00000000-0005-0000-0000-0000B5B10000}"/>
    <cellStyle name="Comma 4 2 5 2 2 5" xfId="8275" xr:uid="{00000000-0005-0000-0000-0000B6B10000}"/>
    <cellStyle name="Comma 4 2 5 2 2 5 2" xfId="31554" xr:uid="{00000000-0005-0000-0000-0000B7B10000}"/>
    <cellStyle name="Comma 4 2 5 2 2 6" xfId="10723" xr:uid="{00000000-0005-0000-0000-0000B8B10000}"/>
    <cellStyle name="Comma 4 2 5 2 2 6 2" xfId="34002" xr:uid="{00000000-0005-0000-0000-0000B9B10000}"/>
    <cellStyle name="Comma 4 2 5 2 2 7" xfId="13171" xr:uid="{00000000-0005-0000-0000-0000BAB10000}"/>
    <cellStyle name="Comma 4 2 5 2 2 7 2" xfId="36450" xr:uid="{00000000-0005-0000-0000-0000BBB10000}"/>
    <cellStyle name="Comma 4 2 5 2 2 8" xfId="15642" xr:uid="{00000000-0005-0000-0000-0000BCB10000}"/>
    <cellStyle name="Comma 4 2 5 2 2 8 2" xfId="38920" xr:uid="{00000000-0005-0000-0000-0000BDB10000}"/>
    <cellStyle name="Comma 4 2 5 2 2 9" xfId="24210" xr:uid="{00000000-0005-0000-0000-0000BEB10000}"/>
    <cellStyle name="Comma 4 2 5 2 3" xfId="1543" xr:uid="{00000000-0005-0000-0000-0000BFB10000}"/>
    <cellStyle name="Comma 4 2 5 2 3 10" xfId="22374" xr:uid="{00000000-0005-0000-0000-0000C0B10000}"/>
    <cellStyle name="Comma 4 2 5 2 3 2" xfId="3991" xr:uid="{00000000-0005-0000-0000-0000C1B10000}"/>
    <cellStyle name="Comma 4 2 5 2 3 2 2" xfId="19926" xr:uid="{00000000-0005-0000-0000-0000C2B10000}"/>
    <cellStyle name="Comma 4 2 5 2 3 2 2 2" xfId="43204" xr:uid="{00000000-0005-0000-0000-0000C3B10000}"/>
    <cellStyle name="Comma 4 2 5 2 3 2 3" xfId="48100" xr:uid="{00000000-0005-0000-0000-0000C4B10000}"/>
    <cellStyle name="Comma 4 2 5 2 3 2 4" xfId="27270" xr:uid="{00000000-0005-0000-0000-0000C5B10000}"/>
    <cellStyle name="Comma 4 2 5 2 3 3" xfId="6439" xr:uid="{00000000-0005-0000-0000-0000C6B10000}"/>
    <cellStyle name="Comma 4 2 5 2 3 3 2" xfId="29718" xr:uid="{00000000-0005-0000-0000-0000C7B10000}"/>
    <cellStyle name="Comma 4 2 5 2 3 4" xfId="8887" xr:uid="{00000000-0005-0000-0000-0000C8B10000}"/>
    <cellStyle name="Comma 4 2 5 2 3 4 2" xfId="32166" xr:uid="{00000000-0005-0000-0000-0000C9B10000}"/>
    <cellStyle name="Comma 4 2 5 2 3 5" xfId="11335" xr:uid="{00000000-0005-0000-0000-0000CAB10000}"/>
    <cellStyle name="Comma 4 2 5 2 3 5 2" xfId="34614" xr:uid="{00000000-0005-0000-0000-0000CBB10000}"/>
    <cellStyle name="Comma 4 2 5 2 3 6" xfId="13783" xr:uid="{00000000-0005-0000-0000-0000CCB10000}"/>
    <cellStyle name="Comma 4 2 5 2 3 6 2" xfId="37062" xr:uid="{00000000-0005-0000-0000-0000CDB10000}"/>
    <cellStyle name="Comma 4 2 5 2 3 7" xfId="17478" xr:uid="{00000000-0005-0000-0000-0000CEB10000}"/>
    <cellStyle name="Comma 4 2 5 2 3 7 2" xfId="40756" xr:uid="{00000000-0005-0000-0000-0000CFB10000}"/>
    <cellStyle name="Comma 4 2 5 2 3 8" xfId="24822" xr:uid="{00000000-0005-0000-0000-0000D0B10000}"/>
    <cellStyle name="Comma 4 2 5 2 3 9" xfId="45652" xr:uid="{00000000-0005-0000-0000-0000D1B10000}"/>
    <cellStyle name="Comma 4 2 5 2 4" xfId="2767" xr:uid="{00000000-0005-0000-0000-0000D2B10000}"/>
    <cellStyle name="Comma 4 2 5 2 4 2" xfId="16254" xr:uid="{00000000-0005-0000-0000-0000D3B10000}"/>
    <cellStyle name="Comma 4 2 5 2 4 2 2" xfId="39532" xr:uid="{00000000-0005-0000-0000-0000D4B10000}"/>
    <cellStyle name="Comma 4 2 5 2 4 3" xfId="46876" xr:uid="{00000000-0005-0000-0000-0000D5B10000}"/>
    <cellStyle name="Comma 4 2 5 2 4 4" xfId="26046" xr:uid="{00000000-0005-0000-0000-0000D6B10000}"/>
    <cellStyle name="Comma 4 2 5 2 5" xfId="5215" xr:uid="{00000000-0005-0000-0000-0000D7B10000}"/>
    <cellStyle name="Comma 4 2 5 2 5 2" xfId="18702" xr:uid="{00000000-0005-0000-0000-0000D8B10000}"/>
    <cellStyle name="Comma 4 2 5 2 5 2 2" xfId="41980" xr:uid="{00000000-0005-0000-0000-0000D9B10000}"/>
    <cellStyle name="Comma 4 2 5 2 5 3" xfId="28494" xr:uid="{00000000-0005-0000-0000-0000DAB10000}"/>
    <cellStyle name="Comma 4 2 5 2 6" xfId="7663" xr:uid="{00000000-0005-0000-0000-0000DBB10000}"/>
    <cellStyle name="Comma 4 2 5 2 6 2" xfId="30942" xr:uid="{00000000-0005-0000-0000-0000DCB10000}"/>
    <cellStyle name="Comma 4 2 5 2 7" xfId="10111" xr:uid="{00000000-0005-0000-0000-0000DDB10000}"/>
    <cellStyle name="Comma 4 2 5 2 7 2" xfId="33390" xr:uid="{00000000-0005-0000-0000-0000DEB10000}"/>
    <cellStyle name="Comma 4 2 5 2 8" xfId="12559" xr:uid="{00000000-0005-0000-0000-0000DFB10000}"/>
    <cellStyle name="Comma 4 2 5 2 8 2" xfId="35838" xr:uid="{00000000-0005-0000-0000-0000E0B10000}"/>
    <cellStyle name="Comma 4 2 5 2 9" xfId="15030" xr:uid="{00000000-0005-0000-0000-0000E1B10000}"/>
    <cellStyle name="Comma 4 2 5 2 9 2" xfId="38308" xr:uid="{00000000-0005-0000-0000-0000E2B10000}"/>
    <cellStyle name="Comma 4 2 5 3" xfId="523" xr:uid="{00000000-0005-0000-0000-0000E3B10000}"/>
    <cellStyle name="Comma 4 2 5 3 10" xfId="23802" xr:uid="{00000000-0005-0000-0000-0000E4B10000}"/>
    <cellStyle name="Comma 4 2 5 3 11" xfId="44632" xr:uid="{00000000-0005-0000-0000-0000E5B10000}"/>
    <cellStyle name="Comma 4 2 5 3 12" xfId="21354" xr:uid="{00000000-0005-0000-0000-0000E6B10000}"/>
    <cellStyle name="Comma 4 2 5 3 2" xfId="1135" xr:uid="{00000000-0005-0000-0000-0000E7B10000}"/>
    <cellStyle name="Comma 4 2 5 3 2 10" xfId="45244" xr:uid="{00000000-0005-0000-0000-0000E8B10000}"/>
    <cellStyle name="Comma 4 2 5 3 2 11" xfId="21966" xr:uid="{00000000-0005-0000-0000-0000E9B10000}"/>
    <cellStyle name="Comma 4 2 5 3 2 2" xfId="2359" xr:uid="{00000000-0005-0000-0000-0000EAB10000}"/>
    <cellStyle name="Comma 4 2 5 3 2 2 10" xfId="23190" xr:uid="{00000000-0005-0000-0000-0000EBB10000}"/>
    <cellStyle name="Comma 4 2 5 3 2 2 2" xfId="4807" xr:uid="{00000000-0005-0000-0000-0000ECB10000}"/>
    <cellStyle name="Comma 4 2 5 3 2 2 2 2" xfId="20742" xr:uid="{00000000-0005-0000-0000-0000EDB10000}"/>
    <cellStyle name="Comma 4 2 5 3 2 2 2 2 2" xfId="44020" xr:uid="{00000000-0005-0000-0000-0000EEB10000}"/>
    <cellStyle name="Comma 4 2 5 3 2 2 2 3" xfId="48916" xr:uid="{00000000-0005-0000-0000-0000EFB10000}"/>
    <cellStyle name="Comma 4 2 5 3 2 2 2 4" xfId="28086" xr:uid="{00000000-0005-0000-0000-0000F0B10000}"/>
    <cellStyle name="Comma 4 2 5 3 2 2 3" xfId="7255" xr:uid="{00000000-0005-0000-0000-0000F1B10000}"/>
    <cellStyle name="Comma 4 2 5 3 2 2 3 2" xfId="30534" xr:uid="{00000000-0005-0000-0000-0000F2B10000}"/>
    <cellStyle name="Comma 4 2 5 3 2 2 4" xfId="9703" xr:uid="{00000000-0005-0000-0000-0000F3B10000}"/>
    <cellStyle name="Comma 4 2 5 3 2 2 4 2" xfId="32982" xr:uid="{00000000-0005-0000-0000-0000F4B10000}"/>
    <cellStyle name="Comma 4 2 5 3 2 2 5" xfId="12151" xr:uid="{00000000-0005-0000-0000-0000F5B10000}"/>
    <cellStyle name="Comma 4 2 5 3 2 2 5 2" xfId="35430" xr:uid="{00000000-0005-0000-0000-0000F6B10000}"/>
    <cellStyle name="Comma 4 2 5 3 2 2 6" xfId="14599" xr:uid="{00000000-0005-0000-0000-0000F7B10000}"/>
    <cellStyle name="Comma 4 2 5 3 2 2 6 2" xfId="37878" xr:uid="{00000000-0005-0000-0000-0000F8B10000}"/>
    <cellStyle name="Comma 4 2 5 3 2 2 7" xfId="18294" xr:uid="{00000000-0005-0000-0000-0000F9B10000}"/>
    <cellStyle name="Comma 4 2 5 3 2 2 7 2" xfId="41572" xr:uid="{00000000-0005-0000-0000-0000FAB10000}"/>
    <cellStyle name="Comma 4 2 5 3 2 2 8" xfId="25638" xr:uid="{00000000-0005-0000-0000-0000FBB10000}"/>
    <cellStyle name="Comma 4 2 5 3 2 2 9" xfId="46468" xr:uid="{00000000-0005-0000-0000-0000FCB10000}"/>
    <cellStyle name="Comma 4 2 5 3 2 3" xfId="3583" xr:uid="{00000000-0005-0000-0000-0000FDB10000}"/>
    <cellStyle name="Comma 4 2 5 3 2 3 2" xfId="17070" xr:uid="{00000000-0005-0000-0000-0000FEB10000}"/>
    <cellStyle name="Comma 4 2 5 3 2 3 2 2" xfId="40348" xr:uid="{00000000-0005-0000-0000-0000FFB10000}"/>
    <cellStyle name="Comma 4 2 5 3 2 3 3" xfId="47692" xr:uid="{00000000-0005-0000-0000-000000B20000}"/>
    <cellStyle name="Comma 4 2 5 3 2 3 4" xfId="26862" xr:uid="{00000000-0005-0000-0000-000001B20000}"/>
    <cellStyle name="Comma 4 2 5 3 2 4" xfId="6031" xr:uid="{00000000-0005-0000-0000-000002B20000}"/>
    <cellStyle name="Comma 4 2 5 3 2 4 2" xfId="19518" xr:uid="{00000000-0005-0000-0000-000003B20000}"/>
    <cellStyle name="Comma 4 2 5 3 2 4 2 2" xfId="42796" xr:uid="{00000000-0005-0000-0000-000004B20000}"/>
    <cellStyle name="Comma 4 2 5 3 2 4 3" xfId="29310" xr:uid="{00000000-0005-0000-0000-000005B20000}"/>
    <cellStyle name="Comma 4 2 5 3 2 5" xfId="8479" xr:uid="{00000000-0005-0000-0000-000006B20000}"/>
    <cellStyle name="Comma 4 2 5 3 2 5 2" xfId="31758" xr:uid="{00000000-0005-0000-0000-000007B20000}"/>
    <cellStyle name="Comma 4 2 5 3 2 6" xfId="10927" xr:uid="{00000000-0005-0000-0000-000008B20000}"/>
    <cellStyle name="Comma 4 2 5 3 2 6 2" xfId="34206" xr:uid="{00000000-0005-0000-0000-000009B20000}"/>
    <cellStyle name="Comma 4 2 5 3 2 7" xfId="13375" xr:uid="{00000000-0005-0000-0000-00000AB20000}"/>
    <cellStyle name="Comma 4 2 5 3 2 7 2" xfId="36654" xr:uid="{00000000-0005-0000-0000-00000BB20000}"/>
    <cellStyle name="Comma 4 2 5 3 2 8" xfId="15846" xr:uid="{00000000-0005-0000-0000-00000CB20000}"/>
    <cellStyle name="Comma 4 2 5 3 2 8 2" xfId="39124" xr:uid="{00000000-0005-0000-0000-00000DB20000}"/>
    <cellStyle name="Comma 4 2 5 3 2 9" xfId="24414" xr:uid="{00000000-0005-0000-0000-00000EB20000}"/>
    <cellStyle name="Comma 4 2 5 3 3" xfId="1747" xr:uid="{00000000-0005-0000-0000-00000FB20000}"/>
    <cellStyle name="Comma 4 2 5 3 3 10" xfId="22578" xr:uid="{00000000-0005-0000-0000-000010B20000}"/>
    <cellStyle name="Comma 4 2 5 3 3 2" xfId="4195" xr:uid="{00000000-0005-0000-0000-000011B20000}"/>
    <cellStyle name="Comma 4 2 5 3 3 2 2" xfId="20130" xr:uid="{00000000-0005-0000-0000-000012B20000}"/>
    <cellStyle name="Comma 4 2 5 3 3 2 2 2" xfId="43408" xr:uid="{00000000-0005-0000-0000-000013B20000}"/>
    <cellStyle name="Comma 4 2 5 3 3 2 3" xfId="48304" xr:uid="{00000000-0005-0000-0000-000014B20000}"/>
    <cellStyle name="Comma 4 2 5 3 3 2 4" xfId="27474" xr:uid="{00000000-0005-0000-0000-000015B20000}"/>
    <cellStyle name="Comma 4 2 5 3 3 3" xfId="6643" xr:uid="{00000000-0005-0000-0000-000016B20000}"/>
    <cellStyle name="Comma 4 2 5 3 3 3 2" xfId="29922" xr:uid="{00000000-0005-0000-0000-000017B20000}"/>
    <cellStyle name="Comma 4 2 5 3 3 4" xfId="9091" xr:uid="{00000000-0005-0000-0000-000018B20000}"/>
    <cellStyle name="Comma 4 2 5 3 3 4 2" xfId="32370" xr:uid="{00000000-0005-0000-0000-000019B20000}"/>
    <cellStyle name="Comma 4 2 5 3 3 5" xfId="11539" xr:uid="{00000000-0005-0000-0000-00001AB20000}"/>
    <cellStyle name="Comma 4 2 5 3 3 5 2" xfId="34818" xr:uid="{00000000-0005-0000-0000-00001BB20000}"/>
    <cellStyle name="Comma 4 2 5 3 3 6" xfId="13987" xr:uid="{00000000-0005-0000-0000-00001CB20000}"/>
    <cellStyle name="Comma 4 2 5 3 3 6 2" xfId="37266" xr:uid="{00000000-0005-0000-0000-00001DB20000}"/>
    <cellStyle name="Comma 4 2 5 3 3 7" xfId="17682" xr:uid="{00000000-0005-0000-0000-00001EB20000}"/>
    <cellStyle name="Comma 4 2 5 3 3 7 2" xfId="40960" xr:uid="{00000000-0005-0000-0000-00001FB20000}"/>
    <cellStyle name="Comma 4 2 5 3 3 8" xfId="25026" xr:uid="{00000000-0005-0000-0000-000020B20000}"/>
    <cellStyle name="Comma 4 2 5 3 3 9" xfId="45856" xr:uid="{00000000-0005-0000-0000-000021B20000}"/>
    <cellStyle name="Comma 4 2 5 3 4" xfId="2971" xr:uid="{00000000-0005-0000-0000-000022B20000}"/>
    <cellStyle name="Comma 4 2 5 3 4 2" xfId="16458" xr:uid="{00000000-0005-0000-0000-000023B20000}"/>
    <cellStyle name="Comma 4 2 5 3 4 2 2" xfId="39736" xr:uid="{00000000-0005-0000-0000-000024B20000}"/>
    <cellStyle name="Comma 4 2 5 3 4 3" xfId="47080" xr:uid="{00000000-0005-0000-0000-000025B20000}"/>
    <cellStyle name="Comma 4 2 5 3 4 4" xfId="26250" xr:uid="{00000000-0005-0000-0000-000026B20000}"/>
    <cellStyle name="Comma 4 2 5 3 5" xfId="5419" xr:uid="{00000000-0005-0000-0000-000027B20000}"/>
    <cellStyle name="Comma 4 2 5 3 5 2" xfId="18906" xr:uid="{00000000-0005-0000-0000-000028B20000}"/>
    <cellStyle name="Comma 4 2 5 3 5 2 2" xfId="42184" xr:uid="{00000000-0005-0000-0000-000029B20000}"/>
    <cellStyle name="Comma 4 2 5 3 5 3" xfId="28698" xr:uid="{00000000-0005-0000-0000-00002AB20000}"/>
    <cellStyle name="Comma 4 2 5 3 6" xfId="7867" xr:uid="{00000000-0005-0000-0000-00002BB20000}"/>
    <cellStyle name="Comma 4 2 5 3 6 2" xfId="31146" xr:uid="{00000000-0005-0000-0000-00002CB20000}"/>
    <cellStyle name="Comma 4 2 5 3 7" xfId="10315" xr:uid="{00000000-0005-0000-0000-00002DB20000}"/>
    <cellStyle name="Comma 4 2 5 3 7 2" xfId="33594" xr:uid="{00000000-0005-0000-0000-00002EB20000}"/>
    <cellStyle name="Comma 4 2 5 3 8" xfId="12763" xr:uid="{00000000-0005-0000-0000-00002FB20000}"/>
    <cellStyle name="Comma 4 2 5 3 8 2" xfId="36042" xr:uid="{00000000-0005-0000-0000-000030B20000}"/>
    <cellStyle name="Comma 4 2 5 3 9" xfId="15234" xr:uid="{00000000-0005-0000-0000-000031B20000}"/>
    <cellStyle name="Comma 4 2 5 3 9 2" xfId="38512" xr:uid="{00000000-0005-0000-0000-000032B20000}"/>
    <cellStyle name="Comma 4 2 5 4" xfId="727" xr:uid="{00000000-0005-0000-0000-000033B20000}"/>
    <cellStyle name="Comma 4 2 5 4 10" xfId="44836" xr:uid="{00000000-0005-0000-0000-000034B20000}"/>
    <cellStyle name="Comma 4 2 5 4 11" xfId="21558" xr:uid="{00000000-0005-0000-0000-000035B20000}"/>
    <cellStyle name="Comma 4 2 5 4 2" xfId="1951" xr:uid="{00000000-0005-0000-0000-000036B20000}"/>
    <cellStyle name="Comma 4 2 5 4 2 10" xfId="22782" xr:uid="{00000000-0005-0000-0000-000037B20000}"/>
    <cellStyle name="Comma 4 2 5 4 2 2" xfId="4399" xr:uid="{00000000-0005-0000-0000-000038B20000}"/>
    <cellStyle name="Comma 4 2 5 4 2 2 2" xfId="20334" xr:uid="{00000000-0005-0000-0000-000039B20000}"/>
    <cellStyle name="Comma 4 2 5 4 2 2 2 2" xfId="43612" xr:uid="{00000000-0005-0000-0000-00003AB20000}"/>
    <cellStyle name="Comma 4 2 5 4 2 2 3" xfId="48508" xr:uid="{00000000-0005-0000-0000-00003BB20000}"/>
    <cellStyle name="Comma 4 2 5 4 2 2 4" xfId="27678" xr:uid="{00000000-0005-0000-0000-00003CB20000}"/>
    <cellStyle name="Comma 4 2 5 4 2 3" xfId="6847" xr:uid="{00000000-0005-0000-0000-00003DB20000}"/>
    <cellStyle name="Comma 4 2 5 4 2 3 2" xfId="30126" xr:uid="{00000000-0005-0000-0000-00003EB20000}"/>
    <cellStyle name="Comma 4 2 5 4 2 4" xfId="9295" xr:uid="{00000000-0005-0000-0000-00003FB20000}"/>
    <cellStyle name="Comma 4 2 5 4 2 4 2" xfId="32574" xr:uid="{00000000-0005-0000-0000-000040B20000}"/>
    <cellStyle name="Comma 4 2 5 4 2 5" xfId="11743" xr:uid="{00000000-0005-0000-0000-000041B20000}"/>
    <cellStyle name="Comma 4 2 5 4 2 5 2" xfId="35022" xr:uid="{00000000-0005-0000-0000-000042B20000}"/>
    <cellStyle name="Comma 4 2 5 4 2 6" xfId="14191" xr:uid="{00000000-0005-0000-0000-000043B20000}"/>
    <cellStyle name="Comma 4 2 5 4 2 6 2" xfId="37470" xr:uid="{00000000-0005-0000-0000-000044B20000}"/>
    <cellStyle name="Comma 4 2 5 4 2 7" xfId="17886" xr:uid="{00000000-0005-0000-0000-000045B20000}"/>
    <cellStyle name="Comma 4 2 5 4 2 7 2" xfId="41164" xr:uid="{00000000-0005-0000-0000-000046B20000}"/>
    <cellStyle name="Comma 4 2 5 4 2 8" xfId="25230" xr:uid="{00000000-0005-0000-0000-000047B20000}"/>
    <cellStyle name="Comma 4 2 5 4 2 9" xfId="46060" xr:uid="{00000000-0005-0000-0000-000048B20000}"/>
    <cellStyle name="Comma 4 2 5 4 3" xfId="3175" xr:uid="{00000000-0005-0000-0000-000049B20000}"/>
    <cellStyle name="Comma 4 2 5 4 3 2" xfId="16662" xr:uid="{00000000-0005-0000-0000-00004AB20000}"/>
    <cellStyle name="Comma 4 2 5 4 3 2 2" xfId="39940" xr:uid="{00000000-0005-0000-0000-00004BB20000}"/>
    <cellStyle name="Comma 4 2 5 4 3 3" xfId="47284" xr:uid="{00000000-0005-0000-0000-00004CB20000}"/>
    <cellStyle name="Comma 4 2 5 4 3 4" xfId="26454" xr:uid="{00000000-0005-0000-0000-00004DB20000}"/>
    <cellStyle name="Comma 4 2 5 4 4" xfId="5623" xr:uid="{00000000-0005-0000-0000-00004EB20000}"/>
    <cellStyle name="Comma 4 2 5 4 4 2" xfId="19110" xr:uid="{00000000-0005-0000-0000-00004FB20000}"/>
    <cellStyle name="Comma 4 2 5 4 4 2 2" xfId="42388" xr:uid="{00000000-0005-0000-0000-000050B20000}"/>
    <cellStyle name="Comma 4 2 5 4 4 3" xfId="28902" xr:uid="{00000000-0005-0000-0000-000051B20000}"/>
    <cellStyle name="Comma 4 2 5 4 5" xfId="8071" xr:uid="{00000000-0005-0000-0000-000052B20000}"/>
    <cellStyle name="Comma 4 2 5 4 5 2" xfId="31350" xr:uid="{00000000-0005-0000-0000-000053B20000}"/>
    <cellStyle name="Comma 4 2 5 4 6" xfId="10519" xr:uid="{00000000-0005-0000-0000-000054B20000}"/>
    <cellStyle name="Comma 4 2 5 4 6 2" xfId="33798" xr:uid="{00000000-0005-0000-0000-000055B20000}"/>
    <cellStyle name="Comma 4 2 5 4 7" xfId="12967" xr:uid="{00000000-0005-0000-0000-000056B20000}"/>
    <cellStyle name="Comma 4 2 5 4 7 2" xfId="36246" xr:uid="{00000000-0005-0000-0000-000057B20000}"/>
    <cellStyle name="Comma 4 2 5 4 8" xfId="15438" xr:uid="{00000000-0005-0000-0000-000058B20000}"/>
    <cellStyle name="Comma 4 2 5 4 8 2" xfId="38716" xr:uid="{00000000-0005-0000-0000-000059B20000}"/>
    <cellStyle name="Comma 4 2 5 4 9" xfId="24006" xr:uid="{00000000-0005-0000-0000-00005AB20000}"/>
    <cellStyle name="Comma 4 2 5 5" xfId="1339" xr:uid="{00000000-0005-0000-0000-00005BB20000}"/>
    <cellStyle name="Comma 4 2 5 5 10" xfId="22170" xr:uid="{00000000-0005-0000-0000-00005CB20000}"/>
    <cellStyle name="Comma 4 2 5 5 2" xfId="3787" xr:uid="{00000000-0005-0000-0000-00005DB20000}"/>
    <cellStyle name="Comma 4 2 5 5 2 2" xfId="19722" xr:uid="{00000000-0005-0000-0000-00005EB20000}"/>
    <cellStyle name="Comma 4 2 5 5 2 2 2" xfId="43000" xr:uid="{00000000-0005-0000-0000-00005FB20000}"/>
    <cellStyle name="Comma 4 2 5 5 2 3" xfId="47896" xr:uid="{00000000-0005-0000-0000-000060B20000}"/>
    <cellStyle name="Comma 4 2 5 5 2 4" xfId="27066" xr:uid="{00000000-0005-0000-0000-000061B20000}"/>
    <cellStyle name="Comma 4 2 5 5 3" xfId="6235" xr:uid="{00000000-0005-0000-0000-000062B20000}"/>
    <cellStyle name="Comma 4 2 5 5 3 2" xfId="29514" xr:uid="{00000000-0005-0000-0000-000063B20000}"/>
    <cellStyle name="Comma 4 2 5 5 4" xfId="8683" xr:uid="{00000000-0005-0000-0000-000064B20000}"/>
    <cellStyle name="Comma 4 2 5 5 4 2" xfId="31962" xr:uid="{00000000-0005-0000-0000-000065B20000}"/>
    <cellStyle name="Comma 4 2 5 5 5" xfId="11131" xr:uid="{00000000-0005-0000-0000-000066B20000}"/>
    <cellStyle name="Comma 4 2 5 5 5 2" xfId="34410" xr:uid="{00000000-0005-0000-0000-000067B20000}"/>
    <cellStyle name="Comma 4 2 5 5 6" xfId="13579" xr:uid="{00000000-0005-0000-0000-000068B20000}"/>
    <cellStyle name="Comma 4 2 5 5 6 2" xfId="36858" xr:uid="{00000000-0005-0000-0000-000069B20000}"/>
    <cellStyle name="Comma 4 2 5 5 7" xfId="17274" xr:uid="{00000000-0005-0000-0000-00006AB20000}"/>
    <cellStyle name="Comma 4 2 5 5 7 2" xfId="40552" xr:uid="{00000000-0005-0000-0000-00006BB20000}"/>
    <cellStyle name="Comma 4 2 5 5 8" xfId="24618" xr:uid="{00000000-0005-0000-0000-00006CB20000}"/>
    <cellStyle name="Comma 4 2 5 5 9" xfId="45448" xr:uid="{00000000-0005-0000-0000-00006DB20000}"/>
    <cellStyle name="Comma 4 2 5 6" xfId="2563" xr:uid="{00000000-0005-0000-0000-00006EB20000}"/>
    <cellStyle name="Comma 4 2 5 6 2" xfId="16050" xr:uid="{00000000-0005-0000-0000-00006FB20000}"/>
    <cellStyle name="Comma 4 2 5 6 2 2" xfId="39328" xr:uid="{00000000-0005-0000-0000-000070B20000}"/>
    <cellStyle name="Comma 4 2 5 6 3" xfId="46672" xr:uid="{00000000-0005-0000-0000-000071B20000}"/>
    <cellStyle name="Comma 4 2 5 6 4" xfId="25842" xr:uid="{00000000-0005-0000-0000-000072B20000}"/>
    <cellStyle name="Comma 4 2 5 7" xfId="5011" xr:uid="{00000000-0005-0000-0000-000073B20000}"/>
    <cellStyle name="Comma 4 2 5 7 2" xfId="18498" xr:uid="{00000000-0005-0000-0000-000074B20000}"/>
    <cellStyle name="Comma 4 2 5 7 2 2" xfId="41776" xr:uid="{00000000-0005-0000-0000-000075B20000}"/>
    <cellStyle name="Comma 4 2 5 7 3" xfId="28290" xr:uid="{00000000-0005-0000-0000-000076B20000}"/>
    <cellStyle name="Comma 4 2 5 8" xfId="7459" xr:uid="{00000000-0005-0000-0000-000077B20000}"/>
    <cellStyle name="Comma 4 2 5 8 2" xfId="30738" xr:uid="{00000000-0005-0000-0000-000078B20000}"/>
    <cellStyle name="Comma 4 2 5 9" xfId="9907" xr:uid="{00000000-0005-0000-0000-000079B20000}"/>
    <cellStyle name="Comma 4 2 5 9 2" xfId="33186" xr:uid="{00000000-0005-0000-0000-00007AB20000}"/>
    <cellStyle name="Comma 4 2 6" xfId="183" xr:uid="{00000000-0005-0000-0000-00007BB20000}"/>
    <cellStyle name="Comma 4 2 6 10" xfId="12423" xr:uid="{00000000-0005-0000-0000-00007CB20000}"/>
    <cellStyle name="Comma 4 2 6 10 2" xfId="35702" xr:uid="{00000000-0005-0000-0000-00007DB20000}"/>
    <cellStyle name="Comma 4 2 6 11" xfId="14894" xr:uid="{00000000-0005-0000-0000-00007EB20000}"/>
    <cellStyle name="Comma 4 2 6 11 2" xfId="38172" xr:uid="{00000000-0005-0000-0000-00007FB20000}"/>
    <cellStyle name="Comma 4 2 6 12" xfId="23462" xr:uid="{00000000-0005-0000-0000-000080B20000}"/>
    <cellStyle name="Comma 4 2 6 13" xfId="44292" xr:uid="{00000000-0005-0000-0000-000081B20000}"/>
    <cellStyle name="Comma 4 2 6 14" xfId="21014" xr:uid="{00000000-0005-0000-0000-000082B20000}"/>
    <cellStyle name="Comma 4 2 6 2" xfId="387" xr:uid="{00000000-0005-0000-0000-000083B20000}"/>
    <cellStyle name="Comma 4 2 6 2 10" xfId="23666" xr:uid="{00000000-0005-0000-0000-000084B20000}"/>
    <cellStyle name="Comma 4 2 6 2 11" xfId="44496" xr:uid="{00000000-0005-0000-0000-000085B20000}"/>
    <cellStyle name="Comma 4 2 6 2 12" xfId="21218" xr:uid="{00000000-0005-0000-0000-000086B20000}"/>
    <cellStyle name="Comma 4 2 6 2 2" xfId="999" xr:uid="{00000000-0005-0000-0000-000087B20000}"/>
    <cellStyle name="Comma 4 2 6 2 2 10" xfId="45108" xr:uid="{00000000-0005-0000-0000-000088B20000}"/>
    <cellStyle name="Comma 4 2 6 2 2 11" xfId="21830" xr:uid="{00000000-0005-0000-0000-000089B20000}"/>
    <cellStyle name="Comma 4 2 6 2 2 2" xfId="2223" xr:uid="{00000000-0005-0000-0000-00008AB20000}"/>
    <cellStyle name="Comma 4 2 6 2 2 2 10" xfId="23054" xr:uid="{00000000-0005-0000-0000-00008BB20000}"/>
    <cellStyle name="Comma 4 2 6 2 2 2 2" xfId="4671" xr:uid="{00000000-0005-0000-0000-00008CB20000}"/>
    <cellStyle name="Comma 4 2 6 2 2 2 2 2" xfId="20606" xr:uid="{00000000-0005-0000-0000-00008DB20000}"/>
    <cellStyle name="Comma 4 2 6 2 2 2 2 2 2" xfId="43884" xr:uid="{00000000-0005-0000-0000-00008EB20000}"/>
    <cellStyle name="Comma 4 2 6 2 2 2 2 3" xfId="48780" xr:uid="{00000000-0005-0000-0000-00008FB20000}"/>
    <cellStyle name="Comma 4 2 6 2 2 2 2 4" xfId="27950" xr:uid="{00000000-0005-0000-0000-000090B20000}"/>
    <cellStyle name="Comma 4 2 6 2 2 2 3" xfId="7119" xr:uid="{00000000-0005-0000-0000-000091B20000}"/>
    <cellStyle name="Comma 4 2 6 2 2 2 3 2" xfId="30398" xr:uid="{00000000-0005-0000-0000-000092B20000}"/>
    <cellStyle name="Comma 4 2 6 2 2 2 4" xfId="9567" xr:uid="{00000000-0005-0000-0000-000093B20000}"/>
    <cellStyle name="Comma 4 2 6 2 2 2 4 2" xfId="32846" xr:uid="{00000000-0005-0000-0000-000094B20000}"/>
    <cellStyle name="Comma 4 2 6 2 2 2 5" xfId="12015" xr:uid="{00000000-0005-0000-0000-000095B20000}"/>
    <cellStyle name="Comma 4 2 6 2 2 2 5 2" xfId="35294" xr:uid="{00000000-0005-0000-0000-000096B20000}"/>
    <cellStyle name="Comma 4 2 6 2 2 2 6" xfId="14463" xr:uid="{00000000-0005-0000-0000-000097B20000}"/>
    <cellStyle name="Comma 4 2 6 2 2 2 6 2" xfId="37742" xr:uid="{00000000-0005-0000-0000-000098B20000}"/>
    <cellStyle name="Comma 4 2 6 2 2 2 7" xfId="18158" xr:uid="{00000000-0005-0000-0000-000099B20000}"/>
    <cellStyle name="Comma 4 2 6 2 2 2 7 2" xfId="41436" xr:uid="{00000000-0005-0000-0000-00009AB20000}"/>
    <cellStyle name="Comma 4 2 6 2 2 2 8" xfId="25502" xr:uid="{00000000-0005-0000-0000-00009BB20000}"/>
    <cellStyle name="Comma 4 2 6 2 2 2 9" xfId="46332" xr:uid="{00000000-0005-0000-0000-00009CB20000}"/>
    <cellStyle name="Comma 4 2 6 2 2 3" xfId="3447" xr:uid="{00000000-0005-0000-0000-00009DB20000}"/>
    <cellStyle name="Comma 4 2 6 2 2 3 2" xfId="16934" xr:uid="{00000000-0005-0000-0000-00009EB20000}"/>
    <cellStyle name="Comma 4 2 6 2 2 3 2 2" xfId="40212" xr:uid="{00000000-0005-0000-0000-00009FB20000}"/>
    <cellStyle name="Comma 4 2 6 2 2 3 3" xfId="47556" xr:uid="{00000000-0005-0000-0000-0000A0B20000}"/>
    <cellStyle name="Comma 4 2 6 2 2 3 4" xfId="26726" xr:uid="{00000000-0005-0000-0000-0000A1B20000}"/>
    <cellStyle name="Comma 4 2 6 2 2 4" xfId="5895" xr:uid="{00000000-0005-0000-0000-0000A2B20000}"/>
    <cellStyle name="Comma 4 2 6 2 2 4 2" xfId="19382" xr:uid="{00000000-0005-0000-0000-0000A3B20000}"/>
    <cellStyle name="Comma 4 2 6 2 2 4 2 2" xfId="42660" xr:uid="{00000000-0005-0000-0000-0000A4B20000}"/>
    <cellStyle name="Comma 4 2 6 2 2 4 3" xfId="29174" xr:uid="{00000000-0005-0000-0000-0000A5B20000}"/>
    <cellStyle name="Comma 4 2 6 2 2 5" xfId="8343" xr:uid="{00000000-0005-0000-0000-0000A6B20000}"/>
    <cellStyle name="Comma 4 2 6 2 2 5 2" xfId="31622" xr:uid="{00000000-0005-0000-0000-0000A7B20000}"/>
    <cellStyle name="Comma 4 2 6 2 2 6" xfId="10791" xr:uid="{00000000-0005-0000-0000-0000A8B20000}"/>
    <cellStyle name="Comma 4 2 6 2 2 6 2" xfId="34070" xr:uid="{00000000-0005-0000-0000-0000A9B20000}"/>
    <cellStyle name="Comma 4 2 6 2 2 7" xfId="13239" xr:uid="{00000000-0005-0000-0000-0000AAB20000}"/>
    <cellStyle name="Comma 4 2 6 2 2 7 2" xfId="36518" xr:uid="{00000000-0005-0000-0000-0000ABB20000}"/>
    <cellStyle name="Comma 4 2 6 2 2 8" xfId="15710" xr:uid="{00000000-0005-0000-0000-0000ACB20000}"/>
    <cellStyle name="Comma 4 2 6 2 2 8 2" xfId="38988" xr:uid="{00000000-0005-0000-0000-0000ADB20000}"/>
    <cellStyle name="Comma 4 2 6 2 2 9" xfId="24278" xr:uid="{00000000-0005-0000-0000-0000AEB20000}"/>
    <cellStyle name="Comma 4 2 6 2 3" xfId="1611" xr:uid="{00000000-0005-0000-0000-0000AFB20000}"/>
    <cellStyle name="Comma 4 2 6 2 3 10" xfId="22442" xr:uid="{00000000-0005-0000-0000-0000B0B20000}"/>
    <cellStyle name="Comma 4 2 6 2 3 2" xfId="4059" xr:uid="{00000000-0005-0000-0000-0000B1B20000}"/>
    <cellStyle name="Comma 4 2 6 2 3 2 2" xfId="19994" xr:uid="{00000000-0005-0000-0000-0000B2B20000}"/>
    <cellStyle name="Comma 4 2 6 2 3 2 2 2" xfId="43272" xr:uid="{00000000-0005-0000-0000-0000B3B20000}"/>
    <cellStyle name="Comma 4 2 6 2 3 2 3" xfId="48168" xr:uid="{00000000-0005-0000-0000-0000B4B20000}"/>
    <cellStyle name="Comma 4 2 6 2 3 2 4" xfId="27338" xr:uid="{00000000-0005-0000-0000-0000B5B20000}"/>
    <cellStyle name="Comma 4 2 6 2 3 3" xfId="6507" xr:uid="{00000000-0005-0000-0000-0000B6B20000}"/>
    <cellStyle name="Comma 4 2 6 2 3 3 2" xfId="29786" xr:uid="{00000000-0005-0000-0000-0000B7B20000}"/>
    <cellStyle name="Comma 4 2 6 2 3 4" xfId="8955" xr:uid="{00000000-0005-0000-0000-0000B8B20000}"/>
    <cellStyle name="Comma 4 2 6 2 3 4 2" xfId="32234" xr:uid="{00000000-0005-0000-0000-0000B9B20000}"/>
    <cellStyle name="Comma 4 2 6 2 3 5" xfId="11403" xr:uid="{00000000-0005-0000-0000-0000BAB20000}"/>
    <cellStyle name="Comma 4 2 6 2 3 5 2" xfId="34682" xr:uid="{00000000-0005-0000-0000-0000BBB20000}"/>
    <cellStyle name="Comma 4 2 6 2 3 6" xfId="13851" xr:uid="{00000000-0005-0000-0000-0000BCB20000}"/>
    <cellStyle name="Comma 4 2 6 2 3 6 2" xfId="37130" xr:uid="{00000000-0005-0000-0000-0000BDB20000}"/>
    <cellStyle name="Comma 4 2 6 2 3 7" xfId="17546" xr:uid="{00000000-0005-0000-0000-0000BEB20000}"/>
    <cellStyle name="Comma 4 2 6 2 3 7 2" xfId="40824" xr:uid="{00000000-0005-0000-0000-0000BFB20000}"/>
    <cellStyle name="Comma 4 2 6 2 3 8" xfId="24890" xr:uid="{00000000-0005-0000-0000-0000C0B20000}"/>
    <cellStyle name="Comma 4 2 6 2 3 9" xfId="45720" xr:uid="{00000000-0005-0000-0000-0000C1B20000}"/>
    <cellStyle name="Comma 4 2 6 2 4" xfId="2835" xr:uid="{00000000-0005-0000-0000-0000C2B20000}"/>
    <cellStyle name="Comma 4 2 6 2 4 2" xfId="16322" xr:uid="{00000000-0005-0000-0000-0000C3B20000}"/>
    <cellStyle name="Comma 4 2 6 2 4 2 2" xfId="39600" xr:uid="{00000000-0005-0000-0000-0000C4B20000}"/>
    <cellStyle name="Comma 4 2 6 2 4 3" xfId="46944" xr:uid="{00000000-0005-0000-0000-0000C5B20000}"/>
    <cellStyle name="Comma 4 2 6 2 4 4" xfId="26114" xr:uid="{00000000-0005-0000-0000-0000C6B20000}"/>
    <cellStyle name="Comma 4 2 6 2 5" xfId="5283" xr:uid="{00000000-0005-0000-0000-0000C7B20000}"/>
    <cellStyle name="Comma 4 2 6 2 5 2" xfId="18770" xr:uid="{00000000-0005-0000-0000-0000C8B20000}"/>
    <cellStyle name="Comma 4 2 6 2 5 2 2" xfId="42048" xr:uid="{00000000-0005-0000-0000-0000C9B20000}"/>
    <cellStyle name="Comma 4 2 6 2 5 3" xfId="28562" xr:uid="{00000000-0005-0000-0000-0000CAB20000}"/>
    <cellStyle name="Comma 4 2 6 2 6" xfId="7731" xr:uid="{00000000-0005-0000-0000-0000CBB20000}"/>
    <cellStyle name="Comma 4 2 6 2 6 2" xfId="31010" xr:uid="{00000000-0005-0000-0000-0000CCB20000}"/>
    <cellStyle name="Comma 4 2 6 2 7" xfId="10179" xr:uid="{00000000-0005-0000-0000-0000CDB20000}"/>
    <cellStyle name="Comma 4 2 6 2 7 2" xfId="33458" xr:uid="{00000000-0005-0000-0000-0000CEB20000}"/>
    <cellStyle name="Comma 4 2 6 2 8" xfId="12627" xr:uid="{00000000-0005-0000-0000-0000CFB20000}"/>
    <cellStyle name="Comma 4 2 6 2 8 2" xfId="35906" xr:uid="{00000000-0005-0000-0000-0000D0B20000}"/>
    <cellStyle name="Comma 4 2 6 2 9" xfId="15098" xr:uid="{00000000-0005-0000-0000-0000D1B20000}"/>
    <cellStyle name="Comma 4 2 6 2 9 2" xfId="38376" xr:uid="{00000000-0005-0000-0000-0000D2B20000}"/>
    <cellStyle name="Comma 4 2 6 3" xfId="591" xr:uid="{00000000-0005-0000-0000-0000D3B20000}"/>
    <cellStyle name="Comma 4 2 6 3 10" xfId="23870" xr:uid="{00000000-0005-0000-0000-0000D4B20000}"/>
    <cellStyle name="Comma 4 2 6 3 11" xfId="44700" xr:uid="{00000000-0005-0000-0000-0000D5B20000}"/>
    <cellStyle name="Comma 4 2 6 3 12" xfId="21422" xr:uid="{00000000-0005-0000-0000-0000D6B20000}"/>
    <cellStyle name="Comma 4 2 6 3 2" xfId="1203" xr:uid="{00000000-0005-0000-0000-0000D7B20000}"/>
    <cellStyle name="Comma 4 2 6 3 2 10" xfId="45312" xr:uid="{00000000-0005-0000-0000-0000D8B20000}"/>
    <cellStyle name="Comma 4 2 6 3 2 11" xfId="22034" xr:uid="{00000000-0005-0000-0000-0000D9B20000}"/>
    <cellStyle name="Comma 4 2 6 3 2 2" xfId="2427" xr:uid="{00000000-0005-0000-0000-0000DAB20000}"/>
    <cellStyle name="Comma 4 2 6 3 2 2 10" xfId="23258" xr:uid="{00000000-0005-0000-0000-0000DBB20000}"/>
    <cellStyle name="Comma 4 2 6 3 2 2 2" xfId="4875" xr:uid="{00000000-0005-0000-0000-0000DCB20000}"/>
    <cellStyle name="Comma 4 2 6 3 2 2 2 2" xfId="20810" xr:uid="{00000000-0005-0000-0000-0000DDB20000}"/>
    <cellStyle name="Comma 4 2 6 3 2 2 2 2 2" xfId="44088" xr:uid="{00000000-0005-0000-0000-0000DEB20000}"/>
    <cellStyle name="Comma 4 2 6 3 2 2 2 3" xfId="48984" xr:uid="{00000000-0005-0000-0000-0000DFB20000}"/>
    <cellStyle name="Comma 4 2 6 3 2 2 2 4" xfId="28154" xr:uid="{00000000-0005-0000-0000-0000E0B20000}"/>
    <cellStyle name="Comma 4 2 6 3 2 2 3" xfId="7323" xr:uid="{00000000-0005-0000-0000-0000E1B20000}"/>
    <cellStyle name="Comma 4 2 6 3 2 2 3 2" xfId="30602" xr:uid="{00000000-0005-0000-0000-0000E2B20000}"/>
    <cellStyle name="Comma 4 2 6 3 2 2 4" xfId="9771" xr:uid="{00000000-0005-0000-0000-0000E3B20000}"/>
    <cellStyle name="Comma 4 2 6 3 2 2 4 2" xfId="33050" xr:uid="{00000000-0005-0000-0000-0000E4B20000}"/>
    <cellStyle name="Comma 4 2 6 3 2 2 5" xfId="12219" xr:uid="{00000000-0005-0000-0000-0000E5B20000}"/>
    <cellStyle name="Comma 4 2 6 3 2 2 5 2" xfId="35498" xr:uid="{00000000-0005-0000-0000-0000E6B20000}"/>
    <cellStyle name="Comma 4 2 6 3 2 2 6" xfId="14667" xr:uid="{00000000-0005-0000-0000-0000E7B20000}"/>
    <cellStyle name="Comma 4 2 6 3 2 2 6 2" xfId="37946" xr:uid="{00000000-0005-0000-0000-0000E8B20000}"/>
    <cellStyle name="Comma 4 2 6 3 2 2 7" xfId="18362" xr:uid="{00000000-0005-0000-0000-0000E9B20000}"/>
    <cellStyle name="Comma 4 2 6 3 2 2 7 2" xfId="41640" xr:uid="{00000000-0005-0000-0000-0000EAB20000}"/>
    <cellStyle name="Comma 4 2 6 3 2 2 8" xfId="25706" xr:uid="{00000000-0005-0000-0000-0000EBB20000}"/>
    <cellStyle name="Comma 4 2 6 3 2 2 9" xfId="46536" xr:uid="{00000000-0005-0000-0000-0000ECB20000}"/>
    <cellStyle name="Comma 4 2 6 3 2 3" xfId="3651" xr:uid="{00000000-0005-0000-0000-0000EDB20000}"/>
    <cellStyle name="Comma 4 2 6 3 2 3 2" xfId="17138" xr:uid="{00000000-0005-0000-0000-0000EEB20000}"/>
    <cellStyle name="Comma 4 2 6 3 2 3 2 2" xfId="40416" xr:uid="{00000000-0005-0000-0000-0000EFB20000}"/>
    <cellStyle name="Comma 4 2 6 3 2 3 3" xfId="47760" xr:uid="{00000000-0005-0000-0000-0000F0B20000}"/>
    <cellStyle name="Comma 4 2 6 3 2 3 4" xfId="26930" xr:uid="{00000000-0005-0000-0000-0000F1B20000}"/>
    <cellStyle name="Comma 4 2 6 3 2 4" xfId="6099" xr:uid="{00000000-0005-0000-0000-0000F2B20000}"/>
    <cellStyle name="Comma 4 2 6 3 2 4 2" xfId="19586" xr:uid="{00000000-0005-0000-0000-0000F3B20000}"/>
    <cellStyle name="Comma 4 2 6 3 2 4 2 2" xfId="42864" xr:uid="{00000000-0005-0000-0000-0000F4B20000}"/>
    <cellStyle name="Comma 4 2 6 3 2 4 3" xfId="29378" xr:uid="{00000000-0005-0000-0000-0000F5B20000}"/>
    <cellStyle name="Comma 4 2 6 3 2 5" xfId="8547" xr:uid="{00000000-0005-0000-0000-0000F6B20000}"/>
    <cellStyle name="Comma 4 2 6 3 2 5 2" xfId="31826" xr:uid="{00000000-0005-0000-0000-0000F7B20000}"/>
    <cellStyle name="Comma 4 2 6 3 2 6" xfId="10995" xr:uid="{00000000-0005-0000-0000-0000F8B20000}"/>
    <cellStyle name="Comma 4 2 6 3 2 6 2" xfId="34274" xr:uid="{00000000-0005-0000-0000-0000F9B20000}"/>
    <cellStyle name="Comma 4 2 6 3 2 7" xfId="13443" xr:uid="{00000000-0005-0000-0000-0000FAB20000}"/>
    <cellStyle name="Comma 4 2 6 3 2 7 2" xfId="36722" xr:uid="{00000000-0005-0000-0000-0000FBB20000}"/>
    <cellStyle name="Comma 4 2 6 3 2 8" xfId="15914" xr:uid="{00000000-0005-0000-0000-0000FCB20000}"/>
    <cellStyle name="Comma 4 2 6 3 2 8 2" xfId="39192" xr:uid="{00000000-0005-0000-0000-0000FDB20000}"/>
    <cellStyle name="Comma 4 2 6 3 2 9" xfId="24482" xr:uid="{00000000-0005-0000-0000-0000FEB20000}"/>
    <cellStyle name="Comma 4 2 6 3 3" xfId="1815" xr:uid="{00000000-0005-0000-0000-0000FFB20000}"/>
    <cellStyle name="Comma 4 2 6 3 3 10" xfId="22646" xr:uid="{00000000-0005-0000-0000-000000B30000}"/>
    <cellStyle name="Comma 4 2 6 3 3 2" xfId="4263" xr:uid="{00000000-0005-0000-0000-000001B30000}"/>
    <cellStyle name="Comma 4 2 6 3 3 2 2" xfId="20198" xr:uid="{00000000-0005-0000-0000-000002B30000}"/>
    <cellStyle name="Comma 4 2 6 3 3 2 2 2" xfId="43476" xr:uid="{00000000-0005-0000-0000-000003B30000}"/>
    <cellStyle name="Comma 4 2 6 3 3 2 3" xfId="48372" xr:uid="{00000000-0005-0000-0000-000004B30000}"/>
    <cellStyle name="Comma 4 2 6 3 3 2 4" xfId="27542" xr:uid="{00000000-0005-0000-0000-000005B30000}"/>
    <cellStyle name="Comma 4 2 6 3 3 3" xfId="6711" xr:uid="{00000000-0005-0000-0000-000006B30000}"/>
    <cellStyle name="Comma 4 2 6 3 3 3 2" xfId="29990" xr:uid="{00000000-0005-0000-0000-000007B30000}"/>
    <cellStyle name="Comma 4 2 6 3 3 4" xfId="9159" xr:uid="{00000000-0005-0000-0000-000008B30000}"/>
    <cellStyle name="Comma 4 2 6 3 3 4 2" xfId="32438" xr:uid="{00000000-0005-0000-0000-000009B30000}"/>
    <cellStyle name="Comma 4 2 6 3 3 5" xfId="11607" xr:uid="{00000000-0005-0000-0000-00000AB30000}"/>
    <cellStyle name="Comma 4 2 6 3 3 5 2" xfId="34886" xr:uid="{00000000-0005-0000-0000-00000BB30000}"/>
    <cellStyle name="Comma 4 2 6 3 3 6" xfId="14055" xr:uid="{00000000-0005-0000-0000-00000CB30000}"/>
    <cellStyle name="Comma 4 2 6 3 3 6 2" xfId="37334" xr:uid="{00000000-0005-0000-0000-00000DB30000}"/>
    <cellStyle name="Comma 4 2 6 3 3 7" xfId="17750" xr:uid="{00000000-0005-0000-0000-00000EB30000}"/>
    <cellStyle name="Comma 4 2 6 3 3 7 2" xfId="41028" xr:uid="{00000000-0005-0000-0000-00000FB30000}"/>
    <cellStyle name="Comma 4 2 6 3 3 8" xfId="25094" xr:uid="{00000000-0005-0000-0000-000010B30000}"/>
    <cellStyle name="Comma 4 2 6 3 3 9" xfId="45924" xr:uid="{00000000-0005-0000-0000-000011B30000}"/>
    <cellStyle name="Comma 4 2 6 3 4" xfId="3039" xr:uid="{00000000-0005-0000-0000-000012B30000}"/>
    <cellStyle name="Comma 4 2 6 3 4 2" xfId="16526" xr:uid="{00000000-0005-0000-0000-000013B30000}"/>
    <cellStyle name="Comma 4 2 6 3 4 2 2" xfId="39804" xr:uid="{00000000-0005-0000-0000-000014B30000}"/>
    <cellStyle name="Comma 4 2 6 3 4 3" xfId="47148" xr:uid="{00000000-0005-0000-0000-000015B30000}"/>
    <cellStyle name="Comma 4 2 6 3 4 4" xfId="26318" xr:uid="{00000000-0005-0000-0000-000016B30000}"/>
    <cellStyle name="Comma 4 2 6 3 5" xfId="5487" xr:uid="{00000000-0005-0000-0000-000017B30000}"/>
    <cellStyle name="Comma 4 2 6 3 5 2" xfId="18974" xr:uid="{00000000-0005-0000-0000-000018B30000}"/>
    <cellStyle name="Comma 4 2 6 3 5 2 2" xfId="42252" xr:uid="{00000000-0005-0000-0000-000019B30000}"/>
    <cellStyle name="Comma 4 2 6 3 5 3" xfId="28766" xr:uid="{00000000-0005-0000-0000-00001AB30000}"/>
    <cellStyle name="Comma 4 2 6 3 6" xfId="7935" xr:uid="{00000000-0005-0000-0000-00001BB30000}"/>
    <cellStyle name="Comma 4 2 6 3 6 2" xfId="31214" xr:uid="{00000000-0005-0000-0000-00001CB30000}"/>
    <cellStyle name="Comma 4 2 6 3 7" xfId="10383" xr:uid="{00000000-0005-0000-0000-00001DB30000}"/>
    <cellStyle name="Comma 4 2 6 3 7 2" xfId="33662" xr:uid="{00000000-0005-0000-0000-00001EB30000}"/>
    <cellStyle name="Comma 4 2 6 3 8" xfId="12831" xr:uid="{00000000-0005-0000-0000-00001FB30000}"/>
    <cellStyle name="Comma 4 2 6 3 8 2" xfId="36110" xr:uid="{00000000-0005-0000-0000-000020B30000}"/>
    <cellStyle name="Comma 4 2 6 3 9" xfId="15302" xr:uid="{00000000-0005-0000-0000-000021B30000}"/>
    <cellStyle name="Comma 4 2 6 3 9 2" xfId="38580" xr:uid="{00000000-0005-0000-0000-000022B30000}"/>
    <cellStyle name="Comma 4 2 6 4" xfId="795" xr:uid="{00000000-0005-0000-0000-000023B30000}"/>
    <cellStyle name="Comma 4 2 6 4 10" xfId="44904" xr:uid="{00000000-0005-0000-0000-000024B30000}"/>
    <cellStyle name="Comma 4 2 6 4 11" xfId="21626" xr:uid="{00000000-0005-0000-0000-000025B30000}"/>
    <cellStyle name="Comma 4 2 6 4 2" xfId="2019" xr:uid="{00000000-0005-0000-0000-000026B30000}"/>
    <cellStyle name="Comma 4 2 6 4 2 10" xfId="22850" xr:uid="{00000000-0005-0000-0000-000027B30000}"/>
    <cellStyle name="Comma 4 2 6 4 2 2" xfId="4467" xr:uid="{00000000-0005-0000-0000-000028B30000}"/>
    <cellStyle name="Comma 4 2 6 4 2 2 2" xfId="20402" xr:uid="{00000000-0005-0000-0000-000029B30000}"/>
    <cellStyle name="Comma 4 2 6 4 2 2 2 2" xfId="43680" xr:uid="{00000000-0005-0000-0000-00002AB30000}"/>
    <cellStyle name="Comma 4 2 6 4 2 2 3" xfId="48576" xr:uid="{00000000-0005-0000-0000-00002BB30000}"/>
    <cellStyle name="Comma 4 2 6 4 2 2 4" xfId="27746" xr:uid="{00000000-0005-0000-0000-00002CB30000}"/>
    <cellStyle name="Comma 4 2 6 4 2 3" xfId="6915" xr:uid="{00000000-0005-0000-0000-00002DB30000}"/>
    <cellStyle name="Comma 4 2 6 4 2 3 2" xfId="30194" xr:uid="{00000000-0005-0000-0000-00002EB30000}"/>
    <cellStyle name="Comma 4 2 6 4 2 4" xfId="9363" xr:uid="{00000000-0005-0000-0000-00002FB30000}"/>
    <cellStyle name="Comma 4 2 6 4 2 4 2" xfId="32642" xr:uid="{00000000-0005-0000-0000-000030B30000}"/>
    <cellStyle name="Comma 4 2 6 4 2 5" xfId="11811" xr:uid="{00000000-0005-0000-0000-000031B30000}"/>
    <cellStyle name="Comma 4 2 6 4 2 5 2" xfId="35090" xr:uid="{00000000-0005-0000-0000-000032B30000}"/>
    <cellStyle name="Comma 4 2 6 4 2 6" xfId="14259" xr:uid="{00000000-0005-0000-0000-000033B30000}"/>
    <cellStyle name="Comma 4 2 6 4 2 6 2" xfId="37538" xr:uid="{00000000-0005-0000-0000-000034B30000}"/>
    <cellStyle name="Comma 4 2 6 4 2 7" xfId="17954" xr:uid="{00000000-0005-0000-0000-000035B30000}"/>
    <cellStyle name="Comma 4 2 6 4 2 7 2" xfId="41232" xr:uid="{00000000-0005-0000-0000-000036B30000}"/>
    <cellStyle name="Comma 4 2 6 4 2 8" xfId="25298" xr:uid="{00000000-0005-0000-0000-000037B30000}"/>
    <cellStyle name="Comma 4 2 6 4 2 9" xfId="46128" xr:uid="{00000000-0005-0000-0000-000038B30000}"/>
    <cellStyle name="Comma 4 2 6 4 3" xfId="3243" xr:uid="{00000000-0005-0000-0000-000039B30000}"/>
    <cellStyle name="Comma 4 2 6 4 3 2" xfId="16730" xr:uid="{00000000-0005-0000-0000-00003AB30000}"/>
    <cellStyle name="Comma 4 2 6 4 3 2 2" xfId="40008" xr:uid="{00000000-0005-0000-0000-00003BB30000}"/>
    <cellStyle name="Comma 4 2 6 4 3 3" xfId="47352" xr:uid="{00000000-0005-0000-0000-00003CB30000}"/>
    <cellStyle name="Comma 4 2 6 4 3 4" xfId="26522" xr:uid="{00000000-0005-0000-0000-00003DB30000}"/>
    <cellStyle name="Comma 4 2 6 4 4" xfId="5691" xr:uid="{00000000-0005-0000-0000-00003EB30000}"/>
    <cellStyle name="Comma 4 2 6 4 4 2" xfId="19178" xr:uid="{00000000-0005-0000-0000-00003FB30000}"/>
    <cellStyle name="Comma 4 2 6 4 4 2 2" xfId="42456" xr:uid="{00000000-0005-0000-0000-000040B30000}"/>
    <cellStyle name="Comma 4 2 6 4 4 3" xfId="28970" xr:uid="{00000000-0005-0000-0000-000041B30000}"/>
    <cellStyle name="Comma 4 2 6 4 5" xfId="8139" xr:uid="{00000000-0005-0000-0000-000042B30000}"/>
    <cellStyle name="Comma 4 2 6 4 5 2" xfId="31418" xr:uid="{00000000-0005-0000-0000-000043B30000}"/>
    <cellStyle name="Comma 4 2 6 4 6" xfId="10587" xr:uid="{00000000-0005-0000-0000-000044B30000}"/>
    <cellStyle name="Comma 4 2 6 4 6 2" xfId="33866" xr:uid="{00000000-0005-0000-0000-000045B30000}"/>
    <cellStyle name="Comma 4 2 6 4 7" xfId="13035" xr:uid="{00000000-0005-0000-0000-000046B30000}"/>
    <cellStyle name="Comma 4 2 6 4 7 2" xfId="36314" xr:uid="{00000000-0005-0000-0000-000047B30000}"/>
    <cellStyle name="Comma 4 2 6 4 8" xfId="15506" xr:uid="{00000000-0005-0000-0000-000048B30000}"/>
    <cellStyle name="Comma 4 2 6 4 8 2" xfId="38784" xr:uid="{00000000-0005-0000-0000-000049B30000}"/>
    <cellStyle name="Comma 4 2 6 4 9" xfId="24074" xr:uid="{00000000-0005-0000-0000-00004AB30000}"/>
    <cellStyle name="Comma 4 2 6 5" xfId="1407" xr:uid="{00000000-0005-0000-0000-00004BB30000}"/>
    <cellStyle name="Comma 4 2 6 5 10" xfId="22238" xr:uid="{00000000-0005-0000-0000-00004CB30000}"/>
    <cellStyle name="Comma 4 2 6 5 2" xfId="3855" xr:uid="{00000000-0005-0000-0000-00004DB30000}"/>
    <cellStyle name="Comma 4 2 6 5 2 2" xfId="19790" xr:uid="{00000000-0005-0000-0000-00004EB30000}"/>
    <cellStyle name="Comma 4 2 6 5 2 2 2" xfId="43068" xr:uid="{00000000-0005-0000-0000-00004FB30000}"/>
    <cellStyle name="Comma 4 2 6 5 2 3" xfId="47964" xr:uid="{00000000-0005-0000-0000-000050B30000}"/>
    <cellStyle name="Comma 4 2 6 5 2 4" xfId="27134" xr:uid="{00000000-0005-0000-0000-000051B30000}"/>
    <cellStyle name="Comma 4 2 6 5 3" xfId="6303" xr:uid="{00000000-0005-0000-0000-000052B30000}"/>
    <cellStyle name="Comma 4 2 6 5 3 2" xfId="29582" xr:uid="{00000000-0005-0000-0000-000053B30000}"/>
    <cellStyle name="Comma 4 2 6 5 4" xfId="8751" xr:uid="{00000000-0005-0000-0000-000054B30000}"/>
    <cellStyle name="Comma 4 2 6 5 4 2" xfId="32030" xr:uid="{00000000-0005-0000-0000-000055B30000}"/>
    <cellStyle name="Comma 4 2 6 5 5" xfId="11199" xr:uid="{00000000-0005-0000-0000-000056B30000}"/>
    <cellStyle name="Comma 4 2 6 5 5 2" xfId="34478" xr:uid="{00000000-0005-0000-0000-000057B30000}"/>
    <cellStyle name="Comma 4 2 6 5 6" xfId="13647" xr:uid="{00000000-0005-0000-0000-000058B30000}"/>
    <cellStyle name="Comma 4 2 6 5 6 2" xfId="36926" xr:uid="{00000000-0005-0000-0000-000059B30000}"/>
    <cellStyle name="Comma 4 2 6 5 7" xfId="17342" xr:uid="{00000000-0005-0000-0000-00005AB30000}"/>
    <cellStyle name="Comma 4 2 6 5 7 2" xfId="40620" xr:uid="{00000000-0005-0000-0000-00005BB30000}"/>
    <cellStyle name="Comma 4 2 6 5 8" xfId="24686" xr:uid="{00000000-0005-0000-0000-00005CB30000}"/>
    <cellStyle name="Comma 4 2 6 5 9" xfId="45516" xr:uid="{00000000-0005-0000-0000-00005DB30000}"/>
    <cellStyle name="Comma 4 2 6 6" xfId="2631" xr:uid="{00000000-0005-0000-0000-00005EB30000}"/>
    <cellStyle name="Comma 4 2 6 6 2" xfId="16118" xr:uid="{00000000-0005-0000-0000-00005FB30000}"/>
    <cellStyle name="Comma 4 2 6 6 2 2" xfId="39396" xr:uid="{00000000-0005-0000-0000-000060B30000}"/>
    <cellStyle name="Comma 4 2 6 6 3" xfId="46740" xr:uid="{00000000-0005-0000-0000-000061B30000}"/>
    <cellStyle name="Comma 4 2 6 6 4" xfId="25910" xr:uid="{00000000-0005-0000-0000-000062B30000}"/>
    <cellStyle name="Comma 4 2 6 7" xfId="5079" xr:uid="{00000000-0005-0000-0000-000063B30000}"/>
    <cellStyle name="Comma 4 2 6 7 2" xfId="18566" xr:uid="{00000000-0005-0000-0000-000064B30000}"/>
    <cellStyle name="Comma 4 2 6 7 2 2" xfId="41844" xr:uid="{00000000-0005-0000-0000-000065B30000}"/>
    <cellStyle name="Comma 4 2 6 7 3" xfId="28358" xr:uid="{00000000-0005-0000-0000-000066B30000}"/>
    <cellStyle name="Comma 4 2 6 8" xfId="7527" xr:uid="{00000000-0005-0000-0000-000067B30000}"/>
    <cellStyle name="Comma 4 2 6 8 2" xfId="30806" xr:uid="{00000000-0005-0000-0000-000068B30000}"/>
    <cellStyle name="Comma 4 2 6 9" xfId="9975" xr:uid="{00000000-0005-0000-0000-000069B30000}"/>
    <cellStyle name="Comma 4 2 6 9 2" xfId="33254" xr:uid="{00000000-0005-0000-0000-00006AB30000}"/>
    <cellStyle name="Comma 4 2 7" xfId="251" xr:uid="{00000000-0005-0000-0000-00006BB30000}"/>
    <cellStyle name="Comma 4 2 7 10" xfId="23530" xr:uid="{00000000-0005-0000-0000-00006CB30000}"/>
    <cellStyle name="Comma 4 2 7 11" xfId="44360" xr:uid="{00000000-0005-0000-0000-00006DB30000}"/>
    <cellStyle name="Comma 4 2 7 12" xfId="21082" xr:uid="{00000000-0005-0000-0000-00006EB30000}"/>
    <cellStyle name="Comma 4 2 7 2" xfId="863" xr:uid="{00000000-0005-0000-0000-00006FB30000}"/>
    <cellStyle name="Comma 4 2 7 2 10" xfId="44972" xr:uid="{00000000-0005-0000-0000-000070B30000}"/>
    <cellStyle name="Comma 4 2 7 2 11" xfId="21694" xr:uid="{00000000-0005-0000-0000-000071B30000}"/>
    <cellStyle name="Comma 4 2 7 2 2" xfId="2087" xr:uid="{00000000-0005-0000-0000-000072B30000}"/>
    <cellStyle name="Comma 4 2 7 2 2 10" xfId="22918" xr:uid="{00000000-0005-0000-0000-000073B30000}"/>
    <cellStyle name="Comma 4 2 7 2 2 2" xfId="4535" xr:uid="{00000000-0005-0000-0000-000074B30000}"/>
    <cellStyle name="Comma 4 2 7 2 2 2 2" xfId="20470" xr:uid="{00000000-0005-0000-0000-000075B30000}"/>
    <cellStyle name="Comma 4 2 7 2 2 2 2 2" xfId="43748" xr:uid="{00000000-0005-0000-0000-000076B30000}"/>
    <cellStyle name="Comma 4 2 7 2 2 2 3" xfId="48644" xr:uid="{00000000-0005-0000-0000-000077B30000}"/>
    <cellStyle name="Comma 4 2 7 2 2 2 4" xfId="27814" xr:uid="{00000000-0005-0000-0000-000078B30000}"/>
    <cellStyle name="Comma 4 2 7 2 2 3" xfId="6983" xr:uid="{00000000-0005-0000-0000-000079B30000}"/>
    <cellStyle name="Comma 4 2 7 2 2 3 2" xfId="30262" xr:uid="{00000000-0005-0000-0000-00007AB30000}"/>
    <cellStyle name="Comma 4 2 7 2 2 4" xfId="9431" xr:uid="{00000000-0005-0000-0000-00007BB30000}"/>
    <cellStyle name="Comma 4 2 7 2 2 4 2" xfId="32710" xr:uid="{00000000-0005-0000-0000-00007CB30000}"/>
    <cellStyle name="Comma 4 2 7 2 2 5" xfId="11879" xr:uid="{00000000-0005-0000-0000-00007DB30000}"/>
    <cellStyle name="Comma 4 2 7 2 2 5 2" xfId="35158" xr:uid="{00000000-0005-0000-0000-00007EB30000}"/>
    <cellStyle name="Comma 4 2 7 2 2 6" xfId="14327" xr:uid="{00000000-0005-0000-0000-00007FB30000}"/>
    <cellStyle name="Comma 4 2 7 2 2 6 2" xfId="37606" xr:uid="{00000000-0005-0000-0000-000080B30000}"/>
    <cellStyle name="Comma 4 2 7 2 2 7" xfId="18022" xr:uid="{00000000-0005-0000-0000-000081B30000}"/>
    <cellStyle name="Comma 4 2 7 2 2 7 2" xfId="41300" xr:uid="{00000000-0005-0000-0000-000082B30000}"/>
    <cellStyle name="Comma 4 2 7 2 2 8" xfId="25366" xr:uid="{00000000-0005-0000-0000-000083B30000}"/>
    <cellStyle name="Comma 4 2 7 2 2 9" xfId="46196" xr:uid="{00000000-0005-0000-0000-000084B30000}"/>
    <cellStyle name="Comma 4 2 7 2 3" xfId="3311" xr:uid="{00000000-0005-0000-0000-000085B30000}"/>
    <cellStyle name="Comma 4 2 7 2 3 2" xfId="16798" xr:uid="{00000000-0005-0000-0000-000086B30000}"/>
    <cellStyle name="Comma 4 2 7 2 3 2 2" xfId="40076" xr:uid="{00000000-0005-0000-0000-000087B30000}"/>
    <cellStyle name="Comma 4 2 7 2 3 3" xfId="47420" xr:uid="{00000000-0005-0000-0000-000088B30000}"/>
    <cellStyle name="Comma 4 2 7 2 3 4" xfId="26590" xr:uid="{00000000-0005-0000-0000-000089B30000}"/>
    <cellStyle name="Comma 4 2 7 2 4" xfId="5759" xr:uid="{00000000-0005-0000-0000-00008AB30000}"/>
    <cellStyle name="Comma 4 2 7 2 4 2" xfId="19246" xr:uid="{00000000-0005-0000-0000-00008BB30000}"/>
    <cellStyle name="Comma 4 2 7 2 4 2 2" xfId="42524" xr:uid="{00000000-0005-0000-0000-00008CB30000}"/>
    <cellStyle name="Comma 4 2 7 2 4 3" xfId="29038" xr:uid="{00000000-0005-0000-0000-00008DB30000}"/>
    <cellStyle name="Comma 4 2 7 2 5" xfId="8207" xr:uid="{00000000-0005-0000-0000-00008EB30000}"/>
    <cellStyle name="Comma 4 2 7 2 5 2" xfId="31486" xr:uid="{00000000-0005-0000-0000-00008FB30000}"/>
    <cellStyle name="Comma 4 2 7 2 6" xfId="10655" xr:uid="{00000000-0005-0000-0000-000090B30000}"/>
    <cellStyle name="Comma 4 2 7 2 6 2" xfId="33934" xr:uid="{00000000-0005-0000-0000-000091B30000}"/>
    <cellStyle name="Comma 4 2 7 2 7" xfId="13103" xr:uid="{00000000-0005-0000-0000-000092B30000}"/>
    <cellStyle name="Comma 4 2 7 2 7 2" xfId="36382" xr:uid="{00000000-0005-0000-0000-000093B30000}"/>
    <cellStyle name="Comma 4 2 7 2 8" xfId="15574" xr:uid="{00000000-0005-0000-0000-000094B30000}"/>
    <cellStyle name="Comma 4 2 7 2 8 2" xfId="38852" xr:uid="{00000000-0005-0000-0000-000095B30000}"/>
    <cellStyle name="Comma 4 2 7 2 9" xfId="24142" xr:uid="{00000000-0005-0000-0000-000096B30000}"/>
    <cellStyle name="Comma 4 2 7 3" xfId="1475" xr:uid="{00000000-0005-0000-0000-000097B30000}"/>
    <cellStyle name="Comma 4 2 7 3 10" xfId="22306" xr:uid="{00000000-0005-0000-0000-000098B30000}"/>
    <cellStyle name="Comma 4 2 7 3 2" xfId="3923" xr:uid="{00000000-0005-0000-0000-000099B30000}"/>
    <cellStyle name="Comma 4 2 7 3 2 2" xfId="19858" xr:uid="{00000000-0005-0000-0000-00009AB30000}"/>
    <cellStyle name="Comma 4 2 7 3 2 2 2" xfId="43136" xr:uid="{00000000-0005-0000-0000-00009BB30000}"/>
    <cellStyle name="Comma 4 2 7 3 2 3" xfId="48032" xr:uid="{00000000-0005-0000-0000-00009CB30000}"/>
    <cellStyle name="Comma 4 2 7 3 2 4" xfId="27202" xr:uid="{00000000-0005-0000-0000-00009DB30000}"/>
    <cellStyle name="Comma 4 2 7 3 3" xfId="6371" xr:uid="{00000000-0005-0000-0000-00009EB30000}"/>
    <cellStyle name="Comma 4 2 7 3 3 2" xfId="29650" xr:uid="{00000000-0005-0000-0000-00009FB30000}"/>
    <cellStyle name="Comma 4 2 7 3 4" xfId="8819" xr:uid="{00000000-0005-0000-0000-0000A0B30000}"/>
    <cellStyle name="Comma 4 2 7 3 4 2" xfId="32098" xr:uid="{00000000-0005-0000-0000-0000A1B30000}"/>
    <cellStyle name="Comma 4 2 7 3 5" xfId="11267" xr:uid="{00000000-0005-0000-0000-0000A2B30000}"/>
    <cellStyle name="Comma 4 2 7 3 5 2" xfId="34546" xr:uid="{00000000-0005-0000-0000-0000A3B30000}"/>
    <cellStyle name="Comma 4 2 7 3 6" xfId="13715" xr:uid="{00000000-0005-0000-0000-0000A4B30000}"/>
    <cellStyle name="Comma 4 2 7 3 6 2" xfId="36994" xr:uid="{00000000-0005-0000-0000-0000A5B30000}"/>
    <cellStyle name="Comma 4 2 7 3 7" xfId="17410" xr:uid="{00000000-0005-0000-0000-0000A6B30000}"/>
    <cellStyle name="Comma 4 2 7 3 7 2" xfId="40688" xr:uid="{00000000-0005-0000-0000-0000A7B30000}"/>
    <cellStyle name="Comma 4 2 7 3 8" xfId="24754" xr:uid="{00000000-0005-0000-0000-0000A8B30000}"/>
    <cellStyle name="Comma 4 2 7 3 9" xfId="45584" xr:uid="{00000000-0005-0000-0000-0000A9B30000}"/>
    <cellStyle name="Comma 4 2 7 4" xfId="2699" xr:uid="{00000000-0005-0000-0000-0000AAB30000}"/>
    <cellStyle name="Comma 4 2 7 4 2" xfId="16186" xr:uid="{00000000-0005-0000-0000-0000ABB30000}"/>
    <cellStyle name="Comma 4 2 7 4 2 2" xfId="39464" xr:uid="{00000000-0005-0000-0000-0000ACB30000}"/>
    <cellStyle name="Comma 4 2 7 4 3" xfId="46808" xr:uid="{00000000-0005-0000-0000-0000ADB30000}"/>
    <cellStyle name="Comma 4 2 7 4 4" xfId="25978" xr:uid="{00000000-0005-0000-0000-0000AEB30000}"/>
    <cellStyle name="Comma 4 2 7 5" xfId="5147" xr:uid="{00000000-0005-0000-0000-0000AFB30000}"/>
    <cellStyle name="Comma 4 2 7 5 2" xfId="18634" xr:uid="{00000000-0005-0000-0000-0000B0B30000}"/>
    <cellStyle name="Comma 4 2 7 5 2 2" xfId="41912" xr:uid="{00000000-0005-0000-0000-0000B1B30000}"/>
    <cellStyle name="Comma 4 2 7 5 3" xfId="28426" xr:uid="{00000000-0005-0000-0000-0000B2B30000}"/>
    <cellStyle name="Comma 4 2 7 6" xfId="7595" xr:uid="{00000000-0005-0000-0000-0000B3B30000}"/>
    <cellStyle name="Comma 4 2 7 6 2" xfId="30874" xr:uid="{00000000-0005-0000-0000-0000B4B30000}"/>
    <cellStyle name="Comma 4 2 7 7" xfId="10043" xr:uid="{00000000-0005-0000-0000-0000B5B30000}"/>
    <cellStyle name="Comma 4 2 7 7 2" xfId="33322" xr:uid="{00000000-0005-0000-0000-0000B6B30000}"/>
    <cellStyle name="Comma 4 2 7 8" xfId="12491" xr:uid="{00000000-0005-0000-0000-0000B7B30000}"/>
    <cellStyle name="Comma 4 2 7 8 2" xfId="35770" xr:uid="{00000000-0005-0000-0000-0000B8B30000}"/>
    <cellStyle name="Comma 4 2 7 9" xfId="14962" xr:uid="{00000000-0005-0000-0000-0000B9B30000}"/>
    <cellStyle name="Comma 4 2 7 9 2" xfId="38240" xr:uid="{00000000-0005-0000-0000-0000BAB30000}"/>
    <cellStyle name="Comma 4 2 8" xfId="455" xr:uid="{00000000-0005-0000-0000-0000BBB30000}"/>
    <cellStyle name="Comma 4 2 8 10" xfId="23734" xr:uid="{00000000-0005-0000-0000-0000BCB30000}"/>
    <cellStyle name="Comma 4 2 8 11" xfId="44564" xr:uid="{00000000-0005-0000-0000-0000BDB30000}"/>
    <cellStyle name="Comma 4 2 8 12" xfId="21286" xr:uid="{00000000-0005-0000-0000-0000BEB30000}"/>
    <cellStyle name="Comma 4 2 8 2" xfId="1067" xr:uid="{00000000-0005-0000-0000-0000BFB30000}"/>
    <cellStyle name="Comma 4 2 8 2 10" xfId="45176" xr:uid="{00000000-0005-0000-0000-0000C0B30000}"/>
    <cellStyle name="Comma 4 2 8 2 11" xfId="21898" xr:uid="{00000000-0005-0000-0000-0000C1B30000}"/>
    <cellStyle name="Comma 4 2 8 2 2" xfId="2291" xr:uid="{00000000-0005-0000-0000-0000C2B30000}"/>
    <cellStyle name="Comma 4 2 8 2 2 10" xfId="23122" xr:uid="{00000000-0005-0000-0000-0000C3B30000}"/>
    <cellStyle name="Comma 4 2 8 2 2 2" xfId="4739" xr:uid="{00000000-0005-0000-0000-0000C4B30000}"/>
    <cellStyle name="Comma 4 2 8 2 2 2 2" xfId="20674" xr:uid="{00000000-0005-0000-0000-0000C5B30000}"/>
    <cellStyle name="Comma 4 2 8 2 2 2 2 2" xfId="43952" xr:uid="{00000000-0005-0000-0000-0000C6B30000}"/>
    <cellStyle name="Comma 4 2 8 2 2 2 3" xfId="48848" xr:uid="{00000000-0005-0000-0000-0000C7B30000}"/>
    <cellStyle name="Comma 4 2 8 2 2 2 4" xfId="28018" xr:uid="{00000000-0005-0000-0000-0000C8B30000}"/>
    <cellStyle name="Comma 4 2 8 2 2 3" xfId="7187" xr:uid="{00000000-0005-0000-0000-0000C9B30000}"/>
    <cellStyle name="Comma 4 2 8 2 2 3 2" xfId="30466" xr:uid="{00000000-0005-0000-0000-0000CAB30000}"/>
    <cellStyle name="Comma 4 2 8 2 2 4" xfId="9635" xr:uid="{00000000-0005-0000-0000-0000CBB30000}"/>
    <cellStyle name="Comma 4 2 8 2 2 4 2" xfId="32914" xr:uid="{00000000-0005-0000-0000-0000CCB30000}"/>
    <cellStyle name="Comma 4 2 8 2 2 5" xfId="12083" xr:uid="{00000000-0005-0000-0000-0000CDB30000}"/>
    <cellStyle name="Comma 4 2 8 2 2 5 2" xfId="35362" xr:uid="{00000000-0005-0000-0000-0000CEB30000}"/>
    <cellStyle name="Comma 4 2 8 2 2 6" xfId="14531" xr:uid="{00000000-0005-0000-0000-0000CFB30000}"/>
    <cellStyle name="Comma 4 2 8 2 2 6 2" xfId="37810" xr:uid="{00000000-0005-0000-0000-0000D0B30000}"/>
    <cellStyle name="Comma 4 2 8 2 2 7" xfId="18226" xr:uid="{00000000-0005-0000-0000-0000D1B30000}"/>
    <cellStyle name="Comma 4 2 8 2 2 7 2" xfId="41504" xr:uid="{00000000-0005-0000-0000-0000D2B30000}"/>
    <cellStyle name="Comma 4 2 8 2 2 8" xfId="25570" xr:uid="{00000000-0005-0000-0000-0000D3B30000}"/>
    <cellStyle name="Comma 4 2 8 2 2 9" xfId="46400" xr:uid="{00000000-0005-0000-0000-0000D4B30000}"/>
    <cellStyle name="Comma 4 2 8 2 3" xfId="3515" xr:uid="{00000000-0005-0000-0000-0000D5B30000}"/>
    <cellStyle name="Comma 4 2 8 2 3 2" xfId="17002" xr:uid="{00000000-0005-0000-0000-0000D6B30000}"/>
    <cellStyle name="Comma 4 2 8 2 3 2 2" xfId="40280" xr:uid="{00000000-0005-0000-0000-0000D7B30000}"/>
    <cellStyle name="Comma 4 2 8 2 3 3" xfId="47624" xr:uid="{00000000-0005-0000-0000-0000D8B30000}"/>
    <cellStyle name="Comma 4 2 8 2 3 4" xfId="26794" xr:uid="{00000000-0005-0000-0000-0000D9B30000}"/>
    <cellStyle name="Comma 4 2 8 2 4" xfId="5963" xr:uid="{00000000-0005-0000-0000-0000DAB30000}"/>
    <cellStyle name="Comma 4 2 8 2 4 2" xfId="19450" xr:uid="{00000000-0005-0000-0000-0000DBB30000}"/>
    <cellStyle name="Comma 4 2 8 2 4 2 2" xfId="42728" xr:uid="{00000000-0005-0000-0000-0000DCB30000}"/>
    <cellStyle name="Comma 4 2 8 2 4 3" xfId="29242" xr:uid="{00000000-0005-0000-0000-0000DDB30000}"/>
    <cellStyle name="Comma 4 2 8 2 5" xfId="8411" xr:uid="{00000000-0005-0000-0000-0000DEB30000}"/>
    <cellStyle name="Comma 4 2 8 2 5 2" xfId="31690" xr:uid="{00000000-0005-0000-0000-0000DFB30000}"/>
    <cellStyle name="Comma 4 2 8 2 6" xfId="10859" xr:uid="{00000000-0005-0000-0000-0000E0B30000}"/>
    <cellStyle name="Comma 4 2 8 2 6 2" xfId="34138" xr:uid="{00000000-0005-0000-0000-0000E1B30000}"/>
    <cellStyle name="Comma 4 2 8 2 7" xfId="13307" xr:uid="{00000000-0005-0000-0000-0000E2B30000}"/>
    <cellStyle name="Comma 4 2 8 2 7 2" xfId="36586" xr:uid="{00000000-0005-0000-0000-0000E3B30000}"/>
    <cellStyle name="Comma 4 2 8 2 8" xfId="15778" xr:uid="{00000000-0005-0000-0000-0000E4B30000}"/>
    <cellStyle name="Comma 4 2 8 2 8 2" xfId="39056" xr:uid="{00000000-0005-0000-0000-0000E5B30000}"/>
    <cellStyle name="Comma 4 2 8 2 9" xfId="24346" xr:uid="{00000000-0005-0000-0000-0000E6B30000}"/>
    <cellStyle name="Comma 4 2 8 3" xfId="1679" xr:uid="{00000000-0005-0000-0000-0000E7B30000}"/>
    <cellStyle name="Comma 4 2 8 3 10" xfId="22510" xr:uid="{00000000-0005-0000-0000-0000E8B30000}"/>
    <cellStyle name="Comma 4 2 8 3 2" xfId="4127" xr:uid="{00000000-0005-0000-0000-0000E9B30000}"/>
    <cellStyle name="Comma 4 2 8 3 2 2" xfId="20062" xr:uid="{00000000-0005-0000-0000-0000EAB30000}"/>
    <cellStyle name="Comma 4 2 8 3 2 2 2" xfId="43340" xr:uid="{00000000-0005-0000-0000-0000EBB30000}"/>
    <cellStyle name="Comma 4 2 8 3 2 3" xfId="48236" xr:uid="{00000000-0005-0000-0000-0000ECB30000}"/>
    <cellStyle name="Comma 4 2 8 3 2 4" xfId="27406" xr:uid="{00000000-0005-0000-0000-0000EDB30000}"/>
    <cellStyle name="Comma 4 2 8 3 3" xfId="6575" xr:uid="{00000000-0005-0000-0000-0000EEB30000}"/>
    <cellStyle name="Comma 4 2 8 3 3 2" xfId="29854" xr:uid="{00000000-0005-0000-0000-0000EFB30000}"/>
    <cellStyle name="Comma 4 2 8 3 4" xfId="9023" xr:uid="{00000000-0005-0000-0000-0000F0B30000}"/>
    <cellStyle name="Comma 4 2 8 3 4 2" xfId="32302" xr:uid="{00000000-0005-0000-0000-0000F1B30000}"/>
    <cellStyle name="Comma 4 2 8 3 5" xfId="11471" xr:uid="{00000000-0005-0000-0000-0000F2B30000}"/>
    <cellStyle name="Comma 4 2 8 3 5 2" xfId="34750" xr:uid="{00000000-0005-0000-0000-0000F3B30000}"/>
    <cellStyle name="Comma 4 2 8 3 6" xfId="13919" xr:uid="{00000000-0005-0000-0000-0000F4B30000}"/>
    <cellStyle name="Comma 4 2 8 3 6 2" xfId="37198" xr:uid="{00000000-0005-0000-0000-0000F5B30000}"/>
    <cellStyle name="Comma 4 2 8 3 7" xfId="17614" xr:uid="{00000000-0005-0000-0000-0000F6B30000}"/>
    <cellStyle name="Comma 4 2 8 3 7 2" xfId="40892" xr:uid="{00000000-0005-0000-0000-0000F7B30000}"/>
    <cellStyle name="Comma 4 2 8 3 8" xfId="24958" xr:uid="{00000000-0005-0000-0000-0000F8B30000}"/>
    <cellStyle name="Comma 4 2 8 3 9" xfId="45788" xr:uid="{00000000-0005-0000-0000-0000F9B30000}"/>
    <cellStyle name="Comma 4 2 8 4" xfId="2903" xr:uid="{00000000-0005-0000-0000-0000FAB30000}"/>
    <cellStyle name="Comma 4 2 8 4 2" xfId="16390" xr:uid="{00000000-0005-0000-0000-0000FBB30000}"/>
    <cellStyle name="Comma 4 2 8 4 2 2" xfId="39668" xr:uid="{00000000-0005-0000-0000-0000FCB30000}"/>
    <cellStyle name="Comma 4 2 8 4 3" xfId="47012" xr:uid="{00000000-0005-0000-0000-0000FDB30000}"/>
    <cellStyle name="Comma 4 2 8 4 4" xfId="26182" xr:uid="{00000000-0005-0000-0000-0000FEB30000}"/>
    <cellStyle name="Comma 4 2 8 5" xfId="5351" xr:uid="{00000000-0005-0000-0000-0000FFB30000}"/>
    <cellStyle name="Comma 4 2 8 5 2" xfId="18838" xr:uid="{00000000-0005-0000-0000-000000B40000}"/>
    <cellStyle name="Comma 4 2 8 5 2 2" xfId="42116" xr:uid="{00000000-0005-0000-0000-000001B40000}"/>
    <cellStyle name="Comma 4 2 8 5 3" xfId="28630" xr:uid="{00000000-0005-0000-0000-000002B40000}"/>
    <cellStyle name="Comma 4 2 8 6" xfId="7799" xr:uid="{00000000-0005-0000-0000-000003B40000}"/>
    <cellStyle name="Comma 4 2 8 6 2" xfId="31078" xr:uid="{00000000-0005-0000-0000-000004B40000}"/>
    <cellStyle name="Comma 4 2 8 7" xfId="10247" xr:uid="{00000000-0005-0000-0000-000005B40000}"/>
    <cellStyle name="Comma 4 2 8 7 2" xfId="33526" xr:uid="{00000000-0005-0000-0000-000006B40000}"/>
    <cellStyle name="Comma 4 2 8 8" xfId="12695" xr:uid="{00000000-0005-0000-0000-000007B40000}"/>
    <cellStyle name="Comma 4 2 8 8 2" xfId="35974" xr:uid="{00000000-0005-0000-0000-000008B40000}"/>
    <cellStyle name="Comma 4 2 8 9" xfId="15166" xr:uid="{00000000-0005-0000-0000-000009B40000}"/>
    <cellStyle name="Comma 4 2 8 9 2" xfId="38444" xr:uid="{00000000-0005-0000-0000-00000AB40000}"/>
    <cellStyle name="Comma 4 2 9" xfId="659" xr:uid="{00000000-0005-0000-0000-00000BB40000}"/>
    <cellStyle name="Comma 4 2 9 10" xfId="44768" xr:uid="{00000000-0005-0000-0000-00000CB40000}"/>
    <cellStyle name="Comma 4 2 9 11" xfId="21490" xr:uid="{00000000-0005-0000-0000-00000DB40000}"/>
    <cellStyle name="Comma 4 2 9 2" xfId="1883" xr:uid="{00000000-0005-0000-0000-00000EB40000}"/>
    <cellStyle name="Comma 4 2 9 2 10" xfId="22714" xr:uid="{00000000-0005-0000-0000-00000FB40000}"/>
    <cellStyle name="Comma 4 2 9 2 2" xfId="4331" xr:uid="{00000000-0005-0000-0000-000010B40000}"/>
    <cellStyle name="Comma 4 2 9 2 2 2" xfId="20266" xr:uid="{00000000-0005-0000-0000-000011B40000}"/>
    <cellStyle name="Comma 4 2 9 2 2 2 2" xfId="43544" xr:uid="{00000000-0005-0000-0000-000012B40000}"/>
    <cellStyle name="Comma 4 2 9 2 2 3" xfId="48440" xr:uid="{00000000-0005-0000-0000-000013B40000}"/>
    <cellStyle name="Comma 4 2 9 2 2 4" xfId="27610" xr:uid="{00000000-0005-0000-0000-000014B40000}"/>
    <cellStyle name="Comma 4 2 9 2 3" xfId="6779" xr:uid="{00000000-0005-0000-0000-000015B40000}"/>
    <cellStyle name="Comma 4 2 9 2 3 2" xfId="30058" xr:uid="{00000000-0005-0000-0000-000016B40000}"/>
    <cellStyle name="Comma 4 2 9 2 4" xfId="9227" xr:uid="{00000000-0005-0000-0000-000017B40000}"/>
    <cellStyle name="Comma 4 2 9 2 4 2" xfId="32506" xr:uid="{00000000-0005-0000-0000-000018B40000}"/>
    <cellStyle name="Comma 4 2 9 2 5" xfId="11675" xr:uid="{00000000-0005-0000-0000-000019B40000}"/>
    <cellStyle name="Comma 4 2 9 2 5 2" xfId="34954" xr:uid="{00000000-0005-0000-0000-00001AB40000}"/>
    <cellStyle name="Comma 4 2 9 2 6" xfId="14123" xr:uid="{00000000-0005-0000-0000-00001BB40000}"/>
    <cellStyle name="Comma 4 2 9 2 6 2" xfId="37402" xr:uid="{00000000-0005-0000-0000-00001CB40000}"/>
    <cellStyle name="Comma 4 2 9 2 7" xfId="17818" xr:uid="{00000000-0005-0000-0000-00001DB40000}"/>
    <cellStyle name="Comma 4 2 9 2 7 2" xfId="41096" xr:uid="{00000000-0005-0000-0000-00001EB40000}"/>
    <cellStyle name="Comma 4 2 9 2 8" xfId="25162" xr:uid="{00000000-0005-0000-0000-00001FB40000}"/>
    <cellStyle name="Comma 4 2 9 2 9" xfId="45992" xr:uid="{00000000-0005-0000-0000-000020B40000}"/>
    <cellStyle name="Comma 4 2 9 3" xfId="3107" xr:uid="{00000000-0005-0000-0000-000021B40000}"/>
    <cellStyle name="Comma 4 2 9 3 2" xfId="16594" xr:uid="{00000000-0005-0000-0000-000022B40000}"/>
    <cellStyle name="Comma 4 2 9 3 2 2" xfId="39872" xr:uid="{00000000-0005-0000-0000-000023B40000}"/>
    <cellStyle name="Comma 4 2 9 3 3" xfId="47216" xr:uid="{00000000-0005-0000-0000-000024B40000}"/>
    <cellStyle name="Comma 4 2 9 3 4" xfId="26386" xr:uid="{00000000-0005-0000-0000-000025B40000}"/>
    <cellStyle name="Comma 4 2 9 4" xfId="5555" xr:uid="{00000000-0005-0000-0000-000026B40000}"/>
    <cellStyle name="Comma 4 2 9 4 2" xfId="19042" xr:uid="{00000000-0005-0000-0000-000027B40000}"/>
    <cellStyle name="Comma 4 2 9 4 2 2" xfId="42320" xr:uid="{00000000-0005-0000-0000-000028B40000}"/>
    <cellStyle name="Comma 4 2 9 4 3" xfId="28834" xr:uid="{00000000-0005-0000-0000-000029B40000}"/>
    <cellStyle name="Comma 4 2 9 5" xfId="8003" xr:uid="{00000000-0005-0000-0000-00002AB40000}"/>
    <cellStyle name="Comma 4 2 9 5 2" xfId="31282" xr:uid="{00000000-0005-0000-0000-00002BB40000}"/>
    <cellStyle name="Comma 4 2 9 6" xfId="10451" xr:uid="{00000000-0005-0000-0000-00002CB40000}"/>
    <cellStyle name="Comma 4 2 9 6 2" xfId="33730" xr:uid="{00000000-0005-0000-0000-00002DB40000}"/>
    <cellStyle name="Comma 4 2 9 7" xfId="12899" xr:uid="{00000000-0005-0000-0000-00002EB40000}"/>
    <cellStyle name="Comma 4 2 9 7 2" xfId="36178" xr:uid="{00000000-0005-0000-0000-00002FB40000}"/>
    <cellStyle name="Comma 4 2 9 8" xfId="15370" xr:uid="{00000000-0005-0000-0000-000030B40000}"/>
    <cellStyle name="Comma 4 2 9 8 2" xfId="38648" xr:uid="{00000000-0005-0000-0000-000031B40000}"/>
    <cellStyle name="Comma 4 2 9 9" xfId="23938" xr:uid="{00000000-0005-0000-0000-000032B40000}"/>
    <cellStyle name="Comma 4 3" xfId="14735" xr:uid="{00000000-0005-0000-0000-000033B40000}"/>
    <cellStyle name="Comma 4 3 2" xfId="38014" xr:uid="{00000000-0005-0000-0000-000034B40000}"/>
    <cellStyle name="Comma 5" xfId="12" xr:uid="{00000000-0005-0000-0000-000035B40000}"/>
    <cellStyle name="Comma 5 2" xfId="44" xr:uid="{00000000-0005-0000-0000-000036B40000}"/>
    <cellStyle name="Comma 5 2 10" xfId="1268" xr:uid="{00000000-0005-0000-0000-000037B40000}"/>
    <cellStyle name="Comma 5 2 10 10" xfId="22099" xr:uid="{00000000-0005-0000-0000-000038B40000}"/>
    <cellStyle name="Comma 5 2 10 2" xfId="3716" xr:uid="{00000000-0005-0000-0000-000039B40000}"/>
    <cellStyle name="Comma 5 2 10 2 2" xfId="17203" xr:uid="{00000000-0005-0000-0000-00003AB40000}"/>
    <cellStyle name="Comma 5 2 10 2 2 2" xfId="40481" xr:uid="{00000000-0005-0000-0000-00003BB40000}"/>
    <cellStyle name="Comma 5 2 10 2 3" xfId="47825" xr:uid="{00000000-0005-0000-0000-00003CB40000}"/>
    <cellStyle name="Comma 5 2 10 2 4" xfId="26995" xr:uid="{00000000-0005-0000-0000-00003DB40000}"/>
    <cellStyle name="Comma 5 2 10 3" xfId="6164" xr:uid="{00000000-0005-0000-0000-00003EB40000}"/>
    <cellStyle name="Comma 5 2 10 3 2" xfId="19651" xr:uid="{00000000-0005-0000-0000-00003FB40000}"/>
    <cellStyle name="Comma 5 2 10 3 2 2" xfId="42929" xr:uid="{00000000-0005-0000-0000-000040B40000}"/>
    <cellStyle name="Comma 5 2 10 3 3" xfId="29443" xr:uid="{00000000-0005-0000-0000-000041B40000}"/>
    <cellStyle name="Comma 5 2 10 4" xfId="8612" xr:uid="{00000000-0005-0000-0000-000042B40000}"/>
    <cellStyle name="Comma 5 2 10 4 2" xfId="31891" xr:uid="{00000000-0005-0000-0000-000043B40000}"/>
    <cellStyle name="Comma 5 2 10 5" xfId="11060" xr:uid="{00000000-0005-0000-0000-000044B40000}"/>
    <cellStyle name="Comma 5 2 10 5 2" xfId="34339" xr:uid="{00000000-0005-0000-0000-000045B40000}"/>
    <cellStyle name="Comma 5 2 10 6" xfId="13508" xr:uid="{00000000-0005-0000-0000-000046B40000}"/>
    <cellStyle name="Comma 5 2 10 6 2" xfId="36787" xr:uid="{00000000-0005-0000-0000-000047B40000}"/>
    <cellStyle name="Comma 5 2 10 7" xfId="14755" xr:uid="{00000000-0005-0000-0000-000048B40000}"/>
    <cellStyle name="Comma 5 2 10 7 2" xfId="38033" xr:uid="{00000000-0005-0000-0000-000049B40000}"/>
    <cellStyle name="Comma 5 2 10 8" xfId="24547" xr:uid="{00000000-0005-0000-0000-00004AB40000}"/>
    <cellStyle name="Comma 5 2 10 9" xfId="45377" xr:uid="{00000000-0005-0000-0000-00004BB40000}"/>
    <cellStyle name="Comma 5 2 11" xfId="2492" xr:uid="{00000000-0005-0000-0000-00004CB40000}"/>
    <cellStyle name="Comma 5 2 11 2" xfId="15979" xr:uid="{00000000-0005-0000-0000-00004DB40000}"/>
    <cellStyle name="Comma 5 2 11 2 2" xfId="39257" xr:uid="{00000000-0005-0000-0000-00004EB40000}"/>
    <cellStyle name="Comma 5 2 11 3" xfId="46601" xr:uid="{00000000-0005-0000-0000-00004FB40000}"/>
    <cellStyle name="Comma 5 2 11 4" xfId="25771" xr:uid="{00000000-0005-0000-0000-000050B40000}"/>
    <cellStyle name="Comma 5 2 12" xfId="4940" xr:uid="{00000000-0005-0000-0000-000051B40000}"/>
    <cellStyle name="Comma 5 2 12 2" xfId="18427" xr:uid="{00000000-0005-0000-0000-000052B40000}"/>
    <cellStyle name="Comma 5 2 12 2 2" xfId="41705" xr:uid="{00000000-0005-0000-0000-000053B40000}"/>
    <cellStyle name="Comma 5 2 12 3" xfId="28219" xr:uid="{00000000-0005-0000-0000-000054B40000}"/>
    <cellStyle name="Comma 5 2 13" xfId="7388" xr:uid="{00000000-0005-0000-0000-000055B40000}"/>
    <cellStyle name="Comma 5 2 13 2" xfId="30667" xr:uid="{00000000-0005-0000-0000-000056B40000}"/>
    <cellStyle name="Comma 5 2 14" xfId="9836" xr:uid="{00000000-0005-0000-0000-000057B40000}"/>
    <cellStyle name="Comma 5 2 14 2" xfId="33115" xr:uid="{00000000-0005-0000-0000-000058B40000}"/>
    <cellStyle name="Comma 5 2 15" xfId="12284" xr:uid="{00000000-0005-0000-0000-000059B40000}"/>
    <cellStyle name="Comma 5 2 15 2" xfId="35563" xr:uid="{00000000-0005-0000-0000-00005AB40000}"/>
    <cellStyle name="Comma 5 2 16" xfId="14738" xr:uid="{00000000-0005-0000-0000-00005BB40000}"/>
    <cellStyle name="Comma 5 2 16 2" xfId="38016" xr:uid="{00000000-0005-0000-0000-00005CB40000}"/>
    <cellStyle name="Comma 5 2 17" xfId="23323" xr:uid="{00000000-0005-0000-0000-00005DB40000}"/>
    <cellStyle name="Comma 5 2 18" xfId="44153" xr:uid="{00000000-0005-0000-0000-00005EB40000}"/>
    <cellStyle name="Comma 5 2 19" xfId="20875" xr:uid="{00000000-0005-0000-0000-00005FB40000}"/>
    <cellStyle name="Comma 5 2 2" xfId="61" xr:uid="{00000000-0005-0000-0000-000060B40000}"/>
    <cellStyle name="Comma 5 2 2 10" xfId="7405" xr:uid="{00000000-0005-0000-0000-000061B40000}"/>
    <cellStyle name="Comma 5 2 2 10 2" xfId="30684" xr:uid="{00000000-0005-0000-0000-000062B40000}"/>
    <cellStyle name="Comma 5 2 2 11" xfId="9853" xr:uid="{00000000-0005-0000-0000-000063B40000}"/>
    <cellStyle name="Comma 5 2 2 11 2" xfId="33132" xr:uid="{00000000-0005-0000-0000-000064B40000}"/>
    <cellStyle name="Comma 5 2 2 12" xfId="12301" xr:uid="{00000000-0005-0000-0000-000065B40000}"/>
    <cellStyle name="Comma 5 2 2 12 2" xfId="35580" xr:uid="{00000000-0005-0000-0000-000066B40000}"/>
    <cellStyle name="Comma 5 2 2 13" xfId="14772" xr:uid="{00000000-0005-0000-0000-000067B40000}"/>
    <cellStyle name="Comma 5 2 2 13 2" xfId="38050" xr:uid="{00000000-0005-0000-0000-000068B40000}"/>
    <cellStyle name="Comma 5 2 2 14" xfId="23340" xr:uid="{00000000-0005-0000-0000-000069B40000}"/>
    <cellStyle name="Comma 5 2 2 15" xfId="44170" xr:uid="{00000000-0005-0000-0000-00006AB40000}"/>
    <cellStyle name="Comma 5 2 2 16" xfId="20892" xr:uid="{00000000-0005-0000-0000-00006BB40000}"/>
    <cellStyle name="Comma 5 2 2 2" xfId="129" xr:uid="{00000000-0005-0000-0000-00006CB40000}"/>
    <cellStyle name="Comma 5 2 2 2 10" xfId="12369" xr:uid="{00000000-0005-0000-0000-00006DB40000}"/>
    <cellStyle name="Comma 5 2 2 2 10 2" xfId="35648" xr:uid="{00000000-0005-0000-0000-00006EB40000}"/>
    <cellStyle name="Comma 5 2 2 2 11" xfId="14840" xr:uid="{00000000-0005-0000-0000-00006FB40000}"/>
    <cellStyle name="Comma 5 2 2 2 11 2" xfId="38118" xr:uid="{00000000-0005-0000-0000-000070B40000}"/>
    <cellStyle name="Comma 5 2 2 2 12" xfId="23408" xr:uid="{00000000-0005-0000-0000-000071B40000}"/>
    <cellStyle name="Comma 5 2 2 2 13" xfId="44238" xr:uid="{00000000-0005-0000-0000-000072B40000}"/>
    <cellStyle name="Comma 5 2 2 2 14" xfId="20960" xr:uid="{00000000-0005-0000-0000-000073B40000}"/>
    <cellStyle name="Comma 5 2 2 2 2" xfId="333" xr:uid="{00000000-0005-0000-0000-000074B40000}"/>
    <cellStyle name="Comma 5 2 2 2 2 10" xfId="23612" xr:uid="{00000000-0005-0000-0000-000075B40000}"/>
    <cellStyle name="Comma 5 2 2 2 2 11" xfId="44442" xr:uid="{00000000-0005-0000-0000-000076B40000}"/>
    <cellStyle name="Comma 5 2 2 2 2 12" xfId="21164" xr:uid="{00000000-0005-0000-0000-000077B40000}"/>
    <cellStyle name="Comma 5 2 2 2 2 2" xfId="945" xr:uid="{00000000-0005-0000-0000-000078B40000}"/>
    <cellStyle name="Comma 5 2 2 2 2 2 10" xfId="45054" xr:uid="{00000000-0005-0000-0000-000079B40000}"/>
    <cellStyle name="Comma 5 2 2 2 2 2 11" xfId="21776" xr:uid="{00000000-0005-0000-0000-00007AB40000}"/>
    <cellStyle name="Comma 5 2 2 2 2 2 2" xfId="2169" xr:uid="{00000000-0005-0000-0000-00007BB40000}"/>
    <cellStyle name="Comma 5 2 2 2 2 2 2 10" xfId="23000" xr:uid="{00000000-0005-0000-0000-00007CB40000}"/>
    <cellStyle name="Comma 5 2 2 2 2 2 2 2" xfId="4617" xr:uid="{00000000-0005-0000-0000-00007DB40000}"/>
    <cellStyle name="Comma 5 2 2 2 2 2 2 2 2" xfId="20552" xr:uid="{00000000-0005-0000-0000-00007EB40000}"/>
    <cellStyle name="Comma 5 2 2 2 2 2 2 2 2 2" xfId="43830" xr:uid="{00000000-0005-0000-0000-00007FB40000}"/>
    <cellStyle name="Comma 5 2 2 2 2 2 2 2 3" xfId="48726" xr:uid="{00000000-0005-0000-0000-000080B40000}"/>
    <cellStyle name="Comma 5 2 2 2 2 2 2 2 4" xfId="27896" xr:uid="{00000000-0005-0000-0000-000081B40000}"/>
    <cellStyle name="Comma 5 2 2 2 2 2 2 3" xfId="7065" xr:uid="{00000000-0005-0000-0000-000082B40000}"/>
    <cellStyle name="Comma 5 2 2 2 2 2 2 3 2" xfId="30344" xr:uid="{00000000-0005-0000-0000-000083B40000}"/>
    <cellStyle name="Comma 5 2 2 2 2 2 2 4" xfId="9513" xr:uid="{00000000-0005-0000-0000-000084B40000}"/>
    <cellStyle name="Comma 5 2 2 2 2 2 2 4 2" xfId="32792" xr:uid="{00000000-0005-0000-0000-000085B40000}"/>
    <cellStyle name="Comma 5 2 2 2 2 2 2 5" xfId="11961" xr:uid="{00000000-0005-0000-0000-000086B40000}"/>
    <cellStyle name="Comma 5 2 2 2 2 2 2 5 2" xfId="35240" xr:uid="{00000000-0005-0000-0000-000087B40000}"/>
    <cellStyle name="Comma 5 2 2 2 2 2 2 6" xfId="14409" xr:uid="{00000000-0005-0000-0000-000088B40000}"/>
    <cellStyle name="Comma 5 2 2 2 2 2 2 6 2" xfId="37688" xr:uid="{00000000-0005-0000-0000-000089B40000}"/>
    <cellStyle name="Comma 5 2 2 2 2 2 2 7" xfId="18104" xr:uid="{00000000-0005-0000-0000-00008AB40000}"/>
    <cellStyle name="Comma 5 2 2 2 2 2 2 7 2" xfId="41382" xr:uid="{00000000-0005-0000-0000-00008BB40000}"/>
    <cellStyle name="Comma 5 2 2 2 2 2 2 8" xfId="25448" xr:uid="{00000000-0005-0000-0000-00008CB40000}"/>
    <cellStyle name="Comma 5 2 2 2 2 2 2 9" xfId="46278" xr:uid="{00000000-0005-0000-0000-00008DB40000}"/>
    <cellStyle name="Comma 5 2 2 2 2 2 3" xfId="3393" xr:uid="{00000000-0005-0000-0000-00008EB40000}"/>
    <cellStyle name="Comma 5 2 2 2 2 2 3 2" xfId="16880" xr:uid="{00000000-0005-0000-0000-00008FB40000}"/>
    <cellStyle name="Comma 5 2 2 2 2 2 3 2 2" xfId="40158" xr:uid="{00000000-0005-0000-0000-000090B40000}"/>
    <cellStyle name="Comma 5 2 2 2 2 2 3 3" xfId="47502" xr:uid="{00000000-0005-0000-0000-000091B40000}"/>
    <cellStyle name="Comma 5 2 2 2 2 2 3 4" xfId="26672" xr:uid="{00000000-0005-0000-0000-000092B40000}"/>
    <cellStyle name="Comma 5 2 2 2 2 2 4" xfId="5841" xr:uid="{00000000-0005-0000-0000-000093B40000}"/>
    <cellStyle name="Comma 5 2 2 2 2 2 4 2" xfId="19328" xr:uid="{00000000-0005-0000-0000-000094B40000}"/>
    <cellStyle name="Comma 5 2 2 2 2 2 4 2 2" xfId="42606" xr:uid="{00000000-0005-0000-0000-000095B40000}"/>
    <cellStyle name="Comma 5 2 2 2 2 2 4 3" xfId="29120" xr:uid="{00000000-0005-0000-0000-000096B40000}"/>
    <cellStyle name="Comma 5 2 2 2 2 2 5" xfId="8289" xr:uid="{00000000-0005-0000-0000-000097B40000}"/>
    <cellStyle name="Comma 5 2 2 2 2 2 5 2" xfId="31568" xr:uid="{00000000-0005-0000-0000-000098B40000}"/>
    <cellStyle name="Comma 5 2 2 2 2 2 6" xfId="10737" xr:uid="{00000000-0005-0000-0000-000099B40000}"/>
    <cellStyle name="Comma 5 2 2 2 2 2 6 2" xfId="34016" xr:uid="{00000000-0005-0000-0000-00009AB40000}"/>
    <cellStyle name="Comma 5 2 2 2 2 2 7" xfId="13185" xr:uid="{00000000-0005-0000-0000-00009BB40000}"/>
    <cellStyle name="Comma 5 2 2 2 2 2 7 2" xfId="36464" xr:uid="{00000000-0005-0000-0000-00009CB40000}"/>
    <cellStyle name="Comma 5 2 2 2 2 2 8" xfId="15656" xr:uid="{00000000-0005-0000-0000-00009DB40000}"/>
    <cellStyle name="Comma 5 2 2 2 2 2 8 2" xfId="38934" xr:uid="{00000000-0005-0000-0000-00009EB40000}"/>
    <cellStyle name="Comma 5 2 2 2 2 2 9" xfId="24224" xr:uid="{00000000-0005-0000-0000-00009FB40000}"/>
    <cellStyle name="Comma 5 2 2 2 2 3" xfId="1557" xr:uid="{00000000-0005-0000-0000-0000A0B40000}"/>
    <cellStyle name="Comma 5 2 2 2 2 3 10" xfId="22388" xr:uid="{00000000-0005-0000-0000-0000A1B40000}"/>
    <cellStyle name="Comma 5 2 2 2 2 3 2" xfId="4005" xr:uid="{00000000-0005-0000-0000-0000A2B40000}"/>
    <cellStyle name="Comma 5 2 2 2 2 3 2 2" xfId="19940" xr:uid="{00000000-0005-0000-0000-0000A3B40000}"/>
    <cellStyle name="Comma 5 2 2 2 2 3 2 2 2" xfId="43218" xr:uid="{00000000-0005-0000-0000-0000A4B40000}"/>
    <cellStyle name="Comma 5 2 2 2 2 3 2 3" xfId="48114" xr:uid="{00000000-0005-0000-0000-0000A5B40000}"/>
    <cellStyle name="Comma 5 2 2 2 2 3 2 4" xfId="27284" xr:uid="{00000000-0005-0000-0000-0000A6B40000}"/>
    <cellStyle name="Comma 5 2 2 2 2 3 3" xfId="6453" xr:uid="{00000000-0005-0000-0000-0000A7B40000}"/>
    <cellStyle name="Comma 5 2 2 2 2 3 3 2" xfId="29732" xr:uid="{00000000-0005-0000-0000-0000A8B40000}"/>
    <cellStyle name="Comma 5 2 2 2 2 3 4" xfId="8901" xr:uid="{00000000-0005-0000-0000-0000A9B40000}"/>
    <cellStyle name="Comma 5 2 2 2 2 3 4 2" xfId="32180" xr:uid="{00000000-0005-0000-0000-0000AAB40000}"/>
    <cellStyle name="Comma 5 2 2 2 2 3 5" xfId="11349" xr:uid="{00000000-0005-0000-0000-0000ABB40000}"/>
    <cellStyle name="Comma 5 2 2 2 2 3 5 2" xfId="34628" xr:uid="{00000000-0005-0000-0000-0000ACB40000}"/>
    <cellStyle name="Comma 5 2 2 2 2 3 6" xfId="13797" xr:uid="{00000000-0005-0000-0000-0000ADB40000}"/>
    <cellStyle name="Comma 5 2 2 2 2 3 6 2" xfId="37076" xr:uid="{00000000-0005-0000-0000-0000AEB40000}"/>
    <cellStyle name="Comma 5 2 2 2 2 3 7" xfId="17492" xr:uid="{00000000-0005-0000-0000-0000AFB40000}"/>
    <cellStyle name="Comma 5 2 2 2 2 3 7 2" xfId="40770" xr:uid="{00000000-0005-0000-0000-0000B0B40000}"/>
    <cellStyle name="Comma 5 2 2 2 2 3 8" xfId="24836" xr:uid="{00000000-0005-0000-0000-0000B1B40000}"/>
    <cellStyle name="Comma 5 2 2 2 2 3 9" xfId="45666" xr:uid="{00000000-0005-0000-0000-0000B2B40000}"/>
    <cellStyle name="Comma 5 2 2 2 2 4" xfId="2781" xr:uid="{00000000-0005-0000-0000-0000B3B40000}"/>
    <cellStyle name="Comma 5 2 2 2 2 4 2" xfId="16268" xr:uid="{00000000-0005-0000-0000-0000B4B40000}"/>
    <cellStyle name="Comma 5 2 2 2 2 4 2 2" xfId="39546" xr:uid="{00000000-0005-0000-0000-0000B5B40000}"/>
    <cellStyle name="Comma 5 2 2 2 2 4 3" xfId="46890" xr:uid="{00000000-0005-0000-0000-0000B6B40000}"/>
    <cellStyle name="Comma 5 2 2 2 2 4 4" xfId="26060" xr:uid="{00000000-0005-0000-0000-0000B7B40000}"/>
    <cellStyle name="Comma 5 2 2 2 2 5" xfId="5229" xr:uid="{00000000-0005-0000-0000-0000B8B40000}"/>
    <cellStyle name="Comma 5 2 2 2 2 5 2" xfId="18716" xr:uid="{00000000-0005-0000-0000-0000B9B40000}"/>
    <cellStyle name="Comma 5 2 2 2 2 5 2 2" xfId="41994" xr:uid="{00000000-0005-0000-0000-0000BAB40000}"/>
    <cellStyle name="Comma 5 2 2 2 2 5 3" xfId="28508" xr:uid="{00000000-0005-0000-0000-0000BBB40000}"/>
    <cellStyle name="Comma 5 2 2 2 2 6" xfId="7677" xr:uid="{00000000-0005-0000-0000-0000BCB40000}"/>
    <cellStyle name="Comma 5 2 2 2 2 6 2" xfId="30956" xr:uid="{00000000-0005-0000-0000-0000BDB40000}"/>
    <cellStyle name="Comma 5 2 2 2 2 7" xfId="10125" xr:uid="{00000000-0005-0000-0000-0000BEB40000}"/>
    <cellStyle name="Comma 5 2 2 2 2 7 2" xfId="33404" xr:uid="{00000000-0005-0000-0000-0000BFB40000}"/>
    <cellStyle name="Comma 5 2 2 2 2 8" xfId="12573" xr:uid="{00000000-0005-0000-0000-0000C0B40000}"/>
    <cellStyle name="Comma 5 2 2 2 2 8 2" xfId="35852" xr:uid="{00000000-0005-0000-0000-0000C1B40000}"/>
    <cellStyle name="Comma 5 2 2 2 2 9" xfId="15044" xr:uid="{00000000-0005-0000-0000-0000C2B40000}"/>
    <cellStyle name="Comma 5 2 2 2 2 9 2" xfId="38322" xr:uid="{00000000-0005-0000-0000-0000C3B40000}"/>
    <cellStyle name="Comma 5 2 2 2 3" xfId="537" xr:uid="{00000000-0005-0000-0000-0000C4B40000}"/>
    <cellStyle name="Comma 5 2 2 2 3 10" xfId="23816" xr:uid="{00000000-0005-0000-0000-0000C5B40000}"/>
    <cellStyle name="Comma 5 2 2 2 3 11" xfId="44646" xr:uid="{00000000-0005-0000-0000-0000C6B40000}"/>
    <cellStyle name="Comma 5 2 2 2 3 12" xfId="21368" xr:uid="{00000000-0005-0000-0000-0000C7B40000}"/>
    <cellStyle name="Comma 5 2 2 2 3 2" xfId="1149" xr:uid="{00000000-0005-0000-0000-0000C8B40000}"/>
    <cellStyle name="Comma 5 2 2 2 3 2 10" xfId="45258" xr:uid="{00000000-0005-0000-0000-0000C9B40000}"/>
    <cellStyle name="Comma 5 2 2 2 3 2 11" xfId="21980" xr:uid="{00000000-0005-0000-0000-0000CAB40000}"/>
    <cellStyle name="Comma 5 2 2 2 3 2 2" xfId="2373" xr:uid="{00000000-0005-0000-0000-0000CBB40000}"/>
    <cellStyle name="Comma 5 2 2 2 3 2 2 10" xfId="23204" xr:uid="{00000000-0005-0000-0000-0000CCB40000}"/>
    <cellStyle name="Comma 5 2 2 2 3 2 2 2" xfId="4821" xr:uid="{00000000-0005-0000-0000-0000CDB40000}"/>
    <cellStyle name="Comma 5 2 2 2 3 2 2 2 2" xfId="20756" xr:uid="{00000000-0005-0000-0000-0000CEB40000}"/>
    <cellStyle name="Comma 5 2 2 2 3 2 2 2 2 2" xfId="44034" xr:uid="{00000000-0005-0000-0000-0000CFB40000}"/>
    <cellStyle name="Comma 5 2 2 2 3 2 2 2 3" xfId="48930" xr:uid="{00000000-0005-0000-0000-0000D0B40000}"/>
    <cellStyle name="Comma 5 2 2 2 3 2 2 2 4" xfId="28100" xr:uid="{00000000-0005-0000-0000-0000D1B40000}"/>
    <cellStyle name="Comma 5 2 2 2 3 2 2 3" xfId="7269" xr:uid="{00000000-0005-0000-0000-0000D2B40000}"/>
    <cellStyle name="Comma 5 2 2 2 3 2 2 3 2" xfId="30548" xr:uid="{00000000-0005-0000-0000-0000D3B40000}"/>
    <cellStyle name="Comma 5 2 2 2 3 2 2 4" xfId="9717" xr:uid="{00000000-0005-0000-0000-0000D4B40000}"/>
    <cellStyle name="Comma 5 2 2 2 3 2 2 4 2" xfId="32996" xr:uid="{00000000-0005-0000-0000-0000D5B40000}"/>
    <cellStyle name="Comma 5 2 2 2 3 2 2 5" xfId="12165" xr:uid="{00000000-0005-0000-0000-0000D6B40000}"/>
    <cellStyle name="Comma 5 2 2 2 3 2 2 5 2" xfId="35444" xr:uid="{00000000-0005-0000-0000-0000D7B40000}"/>
    <cellStyle name="Comma 5 2 2 2 3 2 2 6" xfId="14613" xr:uid="{00000000-0005-0000-0000-0000D8B40000}"/>
    <cellStyle name="Comma 5 2 2 2 3 2 2 6 2" xfId="37892" xr:uid="{00000000-0005-0000-0000-0000D9B40000}"/>
    <cellStyle name="Comma 5 2 2 2 3 2 2 7" xfId="18308" xr:uid="{00000000-0005-0000-0000-0000DAB40000}"/>
    <cellStyle name="Comma 5 2 2 2 3 2 2 7 2" xfId="41586" xr:uid="{00000000-0005-0000-0000-0000DBB40000}"/>
    <cellStyle name="Comma 5 2 2 2 3 2 2 8" xfId="25652" xr:uid="{00000000-0005-0000-0000-0000DCB40000}"/>
    <cellStyle name="Comma 5 2 2 2 3 2 2 9" xfId="46482" xr:uid="{00000000-0005-0000-0000-0000DDB40000}"/>
    <cellStyle name="Comma 5 2 2 2 3 2 3" xfId="3597" xr:uid="{00000000-0005-0000-0000-0000DEB40000}"/>
    <cellStyle name="Comma 5 2 2 2 3 2 3 2" xfId="17084" xr:uid="{00000000-0005-0000-0000-0000DFB40000}"/>
    <cellStyle name="Comma 5 2 2 2 3 2 3 2 2" xfId="40362" xr:uid="{00000000-0005-0000-0000-0000E0B40000}"/>
    <cellStyle name="Comma 5 2 2 2 3 2 3 3" xfId="47706" xr:uid="{00000000-0005-0000-0000-0000E1B40000}"/>
    <cellStyle name="Comma 5 2 2 2 3 2 3 4" xfId="26876" xr:uid="{00000000-0005-0000-0000-0000E2B40000}"/>
    <cellStyle name="Comma 5 2 2 2 3 2 4" xfId="6045" xr:uid="{00000000-0005-0000-0000-0000E3B40000}"/>
    <cellStyle name="Comma 5 2 2 2 3 2 4 2" xfId="19532" xr:uid="{00000000-0005-0000-0000-0000E4B40000}"/>
    <cellStyle name="Comma 5 2 2 2 3 2 4 2 2" xfId="42810" xr:uid="{00000000-0005-0000-0000-0000E5B40000}"/>
    <cellStyle name="Comma 5 2 2 2 3 2 4 3" xfId="29324" xr:uid="{00000000-0005-0000-0000-0000E6B40000}"/>
    <cellStyle name="Comma 5 2 2 2 3 2 5" xfId="8493" xr:uid="{00000000-0005-0000-0000-0000E7B40000}"/>
    <cellStyle name="Comma 5 2 2 2 3 2 5 2" xfId="31772" xr:uid="{00000000-0005-0000-0000-0000E8B40000}"/>
    <cellStyle name="Comma 5 2 2 2 3 2 6" xfId="10941" xr:uid="{00000000-0005-0000-0000-0000E9B40000}"/>
    <cellStyle name="Comma 5 2 2 2 3 2 6 2" xfId="34220" xr:uid="{00000000-0005-0000-0000-0000EAB40000}"/>
    <cellStyle name="Comma 5 2 2 2 3 2 7" xfId="13389" xr:uid="{00000000-0005-0000-0000-0000EBB40000}"/>
    <cellStyle name="Comma 5 2 2 2 3 2 7 2" xfId="36668" xr:uid="{00000000-0005-0000-0000-0000ECB40000}"/>
    <cellStyle name="Comma 5 2 2 2 3 2 8" xfId="15860" xr:uid="{00000000-0005-0000-0000-0000EDB40000}"/>
    <cellStyle name="Comma 5 2 2 2 3 2 8 2" xfId="39138" xr:uid="{00000000-0005-0000-0000-0000EEB40000}"/>
    <cellStyle name="Comma 5 2 2 2 3 2 9" xfId="24428" xr:uid="{00000000-0005-0000-0000-0000EFB40000}"/>
    <cellStyle name="Comma 5 2 2 2 3 3" xfId="1761" xr:uid="{00000000-0005-0000-0000-0000F0B40000}"/>
    <cellStyle name="Comma 5 2 2 2 3 3 10" xfId="22592" xr:uid="{00000000-0005-0000-0000-0000F1B40000}"/>
    <cellStyle name="Comma 5 2 2 2 3 3 2" xfId="4209" xr:uid="{00000000-0005-0000-0000-0000F2B40000}"/>
    <cellStyle name="Comma 5 2 2 2 3 3 2 2" xfId="20144" xr:uid="{00000000-0005-0000-0000-0000F3B40000}"/>
    <cellStyle name="Comma 5 2 2 2 3 3 2 2 2" xfId="43422" xr:uid="{00000000-0005-0000-0000-0000F4B40000}"/>
    <cellStyle name="Comma 5 2 2 2 3 3 2 3" xfId="48318" xr:uid="{00000000-0005-0000-0000-0000F5B40000}"/>
    <cellStyle name="Comma 5 2 2 2 3 3 2 4" xfId="27488" xr:uid="{00000000-0005-0000-0000-0000F6B40000}"/>
    <cellStyle name="Comma 5 2 2 2 3 3 3" xfId="6657" xr:uid="{00000000-0005-0000-0000-0000F7B40000}"/>
    <cellStyle name="Comma 5 2 2 2 3 3 3 2" xfId="29936" xr:uid="{00000000-0005-0000-0000-0000F8B40000}"/>
    <cellStyle name="Comma 5 2 2 2 3 3 4" xfId="9105" xr:uid="{00000000-0005-0000-0000-0000F9B40000}"/>
    <cellStyle name="Comma 5 2 2 2 3 3 4 2" xfId="32384" xr:uid="{00000000-0005-0000-0000-0000FAB40000}"/>
    <cellStyle name="Comma 5 2 2 2 3 3 5" xfId="11553" xr:uid="{00000000-0005-0000-0000-0000FBB40000}"/>
    <cellStyle name="Comma 5 2 2 2 3 3 5 2" xfId="34832" xr:uid="{00000000-0005-0000-0000-0000FCB40000}"/>
    <cellStyle name="Comma 5 2 2 2 3 3 6" xfId="14001" xr:uid="{00000000-0005-0000-0000-0000FDB40000}"/>
    <cellStyle name="Comma 5 2 2 2 3 3 6 2" xfId="37280" xr:uid="{00000000-0005-0000-0000-0000FEB40000}"/>
    <cellStyle name="Comma 5 2 2 2 3 3 7" xfId="17696" xr:uid="{00000000-0005-0000-0000-0000FFB40000}"/>
    <cellStyle name="Comma 5 2 2 2 3 3 7 2" xfId="40974" xr:uid="{00000000-0005-0000-0000-000000B50000}"/>
    <cellStyle name="Comma 5 2 2 2 3 3 8" xfId="25040" xr:uid="{00000000-0005-0000-0000-000001B50000}"/>
    <cellStyle name="Comma 5 2 2 2 3 3 9" xfId="45870" xr:uid="{00000000-0005-0000-0000-000002B50000}"/>
    <cellStyle name="Comma 5 2 2 2 3 4" xfId="2985" xr:uid="{00000000-0005-0000-0000-000003B50000}"/>
    <cellStyle name="Comma 5 2 2 2 3 4 2" xfId="16472" xr:uid="{00000000-0005-0000-0000-000004B50000}"/>
    <cellStyle name="Comma 5 2 2 2 3 4 2 2" xfId="39750" xr:uid="{00000000-0005-0000-0000-000005B50000}"/>
    <cellStyle name="Comma 5 2 2 2 3 4 3" xfId="47094" xr:uid="{00000000-0005-0000-0000-000006B50000}"/>
    <cellStyle name="Comma 5 2 2 2 3 4 4" xfId="26264" xr:uid="{00000000-0005-0000-0000-000007B50000}"/>
    <cellStyle name="Comma 5 2 2 2 3 5" xfId="5433" xr:uid="{00000000-0005-0000-0000-000008B50000}"/>
    <cellStyle name="Comma 5 2 2 2 3 5 2" xfId="18920" xr:uid="{00000000-0005-0000-0000-000009B50000}"/>
    <cellStyle name="Comma 5 2 2 2 3 5 2 2" xfId="42198" xr:uid="{00000000-0005-0000-0000-00000AB50000}"/>
    <cellStyle name="Comma 5 2 2 2 3 5 3" xfId="28712" xr:uid="{00000000-0005-0000-0000-00000BB50000}"/>
    <cellStyle name="Comma 5 2 2 2 3 6" xfId="7881" xr:uid="{00000000-0005-0000-0000-00000CB50000}"/>
    <cellStyle name="Comma 5 2 2 2 3 6 2" xfId="31160" xr:uid="{00000000-0005-0000-0000-00000DB50000}"/>
    <cellStyle name="Comma 5 2 2 2 3 7" xfId="10329" xr:uid="{00000000-0005-0000-0000-00000EB50000}"/>
    <cellStyle name="Comma 5 2 2 2 3 7 2" xfId="33608" xr:uid="{00000000-0005-0000-0000-00000FB50000}"/>
    <cellStyle name="Comma 5 2 2 2 3 8" xfId="12777" xr:uid="{00000000-0005-0000-0000-000010B50000}"/>
    <cellStyle name="Comma 5 2 2 2 3 8 2" xfId="36056" xr:uid="{00000000-0005-0000-0000-000011B50000}"/>
    <cellStyle name="Comma 5 2 2 2 3 9" xfId="15248" xr:uid="{00000000-0005-0000-0000-000012B50000}"/>
    <cellStyle name="Comma 5 2 2 2 3 9 2" xfId="38526" xr:uid="{00000000-0005-0000-0000-000013B50000}"/>
    <cellStyle name="Comma 5 2 2 2 4" xfId="741" xr:uid="{00000000-0005-0000-0000-000014B50000}"/>
    <cellStyle name="Comma 5 2 2 2 4 10" xfId="44850" xr:uid="{00000000-0005-0000-0000-000015B50000}"/>
    <cellStyle name="Comma 5 2 2 2 4 11" xfId="21572" xr:uid="{00000000-0005-0000-0000-000016B50000}"/>
    <cellStyle name="Comma 5 2 2 2 4 2" xfId="1965" xr:uid="{00000000-0005-0000-0000-000017B50000}"/>
    <cellStyle name="Comma 5 2 2 2 4 2 10" xfId="22796" xr:uid="{00000000-0005-0000-0000-000018B50000}"/>
    <cellStyle name="Comma 5 2 2 2 4 2 2" xfId="4413" xr:uid="{00000000-0005-0000-0000-000019B50000}"/>
    <cellStyle name="Comma 5 2 2 2 4 2 2 2" xfId="20348" xr:uid="{00000000-0005-0000-0000-00001AB50000}"/>
    <cellStyle name="Comma 5 2 2 2 4 2 2 2 2" xfId="43626" xr:uid="{00000000-0005-0000-0000-00001BB50000}"/>
    <cellStyle name="Comma 5 2 2 2 4 2 2 3" xfId="48522" xr:uid="{00000000-0005-0000-0000-00001CB50000}"/>
    <cellStyle name="Comma 5 2 2 2 4 2 2 4" xfId="27692" xr:uid="{00000000-0005-0000-0000-00001DB50000}"/>
    <cellStyle name="Comma 5 2 2 2 4 2 3" xfId="6861" xr:uid="{00000000-0005-0000-0000-00001EB50000}"/>
    <cellStyle name="Comma 5 2 2 2 4 2 3 2" xfId="30140" xr:uid="{00000000-0005-0000-0000-00001FB50000}"/>
    <cellStyle name="Comma 5 2 2 2 4 2 4" xfId="9309" xr:uid="{00000000-0005-0000-0000-000020B50000}"/>
    <cellStyle name="Comma 5 2 2 2 4 2 4 2" xfId="32588" xr:uid="{00000000-0005-0000-0000-000021B50000}"/>
    <cellStyle name="Comma 5 2 2 2 4 2 5" xfId="11757" xr:uid="{00000000-0005-0000-0000-000022B50000}"/>
    <cellStyle name="Comma 5 2 2 2 4 2 5 2" xfId="35036" xr:uid="{00000000-0005-0000-0000-000023B50000}"/>
    <cellStyle name="Comma 5 2 2 2 4 2 6" xfId="14205" xr:uid="{00000000-0005-0000-0000-000024B50000}"/>
    <cellStyle name="Comma 5 2 2 2 4 2 6 2" xfId="37484" xr:uid="{00000000-0005-0000-0000-000025B50000}"/>
    <cellStyle name="Comma 5 2 2 2 4 2 7" xfId="17900" xr:uid="{00000000-0005-0000-0000-000026B50000}"/>
    <cellStyle name="Comma 5 2 2 2 4 2 7 2" xfId="41178" xr:uid="{00000000-0005-0000-0000-000027B50000}"/>
    <cellStyle name="Comma 5 2 2 2 4 2 8" xfId="25244" xr:uid="{00000000-0005-0000-0000-000028B50000}"/>
    <cellStyle name="Comma 5 2 2 2 4 2 9" xfId="46074" xr:uid="{00000000-0005-0000-0000-000029B50000}"/>
    <cellStyle name="Comma 5 2 2 2 4 3" xfId="3189" xr:uid="{00000000-0005-0000-0000-00002AB50000}"/>
    <cellStyle name="Comma 5 2 2 2 4 3 2" xfId="16676" xr:uid="{00000000-0005-0000-0000-00002BB50000}"/>
    <cellStyle name="Comma 5 2 2 2 4 3 2 2" xfId="39954" xr:uid="{00000000-0005-0000-0000-00002CB50000}"/>
    <cellStyle name="Comma 5 2 2 2 4 3 3" xfId="47298" xr:uid="{00000000-0005-0000-0000-00002DB50000}"/>
    <cellStyle name="Comma 5 2 2 2 4 3 4" xfId="26468" xr:uid="{00000000-0005-0000-0000-00002EB50000}"/>
    <cellStyle name="Comma 5 2 2 2 4 4" xfId="5637" xr:uid="{00000000-0005-0000-0000-00002FB50000}"/>
    <cellStyle name="Comma 5 2 2 2 4 4 2" xfId="19124" xr:uid="{00000000-0005-0000-0000-000030B50000}"/>
    <cellStyle name="Comma 5 2 2 2 4 4 2 2" xfId="42402" xr:uid="{00000000-0005-0000-0000-000031B50000}"/>
    <cellStyle name="Comma 5 2 2 2 4 4 3" xfId="28916" xr:uid="{00000000-0005-0000-0000-000032B50000}"/>
    <cellStyle name="Comma 5 2 2 2 4 5" xfId="8085" xr:uid="{00000000-0005-0000-0000-000033B50000}"/>
    <cellStyle name="Comma 5 2 2 2 4 5 2" xfId="31364" xr:uid="{00000000-0005-0000-0000-000034B50000}"/>
    <cellStyle name="Comma 5 2 2 2 4 6" xfId="10533" xr:uid="{00000000-0005-0000-0000-000035B50000}"/>
    <cellStyle name="Comma 5 2 2 2 4 6 2" xfId="33812" xr:uid="{00000000-0005-0000-0000-000036B50000}"/>
    <cellStyle name="Comma 5 2 2 2 4 7" xfId="12981" xr:uid="{00000000-0005-0000-0000-000037B50000}"/>
    <cellStyle name="Comma 5 2 2 2 4 7 2" xfId="36260" xr:uid="{00000000-0005-0000-0000-000038B50000}"/>
    <cellStyle name="Comma 5 2 2 2 4 8" xfId="15452" xr:uid="{00000000-0005-0000-0000-000039B50000}"/>
    <cellStyle name="Comma 5 2 2 2 4 8 2" xfId="38730" xr:uid="{00000000-0005-0000-0000-00003AB50000}"/>
    <cellStyle name="Comma 5 2 2 2 4 9" xfId="24020" xr:uid="{00000000-0005-0000-0000-00003BB50000}"/>
    <cellStyle name="Comma 5 2 2 2 5" xfId="1353" xr:uid="{00000000-0005-0000-0000-00003CB50000}"/>
    <cellStyle name="Comma 5 2 2 2 5 10" xfId="22184" xr:uid="{00000000-0005-0000-0000-00003DB50000}"/>
    <cellStyle name="Comma 5 2 2 2 5 2" xfId="3801" xr:uid="{00000000-0005-0000-0000-00003EB50000}"/>
    <cellStyle name="Comma 5 2 2 2 5 2 2" xfId="19736" xr:uid="{00000000-0005-0000-0000-00003FB50000}"/>
    <cellStyle name="Comma 5 2 2 2 5 2 2 2" xfId="43014" xr:uid="{00000000-0005-0000-0000-000040B50000}"/>
    <cellStyle name="Comma 5 2 2 2 5 2 3" xfId="47910" xr:uid="{00000000-0005-0000-0000-000041B50000}"/>
    <cellStyle name="Comma 5 2 2 2 5 2 4" xfId="27080" xr:uid="{00000000-0005-0000-0000-000042B50000}"/>
    <cellStyle name="Comma 5 2 2 2 5 3" xfId="6249" xr:uid="{00000000-0005-0000-0000-000043B50000}"/>
    <cellStyle name="Comma 5 2 2 2 5 3 2" xfId="29528" xr:uid="{00000000-0005-0000-0000-000044B50000}"/>
    <cellStyle name="Comma 5 2 2 2 5 4" xfId="8697" xr:uid="{00000000-0005-0000-0000-000045B50000}"/>
    <cellStyle name="Comma 5 2 2 2 5 4 2" xfId="31976" xr:uid="{00000000-0005-0000-0000-000046B50000}"/>
    <cellStyle name="Comma 5 2 2 2 5 5" xfId="11145" xr:uid="{00000000-0005-0000-0000-000047B50000}"/>
    <cellStyle name="Comma 5 2 2 2 5 5 2" xfId="34424" xr:uid="{00000000-0005-0000-0000-000048B50000}"/>
    <cellStyle name="Comma 5 2 2 2 5 6" xfId="13593" xr:uid="{00000000-0005-0000-0000-000049B50000}"/>
    <cellStyle name="Comma 5 2 2 2 5 6 2" xfId="36872" xr:uid="{00000000-0005-0000-0000-00004AB50000}"/>
    <cellStyle name="Comma 5 2 2 2 5 7" xfId="17288" xr:uid="{00000000-0005-0000-0000-00004BB50000}"/>
    <cellStyle name="Comma 5 2 2 2 5 7 2" xfId="40566" xr:uid="{00000000-0005-0000-0000-00004CB50000}"/>
    <cellStyle name="Comma 5 2 2 2 5 8" xfId="24632" xr:uid="{00000000-0005-0000-0000-00004DB50000}"/>
    <cellStyle name="Comma 5 2 2 2 5 9" xfId="45462" xr:uid="{00000000-0005-0000-0000-00004EB50000}"/>
    <cellStyle name="Comma 5 2 2 2 6" xfId="2577" xr:uid="{00000000-0005-0000-0000-00004FB50000}"/>
    <cellStyle name="Comma 5 2 2 2 6 2" xfId="16064" xr:uid="{00000000-0005-0000-0000-000050B50000}"/>
    <cellStyle name="Comma 5 2 2 2 6 2 2" xfId="39342" xr:uid="{00000000-0005-0000-0000-000051B50000}"/>
    <cellStyle name="Comma 5 2 2 2 6 3" xfId="46686" xr:uid="{00000000-0005-0000-0000-000052B50000}"/>
    <cellStyle name="Comma 5 2 2 2 6 4" xfId="25856" xr:uid="{00000000-0005-0000-0000-000053B50000}"/>
    <cellStyle name="Comma 5 2 2 2 7" xfId="5025" xr:uid="{00000000-0005-0000-0000-000054B50000}"/>
    <cellStyle name="Comma 5 2 2 2 7 2" xfId="18512" xr:uid="{00000000-0005-0000-0000-000055B50000}"/>
    <cellStyle name="Comma 5 2 2 2 7 2 2" xfId="41790" xr:uid="{00000000-0005-0000-0000-000056B50000}"/>
    <cellStyle name="Comma 5 2 2 2 7 3" xfId="28304" xr:uid="{00000000-0005-0000-0000-000057B50000}"/>
    <cellStyle name="Comma 5 2 2 2 8" xfId="7473" xr:uid="{00000000-0005-0000-0000-000058B50000}"/>
    <cellStyle name="Comma 5 2 2 2 8 2" xfId="30752" xr:uid="{00000000-0005-0000-0000-000059B50000}"/>
    <cellStyle name="Comma 5 2 2 2 9" xfId="9921" xr:uid="{00000000-0005-0000-0000-00005AB50000}"/>
    <cellStyle name="Comma 5 2 2 2 9 2" xfId="33200" xr:uid="{00000000-0005-0000-0000-00005BB50000}"/>
    <cellStyle name="Comma 5 2 2 3" xfId="197" xr:uid="{00000000-0005-0000-0000-00005CB50000}"/>
    <cellStyle name="Comma 5 2 2 3 10" xfId="12437" xr:uid="{00000000-0005-0000-0000-00005DB50000}"/>
    <cellStyle name="Comma 5 2 2 3 10 2" xfId="35716" xr:uid="{00000000-0005-0000-0000-00005EB50000}"/>
    <cellStyle name="Comma 5 2 2 3 11" xfId="14908" xr:uid="{00000000-0005-0000-0000-00005FB50000}"/>
    <cellStyle name="Comma 5 2 2 3 11 2" xfId="38186" xr:uid="{00000000-0005-0000-0000-000060B50000}"/>
    <cellStyle name="Comma 5 2 2 3 12" xfId="23476" xr:uid="{00000000-0005-0000-0000-000061B50000}"/>
    <cellStyle name="Comma 5 2 2 3 13" xfId="44306" xr:uid="{00000000-0005-0000-0000-000062B50000}"/>
    <cellStyle name="Comma 5 2 2 3 14" xfId="21028" xr:uid="{00000000-0005-0000-0000-000063B50000}"/>
    <cellStyle name="Comma 5 2 2 3 2" xfId="401" xr:uid="{00000000-0005-0000-0000-000064B50000}"/>
    <cellStyle name="Comma 5 2 2 3 2 10" xfId="23680" xr:uid="{00000000-0005-0000-0000-000065B50000}"/>
    <cellStyle name="Comma 5 2 2 3 2 11" xfId="44510" xr:uid="{00000000-0005-0000-0000-000066B50000}"/>
    <cellStyle name="Comma 5 2 2 3 2 12" xfId="21232" xr:uid="{00000000-0005-0000-0000-000067B50000}"/>
    <cellStyle name="Comma 5 2 2 3 2 2" xfId="1013" xr:uid="{00000000-0005-0000-0000-000068B50000}"/>
    <cellStyle name="Comma 5 2 2 3 2 2 10" xfId="45122" xr:uid="{00000000-0005-0000-0000-000069B50000}"/>
    <cellStyle name="Comma 5 2 2 3 2 2 11" xfId="21844" xr:uid="{00000000-0005-0000-0000-00006AB50000}"/>
    <cellStyle name="Comma 5 2 2 3 2 2 2" xfId="2237" xr:uid="{00000000-0005-0000-0000-00006BB50000}"/>
    <cellStyle name="Comma 5 2 2 3 2 2 2 10" xfId="23068" xr:uid="{00000000-0005-0000-0000-00006CB50000}"/>
    <cellStyle name="Comma 5 2 2 3 2 2 2 2" xfId="4685" xr:uid="{00000000-0005-0000-0000-00006DB50000}"/>
    <cellStyle name="Comma 5 2 2 3 2 2 2 2 2" xfId="20620" xr:uid="{00000000-0005-0000-0000-00006EB50000}"/>
    <cellStyle name="Comma 5 2 2 3 2 2 2 2 2 2" xfId="43898" xr:uid="{00000000-0005-0000-0000-00006FB50000}"/>
    <cellStyle name="Comma 5 2 2 3 2 2 2 2 3" xfId="48794" xr:uid="{00000000-0005-0000-0000-000070B50000}"/>
    <cellStyle name="Comma 5 2 2 3 2 2 2 2 4" xfId="27964" xr:uid="{00000000-0005-0000-0000-000071B50000}"/>
    <cellStyle name="Comma 5 2 2 3 2 2 2 3" xfId="7133" xr:uid="{00000000-0005-0000-0000-000072B50000}"/>
    <cellStyle name="Comma 5 2 2 3 2 2 2 3 2" xfId="30412" xr:uid="{00000000-0005-0000-0000-000073B50000}"/>
    <cellStyle name="Comma 5 2 2 3 2 2 2 4" xfId="9581" xr:uid="{00000000-0005-0000-0000-000074B50000}"/>
    <cellStyle name="Comma 5 2 2 3 2 2 2 4 2" xfId="32860" xr:uid="{00000000-0005-0000-0000-000075B50000}"/>
    <cellStyle name="Comma 5 2 2 3 2 2 2 5" xfId="12029" xr:uid="{00000000-0005-0000-0000-000076B50000}"/>
    <cellStyle name="Comma 5 2 2 3 2 2 2 5 2" xfId="35308" xr:uid="{00000000-0005-0000-0000-000077B50000}"/>
    <cellStyle name="Comma 5 2 2 3 2 2 2 6" xfId="14477" xr:uid="{00000000-0005-0000-0000-000078B50000}"/>
    <cellStyle name="Comma 5 2 2 3 2 2 2 6 2" xfId="37756" xr:uid="{00000000-0005-0000-0000-000079B50000}"/>
    <cellStyle name="Comma 5 2 2 3 2 2 2 7" xfId="18172" xr:uid="{00000000-0005-0000-0000-00007AB50000}"/>
    <cellStyle name="Comma 5 2 2 3 2 2 2 7 2" xfId="41450" xr:uid="{00000000-0005-0000-0000-00007BB50000}"/>
    <cellStyle name="Comma 5 2 2 3 2 2 2 8" xfId="25516" xr:uid="{00000000-0005-0000-0000-00007CB50000}"/>
    <cellStyle name="Comma 5 2 2 3 2 2 2 9" xfId="46346" xr:uid="{00000000-0005-0000-0000-00007DB50000}"/>
    <cellStyle name="Comma 5 2 2 3 2 2 3" xfId="3461" xr:uid="{00000000-0005-0000-0000-00007EB50000}"/>
    <cellStyle name="Comma 5 2 2 3 2 2 3 2" xfId="16948" xr:uid="{00000000-0005-0000-0000-00007FB50000}"/>
    <cellStyle name="Comma 5 2 2 3 2 2 3 2 2" xfId="40226" xr:uid="{00000000-0005-0000-0000-000080B50000}"/>
    <cellStyle name="Comma 5 2 2 3 2 2 3 3" xfId="47570" xr:uid="{00000000-0005-0000-0000-000081B50000}"/>
    <cellStyle name="Comma 5 2 2 3 2 2 3 4" xfId="26740" xr:uid="{00000000-0005-0000-0000-000082B50000}"/>
    <cellStyle name="Comma 5 2 2 3 2 2 4" xfId="5909" xr:uid="{00000000-0005-0000-0000-000083B50000}"/>
    <cellStyle name="Comma 5 2 2 3 2 2 4 2" xfId="19396" xr:uid="{00000000-0005-0000-0000-000084B50000}"/>
    <cellStyle name="Comma 5 2 2 3 2 2 4 2 2" xfId="42674" xr:uid="{00000000-0005-0000-0000-000085B50000}"/>
    <cellStyle name="Comma 5 2 2 3 2 2 4 3" xfId="29188" xr:uid="{00000000-0005-0000-0000-000086B50000}"/>
    <cellStyle name="Comma 5 2 2 3 2 2 5" xfId="8357" xr:uid="{00000000-0005-0000-0000-000087B50000}"/>
    <cellStyle name="Comma 5 2 2 3 2 2 5 2" xfId="31636" xr:uid="{00000000-0005-0000-0000-000088B50000}"/>
    <cellStyle name="Comma 5 2 2 3 2 2 6" xfId="10805" xr:uid="{00000000-0005-0000-0000-000089B50000}"/>
    <cellStyle name="Comma 5 2 2 3 2 2 6 2" xfId="34084" xr:uid="{00000000-0005-0000-0000-00008AB50000}"/>
    <cellStyle name="Comma 5 2 2 3 2 2 7" xfId="13253" xr:uid="{00000000-0005-0000-0000-00008BB50000}"/>
    <cellStyle name="Comma 5 2 2 3 2 2 7 2" xfId="36532" xr:uid="{00000000-0005-0000-0000-00008CB50000}"/>
    <cellStyle name="Comma 5 2 2 3 2 2 8" xfId="15724" xr:uid="{00000000-0005-0000-0000-00008DB50000}"/>
    <cellStyle name="Comma 5 2 2 3 2 2 8 2" xfId="39002" xr:uid="{00000000-0005-0000-0000-00008EB50000}"/>
    <cellStyle name="Comma 5 2 2 3 2 2 9" xfId="24292" xr:uid="{00000000-0005-0000-0000-00008FB50000}"/>
    <cellStyle name="Comma 5 2 2 3 2 3" xfId="1625" xr:uid="{00000000-0005-0000-0000-000090B50000}"/>
    <cellStyle name="Comma 5 2 2 3 2 3 10" xfId="22456" xr:uid="{00000000-0005-0000-0000-000091B50000}"/>
    <cellStyle name="Comma 5 2 2 3 2 3 2" xfId="4073" xr:uid="{00000000-0005-0000-0000-000092B50000}"/>
    <cellStyle name="Comma 5 2 2 3 2 3 2 2" xfId="20008" xr:uid="{00000000-0005-0000-0000-000093B50000}"/>
    <cellStyle name="Comma 5 2 2 3 2 3 2 2 2" xfId="43286" xr:uid="{00000000-0005-0000-0000-000094B50000}"/>
    <cellStyle name="Comma 5 2 2 3 2 3 2 3" xfId="48182" xr:uid="{00000000-0005-0000-0000-000095B50000}"/>
    <cellStyle name="Comma 5 2 2 3 2 3 2 4" xfId="27352" xr:uid="{00000000-0005-0000-0000-000096B50000}"/>
    <cellStyle name="Comma 5 2 2 3 2 3 3" xfId="6521" xr:uid="{00000000-0005-0000-0000-000097B50000}"/>
    <cellStyle name="Comma 5 2 2 3 2 3 3 2" xfId="29800" xr:uid="{00000000-0005-0000-0000-000098B50000}"/>
    <cellStyle name="Comma 5 2 2 3 2 3 4" xfId="8969" xr:uid="{00000000-0005-0000-0000-000099B50000}"/>
    <cellStyle name="Comma 5 2 2 3 2 3 4 2" xfId="32248" xr:uid="{00000000-0005-0000-0000-00009AB50000}"/>
    <cellStyle name="Comma 5 2 2 3 2 3 5" xfId="11417" xr:uid="{00000000-0005-0000-0000-00009BB50000}"/>
    <cellStyle name="Comma 5 2 2 3 2 3 5 2" xfId="34696" xr:uid="{00000000-0005-0000-0000-00009CB50000}"/>
    <cellStyle name="Comma 5 2 2 3 2 3 6" xfId="13865" xr:uid="{00000000-0005-0000-0000-00009DB50000}"/>
    <cellStyle name="Comma 5 2 2 3 2 3 6 2" xfId="37144" xr:uid="{00000000-0005-0000-0000-00009EB50000}"/>
    <cellStyle name="Comma 5 2 2 3 2 3 7" xfId="17560" xr:uid="{00000000-0005-0000-0000-00009FB50000}"/>
    <cellStyle name="Comma 5 2 2 3 2 3 7 2" xfId="40838" xr:uid="{00000000-0005-0000-0000-0000A0B50000}"/>
    <cellStyle name="Comma 5 2 2 3 2 3 8" xfId="24904" xr:uid="{00000000-0005-0000-0000-0000A1B50000}"/>
    <cellStyle name="Comma 5 2 2 3 2 3 9" xfId="45734" xr:uid="{00000000-0005-0000-0000-0000A2B50000}"/>
    <cellStyle name="Comma 5 2 2 3 2 4" xfId="2849" xr:uid="{00000000-0005-0000-0000-0000A3B50000}"/>
    <cellStyle name="Comma 5 2 2 3 2 4 2" xfId="16336" xr:uid="{00000000-0005-0000-0000-0000A4B50000}"/>
    <cellStyle name="Comma 5 2 2 3 2 4 2 2" xfId="39614" xr:uid="{00000000-0005-0000-0000-0000A5B50000}"/>
    <cellStyle name="Comma 5 2 2 3 2 4 3" xfId="46958" xr:uid="{00000000-0005-0000-0000-0000A6B50000}"/>
    <cellStyle name="Comma 5 2 2 3 2 4 4" xfId="26128" xr:uid="{00000000-0005-0000-0000-0000A7B50000}"/>
    <cellStyle name="Comma 5 2 2 3 2 5" xfId="5297" xr:uid="{00000000-0005-0000-0000-0000A8B50000}"/>
    <cellStyle name="Comma 5 2 2 3 2 5 2" xfId="18784" xr:uid="{00000000-0005-0000-0000-0000A9B50000}"/>
    <cellStyle name="Comma 5 2 2 3 2 5 2 2" xfId="42062" xr:uid="{00000000-0005-0000-0000-0000AAB50000}"/>
    <cellStyle name="Comma 5 2 2 3 2 5 3" xfId="28576" xr:uid="{00000000-0005-0000-0000-0000ABB50000}"/>
    <cellStyle name="Comma 5 2 2 3 2 6" xfId="7745" xr:uid="{00000000-0005-0000-0000-0000ACB50000}"/>
    <cellStyle name="Comma 5 2 2 3 2 6 2" xfId="31024" xr:uid="{00000000-0005-0000-0000-0000ADB50000}"/>
    <cellStyle name="Comma 5 2 2 3 2 7" xfId="10193" xr:uid="{00000000-0005-0000-0000-0000AEB50000}"/>
    <cellStyle name="Comma 5 2 2 3 2 7 2" xfId="33472" xr:uid="{00000000-0005-0000-0000-0000AFB50000}"/>
    <cellStyle name="Comma 5 2 2 3 2 8" xfId="12641" xr:uid="{00000000-0005-0000-0000-0000B0B50000}"/>
    <cellStyle name="Comma 5 2 2 3 2 8 2" xfId="35920" xr:uid="{00000000-0005-0000-0000-0000B1B50000}"/>
    <cellStyle name="Comma 5 2 2 3 2 9" xfId="15112" xr:uid="{00000000-0005-0000-0000-0000B2B50000}"/>
    <cellStyle name="Comma 5 2 2 3 2 9 2" xfId="38390" xr:uid="{00000000-0005-0000-0000-0000B3B50000}"/>
    <cellStyle name="Comma 5 2 2 3 3" xfId="605" xr:uid="{00000000-0005-0000-0000-0000B4B50000}"/>
    <cellStyle name="Comma 5 2 2 3 3 10" xfId="23884" xr:uid="{00000000-0005-0000-0000-0000B5B50000}"/>
    <cellStyle name="Comma 5 2 2 3 3 11" xfId="44714" xr:uid="{00000000-0005-0000-0000-0000B6B50000}"/>
    <cellStyle name="Comma 5 2 2 3 3 12" xfId="21436" xr:uid="{00000000-0005-0000-0000-0000B7B50000}"/>
    <cellStyle name="Comma 5 2 2 3 3 2" xfId="1217" xr:uid="{00000000-0005-0000-0000-0000B8B50000}"/>
    <cellStyle name="Comma 5 2 2 3 3 2 10" xfId="45326" xr:uid="{00000000-0005-0000-0000-0000B9B50000}"/>
    <cellStyle name="Comma 5 2 2 3 3 2 11" xfId="22048" xr:uid="{00000000-0005-0000-0000-0000BAB50000}"/>
    <cellStyle name="Comma 5 2 2 3 3 2 2" xfId="2441" xr:uid="{00000000-0005-0000-0000-0000BBB50000}"/>
    <cellStyle name="Comma 5 2 2 3 3 2 2 10" xfId="23272" xr:uid="{00000000-0005-0000-0000-0000BCB50000}"/>
    <cellStyle name="Comma 5 2 2 3 3 2 2 2" xfId="4889" xr:uid="{00000000-0005-0000-0000-0000BDB50000}"/>
    <cellStyle name="Comma 5 2 2 3 3 2 2 2 2" xfId="20824" xr:uid="{00000000-0005-0000-0000-0000BEB50000}"/>
    <cellStyle name="Comma 5 2 2 3 3 2 2 2 2 2" xfId="44102" xr:uid="{00000000-0005-0000-0000-0000BFB50000}"/>
    <cellStyle name="Comma 5 2 2 3 3 2 2 2 3" xfId="48998" xr:uid="{00000000-0005-0000-0000-0000C0B50000}"/>
    <cellStyle name="Comma 5 2 2 3 3 2 2 2 4" xfId="28168" xr:uid="{00000000-0005-0000-0000-0000C1B50000}"/>
    <cellStyle name="Comma 5 2 2 3 3 2 2 3" xfId="7337" xr:uid="{00000000-0005-0000-0000-0000C2B50000}"/>
    <cellStyle name="Comma 5 2 2 3 3 2 2 3 2" xfId="30616" xr:uid="{00000000-0005-0000-0000-0000C3B50000}"/>
    <cellStyle name="Comma 5 2 2 3 3 2 2 4" xfId="9785" xr:uid="{00000000-0005-0000-0000-0000C4B50000}"/>
    <cellStyle name="Comma 5 2 2 3 3 2 2 4 2" xfId="33064" xr:uid="{00000000-0005-0000-0000-0000C5B50000}"/>
    <cellStyle name="Comma 5 2 2 3 3 2 2 5" xfId="12233" xr:uid="{00000000-0005-0000-0000-0000C6B50000}"/>
    <cellStyle name="Comma 5 2 2 3 3 2 2 5 2" xfId="35512" xr:uid="{00000000-0005-0000-0000-0000C7B50000}"/>
    <cellStyle name="Comma 5 2 2 3 3 2 2 6" xfId="14681" xr:uid="{00000000-0005-0000-0000-0000C8B50000}"/>
    <cellStyle name="Comma 5 2 2 3 3 2 2 6 2" xfId="37960" xr:uid="{00000000-0005-0000-0000-0000C9B50000}"/>
    <cellStyle name="Comma 5 2 2 3 3 2 2 7" xfId="18376" xr:uid="{00000000-0005-0000-0000-0000CAB50000}"/>
    <cellStyle name="Comma 5 2 2 3 3 2 2 7 2" xfId="41654" xr:uid="{00000000-0005-0000-0000-0000CBB50000}"/>
    <cellStyle name="Comma 5 2 2 3 3 2 2 8" xfId="25720" xr:uid="{00000000-0005-0000-0000-0000CCB50000}"/>
    <cellStyle name="Comma 5 2 2 3 3 2 2 9" xfId="46550" xr:uid="{00000000-0005-0000-0000-0000CDB50000}"/>
    <cellStyle name="Comma 5 2 2 3 3 2 3" xfId="3665" xr:uid="{00000000-0005-0000-0000-0000CEB50000}"/>
    <cellStyle name="Comma 5 2 2 3 3 2 3 2" xfId="17152" xr:uid="{00000000-0005-0000-0000-0000CFB50000}"/>
    <cellStyle name="Comma 5 2 2 3 3 2 3 2 2" xfId="40430" xr:uid="{00000000-0005-0000-0000-0000D0B50000}"/>
    <cellStyle name="Comma 5 2 2 3 3 2 3 3" xfId="47774" xr:uid="{00000000-0005-0000-0000-0000D1B50000}"/>
    <cellStyle name="Comma 5 2 2 3 3 2 3 4" xfId="26944" xr:uid="{00000000-0005-0000-0000-0000D2B50000}"/>
    <cellStyle name="Comma 5 2 2 3 3 2 4" xfId="6113" xr:uid="{00000000-0005-0000-0000-0000D3B50000}"/>
    <cellStyle name="Comma 5 2 2 3 3 2 4 2" xfId="19600" xr:uid="{00000000-0005-0000-0000-0000D4B50000}"/>
    <cellStyle name="Comma 5 2 2 3 3 2 4 2 2" xfId="42878" xr:uid="{00000000-0005-0000-0000-0000D5B50000}"/>
    <cellStyle name="Comma 5 2 2 3 3 2 4 3" xfId="29392" xr:uid="{00000000-0005-0000-0000-0000D6B50000}"/>
    <cellStyle name="Comma 5 2 2 3 3 2 5" xfId="8561" xr:uid="{00000000-0005-0000-0000-0000D7B50000}"/>
    <cellStyle name="Comma 5 2 2 3 3 2 5 2" xfId="31840" xr:uid="{00000000-0005-0000-0000-0000D8B50000}"/>
    <cellStyle name="Comma 5 2 2 3 3 2 6" xfId="11009" xr:uid="{00000000-0005-0000-0000-0000D9B50000}"/>
    <cellStyle name="Comma 5 2 2 3 3 2 6 2" xfId="34288" xr:uid="{00000000-0005-0000-0000-0000DAB50000}"/>
    <cellStyle name="Comma 5 2 2 3 3 2 7" xfId="13457" xr:uid="{00000000-0005-0000-0000-0000DBB50000}"/>
    <cellStyle name="Comma 5 2 2 3 3 2 7 2" xfId="36736" xr:uid="{00000000-0005-0000-0000-0000DCB50000}"/>
    <cellStyle name="Comma 5 2 2 3 3 2 8" xfId="15928" xr:uid="{00000000-0005-0000-0000-0000DDB50000}"/>
    <cellStyle name="Comma 5 2 2 3 3 2 8 2" xfId="39206" xr:uid="{00000000-0005-0000-0000-0000DEB50000}"/>
    <cellStyle name="Comma 5 2 2 3 3 2 9" xfId="24496" xr:uid="{00000000-0005-0000-0000-0000DFB50000}"/>
    <cellStyle name="Comma 5 2 2 3 3 3" xfId="1829" xr:uid="{00000000-0005-0000-0000-0000E0B50000}"/>
    <cellStyle name="Comma 5 2 2 3 3 3 10" xfId="22660" xr:uid="{00000000-0005-0000-0000-0000E1B50000}"/>
    <cellStyle name="Comma 5 2 2 3 3 3 2" xfId="4277" xr:uid="{00000000-0005-0000-0000-0000E2B50000}"/>
    <cellStyle name="Comma 5 2 2 3 3 3 2 2" xfId="20212" xr:uid="{00000000-0005-0000-0000-0000E3B50000}"/>
    <cellStyle name="Comma 5 2 2 3 3 3 2 2 2" xfId="43490" xr:uid="{00000000-0005-0000-0000-0000E4B50000}"/>
    <cellStyle name="Comma 5 2 2 3 3 3 2 3" xfId="48386" xr:uid="{00000000-0005-0000-0000-0000E5B50000}"/>
    <cellStyle name="Comma 5 2 2 3 3 3 2 4" xfId="27556" xr:uid="{00000000-0005-0000-0000-0000E6B50000}"/>
    <cellStyle name="Comma 5 2 2 3 3 3 3" xfId="6725" xr:uid="{00000000-0005-0000-0000-0000E7B50000}"/>
    <cellStyle name="Comma 5 2 2 3 3 3 3 2" xfId="30004" xr:uid="{00000000-0005-0000-0000-0000E8B50000}"/>
    <cellStyle name="Comma 5 2 2 3 3 3 4" xfId="9173" xr:uid="{00000000-0005-0000-0000-0000E9B50000}"/>
    <cellStyle name="Comma 5 2 2 3 3 3 4 2" xfId="32452" xr:uid="{00000000-0005-0000-0000-0000EAB50000}"/>
    <cellStyle name="Comma 5 2 2 3 3 3 5" xfId="11621" xr:uid="{00000000-0005-0000-0000-0000EBB50000}"/>
    <cellStyle name="Comma 5 2 2 3 3 3 5 2" xfId="34900" xr:uid="{00000000-0005-0000-0000-0000ECB50000}"/>
    <cellStyle name="Comma 5 2 2 3 3 3 6" xfId="14069" xr:uid="{00000000-0005-0000-0000-0000EDB50000}"/>
    <cellStyle name="Comma 5 2 2 3 3 3 6 2" xfId="37348" xr:uid="{00000000-0005-0000-0000-0000EEB50000}"/>
    <cellStyle name="Comma 5 2 2 3 3 3 7" xfId="17764" xr:uid="{00000000-0005-0000-0000-0000EFB50000}"/>
    <cellStyle name="Comma 5 2 2 3 3 3 7 2" xfId="41042" xr:uid="{00000000-0005-0000-0000-0000F0B50000}"/>
    <cellStyle name="Comma 5 2 2 3 3 3 8" xfId="25108" xr:uid="{00000000-0005-0000-0000-0000F1B50000}"/>
    <cellStyle name="Comma 5 2 2 3 3 3 9" xfId="45938" xr:uid="{00000000-0005-0000-0000-0000F2B50000}"/>
    <cellStyle name="Comma 5 2 2 3 3 4" xfId="3053" xr:uid="{00000000-0005-0000-0000-0000F3B50000}"/>
    <cellStyle name="Comma 5 2 2 3 3 4 2" xfId="16540" xr:uid="{00000000-0005-0000-0000-0000F4B50000}"/>
    <cellStyle name="Comma 5 2 2 3 3 4 2 2" xfId="39818" xr:uid="{00000000-0005-0000-0000-0000F5B50000}"/>
    <cellStyle name="Comma 5 2 2 3 3 4 3" xfId="47162" xr:uid="{00000000-0005-0000-0000-0000F6B50000}"/>
    <cellStyle name="Comma 5 2 2 3 3 4 4" xfId="26332" xr:uid="{00000000-0005-0000-0000-0000F7B50000}"/>
    <cellStyle name="Comma 5 2 2 3 3 5" xfId="5501" xr:uid="{00000000-0005-0000-0000-0000F8B50000}"/>
    <cellStyle name="Comma 5 2 2 3 3 5 2" xfId="18988" xr:uid="{00000000-0005-0000-0000-0000F9B50000}"/>
    <cellStyle name="Comma 5 2 2 3 3 5 2 2" xfId="42266" xr:uid="{00000000-0005-0000-0000-0000FAB50000}"/>
    <cellStyle name="Comma 5 2 2 3 3 5 3" xfId="28780" xr:uid="{00000000-0005-0000-0000-0000FBB50000}"/>
    <cellStyle name="Comma 5 2 2 3 3 6" xfId="7949" xr:uid="{00000000-0005-0000-0000-0000FCB50000}"/>
    <cellStyle name="Comma 5 2 2 3 3 6 2" xfId="31228" xr:uid="{00000000-0005-0000-0000-0000FDB50000}"/>
    <cellStyle name="Comma 5 2 2 3 3 7" xfId="10397" xr:uid="{00000000-0005-0000-0000-0000FEB50000}"/>
    <cellStyle name="Comma 5 2 2 3 3 7 2" xfId="33676" xr:uid="{00000000-0005-0000-0000-0000FFB50000}"/>
    <cellStyle name="Comma 5 2 2 3 3 8" xfId="12845" xr:uid="{00000000-0005-0000-0000-000000B60000}"/>
    <cellStyle name="Comma 5 2 2 3 3 8 2" xfId="36124" xr:uid="{00000000-0005-0000-0000-000001B60000}"/>
    <cellStyle name="Comma 5 2 2 3 3 9" xfId="15316" xr:uid="{00000000-0005-0000-0000-000002B60000}"/>
    <cellStyle name="Comma 5 2 2 3 3 9 2" xfId="38594" xr:uid="{00000000-0005-0000-0000-000003B60000}"/>
    <cellStyle name="Comma 5 2 2 3 4" xfId="809" xr:uid="{00000000-0005-0000-0000-000004B60000}"/>
    <cellStyle name="Comma 5 2 2 3 4 10" xfId="44918" xr:uid="{00000000-0005-0000-0000-000005B60000}"/>
    <cellStyle name="Comma 5 2 2 3 4 11" xfId="21640" xr:uid="{00000000-0005-0000-0000-000006B60000}"/>
    <cellStyle name="Comma 5 2 2 3 4 2" xfId="2033" xr:uid="{00000000-0005-0000-0000-000007B60000}"/>
    <cellStyle name="Comma 5 2 2 3 4 2 10" xfId="22864" xr:uid="{00000000-0005-0000-0000-000008B60000}"/>
    <cellStyle name="Comma 5 2 2 3 4 2 2" xfId="4481" xr:uid="{00000000-0005-0000-0000-000009B60000}"/>
    <cellStyle name="Comma 5 2 2 3 4 2 2 2" xfId="20416" xr:uid="{00000000-0005-0000-0000-00000AB60000}"/>
    <cellStyle name="Comma 5 2 2 3 4 2 2 2 2" xfId="43694" xr:uid="{00000000-0005-0000-0000-00000BB60000}"/>
    <cellStyle name="Comma 5 2 2 3 4 2 2 3" xfId="48590" xr:uid="{00000000-0005-0000-0000-00000CB60000}"/>
    <cellStyle name="Comma 5 2 2 3 4 2 2 4" xfId="27760" xr:uid="{00000000-0005-0000-0000-00000DB60000}"/>
    <cellStyle name="Comma 5 2 2 3 4 2 3" xfId="6929" xr:uid="{00000000-0005-0000-0000-00000EB60000}"/>
    <cellStyle name="Comma 5 2 2 3 4 2 3 2" xfId="30208" xr:uid="{00000000-0005-0000-0000-00000FB60000}"/>
    <cellStyle name="Comma 5 2 2 3 4 2 4" xfId="9377" xr:uid="{00000000-0005-0000-0000-000010B60000}"/>
    <cellStyle name="Comma 5 2 2 3 4 2 4 2" xfId="32656" xr:uid="{00000000-0005-0000-0000-000011B60000}"/>
    <cellStyle name="Comma 5 2 2 3 4 2 5" xfId="11825" xr:uid="{00000000-0005-0000-0000-000012B60000}"/>
    <cellStyle name="Comma 5 2 2 3 4 2 5 2" xfId="35104" xr:uid="{00000000-0005-0000-0000-000013B60000}"/>
    <cellStyle name="Comma 5 2 2 3 4 2 6" xfId="14273" xr:uid="{00000000-0005-0000-0000-000014B60000}"/>
    <cellStyle name="Comma 5 2 2 3 4 2 6 2" xfId="37552" xr:uid="{00000000-0005-0000-0000-000015B60000}"/>
    <cellStyle name="Comma 5 2 2 3 4 2 7" xfId="17968" xr:uid="{00000000-0005-0000-0000-000016B60000}"/>
    <cellStyle name="Comma 5 2 2 3 4 2 7 2" xfId="41246" xr:uid="{00000000-0005-0000-0000-000017B60000}"/>
    <cellStyle name="Comma 5 2 2 3 4 2 8" xfId="25312" xr:uid="{00000000-0005-0000-0000-000018B60000}"/>
    <cellStyle name="Comma 5 2 2 3 4 2 9" xfId="46142" xr:uid="{00000000-0005-0000-0000-000019B60000}"/>
    <cellStyle name="Comma 5 2 2 3 4 3" xfId="3257" xr:uid="{00000000-0005-0000-0000-00001AB60000}"/>
    <cellStyle name="Comma 5 2 2 3 4 3 2" xfId="16744" xr:uid="{00000000-0005-0000-0000-00001BB60000}"/>
    <cellStyle name="Comma 5 2 2 3 4 3 2 2" xfId="40022" xr:uid="{00000000-0005-0000-0000-00001CB60000}"/>
    <cellStyle name="Comma 5 2 2 3 4 3 3" xfId="47366" xr:uid="{00000000-0005-0000-0000-00001DB60000}"/>
    <cellStyle name="Comma 5 2 2 3 4 3 4" xfId="26536" xr:uid="{00000000-0005-0000-0000-00001EB60000}"/>
    <cellStyle name="Comma 5 2 2 3 4 4" xfId="5705" xr:uid="{00000000-0005-0000-0000-00001FB60000}"/>
    <cellStyle name="Comma 5 2 2 3 4 4 2" xfId="19192" xr:uid="{00000000-0005-0000-0000-000020B60000}"/>
    <cellStyle name="Comma 5 2 2 3 4 4 2 2" xfId="42470" xr:uid="{00000000-0005-0000-0000-000021B60000}"/>
    <cellStyle name="Comma 5 2 2 3 4 4 3" xfId="28984" xr:uid="{00000000-0005-0000-0000-000022B60000}"/>
    <cellStyle name="Comma 5 2 2 3 4 5" xfId="8153" xr:uid="{00000000-0005-0000-0000-000023B60000}"/>
    <cellStyle name="Comma 5 2 2 3 4 5 2" xfId="31432" xr:uid="{00000000-0005-0000-0000-000024B60000}"/>
    <cellStyle name="Comma 5 2 2 3 4 6" xfId="10601" xr:uid="{00000000-0005-0000-0000-000025B60000}"/>
    <cellStyle name="Comma 5 2 2 3 4 6 2" xfId="33880" xr:uid="{00000000-0005-0000-0000-000026B60000}"/>
    <cellStyle name="Comma 5 2 2 3 4 7" xfId="13049" xr:uid="{00000000-0005-0000-0000-000027B60000}"/>
    <cellStyle name="Comma 5 2 2 3 4 7 2" xfId="36328" xr:uid="{00000000-0005-0000-0000-000028B60000}"/>
    <cellStyle name="Comma 5 2 2 3 4 8" xfId="15520" xr:uid="{00000000-0005-0000-0000-000029B60000}"/>
    <cellStyle name="Comma 5 2 2 3 4 8 2" xfId="38798" xr:uid="{00000000-0005-0000-0000-00002AB60000}"/>
    <cellStyle name="Comma 5 2 2 3 4 9" xfId="24088" xr:uid="{00000000-0005-0000-0000-00002BB60000}"/>
    <cellStyle name="Comma 5 2 2 3 5" xfId="1421" xr:uid="{00000000-0005-0000-0000-00002CB60000}"/>
    <cellStyle name="Comma 5 2 2 3 5 10" xfId="22252" xr:uid="{00000000-0005-0000-0000-00002DB60000}"/>
    <cellStyle name="Comma 5 2 2 3 5 2" xfId="3869" xr:uid="{00000000-0005-0000-0000-00002EB60000}"/>
    <cellStyle name="Comma 5 2 2 3 5 2 2" xfId="19804" xr:uid="{00000000-0005-0000-0000-00002FB60000}"/>
    <cellStyle name="Comma 5 2 2 3 5 2 2 2" xfId="43082" xr:uid="{00000000-0005-0000-0000-000030B60000}"/>
    <cellStyle name="Comma 5 2 2 3 5 2 3" xfId="47978" xr:uid="{00000000-0005-0000-0000-000031B60000}"/>
    <cellStyle name="Comma 5 2 2 3 5 2 4" xfId="27148" xr:uid="{00000000-0005-0000-0000-000032B60000}"/>
    <cellStyle name="Comma 5 2 2 3 5 3" xfId="6317" xr:uid="{00000000-0005-0000-0000-000033B60000}"/>
    <cellStyle name="Comma 5 2 2 3 5 3 2" xfId="29596" xr:uid="{00000000-0005-0000-0000-000034B60000}"/>
    <cellStyle name="Comma 5 2 2 3 5 4" xfId="8765" xr:uid="{00000000-0005-0000-0000-000035B60000}"/>
    <cellStyle name="Comma 5 2 2 3 5 4 2" xfId="32044" xr:uid="{00000000-0005-0000-0000-000036B60000}"/>
    <cellStyle name="Comma 5 2 2 3 5 5" xfId="11213" xr:uid="{00000000-0005-0000-0000-000037B60000}"/>
    <cellStyle name="Comma 5 2 2 3 5 5 2" xfId="34492" xr:uid="{00000000-0005-0000-0000-000038B60000}"/>
    <cellStyle name="Comma 5 2 2 3 5 6" xfId="13661" xr:uid="{00000000-0005-0000-0000-000039B60000}"/>
    <cellStyle name="Comma 5 2 2 3 5 6 2" xfId="36940" xr:uid="{00000000-0005-0000-0000-00003AB60000}"/>
    <cellStyle name="Comma 5 2 2 3 5 7" xfId="17356" xr:uid="{00000000-0005-0000-0000-00003BB60000}"/>
    <cellStyle name="Comma 5 2 2 3 5 7 2" xfId="40634" xr:uid="{00000000-0005-0000-0000-00003CB60000}"/>
    <cellStyle name="Comma 5 2 2 3 5 8" xfId="24700" xr:uid="{00000000-0005-0000-0000-00003DB60000}"/>
    <cellStyle name="Comma 5 2 2 3 5 9" xfId="45530" xr:uid="{00000000-0005-0000-0000-00003EB60000}"/>
    <cellStyle name="Comma 5 2 2 3 6" xfId="2645" xr:uid="{00000000-0005-0000-0000-00003FB60000}"/>
    <cellStyle name="Comma 5 2 2 3 6 2" xfId="16132" xr:uid="{00000000-0005-0000-0000-000040B60000}"/>
    <cellStyle name="Comma 5 2 2 3 6 2 2" xfId="39410" xr:uid="{00000000-0005-0000-0000-000041B60000}"/>
    <cellStyle name="Comma 5 2 2 3 6 3" xfId="46754" xr:uid="{00000000-0005-0000-0000-000042B60000}"/>
    <cellStyle name="Comma 5 2 2 3 6 4" xfId="25924" xr:uid="{00000000-0005-0000-0000-000043B60000}"/>
    <cellStyle name="Comma 5 2 2 3 7" xfId="5093" xr:uid="{00000000-0005-0000-0000-000044B60000}"/>
    <cellStyle name="Comma 5 2 2 3 7 2" xfId="18580" xr:uid="{00000000-0005-0000-0000-000045B60000}"/>
    <cellStyle name="Comma 5 2 2 3 7 2 2" xfId="41858" xr:uid="{00000000-0005-0000-0000-000046B60000}"/>
    <cellStyle name="Comma 5 2 2 3 7 3" xfId="28372" xr:uid="{00000000-0005-0000-0000-000047B60000}"/>
    <cellStyle name="Comma 5 2 2 3 8" xfId="7541" xr:uid="{00000000-0005-0000-0000-000048B60000}"/>
    <cellStyle name="Comma 5 2 2 3 8 2" xfId="30820" xr:uid="{00000000-0005-0000-0000-000049B60000}"/>
    <cellStyle name="Comma 5 2 2 3 9" xfId="9989" xr:uid="{00000000-0005-0000-0000-00004AB60000}"/>
    <cellStyle name="Comma 5 2 2 3 9 2" xfId="33268" xr:uid="{00000000-0005-0000-0000-00004BB60000}"/>
    <cellStyle name="Comma 5 2 2 4" xfId="265" xr:uid="{00000000-0005-0000-0000-00004CB60000}"/>
    <cellStyle name="Comma 5 2 2 4 10" xfId="23544" xr:uid="{00000000-0005-0000-0000-00004DB60000}"/>
    <cellStyle name="Comma 5 2 2 4 11" xfId="44374" xr:uid="{00000000-0005-0000-0000-00004EB60000}"/>
    <cellStyle name="Comma 5 2 2 4 12" xfId="21096" xr:uid="{00000000-0005-0000-0000-00004FB60000}"/>
    <cellStyle name="Comma 5 2 2 4 2" xfId="877" xr:uid="{00000000-0005-0000-0000-000050B60000}"/>
    <cellStyle name="Comma 5 2 2 4 2 10" xfId="44986" xr:uid="{00000000-0005-0000-0000-000051B60000}"/>
    <cellStyle name="Comma 5 2 2 4 2 11" xfId="21708" xr:uid="{00000000-0005-0000-0000-000052B60000}"/>
    <cellStyle name="Comma 5 2 2 4 2 2" xfId="2101" xr:uid="{00000000-0005-0000-0000-000053B60000}"/>
    <cellStyle name="Comma 5 2 2 4 2 2 10" xfId="22932" xr:uid="{00000000-0005-0000-0000-000054B60000}"/>
    <cellStyle name="Comma 5 2 2 4 2 2 2" xfId="4549" xr:uid="{00000000-0005-0000-0000-000055B60000}"/>
    <cellStyle name="Comma 5 2 2 4 2 2 2 2" xfId="20484" xr:uid="{00000000-0005-0000-0000-000056B60000}"/>
    <cellStyle name="Comma 5 2 2 4 2 2 2 2 2" xfId="43762" xr:uid="{00000000-0005-0000-0000-000057B60000}"/>
    <cellStyle name="Comma 5 2 2 4 2 2 2 3" xfId="48658" xr:uid="{00000000-0005-0000-0000-000058B60000}"/>
    <cellStyle name="Comma 5 2 2 4 2 2 2 4" xfId="27828" xr:uid="{00000000-0005-0000-0000-000059B60000}"/>
    <cellStyle name="Comma 5 2 2 4 2 2 3" xfId="6997" xr:uid="{00000000-0005-0000-0000-00005AB60000}"/>
    <cellStyle name="Comma 5 2 2 4 2 2 3 2" xfId="30276" xr:uid="{00000000-0005-0000-0000-00005BB60000}"/>
    <cellStyle name="Comma 5 2 2 4 2 2 4" xfId="9445" xr:uid="{00000000-0005-0000-0000-00005CB60000}"/>
    <cellStyle name="Comma 5 2 2 4 2 2 4 2" xfId="32724" xr:uid="{00000000-0005-0000-0000-00005DB60000}"/>
    <cellStyle name="Comma 5 2 2 4 2 2 5" xfId="11893" xr:uid="{00000000-0005-0000-0000-00005EB60000}"/>
    <cellStyle name="Comma 5 2 2 4 2 2 5 2" xfId="35172" xr:uid="{00000000-0005-0000-0000-00005FB60000}"/>
    <cellStyle name="Comma 5 2 2 4 2 2 6" xfId="14341" xr:uid="{00000000-0005-0000-0000-000060B60000}"/>
    <cellStyle name="Comma 5 2 2 4 2 2 6 2" xfId="37620" xr:uid="{00000000-0005-0000-0000-000061B60000}"/>
    <cellStyle name="Comma 5 2 2 4 2 2 7" xfId="18036" xr:uid="{00000000-0005-0000-0000-000062B60000}"/>
    <cellStyle name="Comma 5 2 2 4 2 2 7 2" xfId="41314" xr:uid="{00000000-0005-0000-0000-000063B60000}"/>
    <cellStyle name="Comma 5 2 2 4 2 2 8" xfId="25380" xr:uid="{00000000-0005-0000-0000-000064B60000}"/>
    <cellStyle name="Comma 5 2 2 4 2 2 9" xfId="46210" xr:uid="{00000000-0005-0000-0000-000065B60000}"/>
    <cellStyle name="Comma 5 2 2 4 2 3" xfId="3325" xr:uid="{00000000-0005-0000-0000-000066B60000}"/>
    <cellStyle name="Comma 5 2 2 4 2 3 2" xfId="16812" xr:uid="{00000000-0005-0000-0000-000067B60000}"/>
    <cellStyle name="Comma 5 2 2 4 2 3 2 2" xfId="40090" xr:uid="{00000000-0005-0000-0000-000068B60000}"/>
    <cellStyle name="Comma 5 2 2 4 2 3 3" xfId="47434" xr:uid="{00000000-0005-0000-0000-000069B60000}"/>
    <cellStyle name="Comma 5 2 2 4 2 3 4" xfId="26604" xr:uid="{00000000-0005-0000-0000-00006AB60000}"/>
    <cellStyle name="Comma 5 2 2 4 2 4" xfId="5773" xr:uid="{00000000-0005-0000-0000-00006BB60000}"/>
    <cellStyle name="Comma 5 2 2 4 2 4 2" xfId="19260" xr:uid="{00000000-0005-0000-0000-00006CB60000}"/>
    <cellStyle name="Comma 5 2 2 4 2 4 2 2" xfId="42538" xr:uid="{00000000-0005-0000-0000-00006DB60000}"/>
    <cellStyle name="Comma 5 2 2 4 2 4 3" xfId="29052" xr:uid="{00000000-0005-0000-0000-00006EB60000}"/>
    <cellStyle name="Comma 5 2 2 4 2 5" xfId="8221" xr:uid="{00000000-0005-0000-0000-00006FB60000}"/>
    <cellStyle name="Comma 5 2 2 4 2 5 2" xfId="31500" xr:uid="{00000000-0005-0000-0000-000070B60000}"/>
    <cellStyle name="Comma 5 2 2 4 2 6" xfId="10669" xr:uid="{00000000-0005-0000-0000-000071B60000}"/>
    <cellStyle name="Comma 5 2 2 4 2 6 2" xfId="33948" xr:uid="{00000000-0005-0000-0000-000072B60000}"/>
    <cellStyle name="Comma 5 2 2 4 2 7" xfId="13117" xr:uid="{00000000-0005-0000-0000-000073B60000}"/>
    <cellStyle name="Comma 5 2 2 4 2 7 2" xfId="36396" xr:uid="{00000000-0005-0000-0000-000074B60000}"/>
    <cellStyle name="Comma 5 2 2 4 2 8" xfId="15588" xr:uid="{00000000-0005-0000-0000-000075B60000}"/>
    <cellStyle name="Comma 5 2 2 4 2 8 2" xfId="38866" xr:uid="{00000000-0005-0000-0000-000076B60000}"/>
    <cellStyle name="Comma 5 2 2 4 2 9" xfId="24156" xr:uid="{00000000-0005-0000-0000-000077B60000}"/>
    <cellStyle name="Comma 5 2 2 4 3" xfId="1489" xr:uid="{00000000-0005-0000-0000-000078B60000}"/>
    <cellStyle name="Comma 5 2 2 4 3 10" xfId="22320" xr:uid="{00000000-0005-0000-0000-000079B60000}"/>
    <cellStyle name="Comma 5 2 2 4 3 2" xfId="3937" xr:uid="{00000000-0005-0000-0000-00007AB60000}"/>
    <cellStyle name="Comma 5 2 2 4 3 2 2" xfId="19872" xr:uid="{00000000-0005-0000-0000-00007BB60000}"/>
    <cellStyle name="Comma 5 2 2 4 3 2 2 2" xfId="43150" xr:uid="{00000000-0005-0000-0000-00007CB60000}"/>
    <cellStyle name="Comma 5 2 2 4 3 2 3" xfId="48046" xr:uid="{00000000-0005-0000-0000-00007DB60000}"/>
    <cellStyle name="Comma 5 2 2 4 3 2 4" xfId="27216" xr:uid="{00000000-0005-0000-0000-00007EB60000}"/>
    <cellStyle name="Comma 5 2 2 4 3 3" xfId="6385" xr:uid="{00000000-0005-0000-0000-00007FB60000}"/>
    <cellStyle name="Comma 5 2 2 4 3 3 2" xfId="29664" xr:uid="{00000000-0005-0000-0000-000080B60000}"/>
    <cellStyle name="Comma 5 2 2 4 3 4" xfId="8833" xr:uid="{00000000-0005-0000-0000-000081B60000}"/>
    <cellStyle name="Comma 5 2 2 4 3 4 2" xfId="32112" xr:uid="{00000000-0005-0000-0000-000082B60000}"/>
    <cellStyle name="Comma 5 2 2 4 3 5" xfId="11281" xr:uid="{00000000-0005-0000-0000-000083B60000}"/>
    <cellStyle name="Comma 5 2 2 4 3 5 2" xfId="34560" xr:uid="{00000000-0005-0000-0000-000084B60000}"/>
    <cellStyle name="Comma 5 2 2 4 3 6" xfId="13729" xr:uid="{00000000-0005-0000-0000-000085B60000}"/>
    <cellStyle name="Comma 5 2 2 4 3 6 2" xfId="37008" xr:uid="{00000000-0005-0000-0000-000086B60000}"/>
    <cellStyle name="Comma 5 2 2 4 3 7" xfId="17424" xr:uid="{00000000-0005-0000-0000-000087B60000}"/>
    <cellStyle name="Comma 5 2 2 4 3 7 2" xfId="40702" xr:uid="{00000000-0005-0000-0000-000088B60000}"/>
    <cellStyle name="Comma 5 2 2 4 3 8" xfId="24768" xr:uid="{00000000-0005-0000-0000-000089B60000}"/>
    <cellStyle name="Comma 5 2 2 4 3 9" xfId="45598" xr:uid="{00000000-0005-0000-0000-00008AB60000}"/>
    <cellStyle name="Comma 5 2 2 4 4" xfId="2713" xr:uid="{00000000-0005-0000-0000-00008BB60000}"/>
    <cellStyle name="Comma 5 2 2 4 4 2" xfId="16200" xr:uid="{00000000-0005-0000-0000-00008CB60000}"/>
    <cellStyle name="Comma 5 2 2 4 4 2 2" xfId="39478" xr:uid="{00000000-0005-0000-0000-00008DB60000}"/>
    <cellStyle name="Comma 5 2 2 4 4 3" xfId="46822" xr:uid="{00000000-0005-0000-0000-00008EB60000}"/>
    <cellStyle name="Comma 5 2 2 4 4 4" xfId="25992" xr:uid="{00000000-0005-0000-0000-00008FB60000}"/>
    <cellStyle name="Comma 5 2 2 4 5" xfId="5161" xr:uid="{00000000-0005-0000-0000-000090B60000}"/>
    <cellStyle name="Comma 5 2 2 4 5 2" xfId="18648" xr:uid="{00000000-0005-0000-0000-000091B60000}"/>
    <cellStyle name="Comma 5 2 2 4 5 2 2" xfId="41926" xr:uid="{00000000-0005-0000-0000-000092B60000}"/>
    <cellStyle name="Comma 5 2 2 4 5 3" xfId="28440" xr:uid="{00000000-0005-0000-0000-000093B60000}"/>
    <cellStyle name="Comma 5 2 2 4 6" xfId="7609" xr:uid="{00000000-0005-0000-0000-000094B60000}"/>
    <cellStyle name="Comma 5 2 2 4 6 2" xfId="30888" xr:uid="{00000000-0005-0000-0000-000095B60000}"/>
    <cellStyle name="Comma 5 2 2 4 7" xfId="10057" xr:uid="{00000000-0005-0000-0000-000096B60000}"/>
    <cellStyle name="Comma 5 2 2 4 7 2" xfId="33336" xr:uid="{00000000-0005-0000-0000-000097B60000}"/>
    <cellStyle name="Comma 5 2 2 4 8" xfId="12505" xr:uid="{00000000-0005-0000-0000-000098B60000}"/>
    <cellStyle name="Comma 5 2 2 4 8 2" xfId="35784" xr:uid="{00000000-0005-0000-0000-000099B60000}"/>
    <cellStyle name="Comma 5 2 2 4 9" xfId="14976" xr:uid="{00000000-0005-0000-0000-00009AB60000}"/>
    <cellStyle name="Comma 5 2 2 4 9 2" xfId="38254" xr:uid="{00000000-0005-0000-0000-00009BB60000}"/>
    <cellStyle name="Comma 5 2 2 5" xfId="469" xr:uid="{00000000-0005-0000-0000-00009CB60000}"/>
    <cellStyle name="Comma 5 2 2 5 10" xfId="23748" xr:uid="{00000000-0005-0000-0000-00009DB60000}"/>
    <cellStyle name="Comma 5 2 2 5 11" xfId="44578" xr:uid="{00000000-0005-0000-0000-00009EB60000}"/>
    <cellStyle name="Comma 5 2 2 5 12" xfId="21300" xr:uid="{00000000-0005-0000-0000-00009FB60000}"/>
    <cellStyle name="Comma 5 2 2 5 2" xfId="1081" xr:uid="{00000000-0005-0000-0000-0000A0B60000}"/>
    <cellStyle name="Comma 5 2 2 5 2 10" xfId="45190" xr:uid="{00000000-0005-0000-0000-0000A1B60000}"/>
    <cellStyle name="Comma 5 2 2 5 2 11" xfId="21912" xr:uid="{00000000-0005-0000-0000-0000A2B60000}"/>
    <cellStyle name="Comma 5 2 2 5 2 2" xfId="2305" xr:uid="{00000000-0005-0000-0000-0000A3B60000}"/>
    <cellStyle name="Comma 5 2 2 5 2 2 10" xfId="23136" xr:uid="{00000000-0005-0000-0000-0000A4B60000}"/>
    <cellStyle name="Comma 5 2 2 5 2 2 2" xfId="4753" xr:uid="{00000000-0005-0000-0000-0000A5B60000}"/>
    <cellStyle name="Comma 5 2 2 5 2 2 2 2" xfId="20688" xr:uid="{00000000-0005-0000-0000-0000A6B60000}"/>
    <cellStyle name="Comma 5 2 2 5 2 2 2 2 2" xfId="43966" xr:uid="{00000000-0005-0000-0000-0000A7B60000}"/>
    <cellStyle name="Comma 5 2 2 5 2 2 2 3" xfId="48862" xr:uid="{00000000-0005-0000-0000-0000A8B60000}"/>
    <cellStyle name="Comma 5 2 2 5 2 2 2 4" xfId="28032" xr:uid="{00000000-0005-0000-0000-0000A9B60000}"/>
    <cellStyle name="Comma 5 2 2 5 2 2 3" xfId="7201" xr:uid="{00000000-0005-0000-0000-0000AAB60000}"/>
    <cellStyle name="Comma 5 2 2 5 2 2 3 2" xfId="30480" xr:uid="{00000000-0005-0000-0000-0000ABB60000}"/>
    <cellStyle name="Comma 5 2 2 5 2 2 4" xfId="9649" xr:uid="{00000000-0005-0000-0000-0000ACB60000}"/>
    <cellStyle name="Comma 5 2 2 5 2 2 4 2" xfId="32928" xr:uid="{00000000-0005-0000-0000-0000ADB60000}"/>
    <cellStyle name="Comma 5 2 2 5 2 2 5" xfId="12097" xr:uid="{00000000-0005-0000-0000-0000AEB60000}"/>
    <cellStyle name="Comma 5 2 2 5 2 2 5 2" xfId="35376" xr:uid="{00000000-0005-0000-0000-0000AFB60000}"/>
    <cellStyle name="Comma 5 2 2 5 2 2 6" xfId="14545" xr:uid="{00000000-0005-0000-0000-0000B0B60000}"/>
    <cellStyle name="Comma 5 2 2 5 2 2 6 2" xfId="37824" xr:uid="{00000000-0005-0000-0000-0000B1B60000}"/>
    <cellStyle name="Comma 5 2 2 5 2 2 7" xfId="18240" xr:uid="{00000000-0005-0000-0000-0000B2B60000}"/>
    <cellStyle name="Comma 5 2 2 5 2 2 7 2" xfId="41518" xr:uid="{00000000-0005-0000-0000-0000B3B60000}"/>
    <cellStyle name="Comma 5 2 2 5 2 2 8" xfId="25584" xr:uid="{00000000-0005-0000-0000-0000B4B60000}"/>
    <cellStyle name="Comma 5 2 2 5 2 2 9" xfId="46414" xr:uid="{00000000-0005-0000-0000-0000B5B60000}"/>
    <cellStyle name="Comma 5 2 2 5 2 3" xfId="3529" xr:uid="{00000000-0005-0000-0000-0000B6B60000}"/>
    <cellStyle name="Comma 5 2 2 5 2 3 2" xfId="17016" xr:uid="{00000000-0005-0000-0000-0000B7B60000}"/>
    <cellStyle name="Comma 5 2 2 5 2 3 2 2" xfId="40294" xr:uid="{00000000-0005-0000-0000-0000B8B60000}"/>
    <cellStyle name="Comma 5 2 2 5 2 3 3" xfId="47638" xr:uid="{00000000-0005-0000-0000-0000B9B60000}"/>
    <cellStyle name="Comma 5 2 2 5 2 3 4" xfId="26808" xr:uid="{00000000-0005-0000-0000-0000BAB60000}"/>
    <cellStyle name="Comma 5 2 2 5 2 4" xfId="5977" xr:uid="{00000000-0005-0000-0000-0000BBB60000}"/>
    <cellStyle name="Comma 5 2 2 5 2 4 2" xfId="19464" xr:uid="{00000000-0005-0000-0000-0000BCB60000}"/>
    <cellStyle name="Comma 5 2 2 5 2 4 2 2" xfId="42742" xr:uid="{00000000-0005-0000-0000-0000BDB60000}"/>
    <cellStyle name="Comma 5 2 2 5 2 4 3" xfId="29256" xr:uid="{00000000-0005-0000-0000-0000BEB60000}"/>
    <cellStyle name="Comma 5 2 2 5 2 5" xfId="8425" xr:uid="{00000000-0005-0000-0000-0000BFB60000}"/>
    <cellStyle name="Comma 5 2 2 5 2 5 2" xfId="31704" xr:uid="{00000000-0005-0000-0000-0000C0B60000}"/>
    <cellStyle name="Comma 5 2 2 5 2 6" xfId="10873" xr:uid="{00000000-0005-0000-0000-0000C1B60000}"/>
    <cellStyle name="Comma 5 2 2 5 2 6 2" xfId="34152" xr:uid="{00000000-0005-0000-0000-0000C2B60000}"/>
    <cellStyle name="Comma 5 2 2 5 2 7" xfId="13321" xr:uid="{00000000-0005-0000-0000-0000C3B60000}"/>
    <cellStyle name="Comma 5 2 2 5 2 7 2" xfId="36600" xr:uid="{00000000-0005-0000-0000-0000C4B60000}"/>
    <cellStyle name="Comma 5 2 2 5 2 8" xfId="15792" xr:uid="{00000000-0005-0000-0000-0000C5B60000}"/>
    <cellStyle name="Comma 5 2 2 5 2 8 2" xfId="39070" xr:uid="{00000000-0005-0000-0000-0000C6B60000}"/>
    <cellStyle name="Comma 5 2 2 5 2 9" xfId="24360" xr:uid="{00000000-0005-0000-0000-0000C7B60000}"/>
    <cellStyle name="Comma 5 2 2 5 3" xfId="1693" xr:uid="{00000000-0005-0000-0000-0000C8B60000}"/>
    <cellStyle name="Comma 5 2 2 5 3 10" xfId="22524" xr:uid="{00000000-0005-0000-0000-0000C9B60000}"/>
    <cellStyle name="Comma 5 2 2 5 3 2" xfId="4141" xr:uid="{00000000-0005-0000-0000-0000CAB60000}"/>
    <cellStyle name="Comma 5 2 2 5 3 2 2" xfId="20076" xr:uid="{00000000-0005-0000-0000-0000CBB60000}"/>
    <cellStyle name="Comma 5 2 2 5 3 2 2 2" xfId="43354" xr:uid="{00000000-0005-0000-0000-0000CCB60000}"/>
    <cellStyle name="Comma 5 2 2 5 3 2 3" xfId="48250" xr:uid="{00000000-0005-0000-0000-0000CDB60000}"/>
    <cellStyle name="Comma 5 2 2 5 3 2 4" xfId="27420" xr:uid="{00000000-0005-0000-0000-0000CEB60000}"/>
    <cellStyle name="Comma 5 2 2 5 3 3" xfId="6589" xr:uid="{00000000-0005-0000-0000-0000CFB60000}"/>
    <cellStyle name="Comma 5 2 2 5 3 3 2" xfId="29868" xr:uid="{00000000-0005-0000-0000-0000D0B60000}"/>
    <cellStyle name="Comma 5 2 2 5 3 4" xfId="9037" xr:uid="{00000000-0005-0000-0000-0000D1B60000}"/>
    <cellStyle name="Comma 5 2 2 5 3 4 2" xfId="32316" xr:uid="{00000000-0005-0000-0000-0000D2B60000}"/>
    <cellStyle name="Comma 5 2 2 5 3 5" xfId="11485" xr:uid="{00000000-0005-0000-0000-0000D3B60000}"/>
    <cellStyle name="Comma 5 2 2 5 3 5 2" xfId="34764" xr:uid="{00000000-0005-0000-0000-0000D4B60000}"/>
    <cellStyle name="Comma 5 2 2 5 3 6" xfId="13933" xr:uid="{00000000-0005-0000-0000-0000D5B60000}"/>
    <cellStyle name="Comma 5 2 2 5 3 6 2" xfId="37212" xr:uid="{00000000-0005-0000-0000-0000D6B60000}"/>
    <cellStyle name="Comma 5 2 2 5 3 7" xfId="17628" xr:uid="{00000000-0005-0000-0000-0000D7B60000}"/>
    <cellStyle name="Comma 5 2 2 5 3 7 2" xfId="40906" xr:uid="{00000000-0005-0000-0000-0000D8B60000}"/>
    <cellStyle name="Comma 5 2 2 5 3 8" xfId="24972" xr:uid="{00000000-0005-0000-0000-0000D9B60000}"/>
    <cellStyle name="Comma 5 2 2 5 3 9" xfId="45802" xr:uid="{00000000-0005-0000-0000-0000DAB60000}"/>
    <cellStyle name="Comma 5 2 2 5 4" xfId="2917" xr:uid="{00000000-0005-0000-0000-0000DBB60000}"/>
    <cellStyle name="Comma 5 2 2 5 4 2" xfId="16404" xr:uid="{00000000-0005-0000-0000-0000DCB60000}"/>
    <cellStyle name="Comma 5 2 2 5 4 2 2" xfId="39682" xr:uid="{00000000-0005-0000-0000-0000DDB60000}"/>
    <cellStyle name="Comma 5 2 2 5 4 3" xfId="47026" xr:uid="{00000000-0005-0000-0000-0000DEB60000}"/>
    <cellStyle name="Comma 5 2 2 5 4 4" xfId="26196" xr:uid="{00000000-0005-0000-0000-0000DFB60000}"/>
    <cellStyle name="Comma 5 2 2 5 5" xfId="5365" xr:uid="{00000000-0005-0000-0000-0000E0B60000}"/>
    <cellStyle name="Comma 5 2 2 5 5 2" xfId="18852" xr:uid="{00000000-0005-0000-0000-0000E1B60000}"/>
    <cellStyle name="Comma 5 2 2 5 5 2 2" xfId="42130" xr:uid="{00000000-0005-0000-0000-0000E2B60000}"/>
    <cellStyle name="Comma 5 2 2 5 5 3" xfId="28644" xr:uid="{00000000-0005-0000-0000-0000E3B60000}"/>
    <cellStyle name="Comma 5 2 2 5 6" xfId="7813" xr:uid="{00000000-0005-0000-0000-0000E4B60000}"/>
    <cellStyle name="Comma 5 2 2 5 6 2" xfId="31092" xr:uid="{00000000-0005-0000-0000-0000E5B60000}"/>
    <cellStyle name="Comma 5 2 2 5 7" xfId="10261" xr:uid="{00000000-0005-0000-0000-0000E6B60000}"/>
    <cellStyle name="Comma 5 2 2 5 7 2" xfId="33540" xr:uid="{00000000-0005-0000-0000-0000E7B60000}"/>
    <cellStyle name="Comma 5 2 2 5 8" xfId="12709" xr:uid="{00000000-0005-0000-0000-0000E8B60000}"/>
    <cellStyle name="Comma 5 2 2 5 8 2" xfId="35988" xr:uid="{00000000-0005-0000-0000-0000E9B60000}"/>
    <cellStyle name="Comma 5 2 2 5 9" xfId="15180" xr:uid="{00000000-0005-0000-0000-0000EAB60000}"/>
    <cellStyle name="Comma 5 2 2 5 9 2" xfId="38458" xr:uid="{00000000-0005-0000-0000-0000EBB60000}"/>
    <cellStyle name="Comma 5 2 2 6" xfId="673" xr:uid="{00000000-0005-0000-0000-0000ECB60000}"/>
    <cellStyle name="Comma 5 2 2 6 10" xfId="44782" xr:uid="{00000000-0005-0000-0000-0000EDB60000}"/>
    <cellStyle name="Comma 5 2 2 6 11" xfId="21504" xr:uid="{00000000-0005-0000-0000-0000EEB60000}"/>
    <cellStyle name="Comma 5 2 2 6 2" xfId="1897" xr:uid="{00000000-0005-0000-0000-0000EFB60000}"/>
    <cellStyle name="Comma 5 2 2 6 2 10" xfId="22728" xr:uid="{00000000-0005-0000-0000-0000F0B60000}"/>
    <cellStyle name="Comma 5 2 2 6 2 2" xfId="4345" xr:uid="{00000000-0005-0000-0000-0000F1B60000}"/>
    <cellStyle name="Comma 5 2 2 6 2 2 2" xfId="20280" xr:uid="{00000000-0005-0000-0000-0000F2B60000}"/>
    <cellStyle name="Comma 5 2 2 6 2 2 2 2" xfId="43558" xr:uid="{00000000-0005-0000-0000-0000F3B60000}"/>
    <cellStyle name="Comma 5 2 2 6 2 2 3" xfId="48454" xr:uid="{00000000-0005-0000-0000-0000F4B60000}"/>
    <cellStyle name="Comma 5 2 2 6 2 2 4" xfId="27624" xr:uid="{00000000-0005-0000-0000-0000F5B60000}"/>
    <cellStyle name="Comma 5 2 2 6 2 3" xfId="6793" xr:uid="{00000000-0005-0000-0000-0000F6B60000}"/>
    <cellStyle name="Comma 5 2 2 6 2 3 2" xfId="30072" xr:uid="{00000000-0005-0000-0000-0000F7B60000}"/>
    <cellStyle name="Comma 5 2 2 6 2 4" xfId="9241" xr:uid="{00000000-0005-0000-0000-0000F8B60000}"/>
    <cellStyle name="Comma 5 2 2 6 2 4 2" xfId="32520" xr:uid="{00000000-0005-0000-0000-0000F9B60000}"/>
    <cellStyle name="Comma 5 2 2 6 2 5" xfId="11689" xr:uid="{00000000-0005-0000-0000-0000FAB60000}"/>
    <cellStyle name="Comma 5 2 2 6 2 5 2" xfId="34968" xr:uid="{00000000-0005-0000-0000-0000FBB60000}"/>
    <cellStyle name="Comma 5 2 2 6 2 6" xfId="14137" xr:uid="{00000000-0005-0000-0000-0000FCB60000}"/>
    <cellStyle name="Comma 5 2 2 6 2 6 2" xfId="37416" xr:uid="{00000000-0005-0000-0000-0000FDB60000}"/>
    <cellStyle name="Comma 5 2 2 6 2 7" xfId="17832" xr:uid="{00000000-0005-0000-0000-0000FEB60000}"/>
    <cellStyle name="Comma 5 2 2 6 2 7 2" xfId="41110" xr:uid="{00000000-0005-0000-0000-0000FFB60000}"/>
    <cellStyle name="Comma 5 2 2 6 2 8" xfId="25176" xr:uid="{00000000-0005-0000-0000-000000B70000}"/>
    <cellStyle name="Comma 5 2 2 6 2 9" xfId="46006" xr:uid="{00000000-0005-0000-0000-000001B70000}"/>
    <cellStyle name="Comma 5 2 2 6 3" xfId="3121" xr:uid="{00000000-0005-0000-0000-000002B70000}"/>
    <cellStyle name="Comma 5 2 2 6 3 2" xfId="16608" xr:uid="{00000000-0005-0000-0000-000003B70000}"/>
    <cellStyle name="Comma 5 2 2 6 3 2 2" xfId="39886" xr:uid="{00000000-0005-0000-0000-000004B70000}"/>
    <cellStyle name="Comma 5 2 2 6 3 3" xfId="47230" xr:uid="{00000000-0005-0000-0000-000005B70000}"/>
    <cellStyle name="Comma 5 2 2 6 3 4" xfId="26400" xr:uid="{00000000-0005-0000-0000-000006B70000}"/>
    <cellStyle name="Comma 5 2 2 6 4" xfId="5569" xr:uid="{00000000-0005-0000-0000-000007B70000}"/>
    <cellStyle name="Comma 5 2 2 6 4 2" xfId="19056" xr:uid="{00000000-0005-0000-0000-000008B70000}"/>
    <cellStyle name="Comma 5 2 2 6 4 2 2" xfId="42334" xr:uid="{00000000-0005-0000-0000-000009B70000}"/>
    <cellStyle name="Comma 5 2 2 6 4 3" xfId="28848" xr:uid="{00000000-0005-0000-0000-00000AB70000}"/>
    <cellStyle name="Comma 5 2 2 6 5" xfId="8017" xr:uid="{00000000-0005-0000-0000-00000BB70000}"/>
    <cellStyle name="Comma 5 2 2 6 5 2" xfId="31296" xr:uid="{00000000-0005-0000-0000-00000CB70000}"/>
    <cellStyle name="Comma 5 2 2 6 6" xfId="10465" xr:uid="{00000000-0005-0000-0000-00000DB70000}"/>
    <cellStyle name="Comma 5 2 2 6 6 2" xfId="33744" xr:uid="{00000000-0005-0000-0000-00000EB70000}"/>
    <cellStyle name="Comma 5 2 2 6 7" xfId="12913" xr:uid="{00000000-0005-0000-0000-00000FB70000}"/>
    <cellStyle name="Comma 5 2 2 6 7 2" xfId="36192" xr:uid="{00000000-0005-0000-0000-000010B70000}"/>
    <cellStyle name="Comma 5 2 2 6 8" xfId="15384" xr:uid="{00000000-0005-0000-0000-000011B70000}"/>
    <cellStyle name="Comma 5 2 2 6 8 2" xfId="38662" xr:uid="{00000000-0005-0000-0000-000012B70000}"/>
    <cellStyle name="Comma 5 2 2 6 9" xfId="23952" xr:uid="{00000000-0005-0000-0000-000013B70000}"/>
    <cellStyle name="Comma 5 2 2 7" xfId="1285" xr:uid="{00000000-0005-0000-0000-000014B70000}"/>
    <cellStyle name="Comma 5 2 2 7 10" xfId="22116" xr:uid="{00000000-0005-0000-0000-000015B70000}"/>
    <cellStyle name="Comma 5 2 2 7 2" xfId="3733" xr:uid="{00000000-0005-0000-0000-000016B70000}"/>
    <cellStyle name="Comma 5 2 2 7 2 2" xfId="19668" xr:uid="{00000000-0005-0000-0000-000017B70000}"/>
    <cellStyle name="Comma 5 2 2 7 2 2 2" xfId="42946" xr:uid="{00000000-0005-0000-0000-000018B70000}"/>
    <cellStyle name="Comma 5 2 2 7 2 3" xfId="47842" xr:uid="{00000000-0005-0000-0000-000019B70000}"/>
    <cellStyle name="Comma 5 2 2 7 2 4" xfId="27012" xr:uid="{00000000-0005-0000-0000-00001AB70000}"/>
    <cellStyle name="Comma 5 2 2 7 3" xfId="6181" xr:uid="{00000000-0005-0000-0000-00001BB70000}"/>
    <cellStyle name="Comma 5 2 2 7 3 2" xfId="29460" xr:uid="{00000000-0005-0000-0000-00001CB70000}"/>
    <cellStyle name="Comma 5 2 2 7 4" xfId="8629" xr:uid="{00000000-0005-0000-0000-00001DB70000}"/>
    <cellStyle name="Comma 5 2 2 7 4 2" xfId="31908" xr:uid="{00000000-0005-0000-0000-00001EB70000}"/>
    <cellStyle name="Comma 5 2 2 7 5" xfId="11077" xr:uid="{00000000-0005-0000-0000-00001FB70000}"/>
    <cellStyle name="Comma 5 2 2 7 5 2" xfId="34356" xr:uid="{00000000-0005-0000-0000-000020B70000}"/>
    <cellStyle name="Comma 5 2 2 7 6" xfId="13525" xr:uid="{00000000-0005-0000-0000-000021B70000}"/>
    <cellStyle name="Comma 5 2 2 7 6 2" xfId="36804" xr:uid="{00000000-0005-0000-0000-000022B70000}"/>
    <cellStyle name="Comma 5 2 2 7 7" xfId="17220" xr:uid="{00000000-0005-0000-0000-000023B70000}"/>
    <cellStyle name="Comma 5 2 2 7 7 2" xfId="40498" xr:uid="{00000000-0005-0000-0000-000024B70000}"/>
    <cellStyle name="Comma 5 2 2 7 8" xfId="24564" xr:uid="{00000000-0005-0000-0000-000025B70000}"/>
    <cellStyle name="Comma 5 2 2 7 9" xfId="45394" xr:uid="{00000000-0005-0000-0000-000026B70000}"/>
    <cellStyle name="Comma 5 2 2 8" xfId="2509" xr:uid="{00000000-0005-0000-0000-000027B70000}"/>
    <cellStyle name="Comma 5 2 2 8 2" xfId="15996" xr:uid="{00000000-0005-0000-0000-000028B70000}"/>
    <cellStyle name="Comma 5 2 2 8 2 2" xfId="39274" xr:uid="{00000000-0005-0000-0000-000029B70000}"/>
    <cellStyle name="Comma 5 2 2 8 3" xfId="46618" xr:uid="{00000000-0005-0000-0000-00002AB70000}"/>
    <cellStyle name="Comma 5 2 2 8 4" xfId="25788" xr:uid="{00000000-0005-0000-0000-00002BB70000}"/>
    <cellStyle name="Comma 5 2 2 9" xfId="4957" xr:uid="{00000000-0005-0000-0000-00002CB70000}"/>
    <cellStyle name="Comma 5 2 2 9 2" xfId="18444" xr:uid="{00000000-0005-0000-0000-00002DB70000}"/>
    <cellStyle name="Comma 5 2 2 9 2 2" xfId="41722" xr:uid="{00000000-0005-0000-0000-00002EB70000}"/>
    <cellStyle name="Comma 5 2 2 9 3" xfId="28236" xr:uid="{00000000-0005-0000-0000-00002FB70000}"/>
    <cellStyle name="Comma 5 2 3" xfId="78" xr:uid="{00000000-0005-0000-0000-000030B70000}"/>
    <cellStyle name="Comma 5 2 3 10" xfId="7422" xr:uid="{00000000-0005-0000-0000-000031B70000}"/>
    <cellStyle name="Comma 5 2 3 10 2" xfId="30701" xr:uid="{00000000-0005-0000-0000-000032B70000}"/>
    <cellStyle name="Comma 5 2 3 11" xfId="9870" xr:uid="{00000000-0005-0000-0000-000033B70000}"/>
    <cellStyle name="Comma 5 2 3 11 2" xfId="33149" xr:uid="{00000000-0005-0000-0000-000034B70000}"/>
    <cellStyle name="Comma 5 2 3 12" xfId="12318" xr:uid="{00000000-0005-0000-0000-000035B70000}"/>
    <cellStyle name="Comma 5 2 3 12 2" xfId="35597" xr:uid="{00000000-0005-0000-0000-000036B70000}"/>
    <cellStyle name="Comma 5 2 3 13" xfId="14789" xr:uid="{00000000-0005-0000-0000-000037B70000}"/>
    <cellStyle name="Comma 5 2 3 13 2" xfId="38067" xr:uid="{00000000-0005-0000-0000-000038B70000}"/>
    <cellStyle name="Comma 5 2 3 14" xfId="23357" xr:uid="{00000000-0005-0000-0000-000039B70000}"/>
    <cellStyle name="Comma 5 2 3 15" xfId="44187" xr:uid="{00000000-0005-0000-0000-00003AB70000}"/>
    <cellStyle name="Comma 5 2 3 16" xfId="20909" xr:uid="{00000000-0005-0000-0000-00003BB70000}"/>
    <cellStyle name="Comma 5 2 3 2" xfId="146" xr:uid="{00000000-0005-0000-0000-00003CB70000}"/>
    <cellStyle name="Comma 5 2 3 2 10" xfId="12386" xr:uid="{00000000-0005-0000-0000-00003DB70000}"/>
    <cellStyle name="Comma 5 2 3 2 10 2" xfId="35665" xr:uid="{00000000-0005-0000-0000-00003EB70000}"/>
    <cellStyle name="Comma 5 2 3 2 11" xfId="14857" xr:uid="{00000000-0005-0000-0000-00003FB70000}"/>
    <cellStyle name="Comma 5 2 3 2 11 2" xfId="38135" xr:uid="{00000000-0005-0000-0000-000040B70000}"/>
    <cellStyle name="Comma 5 2 3 2 12" xfId="23425" xr:uid="{00000000-0005-0000-0000-000041B70000}"/>
    <cellStyle name="Comma 5 2 3 2 13" xfId="44255" xr:uid="{00000000-0005-0000-0000-000042B70000}"/>
    <cellStyle name="Comma 5 2 3 2 14" xfId="20977" xr:uid="{00000000-0005-0000-0000-000043B70000}"/>
    <cellStyle name="Comma 5 2 3 2 2" xfId="350" xr:uid="{00000000-0005-0000-0000-000044B70000}"/>
    <cellStyle name="Comma 5 2 3 2 2 10" xfId="23629" xr:uid="{00000000-0005-0000-0000-000045B70000}"/>
    <cellStyle name="Comma 5 2 3 2 2 11" xfId="44459" xr:uid="{00000000-0005-0000-0000-000046B70000}"/>
    <cellStyle name="Comma 5 2 3 2 2 12" xfId="21181" xr:uid="{00000000-0005-0000-0000-000047B70000}"/>
    <cellStyle name="Comma 5 2 3 2 2 2" xfId="962" xr:uid="{00000000-0005-0000-0000-000048B70000}"/>
    <cellStyle name="Comma 5 2 3 2 2 2 10" xfId="45071" xr:uid="{00000000-0005-0000-0000-000049B70000}"/>
    <cellStyle name="Comma 5 2 3 2 2 2 11" xfId="21793" xr:uid="{00000000-0005-0000-0000-00004AB70000}"/>
    <cellStyle name="Comma 5 2 3 2 2 2 2" xfId="2186" xr:uid="{00000000-0005-0000-0000-00004BB70000}"/>
    <cellStyle name="Comma 5 2 3 2 2 2 2 10" xfId="23017" xr:uid="{00000000-0005-0000-0000-00004CB70000}"/>
    <cellStyle name="Comma 5 2 3 2 2 2 2 2" xfId="4634" xr:uid="{00000000-0005-0000-0000-00004DB70000}"/>
    <cellStyle name="Comma 5 2 3 2 2 2 2 2 2" xfId="20569" xr:uid="{00000000-0005-0000-0000-00004EB70000}"/>
    <cellStyle name="Comma 5 2 3 2 2 2 2 2 2 2" xfId="43847" xr:uid="{00000000-0005-0000-0000-00004FB70000}"/>
    <cellStyle name="Comma 5 2 3 2 2 2 2 2 3" xfId="48743" xr:uid="{00000000-0005-0000-0000-000050B70000}"/>
    <cellStyle name="Comma 5 2 3 2 2 2 2 2 4" xfId="27913" xr:uid="{00000000-0005-0000-0000-000051B70000}"/>
    <cellStyle name="Comma 5 2 3 2 2 2 2 3" xfId="7082" xr:uid="{00000000-0005-0000-0000-000052B70000}"/>
    <cellStyle name="Comma 5 2 3 2 2 2 2 3 2" xfId="30361" xr:uid="{00000000-0005-0000-0000-000053B70000}"/>
    <cellStyle name="Comma 5 2 3 2 2 2 2 4" xfId="9530" xr:uid="{00000000-0005-0000-0000-000054B70000}"/>
    <cellStyle name="Comma 5 2 3 2 2 2 2 4 2" xfId="32809" xr:uid="{00000000-0005-0000-0000-000055B70000}"/>
    <cellStyle name="Comma 5 2 3 2 2 2 2 5" xfId="11978" xr:uid="{00000000-0005-0000-0000-000056B70000}"/>
    <cellStyle name="Comma 5 2 3 2 2 2 2 5 2" xfId="35257" xr:uid="{00000000-0005-0000-0000-000057B70000}"/>
    <cellStyle name="Comma 5 2 3 2 2 2 2 6" xfId="14426" xr:uid="{00000000-0005-0000-0000-000058B70000}"/>
    <cellStyle name="Comma 5 2 3 2 2 2 2 6 2" xfId="37705" xr:uid="{00000000-0005-0000-0000-000059B70000}"/>
    <cellStyle name="Comma 5 2 3 2 2 2 2 7" xfId="18121" xr:uid="{00000000-0005-0000-0000-00005AB70000}"/>
    <cellStyle name="Comma 5 2 3 2 2 2 2 7 2" xfId="41399" xr:uid="{00000000-0005-0000-0000-00005BB70000}"/>
    <cellStyle name="Comma 5 2 3 2 2 2 2 8" xfId="25465" xr:uid="{00000000-0005-0000-0000-00005CB70000}"/>
    <cellStyle name="Comma 5 2 3 2 2 2 2 9" xfId="46295" xr:uid="{00000000-0005-0000-0000-00005DB70000}"/>
    <cellStyle name="Comma 5 2 3 2 2 2 3" xfId="3410" xr:uid="{00000000-0005-0000-0000-00005EB70000}"/>
    <cellStyle name="Comma 5 2 3 2 2 2 3 2" xfId="16897" xr:uid="{00000000-0005-0000-0000-00005FB70000}"/>
    <cellStyle name="Comma 5 2 3 2 2 2 3 2 2" xfId="40175" xr:uid="{00000000-0005-0000-0000-000060B70000}"/>
    <cellStyle name="Comma 5 2 3 2 2 2 3 3" xfId="47519" xr:uid="{00000000-0005-0000-0000-000061B70000}"/>
    <cellStyle name="Comma 5 2 3 2 2 2 3 4" xfId="26689" xr:uid="{00000000-0005-0000-0000-000062B70000}"/>
    <cellStyle name="Comma 5 2 3 2 2 2 4" xfId="5858" xr:uid="{00000000-0005-0000-0000-000063B70000}"/>
    <cellStyle name="Comma 5 2 3 2 2 2 4 2" xfId="19345" xr:uid="{00000000-0005-0000-0000-000064B70000}"/>
    <cellStyle name="Comma 5 2 3 2 2 2 4 2 2" xfId="42623" xr:uid="{00000000-0005-0000-0000-000065B70000}"/>
    <cellStyle name="Comma 5 2 3 2 2 2 4 3" xfId="29137" xr:uid="{00000000-0005-0000-0000-000066B70000}"/>
    <cellStyle name="Comma 5 2 3 2 2 2 5" xfId="8306" xr:uid="{00000000-0005-0000-0000-000067B70000}"/>
    <cellStyle name="Comma 5 2 3 2 2 2 5 2" xfId="31585" xr:uid="{00000000-0005-0000-0000-000068B70000}"/>
    <cellStyle name="Comma 5 2 3 2 2 2 6" xfId="10754" xr:uid="{00000000-0005-0000-0000-000069B70000}"/>
    <cellStyle name="Comma 5 2 3 2 2 2 6 2" xfId="34033" xr:uid="{00000000-0005-0000-0000-00006AB70000}"/>
    <cellStyle name="Comma 5 2 3 2 2 2 7" xfId="13202" xr:uid="{00000000-0005-0000-0000-00006BB70000}"/>
    <cellStyle name="Comma 5 2 3 2 2 2 7 2" xfId="36481" xr:uid="{00000000-0005-0000-0000-00006CB70000}"/>
    <cellStyle name="Comma 5 2 3 2 2 2 8" xfId="15673" xr:uid="{00000000-0005-0000-0000-00006DB70000}"/>
    <cellStyle name="Comma 5 2 3 2 2 2 8 2" xfId="38951" xr:uid="{00000000-0005-0000-0000-00006EB70000}"/>
    <cellStyle name="Comma 5 2 3 2 2 2 9" xfId="24241" xr:uid="{00000000-0005-0000-0000-00006FB70000}"/>
    <cellStyle name="Comma 5 2 3 2 2 3" xfId="1574" xr:uid="{00000000-0005-0000-0000-000070B70000}"/>
    <cellStyle name="Comma 5 2 3 2 2 3 10" xfId="22405" xr:uid="{00000000-0005-0000-0000-000071B70000}"/>
    <cellStyle name="Comma 5 2 3 2 2 3 2" xfId="4022" xr:uid="{00000000-0005-0000-0000-000072B70000}"/>
    <cellStyle name="Comma 5 2 3 2 2 3 2 2" xfId="19957" xr:uid="{00000000-0005-0000-0000-000073B70000}"/>
    <cellStyle name="Comma 5 2 3 2 2 3 2 2 2" xfId="43235" xr:uid="{00000000-0005-0000-0000-000074B70000}"/>
    <cellStyle name="Comma 5 2 3 2 2 3 2 3" xfId="48131" xr:uid="{00000000-0005-0000-0000-000075B70000}"/>
    <cellStyle name="Comma 5 2 3 2 2 3 2 4" xfId="27301" xr:uid="{00000000-0005-0000-0000-000076B70000}"/>
    <cellStyle name="Comma 5 2 3 2 2 3 3" xfId="6470" xr:uid="{00000000-0005-0000-0000-000077B70000}"/>
    <cellStyle name="Comma 5 2 3 2 2 3 3 2" xfId="29749" xr:uid="{00000000-0005-0000-0000-000078B70000}"/>
    <cellStyle name="Comma 5 2 3 2 2 3 4" xfId="8918" xr:uid="{00000000-0005-0000-0000-000079B70000}"/>
    <cellStyle name="Comma 5 2 3 2 2 3 4 2" xfId="32197" xr:uid="{00000000-0005-0000-0000-00007AB70000}"/>
    <cellStyle name="Comma 5 2 3 2 2 3 5" xfId="11366" xr:uid="{00000000-0005-0000-0000-00007BB70000}"/>
    <cellStyle name="Comma 5 2 3 2 2 3 5 2" xfId="34645" xr:uid="{00000000-0005-0000-0000-00007CB70000}"/>
    <cellStyle name="Comma 5 2 3 2 2 3 6" xfId="13814" xr:uid="{00000000-0005-0000-0000-00007DB70000}"/>
    <cellStyle name="Comma 5 2 3 2 2 3 6 2" xfId="37093" xr:uid="{00000000-0005-0000-0000-00007EB70000}"/>
    <cellStyle name="Comma 5 2 3 2 2 3 7" xfId="17509" xr:uid="{00000000-0005-0000-0000-00007FB70000}"/>
    <cellStyle name="Comma 5 2 3 2 2 3 7 2" xfId="40787" xr:uid="{00000000-0005-0000-0000-000080B70000}"/>
    <cellStyle name="Comma 5 2 3 2 2 3 8" xfId="24853" xr:uid="{00000000-0005-0000-0000-000081B70000}"/>
    <cellStyle name="Comma 5 2 3 2 2 3 9" xfId="45683" xr:uid="{00000000-0005-0000-0000-000082B70000}"/>
    <cellStyle name="Comma 5 2 3 2 2 4" xfId="2798" xr:uid="{00000000-0005-0000-0000-000083B70000}"/>
    <cellStyle name="Comma 5 2 3 2 2 4 2" xfId="16285" xr:uid="{00000000-0005-0000-0000-000084B70000}"/>
    <cellStyle name="Comma 5 2 3 2 2 4 2 2" xfId="39563" xr:uid="{00000000-0005-0000-0000-000085B70000}"/>
    <cellStyle name="Comma 5 2 3 2 2 4 3" xfId="46907" xr:uid="{00000000-0005-0000-0000-000086B70000}"/>
    <cellStyle name="Comma 5 2 3 2 2 4 4" xfId="26077" xr:uid="{00000000-0005-0000-0000-000087B70000}"/>
    <cellStyle name="Comma 5 2 3 2 2 5" xfId="5246" xr:uid="{00000000-0005-0000-0000-000088B70000}"/>
    <cellStyle name="Comma 5 2 3 2 2 5 2" xfId="18733" xr:uid="{00000000-0005-0000-0000-000089B70000}"/>
    <cellStyle name="Comma 5 2 3 2 2 5 2 2" xfId="42011" xr:uid="{00000000-0005-0000-0000-00008AB70000}"/>
    <cellStyle name="Comma 5 2 3 2 2 5 3" xfId="28525" xr:uid="{00000000-0005-0000-0000-00008BB70000}"/>
    <cellStyle name="Comma 5 2 3 2 2 6" xfId="7694" xr:uid="{00000000-0005-0000-0000-00008CB70000}"/>
    <cellStyle name="Comma 5 2 3 2 2 6 2" xfId="30973" xr:uid="{00000000-0005-0000-0000-00008DB70000}"/>
    <cellStyle name="Comma 5 2 3 2 2 7" xfId="10142" xr:uid="{00000000-0005-0000-0000-00008EB70000}"/>
    <cellStyle name="Comma 5 2 3 2 2 7 2" xfId="33421" xr:uid="{00000000-0005-0000-0000-00008FB70000}"/>
    <cellStyle name="Comma 5 2 3 2 2 8" xfId="12590" xr:uid="{00000000-0005-0000-0000-000090B70000}"/>
    <cellStyle name="Comma 5 2 3 2 2 8 2" xfId="35869" xr:uid="{00000000-0005-0000-0000-000091B70000}"/>
    <cellStyle name="Comma 5 2 3 2 2 9" xfId="15061" xr:uid="{00000000-0005-0000-0000-000092B70000}"/>
    <cellStyle name="Comma 5 2 3 2 2 9 2" xfId="38339" xr:uid="{00000000-0005-0000-0000-000093B70000}"/>
    <cellStyle name="Comma 5 2 3 2 3" xfId="554" xr:uid="{00000000-0005-0000-0000-000094B70000}"/>
    <cellStyle name="Comma 5 2 3 2 3 10" xfId="23833" xr:uid="{00000000-0005-0000-0000-000095B70000}"/>
    <cellStyle name="Comma 5 2 3 2 3 11" xfId="44663" xr:uid="{00000000-0005-0000-0000-000096B70000}"/>
    <cellStyle name="Comma 5 2 3 2 3 12" xfId="21385" xr:uid="{00000000-0005-0000-0000-000097B70000}"/>
    <cellStyle name="Comma 5 2 3 2 3 2" xfId="1166" xr:uid="{00000000-0005-0000-0000-000098B70000}"/>
    <cellStyle name="Comma 5 2 3 2 3 2 10" xfId="45275" xr:uid="{00000000-0005-0000-0000-000099B70000}"/>
    <cellStyle name="Comma 5 2 3 2 3 2 11" xfId="21997" xr:uid="{00000000-0005-0000-0000-00009AB70000}"/>
    <cellStyle name="Comma 5 2 3 2 3 2 2" xfId="2390" xr:uid="{00000000-0005-0000-0000-00009BB70000}"/>
    <cellStyle name="Comma 5 2 3 2 3 2 2 10" xfId="23221" xr:uid="{00000000-0005-0000-0000-00009CB70000}"/>
    <cellStyle name="Comma 5 2 3 2 3 2 2 2" xfId="4838" xr:uid="{00000000-0005-0000-0000-00009DB70000}"/>
    <cellStyle name="Comma 5 2 3 2 3 2 2 2 2" xfId="20773" xr:uid="{00000000-0005-0000-0000-00009EB70000}"/>
    <cellStyle name="Comma 5 2 3 2 3 2 2 2 2 2" xfId="44051" xr:uid="{00000000-0005-0000-0000-00009FB70000}"/>
    <cellStyle name="Comma 5 2 3 2 3 2 2 2 3" xfId="48947" xr:uid="{00000000-0005-0000-0000-0000A0B70000}"/>
    <cellStyle name="Comma 5 2 3 2 3 2 2 2 4" xfId="28117" xr:uid="{00000000-0005-0000-0000-0000A1B70000}"/>
    <cellStyle name="Comma 5 2 3 2 3 2 2 3" xfId="7286" xr:uid="{00000000-0005-0000-0000-0000A2B70000}"/>
    <cellStyle name="Comma 5 2 3 2 3 2 2 3 2" xfId="30565" xr:uid="{00000000-0005-0000-0000-0000A3B70000}"/>
    <cellStyle name="Comma 5 2 3 2 3 2 2 4" xfId="9734" xr:uid="{00000000-0005-0000-0000-0000A4B70000}"/>
    <cellStyle name="Comma 5 2 3 2 3 2 2 4 2" xfId="33013" xr:uid="{00000000-0005-0000-0000-0000A5B70000}"/>
    <cellStyle name="Comma 5 2 3 2 3 2 2 5" xfId="12182" xr:uid="{00000000-0005-0000-0000-0000A6B70000}"/>
    <cellStyle name="Comma 5 2 3 2 3 2 2 5 2" xfId="35461" xr:uid="{00000000-0005-0000-0000-0000A7B70000}"/>
    <cellStyle name="Comma 5 2 3 2 3 2 2 6" xfId="14630" xr:uid="{00000000-0005-0000-0000-0000A8B70000}"/>
    <cellStyle name="Comma 5 2 3 2 3 2 2 6 2" xfId="37909" xr:uid="{00000000-0005-0000-0000-0000A9B70000}"/>
    <cellStyle name="Comma 5 2 3 2 3 2 2 7" xfId="18325" xr:uid="{00000000-0005-0000-0000-0000AAB70000}"/>
    <cellStyle name="Comma 5 2 3 2 3 2 2 7 2" xfId="41603" xr:uid="{00000000-0005-0000-0000-0000ABB70000}"/>
    <cellStyle name="Comma 5 2 3 2 3 2 2 8" xfId="25669" xr:uid="{00000000-0005-0000-0000-0000ACB70000}"/>
    <cellStyle name="Comma 5 2 3 2 3 2 2 9" xfId="46499" xr:uid="{00000000-0005-0000-0000-0000ADB70000}"/>
    <cellStyle name="Comma 5 2 3 2 3 2 3" xfId="3614" xr:uid="{00000000-0005-0000-0000-0000AEB70000}"/>
    <cellStyle name="Comma 5 2 3 2 3 2 3 2" xfId="17101" xr:uid="{00000000-0005-0000-0000-0000AFB70000}"/>
    <cellStyle name="Comma 5 2 3 2 3 2 3 2 2" xfId="40379" xr:uid="{00000000-0005-0000-0000-0000B0B70000}"/>
    <cellStyle name="Comma 5 2 3 2 3 2 3 3" xfId="47723" xr:uid="{00000000-0005-0000-0000-0000B1B70000}"/>
    <cellStyle name="Comma 5 2 3 2 3 2 3 4" xfId="26893" xr:uid="{00000000-0005-0000-0000-0000B2B70000}"/>
    <cellStyle name="Comma 5 2 3 2 3 2 4" xfId="6062" xr:uid="{00000000-0005-0000-0000-0000B3B70000}"/>
    <cellStyle name="Comma 5 2 3 2 3 2 4 2" xfId="19549" xr:uid="{00000000-0005-0000-0000-0000B4B70000}"/>
    <cellStyle name="Comma 5 2 3 2 3 2 4 2 2" xfId="42827" xr:uid="{00000000-0005-0000-0000-0000B5B70000}"/>
    <cellStyle name="Comma 5 2 3 2 3 2 4 3" xfId="29341" xr:uid="{00000000-0005-0000-0000-0000B6B70000}"/>
    <cellStyle name="Comma 5 2 3 2 3 2 5" xfId="8510" xr:uid="{00000000-0005-0000-0000-0000B7B70000}"/>
    <cellStyle name="Comma 5 2 3 2 3 2 5 2" xfId="31789" xr:uid="{00000000-0005-0000-0000-0000B8B70000}"/>
    <cellStyle name="Comma 5 2 3 2 3 2 6" xfId="10958" xr:uid="{00000000-0005-0000-0000-0000B9B70000}"/>
    <cellStyle name="Comma 5 2 3 2 3 2 6 2" xfId="34237" xr:uid="{00000000-0005-0000-0000-0000BAB70000}"/>
    <cellStyle name="Comma 5 2 3 2 3 2 7" xfId="13406" xr:uid="{00000000-0005-0000-0000-0000BBB70000}"/>
    <cellStyle name="Comma 5 2 3 2 3 2 7 2" xfId="36685" xr:uid="{00000000-0005-0000-0000-0000BCB70000}"/>
    <cellStyle name="Comma 5 2 3 2 3 2 8" xfId="15877" xr:uid="{00000000-0005-0000-0000-0000BDB70000}"/>
    <cellStyle name="Comma 5 2 3 2 3 2 8 2" xfId="39155" xr:uid="{00000000-0005-0000-0000-0000BEB70000}"/>
    <cellStyle name="Comma 5 2 3 2 3 2 9" xfId="24445" xr:uid="{00000000-0005-0000-0000-0000BFB70000}"/>
    <cellStyle name="Comma 5 2 3 2 3 3" xfId="1778" xr:uid="{00000000-0005-0000-0000-0000C0B70000}"/>
    <cellStyle name="Comma 5 2 3 2 3 3 10" xfId="22609" xr:uid="{00000000-0005-0000-0000-0000C1B70000}"/>
    <cellStyle name="Comma 5 2 3 2 3 3 2" xfId="4226" xr:uid="{00000000-0005-0000-0000-0000C2B70000}"/>
    <cellStyle name="Comma 5 2 3 2 3 3 2 2" xfId="20161" xr:uid="{00000000-0005-0000-0000-0000C3B70000}"/>
    <cellStyle name="Comma 5 2 3 2 3 3 2 2 2" xfId="43439" xr:uid="{00000000-0005-0000-0000-0000C4B70000}"/>
    <cellStyle name="Comma 5 2 3 2 3 3 2 3" xfId="48335" xr:uid="{00000000-0005-0000-0000-0000C5B70000}"/>
    <cellStyle name="Comma 5 2 3 2 3 3 2 4" xfId="27505" xr:uid="{00000000-0005-0000-0000-0000C6B70000}"/>
    <cellStyle name="Comma 5 2 3 2 3 3 3" xfId="6674" xr:uid="{00000000-0005-0000-0000-0000C7B70000}"/>
    <cellStyle name="Comma 5 2 3 2 3 3 3 2" xfId="29953" xr:uid="{00000000-0005-0000-0000-0000C8B70000}"/>
    <cellStyle name="Comma 5 2 3 2 3 3 4" xfId="9122" xr:uid="{00000000-0005-0000-0000-0000C9B70000}"/>
    <cellStyle name="Comma 5 2 3 2 3 3 4 2" xfId="32401" xr:uid="{00000000-0005-0000-0000-0000CAB70000}"/>
    <cellStyle name="Comma 5 2 3 2 3 3 5" xfId="11570" xr:uid="{00000000-0005-0000-0000-0000CBB70000}"/>
    <cellStyle name="Comma 5 2 3 2 3 3 5 2" xfId="34849" xr:uid="{00000000-0005-0000-0000-0000CCB70000}"/>
    <cellStyle name="Comma 5 2 3 2 3 3 6" xfId="14018" xr:uid="{00000000-0005-0000-0000-0000CDB70000}"/>
    <cellStyle name="Comma 5 2 3 2 3 3 6 2" xfId="37297" xr:uid="{00000000-0005-0000-0000-0000CEB70000}"/>
    <cellStyle name="Comma 5 2 3 2 3 3 7" xfId="17713" xr:uid="{00000000-0005-0000-0000-0000CFB70000}"/>
    <cellStyle name="Comma 5 2 3 2 3 3 7 2" xfId="40991" xr:uid="{00000000-0005-0000-0000-0000D0B70000}"/>
    <cellStyle name="Comma 5 2 3 2 3 3 8" xfId="25057" xr:uid="{00000000-0005-0000-0000-0000D1B70000}"/>
    <cellStyle name="Comma 5 2 3 2 3 3 9" xfId="45887" xr:uid="{00000000-0005-0000-0000-0000D2B70000}"/>
    <cellStyle name="Comma 5 2 3 2 3 4" xfId="3002" xr:uid="{00000000-0005-0000-0000-0000D3B70000}"/>
    <cellStyle name="Comma 5 2 3 2 3 4 2" xfId="16489" xr:uid="{00000000-0005-0000-0000-0000D4B70000}"/>
    <cellStyle name="Comma 5 2 3 2 3 4 2 2" xfId="39767" xr:uid="{00000000-0005-0000-0000-0000D5B70000}"/>
    <cellStyle name="Comma 5 2 3 2 3 4 3" xfId="47111" xr:uid="{00000000-0005-0000-0000-0000D6B70000}"/>
    <cellStyle name="Comma 5 2 3 2 3 4 4" xfId="26281" xr:uid="{00000000-0005-0000-0000-0000D7B70000}"/>
    <cellStyle name="Comma 5 2 3 2 3 5" xfId="5450" xr:uid="{00000000-0005-0000-0000-0000D8B70000}"/>
    <cellStyle name="Comma 5 2 3 2 3 5 2" xfId="18937" xr:uid="{00000000-0005-0000-0000-0000D9B70000}"/>
    <cellStyle name="Comma 5 2 3 2 3 5 2 2" xfId="42215" xr:uid="{00000000-0005-0000-0000-0000DAB70000}"/>
    <cellStyle name="Comma 5 2 3 2 3 5 3" xfId="28729" xr:uid="{00000000-0005-0000-0000-0000DBB70000}"/>
    <cellStyle name="Comma 5 2 3 2 3 6" xfId="7898" xr:uid="{00000000-0005-0000-0000-0000DCB70000}"/>
    <cellStyle name="Comma 5 2 3 2 3 6 2" xfId="31177" xr:uid="{00000000-0005-0000-0000-0000DDB70000}"/>
    <cellStyle name="Comma 5 2 3 2 3 7" xfId="10346" xr:uid="{00000000-0005-0000-0000-0000DEB70000}"/>
    <cellStyle name="Comma 5 2 3 2 3 7 2" xfId="33625" xr:uid="{00000000-0005-0000-0000-0000DFB70000}"/>
    <cellStyle name="Comma 5 2 3 2 3 8" xfId="12794" xr:uid="{00000000-0005-0000-0000-0000E0B70000}"/>
    <cellStyle name="Comma 5 2 3 2 3 8 2" xfId="36073" xr:uid="{00000000-0005-0000-0000-0000E1B70000}"/>
    <cellStyle name="Comma 5 2 3 2 3 9" xfId="15265" xr:uid="{00000000-0005-0000-0000-0000E2B70000}"/>
    <cellStyle name="Comma 5 2 3 2 3 9 2" xfId="38543" xr:uid="{00000000-0005-0000-0000-0000E3B70000}"/>
    <cellStyle name="Comma 5 2 3 2 4" xfId="758" xr:uid="{00000000-0005-0000-0000-0000E4B70000}"/>
    <cellStyle name="Comma 5 2 3 2 4 10" xfId="44867" xr:uid="{00000000-0005-0000-0000-0000E5B70000}"/>
    <cellStyle name="Comma 5 2 3 2 4 11" xfId="21589" xr:uid="{00000000-0005-0000-0000-0000E6B70000}"/>
    <cellStyle name="Comma 5 2 3 2 4 2" xfId="1982" xr:uid="{00000000-0005-0000-0000-0000E7B70000}"/>
    <cellStyle name="Comma 5 2 3 2 4 2 10" xfId="22813" xr:uid="{00000000-0005-0000-0000-0000E8B70000}"/>
    <cellStyle name="Comma 5 2 3 2 4 2 2" xfId="4430" xr:uid="{00000000-0005-0000-0000-0000E9B70000}"/>
    <cellStyle name="Comma 5 2 3 2 4 2 2 2" xfId="20365" xr:uid="{00000000-0005-0000-0000-0000EAB70000}"/>
    <cellStyle name="Comma 5 2 3 2 4 2 2 2 2" xfId="43643" xr:uid="{00000000-0005-0000-0000-0000EBB70000}"/>
    <cellStyle name="Comma 5 2 3 2 4 2 2 3" xfId="48539" xr:uid="{00000000-0005-0000-0000-0000ECB70000}"/>
    <cellStyle name="Comma 5 2 3 2 4 2 2 4" xfId="27709" xr:uid="{00000000-0005-0000-0000-0000EDB70000}"/>
    <cellStyle name="Comma 5 2 3 2 4 2 3" xfId="6878" xr:uid="{00000000-0005-0000-0000-0000EEB70000}"/>
    <cellStyle name="Comma 5 2 3 2 4 2 3 2" xfId="30157" xr:uid="{00000000-0005-0000-0000-0000EFB70000}"/>
    <cellStyle name="Comma 5 2 3 2 4 2 4" xfId="9326" xr:uid="{00000000-0005-0000-0000-0000F0B70000}"/>
    <cellStyle name="Comma 5 2 3 2 4 2 4 2" xfId="32605" xr:uid="{00000000-0005-0000-0000-0000F1B70000}"/>
    <cellStyle name="Comma 5 2 3 2 4 2 5" xfId="11774" xr:uid="{00000000-0005-0000-0000-0000F2B70000}"/>
    <cellStyle name="Comma 5 2 3 2 4 2 5 2" xfId="35053" xr:uid="{00000000-0005-0000-0000-0000F3B70000}"/>
    <cellStyle name="Comma 5 2 3 2 4 2 6" xfId="14222" xr:uid="{00000000-0005-0000-0000-0000F4B70000}"/>
    <cellStyle name="Comma 5 2 3 2 4 2 6 2" xfId="37501" xr:uid="{00000000-0005-0000-0000-0000F5B70000}"/>
    <cellStyle name="Comma 5 2 3 2 4 2 7" xfId="17917" xr:uid="{00000000-0005-0000-0000-0000F6B70000}"/>
    <cellStyle name="Comma 5 2 3 2 4 2 7 2" xfId="41195" xr:uid="{00000000-0005-0000-0000-0000F7B70000}"/>
    <cellStyle name="Comma 5 2 3 2 4 2 8" xfId="25261" xr:uid="{00000000-0005-0000-0000-0000F8B70000}"/>
    <cellStyle name="Comma 5 2 3 2 4 2 9" xfId="46091" xr:uid="{00000000-0005-0000-0000-0000F9B70000}"/>
    <cellStyle name="Comma 5 2 3 2 4 3" xfId="3206" xr:uid="{00000000-0005-0000-0000-0000FAB70000}"/>
    <cellStyle name="Comma 5 2 3 2 4 3 2" xfId="16693" xr:uid="{00000000-0005-0000-0000-0000FBB70000}"/>
    <cellStyle name="Comma 5 2 3 2 4 3 2 2" xfId="39971" xr:uid="{00000000-0005-0000-0000-0000FCB70000}"/>
    <cellStyle name="Comma 5 2 3 2 4 3 3" xfId="47315" xr:uid="{00000000-0005-0000-0000-0000FDB70000}"/>
    <cellStyle name="Comma 5 2 3 2 4 3 4" xfId="26485" xr:uid="{00000000-0005-0000-0000-0000FEB70000}"/>
    <cellStyle name="Comma 5 2 3 2 4 4" xfId="5654" xr:uid="{00000000-0005-0000-0000-0000FFB70000}"/>
    <cellStyle name="Comma 5 2 3 2 4 4 2" xfId="19141" xr:uid="{00000000-0005-0000-0000-000000B80000}"/>
    <cellStyle name="Comma 5 2 3 2 4 4 2 2" xfId="42419" xr:uid="{00000000-0005-0000-0000-000001B80000}"/>
    <cellStyle name="Comma 5 2 3 2 4 4 3" xfId="28933" xr:uid="{00000000-0005-0000-0000-000002B80000}"/>
    <cellStyle name="Comma 5 2 3 2 4 5" xfId="8102" xr:uid="{00000000-0005-0000-0000-000003B80000}"/>
    <cellStyle name="Comma 5 2 3 2 4 5 2" xfId="31381" xr:uid="{00000000-0005-0000-0000-000004B80000}"/>
    <cellStyle name="Comma 5 2 3 2 4 6" xfId="10550" xr:uid="{00000000-0005-0000-0000-000005B80000}"/>
    <cellStyle name="Comma 5 2 3 2 4 6 2" xfId="33829" xr:uid="{00000000-0005-0000-0000-000006B80000}"/>
    <cellStyle name="Comma 5 2 3 2 4 7" xfId="12998" xr:uid="{00000000-0005-0000-0000-000007B80000}"/>
    <cellStyle name="Comma 5 2 3 2 4 7 2" xfId="36277" xr:uid="{00000000-0005-0000-0000-000008B80000}"/>
    <cellStyle name="Comma 5 2 3 2 4 8" xfId="15469" xr:uid="{00000000-0005-0000-0000-000009B80000}"/>
    <cellStyle name="Comma 5 2 3 2 4 8 2" xfId="38747" xr:uid="{00000000-0005-0000-0000-00000AB80000}"/>
    <cellStyle name="Comma 5 2 3 2 4 9" xfId="24037" xr:uid="{00000000-0005-0000-0000-00000BB80000}"/>
    <cellStyle name="Comma 5 2 3 2 5" xfId="1370" xr:uid="{00000000-0005-0000-0000-00000CB80000}"/>
    <cellStyle name="Comma 5 2 3 2 5 10" xfId="22201" xr:uid="{00000000-0005-0000-0000-00000DB80000}"/>
    <cellStyle name="Comma 5 2 3 2 5 2" xfId="3818" xr:uid="{00000000-0005-0000-0000-00000EB80000}"/>
    <cellStyle name="Comma 5 2 3 2 5 2 2" xfId="19753" xr:uid="{00000000-0005-0000-0000-00000FB80000}"/>
    <cellStyle name="Comma 5 2 3 2 5 2 2 2" xfId="43031" xr:uid="{00000000-0005-0000-0000-000010B80000}"/>
    <cellStyle name="Comma 5 2 3 2 5 2 3" xfId="47927" xr:uid="{00000000-0005-0000-0000-000011B80000}"/>
    <cellStyle name="Comma 5 2 3 2 5 2 4" xfId="27097" xr:uid="{00000000-0005-0000-0000-000012B80000}"/>
    <cellStyle name="Comma 5 2 3 2 5 3" xfId="6266" xr:uid="{00000000-0005-0000-0000-000013B80000}"/>
    <cellStyle name="Comma 5 2 3 2 5 3 2" xfId="29545" xr:uid="{00000000-0005-0000-0000-000014B80000}"/>
    <cellStyle name="Comma 5 2 3 2 5 4" xfId="8714" xr:uid="{00000000-0005-0000-0000-000015B80000}"/>
    <cellStyle name="Comma 5 2 3 2 5 4 2" xfId="31993" xr:uid="{00000000-0005-0000-0000-000016B80000}"/>
    <cellStyle name="Comma 5 2 3 2 5 5" xfId="11162" xr:uid="{00000000-0005-0000-0000-000017B80000}"/>
    <cellStyle name="Comma 5 2 3 2 5 5 2" xfId="34441" xr:uid="{00000000-0005-0000-0000-000018B80000}"/>
    <cellStyle name="Comma 5 2 3 2 5 6" xfId="13610" xr:uid="{00000000-0005-0000-0000-000019B80000}"/>
    <cellStyle name="Comma 5 2 3 2 5 6 2" xfId="36889" xr:uid="{00000000-0005-0000-0000-00001AB80000}"/>
    <cellStyle name="Comma 5 2 3 2 5 7" xfId="17305" xr:uid="{00000000-0005-0000-0000-00001BB80000}"/>
    <cellStyle name="Comma 5 2 3 2 5 7 2" xfId="40583" xr:uid="{00000000-0005-0000-0000-00001CB80000}"/>
    <cellStyle name="Comma 5 2 3 2 5 8" xfId="24649" xr:uid="{00000000-0005-0000-0000-00001DB80000}"/>
    <cellStyle name="Comma 5 2 3 2 5 9" xfId="45479" xr:uid="{00000000-0005-0000-0000-00001EB80000}"/>
    <cellStyle name="Comma 5 2 3 2 6" xfId="2594" xr:uid="{00000000-0005-0000-0000-00001FB80000}"/>
    <cellStyle name="Comma 5 2 3 2 6 2" xfId="16081" xr:uid="{00000000-0005-0000-0000-000020B80000}"/>
    <cellStyle name="Comma 5 2 3 2 6 2 2" xfId="39359" xr:uid="{00000000-0005-0000-0000-000021B80000}"/>
    <cellStyle name="Comma 5 2 3 2 6 3" xfId="46703" xr:uid="{00000000-0005-0000-0000-000022B80000}"/>
    <cellStyle name="Comma 5 2 3 2 6 4" xfId="25873" xr:uid="{00000000-0005-0000-0000-000023B80000}"/>
    <cellStyle name="Comma 5 2 3 2 7" xfId="5042" xr:uid="{00000000-0005-0000-0000-000024B80000}"/>
    <cellStyle name="Comma 5 2 3 2 7 2" xfId="18529" xr:uid="{00000000-0005-0000-0000-000025B80000}"/>
    <cellStyle name="Comma 5 2 3 2 7 2 2" xfId="41807" xr:uid="{00000000-0005-0000-0000-000026B80000}"/>
    <cellStyle name="Comma 5 2 3 2 7 3" xfId="28321" xr:uid="{00000000-0005-0000-0000-000027B80000}"/>
    <cellStyle name="Comma 5 2 3 2 8" xfId="7490" xr:uid="{00000000-0005-0000-0000-000028B80000}"/>
    <cellStyle name="Comma 5 2 3 2 8 2" xfId="30769" xr:uid="{00000000-0005-0000-0000-000029B80000}"/>
    <cellStyle name="Comma 5 2 3 2 9" xfId="9938" xr:uid="{00000000-0005-0000-0000-00002AB80000}"/>
    <cellStyle name="Comma 5 2 3 2 9 2" xfId="33217" xr:uid="{00000000-0005-0000-0000-00002BB80000}"/>
    <cellStyle name="Comma 5 2 3 3" xfId="214" xr:uid="{00000000-0005-0000-0000-00002CB80000}"/>
    <cellStyle name="Comma 5 2 3 3 10" xfId="12454" xr:uid="{00000000-0005-0000-0000-00002DB80000}"/>
    <cellStyle name="Comma 5 2 3 3 10 2" xfId="35733" xr:uid="{00000000-0005-0000-0000-00002EB80000}"/>
    <cellStyle name="Comma 5 2 3 3 11" xfId="14925" xr:uid="{00000000-0005-0000-0000-00002FB80000}"/>
    <cellStyle name="Comma 5 2 3 3 11 2" xfId="38203" xr:uid="{00000000-0005-0000-0000-000030B80000}"/>
    <cellStyle name="Comma 5 2 3 3 12" xfId="23493" xr:uid="{00000000-0005-0000-0000-000031B80000}"/>
    <cellStyle name="Comma 5 2 3 3 13" xfId="44323" xr:uid="{00000000-0005-0000-0000-000032B80000}"/>
    <cellStyle name="Comma 5 2 3 3 14" xfId="21045" xr:uid="{00000000-0005-0000-0000-000033B80000}"/>
    <cellStyle name="Comma 5 2 3 3 2" xfId="418" xr:uid="{00000000-0005-0000-0000-000034B80000}"/>
    <cellStyle name="Comma 5 2 3 3 2 10" xfId="23697" xr:uid="{00000000-0005-0000-0000-000035B80000}"/>
    <cellStyle name="Comma 5 2 3 3 2 11" xfId="44527" xr:uid="{00000000-0005-0000-0000-000036B80000}"/>
    <cellStyle name="Comma 5 2 3 3 2 12" xfId="21249" xr:uid="{00000000-0005-0000-0000-000037B80000}"/>
    <cellStyle name="Comma 5 2 3 3 2 2" xfId="1030" xr:uid="{00000000-0005-0000-0000-000038B80000}"/>
    <cellStyle name="Comma 5 2 3 3 2 2 10" xfId="45139" xr:uid="{00000000-0005-0000-0000-000039B80000}"/>
    <cellStyle name="Comma 5 2 3 3 2 2 11" xfId="21861" xr:uid="{00000000-0005-0000-0000-00003AB80000}"/>
    <cellStyle name="Comma 5 2 3 3 2 2 2" xfId="2254" xr:uid="{00000000-0005-0000-0000-00003BB80000}"/>
    <cellStyle name="Comma 5 2 3 3 2 2 2 10" xfId="23085" xr:uid="{00000000-0005-0000-0000-00003CB80000}"/>
    <cellStyle name="Comma 5 2 3 3 2 2 2 2" xfId="4702" xr:uid="{00000000-0005-0000-0000-00003DB80000}"/>
    <cellStyle name="Comma 5 2 3 3 2 2 2 2 2" xfId="20637" xr:uid="{00000000-0005-0000-0000-00003EB80000}"/>
    <cellStyle name="Comma 5 2 3 3 2 2 2 2 2 2" xfId="43915" xr:uid="{00000000-0005-0000-0000-00003FB80000}"/>
    <cellStyle name="Comma 5 2 3 3 2 2 2 2 3" xfId="48811" xr:uid="{00000000-0005-0000-0000-000040B80000}"/>
    <cellStyle name="Comma 5 2 3 3 2 2 2 2 4" xfId="27981" xr:uid="{00000000-0005-0000-0000-000041B80000}"/>
    <cellStyle name="Comma 5 2 3 3 2 2 2 3" xfId="7150" xr:uid="{00000000-0005-0000-0000-000042B80000}"/>
    <cellStyle name="Comma 5 2 3 3 2 2 2 3 2" xfId="30429" xr:uid="{00000000-0005-0000-0000-000043B80000}"/>
    <cellStyle name="Comma 5 2 3 3 2 2 2 4" xfId="9598" xr:uid="{00000000-0005-0000-0000-000044B80000}"/>
    <cellStyle name="Comma 5 2 3 3 2 2 2 4 2" xfId="32877" xr:uid="{00000000-0005-0000-0000-000045B80000}"/>
    <cellStyle name="Comma 5 2 3 3 2 2 2 5" xfId="12046" xr:uid="{00000000-0005-0000-0000-000046B80000}"/>
    <cellStyle name="Comma 5 2 3 3 2 2 2 5 2" xfId="35325" xr:uid="{00000000-0005-0000-0000-000047B80000}"/>
    <cellStyle name="Comma 5 2 3 3 2 2 2 6" xfId="14494" xr:uid="{00000000-0005-0000-0000-000048B80000}"/>
    <cellStyle name="Comma 5 2 3 3 2 2 2 6 2" xfId="37773" xr:uid="{00000000-0005-0000-0000-000049B80000}"/>
    <cellStyle name="Comma 5 2 3 3 2 2 2 7" xfId="18189" xr:uid="{00000000-0005-0000-0000-00004AB80000}"/>
    <cellStyle name="Comma 5 2 3 3 2 2 2 7 2" xfId="41467" xr:uid="{00000000-0005-0000-0000-00004BB80000}"/>
    <cellStyle name="Comma 5 2 3 3 2 2 2 8" xfId="25533" xr:uid="{00000000-0005-0000-0000-00004CB80000}"/>
    <cellStyle name="Comma 5 2 3 3 2 2 2 9" xfId="46363" xr:uid="{00000000-0005-0000-0000-00004DB80000}"/>
    <cellStyle name="Comma 5 2 3 3 2 2 3" xfId="3478" xr:uid="{00000000-0005-0000-0000-00004EB80000}"/>
    <cellStyle name="Comma 5 2 3 3 2 2 3 2" xfId="16965" xr:uid="{00000000-0005-0000-0000-00004FB80000}"/>
    <cellStyle name="Comma 5 2 3 3 2 2 3 2 2" xfId="40243" xr:uid="{00000000-0005-0000-0000-000050B80000}"/>
    <cellStyle name="Comma 5 2 3 3 2 2 3 3" xfId="47587" xr:uid="{00000000-0005-0000-0000-000051B80000}"/>
    <cellStyle name="Comma 5 2 3 3 2 2 3 4" xfId="26757" xr:uid="{00000000-0005-0000-0000-000052B80000}"/>
    <cellStyle name="Comma 5 2 3 3 2 2 4" xfId="5926" xr:uid="{00000000-0005-0000-0000-000053B80000}"/>
    <cellStyle name="Comma 5 2 3 3 2 2 4 2" xfId="19413" xr:uid="{00000000-0005-0000-0000-000054B80000}"/>
    <cellStyle name="Comma 5 2 3 3 2 2 4 2 2" xfId="42691" xr:uid="{00000000-0005-0000-0000-000055B80000}"/>
    <cellStyle name="Comma 5 2 3 3 2 2 4 3" xfId="29205" xr:uid="{00000000-0005-0000-0000-000056B80000}"/>
    <cellStyle name="Comma 5 2 3 3 2 2 5" xfId="8374" xr:uid="{00000000-0005-0000-0000-000057B80000}"/>
    <cellStyle name="Comma 5 2 3 3 2 2 5 2" xfId="31653" xr:uid="{00000000-0005-0000-0000-000058B80000}"/>
    <cellStyle name="Comma 5 2 3 3 2 2 6" xfId="10822" xr:uid="{00000000-0005-0000-0000-000059B80000}"/>
    <cellStyle name="Comma 5 2 3 3 2 2 6 2" xfId="34101" xr:uid="{00000000-0005-0000-0000-00005AB80000}"/>
    <cellStyle name="Comma 5 2 3 3 2 2 7" xfId="13270" xr:uid="{00000000-0005-0000-0000-00005BB80000}"/>
    <cellStyle name="Comma 5 2 3 3 2 2 7 2" xfId="36549" xr:uid="{00000000-0005-0000-0000-00005CB80000}"/>
    <cellStyle name="Comma 5 2 3 3 2 2 8" xfId="15741" xr:uid="{00000000-0005-0000-0000-00005DB80000}"/>
    <cellStyle name="Comma 5 2 3 3 2 2 8 2" xfId="39019" xr:uid="{00000000-0005-0000-0000-00005EB80000}"/>
    <cellStyle name="Comma 5 2 3 3 2 2 9" xfId="24309" xr:uid="{00000000-0005-0000-0000-00005FB80000}"/>
    <cellStyle name="Comma 5 2 3 3 2 3" xfId="1642" xr:uid="{00000000-0005-0000-0000-000060B80000}"/>
    <cellStyle name="Comma 5 2 3 3 2 3 10" xfId="22473" xr:uid="{00000000-0005-0000-0000-000061B80000}"/>
    <cellStyle name="Comma 5 2 3 3 2 3 2" xfId="4090" xr:uid="{00000000-0005-0000-0000-000062B80000}"/>
    <cellStyle name="Comma 5 2 3 3 2 3 2 2" xfId="20025" xr:uid="{00000000-0005-0000-0000-000063B80000}"/>
    <cellStyle name="Comma 5 2 3 3 2 3 2 2 2" xfId="43303" xr:uid="{00000000-0005-0000-0000-000064B80000}"/>
    <cellStyle name="Comma 5 2 3 3 2 3 2 3" xfId="48199" xr:uid="{00000000-0005-0000-0000-000065B80000}"/>
    <cellStyle name="Comma 5 2 3 3 2 3 2 4" xfId="27369" xr:uid="{00000000-0005-0000-0000-000066B80000}"/>
    <cellStyle name="Comma 5 2 3 3 2 3 3" xfId="6538" xr:uid="{00000000-0005-0000-0000-000067B80000}"/>
    <cellStyle name="Comma 5 2 3 3 2 3 3 2" xfId="29817" xr:uid="{00000000-0005-0000-0000-000068B80000}"/>
    <cellStyle name="Comma 5 2 3 3 2 3 4" xfId="8986" xr:uid="{00000000-0005-0000-0000-000069B80000}"/>
    <cellStyle name="Comma 5 2 3 3 2 3 4 2" xfId="32265" xr:uid="{00000000-0005-0000-0000-00006AB80000}"/>
    <cellStyle name="Comma 5 2 3 3 2 3 5" xfId="11434" xr:uid="{00000000-0005-0000-0000-00006BB80000}"/>
    <cellStyle name="Comma 5 2 3 3 2 3 5 2" xfId="34713" xr:uid="{00000000-0005-0000-0000-00006CB80000}"/>
    <cellStyle name="Comma 5 2 3 3 2 3 6" xfId="13882" xr:uid="{00000000-0005-0000-0000-00006DB80000}"/>
    <cellStyle name="Comma 5 2 3 3 2 3 6 2" xfId="37161" xr:uid="{00000000-0005-0000-0000-00006EB80000}"/>
    <cellStyle name="Comma 5 2 3 3 2 3 7" xfId="17577" xr:uid="{00000000-0005-0000-0000-00006FB80000}"/>
    <cellStyle name="Comma 5 2 3 3 2 3 7 2" xfId="40855" xr:uid="{00000000-0005-0000-0000-000070B80000}"/>
    <cellStyle name="Comma 5 2 3 3 2 3 8" xfId="24921" xr:uid="{00000000-0005-0000-0000-000071B80000}"/>
    <cellStyle name="Comma 5 2 3 3 2 3 9" xfId="45751" xr:uid="{00000000-0005-0000-0000-000072B80000}"/>
    <cellStyle name="Comma 5 2 3 3 2 4" xfId="2866" xr:uid="{00000000-0005-0000-0000-000073B80000}"/>
    <cellStyle name="Comma 5 2 3 3 2 4 2" xfId="16353" xr:uid="{00000000-0005-0000-0000-000074B80000}"/>
    <cellStyle name="Comma 5 2 3 3 2 4 2 2" xfId="39631" xr:uid="{00000000-0005-0000-0000-000075B80000}"/>
    <cellStyle name="Comma 5 2 3 3 2 4 3" xfId="46975" xr:uid="{00000000-0005-0000-0000-000076B80000}"/>
    <cellStyle name="Comma 5 2 3 3 2 4 4" xfId="26145" xr:uid="{00000000-0005-0000-0000-000077B80000}"/>
    <cellStyle name="Comma 5 2 3 3 2 5" xfId="5314" xr:uid="{00000000-0005-0000-0000-000078B80000}"/>
    <cellStyle name="Comma 5 2 3 3 2 5 2" xfId="18801" xr:uid="{00000000-0005-0000-0000-000079B80000}"/>
    <cellStyle name="Comma 5 2 3 3 2 5 2 2" xfId="42079" xr:uid="{00000000-0005-0000-0000-00007AB80000}"/>
    <cellStyle name="Comma 5 2 3 3 2 5 3" xfId="28593" xr:uid="{00000000-0005-0000-0000-00007BB80000}"/>
    <cellStyle name="Comma 5 2 3 3 2 6" xfId="7762" xr:uid="{00000000-0005-0000-0000-00007CB80000}"/>
    <cellStyle name="Comma 5 2 3 3 2 6 2" xfId="31041" xr:uid="{00000000-0005-0000-0000-00007DB80000}"/>
    <cellStyle name="Comma 5 2 3 3 2 7" xfId="10210" xr:uid="{00000000-0005-0000-0000-00007EB80000}"/>
    <cellStyle name="Comma 5 2 3 3 2 7 2" xfId="33489" xr:uid="{00000000-0005-0000-0000-00007FB80000}"/>
    <cellStyle name="Comma 5 2 3 3 2 8" xfId="12658" xr:uid="{00000000-0005-0000-0000-000080B80000}"/>
    <cellStyle name="Comma 5 2 3 3 2 8 2" xfId="35937" xr:uid="{00000000-0005-0000-0000-000081B80000}"/>
    <cellStyle name="Comma 5 2 3 3 2 9" xfId="15129" xr:uid="{00000000-0005-0000-0000-000082B80000}"/>
    <cellStyle name="Comma 5 2 3 3 2 9 2" xfId="38407" xr:uid="{00000000-0005-0000-0000-000083B80000}"/>
    <cellStyle name="Comma 5 2 3 3 3" xfId="622" xr:uid="{00000000-0005-0000-0000-000084B80000}"/>
    <cellStyle name="Comma 5 2 3 3 3 10" xfId="23901" xr:uid="{00000000-0005-0000-0000-000085B80000}"/>
    <cellStyle name="Comma 5 2 3 3 3 11" xfId="44731" xr:uid="{00000000-0005-0000-0000-000086B80000}"/>
    <cellStyle name="Comma 5 2 3 3 3 12" xfId="21453" xr:uid="{00000000-0005-0000-0000-000087B80000}"/>
    <cellStyle name="Comma 5 2 3 3 3 2" xfId="1234" xr:uid="{00000000-0005-0000-0000-000088B80000}"/>
    <cellStyle name="Comma 5 2 3 3 3 2 10" xfId="45343" xr:uid="{00000000-0005-0000-0000-000089B80000}"/>
    <cellStyle name="Comma 5 2 3 3 3 2 11" xfId="22065" xr:uid="{00000000-0005-0000-0000-00008AB80000}"/>
    <cellStyle name="Comma 5 2 3 3 3 2 2" xfId="2458" xr:uid="{00000000-0005-0000-0000-00008BB80000}"/>
    <cellStyle name="Comma 5 2 3 3 3 2 2 10" xfId="23289" xr:uid="{00000000-0005-0000-0000-00008CB80000}"/>
    <cellStyle name="Comma 5 2 3 3 3 2 2 2" xfId="4906" xr:uid="{00000000-0005-0000-0000-00008DB80000}"/>
    <cellStyle name="Comma 5 2 3 3 3 2 2 2 2" xfId="20841" xr:uid="{00000000-0005-0000-0000-00008EB80000}"/>
    <cellStyle name="Comma 5 2 3 3 3 2 2 2 2 2" xfId="44119" xr:uid="{00000000-0005-0000-0000-00008FB80000}"/>
    <cellStyle name="Comma 5 2 3 3 3 2 2 2 3" xfId="49015" xr:uid="{00000000-0005-0000-0000-000090B80000}"/>
    <cellStyle name="Comma 5 2 3 3 3 2 2 2 4" xfId="28185" xr:uid="{00000000-0005-0000-0000-000091B80000}"/>
    <cellStyle name="Comma 5 2 3 3 3 2 2 3" xfId="7354" xr:uid="{00000000-0005-0000-0000-000092B80000}"/>
    <cellStyle name="Comma 5 2 3 3 3 2 2 3 2" xfId="30633" xr:uid="{00000000-0005-0000-0000-000093B80000}"/>
    <cellStyle name="Comma 5 2 3 3 3 2 2 4" xfId="9802" xr:uid="{00000000-0005-0000-0000-000094B80000}"/>
    <cellStyle name="Comma 5 2 3 3 3 2 2 4 2" xfId="33081" xr:uid="{00000000-0005-0000-0000-000095B80000}"/>
    <cellStyle name="Comma 5 2 3 3 3 2 2 5" xfId="12250" xr:uid="{00000000-0005-0000-0000-000096B80000}"/>
    <cellStyle name="Comma 5 2 3 3 3 2 2 5 2" xfId="35529" xr:uid="{00000000-0005-0000-0000-000097B80000}"/>
    <cellStyle name="Comma 5 2 3 3 3 2 2 6" xfId="14698" xr:uid="{00000000-0005-0000-0000-000098B80000}"/>
    <cellStyle name="Comma 5 2 3 3 3 2 2 6 2" xfId="37977" xr:uid="{00000000-0005-0000-0000-000099B80000}"/>
    <cellStyle name="Comma 5 2 3 3 3 2 2 7" xfId="18393" xr:uid="{00000000-0005-0000-0000-00009AB80000}"/>
    <cellStyle name="Comma 5 2 3 3 3 2 2 7 2" xfId="41671" xr:uid="{00000000-0005-0000-0000-00009BB80000}"/>
    <cellStyle name="Comma 5 2 3 3 3 2 2 8" xfId="25737" xr:uid="{00000000-0005-0000-0000-00009CB80000}"/>
    <cellStyle name="Comma 5 2 3 3 3 2 2 9" xfId="46567" xr:uid="{00000000-0005-0000-0000-00009DB80000}"/>
    <cellStyle name="Comma 5 2 3 3 3 2 3" xfId="3682" xr:uid="{00000000-0005-0000-0000-00009EB80000}"/>
    <cellStyle name="Comma 5 2 3 3 3 2 3 2" xfId="17169" xr:uid="{00000000-0005-0000-0000-00009FB80000}"/>
    <cellStyle name="Comma 5 2 3 3 3 2 3 2 2" xfId="40447" xr:uid="{00000000-0005-0000-0000-0000A0B80000}"/>
    <cellStyle name="Comma 5 2 3 3 3 2 3 3" xfId="47791" xr:uid="{00000000-0005-0000-0000-0000A1B80000}"/>
    <cellStyle name="Comma 5 2 3 3 3 2 3 4" xfId="26961" xr:uid="{00000000-0005-0000-0000-0000A2B80000}"/>
    <cellStyle name="Comma 5 2 3 3 3 2 4" xfId="6130" xr:uid="{00000000-0005-0000-0000-0000A3B80000}"/>
    <cellStyle name="Comma 5 2 3 3 3 2 4 2" xfId="19617" xr:uid="{00000000-0005-0000-0000-0000A4B80000}"/>
    <cellStyle name="Comma 5 2 3 3 3 2 4 2 2" xfId="42895" xr:uid="{00000000-0005-0000-0000-0000A5B80000}"/>
    <cellStyle name="Comma 5 2 3 3 3 2 4 3" xfId="29409" xr:uid="{00000000-0005-0000-0000-0000A6B80000}"/>
    <cellStyle name="Comma 5 2 3 3 3 2 5" xfId="8578" xr:uid="{00000000-0005-0000-0000-0000A7B80000}"/>
    <cellStyle name="Comma 5 2 3 3 3 2 5 2" xfId="31857" xr:uid="{00000000-0005-0000-0000-0000A8B80000}"/>
    <cellStyle name="Comma 5 2 3 3 3 2 6" xfId="11026" xr:uid="{00000000-0005-0000-0000-0000A9B80000}"/>
    <cellStyle name="Comma 5 2 3 3 3 2 6 2" xfId="34305" xr:uid="{00000000-0005-0000-0000-0000AAB80000}"/>
    <cellStyle name="Comma 5 2 3 3 3 2 7" xfId="13474" xr:uid="{00000000-0005-0000-0000-0000ABB80000}"/>
    <cellStyle name="Comma 5 2 3 3 3 2 7 2" xfId="36753" xr:uid="{00000000-0005-0000-0000-0000ACB80000}"/>
    <cellStyle name="Comma 5 2 3 3 3 2 8" xfId="15945" xr:uid="{00000000-0005-0000-0000-0000ADB80000}"/>
    <cellStyle name="Comma 5 2 3 3 3 2 8 2" xfId="39223" xr:uid="{00000000-0005-0000-0000-0000AEB80000}"/>
    <cellStyle name="Comma 5 2 3 3 3 2 9" xfId="24513" xr:uid="{00000000-0005-0000-0000-0000AFB80000}"/>
    <cellStyle name="Comma 5 2 3 3 3 3" xfId="1846" xr:uid="{00000000-0005-0000-0000-0000B0B80000}"/>
    <cellStyle name="Comma 5 2 3 3 3 3 10" xfId="22677" xr:uid="{00000000-0005-0000-0000-0000B1B80000}"/>
    <cellStyle name="Comma 5 2 3 3 3 3 2" xfId="4294" xr:uid="{00000000-0005-0000-0000-0000B2B80000}"/>
    <cellStyle name="Comma 5 2 3 3 3 3 2 2" xfId="20229" xr:uid="{00000000-0005-0000-0000-0000B3B80000}"/>
    <cellStyle name="Comma 5 2 3 3 3 3 2 2 2" xfId="43507" xr:uid="{00000000-0005-0000-0000-0000B4B80000}"/>
    <cellStyle name="Comma 5 2 3 3 3 3 2 3" xfId="48403" xr:uid="{00000000-0005-0000-0000-0000B5B80000}"/>
    <cellStyle name="Comma 5 2 3 3 3 3 2 4" xfId="27573" xr:uid="{00000000-0005-0000-0000-0000B6B80000}"/>
    <cellStyle name="Comma 5 2 3 3 3 3 3" xfId="6742" xr:uid="{00000000-0005-0000-0000-0000B7B80000}"/>
    <cellStyle name="Comma 5 2 3 3 3 3 3 2" xfId="30021" xr:uid="{00000000-0005-0000-0000-0000B8B80000}"/>
    <cellStyle name="Comma 5 2 3 3 3 3 4" xfId="9190" xr:uid="{00000000-0005-0000-0000-0000B9B80000}"/>
    <cellStyle name="Comma 5 2 3 3 3 3 4 2" xfId="32469" xr:uid="{00000000-0005-0000-0000-0000BAB80000}"/>
    <cellStyle name="Comma 5 2 3 3 3 3 5" xfId="11638" xr:uid="{00000000-0005-0000-0000-0000BBB80000}"/>
    <cellStyle name="Comma 5 2 3 3 3 3 5 2" xfId="34917" xr:uid="{00000000-0005-0000-0000-0000BCB80000}"/>
    <cellStyle name="Comma 5 2 3 3 3 3 6" xfId="14086" xr:uid="{00000000-0005-0000-0000-0000BDB80000}"/>
    <cellStyle name="Comma 5 2 3 3 3 3 6 2" xfId="37365" xr:uid="{00000000-0005-0000-0000-0000BEB80000}"/>
    <cellStyle name="Comma 5 2 3 3 3 3 7" xfId="17781" xr:uid="{00000000-0005-0000-0000-0000BFB80000}"/>
    <cellStyle name="Comma 5 2 3 3 3 3 7 2" xfId="41059" xr:uid="{00000000-0005-0000-0000-0000C0B80000}"/>
    <cellStyle name="Comma 5 2 3 3 3 3 8" xfId="25125" xr:uid="{00000000-0005-0000-0000-0000C1B80000}"/>
    <cellStyle name="Comma 5 2 3 3 3 3 9" xfId="45955" xr:uid="{00000000-0005-0000-0000-0000C2B80000}"/>
    <cellStyle name="Comma 5 2 3 3 3 4" xfId="3070" xr:uid="{00000000-0005-0000-0000-0000C3B80000}"/>
    <cellStyle name="Comma 5 2 3 3 3 4 2" xfId="16557" xr:uid="{00000000-0005-0000-0000-0000C4B80000}"/>
    <cellStyle name="Comma 5 2 3 3 3 4 2 2" xfId="39835" xr:uid="{00000000-0005-0000-0000-0000C5B80000}"/>
    <cellStyle name="Comma 5 2 3 3 3 4 3" xfId="47179" xr:uid="{00000000-0005-0000-0000-0000C6B80000}"/>
    <cellStyle name="Comma 5 2 3 3 3 4 4" xfId="26349" xr:uid="{00000000-0005-0000-0000-0000C7B80000}"/>
    <cellStyle name="Comma 5 2 3 3 3 5" xfId="5518" xr:uid="{00000000-0005-0000-0000-0000C8B80000}"/>
    <cellStyle name="Comma 5 2 3 3 3 5 2" xfId="19005" xr:uid="{00000000-0005-0000-0000-0000C9B80000}"/>
    <cellStyle name="Comma 5 2 3 3 3 5 2 2" xfId="42283" xr:uid="{00000000-0005-0000-0000-0000CAB80000}"/>
    <cellStyle name="Comma 5 2 3 3 3 5 3" xfId="28797" xr:uid="{00000000-0005-0000-0000-0000CBB80000}"/>
    <cellStyle name="Comma 5 2 3 3 3 6" xfId="7966" xr:uid="{00000000-0005-0000-0000-0000CCB80000}"/>
    <cellStyle name="Comma 5 2 3 3 3 6 2" xfId="31245" xr:uid="{00000000-0005-0000-0000-0000CDB80000}"/>
    <cellStyle name="Comma 5 2 3 3 3 7" xfId="10414" xr:uid="{00000000-0005-0000-0000-0000CEB80000}"/>
    <cellStyle name="Comma 5 2 3 3 3 7 2" xfId="33693" xr:uid="{00000000-0005-0000-0000-0000CFB80000}"/>
    <cellStyle name="Comma 5 2 3 3 3 8" xfId="12862" xr:uid="{00000000-0005-0000-0000-0000D0B80000}"/>
    <cellStyle name="Comma 5 2 3 3 3 8 2" xfId="36141" xr:uid="{00000000-0005-0000-0000-0000D1B80000}"/>
    <cellStyle name="Comma 5 2 3 3 3 9" xfId="15333" xr:uid="{00000000-0005-0000-0000-0000D2B80000}"/>
    <cellStyle name="Comma 5 2 3 3 3 9 2" xfId="38611" xr:uid="{00000000-0005-0000-0000-0000D3B80000}"/>
    <cellStyle name="Comma 5 2 3 3 4" xfId="826" xr:uid="{00000000-0005-0000-0000-0000D4B80000}"/>
    <cellStyle name="Comma 5 2 3 3 4 10" xfId="44935" xr:uid="{00000000-0005-0000-0000-0000D5B80000}"/>
    <cellStyle name="Comma 5 2 3 3 4 11" xfId="21657" xr:uid="{00000000-0005-0000-0000-0000D6B80000}"/>
    <cellStyle name="Comma 5 2 3 3 4 2" xfId="2050" xr:uid="{00000000-0005-0000-0000-0000D7B80000}"/>
    <cellStyle name="Comma 5 2 3 3 4 2 10" xfId="22881" xr:uid="{00000000-0005-0000-0000-0000D8B80000}"/>
    <cellStyle name="Comma 5 2 3 3 4 2 2" xfId="4498" xr:uid="{00000000-0005-0000-0000-0000D9B80000}"/>
    <cellStyle name="Comma 5 2 3 3 4 2 2 2" xfId="20433" xr:uid="{00000000-0005-0000-0000-0000DAB80000}"/>
    <cellStyle name="Comma 5 2 3 3 4 2 2 2 2" xfId="43711" xr:uid="{00000000-0005-0000-0000-0000DBB80000}"/>
    <cellStyle name="Comma 5 2 3 3 4 2 2 3" xfId="48607" xr:uid="{00000000-0005-0000-0000-0000DCB80000}"/>
    <cellStyle name="Comma 5 2 3 3 4 2 2 4" xfId="27777" xr:uid="{00000000-0005-0000-0000-0000DDB80000}"/>
    <cellStyle name="Comma 5 2 3 3 4 2 3" xfId="6946" xr:uid="{00000000-0005-0000-0000-0000DEB80000}"/>
    <cellStyle name="Comma 5 2 3 3 4 2 3 2" xfId="30225" xr:uid="{00000000-0005-0000-0000-0000DFB80000}"/>
    <cellStyle name="Comma 5 2 3 3 4 2 4" xfId="9394" xr:uid="{00000000-0005-0000-0000-0000E0B80000}"/>
    <cellStyle name="Comma 5 2 3 3 4 2 4 2" xfId="32673" xr:uid="{00000000-0005-0000-0000-0000E1B80000}"/>
    <cellStyle name="Comma 5 2 3 3 4 2 5" xfId="11842" xr:uid="{00000000-0005-0000-0000-0000E2B80000}"/>
    <cellStyle name="Comma 5 2 3 3 4 2 5 2" xfId="35121" xr:uid="{00000000-0005-0000-0000-0000E3B80000}"/>
    <cellStyle name="Comma 5 2 3 3 4 2 6" xfId="14290" xr:uid="{00000000-0005-0000-0000-0000E4B80000}"/>
    <cellStyle name="Comma 5 2 3 3 4 2 6 2" xfId="37569" xr:uid="{00000000-0005-0000-0000-0000E5B80000}"/>
    <cellStyle name="Comma 5 2 3 3 4 2 7" xfId="17985" xr:uid="{00000000-0005-0000-0000-0000E6B80000}"/>
    <cellStyle name="Comma 5 2 3 3 4 2 7 2" xfId="41263" xr:uid="{00000000-0005-0000-0000-0000E7B80000}"/>
    <cellStyle name="Comma 5 2 3 3 4 2 8" xfId="25329" xr:uid="{00000000-0005-0000-0000-0000E8B80000}"/>
    <cellStyle name="Comma 5 2 3 3 4 2 9" xfId="46159" xr:uid="{00000000-0005-0000-0000-0000E9B80000}"/>
    <cellStyle name="Comma 5 2 3 3 4 3" xfId="3274" xr:uid="{00000000-0005-0000-0000-0000EAB80000}"/>
    <cellStyle name="Comma 5 2 3 3 4 3 2" xfId="16761" xr:uid="{00000000-0005-0000-0000-0000EBB80000}"/>
    <cellStyle name="Comma 5 2 3 3 4 3 2 2" xfId="40039" xr:uid="{00000000-0005-0000-0000-0000ECB80000}"/>
    <cellStyle name="Comma 5 2 3 3 4 3 3" xfId="47383" xr:uid="{00000000-0005-0000-0000-0000EDB80000}"/>
    <cellStyle name="Comma 5 2 3 3 4 3 4" xfId="26553" xr:uid="{00000000-0005-0000-0000-0000EEB80000}"/>
    <cellStyle name="Comma 5 2 3 3 4 4" xfId="5722" xr:uid="{00000000-0005-0000-0000-0000EFB80000}"/>
    <cellStyle name="Comma 5 2 3 3 4 4 2" xfId="19209" xr:uid="{00000000-0005-0000-0000-0000F0B80000}"/>
    <cellStyle name="Comma 5 2 3 3 4 4 2 2" xfId="42487" xr:uid="{00000000-0005-0000-0000-0000F1B80000}"/>
    <cellStyle name="Comma 5 2 3 3 4 4 3" xfId="29001" xr:uid="{00000000-0005-0000-0000-0000F2B80000}"/>
    <cellStyle name="Comma 5 2 3 3 4 5" xfId="8170" xr:uid="{00000000-0005-0000-0000-0000F3B80000}"/>
    <cellStyle name="Comma 5 2 3 3 4 5 2" xfId="31449" xr:uid="{00000000-0005-0000-0000-0000F4B80000}"/>
    <cellStyle name="Comma 5 2 3 3 4 6" xfId="10618" xr:uid="{00000000-0005-0000-0000-0000F5B80000}"/>
    <cellStyle name="Comma 5 2 3 3 4 6 2" xfId="33897" xr:uid="{00000000-0005-0000-0000-0000F6B80000}"/>
    <cellStyle name="Comma 5 2 3 3 4 7" xfId="13066" xr:uid="{00000000-0005-0000-0000-0000F7B80000}"/>
    <cellStyle name="Comma 5 2 3 3 4 7 2" xfId="36345" xr:uid="{00000000-0005-0000-0000-0000F8B80000}"/>
    <cellStyle name="Comma 5 2 3 3 4 8" xfId="15537" xr:uid="{00000000-0005-0000-0000-0000F9B80000}"/>
    <cellStyle name="Comma 5 2 3 3 4 8 2" xfId="38815" xr:uid="{00000000-0005-0000-0000-0000FAB80000}"/>
    <cellStyle name="Comma 5 2 3 3 4 9" xfId="24105" xr:uid="{00000000-0005-0000-0000-0000FBB80000}"/>
    <cellStyle name="Comma 5 2 3 3 5" xfId="1438" xr:uid="{00000000-0005-0000-0000-0000FCB80000}"/>
    <cellStyle name="Comma 5 2 3 3 5 10" xfId="22269" xr:uid="{00000000-0005-0000-0000-0000FDB80000}"/>
    <cellStyle name="Comma 5 2 3 3 5 2" xfId="3886" xr:uid="{00000000-0005-0000-0000-0000FEB80000}"/>
    <cellStyle name="Comma 5 2 3 3 5 2 2" xfId="19821" xr:uid="{00000000-0005-0000-0000-0000FFB80000}"/>
    <cellStyle name="Comma 5 2 3 3 5 2 2 2" xfId="43099" xr:uid="{00000000-0005-0000-0000-000000B90000}"/>
    <cellStyle name="Comma 5 2 3 3 5 2 3" xfId="47995" xr:uid="{00000000-0005-0000-0000-000001B90000}"/>
    <cellStyle name="Comma 5 2 3 3 5 2 4" xfId="27165" xr:uid="{00000000-0005-0000-0000-000002B90000}"/>
    <cellStyle name="Comma 5 2 3 3 5 3" xfId="6334" xr:uid="{00000000-0005-0000-0000-000003B90000}"/>
    <cellStyle name="Comma 5 2 3 3 5 3 2" xfId="29613" xr:uid="{00000000-0005-0000-0000-000004B90000}"/>
    <cellStyle name="Comma 5 2 3 3 5 4" xfId="8782" xr:uid="{00000000-0005-0000-0000-000005B90000}"/>
    <cellStyle name="Comma 5 2 3 3 5 4 2" xfId="32061" xr:uid="{00000000-0005-0000-0000-000006B90000}"/>
    <cellStyle name="Comma 5 2 3 3 5 5" xfId="11230" xr:uid="{00000000-0005-0000-0000-000007B90000}"/>
    <cellStyle name="Comma 5 2 3 3 5 5 2" xfId="34509" xr:uid="{00000000-0005-0000-0000-000008B90000}"/>
    <cellStyle name="Comma 5 2 3 3 5 6" xfId="13678" xr:uid="{00000000-0005-0000-0000-000009B90000}"/>
    <cellStyle name="Comma 5 2 3 3 5 6 2" xfId="36957" xr:uid="{00000000-0005-0000-0000-00000AB90000}"/>
    <cellStyle name="Comma 5 2 3 3 5 7" xfId="17373" xr:uid="{00000000-0005-0000-0000-00000BB90000}"/>
    <cellStyle name="Comma 5 2 3 3 5 7 2" xfId="40651" xr:uid="{00000000-0005-0000-0000-00000CB90000}"/>
    <cellStyle name="Comma 5 2 3 3 5 8" xfId="24717" xr:uid="{00000000-0005-0000-0000-00000DB90000}"/>
    <cellStyle name="Comma 5 2 3 3 5 9" xfId="45547" xr:uid="{00000000-0005-0000-0000-00000EB90000}"/>
    <cellStyle name="Comma 5 2 3 3 6" xfId="2662" xr:uid="{00000000-0005-0000-0000-00000FB90000}"/>
    <cellStyle name="Comma 5 2 3 3 6 2" xfId="16149" xr:uid="{00000000-0005-0000-0000-000010B90000}"/>
    <cellStyle name="Comma 5 2 3 3 6 2 2" xfId="39427" xr:uid="{00000000-0005-0000-0000-000011B90000}"/>
    <cellStyle name="Comma 5 2 3 3 6 3" xfId="46771" xr:uid="{00000000-0005-0000-0000-000012B90000}"/>
    <cellStyle name="Comma 5 2 3 3 6 4" xfId="25941" xr:uid="{00000000-0005-0000-0000-000013B90000}"/>
    <cellStyle name="Comma 5 2 3 3 7" xfId="5110" xr:uid="{00000000-0005-0000-0000-000014B90000}"/>
    <cellStyle name="Comma 5 2 3 3 7 2" xfId="18597" xr:uid="{00000000-0005-0000-0000-000015B90000}"/>
    <cellStyle name="Comma 5 2 3 3 7 2 2" xfId="41875" xr:uid="{00000000-0005-0000-0000-000016B90000}"/>
    <cellStyle name="Comma 5 2 3 3 7 3" xfId="28389" xr:uid="{00000000-0005-0000-0000-000017B90000}"/>
    <cellStyle name="Comma 5 2 3 3 8" xfId="7558" xr:uid="{00000000-0005-0000-0000-000018B90000}"/>
    <cellStyle name="Comma 5 2 3 3 8 2" xfId="30837" xr:uid="{00000000-0005-0000-0000-000019B90000}"/>
    <cellStyle name="Comma 5 2 3 3 9" xfId="10006" xr:uid="{00000000-0005-0000-0000-00001AB90000}"/>
    <cellStyle name="Comma 5 2 3 3 9 2" xfId="33285" xr:uid="{00000000-0005-0000-0000-00001BB90000}"/>
    <cellStyle name="Comma 5 2 3 4" xfId="282" xr:uid="{00000000-0005-0000-0000-00001CB90000}"/>
    <cellStyle name="Comma 5 2 3 4 10" xfId="23561" xr:uid="{00000000-0005-0000-0000-00001DB90000}"/>
    <cellStyle name="Comma 5 2 3 4 11" xfId="44391" xr:uid="{00000000-0005-0000-0000-00001EB90000}"/>
    <cellStyle name="Comma 5 2 3 4 12" xfId="21113" xr:uid="{00000000-0005-0000-0000-00001FB90000}"/>
    <cellStyle name="Comma 5 2 3 4 2" xfId="894" xr:uid="{00000000-0005-0000-0000-000020B90000}"/>
    <cellStyle name="Comma 5 2 3 4 2 10" xfId="45003" xr:uid="{00000000-0005-0000-0000-000021B90000}"/>
    <cellStyle name="Comma 5 2 3 4 2 11" xfId="21725" xr:uid="{00000000-0005-0000-0000-000022B90000}"/>
    <cellStyle name="Comma 5 2 3 4 2 2" xfId="2118" xr:uid="{00000000-0005-0000-0000-000023B90000}"/>
    <cellStyle name="Comma 5 2 3 4 2 2 10" xfId="22949" xr:uid="{00000000-0005-0000-0000-000024B90000}"/>
    <cellStyle name="Comma 5 2 3 4 2 2 2" xfId="4566" xr:uid="{00000000-0005-0000-0000-000025B90000}"/>
    <cellStyle name="Comma 5 2 3 4 2 2 2 2" xfId="20501" xr:uid="{00000000-0005-0000-0000-000026B90000}"/>
    <cellStyle name="Comma 5 2 3 4 2 2 2 2 2" xfId="43779" xr:uid="{00000000-0005-0000-0000-000027B90000}"/>
    <cellStyle name="Comma 5 2 3 4 2 2 2 3" xfId="48675" xr:uid="{00000000-0005-0000-0000-000028B90000}"/>
    <cellStyle name="Comma 5 2 3 4 2 2 2 4" xfId="27845" xr:uid="{00000000-0005-0000-0000-000029B90000}"/>
    <cellStyle name="Comma 5 2 3 4 2 2 3" xfId="7014" xr:uid="{00000000-0005-0000-0000-00002AB90000}"/>
    <cellStyle name="Comma 5 2 3 4 2 2 3 2" xfId="30293" xr:uid="{00000000-0005-0000-0000-00002BB90000}"/>
    <cellStyle name="Comma 5 2 3 4 2 2 4" xfId="9462" xr:uid="{00000000-0005-0000-0000-00002CB90000}"/>
    <cellStyle name="Comma 5 2 3 4 2 2 4 2" xfId="32741" xr:uid="{00000000-0005-0000-0000-00002DB90000}"/>
    <cellStyle name="Comma 5 2 3 4 2 2 5" xfId="11910" xr:uid="{00000000-0005-0000-0000-00002EB90000}"/>
    <cellStyle name="Comma 5 2 3 4 2 2 5 2" xfId="35189" xr:uid="{00000000-0005-0000-0000-00002FB90000}"/>
    <cellStyle name="Comma 5 2 3 4 2 2 6" xfId="14358" xr:uid="{00000000-0005-0000-0000-000030B90000}"/>
    <cellStyle name="Comma 5 2 3 4 2 2 6 2" xfId="37637" xr:uid="{00000000-0005-0000-0000-000031B90000}"/>
    <cellStyle name="Comma 5 2 3 4 2 2 7" xfId="18053" xr:uid="{00000000-0005-0000-0000-000032B90000}"/>
    <cellStyle name="Comma 5 2 3 4 2 2 7 2" xfId="41331" xr:uid="{00000000-0005-0000-0000-000033B90000}"/>
    <cellStyle name="Comma 5 2 3 4 2 2 8" xfId="25397" xr:uid="{00000000-0005-0000-0000-000034B90000}"/>
    <cellStyle name="Comma 5 2 3 4 2 2 9" xfId="46227" xr:uid="{00000000-0005-0000-0000-000035B90000}"/>
    <cellStyle name="Comma 5 2 3 4 2 3" xfId="3342" xr:uid="{00000000-0005-0000-0000-000036B90000}"/>
    <cellStyle name="Comma 5 2 3 4 2 3 2" xfId="16829" xr:uid="{00000000-0005-0000-0000-000037B90000}"/>
    <cellStyle name="Comma 5 2 3 4 2 3 2 2" xfId="40107" xr:uid="{00000000-0005-0000-0000-000038B90000}"/>
    <cellStyle name="Comma 5 2 3 4 2 3 3" xfId="47451" xr:uid="{00000000-0005-0000-0000-000039B90000}"/>
    <cellStyle name="Comma 5 2 3 4 2 3 4" xfId="26621" xr:uid="{00000000-0005-0000-0000-00003AB90000}"/>
    <cellStyle name="Comma 5 2 3 4 2 4" xfId="5790" xr:uid="{00000000-0005-0000-0000-00003BB90000}"/>
    <cellStyle name="Comma 5 2 3 4 2 4 2" xfId="19277" xr:uid="{00000000-0005-0000-0000-00003CB90000}"/>
    <cellStyle name="Comma 5 2 3 4 2 4 2 2" xfId="42555" xr:uid="{00000000-0005-0000-0000-00003DB90000}"/>
    <cellStyle name="Comma 5 2 3 4 2 4 3" xfId="29069" xr:uid="{00000000-0005-0000-0000-00003EB90000}"/>
    <cellStyle name="Comma 5 2 3 4 2 5" xfId="8238" xr:uid="{00000000-0005-0000-0000-00003FB90000}"/>
    <cellStyle name="Comma 5 2 3 4 2 5 2" xfId="31517" xr:uid="{00000000-0005-0000-0000-000040B90000}"/>
    <cellStyle name="Comma 5 2 3 4 2 6" xfId="10686" xr:uid="{00000000-0005-0000-0000-000041B90000}"/>
    <cellStyle name="Comma 5 2 3 4 2 6 2" xfId="33965" xr:uid="{00000000-0005-0000-0000-000042B90000}"/>
    <cellStyle name="Comma 5 2 3 4 2 7" xfId="13134" xr:uid="{00000000-0005-0000-0000-000043B90000}"/>
    <cellStyle name="Comma 5 2 3 4 2 7 2" xfId="36413" xr:uid="{00000000-0005-0000-0000-000044B90000}"/>
    <cellStyle name="Comma 5 2 3 4 2 8" xfId="15605" xr:uid="{00000000-0005-0000-0000-000045B90000}"/>
    <cellStyle name="Comma 5 2 3 4 2 8 2" xfId="38883" xr:uid="{00000000-0005-0000-0000-000046B90000}"/>
    <cellStyle name="Comma 5 2 3 4 2 9" xfId="24173" xr:uid="{00000000-0005-0000-0000-000047B90000}"/>
    <cellStyle name="Comma 5 2 3 4 3" xfId="1506" xr:uid="{00000000-0005-0000-0000-000048B90000}"/>
    <cellStyle name="Comma 5 2 3 4 3 10" xfId="22337" xr:uid="{00000000-0005-0000-0000-000049B90000}"/>
    <cellStyle name="Comma 5 2 3 4 3 2" xfId="3954" xr:uid="{00000000-0005-0000-0000-00004AB90000}"/>
    <cellStyle name="Comma 5 2 3 4 3 2 2" xfId="19889" xr:uid="{00000000-0005-0000-0000-00004BB90000}"/>
    <cellStyle name="Comma 5 2 3 4 3 2 2 2" xfId="43167" xr:uid="{00000000-0005-0000-0000-00004CB90000}"/>
    <cellStyle name="Comma 5 2 3 4 3 2 3" xfId="48063" xr:uid="{00000000-0005-0000-0000-00004DB90000}"/>
    <cellStyle name="Comma 5 2 3 4 3 2 4" xfId="27233" xr:uid="{00000000-0005-0000-0000-00004EB90000}"/>
    <cellStyle name="Comma 5 2 3 4 3 3" xfId="6402" xr:uid="{00000000-0005-0000-0000-00004FB90000}"/>
    <cellStyle name="Comma 5 2 3 4 3 3 2" xfId="29681" xr:uid="{00000000-0005-0000-0000-000050B90000}"/>
    <cellStyle name="Comma 5 2 3 4 3 4" xfId="8850" xr:uid="{00000000-0005-0000-0000-000051B90000}"/>
    <cellStyle name="Comma 5 2 3 4 3 4 2" xfId="32129" xr:uid="{00000000-0005-0000-0000-000052B90000}"/>
    <cellStyle name="Comma 5 2 3 4 3 5" xfId="11298" xr:uid="{00000000-0005-0000-0000-000053B90000}"/>
    <cellStyle name="Comma 5 2 3 4 3 5 2" xfId="34577" xr:uid="{00000000-0005-0000-0000-000054B90000}"/>
    <cellStyle name="Comma 5 2 3 4 3 6" xfId="13746" xr:uid="{00000000-0005-0000-0000-000055B90000}"/>
    <cellStyle name="Comma 5 2 3 4 3 6 2" xfId="37025" xr:uid="{00000000-0005-0000-0000-000056B90000}"/>
    <cellStyle name="Comma 5 2 3 4 3 7" xfId="17441" xr:uid="{00000000-0005-0000-0000-000057B90000}"/>
    <cellStyle name="Comma 5 2 3 4 3 7 2" xfId="40719" xr:uid="{00000000-0005-0000-0000-000058B90000}"/>
    <cellStyle name="Comma 5 2 3 4 3 8" xfId="24785" xr:uid="{00000000-0005-0000-0000-000059B90000}"/>
    <cellStyle name="Comma 5 2 3 4 3 9" xfId="45615" xr:uid="{00000000-0005-0000-0000-00005AB90000}"/>
    <cellStyle name="Comma 5 2 3 4 4" xfId="2730" xr:uid="{00000000-0005-0000-0000-00005BB90000}"/>
    <cellStyle name="Comma 5 2 3 4 4 2" xfId="16217" xr:uid="{00000000-0005-0000-0000-00005CB90000}"/>
    <cellStyle name="Comma 5 2 3 4 4 2 2" xfId="39495" xr:uid="{00000000-0005-0000-0000-00005DB90000}"/>
    <cellStyle name="Comma 5 2 3 4 4 3" xfId="46839" xr:uid="{00000000-0005-0000-0000-00005EB90000}"/>
    <cellStyle name="Comma 5 2 3 4 4 4" xfId="26009" xr:uid="{00000000-0005-0000-0000-00005FB90000}"/>
    <cellStyle name="Comma 5 2 3 4 5" xfId="5178" xr:uid="{00000000-0005-0000-0000-000060B90000}"/>
    <cellStyle name="Comma 5 2 3 4 5 2" xfId="18665" xr:uid="{00000000-0005-0000-0000-000061B90000}"/>
    <cellStyle name="Comma 5 2 3 4 5 2 2" xfId="41943" xr:uid="{00000000-0005-0000-0000-000062B90000}"/>
    <cellStyle name="Comma 5 2 3 4 5 3" xfId="28457" xr:uid="{00000000-0005-0000-0000-000063B90000}"/>
    <cellStyle name="Comma 5 2 3 4 6" xfId="7626" xr:uid="{00000000-0005-0000-0000-000064B90000}"/>
    <cellStyle name="Comma 5 2 3 4 6 2" xfId="30905" xr:uid="{00000000-0005-0000-0000-000065B90000}"/>
    <cellStyle name="Comma 5 2 3 4 7" xfId="10074" xr:uid="{00000000-0005-0000-0000-000066B90000}"/>
    <cellStyle name="Comma 5 2 3 4 7 2" xfId="33353" xr:uid="{00000000-0005-0000-0000-000067B90000}"/>
    <cellStyle name="Comma 5 2 3 4 8" xfId="12522" xr:uid="{00000000-0005-0000-0000-000068B90000}"/>
    <cellStyle name="Comma 5 2 3 4 8 2" xfId="35801" xr:uid="{00000000-0005-0000-0000-000069B90000}"/>
    <cellStyle name="Comma 5 2 3 4 9" xfId="14993" xr:uid="{00000000-0005-0000-0000-00006AB90000}"/>
    <cellStyle name="Comma 5 2 3 4 9 2" xfId="38271" xr:uid="{00000000-0005-0000-0000-00006BB90000}"/>
    <cellStyle name="Comma 5 2 3 5" xfId="486" xr:uid="{00000000-0005-0000-0000-00006CB90000}"/>
    <cellStyle name="Comma 5 2 3 5 10" xfId="23765" xr:uid="{00000000-0005-0000-0000-00006DB90000}"/>
    <cellStyle name="Comma 5 2 3 5 11" xfId="44595" xr:uid="{00000000-0005-0000-0000-00006EB90000}"/>
    <cellStyle name="Comma 5 2 3 5 12" xfId="21317" xr:uid="{00000000-0005-0000-0000-00006FB90000}"/>
    <cellStyle name="Comma 5 2 3 5 2" xfId="1098" xr:uid="{00000000-0005-0000-0000-000070B90000}"/>
    <cellStyle name="Comma 5 2 3 5 2 10" xfId="45207" xr:uid="{00000000-0005-0000-0000-000071B90000}"/>
    <cellStyle name="Comma 5 2 3 5 2 11" xfId="21929" xr:uid="{00000000-0005-0000-0000-000072B90000}"/>
    <cellStyle name="Comma 5 2 3 5 2 2" xfId="2322" xr:uid="{00000000-0005-0000-0000-000073B90000}"/>
    <cellStyle name="Comma 5 2 3 5 2 2 10" xfId="23153" xr:uid="{00000000-0005-0000-0000-000074B90000}"/>
    <cellStyle name="Comma 5 2 3 5 2 2 2" xfId="4770" xr:uid="{00000000-0005-0000-0000-000075B90000}"/>
    <cellStyle name="Comma 5 2 3 5 2 2 2 2" xfId="20705" xr:uid="{00000000-0005-0000-0000-000076B90000}"/>
    <cellStyle name="Comma 5 2 3 5 2 2 2 2 2" xfId="43983" xr:uid="{00000000-0005-0000-0000-000077B90000}"/>
    <cellStyle name="Comma 5 2 3 5 2 2 2 3" xfId="48879" xr:uid="{00000000-0005-0000-0000-000078B90000}"/>
    <cellStyle name="Comma 5 2 3 5 2 2 2 4" xfId="28049" xr:uid="{00000000-0005-0000-0000-000079B90000}"/>
    <cellStyle name="Comma 5 2 3 5 2 2 3" xfId="7218" xr:uid="{00000000-0005-0000-0000-00007AB90000}"/>
    <cellStyle name="Comma 5 2 3 5 2 2 3 2" xfId="30497" xr:uid="{00000000-0005-0000-0000-00007BB90000}"/>
    <cellStyle name="Comma 5 2 3 5 2 2 4" xfId="9666" xr:uid="{00000000-0005-0000-0000-00007CB90000}"/>
    <cellStyle name="Comma 5 2 3 5 2 2 4 2" xfId="32945" xr:uid="{00000000-0005-0000-0000-00007DB90000}"/>
    <cellStyle name="Comma 5 2 3 5 2 2 5" xfId="12114" xr:uid="{00000000-0005-0000-0000-00007EB90000}"/>
    <cellStyle name="Comma 5 2 3 5 2 2 5 2" xfId="35393" xr:uid="{00000000-0005-0000-0000-00007FB90000}"/>
    <cellStyle name="Comma 5 2 3 5 2 2 6" xfId="14562" xr:uid="{00000000-0005-0000-0000-000080B90000}"/>
    <cellStyle name="Comma 5 2 3 5 2 2 6 2" xfId="37841" xr:uid="{00000000-0005-0000-0000-000081B90000}"/>
    <cellStyle name="Comma 5 2 3 5 2 2 7" xfId="18257" xr:uid="{00000000-0005-0000-0000-000082B90000}"/>
    <cellStyle name="Comma 5 2 3 5 2 2 7 2" xfId="41535" xr:uid="{00000000-0005-0000-0000-000083B90000}"/>
    <cellStyle name="Comma 5 2 3 5 2 2 8" xfId="25601" xr:uid="{00000000-0005-0000-0000-000084B90000}"/>
    <cellStyle name="Comma 5 2 3 5 2 2 9" xfId="46431" xr:uid="{00000000-0005-0000-0000-000085B90000}"/>
    <cellStyle name="Comma 5 2 3 5 2 3" xfId="3546" xr:uid="{00000000-0005-0000-0000-000086B90000}"/>
    <cellStyle name="Comma 5 2 3 5 2 3 2" xfId="17033" xr:uid="{00000000-0005-0000-0000-000087B90000}"/>
    <cellStyle name="Comma 5 2 3 5 2 3 2 2" xfId="40311" xr:uid="{00000000-0005-0000-0000-000088B90000}"/>
    <cellStyle name="Comma 5 2 3 5 2 3 3" xfId="47655" xr:uid="{00000000-0005-0000-0000-000089B90000}"/>
    <cellStyle name="Comma 5 2 3 5 2 3 4" xfId="26825" xr:uid="{00000000-0005-0000-0000-00008AB90000}"/>
    <cellStyle name="Comma 5 2 3 5 2 4" xfId="5994" xr:uid="{00000000-0005-0000-0000-00008BB90000}"/>
    <cellStyle name="Comma 5 2 3 5 2 4 2" xfId="19481" xr:uid="{00000000-0005-0000-0000-00008CB90000}"/>
    <cellStyle name="Comma 5 2 3 5 2 4 2 2" xfId="42759" xr:uid="{00000000-0005-0000-0000-00008DB90000}"/>
    <cellStyle name="Comma 5 2 3 5 2 4 3" xfId="29273" xr:uid="{00000000-0005-0000-0000-00008EB90000}"/>
    <cellStyle name="Comma 5 2 3 5 2 5" xfId="8442" xr:uid="{00000000-0005-0000-0000-00008FB90000}"/>
    <cellStyle name="Comma 5 2 3 5 2 5 2" xfId="31721" xr:uid="{00000000-0005-0000-0000-000090B90000}"/>
    <cellStyle name="Comma 5 2 3 5 2 6" xfId="10890" xr:uid="{00000000-0005-0000-0000-000091B90000}"/>
    <cellStyle name="Comma 5 2 3 5 2 6 2" xfId="34169" xr:uid="{00000000-0005-0000-0000-000092B90000}"/>
    <cellStyle name="Comma 5 2 3 5 2 7" xfId="13338" xr:uid="{00000000-0005-0000-0000-000093B90000}"/>
    <cellStyle name="Comma 5 2 3 5 2 7 2" xfId="36617" xr:uid="{00000000-0005-0000-0000-000094B90000}"/>
    <cellStyle name="Comma 5 2 3 5 2 8" xfId="15809" xr:uid="{00000000-0005-0000-0000-000095B90000}"/>
    <cellStyle name="Comma 5 2 3 5 2 8 2" xfId="39087" xr:uid="{00000000-0005-0000-0000-000096B90000}"/>
    <cellStyle name="Comma 5 2 3 5 2 9" xfId="24377" xr:uid="{00000000-0005-0000-0000-000097B90000}"/>
    <cellStyle name="Comma 5 2 3 5 3" xfId="1710" xr:uid="{00000000-0005-0000-0000-000098B90000}"/>
    <cellStyle name="Comma 5 2 3 5 3 10" xfId="22541" xr:uid="{00000000-0005-0000-0000-000099B90000}"/>
    <cellStyle name="Comma 5 2 3 5 3 2" xfId="4158" xr:uid="{00000000-0005-0000-0000-00009AB90000}"/>
    <cellStyle name="Comma 5 2 3 5 3 2 2" xfId="20093" xr:uid="{00000000-0005-0000-0000-00009BB90000}"/>
    <cellStyle name="Comma 5 2 3 5 3 2 2 2" xfId="43371" xr:uid="{00000000-0005-0000-0000-00009CB90000}"/>
    <cellStyle name="Comma 5 2 3 5 3 2 3" xfId="48267" xr:uid="{00000000-0005-0000-0000-00009DB90000}"/>
    <cellStyle name="Comma 5 2 3 5 3 2 4" xfId="27437" xr:uid="{00000000-0005-0000-0000-00009EB90000}"/>
    <cellStyle name="Comma 5 2 3 5 3 3" xfId="6606" xr:uid="{00000000-0005-0000-0000-00009FB90000}"/>
    <cellStyle name="Comma 5 2 3 5 3 3 2" xfId="29885" xr:uid="{00000000-0005-0000-0000-0000A0B90000}"/>
    <cellStyle name="Comma 5 2 3 5 3 4" xfId="9054" xr:uid="{00000000-0005-0000-0000-0000A1B90000}"/>
    <cellStyle name="Comma 5 2 3 5 3 4 2" xfId="32333" xr:uid="{00000000-0005-0000-0000-0000A2B90000}"/>
    <cellStyle name="Comma 5 2 3 5 3 5" xfId="11502" xr:uid="{00000000-0005-0000-0000-0000A3B90000}"/>
    <cellStyle name="Comma 5 2 3 5 3 5 2" xfId="34781" xr:uid="{00000000-0005-0000-0000-0000A4B90000}"/>
    <cellStyle name="Comma 5 2 3 5 3 6" xfId="13950" xr:uid="{00000000-0005-0000-0000-0000A5B90000}"/>
    <cellStyle name="Comma 5 2 3 5 3 6 2" xfId="37229" xr:uid="{00000000-0005-0000-0000-0000A6B90000}"/>
    <cellStyle name="Comma 5 2 3 5 3 7" xfId="17645" xr:uid="{00000000-0005-0000-0000-0000A7B90000}"/>
    <cellStyle name="Comma 5 2 3 5 3 7 2" xfId="40923" xr:uid="{00000000-0005-0000-0000-0000A8B90000}"/>
    <cellStyle name="Comma 5 2 3 5 3 8" xfId="24989" xr:uid="{00000000-0005-0000-0000-0000A9B90000}"/>
    <cellStyle name="Comma 5 2 3 5 3 9" xfId="45819" xr:uid="{00000000-0005-0000-0000-0000AAB90000}"/>
    <cellStyle name="Comma 5 2 3 5 4" xfId="2934" xr:uid="{00000000-0005-0000-0000-0000ABB90000}"/>
    <cellStyle name="Comma 5 2 3 5 4 2" xfId="16421" xr:uid="{00000000-0005-0000-0000-0000ACB90000}"/>
    <cellStyle name="Comma 5 2 3 5 4 2 2" xfId="39699" xr:uid="{00000000-0005-0000-0000-0000ADB90000}"/>
    <cellStyle name="Comma 5 2 3 5 4 3" xfId="47043" xr:uid="{00000000-0005-0000-0000-0000AEB90000}"/>
    <cellStyle name="Comma 5 2 3 5 4 4" xfId="26213" xr:uid="{00000000-0005-0000-0000-0000AFB90000}"/>
    <cellStyle name="Comma 5 2 3 5 5" xfId="5382" xr:uid="{00000000-0005-0000-0000-0000B0B90000}"/>
    <cellStyle name="Comma 5 2 3 5 5 2" xfId="18869" xr:uid="{00000000-0005-0000-0000-0000B1B90000}"/>
    <cellStyle name="Comma 5 2 3 5 5 2 2" xfId="42147" xr:uid="{00000000-0005-0000-0000-0000B2B90000}"/>
    <cellStyle name="Comma 5 2 3 5 5 3" xfId="28661" xr:uid="{00000000-0005-0000-0000-0000B3B90000}"/>
    <cellStyle name="Comma 5 2 3 5 6" xfId="7830" xr:uid="{00000000-0005-0000-0000-0000B4B90000}"/>
    <cellStyle name="Comma 5 2 3 5 6 2" xfId="31109" xr:uid="{00000000-0005-0000-0000-0000B5B90000}"/>
    <cellStyle name="Comma 5 2 3 5 7" xfId="10278" xr:uid="{00000000-0005-0000-0000-0000B6B90000}"/>
    <cellStyle name="Comma 5 2 3 5 7 2" xfId="33557" xr:uid="{00000000-0005-0000-0000-0000B7B90000}"/>
    <cellStyle name="Comma 5 2 3 5 8" xfId="12726" xr:uid="{00000000-0005-0000-0000-0000B8B90000}"/>
    <cellStyle name="Comma 5 2 3 5 8 2" xfId="36005" xr:uid="{00000000-0005-0000-0000-0000B9B90000}"/>
    <cellStyle name="Comma 5 2 3 5 9" xfId="15197" xr:uid="{00000000-0005-0000-0000-0000BAB90000}"/>
    <cellStyle name="Comma 5 2 3 5 9 2" xfId="38475" xr:uid="{00000000-0005-0000-0000-0000BBB90000}"/>
    <cellStyle name="Comma 5 2 3 6" xfId="690" xr:uid="{00000000-0005-0000-0000-0000BCB90000}"/>
    <cellStyle name="Comma 5 2 3 6 10" xfId="44799" xr:uid="{00000000-0005-0000-0000-0000BDB90000}"/>
    <cellStyle name="Comma 5 2 3 6 11" xfId="21521" xr:uid="{00000000-0005-0000-0000-0000BEB90000}"/>
    <cellStyle name="Comma 5 2 3 6 2" xfId="1914" xr:uid="{00000000-0005-0000-0000-0000BFB90000}"/>
    <cellStyle name="Comma 5 2 3 6 2 10" xfId="22745" xr:uid="{00000000-0005-0000-0000-0000C0B90000}"/>
    <cellStyle name="Comma 5 2 3 6 2 2" xfId="4362" xr:uid="{00000000-0005-0000-0000-0000C1B90000}"/>
    <cellStyle name="Comma 5 2 3 6 2 2 2" xfId="20297" xr:uid="{00000000-0005-0000-0000-0000C2B90000}"/>
    <cellStyle name="Comma 5 2 3 6 2 2 2 2" xfId="43575" xr:uid="{00000000-0005-0000-0000-0000C3B90000}"/>
    <cellStyle name="Comma 5 2 3 6 2 2 3" xfId="48471" xr:uid="{00000000-0005-0000-0000-0000C4B90000}"/>
    <cellStyle name="Comma 5 2 3 6 2 2 4" xfId="27641" xr:uid="{00000000-0005-0000-0000-0000C5B90000}"/>
    <cellStyle name="Comma 5 2 3 6 2 3" xfId="6810" xr:uid="{00000000-0005-0000-0000-0000C6B90000}"/>
    <cellStyle name="Comma 5 2 3 6 2 3 2" xfId="30089" xr:uid="{00000000-0005-0000-0000-0000C7B90000}"/>
    <cellStyle name="Comma 5 2 3 6 2 4" xfId="9258" xr:uid="{00000000-0005-0000-0000-0000C8B90000}"/>
    <cellStyle name="Comma 5 2 3 6 2 4 2" xfId="32537" xr:uid="{00000000-0005-0000-0000-0000C9B90000}"/>
    <cellStyle name="Comma 5 2 3 6 2 5" xfId="11706" xr:uid="{00000000-0005-0000-0000-0000CAB90000}"/>
    <cellStyle name="Comma 5 2 3 6 2 5 2" xfId="34985" xr:uid="{00000000-0005-0000-0000-0000CBB90000}"/>
    <cellStyle name="Comma 5 2 3 6 2 6" xfId="14154" xr:uid="{00000000-0005-0000-0000-0000CCB90000}"/>
    <cellStyle name="Comma 5 2 3 6 2 6 2" xfId="37433" xr:uid="{00000000-0005-0000-0000-0000CDB90000}"/>
    <cellStyle name="Comma 5 2 3 6 2 7" xfId="17849" xr:uid="{00000000-0005-0000-0000-0000CEB90000}"/>
    <cellStyle name="Comma 5 2 3 6 2 7 2" xfId="41127" xr:uid="{00000000-0005-0000-0000-0000CFB90000}"/>
    <cellStyle name="Comma 5 2 3 6 2 8" xfId="25193" xr:uid="{00000000-0005-0000-0000-0000D0B90000}"/>
    <cellStyle name="Comma 5 2 3 6 2 9" xfId="46023" xr:uid="{00000000-0005-0000-0000-0000D1B90000}"/>
    <cellStyle name="Comma 5 2 3 6 3" xfId="3138" xr:uid="{00000000-0005-0000-0000-0000D2B90000}"/>
    <cellStyle name="Comma 5 2 3 6 3 2" xfId="16625" xr:uid="{00000000-0005-0000-0000-0000D3B90000}"/>
    <cellStyle name="Comma 5 2 3 6 3 2 2" xfId="39903" xr:uid="{00000000-0005-0000-0000-0000D4B90000}"/>
    <cellStyle name="Comma 5 2 3 6 3 3" xfId="47247" xr:uid="{00000000-0005-0000-0000-0000D5B90000}"/>
    <cellStyle name="Comma 5 2 3 6 3 4" xfId="26417" xr:uid="{00000000-0005-0000-0000-0000D6B90000}"/>
    <cellStyle name="Comma 5 2 3 6 4" xfId="5586" xr:uid="{00000000-0005-0000-0000-0000D7B90000}"/>
    <cellStyle name="Comma 5 2 3 6 4 2" xfId="19073" xr:uid="{00000000-0005-0000-0000-0000D8B90000}"/>
    <cellStyle name="Comma 5 2 3 6 4 2 2" xfId="42351" xr:uid="{00000000-0005-0000-0000-0000D9B90000}"/>
    <cellStyle name="Comma 5 2 3 6 4 3" xfId="28865" xr:uid="{00000000-0005-0000-0000-0000DAB90000}"/>
    <cellStyle name="Comma 5 2 3 6 5" xfId="8034" xr:uid="{00000000-0005-0000-0000-0000DBB90000}"/>
    <cellStyle name="Comma 5 2 3 6 5 2" xfId="31313" xr:uid="{00000000-0005-0000-0000-0000DCB90000}"/>
    <cellStyle name="Comma 5 2 3 6 6" xfId="10482" xr:uid="{00000000-0005-0000-0000-0000DDB90000}"/>
    <cellStyle name="Comma 5 2 3 6 6 2" xfId="33761" xr:uid="{00000000-0005-0000-0000-0000DEB90000}"/>
    <cellStyle name="Comma 5 2 3 6 7" xfId="12930" xr:uid="{00000000-0005-0000-0000-0000DFB90000}"/>
    <cellStyle name="Comma 5 2 3 6 7 2" xfId="36209" xr:uid="{00000000-0005-0000-0000-0000E0B90000}"/>
    <cellStyle name="Comma 5 2 3 6 8" xfId="15401" xr:uid="{00000000-0005-0000-0000-0000E1B90000}"/>
    <cellStyle name="Comma 5 2 3 6 8 2" xfId="38679" xr:uid="{00000000-0005-0000-0000-0000E2B90000}"/>
    <cellStyle name="Comma 5 2 3 6 9" xfId="23969" xr:uid="{00000000-0005-0000-0000-0000E3B90000}"/>
    <cellStyle name="Comma 5 2 3 7" xfId="1302" xr:uid="{00000000-0005-0000-0000-0000E4B90000}"/>
    <cellStyle name="Comma 5 2 3 7 10" xfId="22133" xr:uid="{00000000-0005-0000-0000-0000E5B90000}"/>
    <cellStyle name="Comma 5 2 3 7 2" xfId="3750" xr:uid="{00000000-0005-0000-0000-0000E6B90000}"/>
    <cellStyle name="Comma 5 2 3 7 2 2" xfId="19685" xr:uid="{00000000-0005-0000-0000-0000E7B90000}"/>
    <cellStyle name="Comma 5 2 3 7 2 2 2" xfId="42963" xr:uid="{00000000-0005-0000-0000-0000E8B90000}"/>
    <cellStyle name="Comma 5 2 3 7 2 3" xfId="47859" xr:uid="{00000000-0005-0000-0000-0000E9B90000}"/>
    <cellStyle name="Comma 5 2 3 7 2 4" xfId="27029" xr:uid="{00000000-0005-0000-0000-0000EAB90000}"/>
    <cellStyle name="Comma 5 2 3 7 3" xfId="6198" xr:uid="{00000000-0005-0000-0000-0000EBB90000}"/>
    <cellStyle name="Comma 5 2 3 7 3 2" xfId="29477" xr:uid="{00000000-0005-0000-0000-0000ECB90000}"/>
    <cellStyle name="Comma 5 2 3 7 4" xfId="8646" xr:uid="{00000000-0005-0000-0000-0000EDB90000}"/>
    <cellStyle name="Comma 5 2 3 7 4 2" xfId="31925" xr:uid="{00000000-0005-0000-0000-0000EEB90000}"/>
    <cellStyle name="Comma 5 2 3 7 5" xfId="11094" xr:uid="{00000000-0005-0000-0000-0000EFB90000}"/>
    <cellStyle name="Comma 5 2 3 7 5 2" xfId="34373" xr:uid="{00000000-0005-0000-0000-0000F0B90000}"/>
    <cellStyle name="Comma 5 2 3 7 6" xfId="13542" xr:uid="{00000000-0005-0000-0000-0000F1B90000}"/>
    <cellStyle name="Comma 5 2 3 7 6 2" xfId="36821" xr:uid="{00000000-0005-0000-0000-0000F2B90000}"/>
    <cellStyle name="Comma 5 2 3 7 7" xfId="17237" xr:uid="{00000000-0005-0000-0000-0000F3B90000}"/>
    <cellStyle name="Comma 5 2 3 7 7 2" xfId="40515" xr:uid="{00000000-0005-0000-0000-0000F4B90000}"/>
    <cellStyle name="Comma 5 2 3 7 8" xfId="24581" xr:uid="{00000000-0005-0000-0000-0000F5B90000}"/>
    <cellStyle name="Comma 5 2 3 7 9" xfId="45411" xr:uid="{00000000-0005-0000-0000-0000F6B90000}"/>
    <cellStyle name="Comma 5 2 3 8" xfId="2526" xr:uid="{00000000-0005-0000-0000-0000F7B90000}"/>
    <cellStyle name="Comma 5 2 3 8 2" xfId="16013" xr:uid="{00000000-0005-0000-0000-0000F8B90000}"/>
    <cellStyle name="Comma 5 2 3 8 2 2" xfId="39291" xr:uid="{00000000-0005-0000-0000-0000F9B90000}"/>
    <cellStyle name="Comma 5 2 3 8 3" xfId="46635" xr:uid="{00000000-0005-0000-0000-0000FAB90000}"/>
    <cellStyle name="Comma 5 2 3 8 4" xfId="25805" xr:uid="{00000000-0005-0000-0000-0000FBB90000}"/>
    <cellStyle name="Comma 5 2 3 9" xfId="4974" xr:uid="{00000000-0005-0000-0000-0000FCB90000}"/>
    <cellStyle name="Comma 5 2 3 9 2" xfId="18461" xr:uid="{00000000-0005-0000-0000-0000FDB90000}"/>
    <cellStyle name="Comma 5 2 3 9 2 2" xfId="41739" xr:uid="{00000000-0005-0000-0000-0000FEB90000}"/>
    <cellStyle name="Comma 5 2 3 9 3" xfId="28253" xr:uid="{00000000-0005-0000-0000-0000FFB90000}"/>
    <cellStyle name="Comma 5 2 4" xfId="95" xr:uid="{00000000-0005-0000-0000-000000BA0000}"/>
    <cellStyle name="Comma 5 2 4 10" xfId="7439" xr:uid="{00000000-0005-0000-0000-000001BA0000}"/>
    <cellStyle name="Comma 5 2 4 10 2" xfId="30718" xr:uid="{00000000-0005-0000-0000-000002BA0000}"/>
    <cellStyle name="Comma 5 2 4 11" xfId="9887" xr:uid="{00000000-0005-0000-0000-000003BA0000}"/>
    <cellStyle name="Comma 5 2 4 11 2" xfId="33166" xr:uid="{00000000-0005-0000-0000-000004BA0000}"/>
    <cellStyle name="Comma 5 2 4 12" xfId="12335" xr:uid="{00000000-0005-0000-0000-000005BA0000}"/>
    <cellStyle name="Comma 5 2 4 12 2" xfId="35614" xr:uid="{00000000-0005-0000-0000-000006BA0000}"/>
    <cellStyle name="Comma 5 2 4 13" xfId="14806" xr:uid="{00000000-0005-0000-0000-000007BA0000}"/>
    <cellStyle name="Comma 5 2 4 13 2" xfId="38084" xr:uid="{00000000-0005-0000-0000-000008BA0000}"/>
    <cellStyle name="Comma 5 2 4 14" xfId="23374" xr:uid="{00000000-0005-0000-0000-000009BA0000}"/>
    <cellStyle name="Comma 5 2 4 15" xfId="44204" xr:uid="{00000000-0005-0000-0000-00000ABA0000}"/>
    <cellStyle name="Comma 5 2 4 16" xfId="20926" xr:uid="{00000000-0005-0000-0000-00000BBA0000}"/>
    <cellStyle name="Comma 5 2 4 2" xfId="163" xr:uid="{00000000-0005-0000-0000-00000CBA0000}"/>
    <cellStyle name="Comma 5 2 4 2 10" xfId="12403" xr:uid="{00000000-0005-0000-0000-00000DBA0000}"/>
    <cellStyle name="Comma 5 2 4 2 10 2" xfId="35682" xr:uid="{00000000-0005-0000-0000-00000EBA0000}"/>
    <cellStyle name="Comma 5 2 4 2 11" xfId="14874" xr:uid="{00000000-0005-0000-0000-00000FBA0000}"/>
    <cellStyle name="Comma 5 2 4 2 11 2" xfId="38152" xr:uid="{00000000-0005-0000-0000-000010BA0000}"/>
    <cellStyle name="Comma 5 2 4 2 12" xfId="23442" xr:uid="{00000000-0005-0000-0000-000011BA0000}"/>
    <cellStyle name="Comma 5 2 4 2 13" xfId="44272" xr:uid="{00000000-0005-0000-0000-000012BA0000}"/>
    <cellStyle name="Comma 5 2 4 2 14" xfId="20994" xr:uid="{00000000-0005-0000-0000-000013BA0000}"/>
    <cellStyle name="Comma 5 2 4 2 2" xfId="367" xr:uid="{00000000-0005-0000-0000-000014BA0000}"/>
    <cellStyle name="Comma 5 2 4 2 2 10" xfId="23646" xr:uid="{00000000-0005-0000-0000-000015BA0000}"/>
    <cellStyle name="Comma 5 2 4 2 2 11" xfId="44476" xr:uid="{00000000-0005-0000-0000-000016BA0000}"/>
    <cellStyle name="Comma 5 2 4 2 2 12" xfId="21198" xr:uid="{00000000-0005-0000-0000-000017BA0000}"/>
    <cellStyle name="Comma 5 2 4 2 2 2" xfId="979" xr:uid="{00000000-0005-0000-0000-000018BA0000}"/>
    <cellStyle name="Comma 5 2 4 2 2 2 10" xfId="45088" xr:uid="{00000000-0005-0000-0000-000019BA0000}"/>
    <cellStyle name="Comma 5 2 4 2 2 2 11" xfId="21810" xr:uid="{00000000-0005-0000-0000-00001ABA0000}"/>
    <cellStyle name="Comma 5 2 4 2 2 2 2" xfId="2203" xr:uid="{00000000-0005-0000-0000-00001BBA0000}"/>
    <cellStyle name="Comma 5 2 4 2 2 2 2 10" xfId="23034" xr:uid="{00000000-0005-0000-0000-00001CBA0000}"/>
    <cellStyle name="Comma 5 2 4 2 2 2 2 2" xfId="4651" xr:uid="{00000000-0005-0000-0000-00001DBA0000}"/>
    <cellStyle name="Comma 5 2 4 2 2 2 2 2 2" xfId="20586" xr:uid="{00000000-0005-0000-0000-00001EBA0000}"/>
    <cellStyle name="Comma 5 2 4 2 2 2 2 2 2 2" xfId="43864" xr:uid="{00000000-0005-0000-0000-00001FBA0000}"/>
    <cellStyle name="Comma 5 2 4 2 2 2 2 2 3" xfId="48760" xr:uid="{00000000-0005-0000-0000-000020BA0000}"/>
    <cellStyle name="Comma 5 2 4 2 2 2 2 2 4" xfId="27930" xr:uid="{00000000-0005-0000-0000-000021BA0000}"/>
    <cellStyle name="Comma 5 2 4 2 2 2 2 3" xfId="7099" xr:uid="{00000000-0005-0000-0000-000022BA0000}"/>
    <cellStyle name="Comma 5 2 4 2 2 2 2 3 2" xfId="30378" xr:uid="{00000000-0005-0000-0000-000023BA0000}"/>
    <cellStyle name="Comma 5 2 4 2 2 2 2 4" xfId="9547" xr:uid="{00000000-0005-0000-0000-000024BA0000}"/>
    <cellStyle name="Comma 5 2 4 2 2 2 2 4 2" xfId="32826" xr:uid="{00000000-0005-0000-0000-000025BA0000}"/>
    <cellStyle name="Comma 5 2 4 2 2 2 2 5" xfId="11995" xr:uid="{00000000-0005-0000-0000-000026BA0000}"/>
    <cellStyle name="Comma 5 2 4 2 2 2 2 5 2" xfId="35274" xr:uid="{00000000-0005-0000-0000-000027BA0000}"/>
    <cellStyle name="Comma 5 2 4 2 2 2 2 6" xfId="14443" xr:uid="{00000000-0005-0000-0000-000028BA0000}"/>
    <cellStyle name="Comma 5 2 4 2 2 2 2 6 2" xfId="37722" xr:uid="{00000000-0005-0000-0000-000029BA0000}"/>
    <cellStyle name="Comma 5 2 4 2 2 2 2 7" xfId="18138" xr:uid="{00000000-0005-0000-0000-00002ABA0000}"/>
    <cellStyle name="Comma 5 2 4 2 2 2 2 7 2" xfId="41416" xr:uid="{00000000-0005-0000-0000-00002BBA0000}"/>
    <cellStyle name="Comma 5 2 4 2 2 2 2 8" xfId="25482" xr:uid="{00000000-0005-0000-0000-00002CBA0000}"/>
    <cellStyle name="Comma 5 2 4 2 2 2 2 9" xfId="46312" xr:uid="{00000000-0005-0000-0000-00002DBA0000}"/>
    <cellStyle name="Comma 5 2 4 2 2 2 3" xfId="3427" xr:uid="{00000000-0005-0000-0000-00002EBA0000}"/>
    <cellStyle name="Comma 5 2 4 2 2 2 3 2" xfId="16914" xr:uid="{00000000-0005-0000-0000-00002FBA0000}"/>
    <cellStyle name="Comma 5 2 4 2 2 2 3 2 2" xfId="40192" xr:uid="{00000000-0005-0000-0000-000030BA0000}"/>
    <cellStyle name="Comma 5 2 4 2 2 2 3 3" xfId="47536" xr:uid="{00000000-0005-0000-0000-000031BA0000}"/>
    <cellStyle name="Comma 5 2 4 2 2 2 3 4" xfId="26706" xr:uid="{00000000-0005-0000-0000-000032BA0000}"/>
    <cellStyle name="Comma 5 2 4 2 2 2 4" xfId="5875" xr:uid="{00000000-0005-0000-0000-000033BA0000}"/>
    <cellStyle name="Comma 5 2 4 2 2 2 4 2" xfId="19362" xr:uid="{00000000-0005-0000-0000-000034BA0000}"/>
    <cellStyle name="Comma 5 2 4 2 2 2 4 2 2" xfId="42640" xr:uid="{00000000-0005-0000-0000-000035BA0000}"/>
    <cellStyle name="Comma 5 2 4 2 2 2 4 3" xfId="29154" xr:uid="{00000000-0005-0000-0000-000036BA0000}"/>
    <cellStyle name="Comma 5 2 4 2 2 2 5" xfId="8323" xr:uid="{00000000-0005-0000-0000-000037BA0000}"/>
    <cellStyle name="Comma 5 2 4 2 2 2 5 2" xfId="31602" xr:uid="{00000000-0005-0000-0000-000038BA0000}"/>
    <cellStyle name="Comma 5 2 4 2 2 2 6" xfId="10771" xr:uid="{00000000-0005-0000-0000-000039BA0000}"/>
    <cellStyle name="Comma 5 2 4 2 2 2 6 2" xfId="34050" xr:uid="{00000000-0005-0000-0000-00003ABA0000}"/>
    <cellStyle name="Comma 5 2 4 2 2 2 7" xfId="13219" xr:uid="{00000000-0005-0000-0000-00003BBA0000}"/>
    <cellStyle name="Comma 5 2 4 2 2 2 7 2" xfId="36498" xr:uid="{00000000-0005-0000-0000-00003CBA0000}"/>
    <cellStyle name="Comma 5 2 4 2 2 2 8" xfId="15690" xr:uid="{00000000-0005-0000-0000-00003DBA0000}"/>
    <cellStyle name="Comma 5 2 4 2 2 2 8 2" xfId="38968" xr:uid="{00000000-0005-0000-0000-00003EBA0000}"/>
    <cellStyle name="Comma 5 2 4 2 2 2 9" xfId="24258" xr:uid="{00000000-0005-0000-0000-00003FBA0000}"/>
    <cellStyle name="Comma 5 2 4 2 2 3" xfId="1591" xr:uid="{00000000-0005-0000-0000-000040BA0000}"/>
    <cellStyle name="Comma 5 2 4 2 2 3 10" xfId="22422" xr:uid="{00000000-0005-0000-0000-000041BA0000}"/>
    <cellStyle name="Comma 5 2 4 2 2 3 2" xfId="4039" xr:uid="{00000000-0005-0000-0000-000042BA0000}"/>
    <cellStyle name="Comma 5 2 4 2 2 3 2 2" xfId="19974" xr:uid="{00000000-0005-0000-0000-000043BA0000}"/>
    <cellStyle name="Comma 5 2 4 2 2 3 2 2 2" xfId="43252" xr:uid="{00000000-0005-0000-0000-000044BA0000}"/>
    <cellStyle name="Comma 5 2 4 2 2 3 2 3" xfId="48148" xr:uid="{00000000-0005-0000-0000-000045BA0000}"/>
    <cellStyle name="Comma 5 2 4 2 2 3 2 4" xfId="27318" xr:uid="{00000000-0005-0000-0000-000046BA0000}"/>
    <cellStyle name="Comma 5 2 4 2 2 3 3" xfId="6487" xr:uid="{00000000-0005-0000-0000-000047BA0000}"/>
    <cellStyle name="Comma 5 2 4 2 2 3 3 2" xfId="29766" xr:uid="{00000000-0005-0000-0000-000048BA0000}"/>
    <cellStyle name="Comma 5 2 4 2 2 3 4" xfId="8935" xr:uid="{00000000-0005-0000-0000-000049BA0000}"/>
    <cellStyle name="Comma 5 2 4 2 2 3 4 2" xfId="32214" xr:uid="{00000000-0005-0000-0000-00004ABA0000}"/>
    <cellStyle name="Comma 5 2 4 2 2 3 5" xfId="11383" xr:uid="{00000000-0005-0000-0000-00004BBA0000}"/>
    <cellStyle name="Comma 5 2 4 2 2 3 5 2" xfId="34662" xr:uid="{00000000-0005-0000-0000-00004CBA0000}"/>
    <cellStyle name="Comma 5 2 4 2 2 3 6" xfId="13831" xr:uid="{00000000-0005-0000-0000-00004DBA0000}"/>
    <cellStyle name="Comma 5 2 4 2 2 3 6 2" xfId="37110" xr:uid="{00000000-0005-0000-0000-00004EBA0000}"/>
    <cellStyle name="Comma 5 2 4 2 2 3 7" xfId="17526" xr:uid="{00000000-0005-0000-0000-00004FBA0000}"/>
    <cellStyle name="Comma 5 2 4 2 2 3 7 2" xfId="40804" xr:uid="{00000000-0005-0000-0000-000050BA0000}"/>
    <cellStyle name="Comma 5 2 4 2 2 3 8" xfId="24870" xr:uid="{00000000-0005-0000-0000-000051BA0000}"/>
    <cellStyle name="Comma 5 2 4 2 2 3 9" xfId="45700" xr:uid="{00000000-0005-0000-0000-000052BA0000}"/>
    <cellStyle name="Comma 5 2 4 2 2 4" xfId="2815" xr:uid="{00000000-0005-0000-0000-000053BA0000}"/>
    <cellStyle name="Comma 5 2 4 2 2 4 2" xfId="16302" xr:uid="{00000000-0005-0000-0000-000054BA0000}"/>
    <cellStyle name="Comma 5 2 4 2 2 4 2 2" xfId="39580" xr:uid="{00000000-0005-0000-0000-000055BA0000}"/>
    <cellStyle name="Comma 5 2 4 2 2 4 3" xfId="46924" xr:uid="{00000000-0005-0000-0000-000056BA0000}"/>
    <cellStyle name="Comma 5 2 4 2 2 4 4" xfId="26094" xr:uid="{00000000-0005-0000-0000-000057BA0000}"/>
    <cellStyle name="Comma 5 2 4 2 2 5" xfId="5263" xr:uid="{00000000-0005-0000-0000-000058BA0000}"/>
    <cellStyle name="Comma 5 2 4 2 2 5 2" xfId="18750" xr:uid="{00000000-0005-0000-0000-000059BA0000}"/>
    <cellStyle name="Comma 5 2 4 2 2 5 2 2" xfId="42028" xr:uid="{00000000-0005-0000-0000-00005ABA0000}"/>
    <cellStyle name="Comma 5 2 4 2 2 5 3" xfId="28542" xr:uid="{00000000-0005-0000-0000-00005BBA0000}"/>
    <cellStyle name="Comma 5 2 4 2 2 6" xfId="7711" xr:uid="{00000000-0005-0000-0000-00005CBA0000}"/>
    <cellStyle name="Comma 5 2 4 2 2 6 2" xfId="30990" xr:uid="{00000000-0005-0000-0000-00005DBA0000}"/>
    <cellStyle name="Comma 5 2 4 2 2 7" xfId="10159" xr:uid="{00000000-0005-0000-0000-00005EBA0000}"/>
    <cellStyle name="Comma 5 2 4 2 2 7 2" xfId="33438" xr:uid="{00000000-0005-0000-0000-00005FBA0000}"/>
    <cellStyle name="Comma 5 2 4 2 2 8" xfId="12607" xr:uid="{00000000-0005-0000-0000-000060BA0000}"/>
    <cellStyle name="Comma 5 2 4 2 2 8 2" xfId="35886" xr:uid="{00000000-0005-0000-0000-000061BA0000}"/>
    <cellStyle name="Comma 5 2 4 2 2 9" xfId="15078" xr:uid="{00000000-0005-0000-0000-000062BA0000}"/>
    <cellStyle name="Comma 5 2 4 2 2 9 2" xfId="38356" xr:uid="{00000000-0005-0000-0000-000063BA0000}"/>
    <cellStyle name="Comma 5 2 4 2 3" xfId="571" xr:uid="{00000000-0005-0000-0000-000064BA0000}"/>
    <cellStyle name="Comma 5 2 4 2 3 10" xfId="23850" xr:uid="{00000000-0005-0000-0000-000065BA0000}"/>
    <cellStyle name="Comma 5 2 4 2 3 11" xfId="44680" xr:uid="{00000000-0005-0000-0000-000066BA0000}"/>
    <cellStyle name="Comma 5 2 4 2 3 12" xfId="21402" xr:uid="{00000000-0005-0000-0000-000067BA0000}"/>
    <cellStyle name="Comma 5 2 4 2 3 2" xfId="1183" xr:uid="{00000000-0005-0000-0000-000068BA0000}"/>
    <cellStyle name="Comma 5 2 4 2 3 2 10" xfId="45292" xr:uid="{00000000-0005-0000-0000-000069BA0000}"/>
    <cellStyle name="Comma 5 2 4 2 3 2 11" xfId="22014" xr:uid="{00000000-0005-0000-0000-00006ABA0000}"/>
    <cellStyle name="Comma 5 2 4 2 3 2 2" xfId="2407" xr:uid="{00000000-0005-0000-0000-00006BBA0000}"/>
    <cellStyle name="Comma 5 2 4 2 3 2 2 10" xfId="23238" xr:uid="{00000000-0005-0000-0000-00006CBA0000}"/>
    <cellStyle name="Comma 5 2 4 2 3 2 2 2" xfId="4855" xr:uid="{00000000-0005-0000-0000-00006DBA0000}"/>
    <cellStyle name="Comma 5 2 4 2 3 2 2 2 2" xfId="20790" xr:uid="{00000000-0005-0000-0000-00006EBA0000}"/>
    <cellStyle name="Comma 5 2 4 2 3 2 2 2 2 2" xfId="44068" xr:uid="{00000000-0005-0000-0000-00006FBA0000}"/>
    <cellStyle name="Comma 5 2 4 2 3 2 2 2 3" xfId="48964" xr:uid="{00000000-0005-0000-0000-000070BA0000}"/>
    <cellStyle name="Comma 5 2 4 2 3 2 2 2 4" xfId="28134" xr:uid="{00000000-0005-0000-0000-000071BA0000}"/>
    <cellStyle name="Comma 5 2 4 2 3 2 2 3" xfId="7303" xr:uid="{00000000-0005-0000-0000-000072BA0000}"/>
    <cellStyle name="Comma 5 2 4 2 3 2 2 3 2" xfId="30582" xr:uid="{00000000-0005-0000-0000-000073BA0000}"/>
    <cellStyle name="Comma 5 2 4 2 3 2 2 4" xfId="9751" xr:uid="{00000000-0005-0000-0000-000074BA0000}"/>
    <cellStyle name="Comma 5 2 4 2 3 2 2 4 2" xfId="33030" xr:uid="{00000000-0005-0000-0000-000075BA0000}"/>
    <cellStyle name="Comma 5 2 4 2 3 2 2 5" xfId="12199" xr:uid="{00000000-0005-0000-0000-000076BA0000}"/>
    <cellStyle name="Comma 5 2 4 2 3 2 2 5 2" xfId="35478" xr:uid="{00000000-0005-0000-0000-000077BA0000}"/>
    <cellStyle name="Comma 5 2 4 2 3 2 2 6" xfId="14647" xr:uid="{00000000-0005-0000-0000-000078BA0000}"/>
    <cellStyle name="Comma 5 2 4 2 3 2 2 6 2" xfId="37926" xr:uid="{00000000-0005-0000-0000-000079BA0000}"/>
    <cellStyle name="Comma 5 2 4 2 3 2 2 7" xfId="18342" xr:uid="{00000000-0005-0000-0000-00007ABA0000}"/>
    <cellStyle name="Comma 5 2 4 2 3 2 2 7 2" xfId="41620" xr:uid="{00000000-0005-0000-0000-00007BBA0000}"/>
    <cellStyle name="Comma 5 2 4 2 3 2 2 8" xfId="25686" xr:uid="{00000000-0005-0000-0000-00007CBA0000}"/>
    <cellStyle name="Comma 5 2 4 2 3 2 2 9" xfId="46516" xr:uid="{00000000-0005-0000-0000-00007DBA0000}"/>
    <cellStyle name="Comma 5 2 4 2 3 2 3" xfId="3631" xr:uid="{00000000-0005-0000-0000-00007EBA0000}"/>
    <cellStyle name="Comma 5 2 4 2 3 2 3 2" xfId="17118" xr:uid="{00000000-0005-0000-0000-00007FBA0000}"/>
    <cellStyle name="Comma 5 2 4 2 3 2 3 2 2" xfId="40396" xr:uid="{00000000-0005-0000-0000-000080BA0000}"/>
    <cellStyle name="Comma 5 2 4 2 3 2 3 3" xfId="47740" xr:uid="{00000000-0005-0000-0000-000081BA0000}"/>
    <cellStyle name="Comma 5 2 4 2 3 2 3 4" xfId="26910" xr:uid="{00000000-0005-0000-0000-000082BA0000}"/>
    <cellStyle name="Comma 5 2 4 2 3 2 4" xfId="6079" xr:uid="{00000000-0005-0000-0000-000083BA0000}"/>
    <cellStyle name="Comma 5 2 4 2 3 2 4 2" xfId="19566" xr:uid="{00000000-0005-0000-0000-000084BA0000}"/>
    <cellStyle name="Comma 5 2 4 2 3 2 4 2 2" xfId="42844" xr:uid="{00000000-0005-0000-0000-000085BA0000}"/>
    <cellStyle name="Comma 5 2 4 2 3 2 4 3" xfId="29358" xr:uid="{00000000-0005-0000-0000-000086BA0000}"/>
    <cellStyle name="Comma 5 2 4 2 3 2 5" xfId="8527" xr:uid="{00000000-0005-0000-0000-000087BA0000}"/>
    <cellStyle name="Comma 5 2 4 2 3 2 5 2" xfId="31806" xr:uid="{00000000-0005-0000-0000-000088BA0000}"/>
    <cellStyle name="Comma 5 2 4 2 3 2 6" xfId="10975" xr:uid="{00000000-0005-0000-0000-000089BA0000}"/>
    <cellStyle name="Comma 5 2 4 2 3 2 6 2" xfId="34254" xr:uid="{00000000-0005-0000-0000-00008ABA0000}"/>
    <cellStyle name="Comma 5 2 4 2 3 2 7" xfId="13423" xr:uid="{00000000-0005-0000-0000-00008BBA0000}"/>
    <cellStyle name="Comma 5 2 4 2 3 2 7 2" xfId="36702" xr:uid="{00000000-0005-0000-0000-00008CBA0000}"/>
    <cellStyle name="Comma 5 2 4 2 3 2 8" xfId="15894" xr:uid="{00000000-0005-0000-0000-00008DBA0000}"/>
    <cellStyle name="Comma 5 2 4 2 3 2 8 2" xfId="39172" xr:uid="{00000000-0005-0000-0000-00008EBA0000}"/>
    <cellStyle name="Comma 5 2 4 2 3 2 9" xfId="24462" xr:uid="{00000000-0005-0000-0000-00008FBA0000}"/>
    <cellStyle name="Comma 5 2 4 2 3 3" xfId="1795" xr:uid="{00000000-0005-0000-0000-000090BA0000}"/>
    <cellStyle name="Comma 5 2 4 2 3 3 10" xfId="22626" xr:uid="{00000000-0005-0000-0000-000091BA0000}"/>
    <cellStyle name="Comma 5 2 4 2 3 3 2" xfId="4243" xr:uid="{00000000-0005-0000-0000-000092BA0000}"/>
    <cellStyle name="Comma 5 2 4 2 3 3 2 2" xfId="20178" xr:uid="{00000000-0005-0000-0000-000093BA0000}"/>
    <cellStyle name="Comma 5 2 4 2 3 3 2 2 2" xfId="43456" xr:uid="{00000000-0005-0000-0000-000094BA0000}"/>
    <cellStyle name="Comma 5 2 4 2 3 3 2 3" xfId="48352" xr:uid="{00000000-0005-0000-0000-000095BA0000}"/>
    <cellStyle name="Comma 5 2 4 2 3 3 2 4" xfId="27522" xr:uid="{00000000-0005-0000-0000-000096BA0000}"/>
    <cellStyle name="Comma 5 2 4 2 3 3 3" xfId="6691" xr:uid="{00000000-0005-0000-0000-000097BA0000}"/>
    <cellStyle name="Comma 5 2 4 2 3 3 3 2" xfId="29970" xr:uid="{00000000-0005-0000-0000-000098BA0000}"/>
    <cellStyle name="Comma 5 2 4 2 3 3 4" xfId="9139" xr:uid="{00000000-0005-0000-0000-000099BA0000}"/>
    <cellStyle name="Comma 5 2 4 2 3 3 4 2" xfId="32418" xr:uid="{00000000-0005-0000-0000-00009ABA0000}"/>
    <cellStyle name="Comma 5 2 4 2 3 3 5" xfId="11587" xr:uid="{00000000-0005-0000-0000-00009BBA0000}"/>
    <cellStyle name="Comma 5 2 4 2 3 3 5 2" xfId="34866" xr:uid="{00000000-0005-0000-0000-00009CBA0000}"/>
    <cellStyle name="Comma 5 2 4 2 3 3 6" xfId="14035" xr:uid="{00000000-0005-0000-0000-00009DBA0000}"/>
    <cellStyle name="Comma 5 2 4 2 3 3 6 2" xfId="37314" xr:uid="{00000000-0005-0000-0000-00009EBA0000}"/>
    <cellStyle name="Comma 5 2 4 2 3 3 7" xfId="17730" xr:uid="{00000000-0005-0000-0000-00009FBA0000}"/>
    <cellStyle name="Comma 5 2 4 2 3 3 7 2" xfId="41008" xr:uid="{00000000-0005-0000-0000-0000A0BA0000}"/>
    <cellStyle name="Comma 5 2 4 2 3 3 8" xfId="25074" xr:uid="{00000000-0005-0000-0000-0000A1BA0000}"/>
    <cellStyle name="Comma 5 2 4 2 3 3 9" xfId="45904" xr:uid="{00000000-0005-0000-0000-0000A2BA0000}"/>
    <cellStyle name="Comma 5 2 4 2 3 4" xfId="3019" xr:uid="{00000000-0005-0000-0000-0000A3BA0000}"/>
    <cellStyle name="Comma 5 2 4 2 3 4 2" xfId="16506" xr:uid="{00000000-0005-0000-0000-0000A4BA0000}"/>
    <cellStyle name="Comma 5 2 4 2 3 4 2 2" xfId="39784" xr:uid="{00000000-0005-0000-0000-0000A5BA0000}"/>
    <cellStyle name="Comma 5 2 4 2 3 4 3" xfId="47128" xr:uid="{00000000-0005-0000-0000-0000A6BA0000}"/>
    <cellStyle name="Comma 5 2 4 2 3 4 4" xfId="26298" xr:uid="{00000000-0005-0000-0000-0000A7BA0000}"/>
    <cellStyle name="Comma 5 2 4 2 3 5" xfId="5467" xr:uid="{00000000-0005-0000-0000-0000A8BA0000}"/>
    <cellStyle name="Comma 5 2 4 2 3 5 2" xfId="18954" xr:uid="{00000000-0005-0000-0000-0000A9BA0000}"/>
    <cellStyle name="Comma 5 2 4 2 3 5 2 2" xfId="42232" xr:uid="{00000000-0005-0000-0000-0000AABA0000}"/>
    <cellStyle name="Comma 5 2 4 2 3 5 3" xfId="28746" xr:uid="{00000000-0005-0000-0000-0000ABBA0000}"/>
    <cellStyle name="Comma 5 2 4 2 3 6" xfId="7915" xr:uid="{00000000-0005-0000-0000-0000ACBA0000}"/>
    <cellStyle name="Comma 5 2 4 2 3 6 2" xfId="31194" xr:uid="{00000000-0005-0000-0000-0000ADBA0000}"/>
    <cellStyle name="Comma 5 2 4 2 3 7" xfId="10363" xr:uid="{00000000-0005-0000-0000-0000AEBA0000}"/>
    <cellStyle name="Comma 5 2 4 2 3 7 2" xfId="33642" xr:uid="{00000000-0005-0000-0000-0000AFBA0000}"/>
    <cellStyle name="Comma 5 2 4 2 3 8" xfId="12811" xr:uid="{00000000-0005-0000-0000-0000B0BA0000}"/>
    <cellStyle name="Comma 5 2 4 2 3 8 2" xfId="36090" xr:uid="{00000000-0005-0000-0000-0000B1BA0000}"/>
    <cellStyle name="Comma 5 2 4 2 3 9" xfId="15282" xr:uid="{00000000-0005-0000-0000-0000B2BA0000}"/>
    <cellStyle name="Comma 5 2 4 2 3 9 2" xfId="38560" xr:uid="{00000000-0005-0000-0000-0000B3BA0000}"/>
    <cellStyle name="Comma 5 2 4 2 4" xfId="775" xr:uid="{00000000-0005-0000-0000-0000B4BA0000}"/>
    <cellStyle name="Comma 5 2 4 2 4 10" xfId="44884" xr:uid="{00000000-0005-0000-0000-0000B5BA0000}"/>
    <cellStyle name="Comma 5 2 4 2 4 11" xfId="21606" xr:uid="{00000000-0005-0000-0000-0000B6BA0000}"/>
    <cellStyle name="Comma 5 2 4 2 4 2" xfId="1999" xr:uid="{00000000-0005-0000-0000-0000B7BA0000}"/>
    <cellStyle name="Comma 5 2 4 2 4 2 10" xfId="22830" xr:uid="{00000000-0005-0000-0000-0000B8BA0000}"/>
    <cellStyle name="Comma 5 2 4 2 4 2 2" xfId="4447" xr:uid="{00000000-0005-0000-0000-0000B9BA0000}"/>
    <cellStyle name="Comma 5 2 4 2 4 2 2 2" xfId="20382" xr:uid="{00000000-0005-0000-0000-0000BABA0000}"/>
    <cellStyle name="Comma 5 2 4 2 4 2 2 2 2" xfId="43660" xr:uid="{00000000-0005-0000-0000-0000BBBA0000}"/>
    <cellStyle name="Comma 5 2 4 2 4 2 2 3" xfId="48556" xr:uid="{00000000-0005-0000-0000-0000BCBA0000}"/>
    <cellStyle name="Comma 5 2 4 2 4 2 2 4" xfId="27726" xr:uid="{00000000-0005-0000-0000-0000BDBA0000}"/>
    <cellStyle name="Comma 5 2 4 2 4 2 3" xfId="6895" xr:uid="{00000000-0005-0000-0000-0000BEBA0000}"/>
    <cellStyle name="Comma 5 2 4 2 4 2 3 2" xfId="30174" xr:uid="{00000000-0005-0000-0000-0000BFBA0000}"/>
    <cellStyle name="Comma 5 2 4 2 4 2 4" xfId="9343" xr:uid="{00000000-0005-0000-0000-0000C0BA0000}"/>
    <cellStyle name="Comma 5 2 4 2 4 2 4 2" xfId="32622" xr:uid="{00000000-0005-0000-0000-0000C1BA0000}"/>
    <cellStyle name="Comma 5 2 4 2 4 2 5" xfId="11791" xr:uid="{00000000-0005-0000-0000-0000C2BA0000}"/>
    <cellStyle name="Comma 5 2 4 2 4 2 5 2" xfId="35070" xr:uid="{00000000-0005-0000-0000-0000C3BA0000}"/>
    <cellStyle name="Comma 5 2 4 2 4 2 6" xfId="14239" xr:uid="{00000000-0005-0000-0000-0000C4BA0000}"/>
    <cellStyle name="Comma 5 2 4 2 4 2 6 2" xfId="37518" xr:uid="{00000000-0005-0000-0000-0000C5BA0000}"/>
    <cellStyle name="Comma 5 2 4 2 4 2 7" xfId="17934" xr:uid="{00000000-0005-0000-0000-0000C6BA0000}"/>
    <cellStyle name="Comma 5 2 4 2 4 2 7 2" xfId="41212" xr:uid="{00000000-0005-0000-0000-0000C7BA0000}"/>
    <cellStyle name="Comma 5 2 4 2 4 2 8" xfId="25278" xr:uid="{00000000-0005-0000-0000-0000C8BA0000}"/>
    <cellStyle name="Comma 5 2 4 2 4 2 9" xfId="46108" xr:uid="{00000000-0005-0000-0000-0000C9BA0000}"/>
    <cellStyle name="Comma 5 2 4 2 4 3" xfId="3223" xr:uid="{00000000-0005-0000-0000-0000CABA0000}"/>
    <cellStyle name="Comma 5 2 4 2 4 3 2" xfId="16710" xr:uid="{00000000-0005-0000-0000-0000CBBA0000}"/>
    <cellStyle name="Comma 5 2 4 2 4 3 2 2" xfId="39988" xr:uid="{00000000-0005-0000-0000-0000CCBA0000}"/>
    <cellStyle name="Comma 5 2 4 2 4 3 3" xfId="47332" xr:uid="{00000000-0005-0000-0000-0000CDBA0000}"/>
    <cellStyle name="Comma 5 2 4 2 4 3 4" xfId="26502" xr:uid="{00000000-0005-0000-0000-0000CEBA0000}"/>
    <cellStyle name="Comma 5 2 4 2 4 4" xfId="5671" xr:uid="{00000000-0005-0000-0000-0000CFBA0000}"/>
    <cellStyle name="Comma 5 2 4 2 4 4 2" xfId="19158" xr:uid="{00000000-0005-0000-0000-0000D0BA0000}"/>
    <cellStyle name="Comma 5 2 4 2 4 4 2 2" xfId="42436" xr:uid="{00000000-0005-0000-0000-0000D1BA0000}"/>
    <cellStyle name="Comma 5 2 4 2 4 4 3" xfId="28950" xr:uid="{00000000-0005-0000-0000-0000D2BA0000}"/>
    <cellStyle name="Comma 5 2 4 2 4 5" xfId="8119" xr:uid="{00000000-0005-0000-0000-0000D3BA0000}"/>
    <cellStyle name="Comma 5 2 4 2 4 5 2" xfId="31398" xr:uid="{00000000-0005-0000-0000-0000D4BA0000}"/>
    <cellStyle name="Comma 5 2 4 2 4 6" xfId="10567" xr:uid="{00000000-0005-0000-0000-0000D5BA0000}"/>
    <cellStyle name="Comma 5 2 4 2 4 6 2" xfId="33846" xr:uid="{00000000-0005-0000-0000-0000D6BA0000}"/>
    <cellStyle name="Comma 5 2 4 2 4 7" xfId="13015" xr:uid="{00000000-0005-0000-0000-0000D7BA0000}"/>
    <cellStyle name="Comma 5 2 4 2 4 7 2" xfId="36294" xr:uid="{00000000-0005-0000-0000-0000D8BA0000}"/>
    <cellStyle name="Comma 5 2 4 2 4 8" xfId="15486" xr:uid="{00000000-0005-0000-0000-0000D9BA0000}"/>
    <cellStyle name="Comma 5 2 4 2 4 8 2" xfId="38764" xr:uid="{00000000-0005-0000-0000-0000DABA0000}"/>
    <cellStyle name="Comma 5 2 4 2 4 9" xfId="24054" xr:uid="{00000000-0005-0000-0000-0000DBBA0000}"/>
    <cellStyle name="Comma 5 2 4 2 5" xfId="1387" xr:uid="{00000000-0005-0000-0000-0000DCBA0000}"/>
    <cellStyle name="Comma 5 2 4 2 5 10" xfId="22218" xr:uid="{00000000-0005-0000-0000-0000DDBA0000}"/>
    <cellStyle name="Comma 5 2 4 2 5 2" xfId="3835" xr:uid="{00000000-0005-0000-0000-0000DEBA0000}"/>
    <cellStyle name="Comma 5 2 4 2 5 2 2" xfId="19770" xr:uid="{00000000-0005-0000-0000-0000DFBA0000}"/>
    <cellStyle name="Comma 5 2 4 2 5 2 2 2" xfId="43048" xr:uid="{00000000-0005-0000-0000-0000E0BA0000}"/>
    <cellStyle name="Comma 5 2 4 2 5 2 3" xfId="47944" xr:uid="{00000000-0005-0000-0000-0000E1BA0000}"/>
    <cellStyle name="Comma 5 2 4 2 5 2 4" xfId="27114" xr:uid="{00000000-0005-0000-0000-0000E2BA0000}"/>
    <cellStyle name="Comma 5 2 4 2 5 3" xfId="6283" xr:uid="{00000000-0005-0000-0000-0000E3BA0000}"/>
    <cellStyle name="Comma 5 2 4 2 5 3 2" xfId="29562" xr:uid="{00000000-0005-0000-0000-0000E4BA0000}"/>
    <cellStyle name="Comma 5 2 4 2 5 4" xfId="8731" xr:uid="{00000000-0005-0000-0000-0000E5BA0000}"/>
    <cellStyle name="Comma 5 2 4 2 5 4 2" xfId="32010" xr:uid="{00000000-0005-0000-0000-0000E6BA0000}"/>
    <cellStyle name="Comma 5 2 4 2 5 5" xfId="11179" xr:uid="{00000000-0005-0000-0000-0000E7BA0000}"/>
    <cellStyle name="Comma 5 2 4 2 5 5 2" xfId="34458" xr:uid="{00000000-0005-0000-0000-0000E8BA0000}"/>
    <cellStyle name="Comma 5 2 4 2 5 6" xfId="13627" xr:uid="{00000000-0005-0000-0000-0000E9BA0000}"/>
    <cellStyle name="Comma 5 2 4 2 5 6 2" xfId="36906" xr:uid="{00000000-0005-0000-0000-0000EABA0000}"/>
    <cellStyle name="Comma 5 2 4 2 5 7" xfId="17322" xr:uid="{00000000-0005-0000-0000-0000EBBA0000}"/>
    <cellStyle name="Comma 5 2 4 2 5 7 2" xfId="40600" xr:uid="{00000000-0005-0000-0000-0000ECBA0000}"/>
    <cellStyle name="Comma 5 2 4 2 5 8" xfId="24666" xr:uid="{00000000-0005-0000-0000-0000EDBA0000}"/>
    <cellStyle name="Comma 5 2 4 2 5 9" xfId="45496" xr:uid="{00000000-0005-0000-0000-0000EEBA0000}"/>
    <cellStyle name="Comma 5 2 4 2 6" xfId="2611" xr:uid="{00000000-0005-0000-0000-0000EFBA0000}"/>
    <cellStyle name="Comma 5 2 4 2 6 2" xfId="16098" xr:uid="{00000000-0005-0000-0000-0000F0BA0000}"/>
    <cellStyle name="Comma 5 2 4 2 6 2 2" xfId="39376" xr:uid="{00000000-0005-0000-0000-0000F1BA0000}"/>
    <cellStyle name="Comma 5 2 4 2 6 3" xfId="46720" xr:uid="{00000000-0005-0000-0000-0000F2BA0000}"/>
    <cellStyle name="Comma 5 2 4 2 6 4" xfId="25890" xr:uid="{00000000-0005-0000-0000-0000F3BA0000}"/>
    <cellStyle name="Comma 5 2 4 2 7" xfId="5059" xr:uid="{00000000-0005-0000-0000-0000F4BA0000}"/>
    <cellStyle name="Comma 5 2 4 2 7 2" xfId="18546" xr:uid="{00000000-0005-0000-0000-0000F5BA0000}"/>
    <cellStyle name="Comma 5 2 4 2 7 2 2" xfId="41824" xr:uid="{00000000-0005-0000-0000-0000F6BA0000}"/>
    <cellStyle name="Comma 5 2 4 2 7 3" xfId="28338" xr:uid="{00000000-0005-0000-0000-0000F7BA0000}"/>
    <cellStyle name="Comma 5 2 4 2 8" xfId="7507" xr:uid="{00000000-0005-0000-0000-0000F8BA0000}"/>
    <cellStyle name="Comma 5 2 4 2 8 2" xfId="30786" xr:uid="{00000000-0005-0000-0000-0000F9BA0000}"/>
    <cellStyle name="Comma 5 2 4 2 9" xfId="9955" xr:uid="{00000000-0005-0000-0000-0000FABA0000}"/>
    <cellStyle name="Comma 5 2 4 2 9 2" xfId="33234" xr:uid="{00000000-0005-0000-0000-0000FBBA0000}"/>
    <cellStyle name="Comma 5 2 4 3" xfId="231" xr:uid="{00000000-0005-0000-0000-0000FCBA0000}"/>
    <cellStyle name="Comma 5 2 4 3 10" xfId="12471" xr:uid="{00000000-0005-0000-0000-0000FDBA0000}"/>
    <cellStyle name="Comma 5 2 4 3 10 2" xfId="35750" xr:uid="{00000000-0005-0000-0000-0000FEBA0000}"/>
    <cellStyle name="Comma 5 2 4 3 11" xfId="14942" xr:uid="{00000000-0005-0000-0000-0000FFBA0000}"/>
    <cellStyle name="Comma 5 2 4 3 11 2" xfId="38220" xr:uid="{00000000-0005-0000-0000-000000BB0000}"/>
    <cellStyle name="Comma 5 2 4 3 12" xfId="23510" xr:uid="{00000000-0005-0000-0000-000001BB0000}"/>
    <cellStyle name="Comma 5 2 4 3 13" xfId="44340" xr:uid="{00000000-0005-0000-0000-000002BB0000}"/>
    <cellStyle name="Comma 5 2 4 3 14" xfId="21062" xr:uid="{00000000-0005-0000-0000-000003BB0000}"/>
    <cellStyle name="Comma 5 2 4 3 2" xfId="435" xr:uid="{00000000-0005-0000-0000-000004BB0000}"/>
    <cellStyle name="Comma 5 2 4 3 2 10" xfId="23714" xr:uid="{00000000-0005-0000-0000-000005BB0000}"/>
    <cellStyle name="Comma 5 2 4 3 2 11" xfId="44544" xr:uid="{00000000-0005-0000-0000-000006BB0000}"/>
    <cellStyle name="Comma 5 2 4 3 2 12" xfId="21266" xr:uid="{00000000-0005-0000-0000-000007BB0000}"/>
    <cellStyle name="Comma 5 2 4 3 2 2" xfId="1047" xr:uid="{00000000-0005-0000-0000-000008BB0000}"/>
    <cellStyle name="Comma 5 2 4 3 2 2 10" xfId="45156" xr:uid="{00000000-0005-0000-0000-000009BB0000}"/>
    <cellStyle name="Comma 5 2 4 3 2 2 11" xfId="21878" xr:uid="{00000000-0005-0000-0000-00000ABB0000}"/>
    <cellStyle name="Comma 5 2 4 3 2 2 2" xfId="2271" xr:uid="{00000000-0005-0000-0000-00000BBB0000}"/>
    <cellStyle name="Comma 5 2 4 3 2 2 2 10" xfId="23102" xr:uid="{00000000-0005-0000-0000-00000CBB0000}"/>
    <cellStyle name="Comma 5 2 4 3 2 2 2 2" xfId="4719" xr:uid="{00000000-0005-0000-0000-00000DBB0000}"/>
    <cellStyle name="Comma 5 2 4 3 2 2 2 2 2" xfId="20654" xr:uid="{00000000-0005-0000-0000-00000EBB0000}"/>
    <cellStyle name="Comma 5 2 4 3 2 2 2 2 2 2" xfId="43932" xr:uid="{00000000-0005-0000-0000-00000FBB0000}"/>
    <cellStyle name="Comma 5 2 4 3 2 2 2 2 3" xfId="48828" xr:uid="{00000000-0005-0000-0000-000010BB0000}"/>
    <cellStyle name="Comma 5 2 4 3 2 2 2 2 4" xfId="27998" xr:uid="{00000000-0005-0000-0000-000011BB0000}"/>
    <cellStyle name="Comma 5 2 4 3 2 2 2 3" xfId="7167" xr:uid="{00000000-0005-0000-0000-000012BB0000}"/>
    <cellStyle name="Comma 5 2 4 3 2 2 2 3 2" xfId="30446" xr:uid="{00000000-0005-0000-0000-000013BB0000}"/>
    <cellStyle name="Comma 5 2 4 3 2 2 2 4" xfId="9615" xr:uid="{00000000-0005-0000-0000-000014BB0000}"/>
    <cellStyle name="Comma 5 2 4 3 2 2 2 4 2" xfId="32894" xr:uid="{00000000-0005-0000-0000-000015BB0000}"/>
    <cellStyle name="Comma 5 2 4 3 2 2 2 5" xfId="12063" xr:uid="{00000000-0005-0000-0000-000016BB0000}"/>
    <cellStyle name="Comma 5 2 4 3 2 2 2 5 2" xfId="35342" xr:uid="{00000000-0005-0000-0000-000017BB0000}"/>
    <cellStyle name="Comma 5 2 4 3 2 2 2 6" xfId="14511" xr:uid="{00000000-0005-0000-0000-000018BB0000}"/>
    <cellStyle name="Comma 5 2 4 3 2 2 2 6 2" xfId="37790" xr:uid="{00000000-0005-0000-0000-000019BB0000}"/>
    <cellStyle name="Comma 5 2 4 3 2 2 2 7" xfId="18206" xr:uid="{00000000-0005-0000-0000-00001ABB0000}"/>
    <cellStyle name="Comma 5 2 4 3 2 2 2 7 2" xfId="41484" xr:uid="{00000000-0005-0000-0000-00001BBB0000}"/>
    <cellStyle name="Comma 5 2 4 3 2 2 2 8" xfId="25550" xr:uid="{00000000-0005-0000-0000-00001CBB0000}"/>
    <cellStyle name="Comma 5 2 4 3 2 2 2 9" xfId="46380" xr:uid="{00000000-0005-0000-0000-00001DBB0000}"/>
    <cellStyle name="Comma 5 2 4 3 2 2 3" xfId="3495" xr:uid="{00000000-0005-0000-0000-00001EBB0000}"/>
    <cellStyle name="Comma 5 2 4 3 2 2 3 2" xfId="16982" xr:uid="{00000000-0005-0000-0000-00001FBB0000}"/>
    <cellStyle name="Comma 5 2 4 3 2 2 3 2 2" xfId="40260" xr:uid="{00000000-0005-0000-0000-000020BB0000}"/>
    <cellStyle name="Comma 5 2 4 3 2 2 3 3" xfId="47604" xr:uid="{00000000-0005-0000-0000-000021BB0000}"/>
    <cellStyle name="Comma 5 2 4 3 2 2 3 4" xfId="26774" xr:uid="{00000000-0005-0000-0000-000022BB0000}"/>
    <cellStyle name="Comma 5 2 4 3 2 2 4" xfId="5943" xr:uid="{00000000-0005-0000-0000-000023BB0000}"/>
    <cellStyle name="Comma 5 2 4 3 2 2 4 2" xfId="19430" xr:uid="{00000000-0005-0000-0000-000024BB0000}"/>
    <cellStyle name="Comma 5 2 4 3 2 2 4 2 2" xfId="42708" xr:uid="{00000000-0005-0000-0000-000025BB0000}"/>
    <cellStyle name="Comma 5 2 4 3 2 2 4 3" xfId="29222" xr:uid="{00000000-0005-0000-0000-000026BB0000}"/>
    <cellStyle name="Comma 5 2 4 3 2 2 5" xfId="8391" xr:uid="{00000000-0005-0000-0000-000027BB0000}"/>
    <cellStyle name="Comma 5 2 4 3 2 2 5 2" xfId="31670" xr:uid="{00000000-0005-0000-0000-000028BB0000}"/>
    <cellStyle name="Comma 5 2 4 3 2 2 6" xfId="10839" xr:uid="{00000000-0005-0000-0000-000029BB0000}"/>
    <cellStyle name="Comma 5 2 4 3 2 2 6 2" xfId="34118" xr:uid="{00000000-0005-0000-0000-00002ABB0000}"/>
    <cellStyle name="Comma 5 2 4 3 2 2 7" xfId="13287" xr:uid="{00000000-0005-0000-0000-00002BBB0000}"/>
    <cellStyle name="Comma 5 2 4 3 2 2 7 2" xfId="36566" xr:uid="{00000000-0005-0000-0000-00002CBB0000}"/>
    <cellStyle name="Comma 5 2 4 3 2 2 8" xfId="15758" xr:uid="{00000000-0005-0000-0000-00002DBB0000}"/>
    <cellStyle name="Comma 5 2 4 3 2 2 8 2" xfId="39036" xr:uid="{00000000-0005-0000-0000-00002EBB0000}"/>
    <cellStyle name="Comma 5 2 4 3 2 2 9" xfId="24326" xr:uid="{00000000-0005-0000-0000-00002FBB0000}"/>
    <cellStyle name="Comma 5 2 4 3 2 3" xfId="1659" xr:uid="{00000000-0005-0000-0000-000030BB0000}"/>
    <cellStyle name="Comma 5 2 4 3 2 3 10" xfId="22490" xr:uid="{00000000-0005-0000-0000-000031BB0000}"/>
    <cellStyle name="Comma 5 2 4 3 2 3 2" xfId="4107" xr:uid="{00000000-0005-0000-0000-000032BB0000}"/>
    <cellStyle name="Comma 5 2 4 3 2 3 2 2" xfId="20042" xr:uid="{00000000-0005-0000-0000-000033BB0000}"/>
    <cellStyle name="Comma 5 2 4 3 2 3 2 2 2" xfId="43320" xr:uid="{00000000-0005-0000-0000-000034BB0000}"/>
    <cellStyle name="Comma 5 2 4 3 2 3 2 3" xfId="48216" xr:uid="{00000000-0005-0000-0000-000035BB0000}"/>
    <cellStyle name="Comma 5 2 4 3 2 3 2 4" xfId="27386" xr:uid="{00000000-0005-0000-0000-000036BB0000}"/>
    <cellStyle name="Comma 5 2 4 3 2 3 3" xfId="6555" xr:uid="{00000000-0005-0000-0000-000037BB0000}"/>
    <cellStyle name="Comma 5 2 4 3 2 3 3 2" xfId="29834" xr:uid="{00000000-0005-0000-0000-000038BB0000}"/>
    <cellStyle name="Comma 5 2 4 3 2 3 4" xfId="9003" xr:uid="{00000000-0005-0000-0000-000039BB0000}"/>
    <cellStyle name="Comma 5 2 4 3 2 3 4 2" xfId="32282" xr:uid="{00000000-0005-0000-0000-00003ABB0000}"/>
    <cellStyle name="Comma 5 2 4 3 2 3 5" xfId="11451" xr:uid="{00000000-0005-0000-0000-00003BBB0000}"/>
    <cellStyle name="Comma 5 2 4 3 2 3 5 2" xfId="34730" xr:uid="{00000000-0005-0000-0000-00003CBB0000}"/>
    <cellStyle name="Comma 5 2 4 3 2 3 6" xfId="13899" xr:uid="{00000000-0005-0000-0000-00003DBB0000}"/>
    <cellStyle name="Comma 5 2 4 3 2 3 6 2" xfId="37178" xr:uid="{00000000-0005-0000-0000-00003EBB0000}"/>
    <cellStyle name="Comma 5 2 4 3 2 3 7" xfId="17594" xr:uid="{00000000-0005-0000-0000-00003FBB0000}"/>
    <cellStyle name="Comma 5 2 4 3 2 3 7 2" xfId="40872" xr:uid="{00000000-0005-0000-0000-000040BB0000}"/>
    <cellStyle name="Comma 5 2 4 3 2 3 8" xfId="24938" xr:uid="{00000000-0005-0000-0000-000041BB0000}"/>
    <cellStyle name="Comma 5 2 4 3 2 3 9" xfId="45768" xr:uid="{00000000-0005-0000-0000-000042BB0000}"/>
    <cellStyle name="Comma 5 2 4 3 2 4" xfId="2883" xr:uid="{00000000-0005-0000-0000-000043BB0000}"/>
    <cellStyle name="Comma 5 2 4 3 2 4 2" xfId="16370" xr:uid="{00000000-0005-0000-0000-000044BB0000}"/>
    <cellStyle name="Comma 5 2 4 3 2 4 2 2" xfId="39648" xr:uid="{00000000-0005-0000-0000-000045BB0000}"/>
    <cellStyle name="Comma 5 2 4 3 2 4 3" xfId="46992" xr:uid="{00000000-0005-0000-0000-000046BB0000}"/>
    <cellStyle name="Comma 5 2 4 3 2 4 4" xfId="26162" xr:uid="{00000000-0005-0000-0000-000047BB0000}"/>
    <cellStyle name="Comma 5 2 4 3 2 5" xfId="5331" xr:uid="{00000000-0005-0000-0000-000048BB0000}"/>
    <cellStyle name="Comma 5 2 4 3 2 5 2" xfId="18818" xr:uid="{00000000-0005-0000-0000-000049BB0000}"/>
    <cellStyle name="Comma 5 2 4 3 2 5 2 2" xfId="42096" xr:uid="{00000000-0005-0000-0000-00004ABB0000}"/>
    <cellStyle name="Comma 5 2 4 3 2 5 3" xfId="28610" xr:uid="{00000000-0005-0000-0000-00004BBB0000}"/>
    <cellStyle name="Comma 5 2 4 3 2 6" xfId="7779" xr:uid="{00000000-0005-0000-0000-00004CBB0000}"/>
    <cellStyle name="Comma 5 2 4 3 2 6 2" xfId="31058" xr:uid="{00000000-0005-0000-0000-00004DBB0000}"/>
    <cellStyle name="Comma 5 2 4 3 2 7" xfId="10227" xr:uid="{00000000-0005-0000-0000-00004EBB0000}"/>
    <cellStyle name="Comma 5 2 4 3 2 7 2" xfId="33506" xr:uid="{00000000-0005-0000-0000-00004FBB0000}"/>
    <cellStyle name="Comma 5 2 4 3 2 8" xfId="12675" xr:uid="{00000000-0005-0000-0000-000050BB0000}"/>
    <cellStyle name="Comma 5 2 4 3 2 8 2" xfId="35954" xr:uid="{00000000-0005-0000-0000-000051BB0000}"/>
    <cellStyle name="Comma 5 2 4 3 2 9" xfId="15146" xr:uid="{00000000-0005-0000-0000-000052BB0000}"/>
    <cellStyle name="Comma 5 2 4 3 2 9 2" xfId="38424" xr:uid="{00000000-0005-0000-0000-000053BB0000}"/>
    <cellStyle name="Comma 5 2 4 3 3" xfId="639" xr:uid="{00000000-0005-0000-0000-000054BB0000}"/>
    <cellStyle name="Comma 5 2 4 3 3 10" xfId="23918" xr:uid="{00000000-0005-0000-0000-000055BB0000}"/>
    <cellStyle name="Comma 5 2 4 3 3 11" xfId="44748" xr:uid="{00000000-0005-0000-0000-000056BB0000}"/>
    <cellStyle name="Comma 5 2 4 3 3 12" xfId="21470" xr:uid="{00000000-0005-0000-0000-000057BB0000}"/>
    <cellStyle name="Comma 5 2 4 3 3 2" xfId="1251" xr:uid="{00000000-0005-0000-0000-000058BB0000}"/>
    <cellStyle name="Comma 5 2 4 3 3 2 10" xfId="45360" xr:uid="{00000000-0005-0000-0000-000059BB0000}"/>
    <cellStyle name="Comma 5 2 4 3 3 2 11" xfId="22082" xr:uid="{00000000-0005-0000-0000-00005ABB0000}"/>
    <cellStyle name="Comma 5 2 4 3 3 2 2" xfId="2475" xr:uid="{00000000-0005-0000-0000-00005BBB0000}"/>
    <cellStyle name="Comma 5 2 4 3 3 2 2 10" xfId="23306" xr:uid="{00000000-0005-0000-0000-00005CBB0000}"/>
    <cellStyle name="Comma 5 2 4 3 3 2 2 2" xfId="4923" xr:uid="{00000000-0005-0000-0000-00005DBB0000}"/>
    <cellStyle name="Comma 5 2 4 3 3 2 2 2 2" xfId="20858" xr:uid="{00000000-0005-0000-0000-00005EBB0000}"/>
    <cellStyle name="Comma 5 2 4 3 3 2 2 2 2 2" xfId="44136" xr:uid="{00000000-0005-0000-0000-00005FBB0000}"/>
    <cellStyle name="Comma 5 2 4 3 3 2 2 2 3" xfId="49032" xr:uid="{00000000-0005-0000-0000-000060BB0000}"/>
    <cellStyle name="Comma 5 2 4 3 3 2 2 2 4" xfId="28202" xr:uid="{00000000-0005-0000-0000-000061BB0000}"/>
    <cellStyle name="Comma 5 2 4 3 3 2 2 3" xfId="7371" xr:uid="{00000000-0005-0000-0000-000062BB0000}"/>
    <cellStyle name="Comma 5 2 4 3 3 2 2 3 2" xfId="30650" xr:uid="{00000000-0005-0000-0000-000063BB0000}"/>
    <cellStyle name="Comma 5 2 4 3 3 2 2 4" xfId="9819" xr:uid="{00000000-0005-0000-0000-000064BB0000}"/>
    <cellStyle name="Comma 5 2 4 3 3 2 2 4 2" xfId="33098" xr:uid="{00000000-0005-0000-0000-000065BB0000}"/>
    <cellStyle name="Comma 5 2 4 3 3 2 2 5" xfId="12267" xr:uid="{00000000-0005-0000-0000-000066BB0000}"/>
    <cellStyle name="Comma 5 2 4 3 3 2 2 5 2" xfId="35546" xr:uid="{00000000-0005-0000-0000-000067BB0000}"/>
    <cellStyle name="Comma 5 2 4 3 3 2 2 6" xfId="14715" xr:uid="{00000000-0005-0000-0000-000068BB0000}"/>
    <cellStyle name="Comma 5 2 4 3 3 2 2 6 2" xfId="37994" xr:uid="{00000000-0005-0000-0000-000069BB0000}"/>
    <cellStyle name="Comma 5 2 4 3 3 2 2 7" xfId="18410" xr:uid="{00000000-0005-0000-0000-00006ABB0000}"/>
    <cellStyle name="Comma 5 2 4 3 3 2 2 7 2" xfId="41688" xr:uid="{00000000-0005-0000-0000-00006BBB0000}"/>
    <cellStyle name="Comma 5 2 4 3 3 2 2 8" xfId="25754" xr:uid="{00000000-0005-0000-0000-00006CBB0000}"/>
    <cellStyle name="Comma 5 2 4 3 3 2 2 9" xfId="46584" xr:uid="{00000000-0005-0000-0000-00006DBB0000}"/>
    <cellStyle name="Comma 5 2 4 3 3 2 3" xfId="3699" xr:uid="{00000000-0005-0000-0000-00006EBB0000}"/>
    <cellStyle name="Comma 5 2 4 3 3 2 3 2" xfId="17186" xr:uid="{00000000-0005-0000-0000-00006FBB0000}"/>
    <cellStyle name="Comma 5 2 4 3 3 2 3 2 2" xfId="40464" xr:uid="{00000000-0005-0000-0000-000070BB0000}"/>
    <cellStyle name="Comma 5 2 4 3 3 2 3 3" xfId="47808" xr:uid="{00000000-0005-0000-0000-000071BB0000}"/>
    <cellStyle name="Comma 5 2 4 3 3 2 3 4" xfId="26978" xr:uid="{00000000-0005-0000-0000-000072BB0000}"/>
    <cellStyle name="Comma 5 2 4 3 3 2 4" xfId="6147" xr:uid="{00000000-0005-0000-0000-000073BB0000}"/>
    <cellStyle name="Comma 5 2 4 3 3 2 4 2" xfId="19634" xr:uid="{00000000-0005-0000-0000-000074BB0000}"/>
    <cellStyle name="Comma 5 2 4 3 3 2 4 2 2" xfId="42912" xr:uid="{00000000-0005-0000-0000-000075BB0000}"/>
    <cellStyle name="Comma 5 2 4 3 3 2 4 3" xfId="29426" xr:uid="{00000000-0005-0000-0000-000076BB0000}"/>
    <cellStyle name="Comma 5 2 4 3 3 2 5" xfId="8595" xr:uid="{00000000-0005-0000-0000-000077BB0000}"/>
    <cellStyle name="Comma 5 2 4 3 3 2 5 2" xfId="31874" xr:uid="{00000000-0005-0000-0000-000078BB0000}"/>
    <cellStyle name="Comma 5 2 4 3 3 2 6" xfId="11043" xr:uid="{00000000-0005-0000-0000-000079BB0000}"/>
    <cellStyle name="Comma 5 2 4 3 3 2 6 2" xfId="34322" xr:uid="{00000000-0005-0000-0000-00007ABB0000}"/>
    <cellStyle name="Comma 5 2 4 3 3 2 7" xfId="13491" xr:uid="{00000000-0005-0000-0000-00007BBB0000}"/>
    <cellStyle name="Comma 5 2 4 3 3 2 7 2" xfId="36770" xr:uid="{00000000-0005-0000-0000-00007CBB0000}"/>
    <cellStyle name="Comma 5 2 4 3 3 2 8" xfId="15962" xr:uid="{00000000-0005-0000-0000-00007DBB0000}"/>
    <cellStyle name="Comma 5 2 4 3 3 2 8 2" xfId="39240" xr:uid="{00000000-0005-0000-0000-00007EBB0000}"/>
    <cellStyle name="Comma 5 2 4 3 3 2 9" xfId="24530" xr:uid="{00000000-0005-0000-0000-00007FBB0000}"/>
    <cellStyle name="Comma 5 2 4 3 3 3" xfId="1863" xr:uid="{00000000-0005-0000-0000-000080BB0000}"/>
    <cellStyle name="Comma 5 2 4 3 3 3 10" xfId="22694" xr:uid="{00000000-0005-0000-0000-000081BB0000}"/>
    <cellStyle name="Comma 5 2 4 3 3 3 2" xfId="4311" xr:uid="{00000000-0005-0000-0000-000082BB0000}"/>
    <cellStyle name="Comma 5 2 4 3 3 3 2 2" xfId="20246" xr:uid="{00000000-0005-0000-0000-000083BB0000}"/>
    <cellStyle name="Comma 5 2 4 3 3 3 2 2 2" xfId="43524" xr:uid="{00000000-0005-0000-0000-000084BB0000}"/>
    <cellStyle name="Comma 5 2 4 3 3 3 2 3" xfId="48420" xr:uid="{00000000-0005-0000-0000-000085BB0000}"/>
    <cellStyle name="Comma 5 2 4 3 3 3 2 4" xfId="27590" xr:uid="{00000000-0005-0000-0000-000086BB0000}"/>
    <cellStyle name="Comma 5 2 4 3 3 3 3" xfId="6759" xr:uid="{00000000-0005-0000-0000-000087BB0000}"/>
    <cellStyle name="Comma 5 2 4 3 3 3 3 2" xfId="30038" xr:uid="{00000000-0005-0000-0000-000088BB0000}"/>
    <cellStyle name="Comma 5 2 4 3 3 3 4" xfId="9207" xr:uid="{00000000-0005-0000-0000-000089BB0000}"/>
    <cellStyle name="Comma 5 2 4 3 3 3 4 2" xfId="32486" xr:uid="{00000000-0005-0000-0000-00008ABB0000}"/>
    <cellStyle name="Comma 5 2 4 3 3 3 5" xfId="11655" xr:uid="{00000000-0005-0000-0000-00008BBB0000}"/>
    <cellStyle name="Comma 5 2 4 3 3 3 5 2" xfId="34934" xr:uid="{00000000-0005-0000-0000-00008CBB0000}"/>
    <cellStyle name="Comma 5 2 4 3 3 3 6" xfId="14103" xr:uid="{00000000-0005-0000-0000-00008DBB0000}"/>
    <cellStyle name="Comma 5 2 4 3 3 3 6 2" xfId="37382" xr:uid="{00000000-0005-0000-0000-00008EBB0000}"/>
    <cellStyle name="Comma 5 2 4 3 3 3 7" xfId="17798" xr:uid="{00000000-0005-0000-0000-00008FBB0000}"/>
    <cellStyle name="Comma 5 2 4 3 3 3 7 2" xfId="41076" xr:uid="{00000000-0005-0000-0000-000090BB0000}"/>
    <cellStyle name="Comma 5 2 4 3 3 3 8" xfId="25142" xr:uid="{00000000-0005-0000-0000-000091BB0000}"/>
    <cellStyle name="Comma 5 2 4 3 3 3 9" xfId="45972" xr:uid="{00000000-0005-0000-0000-000092BB0000}"/>
    <cellStyle name="Comma 5 2 4 3 3 4" xfId="3087" xr:uid="{00000000-0005-0000-0000-000093BB0000}"/>
    <cellStyle name="Comma 5 2 4 3 3 4 2" xfId="16574" xr:uid="{00000000-0005-0000-0000-000094BB0000}"/>
    <cellStyle name="Comma 5 2 4 3 3 4 2 2" xfId="39852" xr:uid="{00000000-0005-0000-0000-000095BB0000}"/>
    <cellStyle name="Comma 5 2 4 3 3 4 3" xfId="47196" xr:uid="{00000000-0005-0000-0000-000096BB0000}"/>
    <cellStyle name="Comma 5 2 4 3 3 4 4" xfId="26366" xr:uid="{00000000-0005-0000-0000-000097BB0000}"/>
    <cellStyle name="Comma 5 2 4 3 3 5" xfId="5535" xr:uid="{00000000-0005-0000-0000-000098BB0000}"/>
    <cellStyle name="Comma 5 2 4 3 3 5 2" xfId="19022" xr:uid="{00000000-0005-0000-0000-000099BB0000}"/>
    <cellStyle name="Comma 5 2 4 3 3 5 2 2" xfId="42300" xr:uid="{00000000-0005-0000-0000-00009ABB0000}"/>
    <cellStyle name="Comma 5 2 4 3 3 5 3" xfId="28814" xr:uid="{00000000-0005-0000-0000-00009BBB0000}"/>
    <cellStyle name="Comma 5 2 4 3 3 6" xfId="7983" xr:uid="{00000000-0005-0000-0000-00009CBB0000}"/>
    <cellStyle name="Comma 5 2 4 3 3 6 2" xfId="31262" xr:uid="{00000000-0005-0000-0000-00009DBB0000}"/>
    <cellStyle name="Comma 5 2 4 3 3 7" xfId="10431" xr:uid="{00000000-0005-0000-0000-00009EBB0000}"/>
    <cellStyle name="Comma 5 2 4 3 3 7 2" xfId="33710" xr:uid="{00000000-0005-0000-0000-00009FBB0000}"/>
    <cellStyle name="Comma 5 2 4 3 3 8" xfId="12879" xr:uid="{00000000-0005-0000-0000-0000A0BB0000}"/>
    <cellStyle name="Comma 5 2 4 3 3 8 2" xfId="36158" xr:uid="{00000000-0005-0000-0000-0000A1BB0000}"/>
    <cellStyle name="Comma 5 2 4 3 3 9" xfId="15350" xr:uid="{00000000-0005-0000-0000-0000A2BB0000}"/>
    <cellStyle name="Comma 5 2 4 3 3 9 2" xfId="38628" xr:uid="{00000000-0005-0000-0000-0000A3BB0000}"/>
    <cellStyle name="Comma 5 2 4 3 4" xfId="843" xr:uid="{00000000-0005-0000-0000-0000A4BB0000}"/>
    <cellStyle name="Comma 5 2 4 3 4 10" xfId="44952" xr:uid="{00000000-0005-0000-0000-0000A5BB0000}"/>
    <cellStyle name="Comma 5 2 4 3 4 11" xfId="21674" xr:uid="{00000000-0005-0000-0000-0000A6BB0000}"/>
    <cellStyle name="Comma 5 2 4 3 4 2" xfId="2067" xr:uid="{00000000-0005-0000-0000-0000A7BB0000}"/>
    <cellStyle name="Comma 5 2 4 3 4 2 10" xfId="22898" xr:uid="{00000000-0005-0000-0000-0000A8BB0000}"/>
    <cellStyle name="Comma 5 2 4 3 4 2 2" xfId="4515" xr:uid="{00000000-0005-0000-0000-0000A9BB0000}"/>
    <cellStyle name="Comma 5 2 4 3 4 2 2 2" xfId="20450" xr:uid="{00000000-0005-0000-0000-0000AABB0000}"/>
    <cellStyle name="Comma 5 2 4 3 4 2 2 2 2" xfId="43728" xr:uid="{00000000-0005-0000-0000-0000ABBB0000}"/>
    <cellStyle name="Comma 5 2 4 3 4 2 2 3" xfId="48624" xr:uid="{00000000-0005-0000-0000-0000ACBB0000}"/>
    <cellStyle name="Comma 5 2 4 3 4 2 2 4" xfId="27794" xr:uid="{00000000-0005-0000-0000-0000ADBB0000}"/>
    <cellStyle name="Comma 5 2 4 3 4 2 3" xfId="6963" xr:uid="{00000000-0005-0000-0000-0000AEBB0000}"/>
    <cellStyle name="Comma 5 2 4 3 4 2 3 2" xfId="30242" xr:uid="{00000000-0005-0000-0000-0000AFBB0000}"/>
    <cellStyle name="Comma 5 2 4 3 4 2 4" xfId="9411" xr:uid="{00000000-0005-0000-0000-0000B0BB0000}"/>
    <cellStyle name="Comma 5 2 4 3 4 2 4 2" xfId="32690" xr:uid="{00000000-0005-0000-0000-0000B1BB0000}"/>
    <cellStyle name="Comma 5 2 4 3 4 2 5" xfId="11859" xr:uid="{00000000-0005-0000-0000-0000B2BB0000}"/>
    <cellStyle name="Comma 5 2 4 3 4 2 5 2" xfId="35138" xr:uid="{00000000-0005-0000-0000-0000B3BB0000}"/>
    <cellStyle name="Comma 5 2 4 3 4 2 6" xfId="14307" xr:uid="{00000000-0005-0000-0000-0000B4BB0000}"/>
    <cellStyle name="Comma 5 2 4 3 4 2 6 2" xfId="37586" xr:uid="{00000000-0005-0000-0000-0000B5BB0000}"/>
    <cellStyle name="Comma 5 2 4 3 4 2 7" xfId="18002" xr:uid="{00000000-0005-0000-0000-0000B6BB0000}"/>
    <cellStyle name="Comma 5 2 4 3 4 2 7 2" xfId="41280" xr:uid="{00000000-0005-0000-0000-0000B7BB0000}"/>
    <cellStyle name="Comma 5 2 4 3 4 2 8" xfId="25346" xr:uid="{00000000-0005-0000-0000-0000B8BB0000}"/>
    <cellStyle name="Comma 5 2 4 3 4 2 9" xfId="46176" xr:uid="{00000000-0005-0000-0000-0000B9BB0000}"/>
    <cellStyle name="Comma 5 2 4 3 4 3" xfId="3291" xr:uid="{00000000-0005-0000-0000-0000BABB0000}"/>
    <cellStyle name="Comma 5 2 4 3 4 3 2" xfId="16778" xr:uid="{00000000-0005-0000-0000-0000BBBB0000}"/>
    <cellStyle name="Comma 5 2 4 3 4 3 2 2" xfId="40056" xr:uid="{00000000-0005-0000-0000-0000BCBB0000}"/>
    <cellStyle name="Comma 5 2 4 3 4 3 3" xfId="47400" xr:uid="{00000000-0005-0000-0000-0000BDBB0000}"/>
    <cellStyle name="Comma 5 2 4 3 4 3 4" xfId="26570" xr:uid="{00000000-0005-0000-0000-0000BEBB0000}"/>
    <cellStyle name="Comma 5 2 4 3 4 4" xfId="5739" xr:uid="{00000000-0005-0000-0000-0000BFBB0000}"/>
    <cellStyle name="Comma 5 2 4 3 4 4 2" xfId="19226" xr:uid="{00000000-0005-0000-0000-0000C0BB0000}"/>
    <cellStyle name="Comma 5 2 4 3 4 4 2 2" xfId="42504" xr:uid="{00000000-0005-0000-0000-0000C1BB0000}"/>
    <cellStyle name="Comma 5 2 4 3 4 4 3" xfId="29018" xr:uid="{00000000-0005-0000-0000-0000C2BB0000}"/>
    <cellStyle name="Comma 5 2 4 3 4 5" xfId="8187" xr:uid="{00000000-0005-0000-0000-0000C3BB0000}"/>
    <cellStyle name="Comma 5 2 4 3 4 5 2" xfId="31466" xr:uid="{00000000-0005-0000-0000-0000C4BB0000}"/>
    <cellStyle name="Comma 5 2 4 3 4 6" xfId="10635" xr:uid="{00000000-0005-0000-0000-0000C5BB0000}"/>
    <cellStyle name="Comma 5 2 4 3 4 6 2" xfId="33914" xr:uid="{00000000-0005-0000-0000-0000C6BB0000}"/>
    <cellStyle name="Comma 5 2 4 3 4 7" xfId="13083" xr:uid="{00000000-0005-0000-0000-0000C7BB0000}"/>
    <cellStyle name="Comma 5 2 4 3 4 7 2" xfId="36362" xr:uid="{00000000-0005-0000-0000-0000C8BB0000}"/>
    <cellStyle name="Comma 5 2 4 3 4 8" xfId="15554" xr:uid="{00000000-0005-0000-0000-0000C9BB0000}"/>
    <cellStyle name="Comma 5 2 4 3 4 8 2" xfId="38832" xr:uid="{00000000-0005-0000-0000-0000CABB0000}"/>
    <cellStyle name="Comma 5 2 4 3 4 9" xfId="24122" xr:uid="{00000000-0005-0000-0000-0000CBBB0000}"/>
    <cellStyle name="Comma 5 2 4 3 5" xfId="1455" xr:uid="{00000000-0005-0000-0000-0000CCBB0000}"/>
    <cellStyle name="Comma 5 2 4 3 5 10" xfId="22286" xr:uid="{00000000-0005-0000-0000-0000CDBB0000}"/>
    <cellStyle name="Comma 5 2 4 3 5 2" xfId="3903" xr:uid="{00000000-0005-0000-0000-0000CEBB0000}"/>
    <cellStyle name="Comma 5 2 4 3 5 2 2" xfId="19838" xr:uid="{00000000-0005-0000-0000-0000CFBB0000}"/>
    <cellStyle name="Comma 5 2 4 3 5 2 2 2" xfId="43116" xr:uid="{00000000-0005-0000-0000-0000D0BB0000}"/>
    <cellStyle name="Comma 5 2 4 3 5 2 3" xfId="48012" xr:uid="{00000000-0005-0000-0000-0000D1BB0000}"/>
    <cellStyle name="Comma 5 2 4 3 5 2 4" xfId="27182" xr:uid="{00000000-0005-0000-0000-0000D2BB0000}"/>
    <cellStyle name="Comma 5 2 4 3 5 3" xfId="6351" xr:uid="{00000000-0005-0000-0000-0000D3BB0000}"/>
    <cellStyle name="Comma 5 2 4 3 5 3 2" xfId="29630" xr:uid="{00000000-0005-0000-0000-0000D4BB0000}"/>
    <cellStyle name="Comma 5 2 4 3 5 4" xfId="8799" xr:uid="{00000000-0005-0000-0000-0000D5BB0000}"/>
    <cellStyle name="Comma 5 2 4 3 5 4 2" xfId="32078" xr:uid="{00000000-0005-0000-0000-0000D6BB0000}"/>
    <cellStyle name="Comma 5 2 4 3 5 5" xfId="11247" xr:uid="{00000000-0005-0000-0000-0000D7BB0000}"/>
    <cellStyle name="Comma 5 2 4 3 5 5 2" xfId="34526" xr:uid="{00000000-0005-0000-0000-0000D8BB0000}"/>
    <cellStyle name="Comma 5 2 4 3 5 6" xfId="13695" xr:uid="{00000000-0005-0000-0000-0000D9BB0000}"/>
    <cellStyle name="Comma 5 2 4 3 5 6 2" xfId="36974" xr:uid="{00000000-0005-0000-0000-0000DABB0000}"/>
    <cellStyle name="Comma 5 2 4 3 5 7" xfId="17390" xr:uid="{00000000-0005-0000-0000-0000DBBB0000}"/>
    <cellStyle name="Comma 5 2 4 3 5 7 2" xfId="40668" xr:uid="{00000000-0005-0000-0000-0000DCBB0000}"/>
    <cellStyle name="Comma 5 2 4 3 5 8" xfId="24734" xr:uid="{00000000-0005-0000-0000-0000DDBB0000}"/>
    <cellStyle name="Comma 5 2 4 3 5 9" xfId="45564" xr:uid="{00000000-0005-0000-0000-0000DEBB0000}"/>
    <cellStyle name="Comma 5 2 4 3 6" xfId="2679" xr:uid="{00000000-0005-0000-0000-0000DFBB0000}"/>
    <cellStyle name="Comma 5 2 4 3 6 2" xfId="16166" xr:uid="{00000000-0005-0000-0000-0000E0BB0000}"/>
    <cellStyle name="Comma 5 2 4 3 6 2 2" xfId="39444" xr:uid="{00000000-0005-0000-0000-0000E1BB0000}"/>
    <cellStyle name="Comma 5 2 4 3 6 3" xfId="46788" xr:uid="{00000000-0005-0000-0000-0000E2BB0000}"/>
    <cellStyle name="Comma 5 2 4 3 6 4" xfId="25958" xr:uid="{00000000-0005-0000-0000-0000E3BB0000}"/>
    <cellStyle name="Comma 5 2 4 3 7" xfId="5127" xr:uid="{00000000-0005-0000-0000-0000E4BB0000}"/>
    <cellStyle name="Comma 5 2 4 3 7 2" xfId="18614" xr:uid="{00000000-0005-0000-0000-0000E5BB0000}"/>
    <cellStyle name="Comma 5 2 4 3 7 2 2" xfId="41892" xr:uid="{00000000-0005-0000-0000-0000E6BB0000}"/>
    <cellStyle name="Comma 5 2 4 3 7 3" xfId="28406" xr:uid="{00000000-0005-0000-0000-0000E7BB0000}"/>
    <cellStyle name="Comma 5 2 4 3 8" xfId="7575" xr:uid="{00000000-0005-0000-0000-0000E8BB0000}"/>
    <cellStyle name="Comma 5 2 4 3 8 2" xfId="30854" xr:uid="{00000000-0005-0000-0000-0000E9BB0000}"/>
    <cellStyle name="Comma 5 2 4 3 9" xfId="10023" xr:uid="{00000000-0005-0000-0000-0000EABB0000}"/>
    <cellStyle name="Comma 5 2 4 3 9 2" xfId="33302" xr:uid="{00000000-0005-0000-0000-0000EBBB0000}"/>
    <cellStyle name="Comma 5 2 4 4" xfId="299" xr:uid="{00000000-0005-0000-0000-0000ECBB0000}"/>
    <cellStyle name="Comma 5 2 4 4 10" xfId="23578" xr:uid="{00000000-0005-0000-0000-0000EDBB0000}"/>
    <cellStyle name="Comma 5 2 4 4 11" xfId="44408" xr:uid="{00000000-0005-0000-0000-0000EEBB0000}"/>
    <cellStyle name="Comma 5 2 4 4 12" xfId="21130" xr:uid="{00000000-0005-0000-0000-0000EFBB0000}"/>
    <cellStyle name="Comma 5 2 4 4 2" xfId="911" xr:uid="{00000000-0005-0000-0000-0000F0BB0000}"/>
    <cellStyle name="Comma 5 2 4 4 2 10" xfId="45020" xr:uid="{00000000-0005-0000-0000-0000F1BB0000}"/>
    <cellStyle name="Comma 5 2 4 4 2 11" xfId="21742" xr:uid="{00000000-0005-0000-0000-0000F2BB0000}"/>
    <cellStyle name="Comma 5 2 4 4 2 2" xfId="2135" xr:uid="{00000000-0005-0000-0000-0000F3BB0000}"/>
    <cellStyle name="Comma 5 2 4 4 2 2 10" xfId="22966" xr:uid="{00000000-0005-0000-0000-0000F4BB0000}"/>
    <cellStyle name="Comma 5 2 4 4 2 2 2" xfId="4583" xr:uid="{00000000-0005-0000-0000-0000F5BB0000}"/>
    <cellStyle name="Comma 5 2 4 4 2 2 2 2" xfId="20518" xr:uid="{00000000-0005-0000-0000-0000F6BB0000}"/>
    <cellStyle name="Comma 5 2 4 4 2 2 2 2 2" xfId="43796" xr:uid="{00000000-0005-0000-0000-0000F7BB0000}"/>
    <cellStyle name="Comma 5 2 4 4 2 2 2 3" xfId="48692" xr:uid="{00000000-0005-0000-0000-0000F8BB0000}"/>
    <cellStyle name="Comma 5 2 4 4 2 2 2 4" xfId="27862" xr:uid="{00000000-0005-0000-0000-0000F9BB0000}"/>
    <cellStyle name="Comma 5 2 4 4 2 2 3" xfId="7031" xr:uid="{00000000-0005-0000-0000-0000FABB0000}"/>
    <cellStyle name="Comma 5 2 4 4 2 2 3 2" xfId="30310" xr:uid="{00000000-0005-0000-0000-0000FBBB0000}"/>
    <cellStyle name="Comma 5 2 4 4 2 2 4" xfId="9479" xr:uid="{00000000-0005-0000-0000-0000FCBB0000}"/>
    <cellStyle name="Comma 5 2 4 4 2 2 4 2" xfId="32758" xr:uid="{00000000-0005-0000-0000-0000FDBB0000}"/>
    <cellStyle name="Comma 5 2 4 4 2 2 5" xfId="11927" xr:uid="{00000000-0005-0000-0000-0000FEBB0000}"/>
    <cellStyle name="Comma 5 2 4 4 2 2 5 2" xfId="35206" xr:uid="{00000000-0005-0000-0000-0000FFBB0000}"/>
    <cellStyle name="Comma 5 2 4 4 2 2 6" xfId="14375" xr:uid="{00000000-0005-0000-0000-000000BC0000}"/>
    <cellStyle name="Comma 5 2 4 4 2 2 6 2" xfId="37654" xr:uid="{00000000-0005-0000-0000-000001BC0000}"/>
    <cellStyle name="Comma 5 2 4 4 2 2 7" xfId="18070" xr:uid="{00000000-0005-0000-0000-000002BC0000}"/>
    <cellStyle name="Comma 5 2 4 4 2 2 7 2" xfId="41348" xr:uid="{00000000-0005-0000-0000-000003BC0000}"/>
    <cellStyle name="Comma 5 2 4 4 2 2 8" xfId="25414" xr:uid="{00000000-0005-0000-0000-000004BC0000}"/>
    <cellStyle name="Comma 5 2 4 4 2 2 9" xfId="46244" xr:uid="{00000000-0005-0000-0000-000005BC0000}"/>
    <cellStyle name="Comma 5 2 4 4 2 3" xfId="3359" xr:uid="{00000000-0005-0000-0000-000006BC0000}"/>
    <cellStyle name="Comma 5 2 4 4 2 3 2" xfId="16846" xr:uid="{00000000-0005-0000-0000-000007BC0000}"/>
    <cellStyle name="Comma 5 2 4 4 2 3 2 2" xfId="40124" xr:uid="{00000000-0005-0000-0000-000008BC0000}"/>
    <cellStyle name="Comma 5 2 4 4 2 3 3" xfId="47468" xr:uid="{00000000-0005-0000-0000-000009BC0000}"/>
    <cellStyle name="Comma 5 2 4 4 2 3 4" xfId="26638" xr:uid="{00000000-0005-0000-0000-00000ABC0000}"/>
    <cellStyle name="Comma 5 2 4 4 2 4" xfId="5807" xr:uid="{00000000-0005-0000-0000-00000BBC0000}"/>
    <cellStyle name="Comma 5 2 4 4 2 4 2" xfId="19294" xr:uid="{00000000-0005-0000-0000-00000CBC0000}"/>
    <cellStyle name="Comma 5 2 4 4 2 4 2 2" xfId="42572" xr:uid="{00000000-0005-0000-0000-00000DBC0000}"/>
    <cellStyle name="Comma 5 2 4 4 2 4 3" xfId="29086" xr:uid="{00000000-0005-0000-0000-00000EBC0000}"/>
    <cellStyle name="Comma 5 2 4 4 2 5" xfId="8255" xr:uid="{00000000-0005-0000-0000-00000FBC0000}"/>
    <cellStyle name="Comma 5 2 4 4 2 5 2" xfId="31534" xr:uid="{00000000-0005-0000-0000-000010BC0000}"/>
    <cellStyle name="Comma 5 2 4 4 2 6" xfId="10703" xr:uid="{00000000-0005-0000-0000-000011BC0000}"/>
    <cellStyle name="Comma 5 2 4 4 2 6 2" xfId="33982" xr:uid="{00000000-0005-0000-0000-000012BC0000}"/>
    <cellStyle name="Comma 5 2 4 4 2 7" xfId="13151" xr:uid="{00000000-0005-0000-0000-000013BC0000}"/>
    <cellStyle name="Comma 5 2 4 4 2 7 2" xfId="36430" xr:uid="{00000000-0005-0000-0000-000014BC0000}"/>
    <cellStyle name="Comma 5 2 4 4 2 8" xfId="15622" xr:uid="{00000000-0005-0000-0000-000015BC0000}"/>
    <cellStyle name="Comma 5 2 4 4 2 8 2" xfId="38900" xr:uid="{00000000-0005-0000-0000-000016BC0000}"/>
    <cellStyle name="Comma 5 2 4 4 2 9" xfId="24190" xr:uid="{00000000-0005-0000-0000-000017BC0000}"/>
    <cellStyle name="Comma 5 2 4 4 3" xfId="1523" xr:uid="{00000000-0005-0000-0000-000018BC0000}"/>
    <cellStyle name="Comma 5 2 4 4 3 10" xfId="22354" xr:uid="{00000000-0005-0000-0000-000019BC0000}"/>
    <cellStyle name="Comma 5 2 4 4 3 2" xfId="3971" xr:uid="{00000000-0005-0000-0000-00001ABC0000}"/>
    <cellStyle name="Comma 5 2 4 4 3 2 2" xfId="19906" xr:uid="{00000000-0005-0000-0000-00001BBC0000}"/>
    <cellStyle name="Comma 5 2 4 4 3 2 2 2" xfId="43184" xr:uid="{00000000-0005-0000-0000-00001CBC0000}"/>
    <cellStyle name="Comma 5 2 4 4 3 2 3" xfId="48080" xr:uid="{00000000-0005-0000-0000-00001DBC0000}"/>
    <cellStyle name="Comma 5 2 4 4 3 2 4" xfId="27250" xr:uid="{00000000-0005-0000-0000-00001EBC0000}"/>
    <cellStyle name="Comma 5 2 4 4 3 3" xfId="6419" xr:uid="{00000000-0005-0000-0000-00001FBC0000}"/>
    <cellStyle name="Comma 5 2 4 4 3 3 2" xfId="29698" xr:uid="{00000000-0005-0000-0000-000020BC0000}"/>
    <cellStyle name="Comma 5 2 4 4 3 4" xfId="8867" xr:uid="{00000000-0005-0000-0000-000021BC0000}"/>
    <cellStyle name="Comma 5 2 4 4 3 4 2" xfId="32146" xr:uid="{00000000-0005-0000-0000-000022BC0000}"/>
    <cellStyle name="Comma 5 2 4 4 3 5" xfId="11315" xr:uid="{00000000-0005-0000-0000-000023BC0000}"/>
    <cellStyle name="Comma 5 2 4 4 3 5 2" xfId="34594" xr:uid="{00000000-0005-0000-0000-000024BC0000}"/>
    <cellStyle name="Comma 5 2 4 4 3 6" xfId="13763" xr:uid="{00000000-0005-0000-0000-000025BC0000}"/>
    <cellStyle name="Comma 5 2 4 4 3 6 2" xfId="37042" xr:uid="{00000000-0005-0000-0000-000026BC0000}"/>
    <cellStyle name="Comma 5 2 4 4 3 7" xfId="17458" xr:uid="{00000000-0005-0000-0000-000027BC0000}"/>
    <cellStyle name="Comma 5 2 4 4 3 7 2" xfId="40736" xr:uid="{00000000-0005-0000-0000-000028BC0000}"/>
    <cellStyle name="Comma 5 2 4 4 3 8" xfId="24802" xr:uid="{00000000-0005-0000-0000-000029BC0000}"/>
    <cellStyle name="Comma 5 2 4 4 3 9" xfId="45632" xr:uid="{00000000-0005-0000-0000-00002ABC0000}"/>
    <cellStyle name="Comma 5 2 4 4 4" xfId="2747" xr:uid="{00000000-0005-0000-0000-00002BBC0000}"/>
    <cellStyle name="Comma 5 2 4 4 4 2" xfId="16234" xr:uid="{00000000-0005-0000-0000-00002CBC0000}"/>
    <cellStyle name="Comma 5 2 4 4 4 2 2" xfId="39512" xr:uid="{00000000-0005-0000-0000-00002DBC0000}"/>
    <cellStyle name="Comma 5 2 4 4 4 3" xfId="46856" xr:uid="{00000000-0005-0000-0000-00002EBC0000}"/>
    <cellStyle name="Comma 5 2 4 4 4 4" xfId="26026" xr:uid="{00000000-0005-0000-0000-00002FBC0000}"/>
    <cellStyle name="Comma 5 2 4 4 5" xfId="5195" xr:uid="{00000000-0005-0000-0000-000030BC0000}"/>
    <cellStyle name="Comma 5 2 4 4 5 2" xfId="18682" xr:uid="{00000000-0005-0000-0000-000031BC0000}"/>
    <cellStyle name="Comma 5 2 4 4 5 2 2" xfId="41960" xr:uid="{00000000-0005-0000-0000-000032BC0000}"/>
    <cellStyle name="Comma 5 2 4 4 5 3" xfId="28474" xr:uid="{00000000-0005-0000-0000-000033BC0000}"/>
    <cellStyle name="Comma 5 2 4 4 6" xfId="7643" xr:uid="{00000000-0005-0000-0000-000034BC0000}"/>
    <cellStyle name="Comma 5 2 4 4 6 2" xfId="30922" xr:uid="{00000000-0005-0000-0000-000035BC0000}"/>
    <cellStyle name="Comma 5 2 4 4 7" xfId="10091" xr:uid="{00000000-0005-0000-0000-000036BC0000}"/>
    <cellStyle name="Comma 5 2 4 4 7 2" xfId="33370" xr:uid="{00000000-0005-0000-0000-000037BC0000}"/>
    <cellStyle name="Comma 5 2 4 4 8" xfId="12539" xr:uid="{00000000-0005-0000-0000-000038BC0000}"/>
    <cellStyle name="Comma 5 2 4 4 8 2" xfId="35818" xr:uid="{00000000-0005-0000-0000-000039BC0000}"/>
    <cellStyle name="Comma 5 2 4 4 9" xfId="15010" xr:uid="{00000000-0005-0000-0000-00003ABC0000}"/>
    <cellStyle name="Comma 5 2 4 4 9 2" xfId="38288" xr:uid="{00000000-0005-0000-0000-00003BBC0000}"/>
    <cellStyle name="Comma 5 2 4 5" xfId="503" xr:uid="{00000000-0005-0000-0000-00003CBC0000}"/>
    <cellStyle name="Comma 5 2 4 5 10" xfId="23782" xr:uid="{00000000-0005-0000-0000-00003DBC0000}"/>
    <cellStyle name="Comma 5 2 4 5 11" xfId="44612" xr:uid="{00000000-0005-0000-0000-00003EBC0000}"/>
    <cellStyle name="Comma 5 2 4 5 12" xfId="21334" xr:uid="{00000000-0005-0000-0000-00003FBC0000}"/>
    <cellStyle name="Comma 5 2 4 5 2" xfId="1115" xr:uid="{00000000-0005-0000-0000-000040BC0000}"/>
    <cellStyle name="Comma 5 2 4 5 2 10" xfId="45224" xr:uid="{00000000-0005-0000-0000-000041BC0000}"/>
    <cellStyle name="Comma 5 2 4 5 2 11" xfId="21946" xr:uid="{00000000-0005-0000-0000-000042BC0000}"/>
    <cellStyle name="Comma 5 2 4 5 2 2" xfId="2339" xr:uid="{00000000-0005-0000-0000-000043BC0000}"/>
    <cellStyle name="Comma 5 2 4 5 2 2 10" xfId="23170" xr:uid="{00000000-0005-0000-0000-000044BC0000}"/>
    <cellStyle name="Comma 5 2 4 5 2 2 2" xfId="4787" xr:uid="{00000000-0005-0000-0000-000045BC0000}"/>
    <cellStyle name="Comma 5 2 4 5 2 2 2 2" xfId="20722" xr:uid="{00000000-0005-0000-0000-000046BC0000}"/>
    <cellStyle name="Comma 5 2 4 5 2 2 2 2 2" xfId="44000" xr:uid="{00000000-0005-0000-0000-000047BC0000}"/>
    <cellStyle name="Comma 5 2 4 5 2 2 2 3" xfId="48896" xr:uid="{00000000-0005-0000-0000-000048BC0000}"/>
    <cellStyle name="Comma 5 2 4 5 2 2 2 4" xfId="28066" xr:uid="{00000000-0005-0000-0000-000049BC0000}"/>
    <cellStyle name="Comma 5 2 4 5 2 2 3" xfId="7235" xr:uid="{00000000-0005-0000-0000-00004ABC0000}"/>
    <cellStyle name="Comma 5 2 4 5 2 2 3 2" xfId="30514" xr:uid="{00000000-0005-0000-0000-00004BBC0000}"/>
    <cellStyle name="Comma 5 2 4 5 2 2 4" xfId="9683" xr:uid="{00000000-0005-0000-0000-00004CBC0000}"/>
    <cellStyle name="Comma 5 2 4 5 2 2 4 2" xfId="32962" xr:uid="{00000000-0005-0000-0000-00004DBC0000}"/>
    <cellStyle name="Comma 5 2 4 5 2 2 5" xfId="12131" xr:uid="{00000000-0005-0000-0000-00004EBC0000}"/>
    <cellStyle name="Comma 5 2 4 5 2 2 5 2" xfId="35410" xr:uid="{00000000-0005-0000-0000-00004FBC0000}"/>
    <cellStyle name="Comma 5 2 4 5 2 2 6" xfId="14579" xr:uid="{00000000-0005-0000-0000-000050BC0000}"/>
    <cellStyle name="Comma 5 2 4 5 2 2 6 2" xfId="37858" xr:uid="{00000000-0005-0000-0000-000051BC0000}"/>
    <cellStyle name="Comma 5 2 4 5 2 2 7" xfId="18274" xr:uid="{00000000-0005-0000-0000-000052BC0000}"/>
    <cellStyle name="Comma 5 2 4 5 2 2 7 2" xfId="41552" xr:uid="{00000000-0005-0000-0000-000053BC0000}"/>
    <cellStyle name="Comma 5 2 4 5 2 2 8" xfId="25618" xr:uid="{00000000-0005-0000-0000-000054BC0000}"/>
    <cellStyle name="Comma 5 2 4 5 2 2 9" xfId="46448" xr:uid="{00000000-0005-0000-0000-000055BC0000}"/>
    <cellStyle name="Comma 5 2 4 5 2 3" xfId="3563" xr:uid="{00000000-0005-0000-0000-000056BC0000}"/>
    <cellStyle name="Comma 5 2 4 5 2 3 2" xfId="17050" xr:uid="{00000000-0005-0000-0000-000057BC0000}"/>
    <cellStyle name="Comma 5 2 4 5 2 3 2 2" xfId="40328" xr:uid="{00000000-0005-0000-0000-000058BC0000}"/>
    <cellStyle name="Comma 5 2 4 5 2 3 3" xfId="47672" xr:uid="{00000000-0005-0000-0000-000059BC0000}"/>
    <cellStyle name="Comma 5 2 4 5 2 3 4" xfId="26842" xr:uid="{00000000-0005-0000-0000-00005ABC0000}"/>
    <cellStyle name="Comma 5 2 4 5 2 4" xfId="6011" xr:uid="{00000000-0005-0000-0000-00005BBC0000}"/>
    <cellStyle name="Comma 5 2 4 5 2 4 2" xfId="19498" xr:uid="{00000000-0005-0000-0000-00005CBC0000}"/>
    <cellStyle name="Comma 5 2 4 5 2 4 2 2" xfId="42776" xr:uid="{00000000-0005-0000-0000-00005DBC0000}"/>
    <cellStyle name="Comma 5 2 4 5 2 4 3" xfId="29290" xr:uid="{00000000-0005-0000-0000-00005EBC0000}"/>
    <cellStyle name="Comma 5 2 4 5 2 5" xfId="8459" xr:uid="{00000000-0005-0000-0000-00005FBC0000}"/>
    <cellStyle name="Comma 5 2 4 5 2 5 2" xfId="31738" xr:uid="{00000000-0005-0000-0000-000060BC0000}"/>
    <cellStyle name="Comma 5 2 4 5 2 6" xfId="10907" xr:uid="{00000000-0005-0000-0000-000061BC0000}"/>
    <cellStyle name="Comma 5 2 4 5 2 6 2" xfId="34186" xr:uid="{00000000-0005-0000-0000-000062BC0000}"/>
    <cellStyle name="Comma 5 2 4 5 2 7" xfId="13355" xr:uid="{00000000-0005-0000-0000-000063BC0000}"/>
    <cellStyle name="Comma 5 2 4 5 2 7 2" xfId="36634" xr:uid="{00000000-0005-0000-0000-000064BC0000}"/>
    <cellStyle name="Comma 5 2 4 5 2 8" xfId="15826" xr:uid="{00000000-0005-0000-0000-000065BC0000}"/>
    <cellStyle name="Comma 5 2 4 5 2 8 2" xfId="39104" xr:uid="{00000000-0005-0000-0000-000066BC0000}"/>
    <cellStyle name="Comma 5 2 4 5 2 9" xfId="24394" xr:uid="{00000000-0005-0000-0000-000067BC0000}"/>
    <cellStyle name="Comma 5 2 4 5 3" xfId="1727" xr:uid="{00000000-0005-0000-0000-000068BC0000}"/>
    <cellStyle name="Comma 5 2 4 5 3 10" xfId="22558" xr:uid="{00000000-0005-0000-0000-000069BC0000}"/>
    <cellStyle name="Comma 5 2 4 5 3 2" xfId="4175" xr:uid="{00000000-0005-0000-0000-00006ABC0000}"/>
    <cellStyle name="Comma 5 2 4 5 3 2 2" xfId="20110" xr:uid="{00000000-0005-0000-0000-00006BBC0000}"/>
    <cellStyle name="Comma 5 2 4 5 3 2 2 2" xfId="43388" xr:uid="{00000000-0005-0000-0000-00006CBC0000}"/>
    <cellStyle name="Comma 5 2 4 5 3 2 3" xfId="48284" xr:uid="{00000000-0005-0000-0000-00006DBC0000}"/>
    <cellStyle name="Comma 5 2 4 5 3 2 4" xfId="27454" xr:uid="{00000000-0005-0000-0000-00006EBC0000}"/>
    <cellStyle name="Comma 5 2 4 5 3 3" xfId="6623" xr:uid="{00000000-0005-0000-0000-00006FBC0000}"/>
    <cellStyle name="Comma 5 2 4 5 3 3 2" xfId="29902" xr:uid="{00000000-0005-0000-0000-000070BC0000}"/>
    <cellStyle name="Comma 5 2 4 5 3 4" xfId="9071" xr:uid="{00000000-0005-0000-0000-000071BC0000}"/>
    <cellStyle name="Comma 5 2 4 5 3 4 2" xfId="32350" xr:uid="{00000000-0005-0000-0000-000072BC0000}"/>
    <cellStyle name="Comma 5 2 4 5 3 5" xfId="11519" xr:uid="{00000000-0005-0000-0000-000073BC0000}"/>
    <cellStyle name="Comma 5 2 4 5 3 5 2" xfId="34798" xr:uid="{00000000-0005-0000-0000-000074BC0000}"/>
    <cellStyle name="Comma 5 2 4 5 3 6" xfId="13967" xr:uid="{00000000-0005-0000-0000-000075BC0000}"/>
    <cellStyle name="Comma 5 2 4 5 3 6 2" xfId="37246" xr:uid="{00000000-0005-0000-0000-000076BC0000}"/>
    <cellStyle name="Comma 5 2 4 5 3 7" xfId="17662" xr:uid="{00000000-0005-0000-0000-000077BC0000}"/>
    <cellStyle name="Comma 5 2 4 5 3 7 2" xfId="40940" xr:uid="{00000000-0005-0000-0000-000078BC0000}"/>
    <cellStyle name="Comma 5 2 4 5 3 8" xfId="25006" xr:uid="{00000000-0005-0000-0000-000079BC0000}"/>
    <cellStyle name="Comma 5 2 4 5 3 9" xfId="45836" xr:uid="{00000000-0005-0000-0000-00007ABC0000}"/>
    <cellStyle name="Comma 5 2 4 5 4" xfId="2951" xr:uid="{00000000-0005-0000-0000-00007BBC0000}"/>
    <cellStyle name="Comma 5 2 4 5 4 2" xfId="16438" xr:uid="{00000000-0005-0000-0000-00007CBC0000}"/>
    <cellStyle name="Comma 5 2 4 5 4 2 2" xfId="39716" xr:uid="{00000000-0005-0000-0000-00007DBC0000}"/>
    <cellStyle name="Comma 5 2 4 5 4 3" xfId="47060" xr:uid="{00000000-0005-0000-0000-00007EBC0000}"/>
    <cellStyle name="Comma 5 2 4 5 4 4" xfId="26230" xr:uid="{00000000-0005-0000-0000-00007FBC0000}"/>
    <cellStyle name="Comma 5 2 4 5 5" xfId="5399" xr:uid="{00000000-0005-0000-0000-000080BC0000}"/>
    <cellStyle name="Comma 5 2 4 5 5 2" xfId="18886" xr:uid="{00000000-0005-0000-0000-000081BC0000}"/>
    <cellStyle name="Comma 5 2 4 5 5 2 2" xfId="42164" xr:uid="{00000000-0005-0000-0000-000082BC0000}"/>
    <cellStyle name="Comma 5 2 4 5 5 3" xfId="28678" xr:uid="{00000000-0005-0000-0000-000083BC0000}"/>
    <cellStyle name="Comma 5 2 4 5 6" xfId="7847" xr:uid="{00000000-0005-0000-0000-000084BC0000}"/>
    <cellStyle name="Comma 5 2 4 5 6 2" xfId="31126" xr:uid="{00000000-0005-0000-0000-000085BC0000}"/>
    <cellStyle name="Comma 5 2 4 5 7" xfId="10295" xr:uid="{00000000-0005-0000-0000-000086BC0000}"/>
    <cellStyle name="Comma 5 2 4 5 7 2" xfId="33574" xr:uid="{00000000-0005-0000-0000-000087BC0000}"/>
    <cellStyle name="Comma 5 2 4 5 8" xfId="12743" xr:uid="{00000000-0005-0000-0000-000088BC0000}"/>
    <cellStyle name="Comma 5 2 4 5 8 2" xfId="36022" xr:uid="{00000000-0005-0000-0000-000089BC0000}"/>
    <cellStyle name="Comma 5 2 4 5 9" xfId="15214" xr:uid="{00000000-0005-0000-0000-00008ABC0000}"/>
    <cellStyle name="Comma 5 2 4 5 9 2" xfId="38492" xr:uid="{00000000-0005-0000-0000-00008BBC0000}"/>
    <cellStyle name="Comma 5 2 4 6" xfId="707" xr:uid="{00000000-0005-0000-0000-00008CBC0000}"/>
    <cellStyle name="Comma 5 2 4 6 10" xfId="44816" xr:uid="{00000000-0005-0000-0000-00008DBC0000}"/>
    <cellStyle name="Comma 5 2 4 6 11" xfId="21538" xr:uid="{00000000-0005-0000-0000-00008EBC0000}"/>
    <cellStyle name="Comma 5 2 4 6 2" xfId="1931" xr:uid="{00000000-0005-0000-0000-00008FBC0000}"/>
    <cellStyle name="Comma 5 2 4 6 2 10" xfId="22762" xr:uid="{00000000-0005-0000-0000-000090BC0000}"/>
    <cellStyle name="Comma 5 2 4 6 2 2" xfId="4379" xr:uid="{00000000-0005-0000-0000-000091BC0000}"/>
    <cellStyle name="Comma 5 2 4 6 2 2 2" xfId="20314" xr:uid="{00000000-0005-0000-0000-000092BC0000}"/>
    <cellStyle name="Comma 5 2 4 6 2 2 2 2" xfId="43592" xr:uid="{00000000-0005-0000-0000-000093BC0000}"/>
    <cellStyle name="Comma 5 2 4 6 2 2 3" xfId="48488" xr:uid="{00000000-0005-0000-0000-000094BC0000}"/>
    <cellStyle name="Comma 5 2 4 6 2 2 4" xfId="27658" xr:uid="{00000000-0005-0000-0000-000095BC0000}"/>
    <cellStyle name="Comma 5 2 4 6 2 3" xfId="6827" xr:uid="{00000000-0005-0000-0000-000096BC0000}"/>
    <cellStyle name="Comma 5 2 4 6 2 3 2" xfId="30106" xr:uid="{00000000-0005-0000-0000-000097BC0000}"/>
    <cellStyle name="Comma 5 2 4 6 2 4" xfId="9275" xr:uid="{00000000-0005-0000-0000-000098BC0000}"/>
    <cellStyle name="Comma 5 2 4 6 2 4 2" xfId="32554" xr:uid="{00000000-0005-0000-0000-000099BC0000}"/>
    <cellStyle name="Comma 5 2 4 6 2 5" xfId="11723" xr:uid="{00000000-0005-0000-0000-00009ABC0000}"/>
    <cellStyle name="Comma 5 2 4 6 2 5 2" xfId="35002" xr:uid="{00000000-0005-0000-0000-00009BBC0000}"/>
    <cellStyle name="Comma 5 2 4 6 2 6" xfId="14171" xr:uid="{00000000-0005-0000-0000-00009CBC0000}"/>
    <cellStyle name="Comma 5 2 4 6 2 6 2" xfId="37450" xr:uid="{00000000-0005-0000-0000-00009DBC0000}"/>
    <cellStyle name="Comma 5 2 4 6 2 7" xfId="17866" xr:uid="{00000000-0005-0000-0000-00009EBC0000}"/>
    <cellStyle name="Comma 5 2 4 6 2 7 2" xfId="41144" xr:uid="{00000000-0005-0000-0000-00009FBC0000}"/>
    <cellStyle name="Comma 5 2 4 6 2 8" xfId="25210" xr:uid="{00000000-0005-0000-0000-0000A0BC0000}"/>
    <cellStyle name="Comma 5 2 4 6 2 9" xfId="46040" xr:uid="{00000000-0005-0000-0000-0000A1BC0000}"/>
    <cellStyle name="Comma 5 2 4 6 3" xfId="3155" xr:uid="{00000000-0005-0000-0000-0000A2BC0000}"/>
    <cellStyle name="Comma 5 2 4 6 3 2" xfId="16642" xr:uid="{00000000-0005-0000-0000-0000A3BC0000}"/>
    <cellStyle name="Comma 5 2 4 6 3 2 2" xfId="39920" xr:uid="{00000000-0005-0000-0000-0000A4BC0000}"/>
    <cellStyle name="Comma 5 2 4 6 3 3" xfId="47264" xr:uid="{00000000-0005-0000-0000-0000A5BC0000}"/>
    <cellStyle name="Comma 5 2 4 6 3 4" xfId="26434" xr:uid="{00000000-0005-0000-0000-0000A6BC0000}"/>
    <cellStyle name="Comma 5 2 4 6 4" xfId="5603" xr:uid="{00000000-0005-0000-0000-0000A7BC0000}"/>
    <cellStyle name="Comma 5 2 4 6 4 2" xfId="19090" xr:uid="{00000000-0005-0000-0000-0000A8BC0000}"/>
    <cellStyle name="Comma 5 2 4 6 4 2 2" xfId="42368" xr:uid="{00000000-0005-0000-0000-0000A9BC0000}"/>
    <cellStyle name="Comma 5 2 4 6 4 3" xfId="28882" xr:uid="{00000000-0005-0000-0000-0000AABC0000}"/>
    <cellStyle name="Comma 5 2 4 6 5" xfId="8051" xr:uid="{00000000-0005-0000-0000-0000ABBC0000}"/>
    <cellStyle name="Comma 5 2 4 6 5 2" xfId="31330" xr:uid="{00000000-0005-0000-0000-0000ACBC0000}"/>
    <cellStyle name="Comma 5 2 4 6 6" xfId="10499" xr:uid="{00000000-0005-0000-0000-0000ADBC0000}"/>
    <cellStyle name="Comma 5 2 4 6 6 2" xfId="33778" xr:uid="{00000000-0005-0000-0000-0000AEBC0000}"/>
    <cellStyle name="Comma 5 2 4 6 7" xfId="12947" xr:uid="{00000000-0005-0000-0000-0000AFBC0000}"/>
    <cellStyle name="Comma 5 2 4 6 7 2" xfId="36226" xr:uid="{00000000-0005-0000-0000-0000B0BC0000}"/>
    <cellStyle name="Comma 5 2 4 6 8" xfId="15418" xr:uid="{00000000-0005-0000-0000-0000B1BC0000}"/>
    <cellStyle name="Comma 5 2 4 6 8 2" xfId="38696" xr:uid="{00000000-0005-0000-0000-0000B2BC0000}"/>
    <cellStyle name="Comma 5 2 4 6 9" xfId="23986" xr:uid="{00000000-0005-0000-0000-0000B3BC0000}"/>
    <cellStyle name="Comma 5 2 4 7" xfId="1319" xr:uid="{00000000-0005-0000-0000-0000B4BC0000}"/>
    <cellStyle name="Comma 5 2 4 7 10" xfId="22150" xr:uid="{00000000-0005-0000-0000-0000B5BC0000}"/>
    <cellStyle name="Comma 5 2 4 7 2" xfId="3767" xr:uid="{00000000-0005-0000-0000-0000B6BC0000}"/>
    <cellStyle name="Comma 5 2 4 7 2 2" xfId="19702" xr:uid="{00000000-0005-0000-0000-0000B7BC0000}"/>
    <cellStyle name="Comma 5 2 4 7 2 2 2" xfId="42980" xr:uid="{00000000-0005-0000-0000-0000B8BC0000}"/>
    <cellStyle name="Comma 5 2 4 7 2 3" xfId="47876" xr:uid="{00000000-0005-0000-0000-0000B9BC0000}"/>
    <cellStyle name="Comma 5 2 4 7 2 4" xfId="27046" xr:uid="{00000000-0005-0000-0000-0000BABC0000}"/>
    <cellStyle name="Comma 5 2 4 7 3" xfId="6215" xr:uid="{00000000-0005-0000-0000-0000BBBC0000}"/>
    <cellStyle name="Comma 5 2 4 7 3 2" xfId="29494" xr:uid="{00000000-0005-0000-0000-0000BCBC0000}"/>
    <cellStyle name="Comma 5 2 4 7 4" xfId="8663" xr:uid="{00000000-0005-0000-0000-0000BDBC0000}"/>
    <cellStyle name="Comma 5 2 4 7 4 2" xfId="31942" xr:uid="{00000000-0005-0000-0000-0000BEBC0000}"/>
    <cellStyle name="Comma 5 2 4 7 5" xfId="11111" xr:uid="{00000000-0005-0000-0000-0000BFBC0000}"/>
    <cellStyle name="Comma 5 2 4 7 5 2" xfId="34390" xr:uid="{00000000-0005-0000-0000-0000C0BC0000}"/>
    <cellStyle name="Comma 5 2 4 7 6" xfId="13559" xr:uid="{00000000-0005-0000-0000-0000C1BC0000}"/>
    <cellStyle name="Comma 5 2 4 7 6 2" xfId="36838" xr:uid="{00000000-0005-0000-0000-0000C2BC0000}"/>
    <cellStyle name="Comma 5 2 4 7 7" xfId="17254" xr:uid="{00000000-0005-0000-0000-0000C3BC0000}"/>
    <cellStyle name="Comma 5 2 4 7 7 2" xfId="40532" xr:uid="{00000000-0005-0000-0000-0000C4BC0000}"/>
    <cellStyle name="Comma 5 2 4 7 8" xfId="24598" xr:uid="{00000000-0005-0000-0000-0000C5BC0000}"/>
    <cellStyle name="Comma 5 2 4 7 9" xfId="45428" xr:uid="{00000000-0005-0000-0000-0000C6BC0000}"/>
    <cellStyle name="Comma 5 2 4 8" xfId="2543" xr:uid="{00000000-0005-0000-0000-0000C7BC0000}"/>
    <cellStyle name="Comma 5 2 4 8 2" xfId="16030" xr:uid="{00000000-0005-0000-0000-0000C8BC0000}"/>
    <cellStyle name="Comma 5 2 4 8 2 2" xfId="39308" xr:uid="{00000000-0005-0000-0000-0000C9BC0000}"/>
    <cellStyle name="Comma 5 2 4 8 3" xfId="46652" xr:uid="{00000000-0005-0000-0000-0000CABC0000}"/>
    <cellStyle name="Comma 5 2 4 8 4" xfId="25822" xr:uid="{00000000-0005-0000-0000-0000CBBC0000}"/>
    <cellStyle name="Comma 5 2 4 9" xfId="4991" xr:uid="{00000000-0005-0000-0000-0000CCBC0000}"/>
    <cellStyle name="Comma 5 2 4 9 2" xfId="18478" xr:uid="{00000000-0005-0000-0000-0000CDBC0000}"/>
    <cellStyle name="Comma 5 2 4 9 2 2" xfId="41756" xr:uid="{00000000-0005-0000-0000-0000CEBC0000}"/>
    <cellStyle name="Comma 5 2 4 9 3" xfId="28270" xr:uid="{00000000-0005-0000-0000-0000CFBC0000}"/>
    <cellStyle name="Comma 5 2 5" xfId="112" xr:uid="{00000000-0005-0000-0000-0000D0BC0000}"/>
    <cellStyle name="Comma 5 2 5 10" xfId="12352" xr:uid="{00000000-0005-0000-0000-0000D1BC0000}"/>
    <cellStyle name="Comma 5 2 5 10 2" xfId="35631" xr:uid="{00000000-0005-0000-0000-0000D2BC0000}"/>
    <cellStyle name="Comma 5 2 5 11" xfId="14823" xr:uid="{00000000-0005-0000-0000-0000D3BC0000}"/>
    <cellStyle name="Comma 5 2 5 11 2" xfId="38101" xr:uid="{00000000-0005-0000-0000-0000D4BC0000}"/>
    <cellStyle name="Comma 5 2 5 12" xfId="23391" xr:uid="{00000000-0005-0000-0000-0000D5BC0000}"/>
    <cellStyle name="Comma 5 2 5 13" xfId="44221" xr:uid="{00000000-0005-0000-0000-0000D6BC0000}"/>
    <cellStyle name="Comma 5 2 5 14" xfId="20943" xr:uid="{00000000-0005-0000-0000-0000D7BC0000}"/>
    <cellStyle name="Comma 5 2 5 2" xfId="316" xr:uid="{00000000-0005-0000-0000-0000D8BC0000}"/>
    <cellStyle name="Comma 5 2 5 2 10" xfId="23595" xr:uid="{00000000-0005-0000-0000-0000D9BC0000}"/>
    <cellStyle name="Comma 5 2 5 2 11" xfId="44425" xr:uid="{00000000-0005-0000-0000-0000DABC0000}"/>
    <cellStyle name="Comma 5 2 5 2 12" xfId="21147" xr:uid="{00000000-0005-0000-0000-0000DBBC0000}"/>
    <cellStyle name="Comma 5 2 5 2 2" xfId="928" xr:uid="{00000000-0005-0000-0000-0000DCBC0000}"/>
    <cellStyle name="Comma 5 2 5 2 2 10" xfId="45037" xr:uid="{00000000-0005-0000-0000-0000DDBC0000}"/>
    <cellStyle name="Comma 5 2 5 2 2 11" xfId="21759" xr:uid="{00000000-0005-0000-0000-0000DEBC0000}"/>
    <cellStyle name="Comma 5 2 5 2 2 2" xfId="2152" xr:uid="{00000000-0005-0000-0000-0000DFBC0000}"/>
    <cellStyle name="Comma 5 2 5 2 2 2 10" xfId="22983" xr:uid="{00000000-0005-0000-0000-0000E0BC0000}"/>
    <cellStyle name="Comma 5 2 5 2 2 2 2" xfId="4600" xr:uid="{00000000-0005-0000-0000-0000E1BC0000}"/>
    <cellStyle name="Comma 5 2 5 2 2 2 2 2" xfId="20535" xr:uid="{00000000-0005-0000-0000-0000E2BC0000}"/>
    <cellStyle name="Comma 5 2 5 2 2 2 2 2 2" xfId="43813" xr:uid="{00000000-0005-0000-0000-0000E3BC0000}"/>
    <cellStyle name="Comma 5 2 5 2 2 2 2 3" xfId="48709" xr:uid="{00000000-0005-0000-0000-0000E4BC0000}"/>
    <cellStyle name="Comma 5 2 5 2 2 2 2 4" xfId="27879" xr:uid="{00000000-0005-0000-0000-0000E5BC0000}"/>
    <cellStyle name="Comma 5 2 5 2 2 2 3" xfId="7048" xr:uid="{00000000-0005-0000-0000-0000E6BC0000}"/>
    <cellStyle name="Comma 5 2 5 2 2 2 3 2" xfId="30327" xr:uid="{00000000-0005-0000-0000-0000E7BC0000}"/>
    <cellStyle name="Comma 5 2 5 2 2 2 4" xfId="9496" xr:uid="{00000000-0005-0000-0000-0000E8BC0000}"/>
    <cellStyle name="Comma 5 2 5 2 2 2 4 2" xfId="32775" xr:uid="{00000000-0005-0000-0000-0000E9BC0000}"/>
    <cellStyle name="Comma 5 2 5 2 2 2 5" xfId="11944" xr:uid="{00000000-0005-0000-0000-0000EABC0000}"/>
    <cellStyle name="Comma 5 2 5 2 2 2 5 2" xfId="35223" xr:uid="{00000000-0005-0000-0000-0000EBBC0000}"/>
    <cellStyle name="Comma 5 2 5 2 2 2 6" xfId="14392" xr:uid="{00000000-0005-0000-0000-0000ECBC0000}"/>
    <cellStyle name="Comma 5 2 5 2 2 2 6 2" xfId="37671" xr:uid="{00000000-0005-0000-0000-0000EDBC0000}"/>
    <cellStyle name="Comma 5 2 5 2 2 2 7" xfId="18087" xr:uid="{00000000-0005-0000-0000-0000EEBC0000}"/>
    <cellStyle name="Comma 5 2 5 2 2 2 7 2" xfId="41365" xr:uid="{00000000-0005-0000-0000-0000EFBC0000}"/>
    <cellStyle name="Comma 5 2 5 2 2 2 8" xfId="25431" xr:uid="{00000000-0005-0000-0000-0000F0BC0000}"/>
    <cellStyle name="Comma 5 2 5 2 2 2 9" xfId="46261" xr:uid="{00000000-0005-0000-0000-0000F1BC0000}"/>
    <cellStyle name="Comma 5 2 5 2 2 3" xfId="3376" xr:uid="{00000000-0005-0000-0000-0000F2BC0000}"/>
    <cellStyle name="Comma 5 2 5 2 2 3 2" xfId="16863" xr:uid="{00000000-0005-0000-0000-0000F3BC0000}"/>
    <cellStyle name="Comma 5 2 5 2 2 3 2 2" xfId="40141" xr:uid="{00000000-0005-0000-0000-0000F4BC0000}"/>
    <cellStyle name="Comma 5 2 5 2 2 3 3" xfId="47485" xr:uid="{00000000-0005-0000-0000-0000F5BC0000}"/>
    <cellStyle name="Comma 5 2 5 2 2 3 4" xfId="26655" xr:uid="{00000000-0005-0000-0000-0000F6BC0000}"/>
    <cellStyle name="Comma 5 2 5 2 2 4" xfId="5824" xr:uid="{00000000-0005-0000-0000-0000F7BC0000}"/>
    <cellStyle name="Comma 5 2 5 2 2 4 2" xfId="19311" xr:uid="{00000000-0005-0000-0000-0000F8BC0000}"/>
    <cellStyle name="Comma 5 2 5 2 2 4 2 2" xfId="42589" xr:uid="{00000000-0005-0000-0000-0000F9BC0000}"/>
    <cellStyle name="Comma 5 2 5 2 2 4 3" xfId="29103" xr:uid="{00000000-0005-0000-0000-0000FABC0000}"/>
    <cellStyle name="Comma 5 2 5 2 2 5" xfId="8272" xr:uid="{00000000-0005-0000-0000-0000FBBC0000}"/>
    <cellStyle name="Comma 5 2 5 2 2 5 2" xfId="31551" xr:uid="{00000000-0005-0000-0000-0000FCBC0000}"/>
    <cellStyle name="Comma 5 2 5 2 2 6" xfId="10720" xr:uid="{00000000-0005-0000-0000-0000FDBC0000}"/>
    <cellStyle name="Comma 5 2 5 2 2 6 2" xfId="33999" xr:uid="{00000000-0005-0000-0000-0000FEBC0000}"/>
    <cellStyle name="Comma 5 2 5 2 2 7" xfId="13168" xr:uid="{00000000-0005-0000-0000-0000FFBC0000}"/>
    <cellStyle name="Comma 5 2 5 2 2 7 2" xfId="36447" xr:uid="{00000000-0005-0000-0000-000000BD0000}"/>
    <cellStyle name="Comma 5 2 5 2 2 8" xfId="15639" xr:uid="{00000000-0005-0000-0000-000001BD0000}"/>
    <cellStyle name="Comma 5 2 5 2 2 8 2" xfId="38917" xr:uid="{00000000-0005-0000-0000-000002BD0000}"/>
    <cellStyle name="Comma 5 2 5 2 2 9" xfId="24207" xr:uid="{00000000-0005-0000-0000-000003BD0000}"/>
    <cellStyle name="Comma 5 2 5 2 3" xfId="1540" xr:uid="{00000000-0005-0000-0000-000004BD0000}"/>
    <cellStyle name="Comma 5 2 5 2 3 10" xfId="22371" xr:uid="{00000000-0005-0000-0000-000005BD0000}"/>
    <cellStyle name="Comma 5 2 5 2 3 2" xfId="3988" xr:uid="{00000000-0005-0000-0000-000006BD0000}"/>
    <cellStyle name="Comma 5 2 5 2 3 2 2" xfId="19923" xr:uid="{00000000-0005-0000-0000-000007BD0000}"/>
    <cellStyle name="Comma 5 2 5 2 3 2 2 2" xfId="43201" xr:uid="{00000000-0005-0000-0000-000008BD0000}"/>
    <cellStyle name="Comma 5 2 5 2 3 2 3" xfId="48097" xr:uid="{00000000-0005-0000-0000-000009BD0000}"/>
    <cellStyle name="Comma 5 2 5 2 3 2 4" xfId="27267" xr:uid="{00000000-0005-0000-0000-00000ABD0000}"/>
    <cellStyle name="Comma 5 2 5 2 3 3" xfId="6436" xr:uid="{00000000-0005-0000-0000-00000BBD0000}"/>
    <cellStyle name="Comma 5 2 5 2 3 3 2" xfId="29715" xr:uid="{00000000-0005-0000-0000-00000CBD0000}"/>
    <cellStyle name="Comma 5 2 5 2 3 4" xfId="8884" xr:uid="{00000000-0005-0000-0000-00000DBD0000}"/>
    <cellStyle name="Comma 5 2 5 2 3 4 2" xfId="32163" xr:uid="{00000000-0005-0000-0000-00000EBD0000}"/>
    <cellStyle name="Comma 5 2 5 2 3 5" xfId="11332" xr:uid="{00000000-0005-0000-0000-00000FBD0000}"/>
    <cellStyle name="Comma 5 2 5 2 3 5 2" xfId="34611" xr:uid="{00000000-0005-0000-0000-000010BD0000}"/>
    <cellStyle name="Comma 5 2 5 2 3 6" xfId="13780" xr:uid="{00000000-0005-0000-0000-000011BD0000}"/>
    <cellStyle name="Comma 5 2 5 2 3 6 2" xfId="37059" xr:uid="{00000000-0005-0000-0000-000012BD0000}"/>
    <cellStyle name="Comma 5 2 5 2 3 7" xfId="17475" xr:uid="{00000000-0005-0000-0000-000013BD0000}"/>
    <cellStyle name="Comma 5 2 5 2 3 7 2" xfId="40753" xr:uid="{00000000-0005-0000-0000-000014BD0000}"/>
    <cellStyle name="Comma 5 2 5 2 3 8" xfId="24819" xr:uid="{00000000-0005-0000-0000-000015BD0000}"/>
    <cellStyle name="Comma 5 2 5 2 3 9" xfId="45649" xr:uid="{00000000-0005-0000-0000-000016BD0000}"/>
    <cellStyle name="Comma 5 2 5 2 4" xfId="2764" xr:uid="{00000000-0005-0000-0000-000017BD0000}"/>
    <cellStyle name="Comma 5 2 5 2 4 2" xfId="16251" xr:uid="{00000000-0005-0000-0000-000018BD0000}"/>
    <cellStyle name="Comma 5 2 5 2 4 2 2" xfId="39529" xr:uid="{00000000-0005-0000-0000-000019BD0000}"/>
    <cellStyle name="Comma 5 2 5 2 4 3" xfId="46873" xr:uid="{00000000-0005-0000-0000-00001ABD0000}"/>
    <cellStyle name="Comma 5 2 5 2 4 4" xfId="26043" xr:uid="{00000000-0005-0000-0000-00001BBD0000}"/>
    <cellStyle name="Comma 5 2 5 2 5" xfId="5212" xr:uid="{00000000-0005-0000-0000-00001CBD0000}"/>
    <cellStyle name="Comma 5 2 5 2 5 2" xfId="18699" xr:uid="{00000000-0005-0000-0000-00001DBD0000}"/>
    <cellStyle name="Comma 5 2 5 2 5 2 2" xfId="41977" xr:uid="{00000000-0005-0000-0000-00001EBD0000}"/>
    <cellStyle name="Comma 5 2 5 2 5 3" xfId="28491" xr:uid="{00000000-0005-0000-0000-00001FBD0000}"/>
    <cellStyle name="Comma 5 2 5 2 6" xfId="7660" xr:uid="{00000000-0005-0000-0000-000020BD0000}"/>
    <cellStyle name="Comma 5 2 5 2 6 2" xfId="30939" xr:uid="{00000000-0005-0000-0000-000021BD0000}"/>
    <cellStyle name="Comma 5 2 5 2 7" xfId="10108" xr:uid="{00000000-0005-0000-0000-000022BD0000}"/>
    <cellStyle name="Comma 5 2 5 2 7 2" xfId="33387" xr:uid="{00000000-0005-0000-0000-000023BD0000}"/>
    <cellStyle name="Comma 5 2 5 2 8" xfId="12556" xr:uid="{00000000-0005-0000-0000-000024BD0000}"/>
    <cellStyle name="Comma 5 2 5 2 8 2" xfId="35835" xr:uid="{00000000-0005-0000-0000-000025BD0000}"/>
    <cellStyle name="Comma 5 2 5 2 9" xfId="15027" xr:uid="{00000000-0005-0000-0000-000026BD0000}"/>
    <cellStyle name="Comma 5 2 5 2 9 2" xfId="38305" xr:uid="{00000000-0005-0000-0000-000027BD0000}"/>
    <cellStyle name="Comma 5 2 5 3" xfId="520" xr:uid="{00000000-0005-0000-0000-000028BD0000}"/>
    <cellStyle name="Comma 5 2 5 3 10" xfId="23799" xr:uid="{00000000-0005-0000-0000-000029BD0000}"/>
    <cellStyle name="Comma 5 2 5 3 11" xfId="44629" xr:uid="{00000000-0005-0000-0000-00002ABD0000}"/>
    <cellStyle name="Comma 5 2 5 3 12" xfId="21351" xr:uid="{00000000-0005-0000-0000-00002BBD0000}"/>
    <cellStyle name="Comma 5 2 5 3 2" xfId="1132" xr:uid="{00000000-0005-0000-0000-00002CBD0000}"/>
    <cellStyle name="Comma 5 2 5 3 2 10" xfId="45241" xr:uid="{00000000-0005-0000-0000-00002DBD0000}"/>
    <cellStyle name="Comma 5 2 5 3 2 11" xfId="21963" xr:uid="{00000000-0005-0000-0000-00002EBD0000}"/>
    <cellStyle name="Comma 5 2 5 3 2 2" xfId="2356" xr:uid="{00000000-0005-0000-0000-00002FBD0000}"/>
    <cellStyle name="Comma 5 2 5 3 2 2 10" xfId="23187" xr:uid="{00000000-0005-0000-0000-000030BD0000}"/>
    <cellStyle name="Comma 5 2 5 3 2 2 2" xfId="4804" xr:uid="{00000000-0005-0000-0000-000031BD0000}"/>
    <cellStyle name="Comma 5 2 5 3 2 2 2 2" xfId="20739" xr:uid="{00000000-0005-0000-0000-000032BD0000}"/>
    <cellStyle name="Comma 5 2 5 3 2 2 2 2 2" xfId="44017" xr:uid="{00000000-0005-0000-0000-000033BD0000}"/>
    <cellStyle name="Comma 5 2 5 3 2 2 2 3" xfId="48913" xr:uid="{00000000-0005-0000-0000-000034BD0000}"/>
    <cellStyle name="Comma 5 2 5 3 2 2 2 4" xfId="28083" xr:uid="{00000000-0005-0000-0000-000035BD0000}"/>
    <cellStyle name="Comma 5 2 5 3 2 2 3" xfId="7252" xr:uid="{00000000-0005-0000-0000-000036BD0000}"/>
    <cellStyle name="Comma 5 2 5 3 2 2 3 2" xfId="30531" xr:uid="{00000000-0005-0000-0000-000037BD0000}"/>
    <cellStyle name="Comma 5 2 5 3 2 2 4" xfId="9700" xr:uid="{00000000-0005-0000-0000-000038BD0000}"/>
    <cellStyle name="Comma 5 2 5 3 2 2 4 2" xfId="32979" xr:uid="{00000000-0005-0000-0000-000039BD0000}"/>
    <cellStyle name="Comma 5 2 5 3 2 2 5" xfId="12148" xr:uid="{00000000-0005-0000-0000-00003ABD0000}"/>
    <cellStyle name="Comma 5 2 5 3 2 2 5 2" xfId="35427" xr:uid="{00000000-0005-0000-0000-00003BBD0000}"/>
    <cellStyle name="Comma 5 2 5 3 2 2 6" xfId="14596" xr:uid="{00000000-0005-0000-0000-00003CBD0000}"/>
    <cellStyle name="Comma 5 2 5 3 2 2 6 2" xfId="37875" xr:uid="{00000000-0005-0000-0000-00003DBD0000}"/>
    <cellStyle name="Comma 5 2 5 3 2 2 7" xfId="18291" xr:uid="{00000000-0005-0000-0000-00003EBD0000}"/>
    <cellStyle name="Comma 5 2 5 3 2 2 7 2" xfId="41569" xr:uid="{00000000-0005-0000-0000-00003FBD0000}"/>
    <cellStyle name="Comma 5 2 5 3 2 2 8" xfId="25635" xr:uid="{00000000-0005-0000-0000-000040BD0000}"/>
    <cellStyle name="Comma 5 2 5 3 2 2 9" xfId="46465" xr:uid="{00000000-0005-0000-0000-000041BD0000}"/>
    <cellStyle name="Comma 5 2 5 3 2 3" xfId="3580" xr:uid="{00000000-0005-0000-0000-000042BD0000}"/>
    <cellStyle name="Comma 5 2 5 3 2 3 2" xfId="17067" xr:uid="{00000000-0005-0000-0000-000043BD0000}"/>
    <cellStyle name="Comma 5 2 5 3 2 3 2 2" xfId="40345" xr:uid="{00000000-0005-0000-0000-000044BD0000}"/>
    <cellStyle name="Comma 5 2 5 3 2 3 3" xfId="47689" xr:uid="{00000000-0005-0000-0000-000045BD0000}"/>
    <cellStyle name="Comma 5 2 5 3 2 3 4" xfId="26859" xr:uid="{00000000-0005-0000-0000-000046BD0000}"/>
    <cellStyle name="Comma 5 2 5 3 2 4" xfId="6028" xr:uid="{00000000-0005-0000-0000-000047BD0000}"/>
    <cellStyle name="Comma 5 2 5 3 2 4 2" xfId="19515" xr:uid="{00000000-0005-0000-0000-000048BD0000}"/>
    <cellStyle name="Comma 5 2 5 3 2 4 2 2" xfId="42793" xr:uid="{00000000-0005-0000-0000-000049BD0000}"/>
    <cellStyle name="Comma 5 2 5 3 2 4 3" xfId="29307" xr:uid="{00000000-0005-0000-0000-00004ABD0000}"/>
    <cellStyle name="Comma 5 2 5 3 2 5" xfId="8476" xr:uid="{00000000-0005-0000-0000-00004BBD0000}"/>
    <cellStyle name="Comma 5 2 5 3 2 5 2" xfId="31755" xr:uid="{00000000-0005-0000-0000-00004CBD0000}"/>
    <cellStyle name="Comma 5 2 5 3 2 6" xfId="10924" xr:uid="{00000000-0005-0000-0000-00004DBD0000}"/>
    <cellStyle name="Comma 5 2 5 3 2 6 2" xfId="34203" xr:uid="{00000000-0005-0000-0000-00004EBD0000}"/>
    <cellStyle name="Comma 5 2 5 3 2 7" xfId="13372" xr:uid="{00000000-0005-0000-0000-00004FBD0000}"/>
    <cellStyle name="Comma 5 2 5 3 2 7 2" xfId="36651" xr:uid="{00000000-0005-0000-0000-000050BD0000}"/>
    <cellStyle name="Comma 5 2 5 3 2 8" xfId="15843" xr:uid="{00000000-0005-0000-0000-000051BD0000}"/>
    <cellStyle name="Comma 5 2 5 3 2 8 2" xfId="39121" xr:uid="{00000000-0005-0000-0000-000052BD0000}"/>
    <cellStyle name="Comma 5 2 5 3 2 9" xfId="24411" xr:uid="{00000000-0005-0000-0000-000053BD0000}"/>
    <cellStyle name="Comma 5 2 5 3 3" xfId="1744" xr:uid="{00000000-0005-0000-0000-000054BD0000}"/>
    <cellStyle name="Comma 5 2 5 3 3 10" xfId="22575" xr:uid="{00000000-0005-0000-0000-000055BD0000}"/>
    <cellStyle name="Comma 5 2 5 3 3 2" xfId="4192" xr:uid="{00000000-0005-0000-0000-000056BD0000}"/>
    <cellStyle name="Comma 5 2 5 3 3 2 2" xfId="20127" xr:uid="{00000000-0005-0000-0000-000057BD0000}"/>
    <cellStyle name="Comma 5 2 5 3 3 2 2 2" xfId="43405" xr:uid="{00000000-0005-0000-0000-000058BD0000}"/>
    <cellStyle name="Comma 5 2 5 3 3 2 3" xfId="48301" xr:uid="{00000000-0005-0000-0000-000059BD0000}"/>
    <cellStyle name="Comma 5 2 5 3 3 2 4" xfId="27471" xr:uid="{00000000-0005-0000-0000-00005ABD0000}"/>
    <cellStyle name="Comma 5 2 5 3 3 3" xfId="6640" xr:uid="{00000000-0005-0000-0000-00005BBD0000}"/>
    <cellStyle name="Comma 5 2 5 3 3 3 2" xfId="29919" xr:uid="{00000000-0005-0000-0000-00005CBD0000}"/>
    <cellStyle name="Comma 5 2 5 3 3 4" xfId="9088" xr:uid="{00000000-0005-0000-0000-00005DBD0000}"/>
    <cellStyle name="Comma 5 2 5 3 3 4 2" xfId="32367" xr:uid="{00000000-0005-0000-0000-00005EBD0000}"/>
    <cellStyle name="Comma 5 2 5 3 3 5" xfId="11536" xr:uid="{00000000-0005-0000-0000-00005FBD0000}"/>
    <cellStyle name="Comma 5 2 5 3 3 5 2" xfId="34815" xr:uid="{00000000-0005-0000-0000-000060BD0000}"/>
    <cellStyle name="Comma 5 2 5 3 3 6" xfId="13984" xr:uid="{00000000-0005-0000-0000-000061BD0000}"/>
    <cellStyle name="Comma 5 2 5 3 3 6 2" xfId="37263" xr:uid="{00000000-0005-0000-0000-000062BD0000}"/>
    <cellStyle name="Comma 5 2 5 3 3 7" xfId="17679" xr:uid="{00000000-0005-0000-0000-000063BD0000}"/>
    <cellStyle name="Comma 5 2 5 3 3 7 2" xfId="40957" xr:uid="{00000000-0005-0000-0000-000064BD0000}"/>
    <cellStyle name="Comma 5 2 5 3 3 8" xfId="25023" xr:uid="{00000000-0005-0000-0000-000065BD0000}"/>
    <cellStyle name="Comma 5 2 5 3 3 9" xfId="45853" xr:uid="{00000000-0005-0000-0000-000066BD0000}"/>
    <cellStyle name="Comma 5 2 5 3 4" xfId="2968" xr:uid="{00000000-0005-0000-0000-000067BD0000}"/>
    <cellStyle name="Comma 5 2 5 3 4 2" xfId="16455" xr:uid="{00000000-0005-0000-0000-000068BD0000}"/>
    <cellStyle name="Comma 5 2 5 3 4 2 2" xfId="39733" xr:uid="{00000000-0005-0000-0000-000069BD0000}"/>
    <cellStyle name="Comma 5 2 5 3 4 3" xfId="47077" xr:uid="{00000000-0005-0000-0000-00006ABD0000}"/>
    <cellStyle name="Comma 5 2 5 3 4 4" xfId="26247" xr:uid="{00000000-0005-0000-0000-00006BBD0000}"/>
    <cellStyle name="Comma 5 2 5 3 5" xfId="5416" xr:uid="{00000000-0005-0000-0000-00006CBD0000}"/>
    <cellStyle name="Comma 5 2 5 3 5 2" xfId="18903" xr:uid="{00000000-0005-0000-0000-00006DBD0000}"/>
    <cellStyle name="Comma 5 2 5 3 5 2 2" xfId="42181" xr:uid="{00000000-0005-0000-0000-00006EBD0000}"/>
    <cellStyle name="Comma 5 2 5 3 5 3" xfId="28695" xr:uid="{00000000-0005-0000-0000-00006FBD0000}"/>
    <cellStyle name="Comma 5 2 5 3 6" xfId="7864" xr:uid="{00000000-0005-0000-0000-000070BD0000}"/>
    <cellStyle name="Comma 5 2 5 3 6 2" xfId="31143" xr:uid="{00000000-0005-0000-0000-000071BD0000}"/>
    <cellStyle name="Comma 5 2 5 3 7" xfId="10312" xr:uid="{00000000-0005-0000-0000-000072BD0000}"/>
    <cellStyle name="Comma 5 2 5 3 7 2" xfId="33591" xr:uid="{00000000-0005-0000-0000-000073BD0000}"/>
    <cellStyle name="Comma 5 2 5 3 8" xfId="12760" xr:uid="{00000000-0005-0000-0000-000074BD0000}"/>
    <cellStyle name="Comma 5 2 5 3 8 2" xfId="36039" xr:uid="{00000000-0005-0000-0000-000075BD0000}"/>
    <cellStyle name="Comma 5 2 5 3 9" xfId="15231" xr:uid="{00000000-0005-0000-0000-000076BD0000}"/>
    <cellStyle name="Comma 5 2 5 3 9 2" xfId="38509" xr:uid="{00000000-0005-0000-0000-000077BD0000}"/>
    <cellStyle name="Comma 5 2 5 4" xfId="724" xr:uid="{00000000-0005-0000-0000-000078BD0000}"/>
    <cellStyle name="Comma 5 2 5 4 10" xfId="44833" xr:uid="{00000000-0005-0000-0000-000079BD0000}"/>
    <cellStyle name="Comma 5 2 5 4 11" xfId="21555" xr:uid="{00000000-0005-0000-0000-00007ABD0000}"/>
    <cellStyle name="Comma 5 2 5 4 2" xfId="1948" xr:uid="{00000000-0005-0000-0000-00007BBD0000}"/>
    <cellStyle name="Comma 5 2 5 4 2 10" xfId="22779" xr:uid="{00000000-0005-0000-0000-00007CBD0000}"/>
    <cellStyle name="Comma 5 2 5 4 2 2" xfId="4396" xr:uid="{00000000-0005-0000-0000-00007DBD0000}"/>
    <cellStyle name="Comma 5 2 5 4 2 2 2" xfId="20331" xr:uid="{00000000-0005-0000-0000-00007EBD0000}"/>
    <cellStyle name="Comma 5 2 5 4 2 2 2 2" xfId="43609" xr:uid="{00000000-0005-0000-0000-00007FBD0000}"/>
    <cellStyle name="Comma 5 2 5 4 2 2 3" xfId="48505" xr:uid="{00000000-0005-0000-0000-000080BD0000}"/>
    <cellStyle name="Comma 5 2 5 4 2 2 4" xfId="27675" xr:uid="{00000000-0005-0000-0000-000081BD0000}"/>
    <cellStyle name="Comma 5 2 5 4 2 3" xfId="6844" xr:uid="{00000000-0005-0000-0000-000082BD0000}"/>
    <cellStyle name="Comma 5 2 5 4 2 3 2" xfId="30123" xr:uid="{00000000-0005-0000-0000-000083BD0000}"/>
    <cellStyle name="Comma 5 2 5 4 2 4" xfId="9292" xr:uid="{00000000-0005-0000-0000-000084BD0000}"/>
    <cellStyle name="Comma 5 2 5 4 2 4 2" xfId="32571" xr:uid="{00000000-0005-0000-0000-000085BD0000}"/>
    <cellStyle name="Comma 5 2 5 4 2 5" xfId="11740" xr:uid="{00000000-0005-0000-0000-000086BD0000}"/>
    <cellStyle name="Comma 5 2 5 4 2 5 2" xfId="35019" xr:uid="{00000000-0005-0000-0000-000087BD0000}"/>
    <cellStyle name="Comma 5 2 5 4 2 6" xfId="14188" xr:uid="{00000000-0005-0000-0000-000088BD0000}"/>
    <cellStyle name="Comma 5 2 5 4 2 6 2" xfId="37467" xr:uid="{00000000-0005-0000-0000-000089BD0000}"/>
    <cellStyle name="Comma 5 2 5 4 2 7" xfId="17883" xr:uid="{00000000-0005-0000-0000-00008ABD0000}"/>
    <cellStyle name="Comma 5 2 5 4 2 7 2" xfId="41161" xr:uid="{00000000-0005-0000-0000-00008BBD0000}"/>
    <cellStyle name="Comma 5 2 5 4 2 8" xfId="25227" xr:uid="{00000000-0005-0000-0000-00008CBD0000}"/>
    <cellStyle name="Comma 5 2 5 4 2 9" xfId="46057" xr:uid="{00000000-0005-0000-0000-00008DBD0000}"/>
    <cellStyle name="Comma 5 2 5 4 3" xfId="3172" xr:uid="{00000000-0005-0000-0000-00008EBD0000}"/>
    <cellStyle name="Comma 5 2 5 4 3 2" xfId="16659" xr:uid="{00000000-0005-0000-0000-00008FBD0000}"/>
    <cellStyle name="Comma 5 2 5 4 3 2 2" xfId="39937" xr:uid="{00000000-0005-0000-0000-000090BD0000}"/>
    <cellStyle name="Comma 5 2 5 4 3 3" xfId="47281" xr:uid="{00000000-0005-0000-0000-000091BD0000}"/>
    <cellStyle name="Comma 5 2 5 4 3 4" xfId="26451" xr:uid="{00000000-0005-0000-0000-000092BD0000}"/>
    <cellStyle name="Comma 5 2 5 4 4" xfId="5620" xr:uid="{00000000-0005-0000-0000-000093BD0000}"/>
    <cellStyle name="Comma 5 2 5 4 4 2" xfId="19107" xr:uid="{00000000-0005-0000-0000-000094BD0000}"/>
    <cellStyle name="Comma 5 2 5 4 4 2 2" xfId="42385" xr:uid="{00000000-0005-0000-0000-000095BD0000}"/>
    <cellStyle name="Comma 5 2 5 4 4 3" xfId="28899" xr:uid="{00000000-0005-0000-0000-000096BD0000}"/>
    <cellStyle name="Comma 5 2 5 4 5" xfId="8068" xr:uid="{00000000-0005-0000-0000-000097BD0000}"/>
    <cellStyle name="Comma 5 2 5 4 5 2" xfId="31347" xr:uid="{00000000-0005-0000-0000-000098BD0000}"/>
    <cellStyle name="Comma 5 2 5 4 6" xfId="10516" xr:uid="{00000000-0005-0000-0000-000099BD0000}"/>
    <cellStyle name="Comma 5 2 5 4 6 2" xfId="33795" xr:uid="{00000000-0005-0000-0000-00009ABD0000}"/>
    <cellStyle name="Comma 5 2 5 4 7" xfId="12964" xr:uid="{00000000-0005-0000-0000-00009BBD0000}"/>
    <cellStyle name="Comma 5 2 5 4 7 2" xfId="36243" xr:uid="{00000000-0005-0000-0000-00009CBD0000}"/>
    <cellStyle name="Comma 5 2 5 4 8" xfId="15435" xr:uid="{00000000-0005-0000-0000-00009DBD0000}"/>
    <cellStyle name="Comma 5 2 5 4 8 2" xfId="38713" xr:uid="{00000000-0005-0000-0000-00009EBD0000}"/>
    <cellStyle name="Comma 5 2 5 4 9" xfId="24003" xr:uid="{00000000-0005-0000-0000-00009FBD0000}"/>
    <cellStyle name="Comma 5 2 5 5" xfId="1336" xr:uid="{00000000-0005-0000-0000-0000A0BD0000}"/>
    <cellStyle name="Comma 5 2 5 5 10" xfId="22167" xr:uid="{00000000-0005-0000-0000-0000A1BD0000}"/>
    <cellStyle name="Comma 5 2 5 5 2" xfId="3784" xr:uid="{00000000-0005-0000-0000-0000A2BD0000}"/>
    <cellStyle name="Comma 5 2 5 5 2 2" xfId="19719" xr:uid="{00000000-0005-0000-0000-0000A3BD0000}"/>
    <cellStyle name="Comma 5 2 5 5 2 2 2" xfId="42997" xr:uid="{00000000-0005-0000-0000-0000A4BD0000}"/>
    <cellStyle name="Comma 5 2 5 5 2 3" xfId="47893" xr:uid="{00000000-0005-0000-0000-0000A5BD0000}"/>
    <cellStyle name="Comma 5 2 5 5 2 4" xfId="27063" xr:uid="{00000000-0005-0000-0000-0000A6BD0000}"/>
    <cellStyle name="Comma 5 2 5 5 3" xfId="6232" xr:uid="{00000000-0005-0000-0000-0000A7BD0000}"/>
    <cellStyle name="Comma 5 2 5 5 3 2" xfId="29511" xr:uid="{00000000-0005-0000-0000-0000A8BD0000}"/>
    <cellStyle name="Comma 5 2 5 5 4" xfId="8680" xr:uid="{00000000-0005-0000-0000-0000A9BD0000}"/>
    <cellStyle name="Comma 5 2 5 5 4 2" xfId="31959" xr:uid="{00000000-0005-0000-0000-0000AABD0000}"/>
    <cellStyle name="Comma 5 2 5 5 5" xfId="11128" xr:uid="{00000000-0005-0000-0000-0000ABBD0000}"/>
    <cellStyle name="Comma 5 2 5 5 5 2" xfId="34407" xr:uid="{00000000-0005-0000-0000-0000ACBD0000}"/>
    <cellStyle name="Comma 5 2 5 5 6" xfId="13576" xr:uid="{00000000-0005-0000-0000-0000ADBD0000}"/>
    <cellStyle name="Comma 5 2 5 5 6 2" xfId="36855" xr:uid="{00000000-0005-0000-0000-0000AEBD0000}"/>
    <cellStyle name="Comma 5 2 5 5 7" xfId="17271" xr:uid="{00000000-0005-0000-0000-0000AFBD0000}"/>
    <cellStyle name="Comma 5 2 5 5 7 2" xfId="40549" xr:uid="{00000000-0005-0000-0000-0000B0BD0000}"/>
    <cellStyle name="Comma 5 2 5 5 8" xfId="24615" xr:uid="{00000000-0005-0000-0000-0000B1BD0000}"/>
    <cellStyle name="Comma 5 2 5 5 9" xfId="45445" xr:uid="{00000000-0005-0000-0000-0000B2BD0000}"/>
    <cellStyle name="Comma 5 2 5 6" xfId="2560" xr:uid="{00000000-0005-0000-0000-0000B3BD0000}"/>
    <cellStyle name="Comma 5 2 5 6 2" xfId="16047" xr:uid="{00000000-0005-0000-0000-0000B4BD0000}"/>
    <cellStyle name="Comma 5 2 5 6 2 2" xfId="39325" xr:uid="{00000000-0005-0000-0000-0000B5BD0000}"/>
    <cellStyle name="Comma 5 2 5 6 3" xfId="46669" xr:uid="{00000000-0005-0000-0000-0000B6BD0000}"/>
    <cellStyle name="Comma 5 2 5 6 4" xfId="25839" xr:uid="{00000000-0005-0000-0000-0000B7BD0000}"/>
    <cellStyle name="Comma 5 2 5 7" xfId="5008" xr:uid="{00000000-0005-0000-0000-0000B8BD0000}"/>
    <cellStyle name="Comma 5 2 5 7 2" xfId="18495" xr:uid="{00000000-0005-0000-0000-0000B9BD0000}"/>
    <cellStyle name="Comma 5 2 5 7 2 2" xfId="41773" xr:uid="{00000000-0005-0000-0000-0000BABD0000}"/>
    <cellStyle name="Comma 5 2 5 7 3" xfId="28287" xr:uid="{00000000-0005-0000-0000-0000BBBD0000}"/>
    <cellStyle name="Comma 5 2 5 8" xfId="7456" xr:uid="{00000000-0005-0000-0000-0000BCBD0000}"/>
    <cellStyle name="Comma 5 2 5 8 2" xfId="30735" xr:uid="{00000000-0005-0000-0000-0000BDBD0000}"/>
    <cellStyle name="Comma 5 2 5 9" xfId="9904" xr:uid="{00000000-0005-0000-0000-0000BEBD0000}"/>
    <cellStyle name="Comma 5 2 5 9 2" xfId="33183" xr:uid="{00000000-0005-0000-0000-0000BFBD0000}"/>
    <cellStyle name="Comma 5 2 6" xfId="180" xr:uid="{00000000-0005-0000-0000-0000C0BD0000}"/>
    <cellStyle name="Comma 5 2 6 10" xfId="12420" xr:uid="{00000000-0005-0000-0000-0000C1BD0000}"/>
    <cellStyle name="Comma 5 2 6 10 2" xfId="35699" xr:uid="{00000000-0005-0000-0000-0000C2BD0000}"/>
    <cellStyle name="Comma 5 2 6 11" xfId="14891" xr:uid="{00000000-0005-0000-0000-0000C3BD0000}"/>
    <cellStyle name="Comma 5 2 6 11 2" xfId="38169" xr:uid="{00000000-0005-0000-0000-0000C4BD0000}"/>
    <cellStyle name="Comma 5 2 6 12" xfId="23459" xr:uid="{00000000-0005-0000-0000-0000C5BD0000}"/>
    <cellStyle name="Comma 5 2 6 13" xfId="44289" xr:uid="{00000000-0005-0000-0000-0000C6BD0000}"/>
    <cellStyle name="Comma 5 2 6 14" xfId="21011" xr:uid="{00000000-0005-0000-0000-0000C7BD0000}"/>
    <cellStyle name="Comma 5 2 6 2" xfId="384" xr:uid="{00000000-0005-0000-0000-0000C8BD0000}"/>
    <cellStyle name="Comma 5 2 6 2 10" xfId="23663" xr:uid="{00000000-0005-0000-0000-0000C9BD0000}"/>
    <cellStyle name="Comma 5 2 6 2 11" xfId="44493" xr:uid="{00000000-0005-0000-0000-0000CABD0000}"/>
    <cellStyle name="Comma 5 2 6 2 12" xfId="21215" xr:uid="{00000000-0005-0000-0000-0000CBBD0000}"/>
    <cellStyle name="Comma 5 2 6 2 2" xfId="996" xr:uid="{00000000-0005-0000-0000-0000CCBD0000}"/>
    <cellStyle name="Comma 5 2 6 2 2 10" xfId="45105" xr:uid="{00000000-0005-0000-0000-0000CDBD0000}"/>
    <cellStyle name="Comma 5 2 6 2 2 11" xfId="21827" xr:uid="{00000000-0005-0000-0000-0000CEBD0000}"/>
    <cellStyle name="Comma 5 2 6 2 2 2" xfId="2220" xr:uid="{00000000-0005-0000-0000-0000CFBD0000}"/>
    <cellStyle name="Comma 5 2 6 2 2 2 10" xfId="23051" xr:uid="{00000000-0005-0000-0000-0000D0BD0000}"/>
    <cellStyle name="Comma 5 2 6 2 2 2 2" xfId="4668" xr:uid="{00000000-0005-0000-0000-0000D1BD0000}"/>
    <cellStyle name="Comma 5 2 6 2 2 2 2 2" xfId="20603" xr:uid="{00000000-0005-0000-0000-0000D2BD0000}"/>
    <cellStyle name="Comma 5 2 6 2 2 2 2 2 2" xfId="43881" xr:uid="{00000000-0005-0000-0000-0000D3BD0000}"/>
    <cellStyle name="Comma 5 2 6 2 2 2 2 3" xfId="48777" xr:uid="{00000000-0005-0000-0000-0000D4BD0000}"/>
    <cellStyle name="Comma 5 2 6 2 2 2 2 4" xfId="27947" xr:uid="{00000000-0005-0000-0000-0000D5BD0000}"/>
    <cellStyle name="Comma 5 2 6 2 2 2 3" xfId="7116" xr:uid="{00000000-0005-0000-0000-0000D6BD0000}"/>
    <cellStyle name="Comma 5 2 6 2 2 2 3 2" xfId="30395" xr:uid="{00000000-0005-0000-0000-0000D7BD0000}"/>
    <cellStyle name="Comma 5 2 6 2 2 2 4" xfId="9564" xr:uid="{00000000-0005-0000-0000-0000D8BD0000}"/>
    <cellStyle name="Comma 5 2 6 2 2 2 4 2" xfId="32843" xr:uid="{00000000-0005-0000-0000-0000D9BD0000}"/>
    <cellStyle name="Comma 5 2 6 2 2 2 5" xfId="12012" xr:uid="{00000000-0005-0000-0000-0000DABD0000}"/>
    <cellStyle name="Comma 5 2 6 2 2 2 5 2" xfId="35291" xr:uid="{00000000-0005-0000-0000-0000DBBD0000}"/>
    <cellStyle name="Comma 5 2 6 2 2 2 6" xfId="14460" xr:uid="{00000000-0005-0000-0000-0000DCBD0000}"/>
    <cellStyle name="Comma 5 2 6 2 2 2 6 2" xfId="37739" xr:uid="{00000000-0005-0000-0000-0000DDBD0000}"/>
    <cellStyle name="Comma 5 2 6 2 2 2 7" xfId="18155" xr:uid="{00000000-0005-0000-0000-0000DEBD0000}"/>
    <cellStyle name="Comma 5 2 6 2 2 2 7 2" xfId="41433" xr:uid="{00000000-0005-0000-0000-0000DFBD0000}"/>
    <cellStyle name="Comma 5 2 6 2 2 2 8" xfId="25499" xr:uid="{00000000-0005-0000-0000-0000E0BD0000}"/>
    <cellStyle name="Comma 5 2 6 2 2 2 9" xfId="46329" xr:uid="{00000000-0005-0000-0000-0000E1BD0000}"/>
    <cellStyle name="Comma 5 2 6 2 2 3" xfId="3444" xr:uid="{00000000-0005-0000-0000-0000E2BD0000}"/>
    <cellStyle name="Comma 5 2 6 2 2 3 2" xfId="16931" xr:uid="{00000000-0005-0000-0000-0000E3BD0000}"/>
    <cellStyle name="Comma 5 2 6 2 2 3 2 2" xfId="40209" xr:uid="{00000000-0005-0000-0000-0000E4BD0000}"/>
    <cellStyle name="Comma 5 2 6 2 2 3 3" xfId="47553" xr:uid="{00000000-0005-0000-0000-0000E5BD0000}"/>
    <cellStyle name="Comma 5 2 6 2 2 3 4" xfId="26723" xr:uid="{00000000-0005-0000-0000-0000E6BD0000}"/>
    <cellStyle name="Comma 5 2 6 2 2 4" xfId="5892" xr:uid="{00000000-0005-0000-0000-0000E7BD0000}"/>
    <cellStyle name="Comma 5 2 6 2 2 4 2" xfId="19379" xr:uid="{00000000-0005-0000-0000-0000E8BD0000}"/>
    <cellStyle name="Comma 5 2 6 2 2 4 2 2" xfId="42657" xr:uid="{00000000-0005-0000-0000-0000E9BD0000}"/>
    <cellStyle name="Comma 5 2 6 2 2 4 3" xfId="29171" xr:uid="{00000000-0005-0000-0000-0000EABD0000}"/>
    <cellStyle name="Comma 5 2 6 2 2 5" xfId="8340" xr:uid="{00000000-0005-0000-0000-0000EBBD0000}"/>
    <cellStyle name="Comma 5 2 6 2 2 5 2" xfId="31619" xr:uid="{00000000-0005-0000-0000-0000ECBD0000}"/>
    <cellStyle name="Comma 5 2 6 2 2 6" xfId="10788" xr:uid="{00000000-0005-0000-0000-0000EDBD0000}"/>
    <cellStyle name="Comma 5 2 6 2 2 6 2" xfId="34067" xr:uid="{00000000-0005-0000-0000-0000EEBD0000}"/>
    <cellStyle name="Comma 5 2 6 2 2 7" xfId="13236" xr:uid="{00000000-0005-0000-0000-0000EFBD0000}"/>
    <cellStyle name="Comma 5 2 6 2 2 7 2" xfId="36515" xr:uid="{00000000-0005-0000-0000-0000F0BD0000}"/>
    <cellStyle name="Comma 5 2 6 2 2 8" xfId="15707" xr:uid="{00000000-0005-0000-0000-0000F1BD0000}"/>
    <cellStyle name="Comma 5 2 6 2 2 8 2" xfId="38985" xr:uid="{00000000-0005-0000-0000-0000F2BD0000}"/>
    <cellStyle name="Comma 5 2 6 2 2 9" xfId="24275" xr:uid="{00000000-0005-0000-0000-0000F3BD0000}"/>
    <cellStyle name="Comma 5 2 6 2 3" xfId="1608" xr:uid="{00000000-0005-0000-0000-0000F4BD0000}"/>
    <cellStyle name="Comma 5 2 6 2 3 10" xfId="22439" xr:uid="{00000000-0005-0000-0000-0000F5BD0000}"/>
    <cellStyle name="Comma 5 2 6 2 3 2" xfId="4056" xr:uid="{00000000-0005-0000-0000-0000F6BD0000}"/>
    <cellStyle name="Comma 5 2 6 2 3 2 2" xfId="19991" xr:uid="{00000000-0005-0000-0000-0000F7BD0000}"/>
    <cellStyle name="Comma 5 2 6 2 3 2 2 2" xfId="43269" xr:uid="{00000000-0005-0000-0000-0000F8BD0000}"/>
    <cellStyle name="Comma 5 2 6 2 3 2 3" xfId="48165" xr:uid="{00000000-0005-0000-0000-0000F9BD0000}"/>
    <cellStyle name="Comma 5 2 6 2 3 2 4" xfId="27335" xr:uid="{00000000-0005-0000-0000-0000FABD0000}"/>
    <cellStyle name="Comma 5 2 6 2 3 3" xfId="6504" xr:uid="{00000000-0005-0000-0000-0000FBBD0000}"/>
    <cellStyle name="Comma 5 2 6 2 3 3 2" xfId="29783" xr:uid="{00000000-0005-0000-0000-0000FCBD0000}"/>
    <cellStyle name="Comma 5 2 6 2 3 4" xfId="8952" xr:uid="{00000000-0005-0000-0000-0000FDBD0000}"/>
    <cellStyle name="Comma 5 2 6 2 3 4 2" xfId="32231" xr:uid="{00000000-0005-0000-0000-0000FEBD0000}"/>
    <cellStyle name="Comma 5 2 6 2 3 5" xfId="11400" xr:uid="{00000000-0005-0000-0000-0000FFBD0000}"/>
    <cellStyle name="Comma 5 2 6 2 3 5 2" xfId="34679" xr:uid="{00000000-0005-0000-0000-000000BE0000}"/>
    <cellStyle name="Comma 5 2 6 2 3 6" xfId="13848" xr:uid="{00000000-0005-0000-0000-000001BE0000}"/>
    <cellStyle name="Comma 5 2 6 2 3 6 2" xfId="37127" xr:uid="{00000000-0005-0000-0000-000002BE0000}"/>
    <cellStyle name="Comma 5 2 6 2 3 7" xfId="17543" xr:uid="{00000000-0005-0000-0000-000003BE0000}"/>
    <cellStyle name="Comma 5 2 6 2 3 7 2" xfId="40821" xr:uid="{00000000-0005-0000-0000-000004BE0000}"/>
    <cellStyle name="Comma 5 2 6 2 3 8" xfId="24887" xr:uid="{00000000-0005-0000-0000-000005BE0000}"/>
    <cellStyle name="Comma 5 2 6 2 3 9" xfId="45717" xr:uid="{00000000-0005-0000-0000-000006BE0000}"/>
    <cellStyle name="Comma 5 2 6 2 4" xfId="2832" xr:uid="{00000000-0005-0000-0000-000007BE0000}"/>
    <cellStyle name="Comma 5 2 6 2 4 2" xfId="16319" xr:uid="{00000000-0005-0000-0000-000008BE0000}"/>
    <cellStyle name="Comma 5 2 6 2 4 2 2" xfId="39597" xr:uid="{00000000-0005-0000-0000-000009BE0000}"/>
    <cellStyle name="Comma 5 2 6 2 4 3" xfId="46941" xr:uid="{00000000-0005-0000-0000-00000ABE0000}"/>
    <cellStyle name="Comma 5 2 6 2 4 4" xfId="26111" xr:uid="{00000000-0005-0000-0000-00000BBE0000}"/>
    <cellStyle name="Comma 5 2 6 2 5" xfId="5280" xr:uid="{00000000-0005-0000-0000-00000CBE0000}"/>
    <cellStyle name="Comma 5 2 6 2 5 2" xfId="18767" xr:uid="{00000000-0005-0000-0000-00000DBE0000}"/>
    <cellStyle name="Comma 5 2 6 2 5 2 2" xfId="42045" xr:uid="{00000000-0005-0000-0000-00000EBE0000}"/>
    <cellStyle name="Comma 5 2 6 2 5 3" xfId="28559" xr:uid="{00000000-0005-0000-0000-00000FBE0000}"/>
    <cellStyle name="Comma 5 2 6 2 6" xfId="7728" xr:uid="{00000000-0005-0000-0000-000010BE0000}"/>
    <cellStyle name="Comma 5 2 6 2 6 2" xfId="31007" xr:uid="{00000000-0005-0000-0000-000011BE0000}"/>
    <cellStyle name="Comma 5 2 6 2 7" xfId="10176" xr:uid="{00000000-0005-0000-0000-000012BE0000}"/>
    <cellStyle name="Comma 5 2 6 2 7 2" xfId="33455" xr:uid="{00000000-0005-0000-0000-000013BE0000}"/>
    <cellStyle name="Comma 5 2 6 2 8" xfId="12624" xr:uid="{00000000-0005-0000-0000-000014BE0000}"/>
    <cellStyle name="Comma 5 2 6 2 8 2" xfId="35903" xr:uid="{00000000-0005-0000-0000-000015BE0000}"/>
    <cellStyle name="Comma 5 2 6 2 9" xfId="15095" xr:uid="{00000000-0005-0000-0000-000016BE0000}"/>
    <cellStyle name="Comma 5 2 6 2 9 2" xfId="38373" xr:uid="{00000000-0005-0000-0000-000017BE0000}"/>
    <cellStyle name="Comma 5 2 6 3" xfId="588" xr:uid="{00000000-0005-0000-0000-000018BE0000}"/>
    <cellStyle name="Comma 5 2 6 3 10" xfId="23867" xr:uid="{00000000-0005-0000-0000-000019BE0000}"/>
    <cellStyle name="Comma 5 2 6 3 11" xfId="44697" xr:uid="{00000000-0005-0000-0000-00001ABE0000}"/>
    <cellStyle name="Comma 5 2 6 3 12" xfId="21419" xr:uid="{00000000-0005-0000-0000-00001BBE0000}"/>
    <cellStyle name="Comma 5 2 6 3 2" xfId="1200" xr:uid="{00000000-0005-0000-0000-00001CBE0000}"/>
    <cellStyle name="Comma 5 2 6 3 2 10" xfId="45309" xr:uid="{00000000-0005-0000-0000-00001DBE0000}"/>
    <cellStyle name="Comma 5 2 6 3 2 11" xfId="22031" xr:uid="{00000000-0005-0000-0000-00001EBE0000}"/>
    <cellStyle name="Comma 5 2 6 3 2 2" xfId="2424" xr:uid="{00000000-0005-0000-0000-00001FBE0000}"/>
    <cellStyle name="Comma 5 2 6 3 2 2 10" xfId="23255" xr:uid="{00000000-0005-0000-0000-000020BE0000}"/>
    <cellStyle name="Comma 5 2 6 3 2 2 2" xfId="4872" xr:uid="{00000000-0005-0000-0000-000021BE0000}"/>
    <cellStyle name="Comma 5 2 6 3 2 2 2 2" xfId="20807" xr:uid="{00000000-0005-0000-0000-000022BE0000}"/>
    <cellStyle name="Comma 5 2 6 3 2 2 2 2 2" xfId="44085" xr:uid="{00000000-0005-0000-0000-000023BE0000}"/>
    <cellStyle name="Comma 5 2 6 3 2 2 2 3" xfId="48981" xr:uid="{00000000-0005-0000-0000-000024BE0000}"/>
    <cellStyle name="Comma 5 2 6 3 2 2 2 4" xfId="28151" xr:uid="{00000000-0005-0000-0000-000025BE0000}"/>
    <cellStyle name="Comma 5 2 6 3 2 2 3" xfId="7320" xr:uid="{00000000-0005-0000-0000-000026BE0000}"/>
    <cellStyle name="Comma 5 2 6 3 2 2 3 2" xfId="30599" xr:uid="{00000000-0005-0000-0000-000027BE0000}"/>
    <cellStyle name="Comma 5 2 6 3 2 2 4" xfId="9768" xr:uid="{00000000-0005-0000-0000-000028BE0000}"/>
    <cellStyle name="Comma 5 2 6 3 2 2 4 2" xfId="33047" xr:uid="{00000000-0005-0000-0000-000029BE0000}"/>
    <cellStyle name="Comma 5 2 6 3 2 2 5" xfId="12216" xr:uid="{00000000-0005-0000-0000-00002ABE0000}"/>
    <cellStyle name="Comma 5 2 6 3 2 2 5 2" xfId="35495" xr:uid="{00000000-0005-0000-0000-00002BBE0000}"/>
    <cellStyle name="Comma 5 2 6 3 2 2 6" xfId="14664" xr:uid="{00000000-0005-0000-0000-00002CBE0000}"/>
    <cellStyle name="Comma 5 2 6 3 2 2 6 2" xfId="37943" xr:uid="{00000000-0005-0000-0000-00002DBE0000}"/>
    <cellStyle name="Comma 5 2 6 3 2 2 7" xfId="18359" xr:uid="{00000000-0005-0000-0000-00002EBE0000}"/>
    <cellStyle name="Comma 5 2 6 3 2 2 7 2" xfId="41637" xr:uid="{00000000-0005-0000-0000-00002FBE0000}"/>
    <cellStyle name="Comma 5 2 6 3 2 2 8" xfId="25703" xr:uid="{00000000-0005-0000-0000-000030BE0000}"/>
    <cellStyle name="Comma 5 2 6 3 2 2 9" xfId="46533" xr:uid="{00000000-0005-0000-0000-000031BE0000}"/>
    <cellStyle name="Comma 5 2 6 3 2 3" xfId="3648" xr:uid="{00000000-0005-0000-0000-000032BE0000}"/>
    <cellStyle name="Comma 5 2 6 3 2 3 2" xfId="17135" xr:uid="{00000000-0005-0000-0000-000033BE0000}"/>
    <cellStyle name="Comma 5 2 6 3 2 3 2 2" xfId="40413" xr:uid="{00000000-0005-0000-0000-000034BE0000}"/>
    <cellStyle name="Comma 5 2 6 3 2 3 3" xfId="47757" xr:uid="{00000000-0005-0000-0000-000035BE0000}"/>
    <cellStyle name="Comma 5 2 6 3 2 3 4" xfId="26927" xr:uid="{00000000-0005-0000-0000-000036BE0000}"/>
    <cellStyle name="Comma 5 2 6 3 2 4" xfId="6096" xr:uid="{00000000-0005-0000-0000-000037BE0000}"/>
    <cellStyle name="Comma 5 2 6 3 2 4 2" xfId="19583" xr:uid="{00000000-0005-0000-0000-000038BE0000}"/>
    <cellStyle name="Comma 5 2 6 3 2 4 2 2" xfId="42861" xr:uid="{00000000-0005-0000-0000-000039BE0000}"/>
    <cellStyle name="Comma 5 2 6 3 2 4 3" xfId="29375" xr:uid="{00000000-0005-0000-0000-00003ABE0000}"/>
    <cellStyle name="Comma 5 2 6 3 2 5" xfId="8544" xr:uid="{00000000-0005-0000-0000-00003BBE0000}"/>
    <cellStyle name="Comma 5 2 6 3 2 5 2" xfId="31823" xr:uid="{00000000-0005-0000-0000-00003CBE0000}"/>
    <cellStyle name="Comma 5 2 6 3 2 6" xfId="10992" xr:uid="{00000000-0005-0000-0000-00003DBE0000}"/>
    <cellStyle name="Comma 5 2 6 3 2 6 2" xfId="34271" xr:uid="{00000000-0005-0000-0000-00003EBE0000}"/>
    <cellStyle name="Comma 5 2 6 3 2 7" xfId="13440" xr:uid="{00000000-0005-0000-0000-00003FBE0000}"/>
    <cellStyle name="Comma 5 2 6 3 2 7 2" xfId="36719" xr:uid="{00000000-0005-0000-0000-000040BE0000}"/>
    <cellStyle name="Comma 5 2 6 3 2 8" xfId="15911" xr:uid="{00000000-0005-0000-0000-000041BE0000}"/>
    <cellStyle name="Comma 5 2 6 3 2 8 2" xfId="39189" xr:uid="{00000000-0005-0000-0000-000042BE0000}"/>
    <cellStyle name="Comma 5 2 6 3 2 9" xfId="24479" xr:uid="{00000000-0005-0000-0000-000043BE0000}"/>
    <cellStyle name="Comma 5 2 6 3 3" xfId="1812" xr:uid="{00000000-0005-0000-0000-000044BE0000}"/>
    <cellStyle name="Comma 5 2 6 3 3 10" xfId="22643" xr:uid="{00000000-0005-0000-0000-000045BE0000}"/>
    <cellStyle name="Comma 5 2 6 3 3 2" xfId="4260" xr:uid="{00000000-0005-0000-0000-000046BE0000}"/>
    <cellStyle name="Comma 5 2 6 3 3 2 2" xfId="20195" xr:uid="{00000000-0005-0000-0000-000047BE0000}"/>
    <cellStyle name="Comma 5 2 6 3 3 2 2 2" xfId="43473" xr:uid="{00000000-0005-0000-0000-000048BE0000}"/>
    <cellStyle name="Comma 5 2 6 3 3 2 3" xfId="48369" xr:uid="{00000000-0005-0000-0000-000049BE0000}"/>
    <cellStyle name="Comma 5 2 6 3 3 2 4" xfId="27539" xr:uid="{00000000-0005-0000-0000-00004ABE0000}"/>
    <cellStyle name="Comma 5 2 6 3 3 3" xfId="6708" xr:uid="{00000000-0005-0000-0000-00004BBE0000}"/>
    <cellStyle name="Comma 5 2 6 3 3 3 2" xfId="29987" xr:uid="{00000000-0005-0000-0000-00004CBE0000}"/>
    <cellStyle name="Comma 5 2 6 3 3 4" xfId="9156" xr:uid="{00000000-0005-0000-0000-00004DBE0000}"/>
    <cellStyle name="Comma 5 2 6 3 3 4 2" xfId="32435" xr:uid="{00000000-0005-0000-0000-00004EBE0000}"/>
    <cellStyle name="Comma 5 2 6 3 3 5" xfId="11604" xr:uid="{00000000-0005-0000-0000-00004FBE0000}"/>
    <cellStyle name="Comma 5 2 6 3 3 5 2" xfId="34883" xr:uid="{00000000-0005-0000-0000-000050BE0000}"/>
    <cellStyle name="Comma 5 2 6 3 3 6" xfId="14052" xr:uid="{00000000-0005-0000-0000-000051BE0000}"/>
    <cellStyle name="Comma 5 2 6 3 3 6 2" xfId="37331" xr:uid="{00000000-0005-0000-0000-000052BE0000}"/>
    <cellStyle name="Comma 5 2 6 3 3 7" xfId="17747" xr:uid="{00000000-0005-0000-0000-000053BE0000}"/>
    <cellStyle name="Comma 5 2 6 3 3 7 2" xfId="41025" xr:uid="{00000000-0005-0000-0000-000054BE0000}"/>
    <cellStyle name="Comma 5 2 6 3 3 8" xfId="25091" xr:uid="{00000000-0005-0000-0000-000055BE0000}"/>
    <cellStyle name="Comma 5 2 6 3 3 9" xfId="45921" xr:uid="{00000000-0005-0000-0000-000056BE0000}"/>
    <cellStyle name="Comma 5 2 6 3 4" xfId="3036" xr:uid="{00000000-0005-0000-0000-000057BE0000}"/>
    <cellStyle name="Comma 5 2 6 3 4 2" xfId="16523" xr:uid="{00000000-0005-0000-0000-000058BE0000}"/>
    <cellStyle name="Comma 5 2 6 3 4 2 2" xfId="39801" xr:uid="{00000000-0005-0000-0000-000059BE0000}"/>
    <cellStyle name="Comma 5 2 6 3 4 3" xfId="47145" xr:uid="{00000000-0005-0000-0000-00005ABE0000}"/>
    <cellStyle name="Comma 5 2 6 3 4 4" xfId="26315" xr:uid="{00000000-0005-0000-0000-00005BBE0000}"/>
    <cellStyle name="Comma 5 2 6 3 5" xfId="5484" xr:uid="{00000000-0005-0000-0000-00005CBE0000}"/>
    <cellStyle name="Comma 5 2 6 3 5 2" xfId="18971" xr:uid="{00000000-0005-0000-0000-00005DBE0000}"/>
    <cellStyle name="Comma 5 2 6 3 5 2 2" xfId="42249" xr:uid="{00000000-0005-0000-0000-00005EBE0000}"/>
    <cellStyle name="Comma 5 2 6 3 5 3" xfId="28763" xr:uid="{00000000-0005-0000-0000-00005FBE0000}"/>
    <cellStyle name="Comma 5 2 6 3 6" xfId="7932" xr:uid="{00000000-0005-0000-0000-000060BE0000}"/>
    <cellStyle name="Comma 5 2 6 3 6 2" xfId="31211" xr:uid="{00000000-0005-0000-0000-000061BE0000}"/>
    <cellStyle name="Comma 5 2 6 3 7" xfId="10380" xr:uid="{00000000-0005-0000-0000-000062BE0000}"/>
    <cellStyle name="Comma 5 2 6 3 7 2" xfId="33659" xr:uid="{00000000-0005-0000-0000-000063BE0000}"/>
    <cellStyle name="Comma 5 2 6 3 8" xfId="12828" xr:uid="{00000000-0005-0000-0000-000064BE0000}"/>
    <cellStyle name="Comma 5 2 6 3 8 2" xfId="36107" xr:uid="{00000000-0005-0000-0000-000065BE0000}"/>
    <cellStyle name="Comma 5 2 6 3 9" xfId="15299" xr:uid="{00000000-0005-0000-0000-000066BE0000}"/>
    <cellStyle name="Comma 5 2 6 3 9 2" xfId="38577" xr:uid="{00000000-0005-0000-0000-000067BE0000}"/>
    <cellStyle name="Comma 5 2 6 4" xfId="792" xr:uid="{00000000-0005-0000-0000-000068BE0000}"/>
    <cellStyle name="Comma 5 2 6 4 10" xfId="44901" xr:uid="{00000000-0005-0000-0000-000069BE0000}"/>
    <cellStyle name="Comma 5 2 6 4 11" xfId="21623" xr:uid="{00000000-0005-0000-0000-00006ABE0000}"/>
    <cellStyle name="Comma 5 2 6 4 2" xfId="2016" xr:uid="{00000000-0005-0000-0000-00006BBE0000}"/>
    <cellStyle name="Comma 5 2 6 4 2 10" xfId="22847" xr:uid="{00000000-0005-0000-0000-00006CBE0000}"/>
    <cellStyle name="Comma 5 2 6 4 2 2" xfId="4464" xr:uid="{00000000-0005-0000-0000-00006DBE0000}"/>
    <cellStyle name="Comma 5 2 6 4 2 2 2" xfId="20399" xr:uid="{00000000-0005-0000-0000-00006EBE0000}"/>
    <cellStyle name="Comma 5 2 6 4 2 2 2 2" xfId="43677" xr:uid="{00000000-0005-0000-0000-00006FBE0000}"/>
    <cellStyle name="Comma 5 2 6 4 2 2 3" xfId="48573" xr:uid="{00000000-0005-0000-0000-000070BE0000}"/>
    <cellStyle name="Comma 5 2 6 4 2 2 4" xfId="27743" xr:uid="{00000000-0005-0000-0000-000071BE0000}"/>
    <cellStyle name="Comma 5 2 6 4 2 3" xfId="6912" xr:uid="{00000000-0005-0000-0000-000072BE0000}"/>
    <cellStyle name="Comma 5 2 6 4 2 3 2" xfId="30191" xr:uid="{00000000-0005-0000-0000-000073BE0000}"/>
    <cellStyle name="Comma 5 2 6 4 2 4" xfId="9360" xr:uid="{00000000-0005-0000-0000-000074BE0000}"/>
    <cellStyle name="Comma 5 2 6 4 2 4 2" xfId="32639" xr:uid="{00000000-0005-0000-0000-000075BE0000}"/>
    <cellStyle name="Comma 5 2 6 4 2 5" xfId="11808" xr:uid="{00000000-0005-0000-0000-000076BE0000}"/>
    <cellStyle name="Comma 5 2 6 4 2 5 2" xfId="35087" xr:uid="{00000000-0005-0000-0000-000077BE0000}"/>
    <cellStyle name="Comma 5 2 6 4 2 6" xfId="14256" xr:uid="{00000000-0005-0000-0000-000078BE0000}"/>
    <cellStyle name="Comma 5 2 6 4 2 6 2" xfId="37535" xr:uid="{00000000-0005-0000-0000-000079BE0000}"/>
    <cellStyle name="Comma 5 2 6 4 2 7" xfId="17951" xr:uid="{00000000-0005-0000-0000-00007ABE0000}"/>
    <cellStyle name="Comma 5 2 6 4 2 7 2" xfId="41229" xr:uid="{00000000-0005-0000-0000-00007BBE0000}"/>
    <cellStyle name="Comma 5 2 6 4 2 8" xfId="25295" xr:uid="{00000000-0005-0000-0000-00007CBE0000}"/>
    <cellStyle name="Comma 5 2 6 4 2 9" xfId="46125" xr:uid="{00000000-0005-0000-0000-00007DBE0000}"/>
    <cellStyle name="Comma 5 2 6 4 3" xfId="3240" xr:uid="{00000000-0005-0000-0000-00007EBE0000}"/>
    <cellStyle name="Comma 5 2 6 4 3 2" xfId="16727" xr:uid="{00000000-0005-0000-0000-00007FBE0000}"/>
    <cellStyle name="Comma 5 2 6 4 3 2 2" xfId="40005" xr:uid="{00000000-0005-0000-0000-000080BE0000}"/>
    <cellStyle name="Comma 5 2 6 4 3 3" xfId="47349" xr:uid="{00000000-0005-0000-0000-000081BE0000}"/>
    <cellStyle name="Comma 5 2 6 4 3 4" xfId="26519" xr:uid="{00000000-0005-0000-0000-000082BE0000}"/>
    <cellStyle name="Comma 5 2 6 4 4" xfId="5688" xr:uid="{00000000-0005-0000-0000-000083BE0000}"/>
    <cellStyle name="Comma 5 2 6 4 4 2" xfId="19175" xr:uid="{00000000-0005-0000-0000-000084BE0000}"/>
    <cellStyle name="Comma 5 2 6 4 4 2 2" xfId="42453" xr:uid="{00000000-0005-0000-0000-000085BE0000}"/>
    <cellStyle name="Comma 5 2 6 4 4 3" xfId="28967" xr:uid="{00000000-0005-0000-0000-000086BE0000}"/>
    <cellStyle name="Comma 5 2 6 4 5" xfId="8136" xr:uid="{00000000-0005-0000-0000-000087BE0000}"/>
    <cellStyle name="Comma 5 2 6 4 5 2" xfId="31415" xr:uid="{00000000-0005-0000-0000-000088BE0000}"/>
    <cellStyle name="Comma 5 2 6 4 6" xfId="10584" xr:uid="{00000000-0005-0000-0000-000089BE0000}"/>
    <cellStyle name="Comma 5 2 6 4 6 2" xfId="33863" xr:uid="{00000000-0005-0000-0000-00008ABE0000}"/>
    <cellStyle name="Comma 5 2 6 4 7" xfId="13032" xr:uid="{00000000-0005-0000-0000-00008BBE0000}"/>
    <cellStyle name="Comma 5 2 6 4 7 2" xfId="36311" xr:uid="{00000000-0005-0000-0000-00008CBE0000}"/>
    <cellStyle name="Comma 5 2 6 4 8" xfId="15503" xr:uid="{00000000-0005-0000-0000-00008DBE0000}"/>
    <cellStyle name="Comma 5 2 6 4 8 2" xfId="38781" xr:uid="{00000000-0005-0000-0000-00008EBE0000}"/>
    <cellStyle name="Comma 5 2 6 4 9" xfId="24071" xr:uid="{00000000-0005-0000-0000-00008FBE0000}"/>
    <cellStyle name="Comma 5 2 6 5" xfId="1404" xr:uid="{00000000-0005-0000-0000-000090BE0000}"/>
    <cellStyle name="Comma 5 2 6 5 10" xfId="22235" xr:uid="{00000000-0005-0000-0000-000091BE0000}"/>
    <cellStyle name="Comma 5 2 6 5 2" xfId="3852" xr:uid="{00000000-0005-0000-0000-000092BE0000}"/>
    <cellStyle name="Comma 5 2 6 5 2 2" xfId="19787" xr:uid="{00000000-0005-0000-0000-000093BE0000}"/>
    <cellStyle name="Comma 5 2 6 5 2 2 2" xfId="43065" xr:uid="{00000000-0005-0000-0000-000094BE0000}"/>
    <cellStyle name="Comma 5 2 6 5 2 3" xfId="47961" xr:uid="{00000000-0005-0000-0000-000095BE0000}"/>
    <cellStyle name="Comma 5 2 6 5 2 4" xfId="27131" xr:uid="{00000000-0005-0000-0000-000096BE0000}"/>
    <cellStyle name="Comma 5 2 6 5 3" xfId="6300" xr:uid="{00000000-0005-0000-0000-000097BE0000}"/>
    <cellStyle name="Comma 5 2 6 5 3 2" xfId="29579" xr:uid="{00000000-0005-0000-0000-000098BE0000}"/>
    <cellStyle name="Comma 5 2 6 5 4" xfId="8748" xr:uid="{00000000-0005-0000-0000-000099BE0000}"/>
    <cellStyle name="Comma 5 2 6 5 4 2" xfId="32027" xr:uid="{00000000-0005-0000-0000-00009ABE0000}"/>
    <cellStyle name="Comma 5 2 6 5 5" xfId="11196" xr:uid="{00000000-0005-0000-0000-00009BBE0000}"/>
    <cellStyle name="Comma 5 2 6 5 5 2" xfId="34475" xr:uid="{00000000-0005-0000-0000-00009CBE0000}"/>
    <cellStyle name="Comma 5 2 6 5 6" xfId="13644" xr:uid="{00000000-0005-0000-0000-00009DBE0000}"/>
    <cellStyle name="Comma 5 2 6 5 6 2" xfId="36923" xr:uid="{00000000-0005-0000-0000-00009EBE0000}"/>
    <cellStyle name="Comma 5 2 6 5 7" xfId="17339" xr:uid="{00000000-0005-0000-0000-00009FBE0000}"/>
    <cellStyle name="Comma 5 2 6 5 7 2" xfId="40617" xr:uid="{00000000-0005-0000-0000-0000A0BE0000}"/>
    <cellStyle name="Comma 5 2 6 5 8" xfId="24683" xr:uid="{00000000-0005-0000-0000-0000A1BE0000}"/>
    <cellStyle name="Comma 5 2 6 5 9" xfId="45513" xr:uid="{00000000-0005-0000-0000-0000A2BE0000}"/>
    <cellStyle name="Comma 5 2 6 6" xfId="2628" xr:uid="{00000000-0005-0000-0000-0000A3BE0000}"/>
    <cellStyle name="Comma 5 2 6 6 2" xfId="16115" xr:uid="{00000000-0005-0000-0000-0000A4BE0000}"/>
    <cellStyle name="Comma 5 2 6 6 2 2" xfId="39393" xr:uid="{00000000-0005-0000-0000-0000A5BE0000}"/>
    <cellStyle name="Comma 5 2 6 6 3" xfId="46737" xr:uid="{00000000-0005-0000-0000-0000A6BE0000}"/>
    <cellStyle name="Comma 5 2 6 6 4" xfId="25907" xr:uid="{00000000-0005-0000-0000-0000A7BE0000}"/>
    <cellStyle name="Comma 5 2 6 7" xfId="5076" xr:uid="{00000000-0005-0000-0000-0000A8BE0000}"/>
    <cellStyle name="Comma 5 2 6 7 2" xfId="18563" xr:uid="{00000000-0005-0000-0000-0000A9BE0000}"/>
    <cellStyle name="Comma 5 2 6 7 2 2" xfId="41841" xr:uid="{00000000-0005-0000-0000-0000AABE0000}"/>
    <cellStyle name="Comma 5 2 6 7 3" xfId="28355" xr:uid="{00000000-0005-0000-0000-0000ABBE0000}"/>
    <cellStyle name="Comma 5 2 6 8" xfId="7524" xr:uid="{00000000-0005-0000-0000-0000ACBE0000}"/>
    <cellStyle name="Comma 5 2 6 8 2" xfId="30803" xr:uid="{00000000-0005-0000-0000-0000ADBE0000}"/>
    <cellStyle name="Comma 5 2 6 9" xfId="9972" xr:uid="{00000000-0005-0000-0000-0000AEBE0000}"/>
    <cellStyle name="Comma 5 2 6 9 2" xfId="33251" xr:uid="{00000000-0005-0000-0000-0000AFBE0000}"/>
    <cellStyle name="Comma 5 2 7" xfId="248" xr:uid="{00000000-0005-0000-0000-0000B0BE0000}"/>
    <cellStyle name="Comma 5 2 7 10" xfId="23527" xr:uid="{00000000-0005-0000-0000-0000B1BE0000}"/>
    <cellStyle name="Comma 5 2 7 11" xfId="44357" xr:uid="{00000000-0005-0000-0000-0000B2BE0000}"/>
    <cellStyle name="Comma 5 2 7 12" xfId="21079" xr:uid="{00000000-0005-0000-0000-0000B3BE0000}"/>
    <cellStyle name="Comma 5 2 7 2" xfId="860" xr:uid="{00000000-0005-0000-0000-0000B4BE0000}"/>
    <cellStyle name="Comma 5 2 7 2 10" xfId="44969" xr:uid="{00000000-0005-0000-0000-0000B5BE0000}"/>
    <cellStyle name="Comma 5 2 7 2 11" xfId="21691" xr:uid="{00000000-0005-0000-0000-0000B6BE0000}"/>
    <cellStyle name="Comma 5 2 7 2 2" xfId="2084" xr:uid="{00000000-0005-0000-0000-0000B7BE0000}"/>
    <cellStyle name="Comma 5 2 7 2 2 10" xfId="22915" xr:uid="{00000000-0005-0000-0000-0000B8BE0000}"/>
    <cellStyle name="Comma 5 2 7 2 2 2" xfId="4532" xr:uid="{00000000-0005-0000-0000-0000B9BE0000}"/>
    <cellStyle name="Comma 5 2 7 2 2 2 2" xfId="20467" xr:uid="{00000000-0005-0000-0000-0000BABE0000}"/>
    <cellStyle name="Comma 5 2 7 2 2 2 2 2" xfId="43745" xr:uid="{00000000-0005-0000-0000-0000BBBE0000}"/>
    <cellStyle name="Comma 5 2 7 2 2 2 3" xfId="48641" xr:uid="{00000000-0005-0000-0000-0000BCBE0000}"/>
    <cellStyle name="Comma 5 2 7 2 2 2 4" xfId="27811" xr:uid="{00000000-0005-0000-0000-0000BDBE0000}"/>
    <cellStyle name="Comma 5 2 7 2 2 3" xfId="6980" xr:uid="{00000000-0005-0000-0000-0000BEBE0000}"/>
    <cellStyle name="Comma 5 2 7 2 2 3 2" xfId="30259" xr:uid="{00000000-0005-0000-0000-0000BFBE0000}"/>
    <cellStyle name="Comma 5 2 7 2 2 4" xfId="9428" xr:uid="{00000000-0005-0000-0000-0000C0BE0000}"/>
    <cellStyle name="Comma 5 2 7 2 2 4 2" xfId="32707" xr:uid="{00000000-0005-0000-0000-0000C1BE0000}"/>
    <cellStyle name="Comma 5 2 7 2 2 5" xfId="11876" xr:uid="{00000000-0005-0000-0000-0000C2BE0000}"/>
    <cellStyle name="Comma 5 2 7 2 2 5 2" xfId="35155" xr:uid="{00000000-0005-0000-0000-0000C3BE0000}"/>
    <cellStyle name="Comma 5 2 7 2 2 6" xfId="14324" xr:uid="{00000000-0005-0000-0000-0000C4BE0000}"/>
    <cellStyle name="Comma 5 2 7 2 2 6 2" xfId="37603" xr:uid="{00000000-0005-0000-0000-0000C5BE0000}"/>
    <cellStyle name="Comma 5 2 7 2 2 7" xfId="18019" xr:uid="{00000000-0005-0000-0000-0000C6BE0000}"/>
    <cellStyle name="Comma 5 2 7 2 2 7 2" xfId="41297" xr:uid="{00000000-0005-0000-0000-0000C7BE0000}"/>
    <cellStyle name="Comma 5 2 7 2 2 8" xfId="25363" xr:uid="{00000000-0005-0000-0000-0000C8BE0000}"/>
    <cellStyle name="Comma 5 2 7 2 2 9" xfId="46193" xr:uid="{00000000-0005-0000-0000-0000C9BE0000}"/>
    <cellStyle name="Comma 5 2 7 2 3" xfId="3308" xr:uid="{00000000-0005-0000-0000-0000CABE0000}"/>
    <cellStyle name="Comma 5 2 7 2 3 2" xfId="16795" xr:uid="{00000000-0005-0000-0000-0000CBBE0000}"/>
    <cellStyle name="Comma 5 2 7 2 3 2 2" xfId="40073" xr:uid="{00000000-0005-0000-0000-0000CCBE0000}"/>
    <cellStyle name="Comma 5 2 7 2 3 3" xfId="47417" xr:uid="{00000000-0005-0000-0000-0000CDBE0000}"/>
    <cellStyle name="Comma 5 2 7 2 3 4" xfId="26587" xr:uid="{00000000-0005-0000-0000-0000CEBE0000}"/>
    <cellStyle name="Comma 5 2 7 2 4" xfId="5756" xr:uid="{00000000-0005-0000-0000-0000CFBE0000}"/>
    <cellStyle name="Comma 5 2 7 2 4 2" xfId="19243" xr:uid="{00000000-0005-0000-0000-0000D0BE0000}"/>
    <cellStyle name="Comma 5 2 7 2 4 2 2" xfId="42521" xr:uid="{00000000-0005-0000-0000-0000D1BE0000}"/>
    <cellStyle name="Comma 5 2 7 2 4 3" xfId="29035" xr:uid="{00000000-0005-0000-0000-0000D2BE0000}"/>
    <cellStyle name="Comma 5 2 7 2 5" xfId="8204" xr:uid="{00000000-0005-0000-0000-0000D3BE0000}"/>
    <cellStyle name="Comma 5 2 7 2 5 2" xfId="31483" xr:uid="{00000000-0005-0000-0000-0000D4BE0000}"/>
    <cellStyle name="Comma 5 2 7 2 6" xfId="10652" xr:uid="{00000000-0005-0000-0000-0000D5BE0000}"/>
    <cellStyle name="Comma 5 2 7 2 6 2" xfId="33931" xr:uid="{00000000-0005-0000-0000-0000D6BE0000}"/>
    <cellStyle name="Comma 5 2 7 2 7" xfId="13100" xr:uid="{00000000-0005-0000-0000-0000D7BE0000}"/>
    <cellStyle name="Comma 5 2 7 2 7 2" xfId="36379" xr:uid="{00000000-0005-0000-0000-0000D8BE0000}"/>
    <cellStyle name="Comma 5 2 7 2 8" xfId="15571" xr:uid="{00000000-0005-0000-0000-0000D9BE0000}"/>
    <cellStyle name="Comma 5 2 7 2 8 2" xfId="38849" xr:uid="{00000000-0005-0000-0000-0000DABE0000}"/>
    <cellStyle name="Comma 5 2 7 2 9" xfId="24139" xr:uid="{00000000-0005-0000-0000-0000DBBE0000}"/>
    <cellStyle name="Comma 5 2 7 3" xfId="1472" xr:uid="{00000000-0005-0000-0000-0000DCBE0000}"/>
    <cellStyle name="Comma 5 2 7 3 10" xfId="22303" xr:uid="{00000000-0005-0000-0000-0000DDBE0000}"/>
    <cellStyle name="Comma 5 2 7 3 2" xfId="3920" xr:uid="{00000000-0005-0000-0000-0000DEBE0000}"/>
    <cellStyle name="Comma 5 2 7 3 2 2" xfId="19855" xr:uid="{00000000-0005-0000-0000-0000DFBE0000}"/>
    <cellStyle name="Comma 5 2 7 3 2 2 2" xfId="43133" xr:uid="{00000000-0005-0000-0000-0000E0BE0000}"/>
    <cellStyle name="Comma 5 2 7 3 2 3" xfId="48029" xr:uid="{00000000-0005-0000-0000-0000E1BE0000}"/>
    <cellStyle name="Comma 5 2 7 3 2 4" xfId="27199" xr:uid="{00000000-0005-0000-0000-0000E2BE0000}"/>
    <cellStyle name="Comma 5 2 7 3 3" xfId="6368" xr:uid="{00000000-0005-0000-0000-0000E3BE0000}"/>
    <cellStyle name="Comma 5 2 7 3 3 2" xfId="29647" xr:uid="{00000000-0005-0000-0000-0000E4BE0000}"/>
    <cellStyle name="Comma 5 2 7 3 4" xfId="8816" xr:uid="{00000000-0005-0000-0000-0000E5BE0000}"/>
    <cellStyle name="Comma 5 2 7 3 4 2" xfId="32095" xr:uid="{00000000-0005-0000-0000-0000E6BE0000}"/>
    <cellStyle name="Comma 5 2 7 3 5" xfId="11264" xr:uid="{00000000-0005-0000-0000-0000E7BE0000}"/>
    <cellStyle name="Comma 5 2 7 3 5 2" xfId="34543" xr:uid="{00000000-0005-0000-0000-0000E8BE0000}"/>
    <cellStyle name="Comma 5 2 7 3 6" xfId="13712" xr:uid="{00000000-0005-0000-0000-0000E9BE0000}"/>
    <cellStyle name="Comma 5 2 7 3 6 2" xfId="36991" xr:uid="{00000000-0005-0000-0000-0000EABE0000}"/>
    <cellStyle name="Comma 5 2 7 3 7" xfId="17407" xr:uid="{00000000-0005-0000-0000-0000EBBE0000}"/>
    <cellStyle name="Comma 5 2 7 3 7 2" xfId="40685" xr:uid="{00000000-0005-0000-0000-0000ECBE0000}"/>
    <cellStyle name="Comma 5 2 7 3 8" xfId="24751" xr:uid="{00000000-0005-0000-0000-0000EDBE0000}"/>
    <cellStyle name="Comma 5 2 7 3 9" xfId="45581" xr:uid="{00000000-0005-0000-0000-0000EEBE0000}"/>
    <cellStyle name="Comma 5 2 7 4" xfId="2696" xr:uid="{00000000-0005-0000-0000-0000EFBE0000}"/>
    <cellStyle name="Comma 5 2 7 4 2" xfId="16183" xr:uid="{00000000-0005-0000-0000-0000F0BE0000}"/>
    <cellStyle name="Comma 5 2 7 4 2 2" xfId="39461" xr:uid="{00000000-0005-0000-0000-0000F1BE0000}"/>
    <cellStyle name="Comma 5 2 7 4 3" xfId="46805" xr:uid="{00000000-0005-0000-0000-0000F2BE0000}"/>
    <cellStyle name="Comma 5 2 7 4 4" xfId="25975" xr:uid="{00000000-0005-0000-0000-0000F3BE0000}"/>
    <cellStyle name="Comma 5 2 7 5" xfId="5144" xr:uid="{00000000-0005-0000-0000-0000F4BE0000}"/>
    <cellStyle name="Comma 5 2 7 5 2" xfId="18631" xr:uid="{00000000-0005-0000-0000-0000F5BE0000}"/>
    <cellStyle name="Comma 5 2 7 5 2 2" xfId="41909" xr:uid="{00000000-0005-0000-0000-0000F6BE0000}"/>
    <cellStyle name="Comma 5 2 7 5 3" xfId="28423" xr:uid="{00000000-0005-0000-0000-0000F7BE0000}"/>
    <cellStyle name="Comma 5 2 7 6" xfId="7592" xr:uid="{00000000-0005-0000-0000-0000F8BE0000}"/>
    <cellStyle name="Comma 5 2 7 6 2" xfId="30871" xr:uid="{00000000-0005-0000-0000-0000F9BE0000}"/>
    <cellStyle name="Comma 5 2 7 7" xfId="10040" xr:uid="{00000000-0005-0000-0000-0000FABE0000}"/>
    <cellStyle name="Comma 5 2 7 7 2" xfId="33319" xr:uid="{00000000-0005-0000-0000-0000FBBE0000}"/>
    <cellStyle name="Comma 5 2 7 8" xfId="12488" xr:uid="{00000000-0005-0000-0000-0000FCBE0000}"/>
    <cellStyle name="Comma 5 2 7 8 2" xfId="35767" xr:uid="{00000000-0005-0000-0000-0000FDBE0000}"/>
    <cellStyle name="Comma 5 2 7 9" xfId="14959" xr:uid="{00000000-0005-0000-0000-0000FEBE0000}"/>
    <cellStyle name="Comma 5 2 7 9 2" xfId="38237" xr:uid="{00000000-0005-0000-0000-0000FFBE0000}"/>
    <cellStyle name="Comma 5 2 8" xfId="452" xr:uid="{00000000-0005-0000-0000-000000BF0000}"/>
    <cellStyle name="Comma 5 2 8 10" xfId="23731" xr:uid="{00000000-0005-0000-0000-000001BF0000}"/>
    <cellStyle name="Comma 5 2 8 11" xfId="44561" xr:uid="{00000000-0005-0000-0000-000002BF0000}"/>
    <cellStyle name="Comma 5 2 8 12" xfId="21283" xr:uid="{00000000-0005-0000-0000-000003BF0000}"/>
    <cellStyle name="Comma 5 2 8 2" xfId="1064" xr:uid="{00000000-0005-0000-0000-000004BF0000}"/>
    <cellStyle name="Comma 5 2 8 2 10" xfId="45173" xr:uid="{00000000-0005-0000-0000-000005BF0000}"/>
    <cellStyle name="Comma 5 2 8 2 11" xfId="21895" xr:uid="{00000000-0005-0000-0000-000006BF0000}"/>
    <cellStyle name="Comma 5 2 8 2 2" xfId="2288" xr:uid="{00000000-0005-0000-0000-000007BF0000}"/>
    <cellStyle name="Comma 5 2 8 2 2 10" xfId="23119" xr:uid="{00000000-0005-0000-0000-000008BF0000}"/>
    <cellStyle name="Comma 5 2 8 2 2 2" xfId="4736" xr:uid="{00000000-0005-0000-0000-000009BF0000}"/>
    <cellStyle name="Comma 5 2 8 2 2 2 2" xfId="20671" xr:uid="{00000000-0005-0000-0000-00000ABF0000}"/>
    <cellStyle name="Comma 5 2 8 2 2 2 2 2" xfId="43949" xr:uid="{00000000-0005-0000-0000-00000BBF0000}"/>
    <cellStyle name="Comma 5 2 8 2 2 2 3" xfId="48845" xr:uid="{00000000-0005-0000-0000-00000CBF0000}"/>
    <cellStyle name="Comma 5 2 8 2 2 2 4" xfId="28015" xr:uid="{00000000-0005-0000-0000-00000DBF0000}"/>
    <cellStyle name="Comma 5 2 8 2 2 3" xfId="7184" xr:uid="{00000000-0005-0000-0000-00000EBF0000}"/>
    <cellStyle name="Comma 5 2 8 2 2 3 2" xfId="30463" xr:uid="{00000000-0005-0000-0000-00000FBF0000}"/>
    <cellStyle name="Comma 5 2 8 2 2 4" xfId="9632" xr:uid="{00000000-0005-0000-0000-000010BF0000}"/>
    <cellStyle name="Comma 5 2 8 2 2 4 2" xfId="32911" xr:uid="{00000000-0005-0000-0000-000011BF0000}"/>
    <cellStyle name="Comma 5 2 8 2 2 5" xfId="12080" xr:uid="{00000000-0005-0000-0000-000012BF0000}"/>
    <cellStyle name="Comma 5 2 8 2 2 5 2" xfId="35359" xr:uid="{00000000-0005-0000-0000-000013BF0000}"/>
    <cellStyle name="Comma 5 2 8 2 2 6" xfId="14528" xr:uid="{00000000-0005-0000-0000-000014BF0000}"/>
    <cellStyle name="Comma 5 2 8 2 2 6 2" xfId="37807" xr:uid="{00000000-0005-0000-0000-000015BF0000}"/>
    <cellStyle name="Comma 5 2 8 2 2 7" xfId="18223" xr:uid="{00000000-0005-0000-0000-000016BF0000}"/>
    <cellStyle name="Comma 5 2 8 2 2 7 2" xfId="41501" xr:uid="{00000000-0005-0000-0000-000017BF0000}"/>
    <cellStyle name="Comma 5 2 8 2 2 8" xfId="25567" xr:uid="{00000000-0005-0000-0000-000018BF0000}"/>
    <cellStyle name="Comma 5 2 8 2 2 9" xfId="46397" xr:uid="{00000000-0005-0000-0000-000019BF0000}"/>
    <cellStyle name="Comma 5 2 8 2 3" xfId="3512" xr:uid="{00000000-0005-0000-0000-00001ABF0000}"/>
    <cellStyle name="Comma 5 2 8 2 3 2" xfId="16999" xr:uid="{00000000-0005-0000-0000-00001BBF0000}"/>
    <cellStyle name="Comma 5 2 8 2 3 2 2" xfId="40277" xr:uid="{00000000-0005-0000-0000-00001CBF0000}"/>
    <cellStyle name="Comma 5 2 8 2 3 3" xfId="47621" xr:uid="{00000000-0005-0000-0000-00001DBF0000}"/>
    <cellStyle name="Comma 5 2 8 2 3 4" xfId="26791" xr:uid="{00000000-0005-0000-0000-00001EBF0000}"/>
    <cellStyle name="Comma 5 2 8 2 4" xfId="5960" xr:uid="{00000000-0005-0000-0000-00001FBF0000}"/>
    <cellStyle name="Comma 5 2 8 2 4 2" xfId="19447" xr:uid="{00000000-0005-0000-0000-000020BF0000}"/>
    <cellStyle name="Comma 5 2 8 2 4 2 2" xfId="42725" xr:uid="{00000000-0005-0000-0000-000021BF0000}"/>
    <cellStyle name="Comma 5 2 8 2 4 3" xfId="29239" xr:uid="{00000000-0005-0000-0000-000022BF0000}"/>
    <cellStyle name="Comma 5 2 8 2 5" xfId="8408" xr:uid="{00000000-0005-0000-0000-000023BF0000}"/>
    <cellStyle name="Comma 5 2 8 2 5 2" xfId="31687" xr:uid="{00000000-0005-0000-0000-000024BF0000}"/>
    <cellStyle name="Comma 5 2 8 2 6" xfId="10856" xr:uid="{00000000-0005-0000-0000-000025BF0000}"/>
    <cellStyle name="Comma 5 2 8 2 6 2" xfId="34135" xr:uid="{00000000-0005-0000-0000-000026BF0000}"/>
    <cellStyle name="Comma 5 2 8 2 7" xfId="13304" xr:uid="{00000000-0005-0000-0000-000027BF0000}"/>
    <cellStyle name="Comma 5 2 8 2 7 2" xfId="36583" xr:uid="{00000000-0005-0000-0000-000028BF0000}"/>
    <cellStyle name="Comma 5 2 8 2 8" xfId="15775" xr:uid="{00000000-0005-0000-0000-000029BF0000}"/>
    <cellStyle name="Comma 5 2 8 2 8 2" xfId="39053" xr:uid="{00000000-0005-0000-0000-00002ABF0000}"/>
    <cellStyle name="Comma 5 2 8 2 9" xfId="24343" xr:uid="{00000000-0005-0000-0000-00002BBF0000}"/>
    <cellStyle name="Comma 5 2 8 3" xfId="1676" xr:uid="{00000000-0005-0000-0000-00002CBF0000}"/>
    <cellStyle name="Comma 5 2 8 3 10" xfId="22507" xr:uid="{00000000-0005-0000-0000-00002DBF0000}"/>
    <cellStyle name="Comma 5 2 8 3 2" xfId="4124" xr:uid="{00000000-0005-0000-0000-00002EBF0000}"/>
    <cellStyle name="Comma 5 2 8 3 2 2" xfId="20059" xr:uid="{00000000-0005-0000-0000-00002FBF0000}"/>
    <cellStyle name="Comma 5 2 8 3 2 2 2" xfId="43337" xr:uid="{00000000-0005-0000-0000-000030BF0000}"/>
    <cellStyle name="Comma 5 2 8 3 2 3" xfId="48233" xr:uid="{00000000-0005-0000-0000-000031BF0000}"/>
    <cellStyle name="Comma 5 2 8 3 2 4" xfId="27403" xr:uid="{00000000-0005-0000-0000-000032BF0000}"/>
    <cellStyle name="Comma 5 2 8 3 3" xfId="6572" xr:uid="{00000000-0005-0000-0000-000033BF0000}"/>
    <cellStyle name="Comma 5 2 8 3 3 2" xfId="29851" xr:uid="{00000000-0005-0000-0000-000034BF0000}"/>
    <cellStyle name="Comma 5 2 8 3 4" xfId="9020" xr:uid="{00000000-0005-0000-0000-000035BF0000}"/>
    <cellStyle name="Comma 5 2 8 3 4 2" xfId="32299" xr:uid="{00000000-0005-0000-0000-000036BF0000}"/>
    <cellStyle name="Comma 5 2 8 3 5" xfId="11468" xr:uid="{00000000-0005-0000-0000-000037BF0000}"/>
    <cellStyle name="Comma 5 2 8 3 5 2" xfId="34747" xr:uid="{00000000-0005-0000-0000-000038BF0000}"/>
    <cellStyle name="Comma 5 2 8 3 6" xfId="13916" xr:uid="{00000000-0005-0000-0000-000039BF0000}"/>
    <cellStyle name="Comma 5 2 8 3 6 2" xfId="37195" xr:uid="{00000000-0005-0000-0000-00003ABF0000}"/>
    <cellStyle name="Comma 5 2 8 3 7" xfId="17611" xr:uid="{00000000-0005-0000-0000-00003BBF0000}"/>
    <cellStyle name="Comma 5 2 8 3 7 2" xfId="40889" xr:uid="{00000000-0005-0000-0000-00003CBF0000}"/>
    <cellStyle name="Comma 5 2 8 3 8" xfId="24955" xr:uid="{00000000-0005-0000-0000-00003DBF0000}"/>
    <cellStyle name="Comma 5 2 8 3 9" xfId="45785" xr:uid="{00000000-0005-0000-0000-00003EBF0000}"/>
    <cellStyle name="Comma 5 2 8 4" xfId="2900" xr:uid="{00000000-0005-0000-0000-00003FBF0000}"/>
    <cellStyle name="Comma 5 2 8 4 2" xfId="16387" xr:uid="{00000000-0005-0000-0000-000040BF0000}"/>
    <cellStyle name="Comma 5 2 8 4 2 2" xfId="39665" xr:uid="{00000000-0005-0000-0000-000041BF0000}"/>
    <cellStyle name="Comma 5 2 8 4 3" xfId="47009" xr:uid="{00000000-0005-0000-0000-000042BF0000}"/>
    <cellStyle name="Comma 5 2 8 4 4" xfId="26179" xr:uid="{00000000-0005-0000-0000-000043BF0000}"/>
    <cellStyle name="Comma 5 2 8 5" xfId="5348" xr:uid="{00000000-0005-0000-0000-000044BF0000}"/>
    <cellStyle name="Comma 5 2 8 5 2" xfId="18835" xr:uid="{00000000-0005-0000-0000-000045BF0000}"/>
    <cellStyle name="Comma 5 2 8 5 2 2" xfId="42113" xr:uid="{00000000-0005-0000-0000-000046BF0000}"/>
    <cellStyle name="Comma 5 2 8 5 3" xfId="28627" xr:uid="{00000000-0005-0000-0000-000047BF0000}"/>
    <cellStyle name="Comma 5 2 8 6" xfId="7796" xr:uid="{00000000-0005-0000-0000-000048BF0000}"/>
    <cellStyle name="Comma 5 2 8 6 2" xfId="31075" xr:uid="{00000000-0005-0000-0000-000049BF0000}"/>
    <cellStyle name="Comma 5 2 8 7" xfId="10244" xr:uid="{00000000-0005-0000-0000-00004ABF0000}"/>
    <cellStyle name="Comma 5 2 8 7 2" xfId="33523" xr:uid="{00000000-0005-0000-0000-00004BBF0000}"/>
    <cellStyle name="Comma 5 2 8 8" xfId="12692" xr:uid="{00000000-0005-0000-0000-00004CBF0000}"/>
    <cellStyle name="Comma 5 2 8 8 2" xfId="35971" xr:uid="{00000000-0005-0000-0000-00004DBF0000}"/>
    <cellStyle name="Comma 5 2 8 9" xfId="15163" xr:uid="{00000000-0005-0000-0000-00004EBF0000}"/>
    <cellStyle name="Comma 5 2 8 9 2" xfId="38441" xr:uid="{00000000-0005-0000-0000-00004FBF0000}"/>
    <cellStyle name="Comma 5 2 9" xfId="656" xr:uid="{00000000-0005-0000-0000-000050BF0000}"/>
    <cellStyle name="Comma 5 2 9 10" xfId="44765" xr:uid="{00000000-0005-0000-0000-000051BF0000}"/>
    <cellStyle name="Comma 5 2 9 11" xfId="21487" xr:uid="{00000000-0005-0000-0000-000052BF0000}"/>
    <cellStyle name="Comma 5 2 9 2" xfId="1880" xr:uid="{00000000-0005-0000-0000-000053BF0000}"/>
    <cellStyle name="Comma 5 2 9 2 10" xfId="22711" xr:uid="{00000000-0005-0000-0000-000054BF0000}"/>
    <cellStyle name="Comma 5 2 9 2 2" xfId="4328" xr:uid="{00000000-0005-0000-0000-000055BF0000}"/>
    <cellStyle name="Comma 5 2 9 2 2 2" xfId="20263" xr:uid="{00000000-0005-0000-0000-000056BF0000}"/>
    <cellStyle name="Comma 5 2 9 2 2 2 2" xfId="43541" xr:uid="{00000000-0005-0000-0000-000057BF0000}"/>
    <cellStyle name="Comma 5 2 9 2 2 3" xfId="48437" xr:uid="{00000000-0005-0000-0000-000058BF0000}"/>
    <cellStyle name="Comma 5 2 9 2 2 4" xfId="27607" xr:uid="{00000000-0005-0000-0000-000059BF0000}"/>
    <cellStyle name="Comma 5 2 9 2 3" xfId="6776" xr:uid="{00000000-0005-0000-0000-00005ABF0000}"/>
    <cellStyle name="Comma 5 2 9 2 3 2" xfId="30055" xr:uid="{00000000-0005-0000-0000-00005BBF0000}"/>
    <cellStyle name="Comma 5 2 9 2 4" xfId="9224" xr:uid="{00000000-0005-0000-0000-00005CBF0000}"/>
    <cellStyle name="Comma 5 2 9 2 4 2" xfId="32503" xr:uid="{00000000-0005-0000-0000-00005DBF0000}"/>
    <cellStyle name="Comma 5 2 9 2 5" xfId="11672" xr:uid="{00000000-0005-0000-0000-00005EBF0000}"/>
    <cellStyle name="Comma 5 2 9 2 5 2" xfId="34951" xr:uid="{00000000-0005-0000-0000-00005FBF0000}"/>
    <cellStyle name="Comma 5 2 9 2 6" xfId="14120" xr:uid="{00000000-0005-0000-0000-000060BF0000}"/>
    <cellStyle name="Comma 5 2 9 2 6 2" xfId="37399" xr:uid="{00000000-0005-0000-0000-000061BF0000}"/>
    <cellStyle name="Comma 5 2 9 2 7" xfId="17815" xr:uid="{00000000-0005-0000-0000-000062BF0000}"/>
    <cellStyle name="Comma 5 2 9 2 7 2" xfId="41093" xr:uid="{00000000-0005-0000-0000-000063BF0000}"/>
    <cellStyle name="Comma 5 2 9 2 8" xfId="25159" xr:uid="{00000000-0005-0000-0000-000064BF0000}"/>
    <cellStyle name="Comma 5 2 9 2 9" xfId="45989" xr:uid="{00000000-0005-0000-0000-000065BF0000}"/>
    <cellStyle name="Comma 5 2 9 3" xfId="3104" xr:uid="{00000000-0005-0000-0000-000066BF0000}"/>
    <cellStyle name="Comma 5 2 9 3 2" xfId="16591" xr:uid="{00000000-0005-0000-0000-000067BF0000}"/>
    <cellStyle name="Comma 5 2 9 3 2 2" xfId="39869" xr:uid="{00000000-0005-0000-0000-000068BF0000}"/>
    <cellStyle name="Comma 5 2 9 3 3" xfId="47213" xr:uid="{00000000-0005-0000-0000-000069BF0000}"/>
    <cellStyle name="Comma 5 2 9 3 4" xfId="26383" xr:uid="{00000000-0005-0000-0000-00006ABF0000}"/>
    <cellStyle name="Comma 5 2 9 4" xfId="5552" xr:uid="{00000000-0005-0000-0000-00006BBF0000}"/>
    <cellStyle name="Comma 5 2 9 4 2" xfId="19039" xr:uid="{00000000-0005-0000-0000-00006CBF0000}"/>
    <cellStyle name="Comma 5 2 9 4 2 2" xfId="42317" xr:uid="{00000000-0005-0000-0000-00006DBF0000}"/>
    <cellStyle name="Comma 5 2 9 4 3" xfId="28831" xr:uid="{00000000-0005-0000-0000-00006EBF0000}"/>
    <cellStyle name="Comma 5 2 9 5" xfId="8000" xr:uid="{00000000-0005-0000-0000-00006FBF0000}"/>
    <cellStyle name="Comma 5 2 9 5 2" xfId="31279" xr:uid="{00000000-0005-0000-0000-000070BF0000}"/>
    <cellStyle name="Comma 5 2 9 6" xfId="10448" xr:uid="{00000000-0005-0000-0000-000071BF0000}"/>
    <cellStyle name="Comma 5 2 9 6 2" xfId="33727" xr:uid="{00000000-0005-0000-0000-000072BF0000}"/>
    <cellStyle name="Comma 5 2 9 7" xfId="12896" xr:uid="{00000000-0005-0000-0000-000073BF0000}"/>
    <cellStyle name="Comma 5 2 9 7 2" xfId="36175" xr:uid="{00000000-0005-0000-0000-000074BF0000}"/>
    <cellStyle name="Comma 5 2 9 8" xfId="15367" xr:uid="{00000000-0005-0000-0000-000075BF0000}"/>
    <cellStyle name="Comma 5 2 9 8 2" xfId="38645" xr:uid="{00000000-0005-0000-0000-000076BF0000}"/>
    <cellStyle name="Comma 5 2 9 9" xfId="23935" xr:uid="{00000000-0005-0000-0000-000077BF0000}"/>
    <cellStyle name="Comma 5 3" xfId="14732" xr:uid="{00000000-0005-0000-0000-000078BF0000}"/>
    <cellStyle name="Comma 5 3 2" xfId="38011" xr:uid="{00000000-0005-0000-0000-000079BF0000}"/>
    <cellStyle name="Comma 5 4" xfId="49064" xr:uid="{00000000-0005-0000-0000-00007ABF0000}"/>
    <cellStyle name="Normal" xfId="0" builtinId="0"/>
    <cellStyle name="Normal 10" xfId="39" xr:uid="{00000000-0005-0000-0000-00007CBF0000}"/>
    <cellStyle name="Normal 10 2" xfId="42" xr:uid="{00000000-0005-0000-0000-00007DBF0000}"/>
    <cellStyle name="Normal 11" xfId="40" xr:uid="{00000000-0005-0000-0000-00007EBF0000}"/>
    <cellStyle name="Normal 11 2" xfId="43" xr:uid="{00000000-0005-0000-0000-00007FBF0000}"/>
    <cellStyle name="Normal 11 3" xfId="14737" xr:uid="{00000000-0005-0000-0000-000080BF0000}"/>
    <cellStyle name="Normal 12" xfId="22" xr:uid="{00000000-0005-0000-0000-000081BF0000}"/>
    <cellStyle name="Normal 13" xfId="49047" xr:uid="{00000000-0005-0000-0000-000082BF0000}"/>
    <cellStyle name="Normal 14" xfId="49068" xr:uid="{00000000-0005-0000-0000-000083BF0000}"/>
    <cellStyle name="Normal 15" xfId="49071" xr:uid="{00000000-0005-0000-0000-000084BF0000}"/>
    <cellStyle name="Normal 2" xfId="9" xr:uid="{00000000-0005-0000-0000-000085BF0000}"/>
    <cellStyle name="Normal 2 2" xfId="6" xr:uid="{00000000-0005-0000-0000-000086BF0000}"/>
    <cellStyle name="Normal 2 2 2" xfId="18" xr:uid="{00000000-0005-0000-0000-000087BF0000}"/>
    <cellStyle name="Normal 2 2 2 2" xfId="28" xr:uid="{00000000-0005-0000-0000-000088BF0000}"/>
    <cellStyle name="Normal 2 2 2 3" xfId="35" xr:uid="{00000000-0005-0000-0000-000089BF0000}"/>
    <cellStyle name="Normal 2 3" xfId="10" xr:uid="{00000000-0005-0000-0000-00008ABF0000}"/>
    <cellStyle name="Normal 2 3 2" xfId="23" xr:uid="{00000000-0005-0000-0000-00008BBF0000}"/>
    <cellStyle name="Normal 2 3 3" xfId="33" xr:uid="{00000000-0005-0000-0000-00008CBF0000}"/>
    <cellStyle name="Normal 2 3 3 2" xfId="49062" xr:uid="{00000000-0005-0000-0000-00008DBF0000}"/>
    <cellStyle name="Normal 2 4" xfId="30" xr:uid="{00000000-0005-0000-0000-00008EBF0000}"/>
    <cellStyle name="Normal 21" xfId="4" xr:uid="{00000000-0005-0000-0000-00008FBF0000}"/>
    <cellStyle name="Normal 3" xfId="7" xr:uid="{00000000-0005-0000-0000-000090BF0000}"/>
    <cellStyle name="Normal 3 2" xfId="2" xr:uid="{00000000-0005-0000-0000-000091BF0000}"/>
    <cellStyle name="Normal 3 2 2" xfId="49052" xr:uid="{00000000-0005-0000-0000-000092BF0000}"/>
    <cellStyle name="Normal 3 2 3" xfId="49058" xr:uid="{00000000-0005-0000-0000-000093BF0000}"/>
    <cellStyle name="Normal 3 3" xfId="17" xr:uid="{00000000-0005-0000-0000-000094BF0000}"/>
    <cellStyle name="Normal 3 3 2" xfId="49055" xr:uid="{00000000-0005-0000-0000-000095BF0000}"/>
    <cellStyle name="Normal 3 3 3" xfId="49061" xr:uid="{00000000-0005-0000-0000-000096BF0000}"/>
    <cellStyle name="Normal 3 4" xfId="24" xr:uid="{00000000-0005-0000-0000-000097BF0000}"/>
    <cellStyle name="Normal 3 5" xfId="49050" xr:uid="{00000000-0005-0000-0000-000098BF0000}"/>
    <cellStyle name="Normal 3 6" xfId="49056" xr:uid="{00000000-0005-0000-0000-000099BF0000}"/>
    <cellStyle name="Normal 4" xfId="16" xr:uid="{00000000-0005-0000-0000-00009ABF0000}"/>
    <cellStyle name="Normal 4 2" xfId="20" xr:uid="{00000000-0005-0000-0000-00009BBF0000}"/>
    <cellStyle name="Normal 4 3" xfId="49054" xr:uid="{00000000-0005-0000-0000-00009CBF0000}"/>
    <cellStyle name="Normal 4 4" xfId="49060" xr:uid="{00000000-0005-0000-0000-00009DBF0000}"/>
    <cellStyle name="Normal 5" xfId="13" xr:uid="{00000000-0005-0000-0000-00009EBF0000}"/>
    <cellStyle name="Normal 6" xfId="11" xr:uid="{00000000-0005-0000-0000-00009FBF0000}"/>
    <cellStyle name="Normal 6 2" xfId="29" xr:uid="{00000000-0005-0000-0000-0000A0BF0000}"/>
    <cellStyle name="Normal 6 3" xfId="34" xr:uid="{00000000-0005-0000-0000-0000A1BF0000}"/>
    <cellStyle name="Normal 6 4" xfId="49063" xr:uid="{00000000-0005-0000-0000-0000A2BF0000}"/>
    <cellStyle name="Normal 7" xfId="5" xr:uid="{00000000-0005-0000-0000-0000A3BF0000}"/>
    <cellStyle name="Normal 7 2" xfId="25" xr:uid="{00000000-0005-0000-0000-0000A4BF0000}"/>
    <cellStyle name="Normal 8" xfId="27" xr:uid="{00000000-0005-0000-0000-0000A5BF0000}"/>
    <cellStyle name="Normal 8 2" xfId="3" xr:uid="{00000000-0005-0000-0000-0000A6BF0000}"/>
    <cellStyle name="Normal 8 3" xfId="31" xr:uid="{00000000-0005-0000-0000-0000A7BF0000}"/>
    <cellStyle name="Normal 8 3 2" xfId="37" xr:uid="{00000000-0005-0000-0000-0000A8BF0000}"/>
    <cellStyle name="Normal 8 4" xfId="36" xr:uid="{00000000-0005-0000-0000-0000A9BF0000}"/>
    <cellStyle name="Normal 8 5" xfId="32" xr:uid="{00000000-0005-0000-0000-0000AABF0000}"/>
    <cellStyle name="Normal 87" xfId="49066" xr:uid="{00000000-0005-0000-0000-0000ABBF0000}"/>
    <cellStyle name="Normal 88" xfId="49067" xr:uid="{00000000-0005-0000-0000-0000ACBF0000}"/>
    <cellStyle name="Normal 9" xfId="38" xr:uid="{00000000-0005-0000-0000-0000ADBF0000}"/>
    <cellStyle name="Normal 9 2" xfId="41" xr:uid="{00000000-0005-0000-0000-0000AEBF0000}"/>
    <cellStyle name="Percent 2" xfId="26" xr:uid="{00000000-0005-0000-0000-0000AFBF0000}"/>
  </cellStyles>
  <dxfs count="2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8439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48552"/>
  <sheetViews>
    <sheetView topLeftCell="K1" zoomScaleNormal="100" workbookViewId="0">
      <pane ySplit="1" topLeftCell="A332" activePane="bottomLeft" state="frozen"/>
      <selection activeCell="L375" sqref="L375"/>
      <selection pane="bottomLeft" activeCell="AQ349" sqref="AQ349"/>
    </sheetView>
  </sheetViews>
  <sheetFormatPr defaultRowHeight="15" x14ac:dyDescent="0.25"/>
  <cols>
    <col min="1" max="2" width="9.85546875" bestFit="1" customWidth="1"/>
    <col min="3" max="3" width="8.7109375" bestFit="1" customWidth="1"/>
    <col min="4" max="4" width="30.42578125" bestFit="1" customWidth="1"/>
    <col min="5" max="5" width="34.42578125" customWidth="1"/>
    <col min="6" max="6" width="20.85546875" customWidth="1"/>
    <col min="7" max="7" width="13.5703125" customWidth="1"/>
    <col min="8" max="11" width="13.5703125" style="13" customWidth="1"/>
    <col min="12" max="12" width="15.140625" customWidth="1"/>
    <col min="13" max="13" width="17.140625" hidden="1" customWidth="1"/>
    <col min="14" max="16" width="12.7109375" style="71" hidden="1" customWidth="1"/>
    <col min="17" max="18" width="12.7109375" style="13" hidden="1" customWidth="1"/>
    <col min="19" max="20" width="12.7109375" style="13" customWidth="1"/>
    <col min="21" max="21" width="12.7109375" hidden="1" customWidth="1"/>
    <col min="22" max="22" width="17.140625" hidden="1" customWidth="1"/>
    <col min="23" max="23" width="12.7109375" style="13" hidden="1" customWidth="1"/>
    <col min="24" max="24" width="16.85546875" style="13" hidden="1" customWidth="1"/>
    <col min="25" max="25" width="13.5703125" style="13" hidden="1" customWidth="1"/>
    <col min="26" max="29" width="12.7109375" style="13" hidden="1" customWidth="1"/>
    <col min="30" max="30" width="13.5703125" style="13" hidden="1" customWidth="1"/>
    <col min="31" max="32" width="12.7109375" style="13" customWidth="1"/>
    <col min="33" max="35" width="12.7109375" style="13" hidden="1" customWidth="1"/>
    <col min="36" max="36" width="13.28515625" hidden="1" customWidth="1"/>
    <col min="37" max="37" width="14.85546875" customWidth="1"/>
    <col min="38" max="38" width="15" customWidth="1"/>
    <col min="39" max="39" width="13.42578125" customWidth="1"/>
    <col min="40" max="40" width="14.140625" customWidth="1"/>
    <col min="41" max="41" width="13.7109375" customWidth="1"/>
    <col min="42" max="42" width="11.85546875" customWidth="1"/>
    <col min="43" max="43" width="11.5703125" bestFit="1" customWidth="1"/>
    <col min="44" max="44" width="25.85546875" style="13" bestFit="1" customWidth="1"/>
    <col min="45" max="45" width="11.28515625" bestFit="1" customWidth="1"/>
  </cols>
  <sheetData>
    <row r="1" spans="1:50" s="13" customFormat="1" ht="38.25" x14ac:dyDescent="0.25">
      <c r="A1" s="1" t="s">
        <v>299</v>
      </c>
      <c r="B1" s="1" t="s">
        <v>292</v>
      </c>
      <c r="C1" s="1" t="s">
        <v>0</v>
      </c>
      <c r="D1" s="1" t="s">
        <v>1</v>
      </c>
      <c r="E1" s="1" t="s">
        <v>2</v>
      </c>
      <c r="F1" s="3" t="s">
        <v>273</v>
      </c>
      <c r="G1" s="1" t="s">
        <v>298</v>
      </c>
      <c r="H1" s="1" t="s">
        <v>657</v>
      </c>
      <c r="I1" s="1" t="s">
        <v>863</v>
      </c>
      <c r="J1" s="1" t="s">
        <v>476</v>
      </c>
      <c r="K1" s="1" t="s">
        <v>577</v>
      </c>
      <c r="L1" s="1" t="s">
        <v>300</v>
      </c>
      <c r="M1" s="1" t="s">
        <v>452</v>
      </c>
      <c r="N1" s="1" t="s">
        <v>453</v>
      </c>
      <c r="O1" s="1" t="s">
        <v>454</v>
      </c>
      <c r="P1" s="1" t="s">
        <v>455</v>
      </c>
      <c r="Q1" s="1" t="s">
        <v>456</v>
      </c>
      <c r="R1" s="1" t="s">
        <v>457</v>
      </c>
      <c r="S1" s="1" t="s">
        <v>458</v>
      </c>
      <c r="T1" s="1" t="s">
        <v>459</v>
      </c>
      <c r="U1" s="1" t="s">
        <v>460</v>
      </c>
      <c r="V1" s="1" t="s">
        <v>461</v>
      </c>
      <c r="W1" s="1" t="s">
        <v>462</v>
      </c>
      <c r="X1" s="1" t="s">
        <v>463</v>
      </c>
      <c r="Y1" s="1" t="s">
        <v>464</v>
      </c>
      <c r="Z1" s="1" t="s">
        <v>465</v>
      </c>
      <c r="AA1" s="1" t="s">
        <v>466</v>
      </c>
      <c r="AB1" s="1" t="s">
        <v>467</v>
      </c>
      <c r="AC1" s="1" t="s">
        <v>468</v>
      </c>
      <c r="AD1" s="1" t="s">
        <v>469</v>
      </c>
      <c r="AE1" s="1" t="s">
        <v>470</v>
      </c>
      <c r="AF1" s="1" t="s">
        <v>471</v>
      </c>
      <c r="AG1" s="1" t="s">
        <v>472</v>
      </c>
      <c r="AH1" s="1" t="s">
        <v>473</v>
      </c>
      <c r="AI1" s="1" t="s">
        <v>474</v>
      </c>
      <c r="AJ1" s="1" t="s">
        <v>475</v>
      </c>
      <c r="AK1" s="1" t="s">
        <v>301</v>
      </c>
      <c r="AL1" s="1" t="s">
        <v>302</v>
      </c>
      <c r="AM1" s="1" t="s">
        <v>303</v>
      </c>
      <c r="AN1" s="1" t="s">
        <v>304</v>
      </c>
      <c r="AO1" s="1" t="s">
        <v>305</v>
      </c>
      <c r="AP1" s="1" t="s">
        <v>306</v>
      </c>
      <c r="AQ1" s="1" t="s">
        <v>307</v>
      </c>
      <c r="AR1" s="24" t="s">
        <v>324</v>
      </c>
    </row>
    <row r="2" spans="1:50" x14ac:dyDescent="0.25">
      <c r="E2" s="6"/>
      <c r="F2" s="2" t="s">
        <v>308</v>
      </c>
      <c r="G2" s="10">
        <v>0.11</v>
      </c>
      <c r="H2" s="10"/>
      <c r="I2" s="10"/>
      <c r="J2" s="10"/>
      <c r="K2" s="10"/>
      <c r="N2" s="13"/>
      <c r="O2" s="13"/>
      <c r="P2" s="13"/>
      <c r="AR2"/>
    </row>
    <row r="3" spans="1:50" x14ac:dyDescent="0.25">
      <c r="E3" s="7"/>
      <c r="F3" s="2" t="s">
        <v>309</v>
      </c>
      <c r="G3" s="10">
        <v>0.23</v>
      </c>
      <c r="H3" s="10"/>
      <c r="I3" s="10"/>
      <c r="J3" s="10"/>
      <c r="K3" s="10"/>
      <c r="N3" s="13"/>
      <c r="O3" s="13"/>
      <c r="P3" s="13"/>
      <c r="AR3"/>
    </row>
    <row r="4" spans="1:50" x14ac:dyDescent="0.25">
      <c r="E4" s="8"/>
      <c r="F4" s="2" t="s">
        <v>310</v>
      </c>
      <c r="G4" s="10">
        <v>0.3</v>
      </c>
      <c r="H4" s="10"/>
      <c r="I4" s="10"/>
      <c r="J4" s="10"/>
      <c r="K4" s="51">
        <f>1138505+2136740</f>
        <v>3275245</v>
      </c>
      <c r="N4" s="13"/>
      <c r="O4" s="13"/>
      <c r="P4" s="13"/>
      <c r="AR4"/>
    </row>
    <row r="5" spans="1:50" x14ac:dyDescent="0.25">
      <c r="E5" s="9"/>
      <c r="F5" s="2" t="s">
        <v>311</v>
      </c>
      <c r="G5" s="10">
        <v>0.35</v>
      </c>
      <c r="H5" s="10"/>
      <c r="I5" s="10"/>
      <c r="J5" s="51"/>
      <c r="K5" s="51"/>
      <c r="L5" s="52"/>
      <c r="M5" s="52"/>
      <c r="N5" s="13"/>
      <c r="O5" s="13"/>
      <c r="P5" s="13"/>
      <c r="AR5"/>
    </row>
    <row r="6" spans="1:50" x14ac:dyDescent="0.25">
      <c r="N6" s="13"/>
      <c r="O6" s="13"/>
      <c r="P6" s="13"/>
      <c r="AQ6" t="s">
        <v>313</v>
      </c>
      <c r="AR6"/>
    </row>
    <row r="7" spans="1:50" ht="38.25" x14ac:dyDescent="0.25">
      <c r="A7" s="1" t="s">
        <v>299</v>
      </c>
      <c r="B7" s="1" t="s">
        <v>292</v>
      </c>
      <c r="C7" s="1" t="s">
        <v>0</v>
      </c>
      <c r="D7" s="1" t="s">
        <v>1</v>
      </c>
      <c r="E7" s="1" t="s">
        <v>2</v>
      </c>
      <c r="F7" s="3" t="s">
        <v>273</v>
      </c>
      <c r="G7" s="1" t="s">
        <v>298</v>
      </c>
      <c r="H7" s="1" t="s">
        <v>663</v>
      </c>
      <c r="I7" s="1" t="s">
        <v>863</v>
      </c>
      <c r="J7" s="1" t="s">
        <v>476</v>
      </c>
      <c r="K7" s="1" t="s">
        <v>577</v>
      </c>
      <c r="L7" s="1" t="s">
        <v>300</v>
      </c>
      <c r="M7" s="1" t="s">
        <v>452</v>
      </c>
      <c r="N7" s="1" t="s">
        <v>453</v>
      </c>
      <c r="O7" s="1" t="s">
        <v>454</v>
      </c>
      <c r="P7" s="1" t="s">
        <v>455</v>
      </c>
      <c r="Q7" s="1" t="s">
        <v>456</v>
      </c>
      <c r="R7" s="1" t="s">
        <v>457</v>
      </c>
      <c r="S7" s="1" t="s">
        <v>458</v>
      </c>
      <c r="T7" s="1" t="s">
        <v>459</v>
      </c>
      <c r="U7" s="1" t="s">
        <v>460</v>
      </c>
      <c r="V7" s="1" t="s">
        <v>461</v>
      </c>
      <c r="W7" s="1" t="s">
        <v>462</v>
      </c>
      <c r="X7" s="1" t="s">
        <v>463</v>
      </c>
      <c r="Y7" s="1" t="s">
        <v>464</v>
      </c>
      <c r="Z7" s="1" t="s">
        <v>465</v>
      </c>
      <c r="AA7" s="1" t="s">
        <v>466</v>
      </c>
      <c r="AB7" s="1" t="s">
        <v>467</v>
      </c>
      <c r="AC7" s="1" t="s">
        <v>468</v>
      </c>
      <c r="AD7" s="1" t="s">
        <v>469</v>
      </c>
      <c r="AE7" s="1" t="s">
        <v>470</v>
      </c>
      <c r="AF7" s="1" t="s">
        <v>471</v>
      </c>
      <c r="AG7" s="1" t="s">
        <v>472</v>
      </c>
      <c r="AH7" s="1" t="s">
        <v>473</v>
      </c>
      <c r="AI7" s="1" t="s">
        <v>474</v>
      </c>
      <c r="AJ7" s="1" t="s">
        <v>475</v>
      </c>
      <c r="AK7" s="1" t="s">
        <v>301</v>
      </c>
      <c r="AL7" s="1" t="s">
        <v>302</v>
      </c>
      <c r="AM7" s="1" t="s">
        <v>303</v>
      </c>
      <c r="AN7" s="1" t="s">
        <v>304</v>
      </c>
      <c r="AO7" s="1" t="s">
        <v>305</v>
      </c>
      <c r="AP7" s="1" t="s">
        <v>306</v>
      </c>
      <c r="AQ7" s="1" t="s">
        <v>307</v>
      </c>
      <c r="AR7" s="24" t="s">
        <v>324</v>
      </c>
      <c r="AS7" s="98" t="s">
        <v>1323</v>
      </c>
    </row>
    <row r="8" spans="1:50" x14ac:dyDescent="0.25">
      <c r="A8" s="12">
        <v>1</v>
      </c>
      <c r="B8" s="60" t="s">
        <v>293</v>
      </c>
      <c r="C8" s="53">
        <v>10001</v>
      </c>
      <c r="D8" s="38" t="s">
        <v>3</v>
      </c>
      <c r="E8" s="38" t="s">
        <v>4</v>
      </c>
      <c r="F8" s="37" t="s">
        <v>274</v>
      </c>
      <c r="G8" s="4">
        <v>3275245</v>
      </c>
      <c r="H8" s="4"/>
      <c r="I8" s="4"/>
      <c r="J8" s="4">
        <v>0</v>
      </c>
      <c r="K8" s="4">
        <v>0</v>
      </c>
      <c r="L8" s="11">
        <f>G8*12+H8+J8+K8+I8</f>
        <v>39302940</v>
      </c>
      <c r="M8" s="69">
        <v>0</v>
      </c>
      <c r="N8" s="71">
        <v>0</v>
      </c>
      <c r="O8" s="71">
        <v>0</v>
      </c>
      <c r="P8" s="71">
        <v>0</v>
      </c>
      <c r="Q8" s="71">
        <f>VLOOKUP(C8,Incentives!C2:K340,9,FALSE)</f>
        <v>0</v>
      </c>
      <c r="R8" s="71">
        <v>0</v>
      </c>
      <c r="S8" s="13">
        <v>0</v>
      </c>
      <c r="T8" s="13">
        <v>0</v>
      </c>
      <c r="Y8" s="71">
        <v>0</v>
      </c>
      <c r="Z8" s="71">
        <v>0</v>
      </c>
      <c r="AA8" s="71">
        <v>0</v>
      </c>
      <c r="AB8" s="71">
        <v>0</v>
      </c>
      <c r="AC8" s="71">
        <v>0</v>
      </c>
      <c r="AD8" s="71">
        <v>0</v>
      </c>
      <c r="AE8" s="13">
        <v>0</v>
      </c>
      <c r="AF8" s="13">
        <v>0</v>
      </c>
      <c r="AK8" s="11">
        <f>SUM(L8:AJ8)</f>
        <v>39302940</v>
      </c>
      <c r="AL8" s="11">
        <f t="shared" ref="AL8:AL71" si="0">AK8/12</f>
        <v>3275245</v>
      </c>
      <c r="AM8" s="11">
        <f>IF(AK8&lt;=600000,0,
IF(AK8&lt;=1200000,(AK8-600000)*0.01,
IF(AK8&lt;=2200000,(AK8-1200000)*0.11+6000,
IF(AK8&lt;=3200000,(AK8-2200000)*0.23+116000,
IF(AK8&lt;=4100000,(AK8-3200000)*0.3+346000,
(AK8-4100000)*0.35+616000)))))
*(1+IF(AK8&gt;10000000,9%,0))</f>
        <v>14101361.610000001</v>
      </c>
      <c r="AN8" s="11">
        <f>VLOOKUP(C8,'Paid Tax'!B3:M364,12,FALSE)</f>
        <v>8225794.224090917</v>
      </c>
      <c r="AO8" s="11">
        <f t="shared" ref="AO8:AO71" si="1">+AM8-AN8</f>
        <v>5875567.3859090842</v>
      </c>
      <c r="AP8" s="13">
        <v>5</v>
      </c>
      <c r="AQ8" s="16">
        <f>+AO8/AP8</f>
        <v>1175113.4771818169</v>
      </c>
      <c r="AR8"/>
      <c r="AS8" s="11">
        <f>-AQ8</f>
        <v>-1175113.4771818169</v>
      </c>
    </row>
    <row r="9" spans="1:50" s="13" customFormat="1" x14ac:dyDescent="0.25">
      <c r="A9" s="12">
        <v>2</v>
      </c>
      <c r="B9" s="60" t="s">
        <v>293</v>
      </c>
      <c r="C9" s="53">
        <v>20001</v>
      </c>
      <c r="D9" s="38" t="s">
        <v>334</v>
      </c>
      <c r="E9" s="38" t="s">
        <v>343</v>
      </c>
      <c r="F9" s="37" t="s">
        <v>274</v>
      </c>
      <c r="G9" s="4">
        <v>408946</v>
      </c>
      <c r="H9" s="4"/>
      <c r="I9" s="4"/>
      <c r="J9" s="4">
        <v>0</v>
      </c>
      <c r="K9" s="4">
        <v>0</v>
      </c>
      <c r="L9" s="11">
        <f t="shared" ref="L9:L72" si="2">G9*12+H9+J9+K9+I9</f>
        <v>4907352</v>
      </c>
      <c r="M9" s="69">
        <v>0</v>
      </c>
      <c r="N9" s="71">
        <v>0</v>
      </c>
      <c r="O9" s="71">
        <v>0</v>
      </c>
      <c r="P9" s="71">
        <v>0</v>
      </c>
      <c r="Q9" s="71">
        <f>VLOOKUP(C9,Incentives!C3:K341,9,FALSE)</f>
        <v>0</v>
      </c>
      <c r="R9" s="71">
        <v>0</v>
      </c>
      <c r="S9" s="13">
        <v>0</v>
      </c>
      <c r="T9" s="13">
        <v>0</v>
      </c>
      <c r="Y9" s="71">
        <v>0</v>
      </c>
      <c r="Z9" s="71">
        <v>0</v>
      </c>
      <c r="AA9" s="71">
        <v>0</v>
      </c>
      <c r="AB9" s="71">
        <v>0</v>
      </c>
      <c r="AC9" s="71">
        <v>0</v>
      </c>
      <c r="AD9" s="71">
        <v>0</v>
      </c>
      <c r="AE9" s="13">
        <v>0</v>
      </c>
      <c r="AF9" s="13">
        <v>0</v>
      </c>
      <c r="AK9" s="11">
        <f t="shared" ref="AK9:AK72" si="3">SUM(L9:AJ9)</f>
        <v>4907352</v>
      </c>
      <c r="AL9" s="11">
        <f t="shared" si="0"/>
        <v>408946</v>
      </c>
      <c r="AM9" s="11">
        <f t="shared" ref="AM9:AM72" si="4">IF(AK9&lt;=600000,0,
IF(AK9&lt;=1200000,(AK9-600000)*0.01,
IF(AK9&lt;=2200000,(AK9-1200000)*0.11+6000,
IF(AK9&lt;=3200000,(AK9-2200000)*0.23+116000,
IF(AK9&lt;=4100000,(AK9-3200000)*0.3+346000,
(AK9-4100000)*0.35+616000)))))
*(1+IF(AK9&gt;10000000,9%,0))</f>
        <v>898573.2</v>
      </c>
      <c r="AN9" s="11">
        <f>VLOOKUP(C9,'Paid Tax'!B4:M365,12,FALSE)</f>
        <v>524167.69999999995</v>
      </c>
      <c r="AO9" s="11">
        <f t="shared" si="1"/>
        <v>374405.5</v>
      </c>
      <c r="AP9" s="13">
        <v>5</v>
      </c>
      <c r="AQ9" s="16">
        <f t="shared" ref="AQ9:AQ71" si="5">+AO9/AP9</f>
        <v>74881.100000000006</v>
      </c>
      <c r="AS9" s="11">
        <f t="shared" ref="AS9:AS72" si="6">-AQ9</f>
        <v>-74881.100000000006</v>
      </c>
      <c r="AT9" s="13">
        <f>81881.1*8</f>
        <v>655048.80000000005</v>
      </c>
    </row>
    <row r="10" spans="1:50" x14ac:dyDescent="0.25">
      <c r="A10" s="12">
        <v>3</v>
      </c>
      <c r="B10" s="60" t="s">
        <v>293</v>
      </c>
      <c r="C10" s="53">
        <v>10520</v>
      </c>
      <c r="D10" s="38" t="s">
        <v>5</v>
      </c>
      <c r="E10" s="38" t="s">
        <v>6</v>
      </c>
      <c r="F10" s="37" t="s">
        <v>274</v>
      </c>
      <c r="G10" s="4">
        <v>85000</v>
      </c>
      <c r="H10" s="4"/>
      <c r="I10" s="4"/>
      <c r="J10" s="4">
        <v>0</v>
      </c>
      <c r="K10" s="4">
        <v>0</v>
      </c>
      <c r="L10" s="11">
        <f t="shared" si="2"/>
        <v>1020000</v>
      </c>
      <c r="M10" s="69">
        <v>0</v>
      </c>
      <c r="N10" s="71">
        <v>0</v>
      </c>
      <c r="O10" s="71">
        <v>0</v>
      </c>
      <c r="P10" s="71">
        <v>0</v>
      </c>
      <c r="Q10" s="71">
        <f>VLOOKUP(C10,Incentives!C4:K342,9,FALSE)</f>
        <v>0</v>
      </c>
      <c r="R10" s="71">
        <v>0</v>
      </c>
      <c r="S10" s="13">
        <v>0</v>
      </c>
      <c r="T10" s="13">
        <v>0</v>
      </c>
      <c r="U10" s="13"/>
      <c r="V10" s="13"/>
      <c r="Y10" s="71">
        <v>0</v>
      </c>
      <c r="Z10" s="71">
        <v>0</v>
      </c>
      <c r="AA10" s="71">
        <v>0</v>
      </c>
      <c r="AB10" s="71">
        <v>0</v>
      </c>
      <c r="AC10" s="71">
        <v>0</v>
      </c>
      <c r="AD10" s="71">
        <v>0</v>
      </c>
      <c r="AE10" s="13">
        <v>0</v>
      </c>
      <c r="AF10" s="13">
        <v>0</v>
      </c>
      <c r="AJ10" s="13"/>
      <c r="AK10" s="11">
        <f t="shared" si="3"/>
        <v>1020000</v>
      </c>
      <c r="AL10" s="11">
        <f t="shared" si="0"/>
        <v>85000</v>
      </c>
      <c r="AM10" s="11">
        <f t="shared" si="4"/>
        <v>4200</v>
      </c>
      <c r="AN10" s="11">
        <f>VLOOKUP(C10,'Paid Tax'!B5:M366,12,FALSE)</f>
        <v>2450</v>
      </c>
      <c r="AO10" s="11">
        <f t="shared" si="1"/>
        <v>1750</v>
      </c>
      <c r="AP10" s="13">
        <v>5</v>
      </c>
      <c r="AQ10" s="16">
        <f t="shared" si="5"/>
        <v>350</v>
      </c>
      <c r="AS10" s="11">
        <f t="shared" si="6"/>
        <v>-350</v>
      </c>
      <c r="AT10" s="13"/>
    </row>
    <row r="11" spans="1:50" x14ac:dyDescent="0.25">
      <c r="A11" s="12">
        <v>4</v>
      </c>
      <c r="B11" s="60" t="s">
        <v>293</v>
      </c>
      <c r="C11" s="53">
        <v>10002</v>
      </c>
      <c r="D11" s="38" t="s">
        <v>7</v>
      </c>
      <c r="E11" s="38" t="s">
        <v>425</v>
      </c>
      <c r="F11" s="37" t="s">
        <v>275</v>
      </c>
      <c r="G11" s="4">
        <v>144364</v>
      </c>
      <c r="H11" s="4"/>
      <c r="I11" s="4"/>
      <c r="J11" s="4">
        <v>13878.75</v>
      </c>
      <c r="K11" s="4">
        <v>13878.75</v>
      </c>
      <c r="L11" s="11">
        <f t="shared" si="2"/>
        <v>1760125.5</v>
      </c>
      <c r="M11" s="69">
        <v>0</v>
      </c>
      <c r="N11" s="71">
        <v>0</v>
      </c>
      <c r="O11" s="71">
        <v>0</v>
      </c>
      <c r="P11" s="71">
        <v>0</v>
      </c>
      <c r="Q11" s="71">
        <f>VLOOKUP(C11,Incentives!C5:K343,9,FALSE)</f>
        <v>0</v>
      </c>
      <c r="R11" s="71">
        <v>0</v>
      </c>
      <c r="S11" s="13">
        <v>0</v>
      </c>
      <c r="T11" s="13">
        <v>0</v>
      </c>
      <c r="U11" s="13"/>
      <c r="V11" s="13"/>
      <c r="Y11" s="71">
        <v>0</v>
      </c>
      <c r="Z11" s="71">
        <v>0</v>
      </c>
      <c r="AA11" s="71">
        <v>0</v>
      </c>
      <c r="AB11" s="71">
        <v>0</v>
      </c>
      <c r="AC11" s="71">
        <v>0</v>
      </c>
      <c r="AD11" s="71">
        <v>0</v>
      </c>
      <c r="AE11" s="13">
        <v>0</v>
      </c>
      <c r="AF11" s="13">
        <v>0</v>
      </c>
      <c r="AJ11" s="13"/>
      <c r="AK11" s="11">
        <f t="shared" si="3"/>
        <v>1760125.5</v>
      </c>
      <c r="AL11" s="11">
        <f t="shared" si="0"/>
        <v>146677.125</v>
      </c>
      <c r="AM11" s="11">
        <f t="shared" si="4"/>
        <v>67613.804999999993</v>
      </c>
      <c r="AN11" s="11">
        <f>VLOOKUP(C11,'Paid Tax'!B6:M367,12,FALSE)</f>
        <v>39383.558124999996</v>
      </c>
      <c r="AO11" s="11">
        <f t="shared" si="1"/>
        <v>28230.246874999997</v>
      </c>
      <c r="AP11" s="13">
        <v>5</v>
      </c>
      <c r="AQ11" s="16">
        <f t="shared" si="5"/>
        <v>5646.0493749999996</v>
      </c>
      <c r="AS11" s="11">
        <f t="shared" si="6"/>
        <v>-5646.0493749999996</v>
      </c>
      <c r="AT11" s="13"/>
    </row>
    <row r="12" spans="1:50" x14ac:dyDescent="0.25">
      <c r="A12" s="12">
        <v>5</v>
      </c>
      <c r="B12" s="60" t="s">
        <v>293</v>
      </c>
      <c r="C12" s="53">
        <v>10003</v>
      </c>
      <c r="D12" s="38" t="s">
        <v>8</v>
      </c>
      <c r="E12" s="38" t="s">
        <v>9</v>
      </c>
      <c r="F12" s="37" t="s">
        <v>275</v>
      </c>
      <c r="G12" s="4">
        <v>80177</v>
      </c>
      <c r="H12" s="4"/>
      <c r="I12" s="4"/>
      <c r="J12" s="4">
        <v>8000</v>
      </c>
      <c r="K12" s="4">
        <v>8000</v>
      </c>
      <c r="L12" s="11">
        <f t="shared" si="2"/>
        <v>978124</v>
      </c>
      <c r="M12" s="69">
        <v>0</v>
      </c>
      <c r="N12" s="71">
        <v>0</v>
      </c>
      <c r="O12" s="71">
        <v>0</v>
      </c>
      <c r="P12" s="71">
        <v>0</v>
      </c>
      <c r="Q12" s="71">
        <f>VLOOKUP(C12,Incentives!C6:K344,9,FALSE)</f>
        <v>0</v>
      </c>
      <c r="R12" s="71">
        <v>0</v>
      </c>
      <c r="S12" s="13">
        <v>0</v>
      </c>
      <c r="T12" s="13">
        <v>0</v>
      </c>
      <c r="U12" s="13"/>
      <c r="V12" s="13"/>
      <c r="Y12" s="71">
        <v>0</v>
      </c>
      <c r="Z12" s="71">
        <v>0</v>
      </c>
      <c r="AA12" s="71">
        <v>0</v>
      </c>
      <c r="AB12" s="71">
        <v>0</v>
      </c>
      <c r="AC12" s="71">
        <v>0</v>
      </c>
      <c r="AD12" s="71">
        <v>0</v>
      </c>
      <c r="AE12" s="13">
        <v>0</v>
      </c>
      <c r="AF12" s="13">
        <v>0</v>
      </c>
      <c r="AJ12" s="13"/>
      <c r="AK12" s="11">
        <f t="shared" si="3"/>
        <v>978124</v>
      </c>
      <c r="AL12" s="11">
        <f t="shared" si="0"/>
        <v>81510.333333333328</v>
      </c>
      <c r="AM12" s="11">
        <f t="shared" si="4"/>
        <v>3781.2400000000002</v>
      </c>
      <c r="AN12" s="11">
        <f>VLOOKUP(C12,'Paid Tax'!B7:M368,12,FALSE)</f>
        <v>2202.6930303030304</v>
      </c>
      <c r="AO12" s="11">
        <f t="shared" si="1"/>
        <v>1578.5469696969699</v>
      </c>
      <c r="AP12" s="13">
        <v>5</v>
      </c>
      <c r="AQ12" s="16">
        <f t="shared" si="5"/>
        <v>315.70939393939398</v>
      </c>
      <c r="AS12" s="11">
        <f t="shared" si="6"/>
        <v>-315.70939393939398</v>
      </c>
      <c r="AT12" s="13"/>
    </row>
    <row r="13" spans="1:50" x14ac:dyDescent="0.25">
      <c r="A13" s="12">
        <v>6</v>
      </c>
      <c r="B13" s="60" t="s">
        <v>293</v>
      </c>
      <c r="C13" s="53">
        <v>10418</v>
      </c>
      <c r="D13" s="38" t="s">
        <v>10</v>
      </c>
      <c r="E13" s="38" t="s">
        <v>11</v>
      </c>
      <c r="F13" s="37" t="s">
        <v>275</v>
      </c>
      <c r="G13" s="4">
        <v>45000</v>
      </c>
      <c r="H13" s="4"/>
      <c r="I13" s="4"/>
      <c r="J13" s="4">
        <v>5000</v>
      </c>
      <c r="K13" s="4">
        <v>5000</v>
      </c>
      <c r="L13" s="11">
        <f t="shared" si="2"/>
        <v>550000</v>
      </c>
      <c r="M13" s="69">
        <v>0</v>
      </c>
      <c r="N13" s="71">
        <v>0</v>
      </c>
      <c r="O13" s="71">
        <v>0</v>
      </c>
      <c r="P13" s="71">
        <v>0</v>
      </c>
      <c r="Q13" s="71">
        <f>VLOOKUP(C13,Incentives!C7:K345,9,FALSE)</f>
        <v>0</v>
      </c>
      <c r="R13" s="71">
        <v>0</v>
      </c>
      <c r="S13" s="13">
        <v>0</v>
      </c>
      <c r="T13" s="13">
        <v>0</v>
      </c>
      <c r="U13" s="13"/>
      <c r="V13" s="13"/>
      <c r="Y13" s="71">
        <v>0</v>
      </c>
      <c r="Z13" s="71">
        <v>0</v>
      </c>
      <c r="AA13" s="71">
        <v>0</v>
      </c>
      <c r="AB13" s="71">
        <v>0</v>
      </c>
      <c r="AC13" s="71">
        <v>0</v>
      </c>
      <c r="AD13" s="71">
        <v>0</v>
      </c>
      <c r="AE13" s="13">
        <v>0</v>
      </c>
      <c r="AF13" s="13">
        <v>0</v>
      </c>
      <c r="AJ13" s="13"/>
      <c r="AK13" s="11">
        <f t="shared" si="3"/>
        <v>550000</v>
      </c>
      <c r="AL13" s="11">
        <f t="shared" si="0"/>
        <v>45833.333333333336</v>
      </c>
      <c r="AM13" s="11">
        <f t="shared" si="4"/>
        <v>0</v>
      </c>
      <c r="AN13" s="11">
        <f>VLOOKUP(C13,'Paid Tax'!B8:M369,12,FALSE)</f>
        <v>0</v>
      </c>
      <c r="AO13" s="11">
        <f t="shared" si="1"/>
        <v>0</v>
      </c>
      <c r="AP13" s="13">
        <v>5</v>
      </c>
      <c r="AQ13" s="16">
        <f t="shared" si="5"/>
        <v>0</v>
      </c>
      <c r="AS13" s="11">
        <f t="shared" si="6"/>
        <v>0</v>
      </c>
      <c r="AT13" s="13"/>
      <c r="AW13" t="s">
        <v>865</v>
      </c>
      <c r="AX13" s="40"/>
    </row>
    <row r="14" spans="1:50" x14ac:dyDescent="0.25">
      <c r="A14" s="12">
        <v>7</v>
      </c>
      <c r="B14" s="60" t="s">
        <v>293</v>
      </c>
      <c r="C14" s="53">
        <v>10006</v>
      </c>
      <c r="D14" s="38" t="s">
        <v>12</v>
      </c>
      <c r="E14" s="38" t="s">
        <v>426</v>
      </c>
      <c r="F14" s="37" t="s">
        <v>276</v>
      </c>
      <c r="G14" s="4">
        <v>142552</v>
      </c>
      <c r="H14" s="4"/>
      <c r="I14" s="4"/>
      <c r="J14" s="4">
        <v>20000</v>
      </c>
      <c r="K14" s="4">
        <v>20000</v>
      </c>
      <c r="L14" s="11">
        <f t="shared" si="2"/>
        <v>1750624</v>
      </c>
      <c r="M14" s="69">
        <v>0</v>
      </c>
      <c r="N14" s="71">
        <v>0</v>
      </c>
      <c r="O14" s="71">
        <v>0</v>
      </c>
      <c r="P14" s="71">
        <v>0</v>
      </c>
      <c r="Q14" s="71">
        <f>VLOOKUP(C14,Incentives!C8:K346,9,FALSE)</f>
        <v>0</v>
      </c>
      <c r="R14" s="71">
        <v>0</v>
      </c>
      <c r="S14" s="13">
        <v>0</v>
      </c>
      <c r="T14" s="13">
        <v>0</v>
      </c>
      <c r="U14" s="13"/>
      <c r="V14" s="13"/>
      <c r="Y14" s="71">
        <v>0</v>
      </c>
      <c r="Z14" s="71">
        <v>0</v>
      </c>
      <c r="AA14" s="71">
        <v>0</v>
      </c>
      <c r="AB14" s="71">
        <v>0</v>
      </c>
      <c r="AC14" s="71">
        <v>0</v>
      </c>
      <c r="AD14" s="71">
        <v>0</v>
      </c>
      <c r="AE14" s="13">
        <v>0</v>
      </c>
      <c r="AF14" s="13">
        <v>0</v>
      </c>
      <c r="AJ14" s="13"/>
      <c r="AK14" s="11">
        <f t="shared" si="3"/>
        <v>1750624</v>
      </c>
      <c r="AL14" s="11">
        <f t="shared" si="0"/>
        <v>145885.33333333334</v>
      </c>
      <c r="AM14" s="11">
        <f t="shared" si="4"/>
        <v>66568.639999999999</v>
      </c>
      <c r="AN14" s="11">
        <f>VLOOKUP(C14,'Paid Tax'!B9:M370,12,FALSE)</f>
        <v>38748.373333333322</v>
      </c>
      <c r="AO14" s="11">
        <f t="shared" si="1"/>
        <v>27820.266666666677</v>
      </c>
      <c r="AP14" s="13">
        <v>5</v>
      </c>
      <c r="AQ14" s="16">
        <f t="shared" si="5"/>
        <v>5564.0533333333351</v>
      </c>
      <c r="AS14" s="11">
        <f t="shared" si="6"/>
        <v>-5564.0533333333351</v>
      </c>
      <c r="AT14" s="13"/>
      <c r="AW14" t="s">
        <v>866</v>
      </c>
      <c r="AX14" s="89"/>
    </row>
    <row r="15" spans="1:50" x14ac:dyDescent="0.25">
      <c r="A15" s="12">
        <v>8</v>
      </c>
      <c r="B15" s="60" t="s">
        <v>293</v>
      </c>
      <c r="C15" s="53">
        <v>10008</v>
      </c>
      <c r="D15" s="38" t="s">
        <v>13</v>
      </c>
      <c r="E15" s="38" t="s">
        <v>427</v>
      </c>
      <c r="F15" s="37" t="s">
        <v>277</v>
      </c>
      <c r="G15" s="4">
        <v>300276</v>
      </c>
      <c r="H15" s="4"/>
      <c r="I15" s="4"/>
      <c r="J15" s="4">
        <v>60000</v>
      </c>
      <c r="K15" s="4">
        <v>60000</v>
      </c>
      <c r="L15" s="11">
        <f t="shared" si="2"/>
        <v>3723312</v>
      </c>
      <c r="M15" s="69">
        <v>0</v>
      </c>
      <c r="N15" s="71">
        <v>0</v>
      </c>
      <c r="O15" s="71">
        <v>0</v>
      </c>
      <c r="P15" s="71">
        <v>0</v>
      </c>
      <c r="Q15" s="71">
        <f>VLOOKUP(C15,Incentives!C9:K347,9,FALSE)</f>
        <v>0</v>
      </c>
      <c r="R15" s="71">
        <v>0</v>
      </c>
      <c r="S15" s="13">
        <v>0</v>
      </c>
      <c r="T15" s="13">
        <v>0</v>
      </c>
      <c r="U15" s="13"/>
      <c r="V15" s="13"/>
      <c r="Y15" s="71">
        <v>0</v>
      </c>
      <c r="Z15" s="71">
        <v>0</v>
      </c>
      <c r="AA15" s="71">
        <v>0</v>
      </c>
      <c r="AB15" s="71">
        <v>0</v>
      </c>
      <c r="AC15" s="71">
        <v>0</v>
      </c>
      <c r="AD15" s="71">
        <v>0</v>
      </c>
      <c r="AE15" s="13">
        <v>0</v>
      </c>
      <c r="AF15" s="13">
        <v>0</v>
      </c>
      <c r="AJ15" s="13"/>
      <c r="AK15" s="11">
        <f t="shared" si="3"/>
        <v>3723312</v>
      </c>
      <c r="AL15" s="11">
        <f t="shared" si="0"/>
        <v>310276</v>
      </c>
      <c r="AM15" s="11">
        <f t="shared" si="4"/>
        <v>502993.6</v>
      </c>
      <c r="AN15" s="11">
        <f>VLOOKUP(C15,'Paid Tax'!B10:M371,12,FALSE)</f>
        <v>292731.11515151517</v>
      </c>
      <c r="AO15" s="11">
        <f t="shared" si="1"/>
        <v>210262.4848484848</v>
      </c>
      <c r="AP15" s="13">
        <v>5</v>
      </c>
      <c r="AQ15" s="16">
        <f t="shared" si="5"/>
        <v>42052.496969696964</v>
      </c>
      <c r="AS15" s="11">
        <f t="shared" si="6"/>
        <v>-42052.496969696964</v>
      </c>
      <c r="AT15" s="13"/>
      <c r="AW15" t="s">
        <v>867</v>
      </c>
      <c r="AX15" s="91"/>
    </row>
    <row r="16" spans="1:50" x14ac:dyDescent="0.25">
      <c r="A16" s="12">
        <v>9</v>
      </c>
      <c r="B16" s="60" t="s">
        <v>293</v>
      </c>
      <c r="C16" s="53">
        <v>10009</v>
      </c>
      <c r="D16" s="38" t="s">
        <v>14</v>
      </c>
      <c r="E16" s="38" t="s">
        <v>428</v>
      </c>
      <c r="F16" s="37" t="s">
        <v>277</v>
      </c>
      <c r="G16" s="4">
        <v>57666</v>
      </c>
      <c r="H16" s="4"/>
      <c r="I16" s="4"/>
      <c r="J16" s="4">
        <v>9000</v>
      </c>
      <c r="K16" s="4">
        <v>9000</v>
      </c>
      <c r="L16" s="11">
        <f t="shared" si="2"/>
        <v>709992</v>
      </c>
      <c r="M16" s="69">
        <v>0</v>
      </c>
      <c r="N16" s="71">
        <v>0</v>
      </c>
      <c r="O16" s="71">
        <v>0</v>
      </c>
      <c r="P16" s="71">
        <v>0</v>
      </c>
      <c r="Q16" s="71">
        <f>VLOOKUP(C16,Incentives!C10:K348,9,FALSE)</f>
        <v>0</v>
      </c>
      <c r="R16" s="71">
        <v>0</v>
      </c>
      <c r="S16" s="13">
        <v>0</v>
      </c>
      <c r="T16" s="13">
        <v>0</v>
      </c>
      <c r="U16" s="13"/>
      <c r="V16" s="13"/>
      <c r="Y16" s="71">
        <v>0</v>
      </c>
      <c r="Z16" s="71">
        <v>0</v>
      </c>
      <c r="AA16" s="71">
        <v>0</v>
      </c>
      <c r="AB16" s="71">
        <v>0</v>
      </c>
      <c r="AC16" s="71">
        <v>0</v>
      </c>
      <c r="AD16" s="71">
        <v>0</v>
      </c>
      <c r="AE16" s="13">
        <v>0</v>
      </c>
      <c r="AF16" s="13">
        <v>0</v>
      </c>
      <c r="AJ16" s="13"/>
      <c r="AK16" s="11">
        <f t="shared" si="3"/>
        <v>709992</v>
      </c>
      <c r="AL16" s="11">
        <f t="shared" si="0"/>
        <v>59166</v>
      </c>
      <c r="AM16" s="11">
        <f t="shared" si="4"/>
        <v>1099.92</v>
      </c>
      <c r="AN16" s="11">
        <f>VLOOKUP(C16,'Paid Tax'!B11:M372,12,FALSE)</f>
        <v>638.21090909090924</v>
      </c>
      <c r="AO16" s="11">
        <f t="shared" si="1"/>
        <v>461.70909090909083</v>
      </c>
      <c r="AP16" s="13">
        <v>5</v>
      </c>
      <c r="AQ16" s="16">
        <f t="shared" si="5"/>
        <v>92.341818181818169</v>
      </c>
      <c r="AS16" s="11">
        <f t="shared" si="6"/>
        <v>-92.341818181818169</v>
      </c>
      <c r="AT16" s="13"/>
      <c r="AW16" t="s">
        <v>984</v>
      </c>
      <c r="AX16" s="92"/>
    </row>
    <row r="17" spans="1:46" x14ac:dyDescent="0.25">
      <c r="A17" s="12">
        <v>10</v>
      </c>
      <c r="B17" s="60" t="s">
        <v>293</v>
      </c>
      <c r="C17" s="53">
        <v>10010</v>
      </c>
      <c r="D17" s="38" t="s">
        <v>15</v>
      </c>
      <c r="E17" s="38" t="s">
        <v>16</v>
      </c>
      <c r="F17" s="37" t="s">
        <v>278</v>
      </c>
      <c r="G17" s="4">
        <v>249654</v>
      </c>
      <c r="H17" s="4"/>
      <c r="I17" s="4"/>
      <c r="J17" s="4">
        <v>40000</v>
      </c>
      <c r="K17" s="4">
        <v>40000</v>
      </c>
      <c r="L17" s="11">
        <f t="shared" si="2"/>
        <v>3075848</v>
      </c>
      <c r="M17" s="69">
        <v>0</v>
      </c>
      <c r="N17" s="71">
        <v>0</v>
      </c>
      <c r="O17" s="71">
        <v>0</v>
      </c>
      <c r="P17" s="71">
        <v>0</v>
      </c>
      <c r="Q17" s="71">
        <f>VLOOKUP(C17,Incentives!C11:K350,9,FALSE)</f>
        <v>0</v>
      </c>
      <c r="R17" s="71">
        <v>0</v>
      </c>
      <c r="S17" s="13">
        <v>0</v>
      </c>
      <c r="T17" s="13">
        <v>0</v>
      </c>
      <c r="U17" s="13"/>
      <c r="V17" s="13"/>
      <c r="Y17" s="71">
        <v>19310</v>
      </c>
      <c r="Z17" s="71">
        <v>44796</v>
      </c>
      <c r="AA17" s="71">
        <v>21587</v>
      </c>
      <c r="AB17" s="71">
        <v>21284</v>
      </c>
      <c r="AC17" s="71">
        <v>25915</v>
      </c>
      <c r="AD17" s="71">
        <v>18486</v>
      </c>
      <c r="AE17" s="13">
        <v>25544</v>
      </c>
      <c r="AF17" s="13">
        <v>35743</v>
      </c>
      <c r="AI17" s="20"/>
      <c r="AJ17" s="13"/>
      <c r="AK17" s="11">
        <f>SUM(L17:AJ17)</f>
        <v>3288513</v>
      </c>
      <c r="AL17" s="11">
        <f t="shared" si="0"/>
        <v>274042.75</v>
      </c>
      <c r="AM17" s="11">
        <f t="shared" si="4"/>
        <v>372553.9</v>
      </c>
      <c r="AN17" s="11">
        <f>VLOOKUP(C17,'Paid Tax'!B12:M373,12,FALSE)</f>
        <v>203022.91944985575</v>
      </c>
      <c r="AO17" s="11">
        <f t="shared" si="1"/>
        <v>169530.98055014428</v>
      </c>
      <c r="AP17" s="13">
        <v>5</v>
      </c>
      <c r="AQ17" s="16">
        <f t="shared" si="5"/>
        <v>33906.196110028854</v>
      </c>
      <c r="AS17" s="11">
        <f t="shared" si="6"/>
        <v>-33906.196110028854</v>
      </c>
      <c r="AT17" s="13"/>
    </row>
    <row r="18" spans="1:46" x14ac:dyDescent="0.25">
      <c r="A18" s="12">
        <v>11</v>
      </c>
      <c r="B18" s="60" t="s">
        <v>293</v>
      </c>
      <c r="C18" s="53">
        <v>10011</v>
      </c>
      <c r="D18" s="38" t="s">
        <v>17</v>
      </c>
      <c r="E18" s="38" t="s">
        <v>429</v>
      </c>
      <c r="F18" s="37" t="s">
        <v>278</v>
      </c>
      <c r="G18" s="4">
        <v>98221.000000000015</v>
      </c>
      <c r="H18" s="4"/>
      <c r="I18" s="4"/>
      <c r="J18" s="4">
        <v>11000</v>
      </c>
      <c r="K18" s="4">
        <v>11000</v>
      </c>
      <c r="L18" s="11">
        <f t="shared" si="2"/>
        <v>1200652.0000000002</v>
      </c>
      <c r="M18" s="69">
        <v>0</v>
      </c>
      <c r="N18" s="71">
        <v>0</v>
      </c>
      <c r="O18" s="71">
        <v>0</v>
      </c>
      <c r="P18" s="71">
        <v>0</v>
      </c>
      <c r="Q18" s="71">
        <f>VLOOKUP(C18,Incentives!C12:K351,9,FALSE)</f>
        <v>0</v>
      </c>
      <c r="R18" s="71">
        <v>0</v>
      </c>
      <c r="S18" s="13">
        <v>0</v>
      </c>
      <c r="T18" s="13">
        <v>0</v>
      </c>
      <c r="U18" s="13"/>
      <c r="V18" s="13"/>
      <c r="Y18" s="71">
        <v>0</v>
      </c>
      <c r="Z18" s="71">
        <v>0</v>
      </c>
      <c r="AA18" s="71">
        <v>0</v>
      </c>
      <c r="AB18" s="71">
        <v>0</v>
      </c>
      <c r="AC18" s="71">
        <v>0</v>
      </c>
      <c r="AD18" s="71">
        <v>0</v>
      </c>
      <c r="AE18" s="13">
        <v>0</v>
      </c>
      <c r="AF18" s="13">
        <v>0</v>
      </c>
      <c r="AI18" s="20"/>
      <c r="AJ18" s="13"/>
      <c r="AK18" s="11">
        <f t="shared" si="3"/>
        <v>1200652.0000000002</v>
      </c>
      <c r="AL18" s="11">
        <f t="shared" si="0"/>
        <v>100054.33333333336</v>
      </c>
      <c r="AM18" s="11">
        <f t="shared" si="4"/>
        <v>6071.7200000000257</v>
      </c>
      <c r="AN18" s="11">
        <f>VLOOKUP(C18,'Paid Tax'!B13:M374,12,FALSE)</f>
        <v>3535.2003030303185</v>
      </c>
      <c r="AO18" s="11">
        <f t="shared" si="1"/>
        <v>2536.5196969697072</v>
      </c>
      <c r="AP18" s="13">
        <v>5</v>
      </c>
      <c r="AQ18" s="16">
        <f t="shared" si="5"/>
        <v>507.30393939394145</v>
      </c>
      <c r="AS18" s="11">
        <f t="shared" si="6"/>
        <v>-507.30393939394145</v>
      </c>
      <c r="AT18" s="13"/>
    </row>
    <row r="19" spans="1:46" x14ac:dyDescent="0.25">
      <c r="A19" s="12">
        <v>12</v>
      </c>
      <c r="B19" s="60" t="s">
        <v>293</v>
      </c>
      <c r="C19" s="53">
        <v>10494</v>
      </c>
      <c r="D19" s="38" t="s">
        <v>18</v>
      </c>
      <c r="E19" s="38" t="s">
        <v>19</v>
      </c>
      <c r="F19" s="37" t="s">
        <v>278</v>
      </c>
      <c r="G19" s="4">
        <v>53650</v>
      </c>
      <c r="H19" s="4"/>
      <c r="I19" s="4"/>
      <c r="J19" s="4">
        <v>6650</v>
      </c>
      <c r="K19" s="4">
        <v>6650</v>
      </c>
      <c r="L19" s="11">
        <f t="shared" si="2"/>
        <v>657100</v>
      </c>
      <c r="M19" s="69">
        <v>0</v>
      </c>
      <c r="N19" s="71">
        <v>0</v>
      </c>
      <c r="O19" s="71">
        <v>0</v>
      </c>
      <c r="P19" s="71">
        <v>0</v>
      </c>
      <c r="Q19" s="71">
        <f>VLOOKUP(C19,Incentives!C13:K352,9,FALSE)</f>
        <v>0</v>
      </c>
      <c r="R19" s="71">
        <v>0</v>
      </c>
      <c r="S19" s="13">
        <v>0</v>
      </c>
      <c r="T19" s="13">
        <v>0</v>
      </c>
      <c r="U19" s="13"/>
      <c r="V19" s="13"/>
      <c r="Y19" s="71">
        <v>0</v>
      </c>
      <c r="Z19" s="71">
        <v>3000</v>
      </c>
      <c r="AA19" s="71">
        <v>4000</v>
      </c>
      <c r="AB19" s="71">
        <v>0</v>
      </c>
      <c r="AC19" s="71">
        <v>0</v>
      </c>
      <c r="AD19" s="71">
        <v>0</v>
      </c>
      <c r="AE19" s="13">
        <v>0</v>
      </c>
      <c r="AF19" s="13">
        <v>0</v>
      </c>
      <c r="AI19" s="20"/>
      <c r="AJ19" s="13"/>
      <c r="AK19" s="11">
        <f t="shared" si="3"/>
        <v>664100</v>
      </c>
      <c r="AL19" s="11">
        <f t="shared" si="0"/>
        <v>55341.666666666664</v>
      </c>
      <c r="AM19" s="11">
        <f t="shared" si="4"/>
        <v>641</v>
      </c>
      <c r="AN19" s="11">
        <f>VLOOKUP(C19,'Paid Tax'!B14:M375,12,FALSE)</f>
        <v>366.92803030303025</v>
      </c>
      <c r="AO19" s="11">
        <f t="shared" si="1"/>
        <v>274.07196969696975</v>
      </c>
      <c r="AP19" s="13">
        <v>5</v>
      </c>
      <c r="AQ19" s="16">
        <f t="shared" si="5"/>
        <v>54.814393939393952</v>
      </c>
      <c r="AS19" s="11">
        <f t="shared" si="6"/>
        <v>-54.814393939393952</v>
      </c>
      <c r="AT19" s="13"/>
    </row>
    <row r="20" spans="1:46" x14ac:dyDescent="0.25">
      <c r="A20" s="12">
        <v>13</v>
      </c>
      <c r="B20" s="60" t="s">
        <v>293</v>
      </c>
      <c r="C20" s="53">
        <v>10015</v>
      </c>
      <c r="D20" s="38" t="s">
        <v>20</v>
      </c>
      <c r="E20" s="38" t="s">
        <v>430</v>
      </c>
      <c r="F20" s="37" t="s">
        <v>279</v>
      </c>
      <c r="G20" s="4">
        <v>242087.00000000003</v>
      </c>
      <c r="H20" s="4"/>
      <c r="I20" s="4"/>
      <c r="J20" s="4">
        <v>45000</v>
      </c>
      <c r="K20" s="4">
        <v>45000</v>
      </c>
      <c r="L20" s="11">
        <f t="shared" si="2"/>
        <v>2995044.0000000005</v>
      </c>
      <c r="M20" s="69">
        <v>0</v>
      </c>
      <c r="N20" s="71">
        <v>0</v>
      </c>
      <c r="O20" s="71">
        <v>0</v>
      </c>
      <c r="P20" s="71">
        <v>0</v>
      </c>
      <c r="Q20" s="71">
        <f>VLOOKUP(C20,Incentives!C14:K353,9,FALSE)</f>
        <v>0</v>
      </c>
      <c r="R20" s="71">
        <v>0</v>
      </c>
      <c r="S20" s="13">
        <v>0</v>
      </c>
      <c r="T20" s="13">
        <v>0</v>
      </c>
      <c r="U20" s="13"/>
      <c r="V20" s="13"/>
      <c r="Y20" s="71">
        <v>118022</v>
      </c>
      <c r="Z20" s="71">
        <v>197878</v>
      </c>
      <c r="AA20" s="71">
        <v>138381</v>
      </c>
      <c r="AB20" s="71">
        <v>171051</v>
      </c>
      <c r="AC20" s="71">
        <v>202235</v>
      </c>
      <c r="AD20" s="71">
        <v>149431</v>
      </c>
      <c r="AE20" s="13">
        <v>150134</v>
      </c>
      <c r="AF20" s="13">
        <v>114069</v>
      </c>
      <c r="AI20" s="20"/>
      <c r="AJ20" s="13"/>
      <c r="AK20" s="11">
        <f>SUM(L20:AJ20)</f>
        <v>4236245</v>
      </c>
      <c r="AL20" s="11">
        <f>AK20/12</f>
        <v>353020.41666666669</v>
      </c>
      <c r="AM20" s="11">
        <f t="shared" si="4"/>
        <v>663685.75</v>
      </c>
      <c r="AN20" s="11">
        <f>VLOOKUP(C20,'Paid Tax'!B15:M376,12,FALSE)</f>
        <v>305654.04798701307</v>
      </c>
      <c r="AO20" s="11">
        <f t="shared" si="1"/>
        <v>358031.70201298693</v>
      </c>
      <c r="AP20" s="13">
        <v>5</v>
      </c>
      <c r="AQ20" s="16">
        <f t="shared" si="5"/>
        <v>71606.340402597387</v>
      </c>
      <c r="AS20" s="11">
        <f t="shared" si="6"/>
        <v>-71606.340402597387</v>
      </c>
      <c r="AT20" s="13"/>
    </row>
    <row r="21" spans="1:46" x14ac:dyDescent="0.25">
      <c r="A21" s="12">
        <v>14</v>
      </c>
      <c r="B21" s="60" t="s">
        <v>293</v>
      </c>
      <c r="C21" s="53">
        <v>10016</v>
      </c>
      <c r="D21" s="38" t="s">
        <v>21</v>
      </c>
      <c r="E21" s="38" t="s">
        <v>431</v>
      </c>
      <c r="F21" s="37" t="s">
        <v>280</v>
      </c>
      <c r="G21" s="4">
        <v>175425</v>
      </c>
      <c r="H21" s="4"/>
      <c r="I21" s="4"/>
      <c r="J21" s="4">
        <v>30000</v>
      </c>
      <c r="K21" s="4">
        <v>30000</v>
      </c>
      <c r="L21" s="11">
        <f t="shared" si="2"/>
        <v>2165100</v>
      </c>
      <c r="M21" s="69">
        <v>0</v>
      </c>
      <c r="N21" s="71">
        <v>0</v>
      </c>
      <c r="O21" s="71">
        <v>0</v>
      </c>
      <c r="P21" s="71">
        <v>0</v>
      </c>
      <c r="Q21" s="71">
        <f>VLOOKUP(C21,Incentives!C15:K354,9,FALSE)</f>
        <v>0</v>
      </c>
      <c r="R21" s="71">
        <v>0</v>
      </c>
      <c r="S21" s="13">
        <v>0</v>
      </c>
      <c r="T21" s="13">
        <v>0</v>
      </c>
      <c r="U21" s="13"/>
      <c r="V21" s="13"/>
      <c r="Y21" s="71">
        <v>0</v>
      </c>
      <c r="Z21" s="71">
        <v>0</v>
      </c>
      <c r="AA21" s="71">
        <v>0</v>
      </c>
      <c r="AB21" s="71">
        <v>0</v>
      </c>
      <c r="AC21" s="71">
        <v>0</v>
      </c>
      <c r="AD21" s="71">
        <v>0</v>
      </c>
      <c r="AE21" s="13">
        <v>0</v>
      </c>
      <c r="AF21" s="13">
        <v>0</v>
      </c>
      <c r="AI21" s="20"/>
      <c r="AJ21" s="13"/>
      <c r="AK21" s="11">
        <f t="shared" si="3"/>
        <v>2165100</v>
      </c>
      <c r="AL21" s="11">
        <f t="shared" si="0"/>
        <v>180425</v>
      </c>
      <c r="AM21" s="11">
        <f t="shared" si="4"/>
        <v>112161</v>
      </c>
      <c r="AN21" s="11">
        <f>VLOOKUP(C21,'Paid Tax'!B16:M377,12,FALSE)</f>
        <v>65302.25</v>
      </c>
      <c r="AO21" s="11">
        <f t="shared" si="1"/>
        <v>46858.75</v>
      </c>
      <c r="AP21" s="13">
        <v>5</v>
      </c>
      <c r="AQ21" s="16">
        <f t="shared" si="5"/>
        <v>9371.75</v>
      </c>
      <c r="AS21" s="11">
        <f t="shared" si="6"/>
        <v>-9371.75</v>
      </c>
      <c r="AT21" s="13"/>
    </row>
    <row r="22" spans="1:46" x14ac:dyDescent="0.25">
      <c r="A22" s="12">
        <v>15</v>
      </c>
      <c r="B22" s="60" t="s">
        <v>293</v>
      </c>
      <c r="C22" s="53">
        <v>10239</v>
      </c>
      <c r="D22" s="38" t="s">
        <v>22</v>
      </c>
      <c r="E22" s="38" t="s">
        <v>23</v>
      </c>
      <c r="F22" s="37" t="s">
        <v>279</v>
      </c>
      <c r="G22" s="4">
        <v>35065</v>
      </c>
      <c r="H22" s="4"/>
      <c r="I22" s="4"/>
      <c r="J22" s="4">
        <v>4573.5000000000009</v>
      </c>
      <c r="K22" s="4">
        <v>4573.5000000000009</v>
      </c>
      <c r="L22" s="11">
        <f t="shared" si="2"/>
        <v>429927</v>
      </c>
      <c r="M22" s="69">
        <v>0</v>
      </c>
      <c r="N22" s="71">
        <v>0</v>
      </c>
      <c r="O22" s="71">
        <v>0</v>
      </c>
      <c r="P22" s="71">
        <v>0</v>
      </c>
      <c r="Q22" s="71">
        <f>VLOOKUP(C22,Incentives!C16:K355,9,FALSE)</f>
        <v>0</v>
      </c>
      <c r="R22" s="71">
        <v>0</v>
      </c>
      <c r="S22" s="13">
        <v>0</v>
      </c>
      <c r="T22" s="13">
        <v>0</v>
      </c>
      <c r="U22" s="13"/>
      <c r="V22" s="13"/>
      <c r="Y22" s="71">
        <v>2000</v>
      </c>
      <c r="Z22" s="71">
        <v>0</v>
      </c>
      <c r="AA22" s="71">
        <v>1000</v>
      </c>
      <c r="AB22" s="71">
        <v>5000</v>
      </c>
      <c r="AC22" s="71">
        <v>0</v>
      </c>
      <c r="AD22" s="71">
        <v>1000</v>
      </c>
      <c r="AE22" s="13">
        <v>0</v>
      </c>
      <c r="AF22" s="13">
        <v>0</v>
      </c>
      <c r="AI22" s="20"/>
      <c r="AJ22" s="13"/>
      <c r="AK22" s="11">
        <f t="shared" si="3"/>
        <v>438927</v>
      </c>
      <c r="AL22" s="11">
        <f t="shared" si="0"/>
        <v>36577.25</v>
      </c>
      <c r="AM22" s="11">
        <f t="shared" si="4"/>
        <v>0</v>
      </c>
      <c r="AN22" s="11">
        <f>VLOOKUP(C22,'Paid Tax'!B17:M378,12,FALSE)</f>
        <v>0</v>
      </c>
      <c r="AO22" s="11">
        <f t="shared" si="1"/>
        <v>0</v>
      </c>
      <c r="AP22" s="13">
        <v>5</v>
      </c>
      <c r="AQ22" s="16">
        <f t="shared" si="5"/>
        <v>0</v>
      </c>
      <c r="AS22" s="11">
        <f t="shared" si="6"/>
        <v>0</v>
      </c>
      <c r="AT22" s="13"/>
    </row>
    <row r="23" spans="1:46" x14ac:dyDescent="0.25">
      <c r="A23" s="12">
        <v>16</v>
      </c>
      <c r="B23" s="60" t="s">
        <v>293</v>
      </c>
      <c r="C23" s="53">
        <v>10018</v>
      </c>
      <c r="D23" s="38" t="s">
        <v>24</v>
      </c>
      <c r="E23" s="38" t="s">
        <v>432</v>
      </c>
      <c r="F23" s="37" t="s">
        <v>279</v>
      </c>
      <c r="G23" s="4">
        <v>52655</v>
      </c>
      <c r="H23" s="4"/>
      <c r="I23" s="4"/>
      <c r="J23" s="4">
        <v>7262.6</v>
      </c>
      <c r="K23" s="4">
        <v>7262.6</v>
      </c>
      <c r="L23" s="11">
        <f t="shared" si="2"/>
        <v>646385.19999999995</v>
      </c>
      <c r="M23" s="69">
        <v>0</v>
      </c>
      <c r="N23" s="71">
        <v>0</v>
      </c>
      <c r="O23" s="71">
        <v>0</v>
      </c>
      <c r="P23" s="71">
        <v>0</v>
      </c>
      <c r="Q23" s="71">
        <f>VLOOKUP(C23,Incentives!C17:K356,9,FALSE)</f>
        <v>0</v>
      </c>
      <c r="R23" s="71">
        <v>0</v>
      </c>
      <c r="S23" s="13">
        <v>0</v>
      </c>
      <c r="T23" s="13">
        <v>0</v>
      </c>
      <c r="U23" s="13"/>
      <c r="V23" s="13"/>
      <c r="Y23" s="71">
        <v>61300</v>
      </c>
      <c r="Z23" s="71">
        <v>130390</v>
      </c>
      <c r="AA23" s="71">
        <v>41650</v>
      </c>
      <c r="AB23" s="71">
        <v>48050</v>
      </c>
      <c r="AC23" s="71">
        <v>81350</v>
      </c>
      <c r="AD23" s="71">
        <v>66130</v>
      </c>
      <c r="AE23" s="13">
        <v>73504</v>
      </c>
      <c r="AF23" s="13">
        <v>0</v>
      </c>
      <c r="AI23" s="20"/>
      <c r="AJ23" s="13"/>
      <c r="AK23" s="11">
        <f t="shared" si="3"/>
        <v>1148759.2</v>
      </c>
      <c r="AL23" s="11">
        <f t="shared" si="0"/>
        <v>95729.933333333334</v>
      </c>
      <c r="AM23" s="11">
        <f t="shared" si="4"/>
        <v>5487.5919999999996</v>
      </c>
      <c r="AN23" s="11">
        <f>VLOOKUP(C23,'Paid Tax'!B18:M379,12,FALSE)</f>
        <v>2375.4197316017317</v>
      </c>
      <c r="AO23" s="11">
        <f t="shared" si="1"/>
        <v>3112.172268398268</v>
      </c>
      <c r="AP23" s="13">
        <v>5</v>
      </c>
      <c r="AQ23" s="16">
        <f t="shared" si="5"/>
        <v>622.43445367965364</v>
      </c>
      <c r="AS23" s="11">
        <f t="shared" si="6"/>
        <v>-622.43445367965364</v>
      </c>
      <c r="AT23" s="13"/>
    </row>
    <row r="24" spans="1:46" x14ac:dyDescent="0.25">
      <c r="A24" s="12">
        <v>17</v>
      </c>
      <c r="B24" s="60" t="s">
        <v>293</v>
      </c>
      <c r="C24" s="53">
        <v>10019</v>
      </c>
      <c r="D24" s="38" t="s">
        <v>25</v>
      </c>
      <c r="E24" s="38" t="s">
        <v>432</v>
      </c>
      <c r="F24" s="37" t="s">
        <v>279</v>
      </c>
      <c r="G24" s="4">
        <v>52758</v>
      </c>
      <c r="H24" s="4"/>
      <c r="I24" s="4"/>
      <c r="J24" s="4">
        <v>7277.05</v>
      </c>
      <c r="K24" s="4">
        <v>7277.05</v>
      </c>
      <c r="L24" s="11">
        <f t="shared" si="2"/>
        <v>647650.10000000009</v>
      </c>
      <c r="M24" s="69">
        <v>0</v>
      </c>
      <c r="N24" s="71">
        <v>0</v>
      </c>
      <c r="O24" s="71">
        <v>0</v>
      </c>
      <c r="P24" s="71">
        <v>0</v>
      </c>
      <c r="Q24" s="71">
        <f>VLOOKUP(C24,Incentives!C18:K357,9,FALSE)</f>
        <v>0</v>
      </c>
      <c r="R24" s="71">
        <v>0</v>
      </c>
      <c r="S24" s="13">
        <v>0</v>
      </c>
      <c r="T24" s="13">
        <v>0</v>
      </c>
      <c r="U24" s="13"/>
      <c r="V24" s="13"/>
      <c r="Y24" s="71">
        <v>91891</v>
      </c>
      <c r="Z24" s="71">
        <v>180152</v>
      </c>
      <c r="AA24" s="71">
        <v>86376</v>
      </c>
      <c r="AB24" s="71">
        <v>90051</v>
      </c>
      <c r="AC24" s="71">
        <v>158710</v>
      </c>
      <c r="AD24" s="71">
        <v>103018</v>
      </c>
      <c r="AE24" s="13">
        <v>102636</v>
      </c>
      <c r="AF24" s="13">
        <v>1286</v>
      </c>
      <c r="AI24" s="20"/>
      <c r="AJ24" s="13"/>
      <c r="AK24" s="11">
        <f t="shared" si="3"/>
        <v>1461770.1</v>
      </c>
      <c r="AL24" s="11">
        <f t="shared" si="0"/>
        <v>121814.175</v>
      </c>
      <c r="AM24" s="11">
        <f t="shared" si="4"/>
        <v>34794.71100000001</v>
      </c>
      <c r="AN24" s="11">
        <f>VLOOKUP(C24,'Paid Tax'!B19:M380,12,FALSE)</f>
        <v>10396.326262987021</v>
      </c>
      <c r="AO24" s="11">
        <f t="shared" si="1"/>
        <v>24398.384737012988</v>
      </c>
      <c r="AP24" s="13">
        <v>5</v>
      </c>
      <c r="AQ24" s="16">
        <f t="shared" si="5"/>
        <v>4879.6769474025978</v>
      </c>
      <c r="AS24" s="11">
        <f t="shared" si="6"/>
        <v>-4879.6769474025978</v>
      </c>
      <c r="AT24" s="13"/>
    </row>
    <row r="25" spans="1:46" x14ac:dyDescent="0.25">
      <c r="A25" s="12">
        <v>18</v>
      </c>
      <c r="B25" s="60" t="s">
        <v>293</v>
      </c>
      <c r="C25" s="53">
        <v>10498</v>
      </c>
      <c r="D25" s="38" t="s">
        <v>26</v>
      </c>
      <c r="E25" s="38" t="s">
        <v>337</v>
      </c>
      <c r="F25" s="37" t="s">
        <v>379</v>
      </c>
      <c r="G25" s="4">
        <v>35080</v>
      </c>
      <c r="H25" s="4"/>
      <c r="I25" s="4"/>
      <c r="J25" s="4">
        <v>3080</v>
      </c>
      <c r="K25" s="4">
        <v>3080</v>
      </c>
      <c r="L25" s="11">
        <f t="shared" si="2"/>
        <v>427120</v>
      </c>
      <c r="M25" s="69">
        <v>0</v>
      </c>
      <c r="N25" s="71">
        <v>0</v>
      </c>
      <c r="O25" s="71">
        <v>0</v>
      </c>
      <c r="P25" s="71">
        <v>0</v>
      </c>
      <c r="Q25" s="71">
        <f>VLOOKUP(C25,Incentives!C19:K358,9,FALSE)</f>
        <v>0</v>
      </c>
      <c r="R25" s="71">
        <v>0</v>
      </c>
      <c r="S25" s="13">
        <v>0</v>
      </c>
      <c r="T25" s="13">
        <v>0</v>
      </c>
      <c r="U25" s="13"/>
      <c r="V25" s="13"/>
      <c r="Y25" s="71">
        <v>23512</v>
      </c>
      <c r="Z25" s="71">
        <v>29223</v>
      </c>
      <c r="AA25" s="71">
        <v>23783</v>
      </c>
      <c r="AB25" s="71">
        <v>57050</v>
      </c>
      <c r="AC25" s="71">
        <v>27590</v>
      </c>
      <c r="AD25" s="71">
        <v>24885</v>
      </c>
      <c r="AE25" s="13">
        <v>25202</v>
      </c>
      <c r="AF25" s="13">
        <v>26049</v>
      </c>
      <c r="AI25" s="20"/>
      <c r="AJ25" s="13"/>
      <c r="AK25" s="11">
        <f t="shared" si="3"/>
        <v>664414</v>
      </c>
      <c r="AL25" s="11">
        <f t="shared" si="0"/>
        <v>55367.833333333336</v>
      </c>
      <c r="AM25" s="11">
        <f t="shared" si="4"/>
        <v>644.14</v>
      </c>
      <c r="AN25" s="11">
        <f>VLOOKUP(C25,'Paid Tax'!B20:M381,12,FALSE)</f>
        <v>42.025902777777802</v>
      </c>
      <c r="AO25" s="11">
        <f t="shared" si="1"/>
        <v>602.1140972222222</v>
      </c>
      <c r="AP25" s="13">
        <v>11</v>
      </c>
      <c r="AQ25" s="16">
        <f t="shared" si="5"/>
        <v>54.737645202020197</v>
      </c>
      <c r="AR25" s="40" t="s">
        <v>790</v>
      </c>
      <c r="AS25" s="11">
        <f t="shared" si="6"/>
        <v>-54.737645202020197</v>
      </c>
      <c r="AT25" s="13"/>
    </row>
    <row r="26" spans="1:46" x14ac:dyDescent="0.25">
      <c r="A26" s="12">
        <v>19</v>
      </c>
      <c r="B26" s="60" t="s">
        <v>293</v>
      </c>
      <c r="C26" s="53">
        <v>10020</v>
      </c>
      <c r="D26" s="38" t="s">
        <v>27</v>
      </c>
      <c r="E26" s="38" t="s">
        <v>28</v>
      </c>
      <c r="F26" s="37" t="s">
        <v>279</v>
      </c>
      <c r="G26" s="4">
        <v>49078</v>
      </c>
      <c r="H26" s="4"/>
      <c r="I26" s="4"/>
      <c r="J26" s="4">
        <v>6027.14</v>
      </c>
      <c r="K26" s="4">
        <v>6027.14</v>
      </c>
      <c r="L26" s="11">
        <f t="shared" si="2"/>
        <v>600990.28</v>
      </c>
      <c r="M26" s="69">
        <v>0</v>
      </c>
      <c r="N26" s="71">
        <v>0</v>
      </c>
      <c r="O26" s="71">
        <v>0</v>
      </c>
      <c r="P26" s="71">
        <v>0</v>
      </c>
      <c r="Q26" s="71">
        <f>VLOOKUP(C26,Incentives!C20:K359,9,FALSE)</f>
        <v>0</v>
      </c>
      <c r="R26" s="71">
        <v>0</v>
      </c>
      <c r="S26" s="13">
        <v>0</v>
      </c>
      <c r="T26" s="13">
        <v>0</v>
      </c>
      <c r="U26" s="13"/>
      <c r="V26" s="13"/>
      <c r="Y26" s="71">
        <v>0</v>
      </c>
      <c r="Z26" s="71">
        <v>5000</v>
      </c>
      <c r="AA26" s="71">
        <v>5000</v>
      </c>
      <c r="AB26" s="71">
        <v>0</v>
      </c>
      <c r="AC26" s="71">
        <v>0</v>
      </c>
      <c r="AD26" s="71">
        <v>5000</v>
      </c>
      <c r="AE26" s="13">
        <v>0</v>
      </c>
      <c r="AF26" s="13">
        <v>0</v>
      </c>
      <c r="AI26" s="20"/>
      <c r="AJ26" s="13"/>
      <c r="AK26" s="11">
        <f t="shared" si="3"/>
        <v>615990.28</v>
      </c>
      <c r="AL26" s="11">
        <f t="shared" si="0"/>
        <v>51332.523333333338</v>
      </c>
      <c r="AM26" s="11">
        <f t="shared" si="4"/>
        <v>159.90280000000027</v>
      </c>
      <c r="AN26" s="11">
        <f>VLOOKUP(C26,'Paid Tax'!B21:M382,12,FALSE)</f>
        <v>65.128545454545559</v>
      </c>
      <c r="AO26" s="11">
        <f t="shared" si="1"/>
        <v>94.77425454545471</v>
      </c>
      <c r="AP26" s="13">
        <v>6</v>
      </c>
      <c r="AQ26" s="16">
        <f t="shared" si="5"/>
        <v>15.795709090909119</v>
      </c>
      <c r="AR26" s="40" t="s">
        <v>1322</v>
      </c>
      <c r="AS26" s="11">
        <f t="shared" si="6"/>
        <v>-15.795709090909119</v>
      </c>
      <c r="AT26" s="13"/>
    </row>
    <row r="27" spans="1:46" x14ac:dyDescent="0.25">
      <c r="A27" s="12">
        <v>20</v>
      </c>
      <c r="B27" s="60" t="s">
        <v>293</v>
      </c>
      <c r="C27" s="53">
        <v>10021</v>
      </c>
      <c r="D27" s="38" t="s">
        <v>29</v>
      </c>
      <c r="E27" s="38" t="s">
        <v>30</v>
      </c>
      <c r="F27" s="37" t="s">
        <v>281</v>
      </c>
      <c r="G27" s="4">
        <v>46016</v>
      </c>
      <c r="H27" s="4"/>
      <c r="I27" s="4"/>
      <c r="J27" s="4">
        <v>6346.95</v>
      </c>
      <c r="K27" s="4">
        <v>6346.95</v>
      </c>
      <c r="L27" s="11">
        <f t="shared" si="2"/>
        <v>564885.89999999991</v>
      </c>
      <c r="M27" s="69">
        <v>0</v>
      </c>
      <c r="N27" s="71">
        <v>0</v>
      </c>
      <c r="O27" s="71">
        <v>0</v>
      </c>
      <c r="P27" s="71">
        <v>0</v>
      </c>
      <c r="Q27" s="71">
        <f>VLOOKUP(C27,Incentives!C21:K360,9,FALSE)</f>
        <v>0</v>
      </c>
      <c r="R27" s="71">
        <v>0</v>
      </c>
      <c r="S27" s="13">
        <v>0</v>
      </c>
      <c r="T27" s="13">
        <v>0</v>
      </c>
      <c r="U27" s="13"/>
      <c r="V27" s="13"/>
      <c r="Y27" s="71">
        <v>57009</v>
      </c>
      <c r="Z27" s="71">
        <v>95593</v>
      </c>
      <c r="AA27" s="71">
        <v>129584</v>
      </c>
      <c r="AB27" s="71">
        <v>139645</v>
      </c>
      <c r="AC27" s="71">
        <v>86831</v>
      </c>
      <c r="AD27" s="71">
        <v>52662</v>
      </c>
      <c r="AE27" s="13">
        <v>64615</v>
      </c>
      <c r="AF27" s="13">
        <v>87421</v>
      </c>
      <c r="AI27" s="20"/>
      <c r="AJ27" s="13"/>
      <c r="AK27" s="11">
        <f t="shared" si="3"/>
        <v>1278245.8999999999</v>
      </c>
      <c r="AL27" s="11">
        <f t="shared" si="0"/>
        <v>106520.49166666665</v>
      </c>
      <c r="AM27" s="11">
        <f t="shared" si="4"/>
        <v>14607.04899999999</v>
      </c>
      <c r="AN27" s="11">
        <f>VLOOKUP(C27,'Paid Tax'!B22:M383,12,FALSE)</f>
        <v>2499.0676841630584</v>
      </c>
      <c r="AO27" s="11">
        <f t="shared" si="1"/>
        <v>12107.981315836932</v>
      </c>
      <c r="AP27" s="13">
        <v>5</v>
      </c>
      <c r="AQ27" s="16">
        <f t="shared" si="5"/>
        <v>2421.5962631673865</v>
      </c>
      <c r="AS27" s="11">
        <f t="shared" si="6"/>
        <v>-2421.5962631673865</v>
      </c>
      <c r="AT27" s="13"/>
    </row>
    <row r="28" spans="1:46" x14ac:dyDescent="0.25">
      <c r="A28" s="12">
        <v>21</v>
      </c>
      <c r="B28" s="60" t="s">
        <v>293</v>
      </c>
      <c r="C28" s="53">
        <v>10023</v>
      </c>
      <c r="D28" s="38" t="s">
        <v>31</v>
      </c>
      <c r="E28" s="38" t="s">
        <v>32</v>
      </c>
      <c r="F28" s="37" t="s">
        <v>279</v>
      </c>
      <c r="G28" s="4">
        <v>42989</v>
      </c>
      <c r="H28" s="4"/>
      <c r="I28" s="4"/>
      <c r="J28" s="4">
        <v>5279.4</v>
      </c>
      <c r="K28" s="4">
        <v>5279.4</v>
      </c>
      <c r="L28" s="11">
        <f t="shared" si="2"/>
        <v>526426.80000000005</v>
      </c>
      <c r="M28" s="69">
        <v>0</v>
      </c>
      <c r="N28" s="71">
        <v>0</v>
      </c>
      <c r="O28" s="71">
        <v>0</v>
      </c>
      <c r="P28" s="71">
        <v>0</v>
      </c>
      <c r="Q28" s="71">
        <f>VLOOKUP(C28,Incentives!C22:K361,9,FALSE)</f>
        <v>0</v>
      </c>
      <c r="R28" s="71">
        <v>0</v>
      </c>
      <c r="S28" s="13">
        <v>0</v>
      </c>
      <c r="T28" s="13">
        <v>0</v>
      </c>
      <c r="U28" s="13"/>
      <c r="V28" s="13"/>
      <c r="Y28" s="71">
        <v>0</v>
      </c>
      <c r="Z28" s="71">
        <v>0</v>
      </c>
      <c r="AA28" s="71">
        <v>0</v>
      </c>
      <c r="AB28" s="71">
        <v>0</v>
      </c>
      <c r="AC28" s="71">
        <v>0</v>
      </c>
      <c r="AD28" s="71">
        <v>0</v>
      </c>
      <c r="AE28" s="13">
        <v>5000</v>
      </c>
      <c r="AF28" s="13">
        <v>0</v>
      </c>
      <c r="AI28" s="20"/>
      <c r="AJ28" s="13"/>
      <c r="AK28" s="11">
        <f t="shared" si="3"/>
        <v>531426.80000000005</v>
      </c>
      <c r="AL28" s="11">
        <f t="shared" si="0"/>
        <v>44285.566666666673</v>
      </c>
      <c r="AM28" s="11">
        <f t="shared" si="4"/>
        <v>0</v>
      </c>
      <c r="AN28" s="11">
        <f>VLOOKUP(C28,'Paid Tax'!B23:M384,12,FALSE)</f>
        <v>0</v>
      </c>
      <c r="AO28" s="11">
        <f t="shared" si="1"/>
        <v>0</v>
      </c>
      <c r="AP28" s="13">
        <v>5</v>
      </c>
      <c r="AQ28" s="16">
        <f t="shared" si="5"/>
        <v>0</v>
      </c>
      <c r="AS28" s="11">
        <f t="shared" si="6"/>
        <v>0</v>
      </c>
      <c r="AT28" s="13"/>
    </row>
    <row r="29" spans="1:46" s="18" customFormat="1" x14ac:dyDescent="0.25">
      <c r="A29" s="12">
        <v>22</v>
      </c>
      <c r="B29" s="60" t="s">
        <v>293</v>
      </c>
      <c r="C29" s="53">
        <v>10533</v>
      </c>
      <c r="D29" s="38" t="s">
        <v>314</v>
      </c>
      <c r="E29" s="38" t="s">
        <v>23</v>
      </c>
      <c r="F29" s="37" t="s">
        <v>279</v>
      </c>
      <c r="G29" s="4">
        <v>34000</v>
      </c>
      <c r="H29" s="4"/>
      <c r="I29" s="4"/>
      <c r="J29" s="4">
        <v>0</v>
      </c>
      <c r="K29" s="4">
        <v>0</v>
      </c>
      <c r="L29" s="11">
        <f t="shared" si="2"/>
        <v>408000</v>
      </c>
      <c r="M29" s="69">
        <v>0</v>
      </c>
      <c r="N29" s="71">
        <v>0</v>
      </c>
      <c r="O29" s="71">
        <v>0</v>
      </c>
      <c r="P29" s="71">
        <v>0</v>
      </c>
      <c r="Q29" s="71">
        <f>VLOOKUP(C29,Incentives!C23:K362,9,FALSE)</f>
        <v>0</v>
      </c>
      <c r="R29" s="71">
        <v>0</v>
      </c>
      <c r="S29" s="13">
        <v>0</v>
      </c>
      <c r="T29" s="13">
        <v>0</v>
      </c>
      <c r="U29" s="13"/>
      <c r="V29" s="13"/>
      <c r="W29" s="13"/>
      <c r="Y29" s="71">
        <v>4000</v>
      </c>
      <c r="Z29" s="71">
        <v>0</v>
      </c>
      <c r="AA29" s="71">
        <v>0</v>
      </c>
      <c r="AB29" s="71">
        <v>4000</v>
      </c>
      <c r="AC29" s="71">
        <v>0</v>
      </c>
      <c r="AD29" s="71">
        <v>4000</v>
      </c>
      <c r="AE29" s="13">
        <v>0</v>
      </c>
      <c r="AF29" s="13">
        <v>0</v>
      </c>
      <c r="AG29" s="13"/>
      <c r="AH29" s="13"/>
      <c r="AI29" s="20"/>
      <c r="AK29" s="11">
        <f t="shared" si="3"/>
        <v>420000</v>
      </c>
      <c r="AL29" s="11">
        <f t="shared" si="0"/>
        <v>35000</v>
      </c>
      <c r="AM29" s="11">
        <f t="shared" si="4"/>
        <v>0</v>
      </c>
      <c r="AN29" s="11">
        <f>VLOOKUP(C29,'Paid Tax'!B24:M385,12,FALSE)</f>
        <v>0</v>
      </c>
      <c r="AO29" s="11">
        <f t="shared" si="1"/>
        <v>0</v>
      </c>
      <c r="AP29" s="13">
        <v>5</v>
      </c>
      <c r="AQ29" s="16">
        <f t="shared" si="5"/>
        <v>0</v>
      </c>
      <c r="AR29" s="13"/>
      <c r="AS29" s="11">
        <f t="shared" si="6"/>
        <v>0</v>
      </c>
      <c r="AT29" s="13"/>
    </row>
    <row r="30" spans="1:46" x14ac:dyDescent="0.25">
      <c r="A30" s="12">
        <v>23</v>
      </c>
      <c r="B30" s="60" t="s">
        <v>293</v>
      </c>
      <c r="C30" s="53">
        <v>10473</v>
      </c>
      <c r="D30" s="38" t="s">
        <v>33</v>
      </c>
      <c r="E30" s="38" t="s">
        <v>23</v>
      </c>
      <c r="F30" s="37" t="s">
        <v>279</v>
      </c>
      <c r="G30" s="4">
        <v>33900</v>
      </c>
      <c r="H30" s="4"/>
      <c r="I30" s="4"/>
      <c r="J30" s="4">
        <v>3900</v>
      </c>
      <c r="K30" s="4">
        <v>3900</v>
      </c>
      <c r="L30" s="11">
        <f t="shared" si="2"/>
        <v>414600</v>
      </c>
      <c r="M30" s="69">
        <v>0</v>
      </c>
      <c r="N30" s="71">
        <v>0</v>
      </c>
      <c r="O30" s="71">
        <v>0</v>
      </c>
      <c r="P30" s="71">
        <v>0</v>
      </c>
      <c r="Q30" s="71">
        <f>VLOOKUP(C30,Incentives!C24:K363,9,FALSE)</f>
        <v>0</v>
      </c>
      <c r="R30" s="71">
        <v>0</v>
      </c>
      <c r="S30" s="13">
        <v>0</v>
      </c>
      <c r="T30" s="13">
        <v>0</v>
      </c>
      <c r="U30" s="13"/>
      <c r="V30" s="13"/>
      <c r="Y30" s="71">
        <v>0</v>
      </c>
      <c r="Z30" s="71">
        <v>0</v>
      </c>
      <c r="AA30" s="71">
        <v>0</v>
      </c>
      <c r="AB30" s="71">
        <v>0</v>
      </c>
      <c r="AC30" s="71">
        <v>0</v>
      </c>
      <c r="AD30" s="71">
        <v>0</v>
      </c>
      <c r="AE30" s="13">
        <v>0</v>
      </c>
      <c r="AF30" s="13">
        <v>0</v>
      </c>
      <c r="AI30" s="20"/>
      <c r="AJ30" s="13"/>
      <c r="AK30" s="11">
        <f t="shared" si="3"/>
        <v>414600</v>
      </c>
      <c r="AL30" s="11">
        <f t="shared" si="0"/>
        <v>34550</v>
      </c>
      <c r="AM30" s="11">
        <f t="shared" si="4"/>
        <v>0</v>
      </c>
      <c r="AN30" s="11">
        <f>VLOOKUP(C30,'Paid Tax'!B25:M386,12,FALSE)</f>
        <v>0</v>
      </c>
      <c r="AO30" s="11">
        <f t="shared" si="1"/>
        <v>0</v>
      </c>
      <c r="AP30" s="13">
        <v>5</v>
      </c>
      <c r="AQ30" s="16">
        <f t="shared" si="5"/>
        <v>0</v>
      </c>
      <c r="AS30" s="11">
        <f t="shared" si="6"/>
        <v>0</v>
      </c>
      <c r="AT30" s="13"/>
    </row>
    <row r="31" spans="1:46" x14ac:dyDescent="0.25">
      <c r="A31" s="12">
        <v>24</v>
      </c>
      <c r="B31" s="60" t="s">
        <v>293</v>
      </c>
      <c r="C31" s="53">
        <v>10511</v>
      </c>
      <c r="D31" s="38" t="s">
        <v>34</v>
      </c>
      <c r="E31" s="38" t="s">
        <v>23</v>
      </c>
      <c r="F31" s="37" t="s">
        <v>279</v>
      </c>
      <c r="G31" s="4">
        <v>31000</v>
      </c>
      <c r="H31" s="4"/>
      <c r="I31" s="4"/>
      <c r="J31" s="4">
        <v>0</v>
      </c>
      <c r="K31" s="4">
        <v>0</v>
      </c>
      <c r="L31" s="11">
        <f t="shared" si="2"/>
        <v>372000</v>
      </c>
      <c r="M31" s="69">
        <v>0</v>
      </c>
      <c r="N31" s="71">
        <v>0</v>
      </c>
      <c r="O31" s="71">
        <v>0</v>
      </c>
      <c r="P31" s="71">
        <v>0</v>
      </c>
      <c r="Q31" s="71">
        <f>VLOOKUP(C31,Incentives!C25:K364,9,FALSE)</f>
        <v>0</v>
      </c>
      <c r="R31" s="71">
        <v>0</v>
      </c>
      <c r="S31" s="13">
        <v>0</v>
      </c>
      <c r="T31" s="13">
        <v>0</v>
      </c>
      <c r="U31" s="13"/>
      <c r="V31" s="13"/>
      <c r="Y31" s="71">
        <v>0</v>
      </c>
      <c r="Z31" s="71">
        <v>0</v>
      </c>
      <c r="AA31" s="71">
        <v>0</v>
      </c>
      <c r="AB31" s="71">
        <v>0</v>
      </c>
      <c r="AC31" s="71">
        <v>3000</v>
      </c>
      <c r="AD31" s="71">
        <v>0</v>
      </c>
      <c r="AE31" s="13">
        <v>0</v>
      </c>
      <c r="AF31" s="13">
        <v>0</v>
      </c>
      <c r="AI31" s="20"/>
      <c r="AJ31" s="13"/>
      <c r="AK31" s="11">
        <f t="shared" si="3"/>
        <v>375000</v>
      </c>
      <c r="AL31" s="11">
        <f t="shared" si="0"/>
        <v>31250</v>
      </c>
      <c r="AM31" s="11">
        <f t="shared" si="4"/>
        <v>0</v>
      </c>
      <c r="AN31" s="11">
        <f>VLOOKUP(C31,'Paid Tax'!B26:M387,12,FALSE)</f>
        <v>0</v>
      </c>
      <c r="AO31" s="11">
        <f t="shared" si="1"/>
        <v>0</v>
      </c>
      <c r="AP31" s="13">
        <v>5</v>
      </c>
      <c r="AQ31" s="16">
        <f t="shared" si="5"/>
        <v>0</v>
      </c>
      <c r="AS31" s="11">
        <f t="shared" si="6"/>
        <v>0</v>
      </c>
      <c r="AT31" s="13"/>
    </row>
    <row r="32" spans="1:46" x14ac:dyDescent="0.25">
      <c r="A32" s="12">
        <v>25</v>
      </c>
      <c r="B32" s="60" t="s">
        <v>293</v>
      </c>
      <c r="C32" s="53">
        <v>10512</v>
      </c>
      <c r="D32" s="38" t="s">
        <v>35</v>
      </c>
      <c r="E32" s="38" t="s">
        <v>23</v>
      </c>
      <c r="F32" s="37" t="s">
        <v>279</v>
      </c>
      <c r="G32" s="4">
        <v>36000</v>
      </c>
      <c r="H32" s="4"/>
      <c r="I32" s="4"/>
      <c r="J32" s="4">
        <v>0</v>
      </c>
      <c r="K32" s="4">
        <v>0</v>
      </c>
      <c r="L32" s="11">
        <f t="shared" si="2"/>
        <v>432000</v>
      </c>
      <c r="M32" s="69">
        <v>0</v>
      </c>
      <c r="N32" s="71">
        <v>0</v>
      </c>
      <c r="O32" s="71">
        <v>0</v>
      </c>
      <c r="P32" s="71">
        <v>0</v>
      </c>
      <c r="Q32" s="71">
        <f>VLOOKUP(C32,Incentives!C26:K365,9,FALSE)</f>
        <v>0</v>
      </c>
      <c r="R32" s="71">
        <v>0</v>
      </c>
      <c r="S32" s="13">
        <v>0</v>
      </c>
      <c r="T32" s="13">
        <v>0</v>
      </c>
      <c r="U32" s="13"/>
      <c r="V32" s="13"/>
      <c r="Y32" s="71">
        <v>0</v>
      </c>
      <c r="Z32" s="71">
        <v>5000</v>
      </c>
      <c r="AA32" s="71">
        <v>0</v>
      </c>
      <c r="AB32" s="71">
        <v>0</v>
      </c>
      <c r="AC32" s="71">
        <v>0</v>
      </c>
      <c r="AD32" s="71">
        <v>0</v>
      </c>
      <c r="AE32" s="13">
        <v>1000</v>
      </c>
      <c r="AF32" s="13">
        <v>0</v>
      </c>
      <c r="AI32" s="20"/>
      <c r="AJ32" s="13"/>
      <c r="AK32" s="11">
        <f t="shared" si="3"/>
        <v>438000</v>
      </c>
      <c r="AL32" s="11">
        <f t="shared" si="0"/>
        <v>36500</v>
      </c>
      <c r="AM32" s="11">
        <f t="shared" si="4"/>
        <v>0</v>
      </c>
      <c r="AN32" s="11">
        <f>VLOOKUP(C32,'Paid Tax'!B27:M388,12,FALSE)</f>
        <v>0</v>
      </c>
      <c r="AO32" s="11">
        <f t="shared" si="1"/>
        <v>0</v>
      </c>
      <c r="AP32" s="13">
        <v>5</v>
      </c>
      <c r="AQ32" s="16">
        <f t="shared" si="5"/>
        <v>0</v>
      </c>
      <c r="AS32" s="11">
        <f t="shared" si="6"/>
        <v>0</v>
      </c>
      <c r="AT32" s="13"/>
    </row>
    <row r="33" spans="1:46" x14ac:dyDescent="0.25">
      <c r="A33" s="12">
        <v>26</v>
      </c>
      <c r="B33" s="60" t="s">
        <v>293</v>
      </c>
      <c r="C33" s="53">
        <v>10489</v>
      </c>
      <c r="D33" s="38" t="s">
        <v>36</v>
      </c>
      <c r="E33" s="38" t="s">
        <v>23</v>
      </c>
      <c r="F33" s="37" t="s">
        <v>279</v>
      </c>
      <c r="G33" s="4">
        <v>33900</v>
      </c>
      <c r="H33" s="4"/>
      <c r="I33" s="4"/>
      <c r="J33" s="4">
        <v>3900</v>
      </c>
      <c r="K33" s="4">
        <v>3900</v>
      </c>
      <c r="L33" s="11">
        <f t="shared" si="2"/>
        <v>414600</v>
      </c>
      <c r="M33" s="69">
        <v>0</v>
      </c>
      <c r="N33" s="71">
        <v>0</v>
      </c>
      <c r="O33" s="71">
        <v>0</v>
      </c>
      <c r="P33" s="71">
        <v>0</v>
      </c>
      <c r="Q33" s="71">
        <f>VLOOKUP(C33,Incentives!C27:K366,9,FALSE)</f>
        <v>0</v>
      </c>
      <c r="R33" s="71">
        <v>0</v>
      </c>
      <c r="S33" s="13">
        <v>0</v>
      </c>
      <c r="T33" s="13">
        <v>0</v>
      </c>
      <c r="U33" s="13"/>
      <c r="V33" s="13"/>
      <c r="Y33" s="71">
        <v>0</v>
      </c>
      <c r="Z33" s="71">
        <v>0</v>
      </c>
      <c r="AA33" s="71">
        <v>0</v>
      </c>
      <c r="AB33" s="71">
        <v>0</v>
      </c>
      <c r="AC33" s="71">
        <v>1000</v>
      </c>
      <c r="AD33" s="71">
        <v>0</v>
      </c>
      <c r="AE33" s="13">
        <v>0</v>
      </c>
      <c r="AF33" s="13">
        <v>0</v>
      </c>
      <c r="AI33" s="20"/>
      <c r="AJ33" s="13"/>
      <c r="AK33" s="11">
        <f t="shared" si="3"/>
        <v>415600</v>
      </c>
      <c r="AL33" s="11">
        <f t="shared" si="0"/>
        <v>34633.333333333336</v>
      </c>
      <c r="AM33" s="11">
        <f t="shared" si="4"/>
        <v>0</v>
      </c>
      <c r="AN33" s="11">
        <f>VLOOKUP(C33,'Paid Tax'!B28:M389,12,FALSE)</f>
        <v>0</v>
      </c>
      <c r="AO33" s="11">
        <f t="shared" si="1"/>
        <v>0</v>
      </c>
      <c r="AP33" s="13">
        <v>5</v>
      </c>
      <c r="AQ33" s="16">
        <f t="shared" si="5"/>
        <v>0</v>
      </c>
      <c r="AS33" s="11">
        <f t="shared" si="6"/>
        <v>0</v>
      </c>
      <c r="AT33" s="13"/>
    </row>
    <row r="34" spans="1:46" x14ac:dyDescent="0.25">
      <c r="A34" s="12">
        <v>27</v>
      </c>
      <c r="B34" s="60" t="s">
        <v>293</v>
      </c>
      <c r="C34" s="53">
        <v>10437</v>
      </c>
      <c r="D34" s="38" t="s">
        <v>37</v>
      </c>
      <c r="E34" s="38" t="s">
        <v>23</v>
      </c>
      <c r="F34" s="37" t="s">
        <v>279</v>
      </c>
      <c r="G34" s="4">
        <v>33900</v>
      </c>
      <c r="H34" s="4"/>
      <c r="I34" s="4"/>
      <c r="J34" s="4">
        <v>3900</v>
      </c>
      <c r="K34" s="4">
        <v>3900</v>
      </c>
      <c r="L34" s="11">
        <f t="shared" si="2"/>
        <v>414600</v>
      </c>
      <c r="M34" s="69">
        <v>0</v>
      </c>
      <c r="N34" s="71">
        <v>0</v>
      </c>
      <c r="O34" s="71">
        <v>0</v>
      </c>
      <c r="P34" s="71">
        <v>0</v>
      </c>
      <c r="Q34" s="71">
        <f>VLOOKUP(C34,Incentives!C28:K367,9,FALSE)</f>
        <v>0</v>
      </c>
      <c r="R34" s="71">
        <v>0</v>
      </c>
      <c r="S34" s="13">
        <v>0</v>
      </c>
      <c r="T34" s="13">
        <v>0</v>
      </c>
      <c r="U34" s="13"/>
      <c r="V34" s="13"/>
      <c r="Y34" s="71">
        <v>0</v>
      </c>
      <c r="Z34" s="71">
        <v>1000</v>
      </c>
      <c r="AA34" s="71">
        <v>3000</v>
      </c>
      <c r="AB34" s="71">
        <v>0</v>
      </c>
      <c r="AC34" s="71">
        <v>0</v>
      </c>
      <c r="AD34" s="71">
        <v>3000</v>
      </c>
      <c r="AE34" s="13">
        <v>3000</v>
      </c>
      <c r="AF34" s="13">
        <v>0</v>
      </c>
      <c r="AI34" s="20"/>
      <c r="AJ34" s="13"/>
      <c r="AK34" s="11">
        <f t="shared" si="3"/>
        <v>424600</v>
      </c>
      <c r="AL34" s="11">
        <f t="shared" si="0"/>
        <v>35383.333333333336</v>
      </c>
      <c r="AM34" s="11">
        <f t="shared" si="4"/>
        <v>0</v>
      </c>
      <c r="AN34" s="11">
        <f>VLOOKUP(C34,'Paid Tax'!B29:M390,12,FALSE)</f>
        <v>0</v>
      </c>
      <c r="AO34" s="11">
        <f t="shared" si="1"/>
        <v>0</v>
      </c>
      <c r="AP34" s="13">
        <v>5</v>
      </c>
      <c r="AQ34" s="16">
        <f t="shared" si="5"/>
        <v>0</v>
      </c>
      <c r="AS34" s="11">
        <f t="shared" si="6"/>
        <v>0</v>
      </c>
      <c r="AT34" s="13"/>
    </row>
    <row r="35" spans="1:46" x14ac:dyDescent="0.25">
      <c r="A35" s="12">
        <v>28</v>
      </c>
      <c r="B35" s="60" t="s">
        <v>293</v>
      </c>
      <c r="C35" s="53">
        <v>10288</v>
      </c>
      <c r="D35" s="38" t="s">
        <v>38</v>
      </c>
      <c r="E35" s="38" t="s">
        <v>39</v>
      </c>
      <c r="F35" s="37" t="s">
        <v>282</v>
      </c>
      <c r="G35" s="4">
        <v>170000</v>
      </c>
      <c r="H35" s="4"/>
      <c r="I35" s="4"/>
      <c r="J35" s="4">
        <v>50000</v>
      </c>
      <c r="K35" s="4">
        <v>50000</v>
      </c>
      <c r="L35" s="11">
        <f t="shared" si="2"/>
        <v>2140000</v>
      </c>
      <c r="M35" s="69">
        <v>0</v>
      </c>
      <c r="N35" s="71">
        <v>0</v>
      </c>
      <c r="O35" s="71">
        <v>0</v>
      </c>
      <c r="P35" s="71">
        <v>0</v>
      </c>
      <c r="Q35" s="71">
        <f>VLOOKUP(C35,Incentives!C29:K368,9,FALSE)</f>
        <v>0</v>
      </c>
      <c r="R35" s="71">
        <v>0</v>
      </c>
      <c r="S35" s="13">
        <v>0</v>
      </c>
      <c r="T35" s="13">
        <v>0</v>
      </c>
      <c r="U35" s="13"/>
      <c r="V35" s="13"/>
      <c r="Y35" s="71">
        <v>0</v>
      </c>
      <c r="Z35" s="71">
        <v>0</v>
      </c>
      <c r="AA35" s="71">
        <v>0</v>
      </c>
      <c r="AB35" s="71">
        <v>0</v>
      </c>
      <c r="AC35" s="71">
        <v>0</v>
      </c>
      <c r="AD35" s="71">
        <v>0</v>
      </c>
      <c r="AE35" s="13">
        <v>0</v>
      </c>
      <c r="AF35" s="13">
        <v>0</v>
      </c>
      <c r="AI35" s="20"/>
      <c r="AJ35" s="13"/>
      <c r="AK35" s="11">
        <f t="shared" si="3"/>
        <v>2140000</v>
      </c>
      <c r="AL35" s="11">
        <f t="shared" si="0"/>
        <v>178333.33333333334</v>
      </c>
      <c r="AM35" s="11">
        <f t="shared" si="4"/>
        <v>109400</v>
      </c>
      <c r="AN35" s="11">
        <f>VLOOKUP(C35,'Paid Tax'!B30:M391,12,FALSE)</f>
        <v>63608.333333333328</v>
      </c>
      <c r="AO35" s="11">
        <f t="shared" si="1"/>
        <v>45791.666666666672</v>
      </c>
      <c r="AP35" s="13">
        <v>5</v>
      </c>
      <c r="AQ35" s="16">
        <f t="shared" si="5"/>
        <v>9158.3333333333339</v>
      </c>
      <c r="AS35" s="11">
        <f t="shared" si="6"/>
        <v>-9158.3333333333339</v>
      </c>
      <c r="AT35" s="13"/>
    </row>
    <row r="36" spans="1:46" s="18" customFormat="1" x14ac:dyDescent="0.25">
      <c r="A36" s="12">
        <v>29</v>
      </c>
      <c r="B36" s="60" t="s">
        <v>293</v>
      </c>
      <c r="C36" s="53">
        <v>10467</v>
      </c>
      <c r="D36" s="38" t="s">
        <v>40</v>
      </c>
      <c r="E36" s="38" t="s">
        <v>433</v>
      </c>
      <c r="F36" s="37" t="s">
        <v>282</v>
      </c>
      <c r="G36" s="4">
        <v>58500</v>
      </c>
      <c r="H36" s="4"/>
      <c r="I36" s="4"/>
      <c r="J36" s="4">
        <v>8500</v>
      </c>
      <c r="K36" s="4">
        <v>8500</v>
      </c>
      <c r="L36" s="11">
        <f t="shared" si="2"/>
        <v>719000</v>
      </c>
      <c r="M36" s="69">
        <v>0</v>
      </c>
      <c r="N36" s="71">
        <v>0</v>
      </c>
      <c r="O36" s="71">
        <v>0</v>
      </c>
      <c r="P36" s="71">
        <v>0</v>
      </c>
      <c r="Q36" s="71">
        <f>VLOOKUP(C36,Incentives!C30:K369,9,FALSE)</f>
        <v>0</v>
      </c>
      <c r="R36" s="71">
        <v>0</v>
      </c>
      <c r="S36" s="13">
        <v>0</v>
      </c>
      <c r="T36" s="13">
        <v>0</v>
      </c>
      <c r="U36" s="13"/>
      <c r="V36" s="13"/>
      <c r="W36" s="13"/>
      <c r="Y36" s="71">
        <v>0</v>
      </c>
      <c r="Z36" s="71">
        <v>0</v>
      </c>
      <c r="AA36" s="71">
        <v>0</v>
      </c>
      <c r="AB36" s="71">
        <v>0</v>
      </c>
      <c r="AC36" s="71">
        <v>0</v>
      </c>
      <c r="AD36" s="71">
        <v>0</v>
      </c>
      <c r="AE36" s="13">
        <v>0</v>
      </c>
      <c r="AF36" s="13">
        <v>0</v>
      </c>
      <c r="AG36" s="13"/>
      <c r="AH36" s="13"/>
      <c r="AI36" s="20"/>
      <c r="AK36" s="11">
        <f t="shared" si="3"/>
        <v>719000</v>
      </c>
      <c r="AL36" s="11">
        <f t="shared" si="0"/>
        <v>59916.666666666664</v>
      </c>
      <c r="AM36" s="11">
        <f t="shared" si="4"/>
        <v>1190</v>
      </c>
      <c r="AN36" s="11">
        <f>VLOOKUP(C36,'Paid Tax'!B31:M392,12,FALSE)</f>
        <v>291.70454545454544</v>
      </c>
      <c r="AO36" s="11">
        <f t="shared" si="1"/>
        <v>898.2954545454545</v>
      </c>
      <c r="AP36" s="13">
        <v>5</v>
      </c>
      <c r="AQ36" s="16">
        <f t="shared" si="5"/>
        <v>179.65909090909091</v>
      </c>
      <c r="AR36" s="13"/>
      <c r="AS36" s="11">
        <v>0</v>
      </c>
      <c r="AT36" s="13" t="s">
        <v>868</v>
      </c>
    </row>
    <row r="37" spans="1:46" x14ac:dyDescent="0.25">
      <c r="A37" s="12">
        <v>30</v>
      </c>
      <c r="B37" s="60" t="s">
        <v>293</v>
      </c>
      <c r="C37" s="53">
        <v>10028</v>
      </c>
      <c r="D37" s="38" t="s">
        <v>42</v>
      </c>
      <c r="E37" s="38" t="s">
        <v>434</v>
      </c>
      <c r="F37" s="37" t="s">
        <v>283</v>
      </c>
      <c r="G37" s="4">
        <v>442651</v>
      </c>
      <c r="H37" s="4"/>
      <c r="I37" s="4"/>
      <c r="J37" s="4">
        <v>80000</v>
      </c>
      <c r="K37" s="4">
        <v>80000</v>
      </c>
      <c r="L37" s="11">
        <f t="shared" si="2"/>
        <v>5471812</v>
      </c>
      <c r="M37" s="69">
        <v>0</v>
      </c>
      <c r="N37" s="71">
        <v>0</v>
      </c>
      <c r="O37" s="71">
        <v>0</v>
      </c>
      <c r="P37" s="71">
        <v>0</v>
      </c>
      <c r="Q37" s="71">
        <f>VLOOKUP(C37,Incentives!C31:K370,9,FALSE)</f>
        <v>0</v>
      </c>
      <c r="R37" s="71">
        <v>0</v>
      </c>
      <c r="S37" s="13">
        <v>0</v>
      </c>
      <c r="T37" s="13">
        <v>0</v>
      </c>
      <c r="U37" s="13"/>
      <c r="V37" s="13"/>
      <c r="Y37" s="71">
        <v>0</v>
      </c>
      <c r="Z37" s="71">
        <v>118716</v>
      </c>
      <c r="AA37" s="71">
        <v>93128</v>
      </c>
      <c r="AB37" s="71">
        <v>0</v>
      </c>
      <c r="AC37" s="71">
        <v>89067</v>
      </c>
      <c r="AD37" s="71">
        <v>0</v>
      </c>
      <c r="AE37" s="13">
        <v>0</v>
      </c>
      <c r="AF37" s="13">
        <v>0</v>
      </c>
      <c r="AI37" s="20"/>
      <c r="AJ37" s="13"/>
      <c r="AK37" s="11">
        <f t="shared" si="3"/>
        <v>5772723</v>
      </c>
      <c r="AL37" s="11">
        <f t="shared" si="0"/>
        <v>481060.25</v>
      </c>
      <c r="AM37" s="11">
        <f t="shared" si="4"/>
        <v>1201453.0499999998</v>
      </c>
      <c r="AN37" s="11">
        <f>VLOOKUP(C37,'Paid Tax'!B32:M393,12,FALSE)</f>
        <v>689002.41799242375</v>
      </c>
      <c r="AO37" s="11">
        <f t="shared" si="1"/>
        <v>512450.63200757606</v>
      </c>
      <c r="AP37" s="13">
        <v>5</v>
      </c>
      <c r="AQ37" s="16">
        <f t="shared" si="5"/>
        <v>102490.12640151521</v>
      </c>
      <c r="AS37" s="11">
        <f t="shared" si="6"/>
        <v>-102490.12640151521</v>
      </c>
      <c r="AT37" s="13"/>
    </row>
    <row r="38" spans="1:46" s="18" customFormat="1" x14ac:dyDescent="0.25">
      <c r="A38" s="12">
        <v>31</v>
      </c>
      <c r="B38" s="60" t="s">
        <v>293</v>
      </c>
      <c r="C38" s="53">
        <v>10030</v>
      </c>
      <c r="D38" s="38" t="s">
        <v>43</v>
      </c>
      <c r="E38" s="38" t="s">
        <v>435</v>
      </c>
      <c r="F38" s="37" t="s">
        <v>283</v>
      </c>
      <c r="G38" s="4">
        <v>123614</v>
      </c>
      <c r="H38" s="4"/>
      <c r="I38" s="4"/>
      <c r="J38" s="4">
        <v>40000</v>
      </c>
      <c r="K38" s="4">
        <v>40000</v>
      </c>
      <c r="L38" s="11">
        <f t="shared" si="2"/>
        <v>1563368</v>
      </c>
      <c r="M38" s="69">
        <v>0</v>
      </c>
      <c r="N38" s="71">
        <v>0</v>
      </c>
      <c r="O38" s="71">
        <v>0</v>
      </c>
      <c r="P38" s="71">
        <v>0</v>
      </c>
      <c r="Q38" s="71">
        <f>VLOOKUP(C38,Incentives!C32:K371,9,FALSE)</f>
        <v>0</v>
      </c>
      <c r="R38" s="71">
        <v>0</v>
      </c>
      <c r="S38" s="13">
        <v>0</v>
      </c>
      <c r="T38" s="13">
        <v>0</v>
      </c>
      <c r="U38" s="13"/>
      <c r="V38" s="13"/>
      <c r="W38" s="13"/>
      <c r="Y38" s="71">
        <v>8884</v>
      </c>
      <c r="Z38" s="71">
        <v>96506</v>
      </c>
      <c r="AA38" s="71">
        <v>237930</v>
      </c>
      <c r="AB38" s="71">
        <v>9736</v>
      </c>
      <c r="AC38" s="71">
        <v>199126</v>
      </c>
      <c r="AD38" s="71">
        <v>192710</v>
      </c>
      <c r="AE38" s="13">
        <v>5613</v>
      </c>
      <c r="AF38" s="13">
        <v>3375</v>
      </c>
      <c r="AG38" s="13"/>
      <c r="AH38" s="13"/>
      <c r="AI38" s="20"/>
      <c r="AK38" s="11">
        <f t="shared" si="3"/>
        <v>2317248</v>
      </c>
      <c r="AL38" s="11">
        <f t="shared" si="0"/>
        <v>193104</v>
      </c>
      <c r="AM38" s="11">
        <f t="shared" si="4"/>
        <v>142967.04000000001</v>
      </c>
      <c r="AN38" s="11">
        <f>VLOOKUP(C38,'Paid Tax'!B33:M394,12,FALSE)</f>
        <v>64769.479484126998</v>
      </c>
      <c r="AO38" s="11">
        <f t="shared" si="1"/>
        <v>78197.560515873018</v>
      </c>
      <c r="AP38" s="13">
        <v>5</v>
      </c>
      <c r="AQ38" s="16">
        <f t="shared" si="5"/>
        <v>15639.512103174604</v>
      </c>
      <c r="AR38" s="13"/>
      <c r="AS38" s="11">
        <f t="shared" si="6"/>
        <v>-15639.512103174604</v>
      </c>
      <c r="AT38" s="13"/>
    </row>
    <row r="39" spans="1:46" x14ac:dyDescent="0.25">
      <c r="A39" s="12">
        <v>32</v>
      </c>
      <c r="B39" s="60" t="s">
        <v>293</v>
      </c>
      <c r="C39" s="53">
        <v>10031</v>
      </c>
      <c r="D39" s="38" t="s">
        <v>45</v>
      </c>
      <c r="E39" s="38" t="s">
        <v>44</v>
      </c>
      <c r="F39" s="37" t="s">
        <v>283</v>
      </c>
      <c r="G39" s="4">
        <f>75640</f>
        <v>75640</v>
      </c>
      <c r="H39" s="4">
        <f>20000*10</f>
        <v>200000</v>
      </c>
      <c r="I39" s="4"/>
      <c r="J39" s="4">
        <f>40000+40000+40000+40000</f>
        <v>160000</v>
      </c>
      <c r="K39" s="4">
        <v>0</v>
      </c>
      <c r="L39" s="11">
        <f t="shared" si="2"/>
        <v>1267680</v>
      </c>
      <c r="M39" s="69">
        <v>0</v>
      </c>
      <c r="N39" s="71">
        <v>0</v>
      </c>
      <c r="O39" s="71">
        <v>0</v>
      </c>
      <c r="P39" s="71">
        <v>0</v>
      </c>
      <c r="Q39" s="71">
        <f>VLOOKUP(C39,Incentives!C33:K372,9,FALSE)</f>
        <v>0</v>
      </c>
      <c r="R39" s="71">
        <v>0</v>
      </c>
      <c r="S39" s="13">
        <v>0</v>
      </c>
      <c r="T39" s="13">
        <v>0</v>
      </c>
      <c r="U39" s="13"/>
      <c r="V39" s="13"/>
      <c r="Y39" s="71">
        <v>0</v>
      </c>
      <c r="Z39" s="71">
        <v>0</v>
      </c>
      <c r="AA39" s="71">
        <v>30525</v>
      </c>
      <c r="AB39" s="71">
        <v>0</v>
      </c>
      <c r="AC39" s="71">
        <v>12400</v>
      </c>
      <c r="AD39" s="71">
        <v>0</v>
      </c>
      <c r="AE39" s="13">
        <v>3248</v>
      </c>
      <c r="AF39" s="13">
        <v>1416</v>
      </c>
      <c r="AI39" s="20"/>
      <c r="AJ39" s="13"/>
      <c r="AK39" s="11">
        <f t="shared" si="3"/>
        <v>1315269</v>
      </c>
      <c r="AL39" s="11">
        <f t="shared" si="0"/>
        <v>109605.75</v>
      </c>
      <c r="AM39" s="11">
        <f t="shared" si="4"/>
        <v>18679.59</v>
      </c>
      <c r="AN39" s="11">
        <f>VLOOKUP(C39,'Paid Tax'!B34:M395,12,FALSE)</f>
        <v>7612.7378703703725</v>
      </c>
      <c r="AO39" s="11">
        <f t="shared" si="1"/>
        <v>11066.852129629628</v>
      </c>
      <c r="AP39" s="13">
        <v>5</v>
      </c>
      <c r="AQ39" s="16">
        <f t="shared" si="5"/>
        <v>2213.3704259259257</v>
      </c>
      <c r="AS39" s="11">
        <f t="shared" si="6"/>
        <v>-2213.3704259259257</v>
      </c>
      <c r="AT39" s="13"/>
    </row>
    <row r="40" spans="1:46" x14ac:dyDescent="0.25">
      <c r="A40" s="12">
        <v>33</v>
      </c>
      <c r="B40" s="60" t="s">
        <v>293</v>
      </c>
      <c r="C40" s="53">
        <v>10032</v>
      </c>
      <c r="D40" s="38" t="s">
        <v>46</v>
      </c>
      <c r="E40" s="38" t="s">
        <v>144</v>
      </c>
      <c r="F40" s="37" t="s">
        <v>283</v>
      </c>
      <c r="G40" s="4">
        <v>75843</v>
      </c>
      <c r="H40" s="4"/>
      <c r="I40" s="4"/>
      <c r="J40" s="4">
        <v>17500</v>
      </c>
      <c r="K40" s="4">
        <v>17500</v>
      </c>
      <c r="L40" s="11">
        <f t="shared" si="2"/>
        <v>945116</v>
      </c>
      <c r="M40" s="69">
        <v>0</v>
      </c>
      <c r="N40" s="71">
        <v>0</v>
      </c>
      <c r="O40" s="71">
        <v>0</v>
      </c>
      <c r="P40" s="71">
        <v>0</v>
      </c>
      <c r="Q40" s="71">
        <f>VLOOKUP(C40,Incentives!C34:K373,9,FALSE)</f>
        <v>0</v>
      </c>
      <c r="R40" s="71">
        <v>0</v>
      </c>
      <c r="S40" s="13">
        <v>0</v>
      </c>
      <c r="T40" s="13">
        <v>0</v>
      </c>
      <c r="U40" s="13"/>
      <c r="V40" s="13"/>
      <c r="Y40" s="71">
        <v>0</v>
      </c>
      <c r="Z40" s="71">
        <v>10075</v>
      </c>
      <c r="AA40" s="71">
        <v>8375</v>
      </c>
      <c r="AB40" s="71">
        <v>4315</v>
      </c>
      <c r="AC40" s="71">
        <v>3828</v>
      </c>
      <c r="AD40" s="71">
        <v>3652</v>
      </c>
      <c r="AE40" s="13">
        <v>5637</v>
      </c>
      <c r="AF40" s="13">
        <v>2219</v>
      </c>
      <c r="AI40" s="20"/>
      <c r="AJ40" s="13"/>
      <c r="AK40" s="11">
        <f t="shared" si="3"/>
        <v>983217</v>
      </c>
      <c r="AL40" s="11">
        <f t="shared" si="0"/>
        <v>81934.75</v>
      </c>
      <c r="AM40" s="11">
        <f t="shared" si="4"/>
        <v>3832.17</v>
      </c>
      <c r="AN40" s="11">
        <f>VLOOKUP(C40,'Paid Tax'!B35:M396,12,FALSE)</f>
        <v>2156.7394877344873</v>
      </c>
      <c r="AO40" s="11">
        <f t="shared" si="1"/>
        <v>1675.4305122655128</v>
      </c>
      <c r="AP40" s="13">
        <v>5</v>
      </c>
      <c r="AQ40" s="16">
        <f t="shared" si="5"/>
        <v>335.08610245310257</v>
      </c>
      <c r="AS40" s="11">
        <f t="shared" si="6"/>
        <v>-335.08610245310257</v>
      </c>
      <c r="AT40" s="13"/>
    </row>
    <row r="41" spans="1:46" x14ac:dyDescent="0.25">
      <c r="A41" s="12">
        <v>34</v>
      </c>
      <c r="B41" s="60" t="s">
        <v>293</v>
      </c>
      <c r="C41" s="53">
        <v>10034</v>
      </c>
      <c r="D41" s="38" t="s">
        <v>48</v>
      </c>
      <c r="E41" s="38" t="s">
        <v>47</v>
      </c>
      <c r="F41" s="37" t="s">
        <v>283</v>
      </c>
      <c r="G41" s="4">
        <v>72589</v>
      </c>
      <c r="H41" s="4"/>
      <c r="I41" s="4"/>
      <c r="J41" s="4">
        <v>15000</v>
      </c>
      <c r="K41" s="4">
        <v>15000</v>
      </c>
      <c r="L41" s="11">
        <f t="shared" si="2"/>
        <v>901068</v>
      </c>
      <c r="M41" s="69">
        <v>0</v>
      </c>
      <c r="N41" s="71">
        <v>0</v>
      </c>
      <c r="O41" s="71">
        <v>0</v>
      </c>
      <c r="P41" s="71">
        <v>0</v>
      </c>
      <c r="Q41" s="71">
        <f>VLOOKUP(C41,Incentives!C35:K374,9,FALSE)</f>
        <v>0</v>
      </c>
      <c r="R41" s="71">
        <v>0</v>
      </c>
      <c r="S41" s="13">
        <v>0</v>
      </c>
      <c r="T41" s="13">
        <v>0</v>
      </c>
      <c r="U41" s="13"/>
      <c r="V41" s="13"/>
      <c r="Y41" s="71">
        <v>5000</v>
      </c>
      <c r="Z41" s="71">
        <v>14685</v>
      </c>
      <c r="AA41" s="71">
        <v>11410</v>
      </c>
      <c r="AB41" s="71">
        <v>750</v>
      </c>
      <c r="AC41" s="71">
        <v>15350</v>
      </c>
      <c r="AD41" s="71">
        <v>2250</v>
      </c>
      <c r="AE41" s="13">
        <v>0</v>
      </c>
      <c r="AF41" s="13">
        <v>4204</v>
      </c>
      <c r="AI41" s="20"/>
      <c r="AJ41" s="13"/>
      <c r="AK41" s="11">
        <f t="shared" si="3"/>
        <v>954717</v>
      </c>
      <c r="AL41" s="11">
        <f t="shared" si="0"/>
        <v>79559.75</v>
      </c>
      <c r="AM41" s="11">
        <f t="shared" si="4"/>
        <v>3547.17</v>
      </c>
      <c r="AN41" s="11">
        <f>VLOOKUP(C41,'Paid Tax'!B36:M397,12,FALSE)</f>
        <v>1984.1892532467532</v>
      </c>
      <c r="AO41" s="11">
        <f t="shared" si="1"/>
        <v>1562.9807467532469</v>
      </c>
      <c r="AP41" s="13">
        <v>5</v>
      </c>
      <c r="AQ41" s="16">
        <f t="shared" si="5"/>
        <v>312.5961493506494</v>
      </c>
      <c r="AS41" s="11">
        <f t="shared" si="6"/>
        <v>-312.5961493506494</v>
      </c>
      <c r="AT41" s="13"/>
    </row>
    <row r="42" spans="1:46" x14ac:dyDescent="0.25">
      <c r="A42" s="12">
        <v>35</v>
      </c>
      <c r="B42" s="60" t="s">
        <v>293</v>
      </c>
      <c r="C42" s="53">
        <v>10543</v>
      </c>
      <c r="D42" s="38" t="s">
        <v>412</v>
      </c>
      <c r="E42" s="38" t="s">
        <v>49</v>
      </c>
      <c r="F42" s="37" t="s">
        <v>283</v>
      </c>
      <c r="G42" s="4">
        <v>45000</v>
      </c>
      <c r="H42" s="4"/>
      <c r="I42" s="4"/>
      <c r="J42" s="4">
        <v>0</v>
      </c>
      <c r="K42" s="4">
        <v>0</v>
      </c>
      <c r="L42" s="11">
        <f t="shared" si="2"/>
        <v>540000</v>
      </c>
      <c r="M42" s="69">
        <v>0</v>
      </c>
      <c r="N42" s="71">
        <v>0</v>
      </c>
      <c r="O42" s="71">
        <v>0</v>
      </c>
      <c r="P42" s="71">
        <v>0</v>
      </c>
      <c r="Q42" s="71">
        <f>VLOOKUP(C42,Incentives!C36:K375,9,FALSE)</f>
        <v>0</v>
      </c>
      <c r="R42" s="71">
        <v>0</v>
      </c>
      <c r="S42" s="13">
        <v>0</v>
      </c>
      <c r="T42" s="13">
        <v>0</v>
      </c>
      <c r="U42" s="13"/>
      <c r="V42" s="13"/>
      <c r="Y42" s="71">
        <v>0</v>
      </c>
      <c r="Z42" s="71">
        <v>0</v>
      </c>
      <c r="AA42" s="71">
        <v>0</v>
      </c>
      <c r="AB42" s="71">
        <v>0</v>
      </c>
      <c r="AC42" s="71">
        <v>0</v>
      </c>
      <c r="AD42" s="71">
        <v>0</v>
      </c>
      <c r="AE42" s="13">
        <v>0</v>
      </c>
      <c r="AF42" s="13">
        <v>0</v>
      </c>
      <c r="AI42" s="20"/>
      <c r="AJ42" s="13"/>
      <c r="AK42" s="11">
        <f t="shared" si="3"/>
        <v>540000</v>
      </c>
      <c r="AL42" s="11">
        <f t="shared" si="0"/>
        <v>45000</v>
      </c>
      <c r="AM42" s="11">
        <f t="shared" si="4"/>
        <v>0</v>
      </c>
      <c r="AN42" s="11">
        <f>VLOOKUP(C42,'Paid Tax'!B37:M398,12,FALSE)</f>
        <v>0</v>
      </c>
      <c r="AO42" s="11">
        <f t="shared" si="1"/>
        <v>0</v>
      </c>
      <c r="AP42" s="13">
        <v>5</v>
      </c>
      <c r="AQ42" s="16">
        <f t="shared" si="5"/>
        <v>0</v>
      </c>
      <c r="AS42" s="11">
        <f t="shared" si="6"/>
        <v>0</v>
      </c>
      <c r="AT42" s="13"/>
    </row>
    <row r="43" spans="1:46" x14ac:dyDescent="0.25">
      <c r="A43" s="12">
        <v>36</v>
      </c>
      <c r="B43" s="60" t="s">
        <v>293</v>
      </c>
      <c r="C43" s="53">
        <v>10544</v>
      </c>
      <c r="D43" s="38" t="s">
        <v>323</v>
      </c>
      <c r="E43" s="38" t="s">
        <v>436</v>
      </c>
      <c r="F43" s="37" t="s">
        <v>283</v>
      </c>
      <c r="G43" s="4">
        <v>50000</v>
      </c>
      <c r="H43" s="4"/>
      <c r="I43" s="4"/>
      <c r="J43" s="4">
        <v>0</v>
      </c>
      <c r="K43" s="4">
        <v>0</v>
      </c>
      <c r="L43" s="11">
        <f t="shared" si="2"/>
        <v>600000</v>
      </c>
      <c r="M43" s="69">
        <v>0</v>
      </c>
      <c r="N43" s="71">
        <v>0</v>
      </c>
      <c r="O43" s="71">
        <v>0</v>
      </c>
      <c r="P43" s="71">
        <v>0</v>
      </c>
      <c r="Q43" s="71">
        <f>VLOOKUP(C43,Incentives!C37:K376,9,FALSE)</f>
        <v>0</v>
      </c>
      <c r="R43" s="71">
        <v>0</v>
      </c>
      <c r="S43" s="13">
        <v>0</v>
      </c>
      <c r="T43" s="13">
        <v>0</v>
      </c>
      <c r="U43" s="13"/>
      <c r="V43" s="13"/>
      <c r="Y43" s="71">
        <v>0</v>
      </c>
      <c r="Z43" s="71">
        <v>0</v>
      </c>
      <c r="AA43" s="71">
        <v>0</v>
      </c>
      <c r="AB43" s="71">
        <v>0</v>
      </c>
      <c r="AC43" s="71">
        <v>0</v>
      </c>
      <c r="AD43" s="71">
        <v>0</v>
      </c>
      <c r="AE43" s="13">
        <v>0</v>
      </c>
      <c r="AF43" s="13">
        <v>0</v>
      </c>
      <c r="AI43" s="20"/>
      <c r="AJ43" s="13"/>
      <c r="AK43" s="11">
        <f t="shared" si="3"/>
        <v>600000</v>
      </c>
      <c r="AL43" s="11">
        <f t="shared" si="0"/>
        <v>50000</v>
      </c>
      <c r="AM43" s="11">
        <f t="shared" si="4"/>
        <v>0</v>
      </c>
      <c r="AN43" s="11">
        <f>VLOOKUP(C43,'Paid Tax'!B38:M399,12,FALSE)</f>
        <v>0</v>
      </c>
      <c r="AO43" s="11">
        <f t="shared" si="1"/>
        <v>0</v>
      </c>
      <c r="AP43" s="13">
        <v>5</v>
      </c>
      <c r="AQ43" s="16">
        <f t="shared" si="5"/>
        <v>0</v>
      </c>
      <c r="AS43" s="11">
        <f t="shared" si="6"/>
        <v>0</v>
      </c>
      <c r="AT43" s="13"/>
    </row>
    <row r="44" spans="1:46" x14ac:dyDescent="0.25">
      <c r="A44" s="12">
        <v>37</v>
      </c>
      <c r="B44" s="60" t="s">
        <v>293</v>
      </c>
      <c r="C44" s="53">
        <v>10035</v>
      </c>
      <c r="D44" s="38" t="s">
        <v>50</v>
      </c>
      <c r="E44" s="38" t="s">
        <v>51</v>
      </c>
      <c r="F44" s="37" t="s">
        <v>275</v>
      </c>
      <c r="G44" s="4">
        <v>45671</v>
      </c>
      <c r="H44" s="4"/>
      <c r="I44" s="4"/>
      <c r="J44" s="4">
        <v>5000</v>
      </c>
      <c r="K44" s="4">
        <v>5000</v>
      </c>
      <c r="L44" s="11">
        <f t="shared" si="2"/>
        <v>558052</v>
      </c>
      <c r="M44" s="69">
        <v>0</v>
      </c>
      <c r="N44" s="71">
        <v>0</v>
      </c>
      <c r="O44" s="71">
        <v>0</v>
      </c>
      <c r="P44" s="71">
        <v>0</v>
      </c>
      <c r="Q44" s="71">
        <f>VLOOKUP(C44,Incentives!C38:K377,9,FALSE)</f>
        <v>0</v>
      </c>
      <c r="R44" s="71">
        <v>0</v>
      </c>
      <c r="S44" s="13">
        <v>0</v>
      </c>
      <c r="T44" s="13">
        <v>0</v>
      </c>
      <c r="U44" s="13"/>
      <c r="V44" s="13"/>
      <c r="Y44" s="71">
        <v>0</v>
      </c>
      <c r="Z44" s="71">
        <v>0</v>
      </c>
      <c r="AA44" s="71">
        <v>0</v>
      </c>
      <c r="AB44" s="71">
        <v>0</v>
      </c>
      <c r="AC44" s="71">
        <v>0</v>
      </c>
      <c r="AD44" s="71">
        <v>0</v>
      </c>
      <c r="AE44" s="13">
        <v>0</v>
      </c>
      <c r="AF44" s="13">
        <v>0</v>
      </c>
      <c r="AI44" s="20"/>
      <c r="AJ44" s="13"/>
      <c r="AK44" s="11">
        <f t="shared" si="3"/>
        <v>558052</v>
      </c>
      <c r="AL44" s="11">
        <f t="shared" si="0"/>
        <v>46504.333333333336</v>
      </c>
      <c r="AM44" s="11">
        <f t="shared" si="4"/>
        <v>0</v>
      </c>
      <c r="AN44" s="11">
        <f>VLOOKUP(C44,'Paid Tax'!B39:M400,12,FALSE)</f>
        <v>0</v>
      </c>
      <c r="AO44" s="11">
        <f t="shared" si="1"/>
        <v>0</v>
      </c>
      <c r="AP44" s="13">
        <v>5</v>
      </c>
      <c r="AQ44" s="16">
        <f t="shared" si="5"/>
        <v>0</v>
      </c>
      <c r="AS44" s="11">
        <f t="shared" si="6"/>
        <v>0</v>
      </c>
      <c r="AT44" s="13"/>
    </row>
    <row r="45" spans="1:46" x14ac:dyDescent="0.25">
      <c r="A45" s="12">
        <v>38</v>
      </c>
      <c r="B45" s="60" t="s">
        <v>293</v>
      </c>
      <c r="C45" s="53">
        <v>10037</v>
      </c>
      <c r="D45" s="38" t="s">
        <v>52</v>
      </c>
      <c r="E45" s="38" t="s">
        <v>53</v>
      </c>
      <c r="F45" s="37" t="s">
        <v>275</v>
      </c>
      <c r="G45" s="4">
        <v>63897</v>
      </c>
      <c r="H45" s="4"/>
      <c r="I45" s="4"/>
      <c r="J45" s="4">
        <v>10000</v>
      </c>
      <c r="K45" s="4">
        <v>10000</v>
      </c>
      <c r="L45" s="11">
        <f t="shared" si="2"/>
        <v>786764</v>
      </c>
      <c r="M45" s="69">
        <v>0</v>
      </c>
      <c r="N45" s="71">
        <v>0</v>
      </c>
      <c r="O45" s="71">
        <v>0</v>
      </c>
      <c r="P45" s="71">
        <v>0</v>
      </c>
      <c r="Q45" s="71">
        <f>VLOOKUP(C45,Incentives!C39:K378,9,FALSE)</f>
        <v>0</v>
      </c>
      <c r="R45" s="71">
        <v>0</v>
      </c>
      <c r="S45" s="13">
        <v>0</v>
      </c>
      <c r="T45" s="13">
        <v>0</v>
      </c>
      <c r="U45" s="13"/>
      <c r="V45" s="13"/>
      <c r="Y45" s="71">
        <v>0</v>
      </c>
      <c r="Z45" s="71">
        <v>0</v>
      </c>
      <c r="AA45" s="71">
        <v>0</v>
      </c>
      <c r="AB45" s="71">
        <v>0</v>
      </c>
      <c r="AC45" s="71">
        <v>0</v>
      </c>
      <c r="AD45" s="71">
        <v>0</v>
      </c>
      <c r="AE45" s="13">
        <v>0</v>
      </c>
      <c r="AF45" s="13">
        <v>0</v>
      </c>
      <c r="AI45" s="22"/>
      <c r="AJ45" s="18"/>
      <c r="AK45" s="11">
        <f t="shared" si="3"/>
        <v>786764</v>
      </c>
      <c r="AL45" s="11">
        <f t="shared" si="0"/>
        <v>65563.666666666672</v>
      </c>
      <c r="AM45" s="11">
        <f t="shared" si="4"/>
        <v>1867.64</v>
      </c>
      <c r="AN45" s="11">
        <f>VLOOKUP(C45,'Paid Tax'!B40:M401,12,FALSE)</f>
        <v>1085.6687878787873</v>
      </c>
      <c r="AO45" s="11">
        <f t="shared" si="1"/>
        <v>781.97121212121283</v>
      </c>
      <c r="AP45" s="13">
        <v>5</v>
      </c>
      <c r="AQ45" s="16">
        <f t="shared" si="5"/>
        <v>156.39424242424258</v>
      </c>
      <c r="AS45" s="11">
        <f t="shared" si="6"/>
        <v>-156.39424242424258</v>
      </c>
      <c r="AT45" s="18"/>
    </row>
    <row r="46" spans="1:46" s="18" customFormat="1" x14ac:dyDescent="0.25">
      <c r="A46" s="12">
        <v>39</v>
      </c>
      <c r="B46" s="60" t="s">
        <v>293</v>
      </c>
      <c r="C46" s="53">
        <v>10038</v>
      </c>
      <c r="D46" s="38" t="s">
        <v>54</v>
      </c>
      <c r="E46" s="38" t="s">
        <v>55</v>
      </c>
      <c r="F46" s="37" t="s">
        <v>275</v>
      </c>
      <c r="G46" s="4">
        <v>59662</v>
      </c>
      <c r="H46" s="4"/>
      <c r="I46" s="4"/>
      <c r="J46" s="4">
        <v>8000</v>
      </c>
      <c r="K46" s="4">
        <v>8000</v>
      </c>
      <c r="L46" s="11">
        <f t="shared" si="2"/>
        <v>731944</v>
      </c>
      <c r="M46" s="69">
        <v>0</v>
      </c>
      <c r="N46" s="71">
        <v>0</v>
      </c>
      <c r="O46" s="71">
        <v>0</v>
      </c>
      <c r="P46" s="71">
        <v>0</v>
      </c>
      <c r="Q46" s="71">
        <f>VLOOKUP(C46,Incentives!C40:K379,9,FALSE)</f>
        <v>0</v>
      </c>
      <c r="R46" s="71">
        <v>0</v>
      </c>
      <c r="S46" s="13">
        <v>0</v>
      </c>
      <c r="T46" s="13">
        <v>0</v>
      </c>
      <c r="U46" s="13"/>
      <c r="V46" s="13"/>
      <c r="W46" s="13"/>
      <c r="Y46" s="71">
        <v>0</v>
      </c>
      <c r="Z46" s="71">
        <v>0</v>
      </c>
      <c r="AA46" s="71">
        <v>0</v>
      </c>
      <c r="AB46" s="71">
        <v>0</v>
      </c>
      <c r="AC46" s="71">
        <v>0</v>
      </c>
      <c r="AD46" s="71">
        <v>0</v>
      </c>
      <c r="AE46" s="13">
        <v>0</v>
      </c>
      <c r="AF46" s="13">
        <v>0</v>
      </c>
      <c r="AG46" s="13"/>
      <c r="AH46" s="13"/>
      <c r="AI46" s="20"/>
      <c r="AK46" s="11">
        <f t="shared" si="3"/>
        <v>731944</v>
      </c>
      <c r="AL46" s="11">
        <f t="shared" si="0"/>
        <v>60995.333333333336</v>
      </c>
      <c r="AM46" s="11">
        <f t="shared" si="4"/>
        <v>1319.44</v>
      </c>
      <c r="AN46" s="11">
        <f>VLOOKUP(C46,'Paid Tax'!B41:M402,12,FALSE)</f>
        <v>766.64303030303063</v>
      </c>
      <c r="AO46" s="11">
        <f t="shared" si="1"/>
        <v>552.79696969696943</v>
      </c>
      <c r="AP46" s="13">
        <v>5</v>
      </c>
      <c r="AQ46" s="16">
        <f t="shared" si="5"/>
        <v>110.55939393939389</v>
      </c>
      <c r="AR46" s="13"/>
      <c r="AS46" s="11">
        <f t="shared" si="6"/>
        <v>-110.55939393939389</v>
      </c>
      <c r="AT46" s="13"/>
    </row>
    <row r="47" spans="1:46" x14ac:dyDescent="0.25">
      <c r="A47" s="12">
        <v>40</v>
      </c>
      <c r="B47" s="60" t="s">
        <v>293</v>
      </c>
      <c r="C47" s="53">
        <v>10039</v>
      </c>
      <c r="D47" s="38" t="s">
        <v>56</v>
      </c>
      <c r="E47" s="38" t="s">
        <v>53</v>
      </c>
      <c r="F47" s="37" t="s">
        <v>275</v>
      </c>
      <c r="G47" s="4">
        <v>54023.000000000007</v>
      </c>
      <c r="H47" s="4"/>
      <c r="I47" s="4"/>
      <c r="J47" s="4">
        <v>8000</v>
      </c>
      <c r="K47" s="4">
        <v>8000</v>
      </c>
      <c r="L47" s="11">
        <f t="shared" si="2"/>
        <v>664276.00000000012</v>
      </c>
      <c r="M47" s="69">
        <v>0</v>
      </c>
      <c r="N47" s="71">
        <v>0</v>
      </c>
      <c r="O47" s="71">
        <v>0</v>
      </c>
      <c r="P47" s="71">
        <v>0</v>
      </c>
      <c r="Q47" s="71">
        <f>VLOOKUP(C47,Incentives!C41:K380,9,FALSE)</f>
        <v>0</v>
      </c>
      <c r="R47" s="71">
        <v>0</v>
      </c>
      <c r="S47" s="13">
        <v>0</v>
      </c>
      <c r="T47" s="13">
        <v>0</v>
      </c>
      <c r="U47" s="13"/>
      <c r="V47" s="13"/>
      <c r="Y47" s="71">
        <v>0</v>
      </c>
      <c r="Z47" s="71">
        <v>0</v>
      </c>
      <c r="AA47" s="71">
        <v>0</v>
      </c>
      <c r="AB47" s="71">
        <v>0</v>
      </c>
      <c r="AC47" s="71">
        <v>0</v>
      </c>
      <c r="AD47" s="71">
        <v>0</v>
      </c>
      <c r="AE47" s="13">
        <v>0</v>
      </c>
      <c r="AF47" s="13">
        <v>0</v>
      </c>
      <c r="AI47" s="20"/>
      <c r="AJ47" s="13"/>
      <c r="AK47" s="11">
        <f t="shared" si="3"/>
        <v>664276.00000000012</v>
      </c>
      <c r="AL47" s="11">
        <f t="shared" si="0"/>
        <v>55356.333333333343</v>
      </c>
      <c r="AM47" s="11">
        <f t="shared" si="4"/>
        <v>642.76000000000113</v>
      </c>
      <c r="AN47" s="11">
        <f>VLOOKUP(C47,'Paid Tax'!B42:M403,12,FALSE)</f>
        <v>371.91303030303089</v>
      </c>
      <c r="AO47" s="11">
        <f t="shared" si="1"/>
        <v>270.84696969697023</v>
      </c>
      <c r="AP47" s="13">
        <v>5</v>
      </c>
      <c r="AQ47" s="16">
        <f t="shared" si="5"/>
        <v>54.169393939394048</v>
      </c>
      <c r="AS47" s="11">
        <f t="shared" si="6"/>
        <v>-54.169393939394048</v>
      </c>
      <c r="AT47" s="13"/>
    </row>
    <row r="48" spans="1:46" x14ac:dyDescent="0.25">
      <c r="A48" s="12">
        <v>41</v>
      </c>
      <c r="B48" s="60" t="s">
        <v>293</v>
      </c>
      <c r="C48" s="53">
        <v>10299</v>
      </c>
      <c r="D48" s="38" t="s">
        <v>57</v>
      </c>
      <c r="E48" s="38" t="s">
        <v>55</v>
      </c>
      <c r="F48" s="37" t="s">
        <v>275</v>
      </c>
      <c r="G48" s="4">
        <v>33143</v>
      </c>
      <c r="H48" s="4"/>
      <c r="I48" s="4"/>
      <c r="J48" s="4">
        <v>3483</v>
      </c>
      <c r="K48" s="4">
        <v>3483</v>
      </c>
      <c r="L48" s="11">
        <f t="shared" si="2"/>
        <v>404682</v>
      </c>
      <c r="M48" s="69">
        <v>0</v>
      </c>
      <c r="N48" s="71">
        <v>0</v>
      </c>
      <c r="O48" s="71">
        <v>0</v>
      </c>
      <c r="P48" s="71">
        <v>0</v>
      </c>
      <c r="Q48" s="71">
        <f>VLOOKUP(C48,Incentives!C42:K381,9,FALSE)</f>
        <v>0</v>
      </c>
      <c r="R48" s="71">
        <v>0</v>
      </c>
      <c r="S48" s="13">
        <v>0</v>
      </c>
      <c r="T48" s="13">
        <v>0</v>
      </c>
      <c r="U48" s="13"/>
      <c r="V48" s="13"/>
      <c r="Y48" s="71">
        <v>0</v>
      </c>
      <c r="Z48" s="71">
        <v>0</v>
      </c>
      <c r="AA48" s="71">
        <v>0</v>
      </c>
      <c r="AB48" s="71">
        <v>0</v>
      </c>
      <c r="AC48" s="71">
        <v>0</v>
      </c>
      <c r="AD48" s="71">
        <v>0</v>
      </c>
      <c r="AE48" s="13">
        <v>0</v>
      </c>
      <c r="AF48" s="13">
        <v>0</v>
      </c>
      <c r="AI48" s="20"/>
      <c r="AJ48" s="13"/>
      <c r="AK48" s="11">
        <f t="shared" si="3"/>
        <v>404682</v>
      </c>
      <c r="AL48" s="11">
        <f t="shared" si="0"/>
        <v>33723.5</v>
      </c>
      <c r="AM48" s="11">
        <f t="shared" si="4"/>
        <v>0</v>
      </c>
      <c r="AN48" s="11">
        <f>VLOOKUP(C48,'Paid Tax'!B43:M404,12,FALSE)</f>
        <v>0</v>
      </c>
      <c r="AO48" s="11">
        <f t="shared" si="1"/>
        <v>0</v>
      </c>
      <c r="AP48" s="13">
        <v>5</v>
      </c>
      <c r="AQ48" s="16">
        <f t="shared" si="5"/>
        <v>0</v>
      </c>
      <c r="AS48" s="11">
        <f t="shared" si="6"/>
        <v>0</v>
      </c>
      <c r="AT48" s="13"/>
    </row>
    <row r="49" spans="1:46" x14ac:dyDescent="0.25">
      <c r="A49" s="12">
        <v>42</v>
      </c>
      <c r="B49" s="60" t="s">
        <v>293</v>
      </c>
      <c r="C49" s="53">
        <v>10300</v>
      </c>
      <c r="D49" s="38" t="s">
        <v>58</v>
      </c>
      <c r="E49" s="38" t="s">
        <v>55</v>
      </c>
      <c r="F49" s="37" t="s">
        <v>275</v>
      </c>
      <c r="G49" s="4">
        <v>33143</v>
      </c>
      <c r="H49" s="4"/>
      <c r="I49" s="4"/>
      <c r="J49" s="4">
        <v>3483</v>
      </c>
      <c r="K49" s="4">
        <v>3483</v>
      </c>
      <c r="L49" s="11">
        <f t="shared" si="2"/>
        <v>404682</v>
      </c>
      <c r="M49" s="69">
        <v>0</v>
      </c>
      <c r="N49" s="71">
        <v>0</v>
      </c>
      <c r="O49" s="71">
        <v>0</v>
      </c>
      <c r="P49" s="71">
        <v>0</v>
      </c>
      <c r="Q49" s="71">
        <f>VLOOKUP(C49,Incentives!C43:K382,9,FALSE)</f>
        <v>0</v>
      </c>
      <c r="R49" s="71">
        <v>0</v>
      </c>
      <c r="S49" s="13">
        <v>0</v>
      </c>
      <c r="T49" s="13">
        <v>0</v>
      </c>
      <c r="U49" s="13"/>
      <c r="V49" s="13"/>
      <c r="Y49" s="71">
        <v>0</v>
      </c>
      <c r="Z49" s="71">
        <v>0</v>
      </c>
      <c r="AA49" s="71">
        <v>0</v>
      </c>
      <c r="AB49" s="71">
        <v>0</v>
      </c>
      <c r="AC49" s="71">
        <v>0</v>
      </c>
      <c r="AD49" s="71">
        <v>0</v>
      </c>
      <c r="AE49" s="13">
        <v>0</v>
      </c>
      <c r="AF49" s="13">
        <v>0</v>
      </c>
      <c r="AI49" s="20"/>
      <c r="AJ49" s="13"/>
      <c r="AK49" s="11">
        <f t="shared" si="3"/>
        <v>404682</v>
      </c>
      <c r="AL49" s="11">
        <f t="shared" si="0"/>
        <v>33723.5</v>
      </c>
      <c r="AM49" s="11">
        <f t="shared" si="4"/>
        <v>0</v>
      </c>
      <c r="AN49" s="11">
        <f>VLOOKUP(C49,'Paid Tax'!B44:M405,12,FALSE)</f>
        <v>0</v>
      </c>
      <c r="AO49" s="11">
        <f t="shared" si="1"/>
        <v>0</v>
      </c>
      <c r="AP49" s="13">
        <v>5</v>
      </c>
      <c r="AQ49" s="16">
        <f t="shared" si="5"/>
        <v>0</v>
      </c>
      <c r="AS49" s="11">
        <f t="shared" si="6"/>
        <v>0</v>
      </c>
      <c r="AT49" s="13"/>
    </row>
    <row r="50" spans="1:46" x14ac:dyDescent="0.25">
      <c r="A50" s="12">
        <v>43</v>
      </c>
      <c r="B50" s="60" t="s">
        <v>293</v>
      </c>
      <c r="C50" s="53">
        <v>10042</v>
      </c>
      <c r="D50" s="38" t="s">
        <v>59</v>
      </c>
      <c r="E50" s="38" t="s">
        <v>55</v>
      </c>
      <c r="F50" s="37" t="s">
        <v>275</v>
      </c>
      <c r="G50" s="4">
        <v>35689</v>
      </c>
      <c r="H50" s="4"/>
      <c r="I50" s="4"/>
      <c r="J50" s="4">
        <v>3604.25</v>
      </c>
      <c r="K50" s="4">
        <v>3604.25</v>
      </c>
      <c r="L50" s="11">
        <f t="shared" si="2"/>
        <v>435476.5</v>
      </c>
      <c r="M50" s="69">
        <v>0</v>
      </c>
      <c r="N50" s="71">
        <v>0</v>
      </c>
      <c r="O50" s="71">
        <v>0</v>
      </c>
      <c r="P50" s="71">
        <v>0</v>
      </c>
      <c r="Q50" s="71">
        <f>VLOOKUP(C50,Incentives!C44:K383,9,FALSE)</f>
        <v>0</v>
      </c>
      <c r="R50" s="71">
        <v>0</v>
      </c>
      <c r="S50" s="13">
        <v>0</v>
      </c>
      <c r="T50" s="13">
        <v>0</v>
      </c>
      <c r="U50" s="13"/>
      <c r="V50" s="13"/>
      <c r="Y50" s="71">
        <v>0</v>
      </c>
      <c r="Z50" s="71">
        <v>0</v>
      </c>
      <c r="AA50" s="71">
        <v>0</v>
      </c>
      <c r="AB50" s="71">
        <v>0</v>
      </c>
      <c r="AC50" s="71">
        <v>0</v>
      </c>
      <c r="AD50" s="71">
        <v>0</v>
      </c>
      <c r="AE50" s="13">
        <v>0</v>
      </c>
      <c r="AF50" s="13">
        <v>0</v>
      </c>
      <c r="AI50" s="20"/>
      <c r="AJ50" s="13"/>
      <c r="AK50" s="11">
        <f t="shared" si="3"/>
        <v>435476.5</v>
      </c>
      <c r="AL50" s="11">
        <f t="shared" si="0"/>
        <v>36289.708333333336</v>
      </c>
      <c r="AM50" s="11">
        <f t="shared" si="4"/>
        <v>0</v>
      </c>
      <c r="AN50" s="11">
        <f>VLOOKUP(C50,'Paid Tax'!B45:M406,12,FALSE)</f>
        <v>0</v>
      </c>
      <c r="AO50" s="11">
        <f t="shared" si="1"/>
        <v>0</v>
      </c>
      <c r="AP50" s="13">
        <v>5</v>
      </c>
      <c r="AQ50" s="16">
        <f t="shared" si="5"/>
        <v>0</v>
      </c>
      <c r="AS50" s="11">
        <f t="shared" si="6"/>
        <v>0</v>
      </c>
      <c r="AT50" s="13"/>
    </row>
    <row r="51" spans="1:46" x14ac:dyDescent="0.25">
      <c r="A51" s="12">
        <v>44</v>
      </c>
      <c r="B51" s="60" t="s">
        <v>293</v>
      </c>
      <c r="C51" s="53">
        <v>10308</v>
      </c>
      <c r="D51" s="38" t="s">
        <v>60</v>
      </c>
      <c r="E51" s="38" t="s">
        <v>55</v>
      </c>
      <c r="F51" s="37" t="s">
        <v>275</v>
      </c>
      <c r="G51" s="4">
        <v>33143</v>
      </c>
      <c r="H51" s="4"/>
      <c r="I51" s="4"/>
      <c r="J51" s="4">
        <v>3483</v>
      </c>
      <c r="K51" s="4">
        <v>3483</v>
      </c>
      <c r="L51" s="11">
        <f t="shared" si="2"/>
        <v>404682</v>
      </c>
      <c r="M51" s="69">
        <v>0</v>
      </c>
      <c r="N51" s="71">
        <v>0</v>
      </c>
      <c r="O51" s="71">
        <v>0</v>
      </c>
      <c r="P51" s="71">
        <v>0</v>
      </c>
      <c r="Q51" s="71">
        <f>VLOOKUP(C51,Incentives!C45:K384,9,FALSE)</f>
        <v>0</v>
      </c>
      <c r="R51" s="71">
        <v>0</v>
      </c>
      <c r="S51" s="13">
        <v>0</v>
      </c>
      <c r="T51" s="13">
        <v>0</v>
      </c>
      <c r="U51" s="13"/>
      <c r="V51" s="13"/>
      <c r="Y51" s="71">
        <v>0</v>
      </c>
      <c r="Z51" s="71">
        <v>0</v>
      </c>
      <c r="AA51" s="71">
        <v>0</v>
      </c>
      <c r="AB51" s="71">
        <v>0</v>
      </c>
      <c r="AC51" s="71">
        <v>0</v>
      </c>
      <c r="AD51" s="71">
        <v>0</v>
      </c>
      <c r="AE51" s="13">
        <v>0</v>
      </c>
      <c r="AF51" s="13">
        <v>0</v>
      </c>
      <c r="AI51" s="20"/>
      <c r="AJ51" s="13"/>
      <c r="AK51" s="11">
        <f t="shared" si="3"/>
        <v>404682</v>
      </c>
      <c r="AL51" s="11">
        <f t="shared" si="0"/>
        <v>33723.5</v>
      </c>
      <c r="AM51" s="11">
        <f t="shared" si="4"/>
        <v>0</v>
      </c>
      <c r="AN51" s="11">
        <f>VLOOKUP(C51,'Paid Tax'!B46:M407,12,FALSE)</f>
        <v>0</v>
      </c>
      <c r="AO51" s="11">
        <f t="shared" si="1"/>
        <v>0</v>
      </c>
      <c r="AP51" s="13">
        <v>5</v>
      </c>
      <c r="AQ51" s="16">
        <f t="shared" si="5"/>
        <v>0</v>
      </c>
      <c r="AS51" s="11">
        <f t="shared" si="6"/>
        <v>0</v>
      </c>
      <c r="AT51" s="13"/>
    </row>
    <row r="52" spans="1:46" x14ac:dyDescent="0.25">
      <c r="A52" s="12">
        <v>45</v>
      </c>
      <c r="B52" s="60" t="s">
        <v>293</v>
      </c>
      <c r="C52" s="53">
        <v>10043</v>
      </c>
      <c r="D52" s="38" t="s">
        <v>61</v>
      </c>
      <c r="E52" s="38" t="s">
        <v>62</v>
      </c>
      <c r="F52" s="37" t="s">
        <v>284</v>
      </c>
      <c r="G52" s="4">
        <v>58543.000000000007</v>
      </c>
      <c r="H52" s="4"/>
      <c r="I52" s="4"/>
      <c r="J52" s="4">
        <v>0</v>
      </c>
      <c r="K52" s="4">
        <v>0</v>
      </c>
      <c r="L52" s="11">
        <f t="shared" si="2"/>
        <v>702516.00000000012</v>
      </c>
      <c r="M52" s="69">
        <v>0</v>
      </c>
      <c r="N52" s="71">
        <v>0</v>
      </c>
      <c r="O52" s="71">
        <v>0</v>
      </c>
      <c r="P52" s="71">
        <v>0</v>
      </c>
      <c r="Q52" s="71">
        <f>VLOOKUP(C52,Incentives!C46:K385,9,FALSE)</f>
        <v>0</v>
      </c>
      <c r="R52" s="71">
        <v>0</v>
      </c>
      <c r="S52" s="13">
        <v>0</v>
      </c>
      <c r="T52" s="13">
        <v>0</v>
      </c>
      <c r="U52" s="13"/>
      <c r="V52" s="13"/>
      <c r="Y52" s="71">
        <v>0</v>
      </c>
      <c r="Z52" s="71">
        <v>0</v>
      </c>
      <c r="AA52" s="71">
        <v>2750</v>
      </c>
      <c r="AB52" s="71">
        <v>0</v>
      </c>
      <c r="AC52" s="71">
        <v>0</v>
      </c>
      <c r="AD52" s="71">
        <v>0</v>
      </c>
      <c r="AE52" s="13">
        <v>0</v>
      </c>
      <c r="AF52" s="13">
        <v>0</v>
      </c>
      <c r="AI52" s="20"/>
      <c r="AJ52" s="13"/>
      <c r="AK52" s="11">
        <f t="shared" si="3"/>
        <v>705266.00000000012</v>
      </c>
      <c r="AL52" s="11">
        <f t="shared" si="0"/>
        <v>58772.166666666679</v>
      </c>
      <c r="AM52" s="11">
        <f t="shared" si="4"/>
        <v>1052.6600000000012</v>
      </c>
      <c r="AN52" s="11">
        <f>VLOOKUP(C52,'Paid Tax'!B47:M408,12,FALSE)</f>
        <v>347.22000000000043</v>
      </c>
      <c r="AO52" s="11">
        <f t="shared" si="1"/>
        <v>705.44000000000074</v>
      </c>
      <c r="AP52" s="13">
        <v>5</v>
      </c>
      <c r="AQ52" s="16">
        <f t="shared" si="5"/>
        <v>141.08800000000014</v>
      </c>
      <c r="AS52" s="11">
        <v>0</v>
      </c>
      <c r="AT52" s="13" t="s">
        <v>868</v>
      </c>
    </row>
    <row r="53" spans="1:46" x14ac:dyDescent="0.25">
      <c r="A53" s="12">
        <v>46</v>
      </c>
      <c r="B53" s="60" t="s">
        <v>293</v>
      </c>
      <c r="C53" s="53">
        <v>20015</v>
      </c>
      <c r="D53" s="38" t="s">
        <v>63</v>
      </c>
      <c r="E53" s="38" t="s">
        <v>55</v>
      </c>
      <c r="F53" s="37" t="s">
        <v>275</v>
      </c>
      <c r="G53" s="4">
        <v>40038</v>
      </c>
      <c r="H53" s="4"/>
      <c r="I53" s="4"/>
      <c r="J53" s="4">
        <v>5000</v>
      </c>
      <c r="K53" s="4">
        <v>5000</v>
      </c>
      <c r="L53" s="11">
        <f t="shared" si="2"/>
        <v>490456</v>
      </c>
      <c r="M53" s="69">
        <v>0</v>
      </c>
      <c r="N53" s="71">
        <v>0</v>
      </c>
      <c r="O53" s="71">
        <v>0</v>
      </c>
      <c r="P53" s="71">
        <v>0</v>
      </c>
      <c r="Q53" s="71">
        <f>VLOOKUP(C53,Incentives!C47:K386,9,FALSE)</f>
        <v>0</v>
      </c>
      <c r="R53" s="71">
        <v>0</v>
      </c>
      <c r="S53" s="13">
        <v>0</v>
      </c>
      <c r="T53" s="13">
        <v>0</v>
      </c>
      <c r="U53" s="13"/>
      <c r="V53" s="13"/>
      <c r="Y53" s="71">
        <v>0</v>
      </c>
      <c r="Z53" s="71">
        <v>0</v>
      </c>
      <c r="AA53" s="71">
        <v>0</v>
      </c>
      <c r="AB53" s="71">
        <v>0</v>
      </c>
      <c r="AC53" s="71">
        <v>0</v>
      </c>
      <c r="AD53" s="71">
        <v>0</v>
      </c>
      <c r="AE53" s="13">
        <v>0</v>
      </c>
      <c r="AF53" s="13">
        <v>0</v>
      </c>
      <c r="AI53" s="20"/>
      <c r="AJ53" s="13"/>
      <c r="AK53" s="11">
        <f t="shared" si="3"/>
        <v>490456</v>
      </c>
      <c r="AL53" s="11">
        <f t="shared" si="0"/>
        <v>40871.333333333336</v>
      </c>
      <c r="AM53" s="11">
        <f t="shared" si="4"/>
        <v>0</v>
      </c>
      <c r="AN53" s="11">
        <f>VLOOKUP(C53,'Paid Tax'!B48:M409,12,FALSE)</f>
        <v>0</v>
      </c>
      <c r="AO53" s="11">
        <f t="shared" si="1"/>
        <v>0</v>
      </c>
      <c r="AP53" s="13">
        <v>5</v>
      </c>
      <c r="AQ53" s="16">
        <f t="shared" si="5"/>
        <v>0</v>
      </c>
      <c r="AS53" s="11">
        <f t="shared" si="6"/>
        <v>0</v>
      </c>
      <c r="AT53" s="13"/>
    </row>
    <row r="54" spans="1:46" x14ac:dyDescent="0.25">
      <c r="A54" s="12">
        <v>47</v>
      </c>
      <c r="B54" s="60" t="s">
        <v>293</v>
      </c>
      <c r="C54" s="53">
        <v>20033</v>
      </c>
      <c r="D54" s="38" t="s">
        <v>64</v>
      </c>
      <c r="E54" s="38" t="s">
        <v>53</v>
      </c>
      <c r="F54" s="37" t="s">
        <v>275</v>
      </c>
      <c r="G54" s="4">
        <v>34671</v>
      </c>
      <c r="H54" s="4"/>
      <c r="I54" s="4"/>
      <c r="J54" s="4">
        <v>5000</v>
      </c>
      <c r="K54" s="4">
        <v>5000</v>
      </c>
      <c r="L54" s="11">
        <f t="shared" si="2"/>
        <v>426052</v>
      </c>
      <c r="M54" s="69">
        <v>0</v>
      </c>
      <c r="N54" s="71">
        <v>0</v>
      </c>
      <c r="O54" s="71">
        <v>0</v>
      </c>
      <c r="P54" s="71">
        <v>0</v>
      </c>
      <c r="Q54" s="71">
        <f>VLOOKUP(C54,Incentives!C48:K387,9,FALSE)</f>
        <v>0</v>
      </c>
      <c r="R54" s="71">
        <v>0</v>
      </c>
      <c r="S54" s="13">
        <v>0</v>
      </c>
      <c r="T54" s="13">
        <v>0</v>
      </c>
      <c r="U54" s="13"/>
      <c r="V54" s="13"/>
      <c r="Y54" s="71">
        <v>0</v>
      </c>
      <c r="Z54" s="71">
        <v>0</v>
      </c>
      <c r="AA54" s="71">
        <v>0</v>
      </c>
      <c r="AB54" s="71">
        <v>0</v>
      </c>
      <c r="AC54" s="71">
        <v>0</v>
      </c>
      <c r="AD54" s="71">
        <v>0</v>
      </c>
      <c r="AE54" s="13">
        <v>0</v>
      </c>
      <c r="AF54" s="13">
        <v>0</v>
      </c>
      <c r="AI54" s="20"/>
      <c r="AJ54" s="13"/>
      <c r="AK54" s="11">
        <f t="shared" si="3"/>
        <v>426052</v>
      </c>
      <c r="AL54" s="11">
        <f t="shared" si="0"/>
        <v>35504.333333333336</v>
      </c>
      <c r="AM54" s="11">
        <f t="shared" si="4"/>
        <v>0</v>
      </c>
      <c r="AN54" s="11">
        <f>VLOOKUP(C54,'Paid Tax'!B49:M410,12,FALSE)</f>
        <v>0</v>
      </c>
      <c r="AO54" s="11">
        <f t="shared" si="1"/>
        <v>0</v>
      </c>
      <c r="AP54" s="13">
        <v>5</v>
      </c>
      <c r="AQ54" s="16">
        <f t="shared" si="5"/>
        <v>0</v>
      </c>
      <c r="AS54" s="11">
        <f t="shared" si="6"/>
        <v>0</v>
      </c>
      <c r="AT54" s="13"/>
    </row>
    <row r="55" spans="1:46" x14ac:dyDescent="0.25">
      <c r="A55" s="12">
        <v>48</v>
      </c>
      <c r="B55" s="60" t="s">
        <v>293</v>
      </c>
      <c r="C55" s="53">
        <v>40017</v>
      </c>
      <c r="D55" s="38" t="s">
        <v>65</v>
      </c>
      <c r="E55" s="38" t="s">
        <v>53</v>
      </c>
      <c r="F55" s="37" t="s">
        <v>275</v>
      </c>
      <c r="G55" s="4">
        <v>46550</v>
      </c>
      <c r="H55" s="4"/>
      <c r="I55" s="4"/>
      <c r="J55" s="4">
        <v>5550</v>
      </c>
      <c r="K55" s="4">
        <v>5550</v>
      </c>
      <c r="L55" s="11">
        <f t="shared" si="2"/>
        <v>569700</v>
      </c>
      <c r="M55" s="69">
        <v>0</v>
      </c>
      <c r="N55" s="71">
        <v>0</v>
      </c>
      <c r="O55" s="71">
        <v>0</v>
      </c>
      <c r="P55" s="71">
        <v>0</v>
      </c>
      <c r="Q55" s="71">
        <f>VLOOKUP(C55,Incentives!C49:K388,9,FALSE)</f>
        <v>0</v>
      </c>
      <c r="R55" s="71">
        <v>0</v>
      </c>
      <c r="S55" s="13">
        <v>0</v>
      </c>
      <c r="T55" s="13">
        <v>0</v>
      </c>
      <c r="U55" s="13"/>
      <c r="V55" s="13"/>
      <c r="Y55" s="71">
        <v>0</v>
      </c>
      <c r="Z55" s="71">
        <v>0</v>
      </c>
      <c r="AA55" s="71">
        <v>0</v>
      </c>
      <c r="AB55" s="71">
        <v>0</v>
      </c>
      <c r="AC55" s="71">
        <v>0</v>
      </c>
      <c r="AD55" s="71">
        <v>0</v>
      </c>
      <c r="AE55" s="13">
        <v>0</v>
      </c>
      <c r="AF55" s="13">
        <v>0</v>
      </c>
      <c r="AI55" s="22"/>
      <c r="AJ55" s="18"/>
      <c r="AK55" s="11">
        <f t="shared" si="3"/>
        <v>569700</v>
      </c>
      <c r="AL55" s="11">
        <f t="shared" si="0"/>
        <v>47475</v>
      </c>
      <c r="AM55" s="11">
        <f t="shared" si="4"/>
        <v>0</v>
      </c>
      <c r="AN55" s="11">
        <f>VLOOKUP(C55,'Paid Tax'!B50:M411,12,FALSE)</f>
        <v>0</v>
      </c>
      <c r="AO55" s="11">
        <f t="shared" si="1"/>
        <v>0</v>
      </c>
      <c r="AP55" s="13">
        <v>5</v>
      </c>
      <c r="AQ55" s="16">
        <f t="shared" si="5"/>
        <v>0</v>
      </c>
      <c r="AS55" s="11">
        <f t="shared" si="6"/>
        <v>0</v>
      </c>
      <c r="AT55" s="13"/>
    </row>
    <row r="56" spans="1:46" x14ac:dyDescent="0.25">
      <c r="A56" s="12">
        <v>49</v>
      </c>
      <c r="B56" s="60" t="s">
        <v>293</v>
      </c>
      <c r="C56" s="53">
        <v>10500</v>
      </c>
      <c r="D56" s="38" t="s">
        <v>66</v>
      </c>
      <c r="E56" s="38" t="s">
        <v>55</v>
      </c>
      <c r="F56" s="37" t="s">
        <v>275</v>
      </c>
      <c r="G56" s="4">
        <v>33000</v>
      </c>
      <c r="H56" s="4"/>
      <c r="I56" s="4"/>
      <c r="J56" s="4">
        <v>0</v>
      </c>
      <c r="K56" s="4">
        <v>0</v>
      </c>
      <c r="L56" s="11">
        <f t="shared" si="2"/>
        <v>396000</v>
      </c>
      <c r="M56" s="69">
        <v>0</v>
      </c>
      <c r="N56" s="71">
        <v>0</v>
      </c>
      <c r="O56" s="71">
        <v>0</v>
      </c>
      <c r="P56" s="71">
        <v>0</v>
      </c>
      <c r="Q56" s="71">
        <f>VLOOKUP(C56,Incentives!C50:K389,9,FALSE)</f>
        <v>0</v>
      </c>
      <c r="R56" s="71">
        <v>0</v>
      </c>
      <c r="S56" s="13">
        <v>0</v>
      </c>
      <c r="T56" s="13">
        <v>0</v>
      </c>
      <c r="U56" s="13"/>
      <c r="V56" s="13"/>
      <c r="Y56" s="71">
        <v>0</v>
      </c>
      <c r="Z56" s="71">
        <v>0</v>
      </c>
      <c r="AA56" s="71">
        <v>0</v>
      </c>
      <c r="AB56" s="71">
        <v>0</v>
      </c>
      <c r="AC56" s="71">
        <v>0</v>
      </c>
      <c r="AD56" s="71">
        <v>0</v>
      </c>
      <c r="AE56" s="13">
        <v>0</v>
      </c>
      <c r="AF56" s="13">
        <v>0</v>
      </c>
      <c r="AI56" s="20"/>
      <c r="AJ56" s="13"/>
      <c r="AK56" s="11">
        <f t="shared" si="3"/>
        <v>396000</v>
      </c>
      <c r="AL56" s="11">
        <f t="shared" si="0"/>
        <v>33000</v>
      </c>
      <c r="AM56" s="11">
        <f t="shared" si="4"/>
        <v>0</v>
      </c>
      <c r="AN56" s="11">
        <f>VLOOKUP(C56,'Paid Tax'!B51:M412,12,FALSE)</f>
        <v>0</v>
      </c>
      <c r="AO56" s="11">
        <f t="shared" si="1"/>
        <v>0</v>
      </c>
      <c r="AP56" s="13">
        <v>5</v>
      </c>
      <c r="AQ56" s="16">
        <f t="shared" si="5"/>
        <v>0</v>
      </c>
      <c r="AS56" s="11">
        <f t="shared" si="6"/>
        <v>0</v>
      </c>
      <c r="AT56" s="13"/>
    </row>
    <row r="57" spans="1:46" x14ac:dyDescent="0.25">
      <c r="A57" s="12">
        <v>50</v>
      </c>
      <c r="B57" s="60" t="s">
        <v>293</v>
      </c>
      <c r="C57" s="53">
        <v>20055</v>
      </c>
      <c r="D57" s="38" t="s">
        <v>67</v>
      </c>
      <c r="E57" s="38" t="s">
        <v>23</v>
      </c>
      <c r="F57" s="37" t="s">
        <v>279</v>
      </c>
      <c r="G57" s="4">
        <v>32925</v>
      </c>
      <c r="H57" s="4"/>
      <c r="I57" s="4"/>
      <c r="J57" s="4">
        <v>3262.82</v>
      </c>
      <c r="K57" s="4">
        <v>3262.82</v>
      </c>
      <c r="L57" s="11">
        <f t="shared" si="2"/>
        <v>401625.64</v>
      </c>
      <c r="M57" s="69">
        <v>0</v>
      </c>
      <c r="N57" s="71">
        <v>0</v>
      </c>
      <c r="O57" s="71">
        <v>0</v>
      </c>
      <c r="P57" s="71">
        <v>0</v>
      </c>
      <c r="Q57" s="71">
        <f>VLOOKUP(C57,Incentives!C51:K390,9,FALSE)</f>
        <v>0</v>
      </c>
      <c r="R57" s="71">
        <v>0</v>
      </c>
      <c r="S57" s="13">
        <v>0</v>
      </c>
      <c r="T57" s="13">
        <v>0</v>
      </c>
      <c r="U57" s="13"/>
      <c r="V57" s="13"/>
      <c r="Y57" s="71">
        <v>0</v>
      </c>
      <c r="Z57" s="71">
        <v>0</v>
      </c>
      <c r="AA57" s="71">
        <v>0</v>
      </c>
      <c r="AB57" s="71">
        <v>0</v>
      </c>
      <c r="AC57" s="71">
        <v>0</v>
      </c>
      <c r="AD57" s="71">
        <v>0</v>
      </c>
      <c r="AE57" s="13">
        <v>0</v>
      </c>
      <c r="AF57" s="13">
        <v>0</v>
      </c>
      <c r="AI57" s="20"/>
      <c r="AJ57" s="13"/>
      <c r="AK57" s="11">
        <f t="shared" si="3"/>
        <v>401625.64</v>
      </c>
      <c r="AL57" s="11">
        <f t="shared" si="0"/>
        <v>33468.803333333337</v>
      </c>
      <c r="AM57" s="11">
        <f t="shared" si="4"/>
        <v>0</v>
      </c>
      <c r="AN57" s="11">
        <f>VLOOKUP(C57,'Paid Tax'!B52:M413,12,FALSE)</f>
        <v>0</v>
      </c>
      <c r="AO57" s="11">
        <f t="shared" si="1"/>
        <v>0</v>
      </c>
      <c r="AP57" s="13">
        <v>5</v>
      </c>
      <c r="AQ57" s="16">
        <f t="shared" si="5"/>
        <v>0</v>
      </c>
      <c r="AS57" s="11">
        <f t="shared" si="6"/>
        <v>0</v>
      </c>
      <c r="AT57" s="13"/>
    </row>
    <row r="58" spans="1:46" x14ac:dyDescent="0.25">
      <c r="A58" s="12">
        <v>51</v>
      </c>
      <c r="B58" s="61" t="s">
        <v>293</v>
      </c>
      <c r="C58" s="54">
        <v>10044</v>
      </c>
      <c r="D58" s="64" t="s">
        <v>68</v>
      </c>
      <c r="E58" s="64" t="s">
        <v>69</v>
      </c>
      <c r="F58" s="57" t="s">
        <v>284</v>
      </c>
      <c r="G58" s="4">
        <v>23614.000000000004</v>
      </c>
      <c r="H58" s="4"/>
      <c r="I58" s="4"/>
      <c r="J58" s="4">
        <v>0</v>
      </c>
      <c r="K58" s="4">
        <v>0</v>
      </c>
      <c r="L58" s="11">
        <f t="shared" si="2"/>
        <v>283368.00000000006</v>
      </c>
      <c r="M58" s="69">
        <v>0</v>
      </c>
      <c r="N58" s="71">
        <v>0</v>
      </c>
      <c r="O58" s="71">
        <v>0</v>
      </c>
      <c r="P58" s="71">
        <v>0</v>
      </c>
      <c r="Q58" s="71">
        <f>VLOOKUP(C58,Incentives!C52:K391,9,FALSE)</f>
        <v>0</v>
      </c>
      <c r="R58" s="71">
        <v>0</v>
      </c>
      <c r="S58" s="13">
        <v>0</v>
      </c>
      <c r="T58" s="13">
        <v>0</v>
      </c>
      <c r="U58" s="13"/>
      <c r="V58" s="13"/>
      <c r="Y58" s="71">
        <v>0</v>
      </c>
      <c r="Z58" s="71">
        <v>0</v>
      </c>
      <c r="AA58" s="71">
        <v>0</v>
      </c>
      <c r="AB58" s="71">
        <v>0</v>
      </c>
      <c r="AC58" s="71">
        <v>0</v>
      </c>
      <c r="AD58" s="71">
        <v>0</v>
      </c>
      <c r="AE58" s="13">
        <v>0</v>
      </c>
      <c r="AF58" s="13">
        <v>0</v>
      </c>
      <c r="AI58" s="20"/>
      <c r="AJ58" s="13"/>
      <c r="AK58" s="11">
        <f t="shared" si="3"/>
        <v>283368.00000000006</v>
      </c>
      <c r="AL58" s="11">
        <f t="shared" si="0"/>
        <v>23614.000000000004</v>
      </c>
      <c r="AM58" s="11">
        <f t="shared" si="4"/>
        <v>0</v>
      </c>
      <c r="AN58" s="11">
        <f>VLOOKUP(C58,'Paid Tax'!B53:M414,12,FALSE)</f>
        <v>0</v>
      </c>
      <c r="AO58" s="11">
        <f t="shared" si="1"/>
        <v>0</v>
      </c>
      <c r="AP58" s="13">
        <v>5</v>
      </c>
      <c r="AQ58" s="16">
        <f t="shared" si="5"/>
        <v>0</v>
      </c>
      <c r="AS58" s="11">
        <f t="shared" si="6"/>
        <v>0</v>
      </c>
      <c r="AT58" s="13"/>
    </row>
    <row r="59" spans="1:46" x14ac:dyDescent="0.25">
      <c r="A59" s="12">
        <v>52</v>
      </c>
      <c r="B59" s="60" t="s">
        <v>293</v>
      </c>
      <c r="C59" s="53">
        <v>10045</v>
      </c>
      <c r="D59" s="38" t="s">
        <v>70</v>
      </c>
      <c r="E59" s="38" t="s">
        <v>69</v>
      </c>
      <c r="F59" s="37" t="s">
        <v>284</v>
      </c>
      <c r="G59" s="4">
        <v>42531</v>
      </c>
      <c r="H59" s="4"/>
      <c r="I59" s="4"/>
      <c r="J59" s="4">
        <v>4882.45</v>
      </c>
      <c r="K59" s="4">
        <v>4882.45</v>
      </c>
      <c r="L59" s="11">
        <f t="shared" si="2"/>
        <v>520136.9</v>
      </c>
      <c r="M59" s="69">
        <v>24480</v>
      </c>
      <c r="N59" s="71">
        <v>2070</v>
      </c>
      <c r="O59" s="71">
        <v>6120</v>
      </c>
      <c r="P59" s="71">
        <v>6120</v>
      </c>
      <c r="Q59" s="71">
        <f>VLOOKUP(C59,Incentives!C53:K392,9,FALSE)</f>
        <v>15390</v>
      </c>
      <c r="R59" s="71">
        <v>1590</v>
      </c>
      <c r="S59" s="13">
        <v>23520</v>
      </c>
      <c r="T59" s="13">
        <v>11970</v>
      </c>
      <c r="U59" s="13"/>
      <c r="V59" s="13"/>
      <c r="Y59" s="71">
        <v>0</v>
      </c>
      <c r="Z59" s="71">
        <v>0</v>
      </c>
      <c r="AA59" s="71">
        <v>0</v>
      </c>
      <c r="AB59" s="71">
        <v>0</v>
      </c>
      <c r="AC59" s="71">
        <v>0</v>
      </c>
      <c r="AD59" s="71">
        <v>0</v>
      </c>
      <c r="AE59" s="13">
        <v>0</v>
      </c>
      <c r="AF59" s="13">
        <v>0</v>
      </c>
      <c r="AI59" s="20"/>
      <c r="AJ59" s="13"/>
      <c r="AK59" s="11">
        <f t="shared" si="3"/>
        <v>611396.9</v>
      </c>
      <c r="AL59" s="11">
        <f t="shared" si="0"/>
        <v>50949.741666666669</v>
      </c>
      <c r="AM59" s="11">
        <f t="shared" si="4"/>
        <v>113.96900000000024</v>
      </c>
      <c r="AN59" s="11">
        <f>VLOOKUP(C59,'Paid Tax'!B54:M415,12,FALSE)</f>
        <v>0</v>
      </c>
      <c r="AO59" s="11">
        <f t="shared" si="1"/>
        <v>113.96900000000024</v>
      </c>
      <c r="AP59" s="13">
        <v>12</v>
      </c>
      <c r="AQ59" s="16">
        <f t="shared" si="5"/>
        <v>9.4974166666666857</v>
      </c>
      <c r="AR59" s="97" t="s">
        <v>864</v>
      </c>
      <c r="AS59" s="11">
        <f t="shared" si="6"/>
        <v>-9.4974166666666857</v>
      </c>
      <c r="AT59" s="13"/>
    </row>
    <row r="60" spans="1:46" x14ac:dyDescent="0.25">
      <c r="A60" s="12">
        <v>53</v>
      </c>
      <c r="B60" s="60" t="s">
        <v>293</v>
      </c>
      <c r="C60" s="53">
        <v>20013</v>
      </c>
      <c r="D60" s="38" t="s">
        <v>71</v>
      </c>
      <c r="E60" s="38" t="s">
        <v>69</v>
      </c>
      <c r="F60" s="37" t="s">
        <v>284</v>
      </c>
      <c r="G60" s="4">
        <v>31906</v>
      </c>
      <c r="H60" s="4"/>
      <c r="I60" s="4"/>
      <c r="J60" s="4">
        <v>3186</v>
      </c>
      <c r="K60" s="4">
        <v>3186</v>
      </c>
      <c r="L60" s="11">
        <f t="shared" si="2"/>
        <v>389244</v>
      </c>
      <c r="M60" s="69">
        <v>3240</v>
      </c>
      <c r="N60" s="71">
        <v>1800</v>
      </c>
      <c r="O60" s="71">
        <v>3520</v>
      </c>
      <c r="P60" s="71">
        <v>9360</v>
      </c>
      <c r="Q60" s="71">
        <f>VLOOKUP(C60,Incentives!C54:K393,9,FALSE)</f>
        <v>6900</v>
      </c>
      <c r="R60" s="71">
        <v>1590</v>
      </c>
      <c r="S60" s="13">
        <v>5915</v>
      </c>
      <c r="T60" s="13">
        <v>5460</v>
      </c>
      <c r="U60" s="13"/>
      <c r="V60" s="13"/>
      <c r="Y60" s="71">
        <v>0</v>
      </c>
      <c r="Z60" s="71">
        <v>0</v>
      </c>
      <c r="AA60" s="71">
        <v>0</v>
      </c>
      <c r="AB60" s="71">
        <v>0</v>
      </c>
      <c r="AC60" s="71">
        <v>0</v>
      </c>
      <c r="AD60" s="71">
        <v>0</v>
      </c>
      <c r="AE60" s="13">
        <v>0</v>
      </c>
      <c r="AF60" s="13">
        <v>0</v>
      </c>
      <c r="AI60" s="20"/>
      <c r="AJ60" s="13"/>
      <c r="AK60" s="11">
        <f t="shared" si="3"/>
        <v>427029</v>
      </c>
      <c r="AL60" s="11">
        <f t="shared" si="0"/>
        <v>35585.75</v>
      </c>
      <c r="AM60" s="11">
        <f t="shared" si="4"/>
        <v>0</v>
      </c>
      <c r="AN60" s="11">
        <f>VLOOKUP(C60,'Paid Tax'!B55:M416,12,FALSE)</f>
        <v>0</v>
      </c>
      <c r="AO60" s="11">
        <f t="shared" si="1"/>
        <v>0</v>
      </c>
      <c r="AP60" s="13">
        <v>5</v>
      </c>
      <c r="AQ60" s="16">
        <f t="shared" si="5"/>
        <v>0</v>
      </c>
      <c r="AS60" s="11">
        <f t="shared" si="6"/>
        <v>0</v>
      </c>
      <c r="AT60" s="13"/>
    </row>
    <row r="61" spans="1:46" x14ac:dyDescent="0.25">
      <c r="A61" s="12">
        <v>54</v>
      </c>
      <c r="B61" s="60" t="s">
        <v>293</v>
      </c>
      <c r="C61" s="53">
        <v>10047</v>
      </c>
      <c r="D61" s="38" t="s">
        <v>72</v>
      </c>
      <c r="E61" s="38" t="s">
        <v>69</v>
      </c>
      <c r="F61" s="37" t="s">
        <v>284</v>
      </c>
      <c r="G61" s="4">
        <v>47876</v>
      </c>
      <c r="H61" s="4"/>
      <c r="I61" s="4"/>
      <c r="J61" s="4">
        <v>5136.9500000000007</v>
      </c>
      <c r="K61" s="4">
        <v>5136.9500000000007</v>
      </c>
      <c r="L61" s="11">
        <f t="shared" si="2"/>
        <v>584785.89999999991</v>
      </c>
      <c r="M61" s="69">
        <v>13000</v>
      </c>
      <c r="N61" s="71">
        <v>12400</v>
      </c>
      <c r="O61" s="71">
        <v>6120</v>
      </c>
      <c r="P61" s="71">
        <v>2160</v>
      </c>
      <c r="Q61" s="71">
        <f>VLOOKUP(C61,Incentives!C55:K394,9,FALSE)</f>
        <v>30780</v>
      </c>
      <c r="R61" s="71">
        <v>30360</v>
      </c>
      <c r="S61" s="13">
        <v>17690</v>
      </c>
      <c r="T61" s="13">
        <v>22800</v>
      </c>
      <c r="U61" s="13"/>
      <c r="V61" s="13"/>
      <c r="Y61" s="71">
        <v>0</v>
      </c>
      <c r="Z61" s="71">
        <v>0</v>
      </c>
      <c r="AA61" s="71">
        <v>0</v>
      </c>
      <c r="AB61" s="71">
        <v>0</v>
      </c>
      <c r="AC61" s="71">
        <v>0</v>
      </c>
      <c r="AD61" s="71">
        <v>15000</v>
      </c>
      <c r="AE61" s="13">
        <v>0</v>
      </c>
      <c r="AF61" s="13">
        <v>0</v>
      </c>
      <c r="AI61" s="20"/>
      <c r="AJ61" s="13"/>
      <c r="AK61" s="11">
        <f t="shared" si="3"/>
        <v>735095.89999999991</v>
      </c>
      <c r="AL61" s="11">
        <f t="shared" si="0"/>
        <v>61257.991666666661</v>
      </c>
      <c r="AM61" s="11">
        <f t="shared" si="4"/>
        <v>1350.9589999999992</v>
      </c>
      <c r="AN61" s="11">
        <f>VLOOKUP(C61,'Paid Tax'!B56:M417,12,FALSE)</f>
        <v>329.09097402597399</v>
      </c>
      <c r="AO61" s="11">
        <f t="shared" si="1"/>
        <v>1021.8680259740252</v>
      </c>
      <c r="AP61" s="13">
        <v>6</v>
      </c>
      <c r="AQ61" s="16">
        <f t="shared" si="5"/>
        <v>170.31133766233754</v>
      </c>
      <c r="AR61" s="40" t="s">
        <v>1322</v>
      </c>
      <c r="AS61" s="11">
        <f t="shared" si="6"/>
        <v>-170.31133766233754</v>
      </c>
      <c r="AT61" s="13"/>
    </row>
    <row r="62" spans="1:46" x14ac:dyDescent="0.25">
      <c r="A62" s="12">
        <v>55</v>
      </c>
      <c r="B62" s="60" t="s">
        <v>293</v>
      </c>
      <c r="C62" s="53">
        <v>10048</v>
      </c>
      <c r="D62" s="38" t="s">
        <v>73</v>
      </c>
      <c r="E62" s="38" t="s">
        <v>69</v>
      </c>
      <c r="F62" s="37" t="s">
        <v>284</v>
      </c>
      <c r="G62" s="21">
        <v>32505</v>
      </c>
      <c r="H62" s="21"/>
      <c r="I62" s="21"/>
      <c r="J62" s="4">
        <v>3214.5</v>
      </c>
      <c r="K62" s="4">
        <v>3214.5</v>
      </c>
      <c r="L62" s="11">
        <f t="shared" si="2"/>
        <v>396489</v>
      </c>
      <c r="M62" s="69">
        <v>0</v>
      </c>
      <c r="N62" s="71">
        <v>0</v>
      </c>
      <c r="O62" s="71">
        <v>0</v>
      </c>
      <c r="P62" s="71">
        <v>0</v>
      </c>
      <c r="Q62" s="71">
        <f>VLOOKUP(C62,Incentives!C56:K395,9,FALSE)</f>
        <v>0</v>
      </c>
      <c r="R62" s="71">
        <v>0</v>
      </c>
      <c r="S62" s="13">
        <v>0</v>
      </c>
      <c r="T62" s="13">
        <v>0</v>
      </c>
      <c r="U62" s="13"/>
      <c r="V62" s="13"/>
      <c r="Y62" s="71">
        <v>0</v>
      </c>
      <c r="Z62" s="71">
        <v>0</v>
      </c>
      <c r="AA62" s="71">
        <v>0</v>
      </c>
      <c r="AB62" s="71">
        <v>0</v>
      </c>
      <c r="AC62" s="71">
        <v>0</v>
      </c>
      <c r="AD62" s="71">
        <v>0</v>
      </c>
      <c r="AE62" s="13">
        <v>0</v>
      </c>
      <c r="AF62" s="13">
        <v>0</v>
      </c>
      <c r="AI62" s="20"/>
      <c r="AJ62" s="13"/>
      <c r="AK62" s="11">
        <f t="shared" si="3"/>
        <v>396489</v>
      </c>
      <c r="AL62" s="11">
        <f t="shared" si="0"/>
        <v>33040.75</v>
      </c>
      <c r="AM62" s="11">
        <f t="shared" si="4"/>
        <v>0</v>
      </c>
      <c r="AN62" s="11">
        <f>VLOOKUP(C62,'Paid Tax'!B57:M418,12,FALSE)</f>
        <v>0</v>
      </c>
      <c r="AO62" s="11">
        <f t="shared" si="1"/>
        <v>0</v>
      </c>
      <c r="AP62" s="13">
        <v>5</v>
      </c>
      <c r="AQ62" s="16">
        <f t="shared" si="5"/>
        <v>0</v>
      </c>
      <c r="AS62" s="11">
        <f t="shared" si="6"/>
        <v>0</v>
      </c>
      <c r="AT62" s="13"/>
    </row>
    <row r="63" spans="1:46" x14ac:dyDescent="0.25">
      <c r="A63" s="12">
        <v>56</v>
      </c>
      <c r="B63" s="60" t="s">
        <v>293</v>
      </c>
      <c r="C63" s="53">
        <v>10049</v>
      </c>
      <c r="D63" s="38" t="s">
        <v>74</v>
      </c>
      <c r="E63" s="38" t="s">
        <v>75</v>
      </c>
      <c r="F63" s="37" t="s">
        <v>285</v>
      </c>
      <c r="G63" s="4">
        <v>52957</v>
      </c>
      <c r="H63" s="4"/>
      <c r="I63" s="4"/>
      <c r="J63" s="4">
        <v>8236.0499999999993</v>
      </c>
      <c r="K63" s="4">
        <v>8236.0499999999993</v>
      </c>
      <c r="L63" s="11">
        <f t="shared" si="2"/>
        <v>651956.10000000009</v>
      </c>
      <c r="M63" s="69">
        <v>0</v>
      </c>
      <c r="N63" s="71">
        <v>0</v>
      </c>
      <c r="O63" s="71">
        <v>0</v>
      </c>
      <c r="P63" s="71">
        <v>0</v>
      </c>
      <c r="Q63" s="71">
        <f>VLOOKUP(C63,Incentives!C57:K396,9,FALSE)</f>
        <v>0</v>
      </c>
      <c r="R63" s="71">
        <v>0</v>
      </c>
      <c r="S63" s="13">
        <v>0</v>
      </c>
      <c r="T63" s="13">
        <v>0</v>
      </c>
      <c r="U63" s="13"/>
      <c r="V63" s="13"/>
      <c r="Y63" s="71">
        <v>0</v>
      </c>
      <c r="Z63" s="71">
        <v>0</v>
      </c>
      <c r="AA63" s="71">
        <v>0</v>
      </c>
      <c r="AB63" s="71">
        <v>0</v>
      </c>
      <c r="AC63" s="71">
        <v>0</v>
      </c>
      <c r="AD63" s="71">
        <v>0</v>
      </c>
      <c r="AE63" s="13">
        <v>0</v>
      </c>
      <c r="AF63" s="13">
        <v>0</v>
      </c>
      <c r="AI63" s="20"/>
      <c r="AJ63" s="13"/>
      <c r="AK63" s="11">
        <f t="shared" si="3"/>
        <v>651956.10000000009</v>
      </c>
      <c r="AL63" s="11">
        <f t="shared" si="0"/>
        <v>54329.67500000001</v>
      </c>
      <c r="AM63" s="11">
        <f t="shared" si="4"/>
        <v>519.56100000000094</v>
      </c>
      <c r="AN63" s="11">
        <f>VLOOKUP(C63,'Paid Tax'!B58:M419,12,FALSE)</f>
        <v>299.95753409090975</v>
      </c>
      <c r="AO63" s="11">
        <f t="shared" si="1"/>
        <v>219.6034659090912</v>
      </c>
      <c r="AP63" s="13">
        <v>5</v>
      </c>
      <c r="AQ63" s="16">
        <f t="shared" si="5"/>
        <v>43.920693181818237</v>
      </c>
      <c r="AS63" s="11">
        <f t="shared" si="6"/>
        <v>-43.920693181818237</v>
      </c>
      <c r="AT63" s="13"/>
    </row>
    <row r="64" spans="1:46" x14ac:dyDescent="0.25">
      <c r="A64" s="12">
        <v>57</v>
      </c>
      <c r="B64" s="60" t="s">
        <v>293</v>
      </c>
      <c r="C64" s="53">
        <v>20014</v>
      </c>
      <c r="D64" s="38" t="s">
        <v>76</v>
      </c>
      <c r="E64" s="38" t="s">
        <v>77</v>
      </c>
      <c r="F64" s="37" t="s">
        <v>285</v>
      </c>
      <c r="G64" s="4">
        <v>45356</v>
      </c>
      <c r="H64" s="4"/>
      <c r="I64" s="4"/>
      <c r="J64" s="4">
        <v>4159.8</v>
      </c>
      <c r="K64" s="4">
        <v>4159.8</v>
      </c>
      <c r="L64" s="11">
        <f t="shared" si="2"/>
        <v>552591.60000000009</v>
      </c>
      <c r="M64" s="69">
        <v>0</v>
      </c>
      <c r="N64" s="71">
        <v>0</v>
      </c>
      <c r="O64" s="71">
        <v>0</v>
      </c>
      <c r="P64" s="71">
        <v>0</v>
      </c>
      <c r="Q64" s="71">
        <f>VLOOKUP(C64,Incentives!C58:K397,9,FALSE)</f>
        <v>0</v>
      </c>
      <c r="R64" s="71">
        <v>0</v>
      </c>
      <c r="S64" s="13">
        <v>0</v>
      </c>
      <c r="T64" s="13">
        <v>0</v>
      </c>
      <c r="U64" s="13"/>
      <c r="V64" s="13"/>
      <c r="Y64" s="71">
        <v>0</v>
      </c>
      <c r="Z64" s="71">
        <v>0</v>
      </c>
      <c r="AA64" s="71">
        <v>0</v>
      </c>
      <c r="AB64" s="71">
        <v>0</v>
      </c>
      <c r="AC64" s="71">
        <v>0</v>
      </c>
      <c r="AD64" s="71">
        <v>0</v>
      </c>
      <c r="AE64" s="13">
        <v>0</v>
      </c>
      <c r="AF64" s="13">
        <v>0</v>
      </c>
      <c r="AI64" s="20"/>
      <c r="AJ64" s="13"/>
      <c r="AK64" s="11">
        <f t="shared" si="3"/>
        <v>552591.60000000009</v>
      </c>
      <c r="AL64" s="11">
        <f t="shared" si="0"/>
        <v>46049.30000000001</v>
      </c>
      <c r="AM64" s="11">
        <f t="shared" si="4"/>
        <v>0</v>
      </c>
      <c r="AN64" s="11">
        <f>VLOOKUP(C64,'Paid Tax'!B59:M420,12,FALSE)</f>
        <v>0</v>
      </c>
      <c r="AO64" s="11">
        <f t="shared" si="1"/>
        <v>0</v>
      </c>
      <c r="AP64" s="13">
        <v>5</v>
      </c>
      <c r="AQ64" s="16">
        <f t="shared" si="5"/>
        <v>0</v>
      </c>
      <c r="AS64" s="11">
        <f t="shared" si="6"/>
        <v>0</v>
      </c>
      <c r="AT64" s="13"/>
    </row>
    <row r="65" spans="1:46" s="18" customFormat="1" x14ac:dyDescent="0.25">
      <c r="A65" s="12">
        <v>58</v>
      </c>
      <c r="B65" s="60" t="s">
        <v>293</v>
      </c>
      <c r="C65" s="53">
        <v>10412</v>
      </c>
      <c r="D65" s="38" t="s">
        <v>78</v>
      </c>
      <c r="E65" s="38" t="s">
        <v>69</v>
      </c>
      <c r="F65" s="37" t="s">
        <v>284</v>
      </c>
      <c r="G65" s="4">
        <v>33450</v>
      </c>
      <c r="H65" s="4"/>
      <c r="I65" s="4"/>
      <c r="J65" s="4">
        <v>4450</v>
      </c>
      <c r="K65" s="4">
        <v>4450</v>
      </c>
      <c r="L65" s="11">
        <f t="shared" si="2"/>
        <v>410300</v>
      </c>
      <c r="M65" s="69">
        <v>4650</v>
      </c>
      <c r="N65" s="71">
        <v>9200</v>
      </c>
      <c r="O65" s="71">
        <v>0</v>
      </c>
      <c r="P65" s="71">
        <v>0</v>
      </c>
      <c r="Q65" s="71">
        <f>VLOOKUP(C65,Incentives!C59:K398,9,FALSE)</f>
        <v>0</v>
      </c>
      <c r="R65" s="71">
        <v>0</v>
      </c>
      <c r="S65" s="13">
        <v>0</v>
      </c>
      <c r="T65" s="13">
        <v>0</v>
      </c>
      <c r="U65" s="13"/>
      <c r="V65" s="13"/>
      <c r="W65" s="13"/>
      <c r="Y65" s="71">
        <v>0</v>
      </c>
      <c r="Z65" s="71">
        <v>0</v>
      </c>
      <c r="AA65" s="71">
        <v>0</v>
      </c>
      <c r="AB65" s="71">
        <v>0</v>
      </c>
      <c r="AC65" s="71">
        <v>0</v>
      </c>
      <c r="AD65" s="71">
        <v>0</v>
      </c>
      <c r="AE65" s="13">
        <v>0</v>
      </c>
      <c r="AF65" s="13">
        <v>0</v>
      </c>
      <c r="AG65" s="13"/>
      <c r="AH65" s="13"/>
      <c r="AI65" s="22"/>
      <c r="AK65" s="11">
        <f t="shared" si="3"/>
        <v>424150</v>
      </c>
      <c r="AL65" s="11">
        <f t="shared" si="0"/>
        <v>35345.833333333336</v>
      </c>
      <c r="AM65" s="11">
        <f t="shared" si="4"/>
        <v>0</v>
      </c>
      <c r="AN65" s="11">
        <f>VLOOKUP(C65,'Paid Tax'!B60:M421,12,FALSE)</f>
        <v>0</v>
      </c>
      <c r="AO65" s="11">
        <f t="shared" si="1"/>
        <v>0</v>
      </c>
      <c r="AP65" s="13">
        <v>5</v>
      </c>
      <c r="AQ65" s="16">
        <f t="shared" si="5"/>
        <v>0</v>
      </c>
      <c r="AR65" s="13"/>
      <c r="AS65" s="11">
        <f t="shared" si="6"/>
        <v>0</v>
      </c>
      <c r="AT65" s="13"/>
    </row>
    <row r="66" spans="1:46" x14ac:dyDescent="0.25">
      <c r="A66" s="12">
        <v>59</v>
      </c>
      <c r="B66" s="60" t="s">
        <v>293</v>
      </c>
      <c r="C66" s="53">
        <v>10413</v>
      </c>
      <c r="D66" s="38" t="s">
        <v>79</v>
      </c>
      <c r="E66" s="38" t="s">
        <v>69</v>
      </c>
      <c r="F66" s="37" t="s">
        <v>284</v>
      </c>
      <c r="G66" s="4">
        <v>33450</v>
      </c>
      <c r="H66" s="4"/>
      <c r="I66" s="4"/>
      <c r="J66" s="4">
        <v>4450</v>
      </c>
      <c r="K66" s="4">
        <v>4450</v>
      </c>
      <c r="L66" s="11">
        <f t="shared" si="2"/>
        <v>410300</v>
      </c>
      <c r="M66" s="69">
        <v>9200</v>
      </c>
      <c r="N66" s="71">
        <v>9360</v>
      </c>
      <c r="O66" s="71">
        <v>25440</v>
      </c>
      <c r="P66" s="71">
        <v>15720</v>
      </c>
      <c r="Q66" s="71">
        <f>VLOOKUP(C66,Incentives!C60:K399,9,FALSE)</f>
        <v>17690</v>
      </c>
      <c r="R66" s="71">
        <v>20400</v>
      </c>
      <c r="S66" s="13">
        <v>22320</v>
      </c>
      <c r="T66" s="13">
        <v>17940</v>
      </c>
      <c r="U66" s="13"/>
      <c r="V66" s="13"/>
      <c r="Y66" s="71">
        <v>0</v>
      </c>
      <c r="Z66" s="71">
        <v>0</v>
      </c>
      <c r="AA66" s="71">
        <v>0</v>
      </c>
      <c r="AB66" s="71">
        <v>0</v>
      </c>
      <c r="AC66" s="71">
        <v>0</v>
      </c>
      <c r="AD66" s="71">
        <v>0</v>
      </c>
      <c r="AE66" s="13">
        <v>0</v>
      </c>
      <c r="AF66" s="13">
        <v>0</v>
      </c>
      <c r="AI66" s="20"/>
      <c r="AJ66" s="36"/>
      <c r="AK66" s="11">
        <f t="shared" si="3"/>
        <v>548370</v>
      </c>
      <c r="AL66" s="11">
        <f t="shared" si="0"/>
        <v>45697.5</v>
      </c>
      <c r="AM66" s="11">
        <f t="shared" si="4"/>
        <v>0</v>
      </c>
      <c r="AN66" s="11">
        <f>VLOOKUP(C66,'Paid Tax'!B61:M422,12,FALSE)</f>
        <v>0</v>
      </c>
      <c r="AO66" s="11">
        <f t="shared" si="1"/>
        <v>0</v>
      </c>
      <c r="AP66" s="13">
        <v>5</v>
      </c>
      <c r="AQ66" s="16">
        <f t="shared" si="5"/>
        <v>0</v>
      </c>
      <c r="AS66" s="11">
        <f t="shared" si="6"/>
        <v>0</v>
      </c>
      <c r="AT66" s="13"/>
    </row>
    <row r="67" spans="1:46" x14ac:dyDescent="0.25">
      <c r="A67" s="12">
        <v>60</v>
      </c>
      <c r="B67" s="60" t="s">
        <v>293</v>
      </c>
      <c r="C67" s="53">
        <v>10054</v>
      </c>
      <c r="D67" s="38" t="s">
        <v>80</v>
      </c>
      <c r="E67" s="38" t="s">
        <v>49</v>
      </c>
      <c r="F67" s="37" t="s">
        <v>283</v>
      </c>
      <c r="G67" s="4">
        <v>48801</v>
      </c>
      <c r="H67" s="4"/>
      <c r="I67" s="4"/>
      <c r="J67" s="4">
        <v>0</v>
      </c>
      <c r="K67" s="4">
        <v>0</v>
      </c>
      <c r="L67" s="11">
        <f t="shared" si="2"/>
        <v>585612</v>
      </c>
      <c r="M67" s="69">
        <v>0</v>
      </c>
      <c r="N67" s="71">
        <v>0</v>
      </c>
      <c r="O67" s="71">
        <v>0</v>
      </c>
      <c r="P67" s="71">
        <v>0</v>
      </c>
      <c r="Q67" s="71">
        <f>VLOOKUP(C67,Incentives!C61:K400,9,FALSE)</f>
        <v>0</v>
      </c>
      <c r="R67" s="71">
        <v>0</v>
      </c>
      <c r="S67" s="13">
        <v>0</v>
      </c>
      <c r="T67" s="13">
        <v>0</v>
      </c>
      <c r="U67" s="13"/>
      <c r="V67" s="13"/>
      <c r="Y67" s="71">
        <v>0</v>
      </c>
      <c r="Z67" s="71">
        <v>0</v>
      </c>
      <c r="AA67" s="71">
        <v>0</v>
      </c>
      <c r="AB67" s="71">
        <v>0</v>
      </c>
      <c r="AC67" s="71">
        <v>0</v>
      </c>
      <c r="AD67" s="71">
        <v>0</v>
      </c>
      <c r="AE67" s="13">
        <v>0</v>
      </c>
      <c r="AF67" s="13">
        <v>0</v>
      </c>
      <c r="AI67" s="20"/>
      <c r="AJ67" s="13"/>
      <c r="AK67" s="11">
        <f t="shared" si="3"/>
        <v>585612</v>
      </c>
      <c r="AL67" s="11">
        <f t="shared" si="0"/>
        <v>48801</v>
      </c>
      <c r="AM67" s="11">
        <f t="shared" si="4"/>
        <v>0</v>
      </c>
      <c r="AN67" s="11">
        <f>VLOOKUP(C67,'Paid Tax'!B62:M423,12,FALSE)</f>
        <v>0</v>
      </c>
      <c r="AO67" s="11">
        <f t="shared" si="1"/>
        <v>0</v>
      </c>
      <c r="AP67" s="13">
        <v>5</v>
      </c>
      <c r="AQ67" s="16">
        <f t="shared" si="5"/>
        <v>0</v>
      </c>
      <c r="AS67" s="11">
        <f t="shared" si="6"/>
        <v>0</v>
      </c>
      <c r="AT67" s="13"/>
    </row>
    <row r="68" spans="1:46" x14ac:dyDescent="0.25">
      <c r="A68" s="12">
        <v>61</v>
      </c>
      <c r="B68" s="60" t="s">
        <v>293</v>
      </c>
      <c r="C68" s="53">
        <v>10056</v>
      </c>
      <c r="D68" s="38" t="s">
        <v>81</v>
      </c>
      <c r="E68" s="38" t="s">
        <v>82</v>
      </c>
      <c r="F68" s="37" t="s">
        <v>280</v>
      </c>
      <c r="G68" s="4">
        <v>53403</v>
      </c>
      <c r="H68" s="4"/>
      <c r="I68" s="4"/>
      <c r="J68" s="4">
        <v>7305.1500000000005</v>
      </c>
      <c r="K68" s="4">
        <v>7305.1500000000005</v>
      </c>
      <c r="L68" s="11">
        <f t="shared" si="2"/>
        <v>655446.30000000005</v>
      </c>
      <c r="M68" s="69">
        <v>0</v>
      </c>
      <c r="N68" s="71">
        <v>0</v>
      </c>
      <c r="O68" s="71">
        <v>0</v>
      </c>
      <c r="P68" s="71">
        <v>0</v>
      </c>
      <c r="Q68" s="71">
        <f>VLOOKUP(C68,Incentives!C62:K401,9,FALSE)</f>
        <v>0</v>
      </c>
      <c r="R68" s="71">
        <v>0</v>
      </c>
      <c r="S68" s="13">
        <v>0</v>
      </c>
      <c r="T68" s="13">
        <v>0</v>
      </c>
      <c r="U68" s="13"/>
      <c r="V68" s="13"/>
      <c r="Y68" s="71">
        <v>0</v>
      </c>
      <c r="Z68" s="71">
        <v>0</v>
      </c>
      <c r="AA68" s="71">
        <v>0</v>
      </c>
      <c r="AB68" s="71">
        <v>0</v>
      </c>
      <c r="AC68" s="71">
        <v>0</v>
      </c>
      <c r="AD68" s="71">
        <v>0</v>
      </c>
      <c r="AE68" s="13">
        <v>0</v>
      </c>
      <c r="AF68" s="13">
        <v>0</v>
      </c>
      <c r="AI68" s="20"/>
      <c r="AJ68" s="13"/>
      <c r="AK68" s="11">
        <f t="shared" si="3"/>
        <v>655446.30000000005</v>
      </c>
      <c r="AL68" s="11">
        <f t="shared" si="0"/>
        <v>54620.525000000001</v>
      </c>
      <c r="AM68" s="11">
        <f t="shared" si="4"/>
        <v>554.46300000000053</v>
      </c>
      <c r="AN68" s="11">
        <f>VLOOKUP(C68,'Paid Tax'!B63:M424,12,FALSE)</f>
        <v>320.669647727273</v>
      </c>
      <c r="AO68" s="11">
        <f t="shared" si="1"/>
        <v>233.79335227272753</v>
      </c>
      <c r="AP68" s="13">
        <v>5</v>
      </c>
      <c r="AQ68" s="16">
        <f t="shared" si="5"/>
        <v>46.758670454545509</v>
      </c>
      <c r="AS68" s="11">
        <f t="shared" si="6"/>
        <v>-46.758670454545509</v>
      </c>
      <c r="AT68" s="13"/>
    </row>
    <row r="69" spans="1:46" x14ac:dyDescent="0.25">
      <c r="A69" s="12">
        <v>62</v>
      </c>
      <c r="B69" s="60" t="s">
        <v>293</v>
      </c>
      <c r="C69" s="53">
        <v>10058</v>
      </c>
      <c r="D69" s="38" t="s">
        <v>83</v>
      </c>
      <c r="E69" s="38" t="s">
        <v>84</v>
      </c>
      <c r="F69" s="37" t="s">
        <v>280</v>
      </c>
      <c r="G69" s="4">
        <v>39001</v>
      </c>
      <c r="H69" s="4"/>
      <c r="I69" s="4"/>
      <c r="J69" s="4">
        <v>4523.8500000000004</v>
      </c>
      <c r="K69" s="4">
        <v>4523.8500000000004</v>
      </c>
      <c r="L69" s="11">
        <f t="shared" si="2"/>
        <v>477059.69999999995</v>
      </c>
      <c r="M69" s="69">
        <v>2860</v>
      </c>
      <c r="N69" s="71">
        <v>1540</v>
      </c>
      <c r="O69" s="71">
        <v>2220</v>
      </c>
      <c r="P69" s="71">
        <v>2080</v>
      </c>
      <c r="Q69" s="71">
        <v>2480</v>
      </c>
      <c r="R69" s="71">
        <v>3020</v>
      </c>
      <c r="S69" s="13">
        <v>3140</v>
      </c>
      <c r="T69" s="13">
        <v>3340</v>
      </c>
      <c r="U69" s="13"/>
      <c r="V69" s="13"/>
      <c r="Y69" s="71">
        <v>0</v>
      </c>
      <c r="Z69" s="71">
        <v>0</v>
      </c>
      <c r="AA69" s="71">
        <v>0</v>
      </c>
      <c r="AB69" s="71">
        <v>0</v>
      </c>
      <c r="AC69" s="71">
        <v>0</v>
      </c>
      <c r="AD69" s="71">
        <v>0</v>
      </c>
      <c r="AE69" s="13">
        <v>0</v>
      </c>
      <c r="AF69" s="13">
        <v>0</v>
      </c>
      <c r="AI69" s="20"/>
      <c r="AJ69" s="13"/>
      <c r="AK69" s="11">
        <f t="shared" si="3"/>
        <v>497739.69999999995</v>
      </c>
      <c r="AL69" s="11">
        <f t="shared" si="0"/>
        <v>41478.308333333327</v>
      </c>
      <c r="AM69" s="11">
        <f t="shared" si="4"/>
        <v>0</v>
      </c>
      <c r="AN69" s="11">
        <f>VLOOKUP(C69,'Paid Tax'!B64:M425,12,FALSE)</f>
        <v>0</v>
      </c>
      <c r="AO69" s="11">
        <f t="shared" si="1"/>
        <v>0</v>
      </c>
      <c r="AP69" s="13">
        <v>5</v>
      </c>
      <c r="AQ69" s="16">
        <f t="shared" si="5"/>
        <v>0</v>
      </c>
      <c r="AS69" s="11">
        <f t="shared" si="6"/>
        <v>0</v>
      </c>
      <c r="AT69" s="13"/>
    </row>
    <row r="70" spans="1:46" x14ac:dyDescent="0.25">
      <c r="A70" s="12">
        <v>63</v>
      </c>
      <c r="B70" s="60" t="s">
        <v>293</v>
      </c>
      <c r="C70" s="53">
        <v>10059</v>
      </c>
      <c r="D70" s="38" t="s">
        <v>85</v>
      </c>
      <c r="E70" s="38" t="s">
        <v>84</v>
      </c>
      <c r="F70" s="37" t="s">
        <v>280</v>
      </c>
      <c r="G70" s="4">
        <v>45804</v>
      </c>
      <c r="H70" s="4"/>
      <c r="I70" s="4"/>
      <c r="J70" s="4">
        <v>5535.9000000000005</v>
      </c>
      <c r="K70" s="4">
        <v>5535.9000000000005</v>
      </c>
      <c r="L70" s="11">
        <f t="shared" si="2"/>
        <v>560719.80000000005</v>
      </c>
      <c r="M70" s="69">
        <v>3680</v>
      </c>
      <c r="N70" s="71">
        <v>3740</v>
      </c>
      <c r="O70" s="71">
        <v>3820</v>
      </c>
      <c r="P70" s="71">
        <v>3740</v>
      </c>
      <c r="Q70" s="71">
        <v>3620</v>
      </c>
      <c r="R70" s="71">
        <v>3680</v>
      </c>
      <c r="S70" s="13">
        <v>3820</v>
      </c>
      <c r="T70" s="13">
        <v>3960</v>
      </c>
      <c r="U70" s="13"/>
      <c r="V70" s="13"/>
      <c r="Y70" s="71">
        <v>0</v>
      </c>
      <c r="Z70" s="71">
        <v>0</v>
      </c>
      <c r="AA70" s="71">
        <v>0</v>
      </c>
      <c r="AB70" s="71">
        <v>0</v>
      </c>
      <c r="AC70" s="71">
        <v>0</v>
      </c>
      <c r="AD70" s="71">
        <v>0</v>
      </c>
      <c r="AE70" s="13">
        <v>0</v>
      </c>
      <c r="AF70" s="13">
        <v>0</v>
      </c>
      <c r="AI70" s="20"/>
      <c r="AJ70" s="13"/>
      <c r="AK70" s="11">
        <f t="shared" si="3"/>
        <v>590779.80000000005</v>
      </c>
      <c r="AL70" s="11">
        <f t="shared" si="0"/>
        <v>49231.65</v>
      </c>
      <c r="AM70" s="11">
        <f t="shared" si="4"/>
        <v>0</v>
      </c>
      <c r="AN70" s="11">
        <f>VLOOKUP(C70,'Paid Tax'!B65:M426,12,FALSE)</f>
        <v>0</v>
      </c>
      <c r="AO70" s="11">
        <f t="shared" si="1"/>
        <v>0</v>
      </c>
      <c r="AP70" s="13">
        <v>5</v>
      </c>
      <c r="AQ70" s="16">
        <f t="shared" si="5"/>
        <v>0</v>
      </c>
      <c r="AS70" s="11">
        <f t="shared" si="6"/>
        <v>0</v>
      </c>
      <c r="AT70" s="13"/>
    </row>
    <row r="71" spans="1:46" x14ac:dyDescent="0.25">
      <c r="A71" s="12">
        <v>64</v>
      </c>
      <c r="B71" s="60" t="s">
        <v>293</v>
      </c>
      <c r="C71" s="53">
        <v>10522</v>
      </c>
      <c r="D71" s="38" t="s">
        <v>86</v>
      </c>
      <c r="E71" s="38" t="s">
        <v>87</v>
      </c>
      <c r="F71" s="37" t="s">
        <v>280</v>
      </c>
      <c r="G71" s="4">
        <v>33500</v>
      </c>
      <c r="H71" s="4"/>
      <c r="I71" s="4"/>
      <c r="J71" s="4">
        <v>0</v>
      </c>
      <c r="K71" s="4">
        <v>0</v>
      </c>
      <c r="L71" s="11">
        <f t="shared" si="2"/>
        <v>402000</v>
      </c>
      <c r="M71" s="69">
        <v>0</v>
      </c>
      <c r="N71" s="71">
        <v>0</v>
      </c>
      <c r="O71" s="71">
        <v>0</v>
      </c>
      <c r="P71" s="71">
        <v>0</v>
      </c>
      <c r="Q71" s="71">
        <f>VLOOKUP(C71,Incentives!C65:K404,9,FALSE)</f>
        <v>0</v>
      </c>
      <c r="R71" s="71">
        <v>0</v>
      </c>
      <c r="S71" s="13">
        <v>0</v>
      </c>
      <c r="T71" s="13">
        <v>0</v>
      </c>
      <c r="U71" s="13"/>
      <c r="V71" s="13"/>
      <c r="Y71" s="71">
        <v>0</v>
      </c>
      <c r="Z71" s="71">
        <v>0</v>
      </c>
      <c r="AA71" s="71">
        <v>0</v>
      </c>
      <c r="AB71" s="71">
        <v>0</v>
      </c>
      <c r="AC71" s="71">
        <v>0</v>
      </c>
      <c r="AD71" s="71">
        <v>0</v>
      </c>
      <c r="AE71" s="13">
        <v>0</v>
      </c>
      <c r="AF71" s="13">
        <v>0</v>
      </c>
      <c r="AI71" s="20"/>
      <c r="AJ71" s="13"/>
      <c r="AK71" s="11">
        <f t="shared" si="3"/>
        <v>402000</v>
      </c>
      <c r="AL71" s="11">
        <f t="shared" si="0"/>
        <v>33500</v>
      </c>
      <c r="AM71" s="11">
        <f t="shared" si="4"/>
        <v>0</v>
      </c>
      <c r="AN71" s="11">
        <f>VLOOKUP(C71,'Paid Tax'!B66:M427,12,FALSE)</f>
        <v>0</v>
      </c>
      <c r="AO71" s="11">
        <f t="shared" si="1"/>
        <v>0</v>
      </c>
      <c r="AP71" s="13">
        <v>5</v>
      </c>
      <c r="AQ71" s="16">
        <f t="shared" si="5"/>
        <v>0</v>
      </c>
      <c r="AS71" s="11">
        <f t="shared" si="6"/>
        <v>0</v>
      </c>
      <c r="AT71" s="13"/>
    </row>
    <row r="72" spans="1:46" x14ac:dyDescent="0.25">
      <c r="A72" s="12">
        <v>65</v>
      </c>
      <c r="B72" s="60" t="s">
        <v>293</v>
      </c>
      <c r="C72" s="53">
        <v>10523</v>
      </c>
      <c r="D72" s="38" t="s">
        <v>88</v>
      </c>
      <c r="E72" s="38" t="s">
        <v>89</v>
      </c>
      <c r="F72" s="37" t="s">
        <v>280</v>
      </c>
      <c r="G72" s="4">
        <v>31000</v>
      </c>
      <c r="H72" s="4"/>
      <c r="I72" s="4"/>
      <c r="J72" s="4">
        <v>0</v>
      </c>
      <c r="K72" s="4">
        <v>0</v>
      </c>
      <c r="L72" s="11">
        <f t="shared" si="2"/>
        <v>372000</v>
      </c>
      <c r="M72" s="69">
        <v>1940</v>
      </c>
      <c r="N72" s="71">
        <v>2880</v>
      </c>
      <c r="O72" s="71">
        <v>3060</v>
      </c>
      <c r="P72" s="71">
        <v>2980</v>
      </c>
      <c r="Q72" s="71">
        <v>2840</v>
      </c>
      <c r="R72" s="71">
        <v>2400</v>
      </c>
      <c r="S72" s="13">
        <v>2980</v>
      </c>
      <c r="T72" s="13">
        <v>3180</v>
      </c>
      <c r="U72" s="13"/>
      <c r="V72" s="13"/>
      <c r="Y72" s="71">
        <v>0</v>
      </c>
      <c r="Z72" s="71">
        <v>0</v>
      </c>
      <c r="AA72" s="71">
        <v>0</v>
      </c>
      <c r="AB72" s="71">
        <v>0</v>
      </c>
      <c r="AC72" s="71">
        <v>0</v>
      </c>
      <c r="AD72" s="71">
        <v>0</v>
      </c>
      <c r="AE72" s="13">
        <v>0</v>
      </c>
      <c r="AF72" s="13">
        <v>0</v>
      </c>
      <c r="AI72" s="22"/>
      <c r="AJ72" s="18"/>
      <c r="AK72" s="11">
        <f t="shared" si="3"/>
        <v>394260</v>
      </c>
      <c r="AL72" s="11">
        <f t="shared" ref="AL72:AL135" si="7">AK72/12</f>
        <v>32855</v>
      </c>
      <c r="AM72" s="11">
        <f t="shared" si="4"/>
        <v>0</v>
      </c>
      <c r="AN72" s="11">
        <f>VLOOKUP(C72,'Paid Tax'!B67:M428,12,FALSE)</f>
        <v>0</v>
      </c>
      <c r="AO72" s="11">
        <f t="shared" ref="AO72:AO135" si="8">+AM72-AN72</f>
        <v>0</v>
      </c>
      <c r="AP72" s="13">
        <v>5</v>
      </c>
      <c r="AQ72" s="16">
        <f t="shared" ref="AQ72:AQ135" si="9">+AO72/AP72</f>
        <v>0</v>
      </c>
      <c r="AS72" s="11">
        <f t="shared" si="6"/>
        <v>0</v>
      </c>
      <c r="AT72" s="13"/>
    </row>
    <row r="73" spans="1:46" x14ac:dyDescent="0.25">
      <c r="A73" s="12">
        <v>66</v>
      </c>
      <c r="B73" s="60" t="s">
        <v>293</v>
      </c>
      <c r="C73" s="53">
        <v>10131</v>
      </c>
      <c r="D73" s="38" t="s">
        <v>90</v>
      </c>
      <c r="E73" s="38" t="s">
        <v>91</v>
      </c>
      <c r="F73" s="37" t="s">
        <v>283</v>
      </c>
      <c r="G73" s="4">
        <v>224266</v>
      </c>
      <c r="H73" s="4"/>
      <c r="I73" s="4"/>
      <c r="J73" s="4">
        <v>50000</v>
      </c>
      <c r="K73" s="4">
        <v>50000</v>
      </c>
      <c r="L73" s="11">
        <f t="shared" ref="L73:L136" si="10">G73*12+H73+J73+K73+I73</f>
        <v>2791192</v>
      </c>
      <c r="M73" s="69">
        <v>0</v>
      </c>
      <c r="N73" s="71">
        <v>0</v>
      </c>
      <c r="O73" s="71">
        <v>0</v>
      </c>
      <c r="P73" s="71">
        <v>0</v>
      </c>
      <c r="Q73" s="71">
        <f>VLOOKUP(C73,Incentives!C67:K406,9,FALSE)</f>
        <v>0</v>
      </c>
      <c r="R73" s="71">
        <v>0</v>
      </c>
      <c r="S73" s="13">
        <v>0</v>
      </c>
      <c r="T73" s="13">
        <v>0</v>
      </c>
      <c r="U73" s="13"/>
      <c r="V73" s="13"/>
      <c r="Y73" s="71">
        <v>0</v>
      </c>
      <c r="Z73" s="71">
        <v>143450</v>
      </c>
      <c r="AA73" s="71">
        <v>99091</v>
      </c>
      <c r="AB73" s="71">
        <v>0</v>
      </c>
      <c r="AC73" s="71">
        <v>116759</v>
      </c>
      <c r="AD73" s="71">
        <v>0</v>
      </c>
      <c r="AE73" s="13">
        <v>0</v>
      </c>
      <c r="AF73" s="13">
        <v>0</v>
      </c>
      <c r="AI73" s="20"/>
      <c r="AJ73" s="13"/>
      <c r="AK73" s="11">
        <f t="shared" ref="AK73:AK136" si="11">SUM(L73:AJ73)</f>
        <v>3150492</v>
      </c>
      <c r="AL73" s="11">
        <f t="shared" si="7"/>
        <v>262541</v>
      </c>
      <c r="AM73" s="11">
        <f t="shared" ref="AM73:AM136" si="12">IF(AK73&lt;=600000,0,
IF(AK73&lt;=1200000,(AK73-600000)*0.01,
IF(AK73&lt;=2200000,(AK73-1200000)*0.11+6000,
IF(AK73&lt;=3200000,(AK73-2200000)*0.23+116000,
IF(AK73&lt;=4100000,(AK73-3200000)*0.3+346000,
(AK73-4100000)*0.35+616000)))))
*(1+IF(AK73&gt;10000000,9%,0))</f>
        <v>334613.16000000003</v>
      </c>
      <c r="AN73" s="11">
        <f>VLOOKUP(C73,'Paid Tax'!B68:M429,12,FALSE)</f>
        <v>186011.70390151528</v>
      </c>
      <c r="AO73" s="11">
        <f t="shared" si="8"/>
        <v>148601.45609848475</v>
      </c>
      <c r="AP73" s="13">
        <v>5</v>
      </c>
      <c r="AQ73" s="16">
        <f t="shared" si="9"/>
        <v>29720.291219696948</v>
      </c>
      <c r="AS73" s="11">
        <f t="shared" ref="AS73:AS136" si="13">-AQ73</f>
        <v>-29720.291219696948</v>
      </c>
      <c r="AT73" s="13"/>
    </row>
    <row r="74" spans="1:46" x14ac:dyDescent="0.25">
      <c r="A74" s="12">
        <v>67</v>
      </c>
      <c r="B74" s="60" t="s">
        <v>293</v>
      </c>
      <c r="C74" s="53">
        <v>10140</v>
      </c>
      <c r="D74" s="38" t="s">
        <v>92</v>
      </c>
      <c r="E74" s="38" t="s">
        <v>437</v>
      </c>
      <c r="F74" s="37" t="s">
        <v>277</v>
      </c>
      <c r="G74" s="4">
        <v>125013</v>
      </c>
      <c r="H74" s="4"/>
      <c r="I74" s="4"/>
      <c r="J74" s="4">
        <v>23000</v>
      </c>
      <c r="K74" s="4">
        <v>23000</v>
      </c>
      <c r="L74" s="11">
        <f t="shared" si="10"/>
        <v>1546156</v>
      </c>
      <c r="M74" s="69">
        <v>0</v>
      </c>
      <c r="N74" s="71">
        <v>0</v>
      </c>
      <c r="O74" s="71">
        <v>0</v>
      </c>
      <c r="P74" s="71">
        <v>0</v>
      </c>
      <c r="Q74" s="71">
        <f>VLOOKUP(C74,Incentives!C68:K407,9,FALSE)</f>
        <v>0</v>
      </c>
      <c r="R74" s="71">
        <v>0</v>
      </c>
      <c r="S74" s="13">
        <v>0</v>
      </c>
      <c r="T74" s="13">
        <v>0</v>
      </c>
      <c r="U74" s="13"/>
      <c r="V74" s="13"/>
      <c r="Y74" s="71">
        <v>0</v>
      </c>
      <c r="Z74" s="71">
        <v>0</v>
      </c>
      <c r="AA74" s="71">
        <v>0</v>
      </c>
      <c r="AB74" s="71">
        <v>0</v>
      </c>
      <c r="AC74" s="71">
        <v>0</v>
      </c>
      <c r="AD74" s="71">
        <v>0</v>
      </c>
      <c r="AE74" s="13">
        <v>0</v>
      </c>
      <c r="AF74" s="13">
        <v>0</v>
      </c>
      <c r="AI74" s="20"/>
      <c r="AJ74" s="13"/>
      <c r="AK74" s="11">
        <f t="shared" si="11"/>
        <v>1546156</v>
      </c>
      <c r="AL74" s="11">
        <f t="shared" si="7"/>
        <v>128846.33333333333</v>
      </c>
      <c r="AM74" s="11">
        <f t="shared" si="12"/>
        <v>44077.16</v>
      </c>
      <c r="AN74" s="11">
        <f>VLOOKUP(C74,'Paid Tax'!B69:M430,12,FALSE)</f>
        <v>25615.843333333331</v>
      </c>
      <c r="AO74" s="11">
        <f t="shared" si="8"/>
        <v>18461.316666666673</v>
      </c>
      <c r="AP74" s="13">
        <v>5</v>
      </c>
      <c r="AQ74" s="16">
        <f t="shared" si="9"/>
        <v>3692.2633333333347</v>
      </c>
      <c r="AS74" s="11">
        <f t="shared" si="13"/>
        <v>-3692.2633333333347</v>
      </c>
      <c r="AT74" s="13"/>
    </row>
    <row r="75" spans="1:46" x14ac:dyDescent="0.25">
      <c r="A75" s="12">
        <v>68</v>
      </c>
      <c r="B75" s="60" t="s">
        <v>293</v>
      </c>
      <c r="C75" s="53">
        <v>40007</v>
      </c>
      <c r="D75" s="38" t="s">
        <v>93</v>
      </c>
      <c r="E75" s="38" t="s">
        <v>437</v>
      </c>
      <c r="F75" s="37" t="s">
        <v>277</v>
      </c>
      <c r="G75" s="4">
        <v>121872</v>
      </c>
      <c r="H75" s="4"/>
      <c r="I75" s="4"/>
      <c r="J75" s="4">
        <v>19000</v>
      </c>
      <c r="K75" s="4">
        <v>19000</v>
      </c>
      <c r="L75" s="11">
        <f t="shared" si="10"/>
        <v>1500464</v>
      </c>
      <c r="M75" s="69">
        <v>0</v>
      </c>
      <c r="N75" s="71">
        <v>0</v>
      </c>
      <c r="O75" s="71">
        <v>0</v>
      </c>
      <c r="P75" s="71">
        <v>0</v>
      </c>
      <c r="Q75" s="71">
        <f>VLOOKUP(C75,Incentives!C69:K408,9,FALSE)</f>
        <v>0</v>
      </c>
      <c r="R75" s="71">
        <v>0</v>
      </c>
      <c r="S75" s="13">
        <v>0</v>
      </c>
      <c r="T75" s="13">
        <v>0</v>
      </c>
      <c r="U75" s="13"/>
      <c r="V75" s="13"/>
      <c r="Y75" s="71">
        <v>0</v>
      </c>
      <c r="Z75" s="71">
        <v>0</v>
      </c>
      <c r="AA75" s="71">
        <v>0</v>
      </c>
      <c r="AB75" s="71">
        <v>0</v>
      </c>
      <c r="AC75" s="71">
        <v>0</v>
      </c>
      <c r="AD75" s="71">
        <v>0</v>
      </c>
      <c r="AE75" s="13">
        <v>0</v>
      </c>
      <c r="AF75" s="13">
        <v>0</v>
      </c>
      <c r="AI75" s="20"/>
      <c r="AJ75" s="13"/>
      <c r="AK75" s="11">
        <f t="shared" si="11"/>
        <v>1500464</v>
      </c>
      <c r="AL75" s="11">
        <f t="shared" si="7"/>
        <v>125038.66666666667</v>
      </c>
      <c r="AM75" s="11">
        <f t="shared" si="12"/>
        <v>39051.040000000001</v>
      </c>
      <c r="AN75" s="11">
        <f>VLOOKUP(C75,'Paid Tax'!B70:M431,12,FALSE)</f>
        <v>22700.60666666667</v>
      </c>
      <c r="AO75" s="11">
        <f t="shared" si="8"/>
        <v>16350.433333333331</v>
      </c>
      <c r="AP75" s="13">
        <v>5</v>
      </c>
      <c r="AQ75" s="16">
        <f t="shared" si="9"/>
        <v>3270.0866666666661</v>
      </c>
      <c r="AS75" s="11">
        <f t="shared" si="13"/>
        <v>-3270.0866666666661</v>
      </c>
      <c r="AT75" s="13"/>
    </row>
    <row r="76" spans="1:46" x14ac:dyDescent="0.25">
      <c r="A76" s="12">
        <v>69</v>
      </c>
      <c r="B76" s="60" t="s">
        <v>293</v>
      </c>
      <c r="C76" s="53">
        <v>10323</v>
      </c>
      <c r="D76" s="38" t="s">
        <v>94</v>
      </c>
      <c r="E76" s="38" t="s">
        <v>438</v>
      </c>
      <c r="F76" s="37" t="s">
        <v>277</v>
      </c>
      <c r="G76" s="4">
        <v>57115</v>
      </c>
      <c r="H76" s="4"/>
      <c r="I76" s="4"/>
      <c r="J76" s="4">
        <v>7815</v>
      </c>
      <c r="K76" s="4">
        <v>7815</v>
      </c>
      <c r="L76" s="11">
        <f t="shared" si="10"/>
        <v>701010</v>
      </c>
      <c r="M76" s="69">
        <v>0</v>
      </c>
      <c r="N76" s="71">
        <v>0</v>
      </c>
      <c r="O76" s="71">
        <v>0</v>
      </c>
      <c r="P76" s="71">
        <v>0</v>
      </c>
      <c r="Q76" s="71">
        <f>VLOOKUP(C76,Incentives!C70:K409,9,FALSE)</f>
        <v>0</v>
      </c>
      <c r="R76" s="71">
        <v>0</v>
      </c>
      <c r="S76" s="13">
        <v>0</v>
      </c>
      <c r="T76" s="13">
        <v>0</v>
      </c>
      <c r="U76" s="13"/>
      <c r="V76" s="13"/>
      <c r="Y76" s="71">
        <v>0</v>
      </c>
      <c r="Z76" s="71">
        <v>0</v>
      </c>
      <c r="AA76" s="71">
        <v>0</v>
      </c>
      <c r="AB76" s="71">
        <v>0</v>
      </c>
      <c r="AC76" s="71">
        <v>0</v>
      </c>
      <c r="AD76" s="71">
        <v>0</v>
      </c>
      <c r="AE76" s="13">
        <v>0</v>
      </c>
      <c r="AF76" s="13">
        <v>0</v>
      </c>
      <c r="AI76" s="20"/>
      <c r="AJ76" s="13"/>
      <c r="AK76" s="11">
        <f t="shared" si="11"/>
        <v>701010</v>
      </c>
      <c r="AL76" s="11">
        <f t="shared" si="7"/>
        <v>58417.5</v>
      </c>
      <c r="AM76" s="11">
        <f t="shared" si="12"/>
        <v>1010.1</v>
      </c>
      <c r="AN76" s="11">
        <f>VLOOKUP(C76,'Paid Tax'!B71:M432,12,FALSE)</f>
        <v>586.26477272727277</v>
      </c>
      <c r="AO76" s="11">
        <f t="shared" si="8"/>
        <v>423.83522727272725</v>
      </c>
      <c r="AP76" s="13">
        <v>5</v>
      </c>
      <c r="AQ76" s="16">
        <f t="shared" si="9"/>
        <v>84.767045454545453</v>
      </c>
      <c r="AS76" s="11">
        <f t="shared" si="13"/>
        <v>-84.767045454545453</v>
      </c>
      <c r="AT76" s="13"/>
    </row>
    <row r="77" spans="1:46" x14ac:dyDescent="0.25">
      <c r="A77" s="12">
        <v>70</v>
      </c>
      <c r="B77" s="60" t="s">
        <v>293</v>
      </c>
      <c r="C77" s="53">
        <v>20026</v>
      </c>
      <c r="D77" s="38" t="s">
        <v>95</v>
      </c>
      <c r="E77" s="38" t="s">
        <v>439</v>
      </c>
      <c r="F77" s="37" t="s">
        <v>277</v>
      </c>
      <c r="G77" s="4">
        <v>66824</v>
      </c>
      <c r="H77" s="4"/>
      <c r="I77" s="4"/>
      <c r="J77" s="4">
        <v>11000</v>
      </c>
      <c r="K77" s="4">
        <v>11000</v>
      </c>
      <c r="L77" s="11">
        <f t="shared" si="10"/>
        <v>823888</v>
      </c>
      <c r="M77" s="69">
        <v>0</v>
      </c>
      <c r="N77" s="71">
        <v>0</v>
      </c>
      <c r="O77" s="71">
        <v>0</v>
      </c>
      <c r="P77" s="71">
        <v>0</v>
      </c>
      <c r="Q77" s="71">
        <f>VLOOKUP(C77,Incentives!C71:K410,9,FALSE)</f>
        <v>0</v>
      </c>
      <c r="R77" s="71">
        <v>0</v>
      </c>
      <c r="S77" s="13">
        <v>0</v>
      </c>
      <c r="T77" s="13">
        <v>0</v>
      </c>
      <c r="U77" s="13"/>
      <c r="V77" s="13"/>
      <c r="Y77" s="71">
        <v>0</v>
      </c>
      <c r="Z77" s="71">
        <v>0</v>
      </c>
      <c r="AA77" s="71">
        <v>0</v>
      </c>
      <c r="AB77" s="71">
        <v>0</v>
      </c>
      <c r="AC77" s="71">
        <v>0</v>
      </c>
      <c r="AD77" s="71">
        <v>0</v>
      </c>
      <c r="AE77" s="13">
        <v>0</v>
      </c>
      <c r="AF77" s="13">
        <v>0</v>
      </c>
      <c r="AI77" s="20"/>
      <c r="AJ77" s="13"/>
      <c r="AK77" s="11">
        <f t="shared" si="11"/>
        <v>823888</v>
      </c>
      <c r="AL77" s="11">
        <f t="shared" si="7"/>
        <v>68657.333333333328</v>
      </c>
      <c r="AM77" s="11">
        <f t="shared" si="12"/>
        <v>2238.88</v>
      </c>
      <c r="AN77" s="11">
        <f>VLOOKUP(C77,'Paid Tax'!B72:M433,12,FALSE)</f>
        <v>1301.8466666666679</v>
      </c>
      <c r="AO77" s="11">
        <f t="shared" si="8"/>
        <v>937.03333333333217</v>
      </c>
      <c r="AP77" s="13">
        <v>5</v>
      </c>
      <c r="AQ77" s="16">
        <f t="shared" si="9"/>
        <v>187.40666666666644</v>
      </c>
      <c r="AS77" s="11">
        <f t="shared" si="13"/>
        <v>-187.40666666666644</v>
      </c>
      <c r="AT77" s="13"/>
    </row>
    <row r="78" spans="1:46" x14ac:dyDescent="0.25">
      <c r="A78" s="12">
        <v>71</v>
      </c>
      <c r="B78" s="60" t="s">
        <v>293</v>
      </c>
      <c r="C78" s="53">
        <v>10534</v>
      </c>
      <c r="D78" s="38" t="s">
        <v>315</v>
      </c>
      <c r="E78" s="38" t="s">
        <v>96</v>
      </c>
      <c r="F78" s="37" t="s">
        <v>277</v>
      </c>
      <c r="G78" s="4">
        <v>55000</v>
      </c>
      <c r="H78" s="4"/>
      <c r="I78" s="4"/>
      <c r="J78" s="4">
        <v>0</v>
      </c>
      <c r="K78" s="4">
        <v>0</v>
      </c>
      <c r="L78" s="11">
        <f t="shared" si="10"/>
        <v>660000</v>
      </c>
      <c r="M78" s="69">
        <v>0</v>
      </c>
      <c r="N78" s="71">
        <v>0</v>
      </c>
      <c r="O78" s="71">
        <v>0</v>
      </c>
      <c r="P78" s="71">
        <v>0</v>
      </c>
      <c r="Q78" s="71">
        <f>VLOOKUP(C78,Incentives!C72:K411,9,FALSE)</f>
        <v>0</v>
      </c>
      <c r="R78" s="71">
        <v>0</v>
      </c>
      <c r="S78" s="13">
        <v>0</v>
      </c>
      <c r="T78" s="13">
        <v>0</v>
      </c>
      <c r="U78" s="13"/>
      <c r="V78" s="13"/>
      <c r="Y78" s="71">
        <v>0</v>
      </c>
      <c r="Z78" s="71">
        <v>0</v>
      </c>
      <c r="AA78" s="71">
        <v>0</v>
      </c>
      <c r="AB78" s="71">
        <v>0</v>
      </c>
      <c r="AC78" s="71">
        <v>0</v>
      </c>
      <c r="AD78" s="71">
        <v>0</v>
      </c>
      <c r="AE78" s="13">
        <v>0</v>
      </c>
      <c r="AF78" s="13">
        <v>0</v>
      </c>
      <c r="AI78" s="20"/>
      <c r="AJ78" s="13"/>
      <c r="AK78" s="11">
        <f t="shared" si="11"/>
        <v>660000</v>
      </c>
      <c r="AL78" s="11">
        <f t="shared" si="7"/>
        <v>55000</v>
      </c>
      <c r="AM78" s="11">
        <f t="shared" si="12"/>
        <v>600</v>
      </c>
      <c r="AN78" s="11">
        <f>VLOOKUP(C78,'Paid Tax'!B73:M434,12,FALSE)</f>
        <v>300</v>
      </c>
      <c r="AO78" s="11">
        <f t="shared" si="8"/>
        <v>300</v>
      </c>
      <c r="AP78" s="13">
        <v>5</v>
      </c>
      <c r="AQ78" s="16">
        <f t="shared" si="9"/>
        <v>60</v>
      </c>
      <c r="AS78" s="11">
        <f t="shared" si="13"/>
        <v>-60</v>
      </c>
      <c r="AT78" s="13"/>
    </row>
    <row r="79" spans="1:46" x14ac:dyDescent="0.25">
      <c r="A79" s="12">
        <v>72</v>
      </c>
      <c r="B79" s="60" t="s">
        <v>293</v>
      </c>
      <c r="C79" s="53">
        <v>10537</v>
      </c>
      <c r="D79" s="38" t="s">
        <v>318</v>
      </c>
      <c r="E79" s="38" t="s">
        <v>96</v>
      </c>
      <c r="F79" s="37" t="s">
        <v>277</v>
      </c>
      <c r="G79" s="4">
        <v>55000</v>
      </c>
      <c r="H79" s="4"/>
      <c r="I79" s="4"/>
      <c r="J79" s="4">
        <v>0</v>
      </c>
      <c r="K79" s="4">
        <v>0</v>
      </c>
      <c r="L79" s="11">
        <f t="shared" si="10"/>
        <v>660000</v>
      </c>
      <c r="M79" s="69">
        <v>0</v>
      </c>
      <c r="N79" s="71">
        <v>0</v>
      </c>
      <c r="O79" s="71">
        <v>0</v>
      </c>
      <c r="P79" s="71">
        <v>0</v>
      </c>
      <c r="Q79" s="71">
        <f>VLOOKUP(C79,Incentives!C73:K412,9,FALSE)</f>
        <v>0</v>
      </c>
      <c r="R79" s="71">
        <v>0</v>
      </c>
      <c r="S79" s="13">
        <v>0</v>
      </c>
      <c r="T79" s="13">
        <v>0</v>
      </c>
      <c r="U79" s="13"/>
      <c r="V79" s="13"/>
      <c r="Y79" s="71">
        <v>0</v>
      </c>
      <c r="Z79" s="71">
        <v>0</v>
      </c>
      <c r="AA79" s="71">
        <v>0</v>
      </c>
      <c r="AB79" s="71">
        <v>0</v>
      </c>
      <c r="AC79" s="71">
        <v>0</v>
      </c>
      <c r="AD79" s="71">
        <v>0</v>
      </c>
      <c r="AE79" s="13">
        <v>0</v>
      </c>
      <c r="AF79" s="13">
        <v>0</v>
      </c>
      <c r="AI79" s="20"/>
      <c r="AJ79" s="13"/>
      <c r="AK79" s="11">
        <f t="shared" si="11"/>
        <v>660000</v>
      </c>
      <c r="AL79" s="11">
        <f t="shared" si="7"/>
        <v>55000</v>
      </c>
      <c r="AM79" s="11">
        <f t="shared" si="12"/>
        <v>600</v>
      </c>
      <c r="AN79" s="11">
        <f>VLOOKUP(C79,'Paid Tax'!B74:M435,12,FALSE)</f>
        <v>350</v>
      </c>
      <c r="AO79" s="11">
        <f t="shared" si="8"/>
        <v>250</v>
      </c>
      <c r="AP79" s="13">
        <v>5</v>
      </c>
      <c r="AQ79" s="16">
        <f t="shared" si="9"/>
        <v>50</v>
      </c>
      <c r="AS79" s="11">
        <f t="shared" si="13"/>
        <v>-50</v>
      </c>
      <c r="AT79" s="13"/>
    </row>
    <row r="80" spans="1:46" x14ac:dyDescent="0.25">
      <c r="A80" s="12">
        <v>73</v>
      </c>
      <c r="B80" s="60" t="s">
        <v>293</v>
      </c>
      <c r="C80" s="53">
        <v>10441</v>
      </c>
      <c r="D80" s="38" t="s">
        <v>97</v>
      </c>
      <c r="E80" s="38" t="s">
        <v>96</v>
      </c>
      <c r="F80" s="37" t="s">
        <v>277</v>
      </c>
      <c r="G80" s="4">
        <v>55000</v>
      </c>
      <c r="H80" s="4"/>
      <c r="I80" s="4"/>
      <c r="J80" s="4">
        <v>0</v>
      </c>
      <c r="K80" s="4">
        <v>0</v>
      </c>
      <c r="L80" s="11">
        <f t="shared" si="10"/>
        <v>660000</v>
      </c>
      <c r="M80" s="69">
        <v>0</v>
      </c>
      <c r="N80" s="71">
        <v>0</v>
      </c>
      <c r="O80" s="71">
        <v>0</v>
      </c>
      <c r="P80" s="71">
        <v>0</v>
      </c>
      <c r="Q80" s="71">
        <f>VLOOKUP(C80,Incentives!C74:K413,9,FALSE)</f>
        <v>0</v>
      </c>
      <c r="R80" s="71">
        <v>0</v>
      </c>
      <c r="S80" s="13">
        <v>0</v>
      </c>
      <c r="T80" s="13">
        <v>0</v>
      </c>
      <c r="U80" s="13"/>
      <c r="V80" s="13"/>
      <c r="Y80" s="71">
        <v>0</v>
      </c>
      <c r="Z80" s="71">
        <v>0</v>
      </c>
      <c r="AA80" s="71">
        <v>0</v>
      </c>
      <c r="AB80" s="71">
        <v>0</v>
      </c>
      <c r="AC80" s="71">
        <v>0</v>
      </c>
      <c r="AD80" s="71">
        <v>0</v>
      </c>
      <c r="AE80" s="13">
        <v>0</v>
      </c>
      <c r="AF80" s="13">
        <v>0</v>
      </c>
      <c r="AI80" s="20"/>
      <c r="AJ80" s="13"/>
      <c r="AK80" s="11">
        <f t="shared" si="11"/>
        <v>660000</v>
      </c>
      <c r="AL80" s="11">
        <f t="shared" si="7"/>
        <v>55000</v>
      </c>
      <c r="AM80" s="11">
        <f t="shared" si="12"/>
        <v>600</v>
      </c>
      <c r="AN80" s="11">
        <f>VLOOKUP(C80,'Paid Tax'!B75:M436,12,FALSE)</f>
        <v>350</v>
      </c>
      <c r="AO80" s="11">
        <f t="shared" si="8"/>
        <v>250</v>
      </c>
      <c r="AP80" s="13">
        <v>5</v>
      </c>
      <c r="AQ80" s="16">
        <f t="shared" si="9"/>
        <v>50</v>
      </c>
      <c r="AS80" s="11">
        <f t="shared" si="13"/>
        <v>-50</v>
      </c>
      <c r="AT80" s="13"/>
    </row>
    <row r="81" spans="1:46" x14ac:dyDescent="0.25">
      <c r="A81" s="12">
        <v>74</v>
      </c>
      <c r="B81" s="60" t="s">
        <v>293</v>
      </c>
      <c r="C81" s="53">
        <v>10142</v>
      </c>
      <c r="D81" s="38" t="s">
        <v>98</v>
      </c>
      <c r="E81" s="38" t="s">
        <v>99</v>
      </c>
      <c r="F81" s="37" t="s">
        <v>278</v>
      </c>
      <c r="G81" s="4">
        <v>42500</v>
      </c>
      <c r="H81" s="4"/>
      <c r="I81" s="4"/>
      <c r="J81" s="4">
        <v>7500</v>
      </c>
      <c r="K81" s="4">
        <v>7500</v>
      </c>
      <c r="L81" s="11">
        <f t="shared" si="10"/>
        <v>525000</v>
      </c>
      <c r="M81" s="69">
        <v>0</v>
      </c>
      <c r="N81" s="71">
        <v>0</v>
      </c>
      <c r="O81" s="71">
        <v>0</v>
      </c>
      <c r="P81" s="71">
        <v>0</v>
      </c>
      <c r="Q81" s="71">
        <f>VLOOKUP(C81,Incentives!C75:K414,9,FALSE)</f>
        <v>0</v>
      </c>
      <c r="R81" s="71">
        <v>0</v>
      </c>
      <c r="S81" s="13">
        <v>0</v>
      </c>
      <c r="T81" s="13">
        <v>0</v>
      </c>
      <c r="U81" s="13"/>
      <c r="V81" s="13"/>
      <c r="Y81" s="71">
        <v>0</v>
      </c>
      <c r="Z81" s="71">
        <v>0</v>
      </c>
      <c r="AA81" s="71">
        <v>0</v>
      </c>
      <c r="AB81" s="71">
        <v>0</v>
      </c>
      <c r="AC81" s="71">
        <v>0</v>
      </c>
      <c r="AD81" s="71">
        <v>0</v>
      </c>
      <c r="AE81" s="13">
        <v>0</v>
      </c>
      <c r="AF81" s="13">
        <v>0</v>
      </c>
      <c r="AI81" s="22"/>
      <c r="AJ81" s="18"/>
      <c r="AK81" s="11">
        <f t="shared" si="11"/>
        <v>525000</v>
      </c>
      <c r="AL81" s="11">
        <f t="shared" si="7"/>
        <v>43750</v>
      </c>
      <c r="AM81" s="11">
        <f t="shared" si="12"/>
        <v>0</v>
      </c>
      <c r="AN81" s="11">
        <f>VLOOKUP(C81,'Paid Tax'!B76:M437,12,FALSE)</f>
        <v>0</v>
      </c>
      <c r="AO81" s="11">
        <f t="shared" si="8"/>
        <v>0</v>
      </c>
      <c r="AP81" s="13">
        <v>5</v>
      </c>
      <c r="AQ81" s="16">
        <f t="shared" si="9"/>
        <v>0</v>
      </c>
      <c r="AS81" s="11">
        <f t="shared" si="13"/>
        <v>0</v>
      </c>
      <c r="AT81" s="13"/>
    </row>
    <row r="82" spans="1:46" x14ac:dyDescent="0.25">
      <c r="A82" s="12">
        <v>75</v>
      </c>
      <c r="B82" s="60" t="s">
        <v>293</v>
      </c>
      <c r="C82" s="53">
        <v>10434</v>
      </c>
      <c r="D82" s="38" t="s">
        <v>100</v>
      </c>
      <c r="E82" s="38" t="s">
        <v>69</v>
      </c>
      <c r="F82" s="37" t="s">
        <v>284</v>
      </c>
      <c r="G82" s="4">
        <v>32400</v>
      </c>
      <c r="H82" s="4"/>
      <c r="I82" s="4"/>
      <c r="J82" s="4">
        <v>4400</v>
      </c>
      <c r="K82" s="4">
        <v>4400</v>
      </c>
      <c r="L82" s="11">
        <f t="shared" si="10"/>
        <v>397600</v>
      </c>
      <c r="M82" s="69">
        <v>12700</v>
      </c>
      <c r="N82" s="71">
        <v>25280</v>
      </c>
      <c r="O82" s="71">
        <v>19880</v>
      </c>
      <c r="P82" s="71">
        <v>28980</v>
      </c>
      <c r="Q82" s="71">
        <f>VLOOKUP(C82,Incentives!C76:K415,9,FALSE)</f>
        <v>21920</v>
      </c>
      <c r="R82" s="71">
        <v>33830</v>
      </c>
      <c r="S82" s="13">
        <v>21300</v>
      </c>
      <c r="T82" s="13">
        <v>22475</v>
      </c>
      <c r="U82" s="13"/>
      <c r="V82" s="13"/>
      <c r="Y82" s="71">
        <v>0</v>
      </c>
      <c r="Z82" s="71">
        <v>0</v>
      </c>
      <c r="AA82" s="71">
        <v>0</v>
      </c>
      <c r="AB82" s="71">
        <v>0</v>
      </c>
      <c r="AC82" s="71">
        <v>0</v>
      </c>
      <c r="AD82" s="71">
        <v>5000</v>
      </c>
      <c r="AE82" s="13">
        <v>0</v>
      </c>
      <c r="AF82" s="13">
        <v>0</v>
      </c>
      <c r="AI82" s="20"/>
      <c r="AJ82" s="13"/>
      <c r="AK82" s="11">
        <f t="shared" si="11"/>
        <v>588965</v>
      </c>
      <c r="AL82" s="11">
        <f t="shared" si="7"/>
        <v>49080.416666666664</v>
      </c>
      <c r="AM82" s="11">
        <f t="shared" si="12"/>
        <v>0</v>
      </c>
      <c r="AN82" s="11">
        <f>VLOOKUP(C82,'Paid Tax'!B77:M438,12,FALSE)</f>
        <v>0</v>
      </c>
      <c r="AO82" s="11">
        <f t="shared" si="8"/>
        <v>0</v>
      </c>
      <c r="AP82" s="13">
        <v>5</v>
      </c>
      <c r="AQ82" s="16">
        <f t="shared" si="9"/>
        <v>0</v>
      </c>
      <c r="AS82" s="11">
        <f t="shared" si="13"/>
        <v>0</v>
      </c>
      <c r="AT82" s="13"/>
    </row>
    <row r="83" spans="1:46" x14ac:dyDescent="0.25">
      <c r="A83" s="12">
        <v>76</v>
      </c>
      <c r="B83" s="60" t="s">
        <v>293</v>
      </c>
      <c r="C83" s="53">
        <v>10147</v>
      </c>
      <c r="D83" s="38" t="s">
        <v>101</v>
      </c>
      <c r="E83" s="38" t="s">
        <v>440</v>
      </c>
      <c r="F83" s="37" t="s">
        <v>285</v>
      </c>
      <c r="G83" s="4">
        <v>127483</v>
      </c>
      <c r="H83" s="4"/>
      <c r="I83" s="4"/>
      <c r="J83" s="4">
        <v>20000</v>
      </c>
      <c r="K83" s="4">
        <v>20000</v>
      </c>
      <c r="L83" s="11">
        <f t="shared" si="10"/>
        <v>1569796</v>
      </c>
      <c r="M83" s="69">
        <v>0</v>
      </c>
      <c r="N83" s="71">
        <v>0</v>
      </c>
      <c r="O83" s="71">
        <v>0</v>
      </c>
      <c r="P83" s="71">
        <v>0</v>
      </c>
      <c r="Q83" s="71">
        <f>VLOOKUP(C83,Incentives!C77:K416,9,FALSE)</f>
        <v>0</v>
      </c>
      <c r="R83" s="71">
        <v>0</v>
      </c>
      <c r="S83" s="13">
        <v>0</v>
      </c>
      <c r="T83" s="13">
        <v>0</v>
      </c>
      <c r="U83" s="13"/>
      <c r="V83" s="13"/>
      <c r="Y83" s="71">
        <v>0</v>
      </c>
      <c r="Z83" s="71">
        <v>0</v>
      </c>
      <c r="AA83" s="71">
        <v>0</v>
      </c>
      <c r="AB83" s="71">
        <v>0</v>
      </c>
      <c r="AC83" s="71">
        <v>0</v>
      </c>
      <c r="AD83" s="71">
        <v>0</v>
      </c>
      <c r="AE83" s="13">
        <v>0</v>
      </c>
      <c r="AF83" s="13">
        <v>0</v>
      </c>
      <c r="AI83" s="20"/>
      <c r="AJ83" s="13"/>
      <c r="AK83" s="11">
        <f t="shared" si="11"/>
        <v>1569796</v>
      </c>
      <c r="AL83" s="11">
        <f t="shared" si="7"/>
        <v>130816.33333333333</v>
      </c>
      <c r="AM83" s="11">
        <f t="shared" si="12"/>
        <v>46677.56</v>
      </c>
      <c r="AN83" s="11">
        <f>VLOOKUP(C83,'Paid Tax'!B78:M439,12,FALSE)</f>
        <v>27145.243333333317</v>
      </c>
      <c r="AO83" s="11">
        <f t="shared" si="8"/>
        <v>19532.31666666668</v>
      </c>
      <c r="AP83" s="13">
        <v>5</v>
      </c>
      <c r="AQ83" s="16">
        <f t="shared" si="9"/>
        <v>3906.4633333333359</v>
      </c>
      <c r="AS83" s="11">
        <f t="shared" si="13"/>
        <v>-3906.4633333333359</v>
      </c>
      <c r="AT83" s="13"/>
    </row>
    <row r="84" spans="1:46" s="18" customFormat="1" x14ac:dyDescent="0.25">
      <c r="A84" s="12">
        <v>77</v>
      </c>
      <c r="B84" s="60" t="s">
        <v>293</v>
      </c>
      <c r="C84" s="53">
        <v>10486</v>
      </c>
      <c r="D84" s="38" t="s">
        <v>103</v>
      </c>
      <c r="E84" s="38" t="s">
        <v>102</v>
      </c>
      <c r="F84" s="37" t="s">
        <v>286</v>
      </c>
      <c r="G84" s="4">
        <v>39250</v>
      </c>
      <c r="H84" s="4"/>
      <c r="I84" s="4"/>
      <c r="J84" s="4">
        <v>4250</v>
      </c>
      <c r="K84" s="4">
        <v>4250</v>
      </c>
      <c r="L84" s="11">
        <f t="shared" si="10"/>
        <v>479500</v>
      </c>
      <c r="M84" s="69">
        <v>0</v>
      </c>
      <c r="N84" s="71">
        <v>0</v>
      </c>
      <c r="O84" s="71">
        <v>0</v>
      </c>
      <c r="P84" s="71">
        <v>0</v>
      </c>
      <c r="Q84" s="71">
        <f>VLOOKUP(C84,Incentives!C78:K417,9,FALSE)</f>
        <v>0</v>
      </c>
      <c r="R84" s="71">
        <v>0</v>
      </c>
      <c r="S84" s="13">
        <v>0</v>
      </c>
      <c r="T84" s="13">
        <v>0</v>
      </c>
      <c r="U84" s="13"/>
      <c r="V84" s="13"/>
      <c r="W84" s="13"/>
      <c r="Y84" s="71">
        <v>0</v>
      </c>
      <c r="Z84" s="71">
        <v>1250</v>
      </c>
      <c r="AA84" s="71">
        <v>0</v>
      </c>
      <c r="AB84" s="71">
        <v>0</v>
      </c>
      <c r="AC84" s="71">
        <v>0</v>
      </c>
      <c r="AD84" s="71">
        <v>0</v>
      </c>
      <c r="AE84" s="13">
        <v>0</v>
      </c>
      <c r="AF84" s="13">
        <v>0</v>
      </c>
      <c r="AG84" s="13"/>
      <c r="AH84" s="13"/>
      <c r="AI84" s="20"/>
      <c r="AK84" s="11">
        <f t="shared" si="11"/>
        <v>480750</v>
      </c>
      <c r="AL84" s="11">
        <f t="shared" si="7"/>
        <v>40062.5</v>
      </c>
      <c r="AM84" s="11">
        <f t="shared" si="12"/>
        <v>0</v>
      </c>
      <c r="AN84" s="11">
        <f>VLOOKUP(C84,'Paid Tax'!B79:M440,12,FALSE)</f>
        <v>0</v>
      </c>
      <c r="AO84" s="11">
        <f t="shared" si="8"/>
        <v>0</v>
      </c>
      <c r="AP84" s="13">
        <v>5</v>
      </c>
      <c r="AQ84" s="16">
        <f t="shared" si="9"/>
        <v>0</v>
      </c>
      <c r="AR84" s="13"/>
      <c r="AS84" s="11">
        <f t="shared" si="13"/>
        <v>0</v>
      </c>
      <c r="AT84" s="13"/>
    </row>
    <row r="85" spans="1:46" s="13" customFormat="1" x14ac:dyDescent="0.25">
      <c r="A85" s="12">
        <v>78</v>
      </c>
      <c r="B85" s="60" t="s">
        <v>293</v>
      </c>
      <c r="C85" s="53">
        <v>10507</v>
      </c>
      <c r="D85" s="38" t="s">
        <v>104</v>
      </c>
      <c r="E85" s="38" t="s">
        <v>132</v>
      </c>
      <c r="F85" s="37" t="s">
        <v>278</v>
      </c>
      <c r="G85" s="4">
        <v>35000</v>
      </c>
      <c r="H85" s="4"/>
      <c r="I85" s="4"/>
      <c r="J85" s="4">
        <v>0</v>
      </c>
      <c r="K85" s="4">
        <v>0</v>
      </c>
      <c r="L85" s="11">
        <f t="shared" si="10"/>
        <v>420000</v>
      </c>
      <c r="M85" s="69">
        <v>0</v>
      </c>
      <c r="N85" s="71">
        <v>0</v>
      </c>
      <c r="O85" s="71">
        <v>0</v>
      </c>
      <c r="P85" s="71">
        <v>0</v>
      </c>
      <c r="Q85" s="71">
        <f>VLOOKUP(C85,Incentives!C79:K418,9,FALSE)</f>
        <v>0</v>
      </c>
      <c r="R85" s="71">
        <v>0</v>
      </c>
      <c r="S85" s="13">
        <v>0</v>
      </c>
      <c r="T85" s="13">
        <v>0</v>
      </c>
      <c r="Y85" s="71">
        <v>0</v>
      </c>
      <c r="Z85" s="71">
        <v>0</v>
      </c>
      <c r="AA85" s="71">
        <v>0</v>
      </c>
      <c r="AB85" s="71">
        <v>0</v>
      </c>
      <c r="AC85" s="71">
        <v>0</v>
      </c>
      <c r="AD85" s="71">
        <v>0</v>
      </c>
      <c r="AE85" s="13">
        <v>0</v>
      </c>
      <c r="AF85" s="13">
        <v>0</v>
      </c>
      <c r="AI85" s="20"/>
      <c r="AK85" s="11">
        <f t="shared" si="11"/>
        <v>420000</v>
      </c>
      <c r="AL85" s="11">
        <f t="shared" si="7"/>
        <v>35000</v>
      </c>
      <c r="AM85" s="11">
        <f t="shared" si="12"/>
        <v>0</v>
      </c>
      <c r="AN85" s="11">
        <f>VLOOKUP(C85,'Paid Tax'!B80:M441,12,FALSE)</f>
        <v>0</v>
      </c>
      <c r="AO85" s="11">
        <f t="shared" si="8"/>
        <v>0</v>
      </c>
      <c r="AP85" s="13">
        <v>5</v>
      </c>
      <c r="AQ85" s="16">
        <f t="shared" si="9"/>
        <v>0</v>
      </c>
      <c r="AS85" s="11">
        <f t="shared" si="13"/>
        <v>0</v>
      </c>
    </row>
    <row r="86" spans="1:46" s="18" customFormat="1" x14ac:dyDescent="0.25">
      <c r="A86" s="12">
        <v>79</v>
      </c>
      <c r="B86" s="60" t="s">
        <v>293</v>
      </c>
      <c r="C86" s="53">
        <v>10160</v>
      </c>
      <c r="D86" s="38" t="s">
        <v>105</v>
      </c>
      <c r="E86" s="38" t="s">
        <v>106</v>
      </c>
      <c r="F86" s="37" t="s">
        <v>277</v>
      </c>
      <c r="G86" s="4">
        <v>40859</v>
      </c>
      <c r="H86" s="4"/>
      <c r="I86" s="4"/>
      <c r="J86" s="4">
        <v>7183.75</v>
      </c>
      <c r="K86" s="4">
        <v>7183.75</v>
      </c>
      <c r="L86" s="11">
        <f t="shared" si="10"/>
        <v>504675.5</v>
      </c>
      <c r="M86" s="69">
        <v>0</v>
      </c>
      <c r="N86" s="71">
        <v>0</v>
      </c>
      <c r="O86" s="71">
        <v>0</v>
      </c>
      <c r="P86" s="71">
        <v>0</v>
      </c>
      <c r="Q86" s="71">
        <f>VLOOKUP(C86,Incentives!C80:K419,9,FALSE)</f>
        <v>0</v>
      </c>
      <c r="R86" s="71">
        <v>0</v>
      </c>
      <c r="S86" s="13">
        <v>0</v>
      </c>
      <c r="T86" s="13">
        <v>0</v>
      </c>
      <c r="U86" s="13"/>
      <c r="V86" s="13"/>
      <c r="W86" s="13"/>
      <c r="Y86" s="71">
        <v>0</v>
      </c>
      <c r="Z86" s="71">
        <v>0</v>
      </c>
      <c r="AA86" s="71">
        <v>0</v>
      </c>
      <c r="AB86" s="71">
        <v>0</v>
      </c>
      <c r="AC86" s="71">
        <v>0</v>
      </c>
      <c r="AD86" s="71">
        <v>0</v>
      </c>
      <c r="AE86" s="13">
        <v>0</v>
      </c>
      <c r="AF86" s="13">
        <v>0</v>
      </c>
      <c r="AG86" s="13"/>
      <c r="AH86" s="13"/>
      <c r="AI86" s="20"/>
      <c r="AK86" s="11">
        <f t="shared" si="11"/>
        <v>504675.5</v>
      </c>
      <c r="AL86" s="11">
        <f t="shared" si="7"/>
        <v>42056.291666666664</v>
      </c>
      <c r="AM86" s="11">
        <f t="shared" si="12"/>
        <v>0</v>
      </c>
      <c r="AN86" s="11">
        <f>VLOOKUP(C86,'Paid Tax'!B81:M442,12,FALSE)</f>
        <v>0</v>
      </c>
      <c r="AO86" s="11">
        <f t="shared" si="8"/>
        <v>0</v>
      </c>
      <c r="AP86" s="13">
        <v>5</v>
      </c>
      <c r="AQ86" s="16">
        <f t="shared" si="9"/>
        <v>0</v>
      </c>
      <c r="AR86" s="13"/>
      <c r="AS86" s="11">
        <f t="shared" si="13"/>
        <v>0</v>
      </c>
      <c r="AT86" s="13"/>
    </row>
    <row r="87" spans="1:46" x14ac:dyDescent="0.25">
      <c r="A87" s="12">
        <v>80</v>
      </c>
      <c r="B87" s="60" t="s">
        <v>293</v>
      </c>
      <c r="C87" s="53">
        <v>10256</v>
      </c>
      <c r="D87" s="38" t="s">
        <v>107</v>
      </c>
      <c r="E87" s="38" t="s">
        <v>106</v>
      </c>
      <c r="F87" s="37" t="s">
        <v>277</v>
      </c>
      <c r="G87" s="4">
        <v>36643</v>
      </c>
      <c r="H87" s="4"/>
      <c r="I87" s="4"/>
      <c r="J87" s="4">
        <v>6983</v>
      </c>
      <c r="K87" s="4">
        <v>6983</v>
      </c>
      <c r="L87" s="11">
        <f t="shared" si="10"/>
        <v>453682</v>
      </c>
      <c r="M87" s="69">
        <v>0</v>
      </c>
      <c r="N87" s="71">
        <v>0</v>
      </c>
      <c r="O87" s="71">
        <v>0</v>
      </c>
      <c r="P87" s="71">
        <v>0</v>
      </c>
      <c r="Q87" s="71">
        <f>VLOOKUP(C87,Incentives!C81:K420,9,FALSE)</f>
        <v>0</v>
      </c>
      <c r="R87" s="71">
        <v>0</v>
      </c>
      <c r="S87" s="13">
        <v>0</v>
      </c>
      <c r="T87" s="13">
        <v>0</v>
      </c>
      <c r="U87" s="13"/>
      <c r="V87" s="13"/>
      <c r="Y87" s="71">
        <v>0</v>
      </c>
      <c r="Z87" s="71">
        <v>0</v>
      </c>
      <c r="AA87" s="71">
        <v>0</v>
      </c>
      <c r="AB87" s="71">
        <v>0</v>
      </c>
      <c r="AC87" s="71">
        <v>0</v>
      </c>
      <c r="AD87" s="71">
        <v>0</v>
      </c>
      <c r="AE87" s="13">
        <v>0</v>
      </c>
      <c r="AF87" s="13">
        <v>0</v>
      </c>
      <c r="AI87" s="20"/>
      <c r="AJ87" s="13"/>
      <c r="AK87" s="11">
        <f t="shared" si="11"/>
        <v>453682</v>
      </c>
      <c r="AL87" s="11">
        <f t="shared" si="7"/>
        <v>37806.833333333336</v>
      </c>
      <c r="AM87" s="11">
        <f t="shared" si="12"/>
        <v>0</v>
      </c>
      <c r="AN87" s="11">
        <f>VLOOKUP(C87,'Paid Tax'!B82:M443,12,FALSE)</f>
        <v>0</v>
      </c>
      <c r="AO87" s="11">
        <f t="shared" si="8"/>
        <v>0</v>
      </c>
      <c r="AP87" s="13">
        <v>5</v>
      </c>
      <c r="AQ87" s="16">
        <f t="shared" si="9"/>
        <v>0</v>
      </c>
      <c r="AS87" s="11">
        <f t="shared" si="13"/>
        <v>0</v>
      </c>
      <c r="AT87" s="13"/>
    </row>
    <row r="88" spans="1:46" x14ac:dyDescent="0.25">
      <c r="A88" s="12">
        <v>81</v>
      </c>
      <c r="B88" s="60" t="s">
        <v>293</v>
      </c>
      <c r="C88" s="53">
        <v>10163</v>
      </c>
      <c r="D88" s="38" t="s">
        <v>108</v>
      </c>
      <c r="E88" s="38" t="s">
        <v>441</v>
      </c>
      <c r="F88" s="37" t="s">
        <v>281</v>
      </c>
      <c r="G88" s="4">
        <v>37603</v>
      </c>
      <c r="H88" s="4"/>
      <c r="I88" s="4"/>
      <c r="J88" s="4">
        <v>6003.9500000000007</v>
      </c>
      <c r="K88" s="4">
        <v>6003.9500000000007</v>
      </c>
      <c r="L88" s="11">
        <f t="shared" si="10"/>
        <v>463243.9</v>
      </c>
      <c r="M88" s="69">
        <v>0</v>
      </c>
      <c r="N88" s="71">
        <v>0</v>
      </c>
      <c r="O88" s="71">
        <v>0</v>
      </c>
      <c r="P88" s="71">
        <v>0</v>
      </c>
      <c r="Q88" s="71">
        <f>VLOOKUP(C88,Incentives!C82:K421,9,FALSE)</f>
        <v>0</v>
      </c>
      <c r="R88" s="71">
        <v>0</v>
      </c>
      <c r="S88" s="13">
        <v>0</v>
      </c>
      <c r="T88" s="13">
        <v>0</v>
      </c>
      <c r="U88" s="13"/>
      <c r="V88" s="13"/>
      <c r="Y88" s="71">
        <v>34251</v>
      </c>
      <c r="Z88" s="71">
        <v>32851</v>
      </c>
      <c r="AA88" s="71">
        <v>28574</v>
      </c>
      <c r="AB88" s="71">
        <v>90883</v>
      </c>
      <c r="AC88" s="71">
        <v>57273</v>
      </c>
      <c r="AD88" s="71">
        <v>31490</v>
      </c>
      <c r="AE88" s="13">
        <v>28442</v>
      </c>
      <c r="AF88" s="13">
        <v>27791</v>
      </c>
      <c r="AI88" s="20"/>
      <c r="AJ88" s="13"/>
      <c r="AK88" s="11">
        <f t="shared" si="11"/>
        <v>794798.9</v>
      </c>
      <c r="AL88" s="11">
        <f t="shared" si="7"/>
        <v>66233.241666666669</v>
      </c>
      <c r="AM88" s="11">
        <f t="shared" si="12"/>
        <v>1947.9890000000003</v>
      </c>
      <c r="AN88" s="11">
        <f>VLOOKUP(C88,'Paid Tax'!B83:M444,12,FALSE)</f>
        <v>416.79097979797996</v>
      </c>
      <c r="AO88" s="11">
        <f t="shared" si="8"/>
        <v>1531.1980202020204</v>
      </c>
      <c r="AP88" s="13">
        <v>8</v>
      </c>
      <c r="AQ88" s="16">
        <f t="shared" si="9"/>
        <v>191.39975252525255</v>
      </c>
      <c r="AR88" s="91" t="s">
        <v>1101</v>
      </c>
      <c r="AS88" s="11">
        <f t="shared" si="13"/>
        <v>-191.39975252525255</v>
      </c>
      <c r="AT88" s="13"/>
    </row>
    <row r="89" spans="1:46" x14ac:dyDescent="0.25">
      <c r="A89" s="12">
        <v>82</v>
      </c>
      <c r="B89" s="60" t="s">
        <v>293</v>
      </c>
      <c r="C89" s="53">
        <v>10370</v>
      </c>
      <c r="D89" s="38" t="s">
        <v>110</v>
      </c>
      <c r="E89" s="38" t="s">
        <v>23</v>
      </c>
      <c r="F89" s="37" t="s">
        <v>279</v>
      </c>
      <c r="G89" s="4">
        <v>32480</v>
      </c>
      <c r="H89" s="4"/>
      <c r="I89" s="4"/>
      <c r="J89" s="4">
        <v>4480</v>
      </c>
      <c r="K89" s="4">
        <v>4480</v>
      </c>
      <c r="L89" s="11">
        <f t="shared" si="10"/>
        <v>398720</v>
      </c>
      <c r="M89" s="69">
        <v>0</v>
      </c>
      <c r="N89" s="71">
        <v>0</v>
      </c>
      <c r="O89" s="71">
        <v>0</v>
      </c>
      <c r="P89" s="71">
        <v>0</v>
      </c>
      <c r="Q89" s="71">
        <f>VLOOKUP(C89,Incentives!C83:K422,9,FALSE)</f>
        <v>0</v>
      </c>
      <c r="R89" s="71">
        <v>0</v>
      </c>
      <c r="S89" s="13">
        <v>0</v>
      </c>
      <c r="T89" s="13">
        <v>0</v>
      </c>
      <c r="U89" s="13"/>
      <c r="V89" s="13"/>
      <c r="Y89" s="71">
        <v>0</v>
      </c>
      <c r="Z89" s="71">
        <v>0</v>
      </c>
      <c r="AA89" s="71">
        <v>0</v>
      </c>
      <c r="AB89" s="71">
        <v>0</v>
      </c>
      <c r="AC89" s="71">
        <v>0</v>
      </c>
      <c r="AD89" s="71">
        <v>0</v>
      </c>
      <c r="AE89" s="13">
        <v>0</v>
      </c>
      <c r="AF89" s="13">
        <v>0</v>
      </c>
      <c r="AI89" s="20"/>
      <c r="AJ89" s="13"/>
      <c r="AK89" s="11">
        <f t="shared" si="11"/>
        <v>398720</v>
      </c>
      <c r="AL89" s="11">
        <f t="shared" si="7"/>
        <v>33226.666666666664</v>
      </c>
      <c r="AM89" s="11">
        <f t="shared" si="12"/>
        <v>0</v>
      </c>
      <c r="AN89" s="11">
        <f>VLOOKUP(C89,'Paid Tax'!B84:M445,12,FALSE)</f>
        <v>0</v>
      </c>
      <c r="AO89" s="11">
        <f t="shared" si="8"/>
        <v>0</v>
      </c>
      <c r="AP89" s="13">
        <v>5</v>
      </c>
      <c r="AQ89" s="16">
        <f t="shared" si="9"/>
        <v>0</v>
      </c>
      <c r="AS89" s="11">
        <f t="shared" si="13"/>
        <v>0</v>
      </c>
      <c r="AT89" s="13"/>
    </row>
    <row r="90" spans="1:46" x14ac:dyDescent="0.25">
      <c r="A90" s="12">
        <v>83</v>
      </c>
      <c r="B90" s="60" t="s">
        <v>293</v>
      </c>
      <c r="C90" s="53">
        <v>10430</v>
      </c>
      <c r="D90" s="38" t="s">
        <v>111</v>
      </c>
      <c r="E90" s="38" t="s">
        <v>23</v>
      </c>
      <c r="F90" s="37" t="s">
        <v>279</v>
      </c>
      <c r="G90" s="4">
        <v>33900</v>
      </c>
      <c r="H90" s="4"/>
      <c r="I90" s="4"/>
      <c r="J90" s="4">
        <v>3900</v>
      </c>
      <c r="K90" s="4">
        <v>3900</v>
      </c>
      <c r="L90" s="11">
        <f t="shared" si="10"/>
        <v>414600</v>
      </c>
      <c r="M90" s="69">
        <v>0</v>
      </c>
      <c r="N90" s="71">
        <v>0</v>
      </c>
      <c r="O90" s="71">
        <v>0</v>
      </c>
      <c r="P90" s="71">
        <v>0</v>
      </c>
      <c r="Q90" s="71">
        <f>VLOOKUP(C90,Incentives!C84:K423,9,FALSE)</f>
        <v>0</v>
      </c>
      <c r="R90" s="71">
        <v>0</v>
      </c>
      <c r="S90" s="13">
        <v>0</v>
      </c>
      <c r="T90" s="13">
        <v>0</v>
      </c>
      <c r="U90" s="13"/>
      <c r="V90" s="13"/>
      <c r="Y90" s="71">
        <v>1000</v>
      </c>
      <c r="Z90" s="71">
        <v>0</v>
      </c>
      <c r="AA90" s="71">
        <v>0</v>
      </c>
      <c r="AB90" s="71">
        <v>0</v>
      </c>
      <c r="AC90" s="71">
        <v>4000</v>
      </c>
      <c r="AD90" s="71">
        <v>0</v>
      </c>
      <c r="AE90" s="13">
        <v>2000</v>
      </c>
      <c r="AF90" s="13">
        <v>0</v>
      </c>
      <c r="AI90" s="20"/>
      <c r="AJ90" s="13"/>
      <c r="AK90" s="11">
        <f t="shared" si="11"/>
        <v>421600</v>
      </c>
      <c r="AL90" s="11">
        <f t="shared" si="7"/>
        <v>35133.333333333336</v>
      </c>
      <c r="AM90" s="11">
        <f t="shared" si="12"/>
        <v>0</v>
      </c>
      <c r="AN90" s="11">
        <f>VLOOKUP(C90,'Paid Tax'!B85:M446,12,FALSE)</f>
        <v>0</v>
      </c>
      <c r="AO90" s="11">
        <f t="shared" si="8"/>
        <v>0</v>
      </c>
      <c r="AP90" s="13">
        <v>5</v>
      </c>
      <c r="AQ90" s="16">
        <f t="shared" si="9"/>
        <v>0</v>
      </c>
      <c r="AS90" s="11">
        <f t="shared" si="13"/>
        <v>0</v>
      </c>
      <c r="AT90" s="13"/>
    </row>
    <row r="91" spans="1:46" x14ac:dyDescent="0.25">
      <c r="A91" s="12">
        <v>84</v>
      </c>
      <c r="B91" s="60" t="s">
        <v>293</v>
      </c>
      <c r="C91" s="53">
        <v>10431</v>
      </c>
      <c r="D91" s="38" t="s">
        <v>112</v>
      </c>
      <c r="E91" s="38" t="s">
        <v>113</v>
      </c>
      <c r="F91" s="37" t="s">
        <v>281</v>
      </c>
      <c r="G91" s="4">
        <v>34500</v>
      </c>
      <c r="H91" s="4"/>
      <c r="I91" s="4"/>
      <c r="J91" s="4">
        <v>4500</v>
      </c>
      <c r="K91" s="4">
        <v>4500</v>
      </c>
      <c r="L91" s="11">
        <f t="shared" si="10"/>
        <v>423000</v>
      </c>
      <c r="M91" s="69">
        <v>0</v>
      </c>
      <c r="N91" s="71">
        <v>0</v>
      </c>
      <c r="O91" s="71">
        <v>0</v>
      </c>
      <c r="P91" s="71">
        <v>0</v>
      </c>
      <c r="Q91" s="71">
        <f>VLOOKUP(C91,Incentives!C85:K424,9,FALSE)</f>
        <v>0</v>
      </c>
      <c r="R91" s="71">
        <v>0</v>
      </c>
      <c r="S91" s="13">
        <v>0</v>
      </c>
      <c r="T91" s="13">
        <v>0</v>
      </c>
      <c r="U91" s="13"/>
      <c r="V91" s="13"/>
      <c r="Y91" s="71">
        <v>26622</v>
      </c>
      <c r="Z91" s="71">
        <v>25732</v>
      </c>
      <c r="AA91" s="71">
        <v>29735</v>
      </c>
      <c r="AB91" s="71">
        <v>0</v>
      </c>
      <c r="AC91" s="71">
        <v>25344</v>
      </c>
      <c r="AD91" s="71">
        <v>25294</v>
      </c>
      <c r="AE91" s="13">
        <v>30409</v>
      </c>
      <c r="AF91" s="13">
        <v>52065</v>
      </c>
      <c r="AI91" s="20"/>
      <c r="AJ91" s="13"/>
      <c r="AK91" s="11">
        <f t="shared" si="11"/>
        <v>638201</v>
      </c>
      <c r="AL91" s="11">
        <f t="shared" si="7"/>
        <v>53183.416666666664</v>
      </c>
      <c r="AM91" s="11">
        <f t="shared" si="12"/>
        <v>382.01</v>
      </c>
      <c r="AN91" s="11">
        <f>VLOOKUP(C91,'Paid Tax'!B86:M447,12,FALSE)</f>
        <v>0</v>
      </c>
      <c r="AO91" s="11">
        <f t="shared" si="8"/>
        <v>382.01</v>
      </c>
      <c r="AP91" s="13">
        <v>12</v>
      </c>
      <c r="AQ91" s="16">
        <f t="shared" si="9"/>
        <v>31.834166666666665</v>
      </c>
      <c r="AR91" s="97" t="s">
        <v>864</v>
      </c>
      <c r="AS91" s="11">
        <f t="shared" si="13"/>
        <v>-31.834166666666665</v>
      </c>
      <c r="AT91" s="13"/>
    </row>
    <row r="92" spans="1:46" x14ac:dyDescent="0.25">
      <c r="A92" s="12">
        <v>85</v>
      </c>
      <c r="B92" s="60" t="s">
        <v>293</v>
      </c>
      <c r="C92" s="53">
        <v>10495</v>
      </c>
      <c r="D92" s="38" t="s">
        <v>114</v>
      </c>
      <c r="E92" s="38" t="s">
        <v>23</v>
      </c>
      <c r="F92" s="37" t="s">
        <v>279</v>
      </c>
      <c r="G92" s="4">
        <v>34410</v>
      </c>
      <c r="H92" s="4"/>
      <c r="I92" s="4"/>
      <c r="J92" s="4">
        <v>3410</v>
      </c>
      <c r="K92" s="4">
        <v>3410</v>
      </c>
      <c r="L92" s="11">
        <f t="shared" si="10"/>
        <v>419740</v>
      </c>
      <c r="M92" s="69">
        <v>0</v>
      </c>
      <c r="N92" s="71">
        <v>0</v>
      </c>
      <c r="O92" s="71">
        <v>0</v>
      </c>
      <c r="P92" s="71">
        <v>0</v>
      </c>
      <c r="Q92" s="71">
        <f>VLOOKUP(C92,Incentives!C86:K425,9,FALSE)</f>
        <v>0</v>
      </c>
      <c r="R92" s="71">
        <v>0</v>
      </c>
      <c r="S92" s="13">
        <v>0</v>
      </c>
      <c r="T92" s="13">
        <v>0</v>
      </c>
      <c r="U92" s="13"/>
      <c r="V92" s="13"/>
      <c r="Y92" s="71">
        <v>0</v>
      </c>
      <c r="Z92" s="71">
        <v>0</v>
      </c>
      <c r="AA92" s="71">
        <v>0</v>
      </c>
      <c r="AB92" s="71">
        <v>0</v>
      </c>
      <c r="AC92" s="71">
        <v>0</v>
      </c>
      <c r="AD92" s="71">
        <v>0</v>
      </c>
      <c r="AE92" s="13">
        <v>0</v>
      </c>
      <c r="AF92" s="13">
        <v>0</v>
      </c>
      <c r="AI92" s="22"/>
      <c r="AJ92" s="18"/>
      <c r="AK92" s="11">
        <f t="shared" si="11"/>
        <v>419740</v>
      </c>
      <c r="AL92" s="11">
        <f t="shared" si="7"/>
        <v>34978.333333333336</v>
      </c>
      <c r="AM92" s="11">
        <f t="shared" si="12"/>
        <v>0</v>
      </c>
      <c r="AN92" s="11">
        <f>VLOOKUP(C92,'Paid Tax'!B87:M448,12,FALSE)</f>
        <v>0</v>
      </c>
      <c r="AO92" s="11">
        <f t="shared" si="8"/>
        <v>0</v>
      </c>
      <c r="AP92" s="13">
        <v>5</v>
      </c>
      <c r="AQ92" s="16">
        <f t="shared" si="9"/>
        <v>0</v>
      </c>
      <c r="AS92" s="11">
        <f t="shared" si="13"/>
        <v>0</v>
      </c>
      <c r="AT92" s="13"/>
    </row>
    <row r="93" spans="1:46" s="18" customFormat="1" x14ac:dyDescent="0.25">
      <c r="A93" s="12">
        <v>86</v>
      </c>
      <c r="B93" s="60" t="s">
        <v>293</v>
      </c>
      <c r="C93" s="53">
        <v>10180</v>
      </c>
      <c r="D93" s="38" t="s">
        <v>115</v>
      </c>
      <c r="E93" s="38" t="s">
        <v>69</v>
      </c>
      <c r="F93" s="37" t="s">
        <v>284</v>
      </c>
      <c r="G93" s="4">
        <v>32038</v>
      </c>
      <c r="H93" s="4"/>
      <c r="I93" s="4"/>
      <c r="J93" s="4">
        <v>3906.55</v>
      </c>
      <c r="K93" s="4">
        <v>3906.55</v>
      </c>
      <c r="L93" s="11">
        <f t="shared" si="10"/>
        <v>392269.1</v>
      </c>
      <c r="M93" s="69">
        <v>43400</v>
      </c>
      <c r="N93" s="71">
        <v>4900</v>
      </c>
      <c r="O93" s="71">
        <v>0</v>
      </c>
      <c r="P93" s="71">
        <v>0</v>
      </c>
      <c r="Q93" s="71">
        <f>VLOOKUP(C93,Incentives!C87:K426,9,FALSE)</f>
        <v>0</v>
      </c>
      <c r="R93" s="71">
        <v>0</v>
      </c>
      <c r="S93" s="13">
        <v>0</v>
      </c>
      <c r="T93" s="13">
        <v>0</v>
      </c>
      <c r="U93" s="13"/>
      <c r="V93" s="13"/>
      <c r="W93" s="13"/>
      <c r="Y93" s="71">
        <v>0</v>
      </c>
      <c r="Z93" s="71">
        <v>0</v>
      </c>
      <c r="AA93" s="71">
        <v>0</v>
      </c>
      <c r="AB93" s="71">
        <v>0</v>
      </c>
      <c r="AC93" s="71">
        <v>0</v>
      </c>
      <c r="AD93" s="71">
        <v>0</v>
      </c>
      <c r="AE93" s="13">
        <v>0</v>
      </c>
      <c r="AF93" s="13">
        <v>0</v>
      </c>
      <c r="AG93" s="13"/>
      <c r="AH93" s="13"/>
      <c r="AI93" s="20"/>
      <c r="AK93" s="11">
        <f t="shared" si="11"/>
        <v>440569.1</v>
      </c>
      <c r="AL93" s="11">
        <f t="shared" si="7"/>
        <v>36714.091666666667</v>
      </c>
      <c r="AM93" s="11">
        <f t="shared" si="12"/>
        <v>0</v>
      </c>
      <c r="AN93" s="11">
        <f>VLOOKUP(C93,'Paid Tax'!B88:M449,12,FALSE)</f>
        <v>0</v>
      </c>
      <c r="AO93" s="11">
        <f t="shared" si="8"/>
        <v>0</v>
      </c>
      <c r="AP93" s="13">
        <v>5</v>
      </c>
      <c r="AQ93" s="16">
        <f t="shared" si="9"/>
        <v>0</v>
      </c>
      <c r="AR93" s="13"/>
      <c r="AS93" s="11">
        <f t="shared" si="13"/>
        <v>0</v>
      </c>
      <c r="AT93" s="13"/>
    </row>
    <row r="94" spans="1:46" x14ac:dyDescent="0.25">
      <c r="A94" s="12">
        <v>87</v>
      </c>
      <c r="B94" s="60" t="s">
        <v>297</v>
      </c>
      <c r="C94" s="53">
        <v>10496</v>
      </c>
      <c r="D94" s="38" t="s">
        <v>116</v>
      </c>
      <c r="E94" s="38" t="s">
        <v>69</v>
      </c>
      <c r="F94" s="37" t="s">
        <v>284</v>
      </c>
      <c r="G94" s="4">
        <v>32250</v>
      </c>
      <c r="H94" s="4"/>
      <c r="I94" s="4"/>
      <c r="J94" s="4">
        <v>4250</v>
      </c>
      <c r="K94" s="4">
        <v>4250</v>
      </c>
      <c r="L94" s="11">
        <f t="shared" si="10"/>
        <v>395500</v>
      </c>
      <c r="M94" s="69">
        <v>6180</v>
      </c>
      <c r="N94" s="71">
        <v>12300</v>
      </c>
      <c r="O94" s="71">
        <v>8880</v>
      </c>
      <c r="P94" s="71">
        <v>9600</v>
      </c>
      <c r="Q94" s="71">
        <f>VLOOKUP(C94,Incentives!C88:K427,9,FALSE)</f>
        <v>11400</v>
      </c>
      <c r="R94" s="71">
        <v>6000</v>
      </c>
      <c r="S94" s="13">
        <v>14820</v>
      </c>
      <c r="T94" s="13">
        <v>11990</v>
      </c>
      <c r="U94" s="13"/>
      <c r="V94" s="13"/>
      <c r="Y94" s="71">
        <v>0</v>
      </c>
      <c r="Z94" s="71">
        <v>0</v>
      </c>
      <c r="AA94" s="71">
        <v>0</v>
      </c>
      <c r="AB94" s="71">
        <v>0</v>
      </c>
      <c r="AC94" s="71">
        <v>0</v>
      </c>
      <c r="AD94" s="71">
        <v>0</v>
      </c>
      <c r="AE94" s="13">
        <v>0</v>
      </c>
      <c r="AF94" s="13">
        <v>0</v>
      </c>
      <c r="AI94" s="20"/>
      <c r="AJ94" s="13"/>
      <c r="AK94" s="11">
        <f t="shared" si="11"/>
        <v>476670</v>
      </c>
      <c r="AL94" s="11">
        <f t="shared" si="7"/>
        <v>39722.5</v>
      </c>
      <c r="AM94" s="11">
        <f t="shared" si="12"/>
        <v>0</v>
      </c>
      <c r="AN94" s="11">
        <f>VLOOKUP(C94,'Paid Tax'!B89:M450,12,FALSE)</f>
        <v>0</v>
      </c>
      <c r="AO94" s="11">
        <f t="shared" si="8"/>
        <v>0</v>
      </c>
      <c r="AP94" s="13">
        <v>5</v>
      </c>
      <c r="AQ94" s="16">
        <f t="shared" si="9"/>
        <v>0</v>
      </c>
      <c r="AS94" s="11">
        <f t="shared" si="13"/>
        <v>0</v>
      </c>
      <c r="AT94" s="13"/>
    </row>
    <row r="95" spans="1:46" x14ac:dyDescent="0.25">
      <c r="A95" s="12">
        <v>88</v>
      </c>
      <c r="B95" s="60" t="s">
        <v>293</v>
      </c>
      <c r="C95" s="53">
        <v>10547</v>
      </c>
      <c r="D95" s="38" t="s">
        <v>101</v>
      </c>
      <c r="E95" s="38" t="s">
        <v>69</v>
      </c>
      <c r="F95" s="37" t="s">
        <v>284</v>
      </c>
      <c r="G95" s="4">
        <v>28500</v>
      </c>
      <c r="H95" s="4">
        <f>6500*10</f>
        <v>65000</v>
      </c>
      <c r="I95" s="4"/>
      <c r="J95" s="4">
        <v>0</v>
      </c>
      <c r="K95" s="4">
        <v>0</v>
      </c>
      <c r="L95" s="11">
        <f t="shared" si="10"/>
        <v>407000</v>
      </c>
      <c r="M95" s="69">
        <v>2160</v>
      </c>
      <c r="N95" s="71">
        <v>3600</v>
      </c>
      <c r="O95" s="71">
        <v>3400</v>
      </c>
      <c r="P95" s="71">
        <v>4600</v>
      </c>
      <c r="Q95" s="71">
        <f>VLOOKUP(C95,Incentives!C89:K428,9,FALSE)</f>
        <v>7000</v>
      </c>
      <c r="R95" s="71">
        <v>12875</v>
      </c>
      <c r="S95" s="13">
        <v>11220</v>
      </c>
      <c r="T95" s="13">
        <v>13560</v>
      </c>
      <c r="U95" s="13"/>
      <c r="V95" s="13"/>
      <c r="Y95" s="71">
        <v>0</v>
      </c>
      <c r="Z95" s="71">
        <v>0</v>
      </c>
      <c r="AA95" s="71">
        <v>0</v>
      </c>
      <c r="AB95" s="71">
        <v>0</v>
      </c>
      <c r="AC95" s="71">
        <v>0</v>
      </c>
      <c r="AD95" s="71">
        <v>0</v>
      </c>
      <c r="AE95" s="13">
        <v>0</v>
      </c>
      <c r="AF95" s="13">
        <v>0</v>
      </c>
      <c r="AI95" s="22"/>
      <c r="AJ95" s="18"/>
      <c r="AK95" s="11">
        <f t="shared" si="11"/>
        <v>465415</v>
      </c>
      <c r="AL95" s="11">
        <f t="shared" si="7"/>
        <v>38784.583333333336</v>
      </c>
      <c r="AM95" s="11">
        <f t="shared" si="12"/>
        <v>0</v>
      </c>
      <c r="AN95" s="11">
        <f>VLOOKUP(C95,'Paid Tax'!B90:M451,12,FALSE)</f>
        <v>0</v>
      </c>
      <c r="AO95" s="11">
        <f t="shared" si="8"/>
        <v>0</v>
      </c>
      <c r="AP95" s="13">
        <v>5</v>
      </c>
      <c r="AQ95" s="16">
        <f t="shared" si="9"/>
        <v>0</v>
      </c>
      <c r="AS95" s="11">
        <f t="shared" si="13"/>
        <v>0</v>
      </c>
      <c r="AT95" s="13"/>
    </row>
    <row r="96" spans="1:46" x14ac:dyDescent="0.25">
      <c r="A96" s="12">
        <v>89</v>
      </c>
      <c r="B96" s="60" t="s">
        <v>293</v>
      </c>
      <c r="C96" s="53">
        <v>10374</v>
      </c>
      <c r="D96" s="38" t="s">
        <v>117</v>
      </c>
      <c r="E96" s="38" t="s">
        <v>69</v>
      </c>
      <c r="F96" s="37" t="s">
        <v>284</v>
      </c>
      <c r="G96" s="4">
        <v>32400</v>
      </c>
      <c r="H96" s="4"/>
      <c r="I96" s="4"/>
      <c r="J96" s="4">
        <v>4400</v>
      </c>
      <c r="K96" s="4">
        <v>4400</v>
      </c>
      <c r="L96" s="11">
        <f t="shared" si="10"/>
        <v>397600</v>
      </c>
      <c r="M96" s="69">
        <v>8880</v>
      </c>
      <c r="N96" s="71">
        <v>9520</v>
      </c>
      <c r="O96" s="71">
        <v>16080</v>
      </c>
      <c r="P96" s="71">
        <v>12400</v>
      </c>
      <c r="Q96" s="71">
        <f>VLOOKUP(C96,Incentives!C90:K429,9,FALSE)</f>
        <v>1650</v>
      </c>
      <c r="R96" s="71">
        <v>14980</v>
      </c>
      <c r="S96" s="13">
        <v>0</v>
      </c>
      <c r="T96" s="13">
        <v>0</v>
      </c>
      <c r="U96" s="13"/>
      <c r="V96" s="13"/>
      <c r="Y96" s="71">
        <v>0</v>
      </c>
      <c r="Z96" s="71">
        <v>0</v>
      </c>
      <c r="AA96" s="71">
        <v>0</v>
      </c>
      <c r="AB96" s="71">
        <v>0</v>
      </c>
      <c r="AC96" s="71">
        <v>0</v>
      </c>
      <c r="AD96" s="71">
        <v>0</v>
      </c>
      <c r="AE96" s="13">
        <v>0</v>
      </c>
      <c r="AF96" s="13">
        <v>0</v>
      </c>
      <c r="AI96" s="20"/>
      <c r="AJ96" s="13"/>
      <c r="AK96" s="11">
        <f t="shared" si="11"/>
        <v>461110</v>
      </c>
      <c r="AL96" s="11">
        <f t="shared" si="7"/>
        <v>38425.833333333336</v>
      </c>
      <c r="AM96" s="11">
        <f t="shared" si="12"/>
        <v>0</v>
      </c>
      <c r="AN96" s="11">
        <f>VLOOKUP(C96,'Paid Tax'!B91:M452,12,FALSE)</f>
        <v>0</v>
      </c>
      <c r="AO96" s="11">
        <f t="shared" si="8"/>
        <v>0</v>
      </c>
      <c r="AP96" s="13">
        <v>5</v>
      </c>
      <c r="AQ96" s="16">
        <f t="shared" si="9"/>
        <v>0</v>
      </c>
      <c r="AS96" s="11">
        <f t="shared" si="13"/>
        <v>0</v>
      </c>
      <c r="AT96" s="13"/>
    </row>
    <row r="97" spans="1:46" x14ac:dyDescent="0.25">
      <c r="A97" s="12">
        <v>90</v>
      </c>
      <c r="B97" s="60" t="s">
        <v>293</v>
      </c>
      <c r="C97" s="53">
        <v>10435</v>
      </c>
      <c r="D97" s="38" t="s">
        <v>118</v>
      </c>
      <c r="E97" s="38" t="s">
        <v>442</v>
      </c>
      <c r="F97" s="37" t="s">
        <v>276</v>
      </c>
      <c r="G97" s="4">
        <v>60000</v>
      </c>
      <c r="H97" s="4"/>
      <c r="I97" s="4"/>
      <c r="J97" s="4">
        <v>13000</v>
      </c>
      <c r="K97" s="4">
        <v>13000</v>
      </c>
      <c r="L97" s="11">
        <f t="shared" si="10"/>
        <v>746000</v>
      </c>
      <c r="M97" s="69">
        <v>0</v>
      </c>
      <c r="N97" s="71">
        <v>0</v>
      </c>
      <c r="O97" s="71">
        <v>0</v>
      </c>
      <c r="P97" s="71">
        <v>0</v>
      </c>
      <c r="Q97" s="71">
        <f>VLOOKUP(C97,Incentives!C91:K430,9,FALSE)</f>
        <v>0</v>
      </c>
      <c r="R97" s="71">
        <v>0</v>
      </c>
      <c r="S97" s="13">
        <v>0</v>
      </c>
      <c r="T97" s="13">
        <v>0</v>
      </c>
      <c r="U97" s="13"/>
      <c r="V97" s="13"/>
      <c r="Y97" s="71">
        <v>0</v>
      </c>
      <c r="Z97" s="71">
        <v>0</v>
      </c>
      <c r="AA97" s="71">
        <v>0</v>
      </c>
      <c r="AB97" s="71">
        <v>0</v>
      </c>
      <c r="AC97" s="71">
        <v>0</v>
      </c>
      <c r="AD97" s="71">
        <v>0</v>
      </c>
      <c r="AE97" s="13">
        <v>0</v>
      </c>
      <c r="AF97" s="13">
        <v>0</v>
      </c>
      <c r="AI97" s="20"/>
      <c r="AJ97" s="13"/>
      <c r="AK97" s="11">
        <f t="shared" si="11"/>
        <v>746000</v>
      </c>
      <c r="AL97" s="11">
        <f t="shared" si="7"/>
        <v>62166.666666666664</v>
      </c>
      <c r="AM97" s="11">
        <f t="shared" si="12"/>
        <v>1460</v>
      </c>
      <c r="AN97" s="11">
        <f>VLOOKUP(C97,'Paid Tax'!B92:M453,12,FALSE)</f>
        <v>846.74242424242368</v>
      </c>
      <c r="AO97" s="11">
        <f t="shared" si="8"/>
        <v>613.25757575757632</v>
      </c>
      <c r="AP97" s="13">
        <v>5</v>
      </c>
      <c r="AQ97" s="16">
        <f t="shared" si="9"/>
        <v>122.65151515151527</v>
      </c>
      <c r="AS97" s="11">
        <f t="shared" si="13"/>
        <v>-122.65151515151527</v>
      </c>
      <c r="AT97" s="13"/>
    </row>
    <row r="98" spans="1:46" x14ac:dyDescent="0.25">
      <c r="A98" s="12">
        <v>91</v>
      </c>
      <c r="B98" s="60" t="s">
        <v>293</v>
      </c>
      <c r="C98" s="53">
        <v>10189</v>
      </c>
      <c r="D98" s="38" t="s">
        <v>119</v>
      </c>
      <c r="E98" s="38" t="s">
        <v>19</v>
      </c>
      <c r="F98" s="37" t="s">
        <v>278</v>
      </c>
      <c r="G98" s="4">
        <v>41750</v>
      </c>
      <c r="H98" s="4"/>
      <c r="I98" s="4"/>
      <c r="J98" s="4">
        <v>6750</v>
      </c>
      <c r="K98" s="4">
        <v>6750</v>
      </c>
      <c r="L98" s="11">
        <f t="shared" si="10"/>
        <v>514500</v>
      </c>
      <c r="M98" s="69">
        <v>0</v>
      </c>
      <c r="N98" s="71">
        <v>0</v>
      </c>
      <c r="O98" s="71">
        <v>0</v>
      </c>
      <c r="P98" s="71">
        <v>0</v>
      </c>
      <c r="Q98" s="71">
        <f>VLOOKUP(C98,Incentives!C92:K431,9,FALSE)</f>
        <v>0</v>
      </c>
      <c r="R98" s="71">
        <v>0</v>
      </c>
      <c r="S98" s="13">
        <v>0</v>
      </c>
      <c r="T98" s="13">
        <v>0</v>
      </c>
      <c r="U98" s="13"/>
      <c r="V98" s="13"/>
      <c r="Y98" s="71">
        <v>0</v>
      </c>
      <c r="Z98" s="71">
        <v>0</v>
      </c>
      <c r="AA98" s="71">
        <v>0</v>
      </c>
      <c r="AB98" s="71">
        <v>0</v>
      </c>
      <c r="AC98" s="71">
        <v>0</v>
      </c>
      <c r="AD98" s="71">
        <v>0</v>
      </c>
      <c r="AE98" s="13">
        <v>0</v>
      </c>
      <c r="AF98" s="13">
        <v>0</v>
      </c>
      <c r="AI98" s="20"/>
      <c r="AJ98" s="13"/>
      <c r="AK98" s="11">
        <f t="shared" si="11"/>
        <v>514500</v>
      </c>
      <c r="AL98" s="11">
        <f t="shared" si="7"/>
        <v>42875</v>
      </c>
      <c r="AM98" s="11">
        <f t="shared" si="12"/>
        <v>0</v>
      </c>
      <c r="AN98" s="11">
        <f>VLOOKUP(C98,'Paid Tax'!B93:M454,12,FALSE)</f>
        <v>0</v>
      </c>
      <c r="AO98" s="11">
        <f t="shared" si="8"/>
        <v>0</v>
      </c>
      <c r="AP98" s="13">
        <v>5</v>
      </c>
      <c r="AQ98" s="16">
        <f t="shared" si="9"/>
        <v>0</v>
      </c>
      <c r="AS98" s="11">
        <f t="shared" si="13"/>
        <v>0</v>
      </c>
      <c r="AT98" s="13"/>
    </row>
    <row r="99" spans="1:46" x14ac:dyDescent="0.25">
      <c r="A99" s="12">
        <v>92</v>
      </c>
      <c r="B99" s="60" t="s">
        <v>293</v>
      </c>
      <c r="C99" s="53">
        <v>20010</v>
      </c>
      <c r="D99" s="38" t="s">
        <v>120</v>
      </c>
      <c r="E99" s="38" t="s">
        <v>69</v>
      </c>
      <c r="F99" s="37" t="s">
        <v>284</v>
      </c>
      <c r="G99" s="4">
        <v>51523</v>
      </c>
      <c r="H99" s="4"/>
      <c r="I99" s="4"/>
      <c r="J99" s="4">
        <v>5310.6</v>
      </c>
      <c r="K99" s="4">
        <v>5310.6</v>
      </c>
      <c r="L99" s="11">
        <f t="shared" si="10"/>
        <v>628897.19999999995</v>
      </c>
      <c r="M99" s="69">
        <v>6240</v>
      </c>
      <c r="N99" s="71">
        <v>3480</v>
      </c>
      <c r="O99" s="71">
        <v>6300</v>
      </c>
      <c r="P99" s="71">
        <v>0</v>
      </c>
      <c r="Q99" s="71">
        <f>VLOOKUP(C99,Incentives!C93:K432,9,FALSE)</f>
        <v>1950</v>
      </c>
      <c r="R99" s="71">
        <v>3510</v>
      </c>
      <c r="S99" s="13">
        <v>12330</v>
      </c>
      <c r="T99" s="13">
        <v>3780</v>
      </c>
      <c r="U99" s="13"/>
      <c r="V99" s="13"/>
      <c r="Y99" s="71">
        <v>0</v>
      </c>
      <c r="Z99" s="71">
        <v>0</v>
      </c>
      <c r="AA99" s="71">
        <v>5500</v>
      </c>
      <c r="AB99" s="71">
        <v>0</v>
      </c>
      <c r="AC99" s="71">
        <v>0</v>
      </c>
      <c r="AD99" s="71">
        <v>0</v>
      </c>
      <c r="AE99" s="13">
        <v>0</v>
      </c>
      <c r="AF99" s="13">
        <v>0</v>
      </c>
      <c r="AI99" s="20"/>
      <c r="AJ99" s="13"/>
      <c r="AK99" s="11">
        <f t="shared" si="11"/>
        <v>671987.19999999995</v>
      </c>
      <c r="AL99" s="11">
        <f t="shared" si="7"/>
        <v>55998.933333333327</v>
      </c>
      <c r="AM99" s="11">
        <f t="shared" si="12"/>
        <v>719.8719999999995</v>
      </c>
      <c r="AN99" s="11">
        <f>VLOOKUP(C99,'Paid Tax'!B94:M455,12,FALSE)</f>
        <v>318.82829870129837</v>
      </c>
      <c r="AO99" s="11">
        <f t="shared" si="8"/>
        <v>401.04370129870114</v>
      </c>
      <c r="AP99" s="13">
        <v>5</v>
      </c>
      <c r="AQ99" s="16">
        <f t="shared" si="9"/>
        <v>80.208740259740225</v>
      </c>
      <c r="AS99" s="11">
        <f t="shared" si="13"/>
        <v>-80.208740259740225</v>
      </c>
      <c r="AT99" s="13"/>
    </row>
    <row r="100" spans="1:46" s="18" customFormat="1" x14ac:dyDescent="0.25">
      <c r="A100" s="12">
        <v>93</v>
      </c>
      <c r="B100" s="60" t="s">
        <v>293</v>
      </c>
      <c r="C100" s="53">
        <v>10199</v>
      </c>
      <c r="D100" s="38" t="s">
        <v>121</v>
      </c>
      <c r="E100" s="38" t="s">
        <v>443</v>
      </c>
      <c r="F100" s="37" t="s">
        <v>286</v>
      </c>
      <c r="G100" s="4">
        <v>42104</v>
      </c>
      <c r="H100" s="4"/>
      <c r="I100" s="4"/>
      <c r="J100" s="4">
        <v>6766.85</v>
      </c>
      <c r="K100" s="4">
        <v>6766.85</v>
      </c>
      <c r="L100" s="11">
        <f t="shared" si="10"/>
        <v>518781.69999999995</v>
      </c>
      <c r="M100" s="69">
        <v>0</v>
      </c>
      <c r="N100" s="71">
        <v>750</v>
      </c>
      <c r="O100" s="71">
        <v>0</v>
      </c>
      <c r="P100" s="71">
        <v>0</v>
      </c>
      <c r="Q100" s="71">
        <f>VLOOKUP(C100,Incentives!C94:K433,9,FALSE)</f>
        <v>0</v>
      </c>
      <c r="R100" s="71">
        <v>0</v>
      </c>
      <c r="S100" s="13">
        <v>0</v>
      </c>
      <c r="T100" s="13">
        <v>0</v>
      </c>
      <c r="U100" s="13"/>
      <c r="V100" s="13"/>
      <c r="W100" s="13"/>
      <c r="Y100" s="71">
        <v>24000</v>
      </c>
      <c r="Z100" s="71">
        <f>26663+750</f>
        <v>27413</v>
      </c>
      <c r="AA100" s="71">
        <v>26464</v>
      </c>
      <c r="AB100" s="71">
        <v>26743</v>
      </c>
      <c r="AC100" s="71">
        <v>28209</v>
      </c>
      <c r="AD100" s="71">
        <v>0</v>
      </c>
      <c r="AE100" s="13">
        <v>25685</v>
      </c>
      <c r="AF100" s="13">
        <v>29278</v>
      </c>
      <c r="AG100" s="13"/>
      <c r="AH100" s="13"/>
      <c r="AI100" s="20"/>
      <c r="AK100" s="11">
        <f t="shared" si="11"/>
        <v>707323.7</v>
      </c>
      <c r="AL100" s="11">
        <f t="shared" si="7"/>
        <v>58943.641666666663</v>
      </c>
      <c r="AM100" s="11">
        <f t="shared" si="12"/>
        <v>1073.2369999999996</v>
      </c>
      <c r="AN100" s="11">
        <f>VLOOKUP(C100,'Paid Tax'!B95:M456,12,FALSE)</f>
        <v>185.9781919191918</v>
      </c>
      <c r="AO100" s="11">
        <f t="shared" si="8"/>
        <v>887.25880808080785</v>
      </c>
      <c r="AP100" s="13">
        <v>8</v>
      </c>
      <c r="AQ100" s="16">
        <f t="shared" si="9"/>
        <v>110.90735101010098</v>
      </c>
      <c r="AR100" s="91" t="s">
        <v>1101</v>
      </c>
      <c r="AS100" s="11">
        <f t="shared" si="13"/>
        <v>-110.90735101010098</v>
      </c>
      <c r="AT100" s="13"/>
    </row>
    <row r="101" spans="1:46" x14ac:dyDescent="0.25">
      <c r="A101" s="12">
        <v>94</v>
      </c>
      <c r="B101" s="60" t="s">
        <v>293</v>
      </c>
      <c r="C101" s="53">
        <v>10407</v>
      </c>
      <c r="D101" s="38" t="s">
        <v>122</v>
      </c>
      <c r="E101" s="38" t="s">
        <v>441</v>
      </c>
      <c r="F101" s="37" t="s">
        <v>281</v>
      </c>
      <c r="G101" s="4">
        <v>37950</v>
      </c>
      <c r="H101" s="4"/>
      <c r="I101" s="4"/>
      <c r="J101" s="4">
        <v>4950</v>
      </c>
      <c r="K101" s="4">
        <v>4950</v>
      </c>
      <c r="L101" s="11">
        <f t="shared" si="10"/>
        <v>465300</v>
      </c>
      <c r="M101" s="69">
        <v>0</v>
      </c>
      <c r="N101" s="71">
        <v>0</v>
      </c>
      <c r="O101" s="71">
        <v>0</v>
      </c>
      <c r="P101" s="71">
        <v>0</v>
      </c>
      <c r="Q101" s="71">
        <f>VLOOKUP(C101,Incentives!C95:K434,9,FALSE)</f>
        <v>0</v>
      </c>
      <c r="R101" s="71">
        <v>0</v>
      </c>
      <c r="S101" s="13">
        <v>0</v>
      </c>
      <c r="T101" s="13">
        <v>0</v>
      </c>
      <c r="U101" s="13"/>
      <c r="V101" s="13"/>
      <c r="Y101" s="71">
        <v>91898</v>
      </c>
      <c r="Z101" s="71">
        <v>97062</v>
      </c>
      <c r="AA101" s="71">
        <v>98609</v>
      </c>
      <c r="AB101" s="71">
        <v>133864</v>
      </c>
      <c r="AC101" s="71">
        <v>141635</v>
      </c>
      <c r="AD101" s="71">
        <v>143735</v>
      </c>
      <c r="AE101" s="13">
        <v>61995</v>
      </c>
      <c r="AF101" s="13">
        <v>91976</v>
      </c>
      <c r="AI101" s="22"/>
      <c r="AJ101" s="18"/>
      <c r="AK101" s="11">
        <f t="shared" si="11"/>
        <v>1326074</v>
      </c>
      <c r="AL101" s="11">
        <f t="shared" si="7"/>
        <v>110506.16666666667</v>
      </c>
      <c r="AM101" s="11">
        <f t="shared" si="12"/>
        <v>19868.14</v>
      </c>
      <c r="AN101" s="11">
        <f>VLOOKUP(C101,'Paid Tax'!B96:M457,12,FALSE)</f>
        <v>2664.0611017316055</v>
      </c>
      <c r="AO101" s="11">
        <f t="shared" si="8"/>
        <v>17204.078898268395</v>
      </c>
      <c r="AP101" s="13">
        <v>6</v>
      </c>
      <c r="AQ101" s="16">
        <f t="shared" si="9"/>
        <v>2867.3464830447324</v>
      </c>
      <c r="AR101" s="40" t="s">
        <v>1322</v>
      </c>
      <c r="AS101" s="11">
        <f t="shared" si="13"/>
        <v>-2867.3464830447324</v>
      </c>
      <c r="AT101" s="13"/>
    </row>
    <row r="102" spans="1:46" x14ac:dyDescent="0.25">
      <c r="A102" s="12">
        <v>95</v>
      </c>
      <c r="B102" s="60" t="s">
        <v>293</v>
      </c>
      <c r="C102" s="53">
        <v>10364</v>
      </c>
      <c r="D102" s="38" t="s">
        <v>124</v>
      </c>
      <c r="E102" s="38" t="s">
        <v>444</v>
      </c>
      <c r="F102" s="37" t="s">
        <v>279</v>
      </c>
      <c r="G102" s="4">
        <v>37355</v>
      </c>
      <c r="H102" s="4"/>
      <c r="I102" s="4"/>
      <c r="J102" s="4">
        <v>6355</v>
      </c>
      <c r="K102" s="4">
        <v>6355</v>
      </c>
      <c r="L102" s="11">
        <f t="shared" si="10"/>
        <v>460970</v>
      </c>
      <c r="M102" s="69">
        <v>0</v>
      </c>
      <c r="N102" s="71">
        <v>0</v>
      </c>
      <c r="O102" s="71">
        <v>0</v>
      </c>
      <c r="P102" s="71">
        <v>0</v>
      </c>
      <c r="Q102" s="71">
        <f>VLOOKUP(C102,Incentives!C96:K435,9,FALSE)</f>
        <v>0</v>
      </c>
      <c r="R102" s="71">
        <v>0</v>
      </c>
      <c r="S102" s="13">
        <v>0</v>
      </c>
      <c r="T102" s="13">
        <v>0</v>
      </c>
      <c r="U102" s="13"/>
      <c r="V102" s="13"/>
      <c r="Y102" s="71">
        <v>0</v>
      </c>
      <c r="Z102" s="71">
        <v>0</v>
      </c>
      <c r="AA102" s="71">
        <v>0</v>
      </c>
      <c r="AB102" s="71">
        <v>0</v>
      </c>
      <c r="AC102" s="71">
        <v>5000</v>
      </c>
      <c r="AD102" s="71">
        <v>0</v>
      </c>
      <c r="AE102" s="13">
        <v>0</v>
      </c>
      <c r="AF102" s="13">
        <v>5000</v>
      </c>
      <c r="AI102" s="20"/>
      <c r="AJ102" s="13"/>
      <c r="AK102" s="11">
        <f t="shared" si="11"/>
        <v>470970</v>
      </c>
      <c r="AL102" s="11">
        <f t="shared" si="7"/>
        <v>39247.5</v>
      </c>
      <c r="AM102" s="11">
        <f t="shared" si="12"/>
        <v>0</v>
      </c>
      <c r="AN102" s="11">
        <f>VLOOKUP(C102,'Paid Tax'!B97:M458,12,FALSE)</f>
        <v>0</v>
      </c>
      <c r="AO102" s="11">
        <f t="shared" si="8"/>
        <v>0</v>
      </c>
      <c r="AP102" s="13">
        <v>5</v>
      </c>
      <c r="AQ102" s="16">
        <f t="shared" si="9"/>
        <v>0</v>
      </c>
      <c r="AS102" s="11">
        <f t="shared" si="13"/>
        <v>0</v>
      </c>
      <c r="AT102" s="13"/>
    </row>
    <row r="103" spans="1:46" x14ac:dyDescent="0.25">
      <c r="A103" s="12">
        <v>96</v>
      </c>
      <c r="B103" s="60" t="s">
        <v>293</v>
      </c>
      <c r="C103" s="53">
        <v>10365</v>
      </c>
      <c r="D103" s="38" t="s">
        <v>125</v>
      </c>
      <c r="E103" s="38" t="s">
        <v>337</v>
      </c>
      <c r="F103" s="37" t="s">
        <v>281</v>
      </c>
      <c r="G103" s="4">
        <v>35340</v>
      </c>
      <c r="H103" s="4"/>
      <c r="I103" s="4"/>
      <c r="J103" s="4">
        <v>4340</v>
      </c>
      <c r="K103" s="4">
        <v>4340</v>
      </c>
      <c r="L103" s="11">
        <f t="shared" si="10"/>
        <v>432760</v>
      </c>
      <c r="M103" s="69">
        <v>0</v>
      </c>
      <c r="N103" s="71">
        <v>0</v>
      </c>
      <c r="O103" s="71">
        <v>0</v>
      </c>
      <c r="P103" s="71">
        <v>0</v>
      </c>
      <c r="Q103" s="71">
        <f>VLOOKUP(C103,Incentives!C97:K436,9,FALSE)</f>
        <v>0</v>
      </c>
      <c r="R103" s="71">
        <v>0</v>
      </c>
      <c r="S103" s="13">
        <v>0</v>
      </c>
      <c r="T103" s="13">
        <v>0</v>
      </c>
      <c r="U103" s="13"/>
      <c r="V103" s="13"/>
      <c r="Y103" s="71">
        <v>22640</v>
      </c>
      <c r="Z103" s="71">
        <v>64288</v>
      </c>
      <c r="AA103" s="71">
        <v>26947</v>
      </c>
      <c r="AB103" s="71">
        <v>28184</v>
      </c>
      <c r="AC103" s="71">
        <v>30679</v>
      </c>
      <c r="AD103" s="71">
        <v>27590</v>
      </c>
      <c r="AE103" s="13">
        <v>25252</v>
      </c>
      <c r="AF103" s="13">
        <v>26329</v>
      </c>
      <c r="AI103" s="20"/>
      <c r="AJ103" s="13"/>
      <c r="AK103" s="11">
        <f t="shared" si="11"/>
        <v>684669</v>
      </c>
      <c r="AL103" s="11">
        <f t="shared" si="7"/>
        <v>57055.75</v>
      </c>
      <c r="AM103" s="11">
        <f t="shared" si="12"/>
        <v>846.69</v>
      </c>
      <c r="AN103" s="11">
        <f>VLOOKUP(C103,'Paid Tax'!B98:M459,12,FALSE)</f>
        <v>89.160636363636272</v>
      </c>
      <c r="AO103" s="11">
        <f t="shared" si="8"/>
        <v>757.52936363636377</v>
      </c>
      <c r="AP103" s="13">
        <v>9</v>
      </c>
      <c r="AQ103" s="16">
        <f t="shared" si="9"/>
        <v>84.169929292929311</v>
      </c>
      <c r="AR103" s="92" t="s">
        <v>983</v>
      </c>
      <c r="AS103" s="11">
        <f t="shared" si="13"/>
        <v>-84.169929292929311</v>
      </c>
      <c r="AT103" s="13"/>
    </row>
    <row r="104" spans="1:46" x14ac:dyDescent="0.25">
      <c r="A104" s="12">
        <v>97</v>
      </c>
      <c r="B104" s="60" t="s">
        <v>293</v>
      </c>
      <c r="C104" s="53">
        <v>10326</v>
      </c>
      <c r="D104" s="38" t="s">
        <v>126</v>
      </c>
      <c r="E104" s="38" t="s">
        <v>113</v>
      </c>
      <c r="F104" s="37" t="s">
        <v>281</v>
      </c>
      <c r="G104" s="4">
        <v>35340</v>
      </c>
      <c r="H104" s="4"/>
      <c r="I104" s="4"/>
      <c r="J104" s="4">
        <v>4340</v>
      </c>
      <c r="K104" s="4">
        <v>4340</v>
      </c>
      <c r="L104" s="11">
        <f t="shared" si="10"/>
        <v>432760</v>
      </c>
      <c r="M104" s="69">
        <v>0</v>
      </c>
      <c r="N104" s="71">
        <v>0</v>
      </c>
      <c r="O104" s="71">
        <v>0</v>
      </c>
      <c r="P104" s="71">
        <v>0</v>
      </c>
      <c r="Q104" s="71">
        <f>VLOOKUP(C104,Incentives!C98:K437,9,FALSE)</f>
        <v>0</v>
      </c>
      <c r="R104" s="71">
        <v>0</v>
      </c>
      <c r="S104" s="13">
        <v>0</v>
      </c>
      <c r="T104" s="13">
        <v>0</v>
      </c>
      <c r="U104" s="13"/>
      <c r="V104" s="13"/>
      <c r="Y104" s="71">
        <v>50131</v>
      </c>
      <c r="Z104" s="71">
        <v>52396</v>
      </c>
      <c r="AA104" s="71">
        <v>87905</v>
      </c>
      <c r="AB104" s="71">
        <v>95747</v>
      </c>
      <c r="AC104" s="71">
        <v>53986</v>
      </c>
      <c r="AD104" s="71">
        <v>51329</v>
      </c>
      <c r="AE104" s="13">
        <v>57554</v>
      </c>
      <c r="AF104" s="13">
        <v>25571</v>
      </c>
      <c r="AI104" s="20"/>
      <c r="AJ104" s="13"/>
      <c r="AK104" s="11">
        <f t="shared" si="11"/>
        <v>907379</v>
      </c>
      <c r="AL104" s="11">
        <f t="shared" si="7"/>
        <v>75614.916666666672</v>
      </c>
      <c r="AM104" s="11">
        <f t="shared" si="12"/>
        <v>3073.79</v>
      </c>
      <c r="AN104" s="11">
        <f>VLOOKUP(C104,'Paid Tax'!B99:M460,12,FALSE)</f>
        <v>986.52734126984103</v>
      </c>
      <c r="AO104" s="11">
        <f t="shared" si="8"/>
        <v>2087.2626587301588</v>
      </c>
      <c r="AP104" s="13">
        <v>5</v>
      </c>
      <c r="AQ104" s="16">
        <f t="shared" si="9"/>
        <v>417.45253174603175</v>
      </c>
      <c r="AS104" s="11">
        <f t="shared" si="13"/>
        <v>-417.45253174603175</v>
      </c>
      <c r="AT104" s="13"/>
    </row>
    <row r="105" spans="1:46" x14ac:dyDescent="0.25">
      <c r="A105" s="12">
        <v>98</v>
      </c>
      <c r="B105" s="60" t="s">
        <v>293</v>
      </c>
      <c r="C105" s="53">
        <v>10328</v>
      </c>
      <c r="D105" s="38" t="s">
        <v>127</v>
      </c>
      <c r="E105" s="38" t="s">
        <v>444</v>
      </c>
      <c r="F105" s="37" t="s">
        <v>279</v>
      </c>
      <c r="G105" s="4">
        <v>37355</v>
      </c>
      <c r="H105" s="4"/>
      <c r="I105" s="4"/>
      <c r="J105" s="4">
        <v>6355</v>
      </c>
      <c r="K105" s="4">
        <v>6355</v>
      </c>
      <c r="L105" s="11">
        <f t="shared" si="10"/>
        <v>460970</v>
      </c>
      <c r="M105" s="69">
        <v>0</v>
      </c>
      <c r="N105" s="71">
        <v>0</v>
      </c>
      <c r="O105" s="71">
        <v>0</v>
      </c>
      <c r="P105" s="71">
        <v>0</v>
      </c>
      <c r="Q105" s="71">
        <f>VLOOKUP(C105,Incentives!C99:K438,9,FALSE)</f>
        <v>0</v>
      </c>
      <c r="R105" s="71">
        <v>0</v>
      </c>
      <c r="S105" s="13">
        <v>0</v>
      </c>
      <c r="T105" s="13">
        <v>0</v>
      </c>
      <c r="U105" s="13"/>
      <c r="V105" s="13"/>
      <c r="Y105" s="71">
        <v>5000</v>
      </c>
      <c r="Z105" s="71">
        <v>0</v>
      </c>
      <c r="AA105" s="71">
        <v>0</v>
      </c>
      <c r="AB105" s="71">
        <v>5000</v>
      </c>
      <c r="AC105" s="71">
        <v>0</v>
      </c>
      <c r="AD105" s="71">
        <v>0</v>
      </c>
      <c r="AE105" s="13">
        <v>0</v>
      </c>
      <c r="AF105" s="13">
        <v>0</v>
      </c>
      <c r="AI105" s="20"/>
      <c r="AJ105" s="13"/>
      <c r="AK105" s="11">
        <f t="shared" si="11"/>
        <v>470970</v>
      </c>
      <c r="AL105" s="11">
        <f t="shared" si="7"/>
        <v>39247.5</v>
      </c>
      <c r="AM105" s="11">
        <f t="shared" si="12"/>
        <v>0</v>
      </c>
      <c r="AN105" s="11">
        <f>VLOOKUP(C105,'Paid Tax'!B100:M461,12,FALSE)</f>
        <v>0</v>
      </c>
      <c r="AO105" s="11">
        <f t="shared" si="8"/>
        <v>0</v>
      </c>
      <c r="AP105" s="13">
        <v>5</v>
      </c>
      <c r="AQ105" s="16">
        <f t="shared" si="9"/>
        <v>0</v>
      </c>
      <c r="AS105" s="11">
        <f t="shared" si="13"/>
        <v>0</v>
      </c>
      <c r="AT105" s="13"/>
    </row>
    <row r="106" spans="1:46" x14ac:dyDescent="0.25">
      <c r="A106" s="12">
        <v>99</v>
      </c>
      <c r="B106" s="60" t="s">
        <v>293</v>
      </c>
      <c r="C106" s="53">
        <v>10216</v>
      </c>
      <c r="D106" s="38" t="s">
        <v>128</v>
      </c>
      <c r="E106" s="38" t="s">
        <v>62</v>
      </c>
      <c r="F106" s="37" t="s">
        <v>284</v>
      </c>
      <c r="G106" s="4">
        <v>49451</v>
      </c>
      <c r="H106" s="4"/>
      <c r="I106" s="4"/>
      <c r="J106" s="4">
        <v>7500</v>
      </c>
      <c r="K106" s="4">
        <v>7500</v>
      </c>
      <c r="L106" s="11">
        <f t="shared" si="10"/>
        <v>608412</v>
      </c>
      <c r="M106" s="69">
        <v>0</v>
      </c>
      <c r="N106" s="71">
        <v>0</v>
      </c>
      <c r="O106" s="71">
        <v>0</v>
      </c>
      <c r="P106" s="71">
        <v>0</v>
      </c>
      <c r="Q106" s="71">
        <f>VLOOKUP(C106,Incentives!C100:K439,9,FALSE)</f>
        <v>0</v>
      </c>
      <c r="R106" s="71">
        <v>0</v>
      </c>
      <c r="S106" s="13">
        <v>0</v>
      </c>
      <c r="T106" s="13">
        <v>0</v>
      </c>
      <c r="U106" s="13"/>
      <c r="V106" s="13"/>
      <c r="Y106" s="71">
        <v>0</v>
      </c>
      <c r="Z106" s="71">
        <v>0</v>
      </c>
      <c r="AA106" s="71">
        <v>0</v>
      </c>
      <c r="AB106" s="71">
        <v>0</v>
      </c>
      <c r="AC106" s="71">
        <v>0</v>
      </c>
      <c r="AD106" s="71">
        <v>0</v>
      </c>
      <c r="AE106" s="13">
        <v>0</v>
      </c>
      <c r="AF106" s="13">
        <v>0</v>
      </c>
      <c r="AI106" s="20"/>
      <c r="AJ106" s="13"/>
      <c r="AK106" s="11">
        <f t="shared" si="11"/>
        <v>608412</v>
      </c>
      <c r="AL106" s="11">
        <f t="shared" si="7"/>
        <v>50701</v>
      </c>
      <c r="AM106" s="11">
        <f t="shared" si="12"/>
        <v>84.12</v>
      </c>
      <c r="AN106" s="11">
        <f>VLOOKUP(C106,'Paid Tax'!B101:M462,12,FALSE)</f>
        <v>46.229090909090914</v>
      </c>
      <c r="AO106" s="11">
        <f t="shared" si="8"/>
        <v>37.890909090909091</v>
      </c>
      <c r="AP106" s="13">
        <v>5</v>
      </c>
      <c r="AQ106" s="16">
        <f t="shared" si="9"/>
        <v>7.5781818181818181</v>
      </c>
      <c r="AS106" s="11">
        <f t="shared" si="13"/>
        <v>-7.5781818181818181</v>
      </c>
      <c r="AT106" s="13"/>
    </row>
    <row r="107" spans="1:46" x14ac:dyDescent="0.25">
      <c r="A107" s="12">
        <v>100</v>
      </c>
      <c r="B107" s="60" t="s">
        <v>293</v>
      </c>
      <c r="C107" s="53">
        <v>10469</v>
      </c>
      <c r="D107" s="38" t="s">
        <v>130</v>
      </c>
      <c r="E107" s="38" t="s">
        <v>102</v>
      </c>
      <c r="F107" s="37" t="s">
        <v>286</v>
      </c>
      <c r="G107" s="4">
        <v>36100</v>
      </c>
      <c r="H107" s="4"/>
      <c r="I107" s="4"/>
      <c r="J107" s="4">
        <v>4100</v>
      </c>
      <c r="K107" s="4">
        <v>4100</v>
      </c>
      <c r="L107" s="11">
        <f t="shared" si="10"/>
        <v>441400</v>
      </c>
      <c r="M107" s="69">
        <v>0</v>
      </c>
      <c r="N107" s="71">
        <v>0</v>
      </c>
      <c r="O107" s="71">
        <v>0</v>
      </c>
      <c r="P107" s="71">
        <v>0</v>
      </c>
      <c r="Q107" s="71">
        <f>VLOOKUP(C107,Incentives!C101:K440,9,FALSE)</f>
        <v>0</v>
      </c>
      <c r="R107" s="71">
        <v>0</v>
      </c>
      <c r="S107" s="13">
        <v>0</v>
      </c>
      <c r="T107" s="13">
        <v>0</v>
      </c>
      <c r="U107" s="13"/>
      <c r="V107" s="13"/>
      <c r="Y107" s="71">
        <v>0</v>
      </c>
      <c r="Z107" s="71">
        <v>46312</v>
      </c>
      <c r="AA107" s="71">
        <v>0</v>
      </c>
      <c r="AB107" s="71">
        <v>0</v>
      </c>
      <c r="AC107" s="71">
        <v>0</v>
      </c>
      <c r="AD107" s="71">
        <v>0</v>
      </c>
      <c r="AE107" s="13">
        <v>0</v>
      </c>
      <c r="AF107" s="13">
        <v>0</v>
      </c>
      <c r="AI107" s="20"/>
      <c r="AJ107" s="13"/>
      <c r="AK107" s="11">
        <f t="shared" si="11"/>
        <v>487712</v>
      </c>
      <c r="AL107" s="11">
        <f t="shared" si="7"/>
        <v>40642.666666666664</v>
      </c>
      <c r="AM107" s="11">
        <f t="shared" si="12"/>
        <v>0</v>
      </c>
      <c r="AN107" s="11">
        <f>VLOOKUP(C107,'Paid Tax'!B102:M463,12,FALSE)</f>
        <v>0</v>
      </c>
      <c r="AO107" s="11">
        <f t="shared" si="8"/>
        <v>0</v>
      </c>
      <c r="AP107" s="13">
        <v>5</v>
      </c>
      <c r="AQ107" s="16">
        <f t="shared" si="9"/>
        <v>0</v>
      </c>
      <c r="AS107" s="11">
        <f t="shared" si="13"/>
        <v>0</v>
      </c>
      <c r="AT107" s="13"/>
    </row>
    <row r="108" spans="1:46" x14ac:dyDescent="0.25">
      <c r="A108" s="12">
        <v>101</v>
      </c>
      <c r="B108" s="60" t="s">
        <v>293</v>
      </c>
      <c r="C108" s="53">
        <v>10466</v>
      </c>
      <c r="D108" s="38" t="s">
        <v>131</v>
      </c>
      <c r="E108" s="38" t="s">
        <v>132</v>
      </c>
      <c r="F108" s="37" t="s">
        <v>286</v>
      </c>
      <c r="G108" s="4">
        <v>36100</v>
      </c>
      <c r="H108" s="4"/>
      <c r="I108" s="4"/>
      <c r="J108" s="4">
        <v>4100</v>
      </c>
      <c r="K108" s="4">
        <v>4100</v>
      </c>
      <c r="L108" s="11">
        <f t="shared" si="10"/>
        <v>441400</v>
      </c>
      <c r="M108" s="69">
        <v>0</v>
      </c>
      <c r="N108" s="71">
        <v>0</v>
      </c>
      <c r="O108" s="71">
        <v>0</v>
      </c>
      <c r="P108" s="71">
        <v>0</v>
      </c>
      <c r="Q108" s="71">
        <f>VLOOKUP(C108,Incentives!C102:K441,9,FALSE)</f>
        <v>0</v>
      </c>
      <c r="R108" s="71">
        <v>0</v>
      </c>
      <c r="S108" s="13">
        <v>0</v>
      </c>
      <c r="T108" s="13">
        <v>0</v>
      </c>
      <c r="U108" s="13"/>
      <c r="V108" s="13"/>
      <c r="Y108" s="71">
        <v>0</v>
      </c>
      <c r="Z108" s="71">
        <v>0</v>
      </c>
      <c r="AA108" s="71">
        <v>0</v>
      </c>
      <c r="AB108" s="71">
        <v>0</v>
      </c>
      <c r="AC108" s="71">
        <v>0</v>
      </c>
      <c r="AD108" s="71">
        <v>0</v>
      </c>
      <c r="AE108" s="13">
        <v>0</v>
      </c>
      <c r="AF108" s="13">
        <v>0</v>
      </c>
      <c r="AI108" s="20"/>
      <c r="AJ108" s="13"/>
      <c r="AK108" s="11">
        <f t="shared" si="11"/>
        <v>441400</v>
      </c>
      <c r="AL108" s="11">
        <f t="shared" si="7"/>
        <v>36783.333333333336</v>
      </c>
      <c r="AM108" s="11">
        <f t="shared" si="12"/>
        <v>0</v>
      </c>
      <c r="AN108" s="11">
        <f>VLOOKUP(C108,'Paid Tax'!B103:M464,12,FALSE)</f>
        <v>0</v>
      </c>
      <c r="AO108" s="11">
        <f t="shared" si="8"/>
        <v>0</v>
      </c>
      <c r="AP108" s="13">
        <v>5</v>
      </c>
      <c r="AQ108" s="16">
        <f t="shared" si="9"/>
        <v>0</v>
      </c>
      <c r="AS108" s="11">
        <f t="shared" si="13"/>
        <v>0</v>
      </c>
      <c r="AT108" s="13"/>
    </row>
    <row r="109" spans="1:46" s="18" customFormat="1" x14ac:dyDescent="0.25">
      <c r="A109" s="12">
        <v>102</v>
      </c>
      <c r="B109" s="60" t="s">
        <v>293</v>
      </c>
      <c r="C109" s="53">
        <v>10539</v>
      </c>
      <c r="D109" s="38" t="s">
        <v>185</v>
      </c>
      <c r="E109" s="38" t="s">
        <v>132</v>
      </c>
      <c r="F109" s="37" t="s">
        <v>278</v>
      </c>
      <c r="G109" s="4">
        <v>38000</v>
      </c>
      <c r="H109" s="4"/>
      <c r="I109" s="4"/>
      <c r="J109" s="4">
        <v>0</v>
      </c>
      <c r="K109" s="4">
        <v>0</v>
      </c>
      <c r="L109" s="11">
        <f t="shared" si="10"/>
        <v>456000</v>
      </c>
      <c r="M109" s="69">
        <v>0</v>
      </c>
      <c r="N109" s="71">
        <v>0</v>
      </c>
      <c r="O109" s="71">
        <v>0</v>
      </c>
      <c r="P109" s="71">
        <v>0</v>
      </c>
      <c r="Q109" s="71">
        <f>VLOOKUP(C109,Incentives!C103:K442,9,FALSE)</f>
        <v>0</v>
      </c>
      <c r="R109" s="71">
        <v>0</v>
      </c>
      <c r="S109" s="13">
        <v>0</v>
      </c>
      <c r="T109" s="13">
        <v>0</v>
      </c>
      <c r="U109" s="13"/>
      <c r="V109" s="13"/>
      <c r="W109" s="13"/>
      <c r="Y109" s="71">
        <v>0</v>
      </c>
      <c r="Z109" s="71">
        <v>0</v>
      </c>
      <c r="AA109" s="71">
        <v>0</v>
      </c>
      <c r="AB109" s="71">
        <v>0</v>
      </c>
      <c r="AC109" s="71">
        <v>0</v>
      </c>
      <c r="AD109" s="71">
        <v>0</v>
      </c>
      <c r="AE109" s="13">
        <v>0</v>
      </c>
      <c r="AF109" s="13">
        <v>0</v>
      </c>
      <c r="AG109" s="13"/>
      <c r="AH109" s="13"/>
      <c r="AI109" s="20"/>
      <c r="AK109" s="11">
        <f t="shared" si="11"/>
        <v>456000</v>
      </c>
      <c r="AL109" s="11">
        <f t="shared" si="7"/>
        <v>38000</v>
      </c>
      <c r="AM109" s="11">
        <f t="shared" si="12"/>
        <v>0</v>
      </c>
      <c r="AN109" s="11">
        <f>VLOOKUP(C109,'Paid Tax'!B104:M465,12,FALSE)</f>
        <v>0</v>
      </c>
      <c r="AO109" s="11">
        <f t="shared" si="8"/>
        <v>0</v>
      </c>
      <c r="AP109" s="13">
        <v>5</v>
      </c>
      <c r="AQ109" s="16">
        <f t="shared" si="9"/>
        <v>0</v>
      </c>
      <c r="AR109" s="13"/>
      <c r="AS109" s="11">
        <f t="shared" si="13"/>
        <v>0</v>
      </c>
      <c r="AT109" s="13"/>
    </row>
    <row r="110" spans="1:46" x14ac:dyDescent="0.25">
      <c r="A110" s="12">
        <v>103</v>
      </c>
      <c r="B110" s="60" t="s">
        <v>293</v>
      </c>
      <c r="C110" s="53">
        <v>10284</v>
      </c>
      <c r="D110" s="38" t="s">
        <v>133</v>
      </c>
      <c r="E110" s="38" t="s">
        <v>444</v>
      </c>
      <c r="F110" s="37" t="s">
        <v>279</v>
      </c>
      <c r="G110" s="4">
        <v>36753</v>
      </c>
      <c r="H110" s="4"/>
      <c r="I110" s="4"/>
      <c r="J110" s="4">
        <v>6252.5</v>
      </c>
      <c r="K110" s="4">
        <v>6252.5</v>
      </c>
      <c r="L110" s="11">
        <f t="shared" si="10"/>
        <v>453541</v>
      </c>
      <c r="M110" s="69">
        <v>0</v>
      </c>
      <c r="N110" s="71">
        <v>0</v>
      </c>
      <c r="O110" s="71">
        <v>0</v>
      </c>
      <c r="P110" s="71">
        <v>0</v>
      </c>
      <c r="Q110" s="71">
        <f>VLOOKUP(C110,Incentives!C104:K443,9,FALSE)</f>
        <v>0</v>
      </c>
      <c r="R110" s="71">
        <v>0</v>
      </c>
      <c r="S110" s="13">
        <v>0</v>
      </c>
      <c r="T110" s="13">
        <v>0</v>
      </c>
      <c r="U110" s="13"/>
      <c r="V110" s="13"/>
      <c r="Y110" s="71">
        <v>0</v>
      </c>
      <c r="Z110" s="71">
        <v>0</v>
      </c>
      <c r="AA110" s="71">
        <v>0</v>
      </c>
      <c r="AB110" s="71">
        <v>0</v>
      </c>
      <c r="AC110" s="71">
        <v>0</v>
      </c>
      <c r="AD110" s="71">
        <v>0</v>
      </c>
      <c r="AE110" s="13">
        <v>0</v>
      </c>
      <c r="AF110" s="13">
        <v>0</v>
      </c>
      <c r="AI110" s="20"/>
      <c r="AJ110" s="13"/>
      <c r="AK110" s="11">
        <f t="shared" si="11"/>
        <v>453541</v>
      </c>
      <c r="AL110" s="11">
        <f t="shared" si="7"/>
        <v>37795.083333333336</v>
      </c>
      <c r="AM110" s="11">
        <f t="shared" si="12"/>
        <v>0</v>
      </c>
      <c r="AN110" s="11">
        <f>VLOOKUP(C110,'Paid Tax'!B105:M466,12,FALSE)</f>
        <v>0</v>
      </c>
      <c r="AO110" s="11">
        <f t="shared" si="8"/>
        <v>0</v>
      </c>
      <c r="AP110" s="13">
        <v>5</v>
      </c>
      <c r="AQ110" s="16">
        <f t="shared" si="9"/>
        <v>0</v>
      </c>
      <c r="AS110" s="11">
        <f t="shared" si="13"/>
        <v>0</v>
      </c>
      <c r="AT110" s="13"/>
    </row>
    <row r="111" spans="1:46" x14ac:dyDescent="0.25">
      <c r="A111" s="12">
        <v>104</v>
      </c>
      <c r="B111" s="60" t="s">
        <v>293</v>
      </c>
      <c r="C111" s="53">
        <v>10400</v>
      </c>
      <c r="D111" s="38" t="s">
        <v>134</v>
      </c>
      <c r="E111" s="38" t="s">
        <v>23</v>
      </c>
      <c r="F111" s="37" t="s">
        <v>279</v>
      </c>
      <c r="G111" s="4">
        <v>32340</v>
      </c>
      <c r="H111" s="4"/>
      <c r="I111" s="4"/>
      <c r="J111" s="4">
        <v>4340</v>
      </c>
      <c r="K111" s="4">
        <v>4340</v>
      </c>
      <c r="L111" s="11">
        <f t="shared" si="10"/>
        <v>396760</v>
      </c>
      <c r="M111" s="69">
        <v>0</v>
      </c>
      <c r="N111" s="71">
        <v>0</v>
      </c>
      <c r="O111" s="71">
        <v>0</v>
      </c>
      <c r="P111" s="71">
        <v>0</v>
      </c>
      <c r="Q111" s="71">
        <f>VLOOKUP(C111,Incentives!C105:K444,9,FALSE)</f>
        <v>0</v>
      </c>
      <c r="R111" s="71">
        <v>0</v>
      </c>
      <c r="S111" s="13">
        <v>0</v>
      </c>
      <c r="T111" s="13">
        <v>0</v>
      </c>
      <c r="U111" s="13"/>
      <c r="V111" s="13"/>
      <c r="Y111" s="71">
        <v>0</v>
      </c>
      <c r="Z111" s="71">
        <v>0</v>
      </c>
      <c r="AA111" s="71">
        <v>0</v>
      </c>
      <c r="AB111" s="71">
        <v>0</v>
      </c>
      <c r="AC111" s="71">
        <v>2000</v>
      </c>
      <c r="AD111" s="71">
        <v>0</v>
      </c>
      <c r="AE111" s="13">
        <v>0</v>
      </c>
      <c r="AF111" s="13">
        <v>0</v>
      </c>
      <c r="AI111" s="20"/>
      <c r="AJ111" s="13"/>
      <c r="AK111" s="11">
        <f t="shared" si="11"/>
        <v>398760</v>
      </c>
      <c r="AL111" s="11">
        <f t="shared" si="7"/>
        <v>33230</v>
      </c>
      <c r="AM111" s="11">
        <f t="shared" si="12"/>
        <v>0</v>
      </c>
      <c r="AN111" s="11">
        <f>VLOOKUP(C111,'Paid Tax'!B106:M467,12,FALSE)</f>
        <v>0</v>
      </c>
      <c r="AO111" s="11">
        <f t="shared" si="8"/>
        <v>0</v>
      </c>
      <c r="AP111" s="13">
        <v>5</v>
      </c>
      <c r="AQ111" s="16">
        <f t="shared" si="9"/>
        <v>0</v>
      </c>
      <c r="AS111" s="11">
        <f t="shared" si="13"/>
        <v>0</v>
      </c>
      <c r="AT111" s="13"/>
    </row>
    <row r="112" spans="1:46" s="18" customFormat="1" x14ac:dyDescent="0.25">
      <c r="A112" s="12">
        <v>105</v>
      </c>
      <c r="B112" s="60" t="s">
        <v>293</v>
      </c>
      <c r="C112" s="53">
        <v>10135</v>
      </c>
      <c r="D112" s="38" t="s">
        <v>135</v>
      </c>
      <c r="E112" s="38" t="s">
        <v>23</v>
      </c>
      <c r="F112" s="37" t="s">
        <v>279</v>
      </c>
      <c r="G112" s="4">
        <v>35030</v>
      </c>
      <c r="H112" s="4"/>
      <c r="I112" s="4"/>
      <c r="J112" s="4">
        <v>4030</v>
      </c>
      <c r="K112" s="4">
        <v>4030</v>
      </c>
      <c r="L112" s="11">
        <f t="shared" si="10"/>
        <v>428420</v>
      </c>
      <c r="M112" s="69">
        <v>0</v>
      </c>
      <c r="N112" s="71">
        <v>0</v>
      </c>
      <c r="O112" s="71">
        <v>0</v>
      </c>
      <c r="P112" s="71">
        <v>0</v>
      </c>
      <c r="Q112" s="71">
        <f>VLOOKUP(C112,Incentives!C106:K445,9,FALSE)</f>
        <v>0</v>
      </c>
      <c r="R112" s="71">
        <v>0</v>
      </c>
      <c r="S112" s="13">
        <v>0</v>
      </c>
      <c r="T112" s="13">
        <v>0</v>
      </c>
      <c r="U112" s="13"/>
      <c r="V112" s="13"/>
      <c r="W112" s="13"/>
      <c r="Y112" s="71">
        <v>3000</v>
      </c>
      <c r="Z112" s="71">
        <v>4000</v>
      </c>
      <c r="AA112" s="71">
        <v>0</v>
      </c>
      <c r="AB112" s="71">
        <v>3000</v>
      </c>
      <c r="AC112" s="71">
        <v>0</v>
      </c>
      <c r="AD112" s="71">
        <v>0</v>
      </c>
      <c r="AE112" s="13">
        <v>5000</v>
      </c>
      <c r="AF112" s="13">
        <v>0</v>
      </c>
      <c r="AG112" s="13"/>
      <c r="AH112" s="13"/>
      <c r="AI112" s="20"/>
      <c r="AK112" s="11">
        <f t="shared" si="11"/>
        <v>443420</v>
      </c>
      <c r="AL112" s="11">
        <f t="shared" si="7"/>
        <v>36951.666666666664</v>
      </c>
      <c r="AM112" s="11">
        <f t="shared" si="12"/>
        <v>0</v>
      </c>
      <c r="AN112" s="11">
        <f>VLOOKUP(C112,'Paid Tax'!B107:M468,12,FALSE)</f>
        <v>0</v>
      </c>
      <c r="AO112" s="11">
        <f t="shared" si="8"/>
        <v>0</v>
      </c>
      <c r="AP112" s="13">
        <v>5</v>
      </c>
      <c r="AQ112" s="16">
        <f t="shared" si="9"/>
        <v>0</v>
      </c>
      <c r="AR112" s="13"/>
      <c r="AS112" s="11">
        <f t="shared" si="13"/>
        <v>0</v>
      </c>
      <c r="AT112" s="13"/>
    </row>
    <row r="113" spans="1:46" x14ac:dyDescent="0.25">
      <c r="A113" s="12">
        <v>106</v>
      </c>
      <c r="B113" s="60" t="s">
        <v>293</v>
      </c>
      <c r="C113" s="53">
        <v>10465</v>
      </c>
      <c r="D113" s="38" t="s">
        <v>136</v>
      </c>
      <c r="E113" s="38" t="s">
        <v>23</v>
      </c>
      <c r="F113" s="37" t="s">
        <v>279</v>
      </c>
      <c r="G113" s="4">
        <v>42375</v>
      </c>
      <c r="H113" s="4"/>
      <c r="I113" s="4"/>
      <c r="J113" s="4">
        <v>4875</v>
      </c>
      <c r="K113" s="4">
        <v>4875</v>
      </c>
      <c r="L113" s="11">
        <f t="shared" si="10"/>
        <v>518250</v>
      </c>
      <c r="M113" s="69">
        <v>0</v>
      </c>
      <c r="N113" s="71">
        <v>0</v>
      </c>
      <c r="O113" s="71">
        <v>0</v>
      </c>
      <c r="P113" s="71">
        <v>0</v>
      </c>
      <c r="Q113" s="71">
        <f>VLOOKUP(C113,Incentives!C107:K446,9,FALSE)</f>
        <v>0</v>
      </c>
      <c r="R113" s="71">
        <v>0</v>
      </c>
      <c r="S113" s="13">
        <v>0</v>
      </c>
      <c r="T113" s="13">
        <v>0</v>
      </c>
      <c r="U113" s="13"/>
      <c r="V113" s="13"/>
      <c r="Y113" s="71">
        <v>0</v>
      </c>
      <c r="Z113" s="71">
        <v>0</v>
      </c>
      <c r="AA113" s="71">
        <v>0</v>
      </c>
      <c r="AB113" s="71">
        <v>28356</v>
      </c>
      <c r="AC113" s="71">
        <v>131815</v>
      </c>
      <c r="AD113" s="71">
        <v>56714</v>
      </c>
      <c r="AE113" s="13">
        <v>50100</v>
      </c>
      <c r="AF113" s="13">
        <v>25796</v>
      </c>
      <c r="AI113" s="20"/>
      <c r="AJ113" s="13"/>
      <c r="AK113" s="11">
        <f t="shared" si="11"/>
        <v>811031</v>
      </c>
      <c r="AL113" s="11">
        <f t="shared" si="7"/>
        <v>67585.916666666672</v>
      </c>
      <c r="AM113" s="11">
        <f t="shared" si="12"/>
        <v>2110.31</v>
      </c>
      <c r="AN113" s="11">
        <f>VLOOKUP(C113,'Paid Tax'!B108:M469,12,FALSE)</f>
        <v>349.26886363636333</v>
      </c>
      <c r="AO113" s="11">
        <f t="shared" si="8"/>
        <v>1761.0411363636367</v>
      </c>
      <c r="AP113" s="13">
        <v>9</v>
      </c>
      <c r="AQ113" s="16">
        <f t="shared" si="9"/>
        <v>195.67123737373743</v>
      </c>
      <c r="AR113" s="92" t="s">
        <v>983</v>
      </c>
      <c r="AS113" s="11">
        <f t="shared" si="13"/>
        <v>-195.67123737373743</v>
      </c>
      <c r="AT113" s="13"/>
    </row>
    <row r="114" spans="1:46" s="18" customFormat="1" x14ac:dyDescent="0.25">
      <c r="A114" s="12">
        <v>107</v>
      </c>
      <c r="B114" s="60" t="s">
        <v>293</v>
      </c>
      <c r="C114" s="53">
        <v>10460</v>
      </c>
      <c r="D114" s="38" t="s">
        <v>137</v>
      </c>
      <c r="E114" s="38" t="s">
        <v>23</v>
      </c>
      <c r="F114" s="37" t="s">
        <v>279</v>
      </c>
      <c r="G114" s="4">
        <v>32770</v>
      </c>
      <c r="H114" s="4"/>
      <c r="I114" s="4"/>
      <c r="J114" s="4">
        <v>3770</v>
      </c>
      <c r="K114" s="4">
        <v>3770</v>
      </c>
      <c r="L114" s="11">
        <f t="shared" si="10"/>
        <v>400780</v>
      </c>
      <c r="M114" s="69">
        <v>0</v>
      </c>
      <c r="N114" s="71">
        <v>0</v>
      </c>
      <c r="O114" s="71">
        <v>0</v>
      </c>
      <c r="P114" s="71">
        <v>0</v>
      </c>
      <c r="Q114" s="71">
        <f>VLOOKUP(C114,Incentives!C108:K447,9,FALSE)</f>
        <v>0</v>
      </c>
      <c r="R114" s="71">
        <v>0</v>
      </c>
      <c r="S114" s="13">
        <v>0</v>
      </c>
      <c r="T114" s="13">
        <v>0</v>
      </c>
      <c r="U114" s="13"/>
      <c r="V114" s="13"/>
      <c r="W114" s="13"/>
      <c r="Y114" s="71">
        <v>0</v>
      </c>
      <c r="Z114" s="71">
        <v>0</v>
      </c>
      <c r="AA114" s="71">
        <v>2000</v>
      </c>
      <c r="AB114" s="71">
        <v>0</v>
      </c>
      <c r="AC114" s="71">
        <v>0</v>
      </c>
      <c r="AD114" s="71">
        <v>2000</v>
      </c>
      <c r="AE114" s="13">
        <v>0</v>
      </c>
      <c r="AF114" s="13">
        <v>0</v>
      </c>
      <c r="AG114" s="13"/>
      <c r="AH114" s="13"/>
      <c r="AI114" s="20"/>
      <c r="AK114" s="11">
        <f t="shared" si="11"/>
        <v>404780</v>
      </c>
      <c r="AL114" s="11">
        <f t="shared" si="7"/>
        <v>33731.666666666664</v>
      </c>
      <c r="AM114" s="11">
        <f t="shared" si="12"/>
        <v>0</v>
      </c>
      <c r="AN114" s="11">
        <f>VLOOKUP(C114,'Paid Tax'!B109:M470,12,FALSE)</f>
        <v>0</v>
      </c>
      <c r="AO114" s="11">
        <f t="shared" si="8"/>
        <v>0</v>
      </c>
      <c r="AP114" s="13">
        <v>5</v>
      </c>
      <c r="AQ114" s="16">
        <f t="shared" si="9"/>
        <v>0</v>
      </c>
      <c r="AR114" s="13"/>
      <c r="AS114" s="11">
        <f t="shared" si="13"/>
        <v>0</v>
      </c>
      <c r="AT114" s="13"/>
    </row>
    <row r="115" spans="1:46" x14ac:dyDescent="0.25">
      <c r="A115" s="12">
        <v>108</v>
      </c>
      <c r="B115" s="60" t="s">
        <v>293</v>
      </c>
      <c r="C115" s="53">
        <v>10519</v>
      </c>
      <c r="D115" s="38" t="s">
        <v>138</v>
      </c>
      <c r="E115" s="38" t="s">
        <v>23</v>
      </c>
      <c r="F115" s="37" t="s">
        <v>279</v>
      </c>
      <c r="G115" s="4">
        <v>34000</v>
      </c>
      <c r="H115" s="4"/>
      <c r="I115" s="4"/>
      <c r="J115" s="4">
        <v>0</v>
      </c>
      <c r="K115" s="4">
        <v>0</v>
      </c>
      <c r="L115" s="11">
        <f t="shared" si="10"/>
        <v>408000</v>
      </c>
      <c r="M115" s="69">
        <v>0</v>
      </c>
      <c r="N115" s="71">
        <v>0</v>
      </c>
      <c r="O115" s="71">
        <v>0</v>
      </c>
      <c r="P115" s="71">
        <v>0</v>
      </c>
      <c r="Q115" s="71">
        <f>VLOOKUP(C115,Incentives!C109:K448,9,FALSE)</f>
        <v>0</v>
      </c>
      <c r="R115" s="71">
        <v>0</v>
      </c>
      <c r="S115" s="13">
        <v>0</v>
      </c>
      <c r="T115" s="13">
        <v>0</v>
      </c>
      <c r="U115" s="13"/>
      <c r="V115" s="13"/>
      <c r="Y115" s="71">
        <v>0</v>
      </c>
      <c r="Z115" s="71">
        <v>0</v>
      </c>
      <c r="AA115" s="71">
        <v>0</v>
      </c>
      <c r="AB115" s="71">
        <v>0</v>
      </c>
      <c r="AC115" s="71">
        <v>0</v>
      </c>
      <c r="AD115" s="71">
        <v>0</v>
      </c>
      <c r="AE115" s="13">
        <v>0</v>
      </c>
      <c r="AF115" s="13">
        <v>0</v>
      </c>
      <c r="AI115" s="20"/>
      <c r="AJ115" s="13"/>
      <c r="AK115" s="11">
        <f t="shared" si="11"/>
        <v>408000</v>
      </c>
      <c r="AL115" s="11">
        <f t="shared" si="7"/>
        <v>34000</v>
      </c>
      <c r="AM115" s="11">
        <f t="shared" si="12"/>
        <v>0</v>
      </c>
      <c r="AN115" s="11">
        <f>VLOOKUP(C115,'Paid Tax'!B110:M471,12,FALSE)</f>
        <v>0</v>
      </c>
      <c r="AO115" s="11">
        <f t="shared" si="8"/>
        <v>0</v>
      </c>
      <c r="AP115" s="13">
        <v>5</v>
      </c>
      <c r="AQ115" s="16">
        <f t="shared" si="9"/>
        <v>0</v>
      </c>
      <c r="AS115" s="11">
        <f t="shared" si="13"/>
        <v>0</v>
      </c>
      <c r="AT115" s="13"/>
    </row>
    <row r="116" spans="1:46" x14ac:dyDescent="0.25">
      <c r="A116" s="12">
        <v>109</v>
      </c>
      <c r="B116" s="60" t="s">
        <v>293</v>
      </c>
      <c r="C116" s="53">
        <v>10226</v>
      </c>
      <c r="D116" s="38" t="s">
        <v>139</v>
      </c>
      <c r="E116" s="38" t="s">
        <v>69</v>
      </c>
      <c r="F116" s="37" t="s">
        <v>284</v>
      </c>
      <c r="G116" s="4">
        <v>32733</v>
      </c>
      <c r="H116" s="4"/>
      <c r="I116" s="4"/>
      <c r="J116" s="4">
        <v>4415.8500000000004</v>
      </c>
      <c r="K116" s="4">
        <v>4415.8500000000004</v>
      </c>
      <c r="L116" s="11">
        <f t="shared" si="10"/>
        <v>401627.69999999995</v>
      </c>
      <c r="M116" s="69">
        <v>2220</v>
      </c>
      <c r="N116" s="71">
        <v>8880</v>
      </c>
      <c r="O116" s="71">
        <v>2280</v>
      </c>
      <c r="P116" s="71">
        <v>2280</v>
      </c>
      <c r="Q116" s="71">
        <f>VLOOKUP(C116,Incentives!C110:K449,9,FALSE)</f>
        <v>18450</v>
      </c>
      <c r="R116" s="71">
        <v>10000</v>
      </c>
      <c r="S116" s="13">
        <v>2960</v>
      </c>
      <c r="T116" s="13">
        <v>2340</v>
      </c>
      <c r="U116" s="13"/>
      <c r="V116" s="13"/>
      <c r="Y116" s="71">
        <v>0</v>
      </c>
      <c r="Z116" s="71">
        <v>0</v>
      </c>
      <c r="AA116" s="71">
        <v>0</v>
      </c>
      <c r="AB116" s="71">
        <v>0</v>
      </c>
      <c r="AC116" s="71">
        <v>0</v>
      </c>
      <c r="AD116" s="71">
        <v>0</v>
      </c>
      <c r="AE116" s="13">
        <v>0</v>
      </c>
      <c r="AF116" s="13">
        <v>0</v>
      </c>
      <c r="AI116" s="20"/>
      <c r="AJ116" s="13"/>
      <c r="AK116" s="11">
        <f t="shared" si="11"/>
        <v>451037.69999999995</v>
      </c>
      <c r="AL116" s="11">
        <f t="shared" si="7"/>
        <v>37586.474999999999</v>
      </c>
      <c r="AM116" s="11">
        <f t="shared" si="12"/>
        <v>0</v>
      </c>
      <c r="AN116" s="11">
        <f>VLOOKUP(C116,'Paid Tax'!B111:M472,12,FALSE)</f>
        <v>0</v>
      </c>
      <c r="AO116" s="11">
        <f t="shared" si="8"/>
        <v>0</v>
      </c>
      <c r="AP116" s="13">
        <v>5</v>
      </c>
      <c r="AQ116" s="16">
        <f t="shared" si="9"/>
        <v>0</v>
      </c>
      <c r="AS116" s="11">
        <f t="shared" si="13"/>
        <v>0</v>
      </c>
      <c r="AT116" s="13"/>
    </row>
    <row r="117" spans="1:46" s="18" customFormat="1" x14ac:dyDescent="0.25">
      <c r="A117" s="12">
        <v>110</v>
      </c>
      <c r="B117" s="60" t="s">
        <v>293</v>
      </c>
      <c r="C117" s="53">
        <v>10393</v>
      </c>
      <c r="D117" s="38" t="s">
        <v>140</v>
      </c>
      <c r="E117" s="38" t="s">
        <v>69</v>
      </c>
      <c r="F117" s="37" t="s">
        <v>284</v>
      </c>
      <c r="G117" s="4">
        <v>33450</v>
      </c>
      <c r="H117" s="4"/>
      <c r="I117" s="4"/>
      <c r="J117" s="4">
        <v>4450</v>
      </c>
      <c r="K117" s="4">
        <v>4450</v>
      </c>
      <c r="L117" s="11">
        <f t="shared" si="10"/>
        <v>410300</v>
      </c>
      <c r="M117" s="69">
        <v>3600</v>
      </c>
      <c r="N117" s="71">
        <v>3480</v>
      </c>
      <c r="O117" s="71">
        <v>0</v>
      </c>
      <c r="P117" s="71">
        <v>0</v>
      </c>
      <c r="Q117" s="71">
        <f>VLOOKUP(C117,Incentives!C111:K450,9,FALSE)</f>
        <v>0</v>
      </c>
      <c r="R117" s="71">
        <v>0</v>
      </c>
      <c r="S117" s="13">
        <v>0</v>
      </c>
      <c r="T117" s="13">
        <v>0</v>
      </c>
      <c r="U117" s="13"/>
      <c r="V117" s="13"/>
      <c r="W117" s="13"/>
      <c r="Y117" s="71">
        <v>0</v>
      </c>
      <c r="Z117" s="71">
        <v>0</v>
      </c>
      <c r="AA117" s="71">
        <v>0</v>
      </c>
      <c r="AB117" s="71">
        <v>0</v>
      </c>
      <c r="AC117" s="71">
        <v>0</v>
      </c>
      <c r="AD117" s="71">
        <v>0</v>
      </c>
      <c r="AE117" s="13">
        <v>0</v>
      </c>
      <c r="AF117" s="13">
        <v>0</v>
      </c>
      <c r="AG117" s="13"/>
      <c r="AH117" s="13"/>
      <c r="AI117" s="20"/>
      <c r="AK117" s="11">
        <f t="shared" si="11"/>
        <v>417380</v>
      </c>
      <c r="AL117" s="11">
        <f t="shared" si="7"/>
        <v>34781.666666666664</v>
      </c>
      <c r="AM117" s="11">
        <f t="shared" si="12"/>
        <v>0</v>
      </c>
      <c r="AN117" s="11">
        <f>VLOOKUP(C117,'Paid Tax'!B112:M473,12,FALSE)</f>
        <v>0</v>
      </c>
      <c r="AO117" s="11">
        <f t="shared" si="8"/>
        <v>0</v>
      </c>
      <c r="AP117" s="13">
        <v>5</v>
      </c>
      <c r="AQ117" s="16">
        <f t="shared" si="9"/>
        <v>0</v>
      </c>
      <c r="AR117" s="13"/>
      <c r="AS117" s="11">
        <f t="shared" si="13"/>
        <v>0</v>
      </c>
      <c r="AT117" s="13"/>
    </row>
    <row r="118" spans="1:46" x14ac:dyDescent="0.25">
      <c r="A118" s="12">
        <v>111</v>
      </c>
      <c r="B118" s="60" t="s">
        <v>293</v>
      </c>
      <c r="C118" s="53">
        <v>10394</v>
      </c>
      <c r="D118" s="38" t="s">
        <v>141</v>
      </c>
      <c r="E118" s="38" t="s">
        <v>69</v>
      </c>
      <c r="F118" s="37" t="s">
        <v>284</v>
      </c>
      <c r="G118" s="4">
        <v>33450</v>
      </c>
      <c r="H118" s="4"/>
      <c r="I118" s="4"/>
      <c r="J118" s="4">
        <v>4450</v>
      </c>
      <c r="K118" s="4">
        <v>4450</v>
      </c>
      <c r="L118" s="11">
        <f t="shared" si="10"/>
        <v>410300</v>
      </c>
      <c r="M118" s="69">
        <v>16800</v>
      </c>
      <c r="N118" s="71">
        <v>3600</v>
      </c>
      <c r="O118" s="71">
        <v>6240</v>
      </c>
      <c r="P118" s="71">
        <v>12300</v>
      </c>
      <c r="Q118" s="71">
        <f>VLOOKUP(C118,Incentives!C112:K451,9,FALSE)</f>
        <v>21545</v>
      </c>
      <c r="R118" s="71">
        <v>2760</v>
      </c>
      <c r="S118" s="13">
        <v>17500</v>
      </c>
      <c r="T118" s="13">
        <v>16875</v>
      </c>
      <c r="U118" s="13"/>
      <c r="V118" s="13"/>
      <c r="Y118" s="71">
        <v>0</v>
      </c>
      <c r="Z118" s="71">
        <v>0</v>
      </c>
      <c r="AA118" s="71">
        <v>0</v>
      </c>
      <c r="AB118" s="71">
        <v>0</v>
      </c>
      <c r="AC118" s="71">
        <v>0</v>
      </c>
      <c r="AD118" s="71">
        <v>0</v>
      </c>
      <c r="AE118" s="13">
        <v>0</v>
      </c>
      <c r="AF118" s="13">
        <v>0</v>
      </c>
      <c r="AI118" s="20"/>
      <c r="AJ118" s="13"/>
      <c r="AK118" s="11">
        <f t="shared" si="11"/>
        <v>507920</v>
      </c>
      <c r="AL118" s="11">
        <f t="shared" si="7"/>
        <v>42326.666666666664</v>
      </c>
      <c r="AM118" s="11">
        <f t="shared" si="12"/>
        <v>0</v>
      </c>
      <c r="AN118" s="11">
        <f>VLOOKUP(C118,'Paid Tax'!B113:M474,12,FALSE)</f>
        <v>0</v>
      </c>
      <c r="AO118" s="11">
        <f t="shared" si="8"/>
        <v>0</v>
      </c>
      <c r="AP118" s="13">
        <v>5</v>
      </c>
      <c r="AQ118" s="16">
        <f t="shared" si="9"/>
        <v>0</v>
      </c>
      <c r="AS118" s="11">
        <f t="shared" si="13"/>
        <v>0</v>
      </c>
      <c r="AT118" s="13"/>
    </row>
    <row r="119" spans="1:46" s="18" customFormat="1" x14ac:dyDescent="0.25">
      <c r="A119" s="12">
        <v>112</v>
      </c>
      <c r="B119" s="60" t="s">
        <v>293</v>
      </c>
      <c r="C119" s="53">
        <v>10330</v>
      </c>
      <c r="D119" s="38" t="s">
        <v>142</v>
      </c>
      <c r="E119" s="38" t="s">
        <v>109</v>
      </c>
      <c r="F119" s="37" t="s">
        <v>281</v>
      </c>
      <c r="G119" s="4">
        <v>37950</v>
      </c>
      <c r="H119" s="4"/>
      <c r="I119" s="4"/>
      <c r="J119" s="4">
        <v>4950</v>
      </c>
      <c r="K119" s="4">
        <v>4950</v>
      </c>
      <c r="L119" s="11">
        <f t="shared" si="10"/>
        <v>465300</v>
      </c>
      <c r="M119" s="69">
        <v>0</v>
      </c>
      <c r="N119" s="71">
        <v>0</v>
      </c>
      <c r="O119" s="71">
        <v>0</v>
      </c>
      <c r="P119" s="71">
        <v>0</v>
      </c>
      <c r="Q119" s="71">
        <f>VLOOKUP(C119,Incentives!C113:K452,9,FALSE)</f>
        <v>0</v>
      </c>
      <c r="R119" s="71">
        <v>0</v>
      </c>
      <c r="S119" s="13">
        <v>0</v>
      </c>
      <c r="T119" s="13">
        <v>0</v>
      </c>
      <c r="U119" s="13"/>
      <c r="V119" s="13"/>
      <c r="W119" s="13"/>
      <c r="Y119" s="71">
        <v>0</v>
      </c>
      <c r="Z119" s="71">
        <v>0</v>
      </c>
      <c r="AA119" s="71">
        <v>0</v>
      </c>
      <c r="AB119" s="71">
        <v>0</v>
      </c>
      <c r="AC119" s="71">
        <v>0</v>
      </c>
      <c r="AD119" s="71">
        <v>0</v>
      </c>
      <c r="AE119" s="13">
        <v>0</v>
      </c>
      <c r="AF119" s="13">
        <v>0</v>
      </c>
      <c r="AG119" s="13"/>
      <c r="AH119" s="13"/>
      <c r="AI119" s="22"/>
      <c r="AK119" s="11">
        <f t="shared" si="11"/>
        <v>465300</v>
      </c>
      <c r="AL119" s="11">
        <f t="shared" si="7"/>
        <v>38775</v>
      </c>
      <c r="AM119" s="11">
        <f t="shared" si="12"/>
        <v>0</v>
      </c>
      <c r="AN119" s="11">
        <f>VLOOKUP(C119,'Paid Tax'!B114:M475,12,FALSE)</f>
        <v>0</v>
      </c>
      <c r="AO119" s="11">
        <f t="shared" si="8"/>
        <v>0</v>
      </c>
      <c r="AP119" s="13">
        <v>5</v>
      </c>
      <c r="AQ119" s="16">
        <f t="shared" si="9"/>
        <v>0</v>
      </c>
      <c r="AR119" s="13"/>
      <c r="AS119" s="11">
        <f t="shared" si="13"/>
        <v>0</v>
      </c>
      <c r="AT119" s="13"/>
    </row>
    <row r="120" spans="1:46" x14ac:dyDescent="0.25">
      <c r="A120" s="12">
        <v>113</v>
      </c>
      <c r="B120" s="60" t="s">
        <v>293</v>
      </c>
      <c r="C120" s="53">
        <v>10526</v>
      </c>
      <c r="D120" s="38" t="s">
        <v>143</v>
      </c>
      <c r="E120" s="38" t="s">
        <v>99</v>
      </c>
      <c r="F120" s="37" t="s">
        <v>278</v>
      </c>
      <c r="G120" s="4">
        <v>38000</v>
      </c>
      <c r="H120" s="4"/>
      <c r="I120" s="4"/>
      <c r="J120" s="4">
        <v>0</v>
      </c>
      <c r="K120" s="4">
        <v>0</v>
      </c>
      <c r="L120" s="11">
        <f t="shared" si="10"/>
        <v>456000</v>
      </c>
      <c r="M120" s="69">
        <v>0</v>
      </c>
      <c r="N120" s="71">
        <v>0</v>
      </c>
      <c r="O120" s="71">
        <v>0</v>
      </c>
      <c r="P120" s="71">
        <v>0</v>
      </c>
      <c r="Q120" s="71">
        <f>VLOOKUP(C120,Incentives!C114:K453,9,FALSE)</f>
        <v>0</v>
      </c>
      <c r="R120" s="71">
        <v>0</v>
      </c>
      <c r="S120" s="13">
        <v>0</v>
      </c>
      <c r="T120" s="13">
        <v>0</v>
      </c>
      <c r="U120" s="13"/>
      <c r="V120" s="13"/>
      <c r="Y120" s="71">
        <v>0</v>
      </c>
      <c r="Z120" s="71">
        <v>0</v>
      </c>
      <c r="AA120" s="71">
        <v>0</v>
      </c>
      <c r="AB120" s="71">
        <v>0</v>
      </c>
      <c r="AC120" s="71">
        <v>0</v>
      </c>
      <c r="AD120" s="71">
        <v>0</v>
      </c>
      <c r="AE120" s="13">
        <v>0</v>
      </c>
      <c r="AF120" s="13">
        <v>0</v>
      </c>
      <c r="AI120" s="20"/>
      <c r="AJ120" s="13"/>
      <c r="AK120" s="11">
        <f t="shared" si="11"/>
        <v>456000</v>
      </c>
      <c r="AL120" s="11">
        <f t="shared" si="7"/>
        <v>38000</v>
      </c>
      <c r="AM120" s="11">
        <f t="shared" si="12"/>
        <v>0</v>
      </c>
      <c r="AN120" s="11">
        <f>VLOOKUP(C120,'Paid Tax'!B115:M476,12,FALSE)</f>
        <v>0</v>
      </c>
      <c r="AO120" s="11">
        <f t="shared" si="8"/>
        <v>0</v>
      </c>
      <c r="AP120" s="13">
        <v>5</v>
      </c>
      <c r="AQ120" s="16">
        <f t="shared" si="9"/>
        <v>0</v>
      </c>
      <c r="AS120" s="11">
        <f t="shared" si="13"/>
        <v>0</v>
      </c>
      <c r="AT120" s="13"/>
    </row>
    <row r="121" spans="1:46" x14ac:dyDescent="0.25">
      <c r="A121" s="12">
        <v>114</v>
      </c>
      <c r="B121" s="60" t="s">
        <v>293</v>
      </c>
      <c r="C121" s="53">
        <v>10289</v>
      </c>
      <c r="D121" s="38" t="s">
        <v>145</v>
      </c>
      <c r="E121" s="38" t="s">
        <v>146</v>
      </c>
      <c r="F121" s="37" t="s">
        <v>280</v>
      </c>
      <c r="G121" s="4">
        <v>39230</v>
      </c>
      <c r="H121" s="4"/>
      <c r="I121" s="4"/>
      <c r="J121" s="4">
        <v>6630</v>
      </c>
      <c r="K121" s="4">
        <v>6630</v>
      </c>
      <c r="L121" s="11">
        <f t="shared" si="10"/>
        <v>484020</v>
      </c>
      <c r="M121" s="69">
        <v>0</v>
      </c>
      <c r="N121" s="71">
        <v>0</v>
      </c>
      <c r="O121" s="71">
        <v>0</v>
      </c>
      <c r="P121" s="71">
        <v>0</v>
      </c>
      <c r="Q121" s="71">
        <f>VLOOKUP(C121,Incentives!C115:K454,9,FALSE)</f>
        <v>0</v>
      </c>
      <c r="R121" s="71">
        <v>0</v>
      </c>
      <c r="S121" s="13">
        <v>0</v>
      </c>
      <c r="T121" s="13">
        <v>0</v>
      </c>
      <c r="U121" s="13"/>
      <c r="V121" s="13"/>
      <c r="Y121" s="71">
        <v>0</v>
      </c>
      <c r="Z121" s="71">
        <v>0</v>
      </c>
      <c r="AA121" s="71">
        <v>0</v>
      </c>
      <c r="AB121" s="71">
        <v>0</v>
      </c>
      <c r="AC121" s="71">
        <v>0</v>
      </c>
      <c r="AD121" s="71">
        <v>0</v>
      </c>
      <c r="AE121" s="13">
        <v>0</v>
      </c>
      <c r="AF121" s="13">
        <v>0</v>
      </c>
      <c r="AI121" s="20"/>
      <c r="AJ121" s="13"/>
      <c r="AK121" s="11">
        <f t="shared" si="11"/>
        <v>484020</v>
      </c>
      <c r="AL121" s="11">
        <f t="shared" si="7"/>
        <v>40335</v>
      </c>
      <c r="AM121" s="11">
        <f t="shared" si="12"/>
        <v>0</v>
      </c>
      <c r="AN121" s="11">
        <f>VLOOKUP(C121,'Paid Tax'!B116:M477,12,FALSE)</f>
        <v>0</v>
      </c>
      <c r="AO121" s="11">
        <f t="shared" si="8"/>
        <v>0</v>
      </c>
      <c r="AP121" s="13">
        <v>5</v>
      </c>
      <c r="AQ121" s="16">
        <f t="shared" si="9"/>
        <v>0</v>
      </c>
      <c r="AS121" s="11">
        <f t="shared" si="13"/>
        <v>0</v>
      </c>
      <c r="AT121" s="13"/>
    </row>
    <row r="122" spans="1:46" x14ac:dyDescent="0.25">
      <c r="A122" s="12">
        <v>115</v>
      </c>
      <c r="B122" s="60" t="s">
        <v>293</v>
      </c>
      <c r="C122" s="53">
        <v>10352</v>
      </c>
      <c r="D122" s="38" t="s">
        <v>147</v>
      </c>
      <c r="E122" s="38" t="s">
        <v>148</v>
      </c>
      <c r="F122" s="37" t="s">
        <v>280</v>
      </c>
      <c r="G122" s="4">
        <v>30000</v>
      </c>
      <c r="H122" s="4"/>
      <c r="I122" s="4"/>
      <c r="J122" s="4">
        <v>3000</v>
      </c>
      <c r="K122" s="4">
        <v>3000</v>
      </c>
      <c r="L122" s="11">
        <f t="shared" si="10"/>
        <v>366000</v>
      </c>
      <c r="M122" s="69">
        <v>0</v>
      </c>
      <c r="N122" s="71">
        <v>0</v>
      </c>
      <c r="O122" s="71">
        <v>0</v>
      </c>
      <c r="P122" s="71">
        <v>0</v>
      </c>
      <c r="Q122" s="71">
        <f>VLOOKUP(C122,Incentives!C116:K455,9,FALSE)</f>
        <v>0</v>
      </c>
      <c r="R122" s="71">
        <v>0</v>
      </c>
      <c r="S122" s="13">
        <v>0</v>
      </c>
      <c r="T122" s="13">
        <v>0</v>
      </c>
      <c r="U122" s="13"/>
      <c r="V122" s="13"/>
      <c r="Y122" s="71">
        <v>0</v>
      </c>
      <c r="Z122" s="71">
        <v>0</v>
      </c>
      <c r="AA122" s="71">
        <v>0</v>
      </c>
      <c r="AB122" s="71">
        <v>0</v>
      </c>
      <c r="AC122" s="71">
        <v>0</v>
      </c>
      <c r="AD122" s="71">
        <v>0</v>
      </c>
      <c r="AE122" s="13">
        <v>0</v>
      </c>
      <c r="AF122" s="13">
        <v>0</v>
      </c>
      <c r="AI122" s="20"/>
      <c r="AJ122" s="13"/>
      <c r="AK122" s="11">
        <f t="shared" si="11"/>
        <v>366000</v>
      </c>
      <c r="AL122" s="11">
        <f t="shared" si="7"/>
        <v>30500</v>
      </c>
      <c r="AM122" s="11">
        <f t="shared" si="12"/>
        <v>0</v>
      </c>
      <c r="AN122" s="11">
        <f>VLOOKUP(C122,'Paid Tax'!B117:M478,12,FALSE)</f>
        <v>0</v>
      </c>
      <c r="AO122" s="11">
        <f t="shared" si="8"/>
        <v>0</v>
      </c>
      <c r="AP122" s="13">
        <v>5</v>
      </c>
      <c r="AQ122" s="16">
        <f t="shared" si="9"/>
        <v>0</v>
      </c>
      <c r="AS122" s="11">
        <f t="shared" si="13"/>
        <v>0</v>
      </c>
      <c r="AT122" s="13"/>
    </row>
    <row r="123" spans="1:46" x14ac:dyDescent="0.25">
      <c r="A123" s="12">
        <v>116</v>
      </c>
      <c r="B123" s="60" t="s">
        <v>294</v>
      </c>
      <c r="C123" s="53">
        <v>10290</v>
      </c>
      <c r="D123" s="38" t="s">
        <v>151</v>
      </c>
      <c r="E123" s="38" t="s">
        <v>152</v>
      </c>
      <c r="F123" s="37" t="s">
        <v>283</v>
      </c>
      <c r="G123" s="4">
        <v>55500</v>
      </c>
      <c r="H123" s="4"/>
      <c r="I123" s="4"/>
      <c r="J123" s="4">
        <v>15000</v>
      </c>
      <c r="K123" s="4">
        <v>15000</v>
      </c>
      <c r="L123" s="11">
        <f t="shared" si="10"/>
        <v>696000</v>
      </c>
      <c r="M123" s="69">
        <v>0</v>
      </c>
      <c r="N123" s="71">
        <v>0</v>
      </c>
      <c r="O123" s="71">
        <v>0</v>
      </c>
      <c r="P123" s="71">
        <v>0</v>
      </c>
      <c r="Q123" s="71">
        <f>VLOOKUP(C123,Incentives!C117:K456,9,FALSE)</f>
        <v>0</v>
      </c>
      <c r="R123" s="71">
        <v>0</v>
      </c>
      <c r="S123" s="13">
        <v>0</v>
      </c>
      <c r="T123" s="13">
        <v>0</v>
      </c>
      <c r="U123" s="13"/>
      <c r="V123" s="13"/>
      <c r="Y123" s="71">
        <v>5063</v>
      </c>
      <c r="Z123" s="71">
        <v>86250</v>
      </c>
      <c r="AA123" s="71">
        <v>139843</v>
      </c>
      <c r="AB123" s="71">
        <v>3272</v>
      </c>
      <c r="AC123" s="71">
        <v>4155</v>
      </c>
      <c r="AD123" s="71">
        <v>76856</v>
      </c>
      <c r="AE123" s="71">
        <f>2508+157025</f>
        <v>159533</v>
      </c>
      <c r="AF123" s="13">
        <v>1900</v>
      </c>
      <c r="AI123" s="20"/>
      <c r="AJ123" s="13"/>
      <c r="AK123" s="11">
        <f t="shared" si="11"/>
        <v>1172872</v>
      </c>
      <c r="AL123" s="11">
        <f t="shared" si="7"/>
        <v>97739.333333333328</v>
      </c>
      <c r="AM123" s="11">
        <f t="shared" si="12"/>
        <v>5728.72</v>
      </c>
      <c r="AN123" s="11">
        <f>VLOOKUP(C123,'Paid Tax'!B118:M479,12,FALSE)</f>
        <v>2269.1222709235212</v>
      </c>
      <c r="AO123" s="11">
        <f t="shared" si="8"/>
        <v>3459.597729076479</v>
      </c>
      <c r="AP123" s="13">
        <v>5</v>
      </c>
      <c r="AQ123" s="96">
        <f t="shared" si="9"/>
        <v>691.91954581529581</v>
      </c>
      <c r="AS123" s="11">
        <f t="shared" si="13"/>
        <v>-691.91954581529581</v>
      </c>
      <c r="AT123" s="13"/>
    </row>
    <row r="124" spans="1:46" s="18" customFormat="1" x14ac:dyDescent="0.25">
      <c r="A124" s="12">
        <v>117</v>
      </c>
      <c r="B124" s="60" t="s">
        <v>293</v>
      </c>
      <c r="C124" s="53">
        <v>10291</v>
      </c>
      <c r="D124" s="38" t="s">
        <v>153</v>
      </c>
      <c r="E124" s="38" t="s">
        <v>51</v>
      </c>
      <c r="F124" s="37" t="s">
        <v>288</v>
      </c>
      <c r="G124" s="4">
        <v>75440</v>
      </c>
      <c r="H124" s="4"/>
      <c r="I124" s="4"/>
      <c r="J124" s="4">
        <v>9840</v>
      </c>
      <c r="K124" s="4">
        <v>9840</v>
      </c>
      <c r="L124" s="11">
        <f t="shared" si="10"/>
        <v>924960</v>
      </c>
      <c r="M124" s="69">
        <v>0</v>
      </c>
      <c r="N124" s="71">
        <v>0</v>
      </c>
      <c r="O124" s="71">
        <v>0</v>
      </c>
      <c r="P124" s="71">
        <v>0</v>
      </c>
      <c r="Q124" s="71">
        <f>VLOOKUP(C124,Incentives!C118:K457,9,FALSE)</f>
        <v>0</v>
      </c>
      <c r="R124" s="71">
        <v>0</v>
      </c>
      <c r="S124" s="13">
        <v>0</v>
      </c>
      <c r="T124" s="13">
        <v>0</v>
      </c>
      <c r="U124" s="13"/>
      <c r="V124" s="13"/>
      <c r="W124" s="13"/>
      <c r="Y124" s="71">
        <v>0</v>
      </c>
      <c r="Z124" s="71">
        <v>0</v>
      </c>
      <c r="AA124" s="71">
        <v>0</v>
      </c>
      <c r="AB124" s="71">
        <v>0</v>
      </c>
      <c r="AC124" s="71">
        <v>0</v>
      </c>
      <c r="AD124" s="71">
        <v>0</v>
      </c>
      <c r="AE124" s="13">
        <v>0</v>
      </c>
      <c r="AF124" s="13">
        <v>0</v>
      </c>
      <c r="AG124" s="13"/>
      <c r="AH124" s="13"/>
      <c r="AI124" s="22"/>
      <c r="AK124" s="11">
        <f t="shared" si="11"/>
        <v>924960</v>
      </c>
      <c r="AL124" s="11">
        <f t="shared" si="7"/>
        <v>77080</v>
      </c>
      <c r="AM124" s="11">
        <f t="shared" si="12"/>
        <v>3249.6</v>
      </c>
      <c r="AN124" s="11">
        <f>VLOOKUP(C124,'Paid Tax'!B119:M480,12,FALSE)</f>
        <v>1891.8727272727272</v>
      </c>
      <c r="AO124" s="11">
        <f t="shared" si="8"/>
        <v>1357.7272727272727</v>
      </c>
      <c r="AP124" s="13">
        <v>5</v>
      </c>
      <c r="AQ124" s="16">
        <f t="shared" si="9"/>
        <v>271.54545454545456</v>
      </c>
      <c r="AR124" s="13"/>
      <c r="AS124" s="11">
        <f t="shared" si="13"/>
        <v>-271.54545454545456</v>
      </c>
      <c r="AT124" s="13"/>
    </row>
    <row r="125" spans="1:46" x14ac:dyDescent="0.25">
      <c r="A125" s="12">
        <v>118</v>
      </c>
      <c r="B125" s="60" t="s">
        <v>293</v>
      </c>
      <c r="C125" s="53">
        <v>10389</v>
      </c>
      <c r="D125" s="38" t="s">
        <v>154</v>
      </c>
      <c r="E125" s="38" t="s">
        <v>51</v>
      </c>
      <c r="F125" s="37" t="s">
        <v>288</v>
      </c>
      <c r="G125" s="4">
        <v>34200</v>
      </c>
      <c r="H125" s="4"/>
      <c r="I125" s="4"/>
      <c r="J125" s="4">
        <v>4200</v>
      </c>
      <c r="K125" s="4">
        <v>4200</v>
      </c>
      <c r="L125" s="11">
        <f t="shared" si="10"/>
        <v>418800</v>
      </c>
      <c r="M125" s="69">
        <v>0</v>
      </c>
      <c r="N125" s="71">
        <v>0</v>
      </c>
      <c r="O125" s="71">
        <v>0</v>
      </c>
      <c r="P125" s="71">
        <v>0</v>
      </c>
      <c r="Q125" s="71">
        <f>VLOOKUP(C125,Incentives!C119:K458,9,FALSE)</f>
        <v>0</v>
      </c>
      <c r="R125" s="71">
        <v>0</v>
      </c>
      <c r="S125" s="13">
        <v>0</v>
      </c>
      <c r="T125" s="13">
        <v>0</v>
      </c>
      <c r="U125" s="13"/>
      <c r="V125" s="13"/>
      <c r="Y125" s="71">
        <v>0</v>
      </c>
      <c r="Z125" s="71">
        <v>0</v>
      </c>
      <c r="AA125" s="71">
        <v>0</v>
      </c>
      <c r="AB125" s="71">
        <v>0</v>
      </c>
      <c r="AC125" s="71">
        <v>0</v>
      </c>
      <c r="AD125" s="71">
        <v>0</v>
      </c>
      <c r="AE125" s="13">
        <v>0</v>
      </c>
      <c r="AF125" s="13">
        <v>0</v>
      </c>
      <c r="AI125" s="20"/>
      <c r="AJ125" s="13"/>
      <c r="AK125" s="11">
        <f t="shared" si="11"/>
        <v>418800</v>
      </c>
      <c r="AL125" s="11">
        <f t="shared" si="7"/>
        <v>34900</v>
      </c>
      <c r="AM125" s="11">
        <f t="shared" si="12"/>
        <v>0</v>
      </c>
      <c r="AN125" s="11">
        <f>VLOOKUP(C125,'Paid Tax'!B120:M481,12,FALSE)</f>
        <v>0</v>
      </c>
      <c r="AO125" s="11">
        <f t="shared" si="8"/>
        <v>0</v>
      </c>
      <c r="AP125" s="13">
        <v>5</v>
      </c>
      <c r="AQ125" s="16">
        <f t="shared" si="9"/>
        <v>0</v>
      </c>
      <c r="AS125" s="11">
        <f t="shared" si="13"/>
        <v>0</v>
      </c>
      <c r="AT125" s="13"/>
    </row>
    <row r="126" spans="1:46" x14ac:dyDescent="0.25">
      <c r="A126" s="12">
        <v>119</v>
      </c>
      <c r="B126" s="60" t="s">
        <v>293</v>
      </c>
      <c r="C126" s="53">
        <v>10482</v>
      </c>
      <c r="D126" s="38" t="s">
        <v>155</v>
      </c>
      <c r="E126" s="38" t="s">
        <v>156</v>
      </c>
      <c r="F126" s="37" t="s">
        <v>288</v>
      </c>
      <c r="G126" s="4">
        <v>111550</v>
      </c>
      <c r="H126" s="4"/>
      <c r="I126" s="4"/>
      <c r="J126" s="4">
        <v>14550</v>
      </c>
      <c r="K126" s="4">
        <v>14550</v>
      </c>
      <c r="L126" s="11">
        <f t="shared" si="10"/>
        <v>1367700</v>
      </c>
      <c r="M126" s="69">
        <v>0</v>
      </c>
      <c r="N126" s="71">
        <v>0</v>
      </c>
      <c r="O126" s="71">
        <v>0</v>
      </c>
      <c r="P126" s="71">
        <v>0</v>
      </c>
      <c r="Q126" s="71">
        <f>VLOOKUP(C126,Incentives!C120:K459,9,FALSE)</f>
        <v>0</v>
      </c>
      <c r="R126" s="71">
        <v>0</v>
      </c>
      <c r="S126" s="13">
        <v>0</v>
      </c>
      <c r="T126" s="13">
        <v>0</v>
      </c>
      <c r="U126" s="13"/>
      <c r="V126" s="13"/>
      <c r="Y126" s="71">
        <v>0</v>
      </c>
      <c r="Z126" s="71">
        <v>0</v>
      </c>
      <c r="AA126" s="71">
        <v>0</v>
      </c>
      <c r="AB126" s="71">
        <v>0</v>
      </c>
      <c r="AC126" s="71">
        <v>0</v>
      </c>
      <c r="AD126" s="71">
        <v>0</v>
      </c>
      <c r="AE126" s="13">
        <v>0</v>
      </c>
      <c r="AF126" s="13">
        <v>0</v>
      </c>
      <c r="AI126" s="20"/>
      <c r="AJ126" s="13"/>
      <c r="AK126" s="11">
        <f t="shared" si="11"/>
        <v>1367700</v>
      </c>
      <c r="AL126" s="11">
        <f t="shared" si="7"/>
        <v>113975</v>
      </c>
      <c r="AM126" s="11">
        <f t="shared" si="12"/>
        <v>24447</v>
      </c>
      <c r="AN126" s="11">
        <f>VLOOKUP(C126,'Paid Tax'!B121:M482,12,FALSE)</f>
        <v>14200.125</v>
      </c>
      <c r="AO126" s="11">
        <f t="shared" si="8"/>
        <v>10246.875</v>
      </c>
      <c r="AP126" s="13">
        <v>5</v>
      </c>
      <c r="AQ126" s="16">
        <f t="shared" si="9"/>
        <v>2049.375</v>
      </c>
      <c r="AS126" s="11">
        <f t="shared" si="13"/>
        <v>-2049.375</v>
      </c>
      <c r="AT126" s="13"/>
    </row>
    <row r="127" spans="1:46" s="18" customFormat="1" x14ac:dyDescent="0.25">
      <c r="A127" s="12">
        <v>120</v>
      </c>
      <c r="B127" s="60" t="s">
        <v>293</v>
      </c>
      <c r="C127" s="53">
        <v>20005</v>
      </c>
      <c r="D127" s="38" t="s">
        <v>157</v>
      </c>
      <c r="E127" s="38" t="s">
        <v>158</v>
      </c>
      <c r="F127" s="37" t="s">
        <v>289</v>
      </c>
      <c r="G127" s="4">
        <v>130269</v>
      </c>
      <c r="H127" s="4"/>
      <c r="I127" s="4"/>
      <c r="J127" s="4">
        <v>10000</v>
      </c>
      <c r="K127" s="4">
        <v>10000</v>
      </c>
      <c r="L127" s="11">
        <f t="shared" si="10"/>
        <v>1583228</v>
      </c>
      <c r="M127" s="69">
        <v>0</v>
      </c>
      <c r="N127" s="71">
        <v>0</v>
      </c>
      <c r="O127" s="71">
        <v>0</v>
      </c>
      <c r="P127" s="71">
        <v>0</v>
      </c>
      <c r="Q127" s="71">
        <f>VLOOKUP(C127,Incentives!C121:K460,9,FALSE)</f>
        <v>0</v>
      </c>
      <c r="R127" s="71">
        <v>0</v>
      </c>
      <c r="S127" s="13">
        <v>0</v>
      </c>
      <c r="T127" s="13">
        <v>0</v>
      </c>
      <c r="U127" s="13"/>
      <c r="V127" s="13"/>
      <c r="W127" s="13"/>
      <c r="Y127" s="71">
        <v>0</v>
      </c>
      <c r="Z127" s="71">
        <v>0</v>
      </c>
      <c r="AA127" s="71">
        <v>0</v>
      </c>
      <c r="AB127" s="71">
        <v>0</v>
      </c>
      <c r="AC127" s="71">
        <v>0</v>
      </c>
      <c r="AD127" s="71">
        <v>0</v>
      </c>
      <c r="AE127" s="13">
        <v>0</v>
      </c>
      <c r="AF127" s="13">
        <v>0</v>
      </c>
      <c r="AG127" s="13"/>
      <c r="AH127" s="13"/>
      <c r="AI127" s="20"/>
      <c r="AK127" s="11">
        <f t="shared" si="11"/>
        <v>1583228</v>
      </c>
      <c r="AL127" s="11">
        <f t="shared" si="7"/>
        <v>131935.66666666666</v>
      </c>
      <c r="AM127" s="11">
        <f t="shared" si="12"/>
        <v>48155.08</v>
      </c>
      <c r="AN127" s="11">
        <f>VLOOKUP(C127,'Paid Tax'!B122:M483,12,FALSE)</f>
        <v>28048.796666666676</v>
      </c>
      <c r="AO127" s="11">
        <f t="shared" si="8"/>
        <v>20106.283333333326</v>
      </c>
      <c r="AP127" s="13">
        <v>5</v>
      </c>
      <c r="AQ127" s="16">
        <f t="shared" si="9"/>
        <v>4021.2566666666653</v>
      </c>
      <c r="AR127" s="13"/>
      <c r="AS127" s="11">
        <f t="shared" si="13"/>
        <v>-4021.2566666666653</v>
      </c>
      <c r="AT127" s="13"/>
    </row>
    <row r="128" spans="1:46" x14ac:dyDescent="0.25">
      <c r="A128" s="12">
        <v>121</v>
      </c>
      <c r="B128" s="60" t="s">
        <v>293</v>
      </c>
      <c r="C128" s="53">
        <v>20062</v>
      </c>
      <c r="D128" s="38" t="s">
        <v>159</v>
      </c>
      <c r="E128" s="38" t="s">
        <v>445</v>
      </c>
      <c r="F128" s="37" t="s">
        <v>291</v>
      </c>
      <c r="G128" s="4">
        <v>50500</v>
      </c>
      <c r="H128" s="4">
        <f>10000*9</f>
        <v>90000</v>
      </c>
      <c r="I128" s="4">
        <v>10000</v>
      </c>
      <c r="J128" s="4">
        <v>5000</v>
      </c>
      <c r="K128" s="4">
        <v>5000</v>
      </c>
      <c r="L128" s="11">
        <f t="shared" si="10"/>
        <v>716000</v>
      </c>
      <c r="M128" s="69">
        <v>0</v>
      </c>
      <c r="N128" s="71">
        <v>0</v>
      </c>
      <c r="O128" s="71">
        <v>0</v>
      </c>
      <c r="P128" s="71">
        <v>0</v>
      </c>
      <c r="Q128" s="71">
        <f>VLOOKUP(C128,Incentives!C122:K461,9,FALSE)</f>
        <v>0</v>
      </c>
      <c r="R128" s="71">
        <v>0</v>
      </c>
      <c r="S128" s="13">
        <v>0</v>
      </c>
      <c r="T128" s="13">
        <v>0</v>
      </c>
      <c r="U128" s="13"/>
      <c r="V128" s="13"/>
      <c r="Y128" s="71">
        <v>0</v>
      </c>
      <c r="Z128" s="71">
        <v>0</v>
      </c>
      <c r="AA128" s="71">
        <v>0</v>
      </c>
      <c r="AB128" s="71">
        <v>0</v>
      </c>
      <c r="AC128" s="71">
        <v>0</v>
      </c>
      <c r="AD128" s="71">
        <v>0</v>
      </c>
      <c r="AE128" s="13">
        <v>0</v>
      </c>
      <c r="AF128" s="13">
        <v>0</v>
      </c>
      <c r="AI128" s="20"/>
      <c r="AJ128" s="13"/>
      <c r="AK128" s="11">
        <f t="shared" si="11"/>
        <v>716000</v>
      </c>
      <c r="AL128" s="11">
        <f t="shared" si="7"/>
        <v>59666.666666666664</v>
      </c>
      <c r="AM128" s="11">
        <f t="shared" si="12"/>
        <v>1160</v>
      </c>
      <c r="AN128" s="11">
        <f>VLOOKUP(C128,'Paid Tax'!B123:M484,12,FALSE)</f>
        <v>535.88383838383709</v>
      </c>
      <c r="AO128" s="11">
        <f t="shared" si="8"/>
        <v>624.11616161616291</v>
      </c>
      <c r="AP128" s="13">
        <v>5</v>
      </c>
      <c r="AQ128" s="16">
        <f t="shared" si="9"/>
        <v>124.82323232323259</v>
      </c>
      <c r="AS128" s="11">
        <f t="shared" si="13"/>
        <v>-124.82323232323259</v>
      </c>
      <c r="AT128" s="13"/>
    </row>
    <row r="129" spans="1:46" x14ac:dyDescent="0.25">
      <c r="A129" s="12">
        <v>122</v>
      </c>
      <c r="B129" s="60" t="s">
        <v>293</v>
      </c>
      <c r="C129" s="53">
        <v>20007</v>
      </c>
      <c r="D129" s="38" t="s">
        <v>160</v>
      </c>
      <c r="E129" s="38" t="s">
        <v>446</v>
      </c>
      <c r="F129" s="37" t="s">
        <v>290</v>
      </c>
      <c r="G129" s="4">
        <v>166426</v>
      </c>
      <c r="H129" s="4"/>
      <c r="I129" s="4"/>
      <c r="J129" s="4">
        <v>25000</v>
      </c>
      <c r="K129" s="4">
        <v>25000</v>
      </c>
      <c r="L129" s="11">
        <f t="shared" si="10"/>
        <v>2047112</v>
      </c>
      <c r="M129" s="69">
        <v>0</v>
      </c>
      <c r="N129" s="71">
        <v>0</v>
      </c>
      <c r="O129" s="71">
        <v>0</v>
      </c>
      <c r="P129" s="71">
        <v>0</v>
      </c>
      <c r="Q129" s="71">
        <f>VLOOKUP(C129,Incentives!C123:K462,9,FALSE)</f>
        <v>0</v>
      </c>
      <c r="R129" s="71">
        <v>0</v>
      </c>
      <c r="S129" s="13">
        <v>0</v>
      </c>
      <c r="T129" s="13">
        <v>0</v>
      </c>
      <c r="U129" s="13"/>
      <c r="V129" s="13"/>
      <c r="Y129" s="71">
        <v>0</v>
      </c>
      <c r="Z129" s="71">
        <v>0</v>
      </c>
      <c r="AA129" s="71">
        <v>0</v>
      </c>
      <c r="AB129" s="71">
        <v>0</v>
      </c>
      <c r="AC129" s="71">
        <v>0</v>
      </c>
      <c r="AD129" s="71">
        <v>0</v>
      </c>
      <c r="AE129" s="13">
        <v>0</v>
      </c>
      <c r="AF129" s="13">
        <v>0</v>
      </c>
      <c r="AI129" s="20"/>
      <c r="AJ129" s="13"/>
      <c r="AK129" s="11">
        <f t="shared" si="11"/>
        <v>2047112</v>
      </c>
      <c r="AL129" s="11">
        <f t="shared" si="7"/>
        <v>170592.66666666666</v>
      </c>
      <c r="AM129" s="11">
        <f t="shared" si="12"/>
        <v>99182.32</v>
      </c>
      <c r="AN129" s="11">
        <f>VLOOKUP(C129,'Paid Tax'!B124:M485,12,FALSE)</f>
        <v>57752.186666666676</v>
      </c>
      <c r="AO129" s="11">
        <f t="shared" si="8"/>
        <v>41430.133333333331</v>
      </c>
      <c r="AP129" s="13">
        <v>5</v>
      </c>
      <c r="AQ129" s="16">
        <f t="shared" si="9"/>
        <v>8286.0266666666666</v>
      </c>
      <c r="AS129" s="11">
        <f t="shared" si="13"/>
        <v>-8286.0266666666666</v>
      </c>
      <c r="AT129" s="13"/>
    </row>
    <row r="130" spans="1:46" x14ac:dyDescent="0.25">
      <c r="A130" s="12">
        <v>123</v>
      </c>
      <c r="B130" s="60" t="s">
        <v>293</v>
      </c>
      <c r="C130" s="53">
        <v>20066</v>
      </c>
      <c r="D130" s="38" t="s">
        <v>161</v>
      </c>
      <c r="E130" s="38" t="s">
        <v>162</v>
      </c>
      <c r="F130" s="37" t="s">
        <v>290</v>
      </c>
      <c r="G130" s="4">
        <v>55973</v>
      </c>
      <c r="H130" s="4">
        <f>39027*10</f>
        <v>390270</v>
      </c>
      <c r="I130" s="4"/>
      <c r="J130" s="4">
        <v>5546.8150000000005</v>
      </c>
      <c r="K130" s="4">
        <v>5546.8150000000005</v>
      </c>
      <c r="L130" s="11">
        <f t="shared" si="10"/>
        <v>1073039.6299999999</v>
      </c>
      <c r="M130" s="69">
        <v>0</v>
      </c>
      <c r="N130" s="71">
        <v>0</v>
      </c>
      <c r="O130" s="71">
        <v>0</v>
      </c>
      <c r="P130" s="71">
        <v>0</v>
      </c>
      <c r="Q130" s="71">
        <f>VLOOKUP(C130,Incentives!C124:K463,9,FALSE)</f>
        <v>0</v>
      </c>
      <c r="R130" s="71">
        <v>0</v>
      </c>
      <c r="S130" s="13">
        <v>0</v>
      </c>
      <c r="T130" s="13">
        <v>0</v>
      </c>
      <c r="U130" s="13"/>
      <c r="V130" s="13"/>
      <c r="Y130" s="71">
        <v>0</v>
      </c>
      <c r="Z130" s="71">
        <v>0</v>
      </c>
      <c r="AA130" s="71">
        <v>0</v>
      </c>
      <c r="AB130" s="71">
        <v>0</v>
      </c>
      <c r="AC130" s="71">
        <v>0</v>
      </c>
      <c r="AD130" s="71">
        <v>0</v>
      </c>
      <c r="AE130" s="13">
        <v>0</v>
      </c>
      <c r="AF130" s="13">
        <v>0</v>
      </c>
      <c r="AI130" s="20"/>
      <c r="AJ130" s="13"/>
      <c r="AK130" s="11">
        <f t="shared" si="11"/>
        <v>1073039.6299999999</v>
      </c>
      <c r="AL130" s="11">
        <f t="shared" si="7"/>
        <v>89419.969166666662</v>
      </c>
      <c r="AM130" s="11">
        <f t="shared" si="12"/>
        <v>4730.3962999999994</v>
      </c>
      <c r="AN130" s="11">
        <f>VLOOKUP(C130,'Paid Tax'!B125:M486,12,FALSE)</f>
        <v>2432.0717753787867</v>
      </c>
      <c r="AO130" s="11">
        <f t="shared" si="8"/>
        <v>2298.3245246212127</v>
      </c>
      <c r="AP130" s="13">
        <v>5</v>
      </c>
      <c r="AQ130" s="16">
        <f t="shared" si="9"/>
        <v>459.66490492424253</v>
      </c>
      <c r="AS130" s="11">
        <f t="shared" si="13"/>
        <v>-459.66490492424253</v>
      </c>
      <c r="AT130" s="13"/>
    </row>
    <row r="131" spans="1:46" x14ac:dyDescent="0.25">
      <c r="A131" s="12">
        <v>124</v>
      </c>
      <c r="B131" s="60" t="s">
        <v>293</v>
      </c>
      <c r="C131" s="53">
        <v>20011</v>
      </c>
      <c r="D131" s="38" t="s">
        <v>163</v>
      </c>
      <c r="E131" s="38" t="s">
        <v>164</v>
      </c>
      <c r="F131" s="37" t="s">
        <v>290</v>
      </c>
      <c r="G131" s="4">
        <v>52936</v>
      </c>
      <c r="H131" s="4"/>
      <c r="I131" s="4"/>
      <c r="J131" s="4">
        <v>5246</v>
      </c>
      <c r="K131" s="4">
        <v>5246</v>
      </c>
      <c r="L131" s="11">
        <f t="shared" si="10"/>
        <v>645724</v>
      </c>
      <c r="M131" s="69">
        <v>0</v>
      </c>
      <c r="N131" s="71">
        <v>0</v>
      </c>
      <c r="O131" s="71">
        <v>0</v>
      </c>
      <c r="P131" s="71">
        <v>0</v>
      </c>
      <c r="Q131" s="71">
        <f>VLOOKUP(C131,Incentives!C125:K464,9,FALSE)</f>
        <v>0</v>
      </c>
      <c r="R131" s="71">
        <v>0</v>
      </c>
      <c r="S131" s="13">
        <v>0</v>
      </c>
      <c r="T131" s="13">
        <v>0</v>
      </c>
      <c r="U131" s="13"/>
      <c r="V131" s="13"/>
      <c r="Y131" s="71">
        <v>0</v>
      </c>
      <c r="Z131" s="71">
        <v>0</v>
      </c>
      <c r="AA131" s="71">
        <v>0</v>
      </c>
      <c r="AB131" s="71">
        <v>0</v>
      </c>
      <c r="AC131" s="71">
        <v>0</v>
      </c>
      <c r="AD131" s="71">
        <v>0</v>
      </c>
      <c r="AE131" s="13">
        <v>0</v>
      </c>
      <c r="AF131" s="13">
        <v>0</v>
      </c>
      <c r="AI131" s="20"/>
      <c r="AJ131" s="13"/>
      <c r="AK131" s="11">
        <f t="shared" si="11"/>
        <v>645724</v>
      </c>
      <c r="AL131" s="11">
        <f t="shared" si="7"/>
        <v>53810.333333333336</v>
      </c>
      <c r="AM131" s="11">
        <f t="shared" si="12"/>
        <v>457.24</v>
      </c>
      <c r="AN131" s="11">
        <f>VLOOKUP(C131,'Paid Tax'!B126:M487,12,FALSE)</f>
        <v>264.73621212121225</v>
      </c>
      <c r="AO131" s="11">
        <f t="shared" si="8"/>
        <v>192.50378787878776</v>
      </c>
      <c r="AP131" s="13">
        <v>5</v>
      </c>
      <c r="AQ131" s="16">
        <f t="shared" si="9"/>
        <v>38.500757575757554</v>
      </c>
      <c r="AS131" s="11">
        <f t="shared" si="13"/>
        <v>-38.500757575757554</v>
      </c>
      <c r="AT131" s="13"/>
    </row>
    <row r="132" spans="1:46" x14ac:dyDescent="0.25">
      <c r="A132" s="12">
        <v>125</v>
      </c>
      <c r="B132" s="60" t="s">
        <v>293</v>
      </c>
      <c r="C132" s="53">
        <v>10401</v>
      </c>
      <c r="D132" s="38" t="s">
        <v>165</v>
      </c>
      <c r="E132" s="38" t="s">
        <v>166</v>
      </c>
      <c r="F132" s="37" t="s">
        <v>291</v>
      </c>
      <c r="G132" s="4">
        <v>240000</v>
      </c>
      <c r="H132" s="4">
        <f>50000*10</f>
        <v>500000</v>
      </c>
      <c r="I132" s="4"/>
      <c r="J132" s="4">
        <v>0</v>
      </c>
      <c r="K132" s="4">
        <v>0</v>
      </c>
      <c r="L132" s="11">
        <f t="shared" si="10"/>
        <v>3380000</v>
      </c>
      <c r="M132" s="69">
        <v>0</v>
      </c>
      <c r="N132" s="71">
        <v>0</v>
      </c>
      <c r="O132" s="71">
        <v>0</v>
      </c>
      <c r="P132" s="71">
        <v>0</v>
      </c>
      <c r="Q132" s="71">
        <f>VLOOKUP(C132,Incentives!C126:K465,9,FALSE)</f>
        <v>0</v>
      </c>
      <c r="R132" s="71">
        <v>0</v>
      </c>
      <c r="S132" s="13">
        <v>0</v>
      </c>
      <c r="T132" s="13">
        <v>0</v>
      </c>
      <c r="U132" s="13"/>
      <c r="V132" s="13"/>
      <c r="Y132" s="71">
        <v>0</v>
      </c>
      <c r="Z132" s="71">
        <v>0</v>
      </c>
      <c r="AA132" s="71">
        <v>0</v>
      </c>
      <c r="AB132" s="71">
        <v>0</v>
      </c>
      <c r="AC132" s="71">
        <v>0</v>
      </c>
      <c r="AD132" s="71">
        <v>0</v>
      </c>
      <c r="AE132" s="13">
        <v>0</v>
      </c>
      <c r="AF132" s="13">
        <v>0</v>
      </c>
      <c r="AI132" s="20"/>
      <c r="AJ132" s="13"/>
      <c r="AK132" s="11">
        <f t="shared" si="11"/>
        <v>3380000</v>
      </c>
      <c r="AL132" s="11">
        <f t="shared" si="7"/>
        <v>281666.66666666669</v>
      </c>
      <c r="AM132" s="11">
        <f t="shared" si="12"/>
        <v>400000</v>
      </c>
      <c r="AN132" s="11">
        <f>VLOOKUP(C132,'Paid Tax'!B127:M488,12,FALSE)</f>
        <v>222700</v>
      </c>
      <c r="AO132" s="11">
        <f t="shared" si="8"/>
        <v>177300</v>
      </c>
      <c r="AP132" s="13">
        <v>5</v>
      </c>
      <c r="AQ132" s="16">
        <f t="shared" si="9"/>
        <v>35460</v>
      </c>
      <c r="AS132" s="11">
        <f t="shared" si="13"/>
        <v>-35460</v>
      </c>
      <c r="AT132" s="13"/>
    </row>
    <row r="133" spans="1:46" x14ac:dyDescent="0.25">
      <c r="A133" s="12">
        <v>126</v>
      </c>
      <c r="B133" s="60" t="s">
        <v>293</v>
      </c>
      <c r="C133" s="53">
        <v>20060</v>
      </c>
      <c r="D133" s="38" t="s">
        <v>167</v>
      </c>
      <c r="E133" s="38" t="s">
        <v>170</v>
      </c>
      <c r="F133" s="37" t="s">
        <v>291</v>
      </c>
      <c r="G133" s="4">
        <v>120000</v>
      </c>
      <c r="H133" s="4">
        <f>20000*11</f>
        <v>220000</v>
      </c>
      <c r="I133" s="4"/>
      <c r="J133" s="4">
        <v>0</v>
      </c>
      <c r="K133" s="4">
        <v>0</v>
      </c>
      <c r="L133" s="11">
        <f t="shared" si="10"/>
        <v>1660000</v>
      </c>
      <c r="M133" s="69">
        <v>0</v>
      </c>
      <c r="N133" s="71">
        <v>0</v>
      </c>
      <c r="O133" s="71">
        <v>0</v>
      </c>
      <c r="P133" s="71">
        <v>0</v>
      </c>
      <c r="Q133" s="71">
        <f>VLOOKUP(C133,Incentives!C127:K466,9,FALSE)</f>
        <v>0</v>
      </c>
      <c r="R133" s="71">
        <v>0</v>
      </c>
      <c r="S133" s="13">
        <v>0</v>
      </c>
      <c r="T133" s="13">
        <v>0</v>
      </c>
      <c r="U133" s="13"/>
      <c r="V133" s="13"/>
      <c r="Y133" s="71">
        <v>0</v>
      </c>
      <c r="Z133" s="71">
        <v>0</v>
      </c>
      <c r="AA133" s="71">
        <v>0</v>
      </c>
      <c r="AB133" s="71">
        <v>0</v>
      </c>
      <c r="AC133" s="71">
        <v>0</v>
      </c>
      <c r="AD133" s="71">
        <v>0</v>
      </c>
      <c r="AE133" s="13">
        <v>0</v>
      </c>
      <c r="AF133" s="13">
        <v>0</v>
      </c>
      <c r="AI133" s="20"/>
      <c r="AJ133" s="13"/>
      <c r="AK133" s="11">
        <f t="shared" si="11"/>
        <v>1660000</v>
      </c>
      <c r="AL133" s="11">
        <f t="shared" si="7"/>
        <v>138333.33333333334</v>
      </c>
      <c r="AM133" s="11">
        <f t="shared" si="12"/>
        <v>56600</v>
      </c>
      <c r="AN133" s="11">
        <f>VLOOKUP(C133,'Paid Tax'!B128:M489,12,FALSE)</f>
        <v>32088.888888888876</v>
      </c>
      <c r="AO133" s="11">
        <f t="shared" si="8"/>
        <v>24511.111111111124</v>
      </c>
      <c r="AP133" s="13">
        <v>5</v>
      </c>
      <c r="AQ133" s="16">
        <f t="shared" si="9"/>
        <v>4902.2222222222244</v>
      </c>
      <c r="AS133" s="11">
        <f t="shared" si="13"/>
        <v>-4902.2222222222244</v>
      </c>
      <c r="AT133" s="13"/>
    </row>
    <row r="134" spans="1:46" x14ac:dyDescent="0.25">
      <c r="A134" s="12">
        <v>127</v>
      </c>
      <c r="B134" s="60" t="s">
        <v>293</v>
      </c>
      <c r="C134" s="53">
        <v>10382</v>
      </c>
      <c r="D134" s="38" t="s">
        <v>169</v>
      </c>
      <c r="E134" s="38" t="s">
        <v>658</v>
      </c>
      <c r="F134" s="37" t="s">
        <v>291</v>
      </c>
      <c r="G134" s="4">
        <v>180000</v>
      </c>
      <c r="H134" s="4">
        <f>25000*11</f>
        <v>275000</v>
      </c>
      <c r="I134" s="4"/>
      <c r="J134" s="4">
        <v>0</v>
      </c>
      <c r="K134" s="4">
        <v>0</v>
      </c>
      <c r="L134" s="11">
        <f t="shared" si="10"/>
        <v>2435000</v>
      </c>
      <c r="M134" s="69">
        <v>0</v>
      </c>
      <c r="N134" s="71">
        <v>0</v>
      </c>
      <c r="O134" s="71">
        <v>0</v>
      </c>
      <c r="P134" s="71">
        <v>0</v>
      </c>
      <c r="Q134" s="71">
        <f>VLOOKUP(C134,Incentives!C128:K467,9,FALSE)</f>
        <v>0</v>
      </c>
      <c r="R134" s="71">
        <v>0</v>
      </c>
      <c r="S134" s="13">
        <v>0</v>
      </c>
      <c r="T134" s="13">
        <v>0</v>
      </c>
      <c r="U134" s="13"/>
      <c r="V134" s="13"/>
      <c r="Y134" s="71">
        <v>0</v>
      </c>
      <c r="Z134" s="71">
        <v>0</v>
      </c>
      <c r="AA134" s="71">
        <v>0</v>
      </c>
      <c r="AB134" s="71">
        <v>0</v>
      </c>
      <c r="AC134" s="71">
        <v>0</v>
      </c>
      <c r="AD134" s="71">
        <v>0</v>
      </c>
      <c r="AE134" s="13">
        <v>0</v>
      </c>
      <c r="AF134" s="13">
        <v>0</v>
      </c>
      <c r="AI134" s="20"/>
      <c r="AJ134" s="13"/>
      <c r="AK134" s="11">
        <f t="shared" si="11"/>
        <v>2435000</v>
      </c>
      <c r="AL134" s="11">
        <f t="shared" si="7"/>
        <v>202916.66666666666</v>
      </c>
      <c r="AM134" s="11">
        <f t="shared" si="12"/>
        <v>170050</v>
      </c>
      <c r="AN134" s="11">
        <f>VLOOKUP(C134,'Paid Tax'!B129:M490,12,FALSE)</f>
        <v>96952.777777777723</v>
      </c>
      <c r="AO134" s="11">
        <f t="shared" si="8"/>
        <v>73097.222222222277</v>
      </c>
      <c r="AP134" s="13">
        <v>5</v>
      </c>
      <c r="AQ134" s="16">
        <f t="shared" si="9"/>
        <v>14619.444444444456</v>
      </c>
      <c r="AS134" s="11">
        <f t="shared" si="13"/>
        <v>-14619.444444444456</v>
      </c>
      <c r="AT134" s="13"/>
    </row>
    <row r="135" spans="1:46" s="18" customFormat="1" x14ac:dyDescent="0.25">
      <c r="A135" s="12">
        <v>128</v>
      </c>
      <c r="B135" s="60" t="s">
        <v>293</v>
      </c>
      <c r="C135" s="53">
        <v>20064</v>
      </c>
      <c r="D135" s="38" t="s">
        <v>171</v>
      </c>
      <c r="E135" s="38" t="s">
        <v>170</v>
      </c>
      <c r="F135" s="37" t="s">
        <v>291</v>
      </c>
      <c r="G135" s="4">
        <v>120000</v>
      </c>
      <c r="H135" s="4">
        <f>20000*11</f>
        <v>220000</v>
      </c>
      <c r="I135" s="4"/>
      <c r="J135" s="4">
        <v>0</v>
      </c>
      <c r="K135" s="4">
        <v>0</v>
      </c>
      <c r="L135" s="11">
        <f t="shared" si="10"/>
        <v>1660000</v>
      </c>
      <c r="M135" s="69">
        <v>0</v>
      </c>
      <c r="N135" s="71">
        <v>0</v>
      </c>
      <c r="O135" s="71">
        <v>0</v>
      </c>
      <c r="P135" s="71">
        <v>0</v>
      </c>
      <c r="Q135" s="71">
        <f>VLOOKUP(C135,Incentives!C129:K468,9,FALSE)</f>
        <v>0</v>
      </c>
      <c r="R135" s="71">
        <v>0</v>
      </c>
      <c r="S135" s="13">
        <v>0</v>
      </c>
      <c r="T135" s="13">
        <v>0</v>
      </c>
      <c r="U135" s="13"/>
      <c r="V135" s="13"/>
      <c r="W135" s="13"/>
      <c r="Y135" s="71">
        <v>0</v>
      </c>
      <c r="Z135" s="71">
        <v>0</v>
      </c>
      <c r="AA135" s="71">
        <v>0</v>
      </c>
      <c r="AB135" s="71">
        <v>0</v>
      </c>
      <c r="AC135" s="71">
        <v>0</v>
      </c>
      <c r="AD135" s="71">
        <v>0</v>
      </c>
      <c r="AE135" s="13">
        <v>0</v>
      </c>
      <c r="AF135" s="13">
        <v>0</v>
      </c>
      <c r="AG135" s="13"/>
      <c r="AH135" s="13"/>
      <c r="AI135" s="22"/>
      <c r="AK135" s="11">
        <f t="shared" si="11"/>
        <v>1660000</v>
      </c>
      <c r="AL135" s="11">
        <f t="shared" si="7"/>
        <v>138333.33333333334</v>
      </c>
      <c r="AM135" s="11">
        <f t="shared" si="12"/>
        <v>56600</v>
      </c>
      <c r="AN135" s="11">
        <f>VLOOKUP(C135,'Paid Tax'!B130:M491,12,FALSE)</f>
        <v>32088.888888888876</v>
      </c>
      <c r="AO135" s="11">
        <f t="shared" si="8"/>
        <v>24511.111111111124</v>
      </c>
      <c r="AP135" s="13">
        <v>5</v>
      </c>
      <c r="AQ135" s="16">
        <f t="shared" si="9"/>
        <v>4902.2222222222244</v>
      </c>
      <c r="AR135" s="13"/>
      <c r="AS135" s="11">
        <f t="shared" si="13"/>
        <v>-4902.2222222222244</v>
      </c>
      <c r="AT135" s="13"/>
    </row>
    <row r="136" spans="1:46" s="18" customFormat="1" x14ac:dyDescent="0.25">
      <c r="A136" s="12">
        <v>129</v>
      </c>
      <c r="B136" s="60" t="s">
        <v>293</v>
      </c>
      <c r="C136" s="53">
        <v>20057</v>
      </c>
      <c r="D136" s="38" t="s">
        <v>172</v>
      </c>
      <c r="E136" s="38" t="s">
        <v>658</v>
      </c>
      <c r="F136" s="37" t="s">
        <v>291</v>
      </c>
      <c r="G136" s="4">
        <v>180000</v>
      </c>
      <c r="H136" s="4">
        <f>25000*11</f>
        <v>275000</v>
      </c>
      <c r="I136" s="4"/>
      <c r="J136" s="4">
        <v>0</v>
      </c>
      <c r="K136" s="4">
        <v>0</v>
      </c>
      <c r="L136" s="11">
        <f t="shared" si="10"/>
        <v>2435000</v>
      </c>
      <c r="M136" s="69">
        <v>0</v>
      </c>
      <c r="N136" s="71">
        <v>0</v>
      </c>
      <c r="O136" s="71">
        <v>0</v>
      </c>
      <c r="P136" s="71">
        <v>0</v>
      </c>
      <c r="Q136" s="71">
        <f>VLOOKUP(C136,Incentives!C130:K469,9,FALSE)</f>
        <v>0</v>
      </c>
      <c r="R136" s="71">
        <v>0</v>
      </c>
      <c r="S136" s="13">
        <v>0</v>
      </c>
      <c r="T136" s="13">
        <v>0</v>
      </c>
      <c r="U136" s="13"/>
      <c r="V136" s="13"/>
      <c r="W136" s="13"/>
      <c r="Y136" s="71">
        <v>0</v>
      </c>
      <c r="Z136" s="71">
        <v>0</v>
      </c>
      <c r="AA136" s="71">
        <v>0</v>
      </c>
      <c r="AB136" s="71">
        <v>0</v>
      </c>
      <c r="AC136" s="71">
        <v>0</v>
      </c>
      <c r="AD136" s="71">
        <v>0</v>
      </c>
      <c r="AE136" s="13">
        <v>0</v>
      </c>
      <c r="AF136" s="13">
        <v>0</v>
      </c>
      <c r="AG136" s="13"/>
      <c r="AH136" s="13"/>
      <c r="AI136" s="20"/>
      <c r="AK136" s="11">
        <f t="shared" si="11"/>
        <v>2435000</v>
      </c>
      <c r="AL136" s="11">
        <f t="shared" ref="AL136:AL199" si="14">AK136/12</f>
        <v>202916.66666666666</v>
      </c>
      <c r="AM136" s="11">
        <f t="shared" si="12"/>
        <v>170050</v>
      </c>
      <c r="AN136" s="11">
        <f>VLOOKUP(C136,'Paid Tax'!B131:M492,12,FALSE)</f>
        <v>96952.777777777723</v>
      </c>
      <c r="AO136" s="11">
        <f t="shared" ref="AO136:AO199" si="15">+AM136-AN136</f>
        <v>73097.222222222277</v>
      </c>
      <c r="AP136" s="13">
        <v>5</v>
      </c>
      <c r="AQ136" s="16">
        <f t="shared" ref="AQ136:AQ199" si="16">+AO136/AP136</f>
        <v>14619.444444444456</v>
      </c>
      <c r="AR136" s="13"/>
      <c r="AS136" s="11">
        <f t="shared" si="13"/>
        <v>-14619.444444444456</v>
      </c>
      <c r="AT136" s="13">
        <v>14561.363636363636</v>
      </c>
    </row>
    <row r="137" spans="1:46" s="18" customFormat="1" x14ac:dyDescent="0.25">
      <c r="A137" s="12">
        <v>130</v>
      </c>
      <c r="B137" s="60" t="s">
        <v>293</v>
      </c>
      <c r="C137" s="53">
        <v>10506</v>
      </c>
      <c r="D137" s="38" t="s">
        <v>173</v>
      </c>
      <c r="E137" s="38" t="s">
        <v>170</v>
      </c>
      <c r="F137" s="37" t="s">
        <v>291</v>
      </c>
      <c r="G137" s="4">
        <v>115000</v>
      </c>
      <c r="H137" s="4">
        <f>20000*11</f>
        <v>220000</v>
      </c>
      <c r="I137" s="4"/>
      <c r="J137" s="4">
        <v>0</v>
      </c>
      <c r="K137" s="4">
        <v>0</v>
      </c>
      <c r="L137" s="11">
        <f t="shared" ref="L137:L200" si="17">G137*12+H137+J137+K137+I137</f>
        <v>1600000</v>
      </c>
      <c r="M137" s="69">
        <v>0</v>
      </c>
      <c r="N137" s="71">
        <v>0</v>
      </c>
      <c r="O137" s="71">
        <v>0</v>
      </c>
      <c r="P137" s="71">
        <v>0</v>
      </c>
      <c r="Q137" s="71">
        <f>VLOOKUP(C137,Incentives!C131:K470,9,FALSE)</f>
        <v>0</v>
      </c>
      <c r="R137" s="71">
        <v>0</v>
      </c>
      <c r="S137" s="13">
        <v>0</v>
      </c>
      <c r="T137" s="13">
        <v>0</v>
      </c>
      <c r="U137" s="13"/>
      <c r="V137" s="13"/>
      <c r="W137" s="13"/>
      <c r="Y137" s="71">
        <v>0</v>
      </c>
      <c r="Z137" s="71">
        <v>0</v>
      </c>
      <c r="AA137" s="71">
        <v>0</v>
      </c>
      <c r="AB137" s="71">
        <v>0</v>
      </c>
      <c r="AC137" s="71">
        <v>0</v>
      </c>
      <c r="AD137" s="71">
        <v>0</v>
      </c>
      <c r="AE137" s="13">
        <v>0</v>
      </c>
      <c r="AF137" s="13">
        <v>0</v>
      </c>
      <c r="AG137" s="13"/>
      <c r="AH137" s="13"/>
      <c r="AI137" s="20"/>
      <c r="AK137" s="11">
        <f t="shared" ref="AK137:AK200" si="18">SUM(L137:AJ137)</f>
        <v>1600000</v>
      </c>
      <c r="AL137" s="11">
        <f t="shared" si="14"/>
        <v>133333.33333333334</v>
      </c>
      <c r="AM137" s="11">
        <f t="shared" ref="AM137:AM200" si="19">IF(AK137&lt;=600000,0,
IF(AK137&lt;=1200000,(AK137-600000)*0.01,
IF(AK137&lt;=2200000,(AK137-1200000)*0.11+6000,
IF(AK137&lt;=3200000,(AK137-2200000)*0.23+116000,
IF(AK137&lt;=4100000,(AK137-3200000)*0.3+346000,
(AK137-4100000)*0.35+616000)))))
*(1+IF(AK137&gt;10000000,9%,0))</f>
        <v>50000</v>
      </c>
      <c r="AN137" s="11">
        <f>VLOOKUP(C137,'Paid Tax'!B132:M493,12,FALSE)</f>
        <v>28238.888888888876</v>
      </c>
      <c r="AO137" s="11">
        <f t="shared" si="15"/>
        <v>21761.111111111124</v>
      </c>
      <c r="AP137" s="13">
        <v>5</v>
      </c>
      <c r="AQ137" s="16">
        <f t="shared" si="16"/>
        <v>4352.2222222222244</v>
      </c>
      <c r="AR137" s="13"/>
      <c r="AS137" s="11">
        <f t="shared" ref="AS137:AS200" si="20">-AQ137</f>
        <v>-4352.2222222222244</v>
      </c>
      <c r="AT137" s="13"/>
    </row>
    <row r="138" spans="1:46" x14ac:dyDescent="0.25">
      <c r="A138" s="12">
        <v>131</v>
      </c>
      <c r="B138" s="60" t="s">
        <v>293</v>
      </c>
      <c r="C138" s="53">
        <v>10508</v>
      </c>
      <c r="D138" s="38" t="s">
        <v>174</v>
      </c>
      <c r="E138" s="38" t="s">
        <v>168</v>
      </c>
      <c r="F138" s="37" t="s">
        <v>291</v>
      </c>
      <c r="G138" s="4">
        <v>50000</v>
      </c>
      <c r="H138" s="4">
        <f>25000*11</f>
        <v>275000</v>
      </c>
      <c r="I138" s="4"/>
      <c r="J138" s="4">
        <v>0</v>
      </c>
      <c r="K138" s="4">
        <v>0</v>
      </c>
      <c r="L138" s="11">
        <f t="shared" si="17"/>
        <v>875000</v>
      </c>
      <c r="M138" s="69">
        <v>0</v>
      </c>
      <c r="N138" s="71">
        <v>0</v>
      </c>
      <c r="O138" s="71">
        <v>0</v>
      </c>
      <c r="P138" s="71">
        <v>0</v>
      </c>
      <c r="Q138" s="71">
        <f>VLOOKUP(C138,Incentives!C132:K471,9,FALSE)</f>
        <v>0</v>
      </c>
      <c r="R138" s="71">
        <v>0</v>
      </c>
      <c r="S138" s="13">
        <v>0</v>
      </c>
      <c r="T138" s="13">
        <v>0</v>
      </c>
      <c r="U138" s="13"/>
      <c r="V138" s="13"/>
      <c r="Y138" s="71">
        <v>0</v>
      </c>
      <c r="Z138" s="71">
        <v>0</v>
      </c>
      <c r="AA138" s="71">
        <v>0</v>
      </c>
      <c r="AB138" s="71">
        <v>0</v>
      </c>
      <c r="AC138" s="71">
        <v>0</v>
      </c>
      <c r="AD138" s="71">
        <v>0</v>
      </c>
      <c r="AE138" s="13">
        <v>0</v>
      </c>
      <c r="AF138" s="13">
        <v>0</v>
      </c>
      <c r="AI138" s="22"/>
      <c r="AJ138" s="18"/>
      <c r="AK138" s="11">
        <f t="shared" si="18"/>
        <v>875000</v>
      </c>
      <c r="AL138" s="11">
        <f t="shared" si="14"/>
        <v>72916.666666666672</v>
      </c>
      <c r="AM138" s="11">
        <f t="shared" si="19"/>
        <v>2750</v>
      </c>
      <c r="AN138" s="11">
        <f>VLOOKUP(C138,'Paid Tax'!B133:M494,12,FALSE)</f>
        <v>1348.0000000000009</v>
      </c>
      <c r="AO138" s="11">
        <f t="shared" si="15"/>
        <v>1401.9999999999991</v>
      </c>
      <c r="AP138" s="13">
        <v>6</v>
      </c>
      <c r="AQ138" s="16">
        <f t="shared" si="16"/>
        <v>233.66666666666652</v>
      </c>
      <c r="AR138" s="40" t="s">
        <v>1322</v>
      </c>
      <c r="AS138" s="11">
        <f t="shared" si="20"/>
        <v>-233.66666666666652</v>
      </c>
      <c r="AT138" s="13"/>
    </row>
    <row r="139" spans="1:46" s="18" customFormat="1" x14ac:dyDescent="0.25">
      <c r="A139" s="12">
        <v>132</v>
      </c>
      <c r="B139" s="60" t="s">
        <v>293</v>
      </c>
      <c r="C139" s="53">
        <v>10454</v>
      </c>
      <c r="D139" s="38" t="s">
        <v>176</v>
      </c>
      <c r="E139" s="38" t="s">
        <v>69</v>
      </c>
      <c r="F139" s="37" t="s">
        <v>284</v>
      </c>
      <c r="G139" s="4">
        <v>32400</v>
      </c>
      <c r="H139" s="4"/>
      <c r="I139" s="4"/>
      <c r="J139" s="4">
        <v>4400</v>
      </c>
      <c r="K139" s="4">
        <v>4400</v>
      </c>
      <c r="L139" s="11">
        <f t="shared" si="17"/>
        <v>397600</v>
      </c>
      <c r="M139" s="69">
        <v>2190</v>
      </c>
      <c r="N139" s="71">
        <v>2250</v>
      </c>
      <c r="O139" s="71">
        <v>9520</v>
      </c>
      <c r="P139" s="71">
        <v>20720</v>
      </c>
      <c r="Q139" s="71">
        <f>VLOOKUP(C139,Incentives!C133:K472,9,FALSE)</f>
        <v>14820</v>
      </c>
      <c r="R139" s="71">
        <v>12610</v>
      </c>
      <c r="S139" s="13">
        <v>2580</v>
      </c>
      <c r="T139" s="13">
        <v>1140</v>
      </c>
      <c r="U139" s="13"/>
      <c r="V139" s="13"/>
      <c r="W139" s="13"/>
      <c r="Y139" s="71">
        <v>0</v>
      </c>
      <c r="Z139" s="71">
        <v>0</v>
      </c>
      <c r="AA139" s="71">
        <v>0</v>
      </c>
      <c r="AB139" s="71">
        <v>0</v>
      </c>
      <c r="AC139" s="71">
        <v>0</v>
      </c>
      <c r="AD139" s="71">
        <v>0</v>
      </c>
      <c r="AE139" s="13">
        <v>0</v>
      </c>
      <c r="AF139" s="13">
        <v>0</v>
      </c>
      <c r="AG139" s="13"/>
      <c r="AH139" s="13"/>
      <c r="AI139" s="20"/>
      <c r="AK139" s="11">
        <f t="shared" si="18"/>
        <v>463430</v>
      </c>
      <c r="AL139" s="11">
        <f t="shared" si="14"/>
        <v>38619.166666666664</v>
      </c>
      <c r="AM139" s="11">
        <f t="shared" si="19"/>
        <v>0</v>
      </c>
      <c r="AN139" s="11">
        <f>VLOOKUP(C139,'Paid Tax'!B134:M495,12,FALSE)</f>
        <v>0</v>
      </c>
      <c r="AO139" s="11">
        <f t="shared" si="15"/>
        <v>0</v>
      </c>
      <c r="AP139" s="13">
        <v>5</v>
      </c>
      <c r="AQ139" s="16">
        <f t="shared" si="16"/>
        <v>0</v>
      </c>
      <c r="AR139" s="13"/>
      <c r="AS139" s="11">
        <f t="shared" si="20"/>
        <v>0</v>
      </c>
      <c r="AT139" s="13"/>
    </row>
    <row r="140" spans="1:46" s="18" customFormat="1" x14ac:dyDescent="0.25">
      <c r="A140" s="12">
        <v>133</v>
      </c>
      <c r="B140" s="60" t="s">
        <v>293</v>
      </c>
      <c r="C140" s="53">
        <v>10461</v>
      </c>
      <c r="D140" s="38" t="s">
        <v>177</v>
      </c>
      <c r="E140" s="38" t="s">
        <v>69</v>
      </c>
      <c r="F140" s="37" t="s">
        <v>284</v>
      </c>
      <c r="G140" s="4">
        <v>33975</v>
      </c>
      <c r="H140" s="4"/>
      <c r="I140" s="4"/>
      <c r="J140" s="4">
        <v>4475</v>
      </c>
      <c r="K140" s="4">
        <v>4475</v>
      </c>
      <c r="L140" s="11">
        <f t="shared" si="17"/>
        <v>416650</v>
      </c>
      <c r="M140" s="69">
        <v>4800</v>
      </c>
      <c r="N140" s="71">
        <v>6360</v>
      </c>
      <c r="O140" s="71">
        <v>6360</v>
      </c>
      <c r="P140" s="71">
        <v>2310</v>
      </c>
      <c r="Q140" s="71">
        <f>VLOOKUP(C140,Incentives!C134:K473,9,FALSE)</f>
        <v>0</v>
      </c>
      <c r="R140" s="71">
        <v>0</v>
      </c>
      <c r="S140" s="13">
        <v>0</v>
      </c>
      <c r="T140" s="13">
        <v>0</v>
      </c>
      <c r="U140" s="13"/>
      <c r="V140" s="13"/>
      <c r="W140" s="13"/>
      <c r="Y140" s="71">
        <v>0</v>
      </c>
      <c r="Z140" s="71">
        <v>0</v>
      </c>
      <c r="AA140" s="71">
        <v>0</v>
      </c>
      <c r="AB140" s="71">
        <v>0</v>
      </c>
      <c r="AC140" s="71">
        <v>0</v>
      </c>
      <c r="AD140" s="71">
        <v>0</v>
      </c>
      <c r="AE140" s="13">
        <v>0</v>
      </c>
      <c r="AF140" s="13">
        <v>0</v>
      </c>
      <c r="AG140" s="13"/>
      <c r="AH140" s="13"/>
      <c r="AI140" s="20"/>
      <c r="AK140" s="11">
        <f t="shared" si="18"/>
        <v>436480</v>
      </c>
      <c r="AL140" s="11">
        <f t="shared" si="14"/>
        <v>36373.333333333336</v>
      </c>
      <c r="AM140" s="11">
        <f t="shared" si="19"/>
        <v>0</v>
      </c>
      <c r="AN140" s="11">
        <f>VLOOKUP(C140,'Paid Tax'!B135:M496,12,FALSE)</f>
        <v>0</v>
      </c>
      <c r="AO140" s="11">
        <f t="shared" si="15"/>
        <v>0</v>
      </c>
      <c r="AP140" s="13">
        <v>5</v>
      </c>
      <c r="AQ140" s="16">
        <f t="shared" si="16"/>
        <v>0</v>
      </c>
      <c r="AR140" s="13"/>
      <c r="AS140" s="11">
        <f t="shared" si="20"/>
        <v>0</v>
      </c>
      <c r="AT140" s="13"/>
    </row>
    <row r="141" spans="1:46" x14ac:dyDescent="0.25">
      <c r="A141" s="12">
        <v>134</v>
      </c>
      <c r="B141" s="60" t="s">
        <v>293</v>
      </c>
      <c r="C141" s="53">
        <v>10366</v>
      </c>
      <c r="D141" s="38" t="s">
        <v>178</v>
      </c>
      <c r="E141" s="38" t="s">
        <v>69</v>
      </c>
      <c r="F141" s="37" t="s">
        <v>284</v>
      </c>
      <c r="G141" s="4">
        <v>31967</v>
      </c>
      <c r="H141" s="4"/>
      <c r="I141" s="4"/>
      <c r="J141" s="4">
        <v>4379.3999999999996</v>
      </c>
      <c r="K141" s="4">
        <v>4379.3999999999996</v>
      </c>
      <c r="L141" s="11">
        <f t="shared" si="17"/>
        <v>392362.80000000005</v>
      </c>
      <c r="M141" s="69">
        <v>37000</v>
      </c>
      <c r="N141" s="71">
        <v>48000</v>
      </c>
      <c r="O141" s="71">
        <v>42200</v>
      </c>
      <c r="P141" s="71">
        <v>38200</v>
      </c>
      <c r="Q141" s="71">
        <f>VLOOKUP(C141,Incentives!C135:K474,9,FALSE)</f>
        <v>27300</v>
      </c>
      <c r="R141" s="71">
        <v>45000</v>
      </c>
      <c r="S141" s="13">
        <v>37570</v>
      </c>
      <c r="T141" s="13">
        <v>38500</v>
      </c>
      <c r="U141" s="13"/>
      <c r="V141" s="13"/>
      <c r="Y141" s="71">
        <v>0</v>
      </c>
      <c r="Z141" s="71">
        <v>0</v>
      </c>
      <c r="AA141" s="71">
        <v>0</v>
      </c>
      <c r="AB141" s="71">
        <v>0</v>
      </c>
      <c r="AC141" s="71">
        <v>0</v>
      </c>
      <c r="AD141" s="71">
        <v>25000</v>
      </c>
      <c r="AE141" s="13">
        <v>5000</v>
      </c>
      <c r="AF141" s="13">
        <v>10000</v>
      </c>
      <c r="AI141" s="20"/>
      <c r="AJ141" s="13"/>
      <c r="AK141" s="11">
        <f t="shared" si="18"/>
        <v>746132.8</v>
      </c>
      <c r="AL141" s="11">
        <f t="shared" si="14"/>
        <v>62177.733333333337</v>
      </c>
      <c r="AM141" s="11">
        <f t="shared" si="19"/>
        <v>1461.3280000000004</v>
      </c>
      <c r="AN141" s="11">
        <f>VLOOKUP(C141,'Paid Tax'!B136:M497,12,FALSE)</f>
        <v>130.4713333333334</v>
      </c>
      <c r="AO141" s="11">
        <f t="shared" si="15"/>
        <v>1330.856666666667</v>
      </c>
      <c r="AP141" s="13">
        <v>10</v>
      </c>
      <c r="AQ141" s="16">
        <f t="shared" si="16"/>
        <v>133.0856666666667</v>
      </c>
      <c r="AR141" s="95" t="s">
        <v>793</v>
      </c>
      <c r="AS141" s="11">
        <f t="shared" si="20"/>
        <v>-133.0856666666667</v>
      </c>
      <c r="AT141" s="13"/>
    </row>
    <row r="142" spans="1:46" x14ac:dyDescent="0.25">
      <c r="A142" s="12">
        <v>135</v>
      </c>
      <c r="B142" s="60" t="s">
        <v>293</v>
      </c>
      <c r="C142" s="53">
        <v>10386</v>
      </c>
      <c r="D142" s="38" t="s">
        <v>179</v>
      </c>
      <c r="E142" s="38" t="s">
        <v>69</v>
      </c>
      <c r="F142" s="37" t="s">
        <v>284</v>
      </c>
      <c r="G142" s="4">
        <v>31350</v>
      </c>
      <c r="H142" s="4"/>
      <c r="I142" s="4"/>
      <c r="J142" s="4">
        <v>4350</v>
      </c>
      <c r="K142" s="4">
        <v>4350</v>
      </c>
      <c r="L142" s="11">
        <f t="shared" si="17"/>
        <v>384900</v>
      </c>
      <c r="M142" s="69">
        <v>2310</v>
      </c>
      <c r="N142" s="71">
        <v>3560</v>
      </c>
      <c r="O142" s="71">
        <v>3320</v>
      </c>
      <c r="P142" s="71">
        <v>6180</v>
      </c>
      <c r="Q142" s="71">
        <f>VLOOKUP(C142,Incentives!C136:K475,9,FALSE)</f>
        <v>11330</v>
      </c>
      <c r="R142" s="71">
        <v>12980</v>
      </c>
      <c r="S142" s="13">
        <v>8925</v>
      </c>
      <c r="T142" s="13">
        <v>7350</v>
      </c>
      <c r="U142" s="13"/>
      <c r="V142" s="13"/>
      <c r="Y142" s="71">
        <v>0</v>
      </c>
      <c r="Z142" s="71">
        <v>0</v>
      </c>
      <c r="AA142" s="71">
        <v>0</v>
      </c>
      <c r="AB142" s="71">
        <v>0</v>
      </c>
      <c r="AC142" s="71">
        <v>0</v>
      </c>
      <c r="AD142" s="71">
        <v>0</v>
      </c>
      <c r="AE142" s="13">
        <v>0</v>
      </c>
      <c r="AF142" s="13">
        <v>0</v>
      </c>
      <c r="AI142" s="20"/>
      <c r="AJ142" s="13"/>
      <c r="AK142" s="11">
        <f t="shared" si="18"/>
        <v>440855</v>
      </c>
      <c r="AL142" s="11">
        <f t="shared" si="14"/>
        <v>36737.916666666664</v>
      </c>
      <c r="AM142" s="11">
        <f t="shared" si="19"/>
        <v>0</v>
      </c>
      <c r="AN142" s="11">
        <f>VLOOKUP(C142,'Paid Tax'!B137:M498,12,FALSE)</f>
        <v>0</v>
      </c>
      <c r="AO142" s="11">
        <f t="shared" si="15"/>
        <v>0</v>
      </c>
      <c r="AP142" s="13">
        <v>5</v>
      </c>
      <c r="AQ142" s="16">
        <f t="shared" si="16"/>
        <v>0</v>
      </c>
      <c r="AS142" s="11">
        <f t="shared" si="20"/>
        <v>0</v>
      </c>
      <c r="AT142" s="13"/>
    </row>
    <row r="143" spans="1:46" x14ac:dyDescent="0.25">
      <c r="A143" s="12">
        <v>136</v>
      </c>
      <c r="B143" s="60" t="s">
        <v>293</v>
      </c>
      <c r="C143" s="53">
        <v>20031</v>
      </c>
      <c r="D143" s="38" t="s">
        <v>180</v>
      </c>
      <c r="E143" s="38" t="s">
        <v>181</v>
      </c>
      <c r="F143" s="37" t="s">
        <v>284</v>
      </c>
      <c r="G143" s="4">
        <v>47834</v>
      </c>
      <c r="H143" s="4"/>
      <c r="I143" s="4"/>
      <c r="J143" s="4">
        <v>5134.9500000000007</v>
      </c>
      <c r="K143" s="4">
        <v>5134.9500000000007</v>
      </c>
      <c r="L143" s="11">
        <f t="shared" si="17"/>
        <v>584277.89999999991</v>
      </c>
      <c r="M143" s="69">
        <v>1710</v>
      </c>
      <c r="N143" s="71">
        <v>0</v>
      </c>
      <c r="O143" s="71">
        <v>0</v>
      </c>
      <c r="P143" s="71">
        <v>0</v>
      </c>
      <c r="Q143" s="71">
        <f>VLOOKUP(C143,Incentives!C137:K476,9,FALSE)</f>
        <v>0</v>
      </c>
      <c r="R143" s="71">
        <v>0</v>
      </c>
      <c r="S143" s="13">
        <v>0</v>
      </c>
      <c r="T143" s="13">
        <v>0</v>
      </c>
      <c r="U143" s="13"/>
      <c r="V143" s="13"/>
      <c r="Y143" s="71">
        <v>0</v>
      </c>
      <c r="Z143" s="71">
        <v>0</v>
      </c>
      <c r="AA143" s="71">
        <v>0</v>
      </c>
      <c r="AB143" s="71">
        <v>0</v>
      </c>
      <c r="AC143" s="71">
        <v>0</v>
      </c>
      <c r="AD143" s="71">
        <v>0</v>
      </c>
      <c r="AE143" s="13">
        <v>0</v>
      </c>
      <c r="AF143" s="13">
        <v>0</v>
      </c>
      <c r="AI143" s="22"/>
      <c r="AJ143" s="18"/>
      <c r="AK143" s="11">
        <f t="shared" si="18"/>
        <v>585987.89999999991</v>
      </c>
      <c r="AL143" s="11">
        <f t="shared" si="14"/>
        <v>48832.32499999999</v>
      </c>
      <c r="AM143" s="11">
        <f t="shared" si="19"/>
        <v>0</v>
      </c>
      <c r="AN143" s="11">
        <f>VLOOKUP(C143,'Paid Tax'!B138:M499,12,FALSE)</f>
        <v>0</v>
      </c>
      <c r="AO143" s="11">
        <f t="shared" si="15"/>
        <v>0</v>
      </c>
      <c r="AP143" s="13">
        <v>5</v>
      </c>
      <c r="AQ143" s="16">
        <f t="shared" si="16"/>
        <v>0</v>
      </c>
      <c r="AS143" s="11">
        <f t="shared" si="20"/>
        <v>0</v>
      </c>
      <c r="AT143" s="13"/>
    </row>
    <row r="144" spans="1:46" s="18" customFormat="1" x14ac:dyDescent="0.25">
      <c r="A144" s="12">
        <v>137</v>
      </c>
      <c r="B144" s="60" t="s">
        <v>293</v>
      </c>
      <c r="C144" s="53">
        <v>50004</v>
      </c>
      <c r="D144" s="38" t="s">
        <v>182</v>
      </c>
      <c r="E144" s="38" t="s">
        <v>53</v>
      </c>
      <c r="F144" s="37" t="s">
        <v>275</v>
      </c>
      <c r="G144" s="4">
        <v>43961</v>
      </c>
      <c r="H144" s="4"/>
      <c r="I144" s="4"/>
      <c r="J144" s="4">
        <v>6500</v>
      </c>
      <c r="K144" s="4">
        <v>6500</v>
      </c>
      <c r="L144" s="11">
        <f t="shared" si="17"/>
        <v>540532</v>
      </c>
      <c r="M144" s="69">
        <v>0</v>
      </c>
      <c r="N144" s="71">
        <v>0</v>
      </c>
      <c r="O144" s="71">
        <v>0</v>
      </c>
      <c r="P144" s="71">
        <v>0</v>
      </c>
      <c r="Q144" s="71">
        <f>VLOOKUP(C144,Incentives!C138:K477,9,FALSE)</f>
        <v>0</v>
      </c>
      <c r="R144" s="71">
        <v>0</v>
      </c>
      <c r="S144" s="13">
        <v>0</v>
      </c>
      <c r="T144" s="13">
        <v>0</v>
      </c>
      <c r="U144" s="13"/>
      <c r="V144" s="13"/>
      <c r="W144" s="13"/>
      <c r="Y144" s="71">
        <v>0</v>
      </c>
      <c r="Z144" s="71">
        <v>0</v>
      </c>
      <c r="AA144" s="71">
        <v>0</v>
      </c>
      <c r="AB144" s="71">
        <v>0</v>
      </c>
      <c r="AC144" s="71">
        <v>0</v>
      </c>
      <c r="AD144" s="71">
        <v>0</v>
      </c>
      <c r="AE144" s="13">
        <v>0</v>
      </c>
      <c r="AF144" s="13">
        <v>0</v>
      </c>
      <c r="AG144" s="13"/>
      <c r="AH144" s="13"/>
      <c r="AI144" s="22"/>
      <c r="AK144" s="11">
        <f t="shared" si="18"/>
        <v>540532</v>
      </c>
      <c r="AL144" s="11">
        <f t="shared" si="14"/>
        <v>45044.333333333336</v>
      </c>
      <c r="AM144" s="11">
        <f t="shared" si="19"/>
        <v>0</v>
      </c>
      <c r="AN144" s="11">
        <f>VLOOKUP(C144,'Paid Tax'!B139:M500,12,FALSE)</f>
        <v>0</v>
      </c>
      <c r="AO144" s="11">
        <f t="shared" si="15"/>
        <v>0</v>
      </c>
      <c r="AP144" s="13">
        <v>5</v>
      </c>
      <c r="AQ144" s="16">
        <f t="shared" si="16"/>
        <v>0</v>
      </c>
      <c r="AR144" s="13"/>
      <c r="AS144" s="11">
        <f t="shared" si="20"/>
        <v>0</v>
      </c>
      <c r="AT144" s="13"/>
    </row>
    <row r="145" spans="1:46" x14ac:dyDescent="0.25">
      <c r="A145" s="12">
        <v>138</v>
      </c>
      <c r="B145" s="60" t="s">
        <v>293</v>
      </c>
      <c r="C145" s="53">
        <v>10205</v>
      </c>
      <c r="D145" s="38" t="s">
        <v>183</v>
      </c>
      <c r="E145" s="38" t="s">
        <v>184</v>
      </c>
      <c r="F145" s="37" t="s">
        <v>287</v>
      </c>
      <c r="G145" s="4">
        <v>121000</v>
      </c>
      <c r="H145" s="4"/>
      <c r="I145" s="4"/>
      <c r="J145" s="4">
        <v>15000</v>
      </c>
      <c r="K145" s="4">
        <v>15000</v>
      </c>
      <c r="L145" s="11">
        <f t="shared" si="17"/>
        <v>1482000</v>
      </c>
      <c r="M145" s="69">
        <v>0</v>
      </c>
      <c r="N145" s="71">
        <v>0</v>
      </c>
      <c r="O145" s="71">
        <v>0</v>
      </c>
      <c r="P145" s="71">
        <v>0</v>
      </c>
      <c r="Q145" s="71">
        <f>VLOOKUP(C145,Incentives!C139:K478,9,FALSE)</f>
        <v>0</v>
      </c>
      <c r="R145" s="71">
        <v>0</v>
      </c>
      <c r="S145" s="13">
        <v>0</v>
      </c>
      <c r="T145" s="13">
        <v>0</v>
      </c>
      <c r="U145" s="13"/>
      <c r="V145" s="13"/>
      <c r="Y145" s="71">
        <v>0</v>
      </c>
      <c r="Z145" s="71">
        <v>0</v>
      </c>
      <c r="AA145" s="71">
        <v>0</v>
      </c>
      <c r="AB145" s="71">
        <v>0</v>
      </c>
      <c r="AC145" s="71">
        <v>0</v>
      </c>
      <c r="AD145" s="71">
        <v>0</v>
      </c>
      <c r="AE145" s="13">
        <v>0</v>
      </c>
      <c r="AF145" s="13">
        <v>0</v>
      </c>
      <c r="AI145" s="20"/>
      <c r="AJ145" s="13"/>
      <c r="AK145" s="11">
        <f t="shared" si="18"/>
        <v>1482000</v>
      </c>
      <c r="AL145" s="11">
        <f t="shared" si="14"/>
        <v>123500</v>
      </c>
      <c r="AM145" s="11">
        <f t="shared" si="19"/>
        <v>37020</v>
      </c>
      <c r="AN145" s="11">
        <f>VLOOKUP(C145,'Paid Tax'!B140:M501,12,FALSE)</f>
        <v>21532.5</v>
      </c>
      <c r="AO145" s="11">
        <f t="shared" si="15"/>
        <v>15487.5</v>
      </c>
      <c r="AP145" s="13">
        <v>5</v>
      </c>
      <c r="AQ145" s="16">
        <f t="shared" si="16"/>
        <v>3097.5</v>
      </c>
      <c r="AS145" s="11">
        <f t="shared" si="20"/>
        <v>-3097.5</v>
      </c>
      <c r="AT145" s="13"/>
    </row>
    <row r="146" spans="1:46" x14ac:dyDescent="0.25">
      <c r="A146" s="12">
        <v>139</v>
      </c>
      <c r="B146" s="60" t="s">
        <v>293</v>
      </c>
      <c r="C146" s="53">
        <v>10524</v>
      </c>
      <c r="D146" s="38" t="s">
        <v>186</v>
      </c>
      <c r="E146" s="38" t="s">
        <v>447</v>
      </c>
      <c r="F146" s="37" t="s">
        <v>287</v>
      </c>
      <c r="G146" s="4">
        <v>45000</v>
      </c>
      <c r="H146" s="4"/>
      <c r="I146" s="4"/>
      <c r="J146" s="4">
        <v>0</v>
      </c>
      <c r="K146" s="4">
        <v>0</v>
      </c>
      <c r="L146" s="11">
        <f t="shared" si="17"/>
        <v>540000</v>
      </c>
      <c r="M146" s="69">
        <v>0</v>
      </c>
      <c r="N146" s="71">
        <v>0</v>
      </c>
      <c r="O146" s="71">
        <v>0</v>
      </c>
      <c r="P146" s="71">
        <v>0</v>
      </c>
      <c r="Q146" s="71">
        <f>VLOOKUP(C146,Incentives!C140:K479,9,FALSE)</f>
        <v>0</v>
      </c>
      <c r="R146" s="71">
        <v>0</v>
      </c>
      <c r="S146" s="13">
        <v>0</v>
      </c>
      <c r="T146" s="13">
        <v>0</v>
      </c>
      <c r="U146" s="13"/>
      <c r="V146" s="13"/>
      <c r="Y146" s="71">
        <v>0</v>
      </c>
      <c r="Z146" s="71">
        <v>0</v>
      </c>
      <c r="AA146" s="71">
        <v>0</v>
      </c>
      <c r="AB146" s="71">
        <v>0</v>
      </c>
      <c r="AC146" s="71">
        <v>0</v>
      </c>
      <c r="AD146" s="71">
        <v>0</v>
      </c>
      <c r="AE146" s="13">
        <v>0</v>
      </c>
      <c r="AF146" s="13">
        <v>0</v>
      </c>
      <c r="AI146" s="20"/>
      <c r="AJ146" s="13"/>
      <c r="AK146" s="11">
        <f t="shared" si="18"/>
        <v>540000</v>
      </c>
      <c r="AL146" s="11">
        <f t="shared" si="14"/>
        <v>45000</v>
      </c>
      <c r="AM146" s="11">
        <f t="shared" si="19"/>
        <v>0</v>
      </c>
      <c r="AN146" s="11">
        <f>VLOOKUP(C146,'Paid Tax'!B141:M502,12,FALSE)</f>
        <v>0</v>
      </c>
      <c r="AO146" s="11">
        <f t="shared" si="15"/>
        <v>0</v>
      </c>
      <c r="AP146" s="13">
        <v>5</v>
      </c>
      <c r="AQ146" s="16">
        <f t="shared" si="16"/>
        <v>0</v>
      </c>
      <c r="AS146" s="11">
        <f t="shared" si="20"/>
        <v>0</v>
      </c>
      <c r="AT146" s="13"/>
    </row>
    <row r="147" spans="1:46" x14ac:dyDescent="0.25">
      <c r="A147" s="12">
        <v>140</v>
      </c>
      <c r="B147" s="60" t="s">
        <v>293</v>
      </c>
      <c r="C147" s="53">
        <v>10505</v>
      </c>
      <c r="D147" s="38" t="s">
        <v>187</v>
      </c>
      <c r="E147" s="38" t="s">
        <v>188</v>
      </c>
      <c r="F147" s="37" t="s">
        <v>287</v>
      </c>
      <c r="G147" s="4">
        <v>35000</v>
      </c>
      <c r="H147" s="4"/>
      <c r="I147" s="4"/>
      <c r="J147" s="4">
        <v>0</v>
      </c>
      <c r="K147" s="4">
        <v>0</v>
      </c>
      <c r="L147" s="11">
        <f t="shared" si="17"/>
        <v>420000</v>
      </c>
      <c r="M147" s="69">
        <v>0</v>
      </c>
      <c r="N147" s="71">
        <v>0</v>
      </c>
      <c r="O147" s="71">
        <v>0</v>
      </c>
      <c r="P147" s="71">
        <v>0</v>
      </c>
      <c r="Q147" s="71">
        <f>VLOOKUP(C147,Incentives!C141:K480,9,FALSE)</f>
        <v>0</v>
      </c>
      <c r="R147" s="71">
        <v>0</v>
      </c>
      <c r="S147" s="13">
        <v>0</v>
      </c>
      <c r="T147" s="13">
        <v>0</v>
      </c>
      <c r="U147" s="13"/>
      <c r="V147" s="13"/>
      <c r="Y147" s="71">
        <v>24166</v>
      </c>
      <c r="Z147" s="71">
        <v>30166</v>
      </c>
      <c r="AA147" s="71">
        <v>34166</v>
      </c>
      <c r="AB147" s="71">
        <v>43999</v>
      </c>
      <c r="AC147" s="71">
        <v>48275</v>
      </c>
      <c r="AD147" s="71">
        <v>76450</v>
      </c>
      <c r="AE147" s="13">
        <v>69525</v>
      </c>
      <c r="AF147" s="13">
        <v>86150</v>
      </c>
      <c r="AI147" s="20"/>
      <c r="AJ147" s="13"/>
      <c r="AK147" s="11">
        <f t="shared" si="18"/>
        <v>832897</v>
      </c>
      <c r="AL147" s="11">
        <f t="shared" si="14"/>
        <v>69408.083333333328</v>
      </c>
      <c r="AM147" s="11">
        <f t="shared" si="19"/>
        <v>2328.9700000000003</v>
      </c>
      <c r="AN147" s="11">
        <f>VLOOKUP(C147,'Paid Tax'!B142:M503,12,FALSE)</f>
        <v>210.45499999999964</v>
      </c>
      <c r="AO147" s="11">
        <f t="shared" si="15"/>
        <v>2118.5150000000008</v>
      </c>
      <c r="AP147" s="13">
        <v>9</v>
      </c>
      <c r="AQ147" s="16">
        <f t="shared" si="16"/>
        <v>235.39055555555564</v>
      </c>
      <c r="AR147" s="92" t="s">
        <v>983</v>
      </c>
      <c r="AS147" s="11">
        <f t="shared" si="20"/>
        <v>-235.39055555555564</v>
      </c>
      <c r="AT147" s="13"/>
    </row>
    <row r="148" spans="1:46" x14ac:dyDescent="0.25">
      <c r="A148" s="12">
        <v>141</v>
      </c>
      <c r="B148" s="60" t="s">
        <v>293</v>
      </c>
      <c r="C148" s="53">
        <v>10419</v>
      </c>
      <c r="D148" s="38" t="s">
        <v>189</v>
      </c>
      <c r="E148" s="38" t="s">
        <v>190</v>
      </c>
      <c r="F148" s="37" t="s">
        <v>287</v>
      </c>
      <c r="G148" s="4">
        <v>65000</v>
      </c>
      <c r="H148" s="4"/>
      <c r="I148" s="4"/>
      <c r="J148" s="4">
        <v>20000</v>
      </c>
      <c r="K148" s="4">
        <v>20000</v>
      </c>
      <c r="L148" s="11">
        <f t="shared" si="17"/>
        <v>820000</v>
      </c>
      <c r="M148" s="69">
        <v>0</v>
      </c>
      <c r="N148" s="71">
        <v>0</v>
      </c>
      <c r="O148" s="71">
        <v>0</v>
      </c>
      <c r="P148" s="71">
        <v>0</v>
      </c>
      <c r="Q148" s="71">
        <f>VLOOKUP(C148,Incentives!C142:K481,9,FALSE)</f>
        <v>0</v>
      </c>
      <c r="R148" s="71">
        <v>0</v>
      </c>
      <c r="S148" s="13">
        <v>0</v>
      </c>
      <c r="T148" s="13">
        <v>0</v>
      </c>
      <c r="U148" s="13"/>
      <c r="V148" s="13"/>
      <c r="Y148" s="71">
        <v>64492</v>
      </c>
      <c r="Z148" s="71">
        <v>102597</v>
      </c>
      <c r="AA148" s="71">
        <v>105335</v>
      </c>
      <c r="AB148" s="71">
        <v>96811</v>
      </c>
      <c r="AC148" s="71">
        <v>98191</v>
      </c>
      <c r="AD148" s="71">
        <v>214013</v>
      </c>
      <c r="AE148" s="13">
        <v>120292</v>
      </c>
      <c r="AF148" s="13">
        <v>158489</v>
      </c>
      <c r="AI148" s="22"/>
      <c r="AJ148" s="18"/>
      <c r="AK148" s="11">
        <f t="shared" si="18"/>
        <v>1780220</v>
      </c>
      <c r="AL148" s="11">
        <f t="shared" si="14"/>
        <v>148351.66666666666</v>
      </c>
      <c r="AM148" s="11">
        <f t="shared" si="19"/>
        <v>69824.2</v>
      </c>
      <c r="AN148" s="11">
        <f>VLOOKUP(C148,'Paid Tax'!B143:M504,12,FALSE)</f>
        <v>15746.694460678213</v>
      </c>
      <c r="AO148" s="11">
        <f t="shared" si="15"/>
        <v>54077.505539321784</v>
      </c>
      <c r="AP148" s="13">
        <v>5</v>
      </c>
      <c r="AQ148" s="16">
        <f t="shared" si="16"/>
        <v>10815.501107864357</v>
      </c>
      <c r="AS148" s="11">
        <f t="shared" si="20"/>
        <v>-10815.501107864357</v>
      </c>
      <c r="AT148" s="13"/>
    </row>
    <row r="149" spans="1:46" s="13" customFormat="1" x14ac:dyDescent="0.25">
      <c r="A149" s="12">
        <v>142</v>
      </c>
      <c r="B149" s="60" t="s">
        <v>293</v>
      </c>
      <c r="C149" s="53">
        <v>10551</v>
      </c>
      <c r="D149" s="38" t="s">
        <v>325</v>
      </c>
      <c r="E149" s="38" t="s">
        <v>448</v>
      </c>
      <c r="F149" s="37" t="s">
        <v>291</v>
      </c>
      <c r="G149" s="4">
        <v>45000</v>
      </c>
      <c r="H149" s="4"/>
      <c r="I149" s="4"/>
      <c r="J149" s="4">
        <v>0</v>
      </c>
      <c r="K149" s="4">
        <v>0</v>
      </c>
      <c r="L149" s="11">
        <f t="shared" si="17"/>
        <v>540000</v>
      </c>
      <c r="M149" s="69">
        <v>0</v>
      </c>
      <c r="N149" s="71">
        <v>0</v>
      </c>
      <c r="O149" s="71">
        <v>0</v>
      </c>
      <c r="P149" s="71">
        <v>0</v>
      </c>
      <c r="Q149" s="71">
        <f>VLOOKUP(C149,Incentives!C143:K482,9,FALSE)</f>
        <v>0</v>
      </c>
      <c r="R149" s="71">
        <v>0</v>
      </c>
      <c r="S149" s="13">
        <v>0</v>
      </c>
      <c r="T149" s="13">
        <v>0</v>
      </c>
      <c r="Y149" s="71">
        <v>0</v>
      </c>
      <c r="Z149" s="71">
        <v>0</v>
      </c>
      <c r="AA149" s="71">
        <v>0</v>
      </c>
      <c r="AB149" s="71">
        <v>0</v>
      </c>
      <c r="AC149" s="71">
        <v>0</v>
      </c>
      <c r="AD149" s="71">
        <v>0</v>
      </c>
      <c r="AE149" s="13">
        <v>0</v>
      </c>
      <c r="AF149" s="13">
        <v>0</v>
      </c>
      <c r="AI149" s="20"/>
      <c r="AK149" s="11">
        <f t="shared" si="18"/>
        <v>540000</v>
      </c>
      <c r="AL149" s="11">
        <f t="shared" si="14"/>
        <v>45000</v>
      </c>
      <c r="AM149" s="11">
        <f t="shared" si="19"/>
        <v>0</v>
      </c>
      <c r="AN149" s="11">
        <f>VLOOKUP(C149,'Paid Tax'!B144:M505,12,FALSE)</f>
        <v>0</v>
      </c>
      <c r="AO149" s="11">
        <f t="shared" si="15"/>
        <v>0</v>
      </c>
      <c r="AP149" s="13">
        <v>5</v>
      </c>
      <c r="AQ149" s="16">
        <f t="shared" si="16"/>
        <v>0</v>
      </c>
      <c r="AS149" s="11">
        <f t="shared" si="20"/>
        <v>0</v>
      </c>
    </row>
    <row r="150" spans="1:46" s="18" customFormat="1" x14ac:dyDescent="0.25">
      <c r="A150" s="12">
        <v>143</v>
      </c>
      <c r="B150" s="60" t="s">
        <v>293</v>
      </c>
      <c r="C150" s="53">
        <v>10553</v>
      </c>
      <c r="D150" s="38" t="s">
        <v>326</v>
      </c>
      <c r="E150" s="38" t="s">
        <v>23</v>
      </c>
      <c r="F150" s="37" t="s">
        <v>279</v>
      </c>
      <c r="G150" s="4">
        <v>34000</v>
      </c>
      <c r="H150" s="4"/>
      <c r="I150" s="4"/>
      <c r="J150" s="4">
        <v>0</v>
      </c>
      <c r="K150" s="4">
        <v>0</v>
      </c>
      <c r="L150" s="11">
        <f t="shared" si="17"/>
        <v>408000</v>
      </c>
      <c r="M150" s="69">
        <v>0</v>
      </c>
      <c r="N150" s="71">
        <v>0</v>
      </c>
      <c r="O150" s="71">
        <v>0</v>
      </c>
      <c r="P150" s="71">
        <v>0</v>
      </c>
      <c r="Q150" s="71">
        <f>VLOOKUP(C150,Incentives!C144:K483,9,FALSE)</f>
        <v>0</v>
      </c>
      <c r="R150" s="71">
        <v>0</v>
      </c>
      <c r="S150" s="13">
        <v>0</v>
      </c>
      <c r="T150" s="13">
        <v>0</v>
      </c>
      <c r="U150" s="13"/>
      <c r="V150" s="13"/>
      <c r="W150" s="13"/>
      <c r="Y150" s="71">
        <v>0</v>
      </c>
      <c r="Z150" s="71">
        <v>0</v>
      </c>
      <c r="AA150" s="71">
        <v>0</v>
      </c>
      <c r="AB150" s="71">
        <v>2000</v>
      </c>
      <c r="AC150" s="71">
        <v>0</v>
      </c>
      <c r="AD150" s="71">
        <v>0</v>
      </c>
      <c r="AE150" s="13">
        <v>0</v>
      </c>
      <c r="AF150" s="13">
        <v>0</v>
      </c>
      <c r="AG150" s="13"/>
      <c r="AH150" s="13"/>
      <c r="AI150" s="20"/>
      <c r="AK150" s="11">
        <f t="shared" si="18"/>
        <v>410000</v>
      </c>
      <c r="AL150" s="11">
        <f t="shared" si="14"/>
        <v>34166.666666666664</v>
      </c>
      <c r="AM150" s="11">
        <f t="shared" si="19"/>
        <v>0</v>
      </c>
      <c r="AN150" s="11">
        <f>VLOOKUP(C150,'Paid Tax'!B145:M506,12,FALSE)</f>
        <v>0</v>
      </c>
      <c r="AO150" s="11">
        <f t="shared" si="15"/>
        <v>0</v>
      </c>
      <c r="AP150" s="13">
        <v>5</v>
      </c>
      <c r="AQ150" s="16">
        <f t="shared" si="16"/>
        <v>0</v>
      </c>
      <c r="AR150" s="13"/>
      <c r="AS150" s="11">
        <f t="shared" si="20"/>
        <v>0</v>
      </c>
      <c r="AT150" s="13"/>
    </row>
    <row r="151" spans="1:46" s="18" customFormat="1" x14ac:dyDescent="0.25">
      <c r="A151" s="12">
        <v>144</v>
      </c>
      <c r="B151" s="60" t="s">
        <v>293</v>
      </c>
      <c r="C151" s="53">
        <v>10554</v>
      </c>
      <c r="D151" s="38" t="s">
        <v>327</v>
      </c>
      <c r="E151" s="38" t="s">
        <v>23</v>
      </c>
      <c r="F151" s="37" t="s">
        <v>279</v>
      </c>
      <c r="G151" s="4">
        <v>34000</v>
      </c>
      <c r="H151" s="4"/>
      <c r="I151" s="4"/>
      <c r="J151" s="4">
        <v>0</v>
      </c>
      <c r="K151" s="4">
        <v>0</v>
      </c>
      <c r="L151" s="11">
        <f t="shared" si="17"/>
        <v>408000</v>
      </c>
      <c r="M151" s="69">
        <v>0</v>
      </c>
      <c r="N151" s="71">
        <v>0</v>
      </c>
      <c r="O151" s="71">
        <v>0</v>
      </c>
      <c r="P151" s="71">
        <v>0</v>
      </c>
      <c r="Q151" s="71">
        <f>VLOOKUP(C151,Incentives!C145:K484,9,FALSE)</f>
        <v>0</v>
      </c>
      <c r="R151" s="71">
        <v>0</v>
      </c>
      <c r="S151" s="13">
        <v>0</v>
      </c>
      <c r="T151" s="13">
        <v>0</v>
      </c>
      <c r="U151" s="13"/>
      <c r="V151" s="13"/>
      <c r="W151" s="13"/>
      <c r="Y151" s="71">
        <v>5000</v>
      </c>
      <c r="Z151" s="71">
        <v>2000</v>
      </c>
      <c r="AA151" s="71">
        <v>5000</v>
      </c>
      <c r="AB151" s="71">
        <v>0</v>
      </c>
      <c r="AC151" s="71">
        <v>5000</v>
      </c>
      <c r="AD151" s="71">
        <v>5000</v>
      </c>
      <c r="AE151" s="13">
        <v>0</v>
      </c>
      <c r="AF151" s="13">
        <v>0</v>
      </c>
      <c r="AG151" s="13"/>
      <c r="AH151" s="13"/>
      <c r="AI151" s="20"/>
      <c r="AK151" s="11">
        <f t="shared" si="18"/>
        <v>430000</v>
      </c>
      <c r="AL151" s="11">
        <f t="shared" si="14"/>
        <v>35833.333333333336</v>
      </c>
      <c r="AM151" s="11">
        <f t="shared" si="19"/>
        <v>0</v>
      </c>
      <c r="AN151" s="11">
        <f>VLOOKUP(C151,'Paid Tax'!B146:M507,12,FALSE)</f>
        <v>0</v>
      </c>
      <c r="AO151" s="11">
        <f t="shared" si="15"/>
        <v>0</v>
      </c>
      <c r="AP151" s="13">
        <v>5</v>
      </c>
      <c r="AQ151" s="16">
        <f t="shared" si="16"/>
        <v>0</v>
      </c>
      <c r="AR151" s="13"/>
      <c r="AS151" s="11">
        <f t="shared" si="20"/>
        <v>0</v>
      </c>
      <c r="AT151" s="13"/>
    </row>
    <row r="152" spans="1:46" s="18" customFormat="1" x14ac:dyDescent="0.25">
      <c r="A152" s="12">
        <v>145</v>
      </c>
      <c r="B152" s="60" t="s">
        <v>293</v>
      </c>
      <c r="C152" s="53">
        <v>10558</v>
      </c>
      <c r="D152" s="38" t="s">
        <v>355</v>
      </c>
      <c r="E152" s="38" t="s">
        <v>331</v>
      </c>
      <c r="F152" s="37" t="s">
        <v>332</v>
      </c>
      <c r="G152" s="4">
        <v>180000</v>
      </c>
      <c r="H152" s="4"/>
      <c r="I152" s="4"/>
      <c r="J152" s="4">
        <v>0</v>
      </c>
      <c r="K152" s="4">
        <v>0</v>
      </c>
      <c r="L152" s="11">
        <f t="shared" si="17"/>
        <v>2160000</v>
      </c>
      <c r="M152" s="69">
        <v>0</v>
      </c>
      <c r="N152" s="71">
        <v>0</v>
      </c>
      <c r="O152" s="71">
        <v>0</v>
      </c>
      <c r="P152" s="71">
        <v>0</v>
      </c>
      <c r="Q152" s="71">
        <f>VLOOKUP(C152,Incentives!C146:K485,9,FALSE)</f>
        <v>0</v>
      </c>
      <c r="R152" s="71">
        <v>0</v>
      </c>
      <c r="S152" s="13">
        <v>0</v>
      </c>
      <c r="T152" s="13">
        <v>0</v>
      </c>
      <c r="U152" s="13"/>
      <c r="V152" s="13"/>
      <c r="W152" s="13"/>
      <c r="Y152" s="71">
        <v>0</v>
      </c>
      <c r="Z152" s="71">
        <v>0</v>
      </c>
      <c r="AA152" s="71">
        <v>29740</v>
      </c>
      <c r="AB152" s="71">
        <v>3214</v>
      </c>
      <c r="AC152" s="71">
        <v>17000</v>
      </c>
      <c r="AD152" s="71">
        <v>0</v>
      </c>
      <c r="AE152" s="13">
        <v>3344</v>
      </c>
      <c r="AF152" s="13">
        <v>0</v>
      </c>
      <c r="AG152" s="13"/>
      <c r="AH152" s="13"/>
      <c r="AI152" s="20"/>
      <c r="AK152" s="11">
        <f t="shared" si="18"/>
        <v>2213298</v>
      </c>
      <c r="AL152" s="11">
        <f t="shared" si="14"/>
        <v>184441.5</v>
      </c>
      <c r="AM152" s="11">
        <f t="shared" si="19"/>
        <v>119058.54</v>
      </c>
      <c r="AN152" s="11">
        <f>VLOOKUP(C152,'Paid Tax'!B147:M508,12,FALSE)</f>
        <v>68170.195555555518</v>
      </c>
      <c r="AO152" s="11">
        <f t="shared" si="15"/>
        <v>50888.344444444476</v>
      </c>
      <c r="AP152" s="13">
        <v>5</v>
      </c>
      <c r="AQ152" s="16">
        <f t="shared" si="16"/>
        <v>10177.668888888895</v>
      </c>
      <c r="AR152" s="13"/>
      <c r="AS152" s="11">
        <f t="shared" si="20"/>
        <v>-10177.668888888895</v>
      </c>
      <c r="AT152" s="13"/>
    </row>
    <row r="153" spans="1:46" x14ac:dyDescent="0.25">
      <c r="A153" s="12">
        <v>146</v>
      </c>
      <c r="B153" s="60" t="s">
        <v>293</v>
      </c>
      <c r="C153" s="53">
        <v>10561</v>
      </c>
      <c r="D153" s="38" t="s">
        <v>335</v>
      </c>
      <c r="E153" s="38" t="s">
        <v>320</v>
      </c>
      <c r="F153" s="37" t="s">
        <v>278</v>
      </c>
      <c r="G153" s="4">
        <v>38000</v>
      </c>
      <c r="H153" s="4"/>
      <c r="I153" s="4"/>
      <c r="J153" s="4">
        <v>0</v>
      </c>
      <c r="K153" s="4">
        <v>0</v>
      </c>
      <c r="L153" s="11">
        <f t="shared" si="17"/>
        <v>456000</v>
      </c>
      <c r="M153" s="69">
        <v>0</v>
      </c>
      <c r="N153" s="71">
        <v>0</v>
      </c>
      <c r="O153" s="71">
        <v>0</v>
      </c>
      <c r="P153" s="71">
        <v>0</v>
      </c>
      <c r="Q153" s="71">
        <f>VLOOKUP(C153,Incentives!C147:K486,9,FALSE)</f>
        <v>0</v>
      </c>
      <c r="R153" s="71">
        <v>0</v>
      </c>
      <c r="S153" s="13">
        <v>0</v>
      </c>
      <c r="T153" s="13">
        <v>0</v>
      </c>
      <c r="U153" s="13"/>
      <c r="V153" s="13"/>
      <c r="Y153" s="71">
        <v>0</v>
      </c>
      <c r="Z153" s="71">
        <v>0</v>
      </c>
      <c r="AA153" s="71">
        <v>0</v>
      </c>
      <c r="AB153" s="71">
        <v>0</v>
      </c>
      <c r="AC153" s="71">
        <v>0</v>
      </c>
      <c r="AD153" s="71">
        <v>0</v>
      </c>
      <c r="AE153" s="13">
        <v>0</v>
      </c>
      <c r="AF153" s="13">
        <v>0</v>
      </c>
      <c r="AI153" s="20"/>
      <c r="AJ153" s="13"/>
      <c r="AK153" s="11">
        <f t="shared" si="18"/>
        <v>456000</v>
      </c>
      <c r="AL153" s="11">
        <f t="shared" si="14"/>
        <v>38000</v>
      </c>
      <c r="AM153" s="11">
        <f t="shared" si="19"/>
        <v>0</v>
      </c>
      <c r="AN153" s="11">
        <f>VLOOKUP(C153,'Paid Tax'!B148:M509,12,FALSE)</f>
        <v>0</v>
      </c>
      <c r="AO153" s="11">
        <f t="shared" si="15"/>
        <v>0</v>
      </c>
      <c r="AP153" s="13">
        <v>5</v>
      </c>
      <c r="AQ153" s="16">
        <f t="shared" si="16"/>
        <v>0</v>
      </c>
      <c r="AS153" s="11">
        <f t="shared" si="20"/>
        <v>0</v>
      </c>
      <c r="AT153" s="13"/>
    </row>
    <row r="154" spans="1:46" x14ac:dyDescent="0.25">
      <c r="A154" s="12">
        <v>147</v>
      </c>
      <c r="B154" s="60" t="s">
        <v>293</v>
      </c>
      <c r="C154" s="53">
        <v>10562</v>
      </c>
      <c r="D154" s="38" t="s">
        <v>394</v>
      </c>
      <c r="E154" s="38" t="s">
        <v>102</v>
      </c>
      <c r="F154" s="37" t="s">
        <v>286</v>
      </c>
      <c r="G154" s="4">
        <v>35000</v>
      </c>
      <c r="H154" s="4">
        <f>3000*9</f>
        <v>27000</v>
      </c>
      <c r="I154" s="4">
        <v>3000</v>
      </c>
      <c r="J154" s="4">
        <v>0</v>
      </c>
      <c r="K154" s="4">
        <v>0</v>
      </c>
      <c r="L154" s="11">
        <f t="shared" si="17"/>
        <v>450000</v>
      </c>
      <c r="M154" s="69">
        <v>0</v>
      </c>
      <c r="N154" s="71">
        <v>0</v>
      </c>
      <c r="O154" s="71">
        <v>0</v>
      </c>
      <c r="P154" s="71">
        <v>0</v>
      </c>
      <c r="Q154" s="71">
        <f>VLOOKUP(C154,Incentives!C148:K487,9,FALSE)</f>
        <v>0</v>
      </c>
      <c r="R154" s="71">
        <v>0</v>
      </c>
      <c r="S154" s="13">
        <v>0</v>
      </c>
      <c r="T154" s="13">
        <v>0</v>
      </c>
      <c r="U154" s="13"/>
      <c r="V154" s="13"/>
      <c r="Y154" s="71">
        <v>25947</v>
      </c>
      <c r="Z154" s="71">
        <v>24221</v>
      </c>
      <c r="AA154" s="71">
        <v>54688</v>
      </c>
      <c r="AB154" s="71">
        <v>57023</v>
      </c>
      <c r="AC154" s="71">
        <v>55587</v>
      </c>
      <c r="AD154" s="71">
        <v>28668</v>
      </c>
      <c r="AE154" s="13">
        <v>30357</v>
      </c>
      <c r="AF154" s="13">
        <v>27814</v>
      </c>
      <c r="AI154" s="20"/>
      <c r="AJ154" s="13"/>
      <c r="AK154" s="11">
        <f t="shared" si="18"/>
        <v>754305</v>
      </c>
      <c r="AL154" s="11">
        <f t="shared" si="14"/>
        <v>62858.75</v>
      </c>
      <c r="AM154" s="11">
        <f t="shared" si="19"/>
        <v>1543.05</v>
      </c>
      <c r="AN154" s="11">
        <f>VLOOKUP(C154,'Paid Tax'!B149:M510,12,FALSE)</f>
        <v>282.26357575757567</v>
      </c>
      <c r="AO154" s="11">
        <f t="shared" si="15"/>
        <v>1260.7864242424243</v>
      </c>
      <c r="AP154" s="13">
        <v>8</v>
      </c>
      <c r="AQ154" s="16">
        <f t="shared" si="16"/>
        <v>157.59830303030304</v>
      </c>
      <c r="AR154" s="91" t="s">
        <v>1101</v>
      </c>
      <c r="AS154" s="11">
        <f t="shared" si="20"/>
        <v>-157.59830303030304</v>
      </c>
      <c r="AT154" s="13"/>
    </row>
    <row r="155" spans="1:46" s="18" customFormat="1" x14ac:dyDescent="0.25">
      <c r="A155" s="12">
        <v>148</v>
      </c>
      <c r="B155" s="60" t="s">
        <v>293</v>
      </c>
      <c r="C155" s="53">
        <v>10567</v>
      </c>
      <c r="D155" s="38" t="s">
        <v>336</v>
      </c>
      <c r="E155" s="38" t="s">
        <v>337</v>
      </c>
      <c r="F155" s="37" t="s">
        <v>281</v>
      </c>
      <c r="G155" s="4">
        <v>40000</v>
      </c>
      <c r="H155" s="4">
        <f>5000*6</f>
        <v>30000</v>
      </c>
      <c r="I155" s="4"/>
      <c r="J155" s="4">
        <v>0</v>
      </c>
      <c r="K155" s="4">
        <v>0</v>
      </c>
      <c r="L155" s="11">
        <f t="shared" si="17"/>
        <v>510000</v>
      </c>
      <c r="M155" s="69">
        <v>0</v>
      </c>
      <c r="N155" s="71">
        <v>0</v>
      </c>
      <c r="O155" s="71">
        <v>0</v>
      </c>
      <c r="P155" s="71">
        <v>0</v>
      </c>
      <c r="Q155" s="71">
        <f>VLOOKUP(C155,Incentives!C149:K488,9,FALSE)</f>
        <v>0</v>
      </c>
      <c r="R155" s="71">
        <v>0</v>
      </c>
      <c r="S155" s="13">
        <v>0</v>
      </c>
      <c r="T155" s="13">
        <v>0</v>
      </c>
      <c r="U155" s="13"/>
      <c r="V155" s="13"/>
      <c r="W155" s="13"/>
      <c r="Y155" s="71">
        <v>23428</v>
      </c>
      <c r="Z155" s="71">
        <v>25482</v>
      </c>
      <c r="AA155" s="71">
        <v>25210</v>
      </c>
      <c r="AB155" s="71">
        <v>26417</v>
      </c>
      <c r="AC155" s="71">
        <v>25142</v>
      </c>
      <c r="AD155" s="71">
        <v>26421</v>
      </c>
      <c r="AE155" s="13">
        <v>27209</v>
      </c>
      <c r="AF155" s="13">
        <v>26841</v>
      </c>
      <c r="AG155" s="13"/>
      <c r="AH155" s="13"/>
      <c r="AI155" s="22"/>
      <c r="AK155" s="11">
        <f t="shared" si="18"/>
        <v>716150</v>
      </c>
      <c r="AL155" s="11">
        <f t="shared" si="14"/>
        <v>59679.166666666664</v>
      </c>
      <c r="AM155" s="11">
        <f t="shared" si="19"/>
        <v>1161.5</v>
      </c>
      <c r="AN155" s="11">
        <f>VLOOKUP(C155,'Paid Tax'!B150:M511,12,FALSE)</f>
        <v>119.44468181818181</v>
      </c>
      <c r="AO155" s="11">
        <f t="shared" si="15"/>
        <v>1042.0553181818182</v>
      </c>
      <c r="AP155" s="13">
        <v>9</v>
      </c>
      <c r="AQ155" s="16">
        <f t="shared" si="16"/>
        <v>115.78392424242423</v>
      </c>
      <c r="AR155" s="92" t="s">
        <v>983</v>
      </c>
      <c r="AS155" s="11">
        <f t="shared" si="20"/>
        <v>-115.78392424242423</v>
      </c>
      <c r="AT155" s="13"/>
    </row>
    <row r="156" spans="1:46" s="18" customFormat="1" x14ac:dyDescent="0.25">
      <c r="A156" s="12">
        <v>149</v>
      </c>
      <c r="B156" s="60" t="s">
        <v>293</v>
      </c>
      <c r="C156" s="53">
        <v>10569</v>
      </c>
      <c r="D156" s="38" t="s">
        <v>339</v>
      </c>
      <c r="E156" s="38" t="s">
        <v>337</v>
      </c>
      <c r="F156" s="37" t="s">
        <v>281</v>
      </c>
      <c r="G156" s="4">
        <v>35000</v>
      </c>
      <c r="H156" s="4">
        <f>5000*9</f>
        <v>45000</v>
      </c>
      <c r="I156" s="4"/>
      <c r="J156" s="4">
        <v>0</v>
      </c>
      <c r="K156" s="4">
        <v>0</v>
      </c>
      <c r="L156" s="11">
        <f t="shared" si="17"/>
        <v>465000</v>
      </c>
      <c r="M156" s="69">
        <v>0</v>
      </c>
      <c r="N156" s="71">
        <v>0</v>
      </c>
      <c r="O156" s="71">
        <v>0</v>
      </c>
      <c r="P156" s="71">
        <v>0</v>
      </c>
      <c r="Q156" s="71">
        <f>VLOOKUP(C156,Incentives!C150:K489,9,FALSE)</f>
        <v>0</v>
      </c>
      <c r="R156" s="71">
        <v>0</v>
      </c>
      <c r="S156" s="13">
        <v>0</v>
      </c>
      <c r="T156" s="13">
        <v>0</v>
      </c>
      <c r="U156" s="13"/>
      <c r="V156" s="13"/>
      <c r="W156" s="13"/>
      <c r="Y156" s="71">
        <v>27090</v>
      </c>
      <c r="Z156" s="71">
        <v>25104</v>
      </c>
      <c r="AA156" s="71">
        <v>25934</v>
      </c>
      <c r="AB156" s="71">
        <v>52878</v>
      </c>
      <c r="AC156" s="71">
        <v>52887</v>
      </c>
      <c r="AD156" s="71">
        <v>52161</v>
      </c>
      <c r="AE156" s="13">
        <v>24630</v>
      </c>
      <c r="AF156" s="13">
        <v>0</v>
      </c>
      <c r="AG156" s="13"/>
      <c r="AH156" s="13"/>
      <c r="AI156" s="20"/>
      <c r="AK156" s="11">
        <f t="shared" si="18"/>
        <v>725684</v>
      </c>
      <c r="AL156" s="11">
        <f t="shared" si="14"/>
        <v>60473.666666666664</v>
      </c>
      <c r="AM156" s="11">
        <f t="shared" si="19"/>
        <v>1256.8399999999999</v>
      </c>
      <c r="AN156" s="11">
        <f>VLOOKUP(C156,'Paid Tax'!B151:M512,12,FALSE)</f>
        <v>241.70068181818232</v>
      </c>
      <c r="AO156" s="11">
        <f t="shared" si="15"/>
        <v>1015.1393181818175</v>
      </c>
      <c r="AP156" s="13">
        <v>9</v>
      </c>
      <c r="AQ156" s="16">
        <f t="shared" si="16"/>
        <v>112.79325757575751</v>
      </c>
      <c r="AR156" s="92" t="s">
        <v>983</v>
      </c>
      <c r="AS156" s="11">
        <f t="shared" si="20"/>
        <v>-112.79325757575751</v>
      </c>
      <c r="AT156" s="13"/>
    </row>
    <row r="157" spans="1:46" x14ac:dyDescent="0.25">
      <c r="A157" s="12">
        <v>150</v>
      </c>
      <c r="B157" s="60" t="s">
        <v>293</v>
      </c>
      <c r="C157" s="53">
        <v>10570</v>
      </c>
      <c r="D157" s="38" t="s">
        <v>340</v>
      </c>
      <c r="E157" s="38" t="s">
        <v>150</v>
      </c>
      <c r="F157" s="37" t="s">
        <v>280</v>
      </c>
      <c r="G157" s="4">
        <v>35000</v>
      </c>
      <c r="H157" s="4"/>
      <c r="I157" s="4"/>
      <c r="J157" s="4">
        <v>0</v>
      </c>
      <c r="K157" s="4">
        <v>0</v>
      </c>
      <c r="L157" s="11">
        <f t="shared" si="17"/>
        <v>420000</v>
      </c>
      <c r="M157" s="69">
        <v>0</v>
      </c>
      <c r="N157" s="71">
        <v>0</v>
      </c>
      <c r="O157" s="71">
        <v>0</v>
      </c>
      <c r="P157" s="71">
        <v>0</v>
      </c>
      <c r="Q157" s="71">
        <f>VLOOKUP(C157,Incentives!C151:K490,9,FALSE)</f>
        <v>0</v>
      </c>
      <c r="R157" s="71">
        <v>0</v>
      </c>
      <c r="S157" s="13">
        <v>0</v>
      </c>
      <c r="T157" s="13">
        <v>0</v>
      </c>
      <c r="U157" s="13"/>
      <c r="V157" s="13"/>
      <c r="Y157" s="71">
        <v>0</v>
      </c>
      <c r="Z157" s="71">
        <v>0</v>
      </c>
      <c r="AA157" s="71">
        <v>0</v>
      </c>
      <c r="AB157" s="71">
        <v>0</v>
      </c>
      <c r="AC157" s="71">
        <v>0</v>
      </c>
      <c r="AD157" s="71">
        <v>0</v>
      </c>
      <c r="AE157" s="13">
        <v>0</v>
      </c>
      <c r="AF157" s="13">
        <v>0</v>
      </c>
      <c r="AI157" s="20"/>
      <c r="AJ157" s="13"/>
      <c r="AK157" s="11">
        <f t="shared" si="18"/>
        <v>420000</v>
      </c>
      <c r="AL157" s="11">
        <f t="shared" si="14"/>
        <v>35000</v>
      </c>
      <c r="AM157" s="11">
        <f t="shared" si="19"/>
        <v>0</v>
      </c>
      <c r="AN157" s="11">
        <f>VLOOKUP(C157,'Paid Tax'!B152:M513,12,FALSE)</f>
        <v>0</v>
      </c>
      <c r="AO157" s="11">
        <f t="shared" si="15"/>
        <v>0</v>
      </c>
      <c r="AP157" s="13">
        <v>5</v>
      </c>
      <c r="AQ157" s="16">
        <f t="shared" si="16"/>
        <v>0</v>
      </c>
      <c r="AS157" s="11">
        <f t="shared" si="20"/>
        <v>0</v>
      </c>
      <c r="AT157" s="13"/>
    </row>
    <row r="158" spans="1:46" x14ac:dyDescent="0.25">
      <c r="A158" s="12">
        <v>151</v>
      </c>
      <c r="B158" s="60" t="s">
        <v>293</v>
      </c>
      <c r="C158" s="53">
        <v>10571</v>
      </c>
      <c r="D158" s="38" t="s">
        <v>185</v>
      </c>
      <c r="E158" s="38" t="s">
        <v>337</v>
      </c>
      <c r="F158" s="37" t="s">
        <v>281</v>
      </c>
      <c r="G158" s="4">
        <v>35000</v>
      </c>
      <c r="H158" s="4">
        <f>5000*9</f>
        <v>45000</v>
      </c>
      <c r="I158" s="4"/>
      <c r="J158" s="4">
        <v>0</v>
      </c>
      <c r="K158" s="4">
        <v>0</v>
      </c>
      <c r="L158" s="11">
        <f t="shared" si="17"/>
        <v>465000</v>
      </c>
      <c r="M158" s="69">
        <v>0</v>
      </c>
      <c r="N158" s="71">
        <v>0</v>
      </c>
      <c r="O158" s="71">
        <v>0</v>
      </c>
      <c r="P158" s="71">
        <v>0</v>
      </c>
      <c r="Q158" s="71">
        <f>VLOOKUP(C158,Incentives!C152:K491,9,FALSE)</f>
        <v>0</v>
      </c>
      <c r="R158" s="71">
        <v>0</v>
      </c>
      <c r="S158" s="13">
        <v>0</v>
      </c>
      <c r="T158" s="13">
        <v>0</v>
      </c>
      <c r="U158" s="13"/>
      <c r="V158" s="13"/>
      <c r="Y158" s="71">
        <v>26243</v>
      </c>
      <c r="Z158" s="71">
        <v>31424</v>
      </c>
      <c r="AA158" s="71">
        <v>56293</v>
      </c>
      <c r="AB158" s="71">
        <v>32448</v>
      </c>
      <c r="AC158" s="71">
        <v>28795</v>
      </c>
      <c r="AD158" s="71">
        <v>28659</v>
      </c>
      <c r="AE158" s="13">
        <v>51943</v>
      </c>
      <c r="AF158" s="13">
        <v>30500</v>
      </c>
      <c r="AI158" s="20"/>
      <c r="AJ158" s="13"/>
      <c r="AK158" s="11">
        <f t="shared" si="18"/>
        <v>751305</v>
      </c>
      <c r="AL158" s="11">
        <f t="shared" si="14"/>
        <v>62608.75</v>
      </c>
      <c r="AM158" s="11">
        <f t="shared" si="19"/>
        <v>1513.05</v>
      </c>
      <c r="AN158" s="11">
        <f>VLOOKUP(C158,'Paid Tax'!B153:M514,12,FALSE)</f>
        <v>231.59092929292947</v>
      </c>
      <c r="AO158" s="11">
        <f t="shared" si="15"/>
        <v>1281.4590707070704</v>
      </c>
      <c r="AP158" s="13">
        <v>8</v>
      </c>
      <c r="AQ158" s="16">
        <f t="shared" si="16"/>
        <v>160.1823838383838</v>
      </c>
      <c r="AR158" s="91" t="s">
        <v>1101</v>
      </c>
      <c r="AS158" s="11">
        <f t="shared" si="20"/>
        <v>-160.1823838383838</v>
      </c>
      <c r="AT158" s="13"/>
    </row>
    <row r="159" spans="1:46" x14ac:dyDescent="0.25">
      <c r="A159" s="12">
        <v>152</v>
      </c>
      <c r="B159" s="60" t="s">
        <v>293</v>
      </c>
      <c r="C159" s="53">
        <v>10572</v>
      </c>
      <c r="D159" s="38" t="s">
        <v>413</v>
      </c>
      <c r="E159" s="38" t="s">
        <v>23</v>
      </c>
      <c r="F159" s="37" t="s">
        <v>279</v>
      </c>
      <c r="G159" s="4">
        <v>30000</v>
      </c>
      <c r="H159" s="4">
        <f>5000*6</f>
        <v>30000</v>
      </c>
      <c r="I159" s="4"/>
      <c r="J159" s="4">
        <v>0</v>
      </c>
      <c r="K159" s="4">
        <v>0</v>
      </c>
      <c r="L159" s="11">
        <f t="shared" si="17"/>
        <v>390000</v>
      </c>
      <c r="M159" s="69">
        <v>0</v>
      </c>
      <c r="N159" s="71">
        <v>0</v>
      </c>
      <c r="O159" s="71">
        <v>0</v>
      </c>
      <c r="P159" s="71">
        <v>0</v>
      </c>
      <c r="Q159" s="71">
        <f>VLOOKUP(C159,Incentives!C153:K492,9,FALSE)</f>
        <v>0</v>
      </c>
      <c r="R159" s="71">
        <v>0</v>
      </c>
      <c r="S159" s="13">
        <v>0</v>
      </c>
      <c r="T159" s="13">
        <v>0</v>
      </c>
      <c r="U159" s="13"/>
      <c r="V159" s="13"/>
      <c r="Y159" s="71">
        <v>0</v>
      </c>
      <c r="Z159" s="71">
        <v>0</v>
      </c>
      <c r="AA159" s="71">
        <v>0</v>
      </c>
      <c r="AB159" s="71">
        <v>0</v>
      </c>
      <c r="AC159" s="71">
        <v>0</v>
      </c>
      <c r="AD159" s="71">
        <v>0</v>
      </c>
      <c r="AE159" s="13">
        <v>0</v>
      </c>
      <c r="AF159" s="13">
        <v>0</v>
      </c>
      <c r="AI159" s="20"/>
      <c r="AJ159" s="13"/>
      <c r="AK159" s="11">
        <f t="shared" si="18"/>
        <v>390000</v>
      </c>
      <c r="AL159" s="11">
        <f t="shared" si="14"/>
        <v>32500</v>
      </c>
      <c r="AM159" s="11">
        <f t="shared" si="19"/>
        <v>0</v>
      </c>
      <c r="AN159" s="11">
        <f>VLOOKUP(C159,'Paid Tax'!B154:M515,12,FALSE)</f>
        <v>0</v>
      </c>
      <c r="AO159" s="11">
        <f t="shared" si="15"/>
        <v>0</v>
      </c>
      <c r="AP159" s="13">
        <v>5</v>
      </c>
      <c r="AQ159" s="16">
        <f t="shared" si="16"/>
        <v>0</v>
      </c>
      <c r="AS159" s="11">
        <f t="shared" si="20"/>
        <v>0</v>
      </c>
      <c r="AT159" s="13"/>
    </row>
    <row r="160" spans="1:46" x14ac:dyDescent="0.25">
      <c r="A160" s="12">
        <v>153</v>
      </c>
      <c r="B160" s="60" t="s">
        <v>293</v>
      </c>
      <c r="C160" s="53">
        <v>10573</v>
      </c>
      <c r="D160" s="38" t="s">
        <v>341</v>
      </c>
      <c r="E160" s="38" t="s">
        <v>342</v>
      </c>
      <c r="F160" s="37" t="s">
        <v>287</v>
      </c>
      <c r="G160" s="4">
        <v>30000</v>
      </c>
      <c r="H160" s="4">
        <f>5000*10</f>
        <v>50000</v>
      </c>
      <c r="I160" s="4"/>
      <c r="J160" s="4">
        <v>0</v>
      </c>
      <c r="K160" s="4">
        <v>0</v>
      </c>
      <c r="L160" s="11">
        <f t="shared" si="17"/>
        <v>410000</v>
      </c>
      <c r="M160" s="69">
        <v>0</v>
      </c>
      <c r="N160" s="71">
        <v>0</v>
      </c>
      <c r="O160" s="71">
        <v>0</v>
      </c>
      <c r="P160" s="71">
        <v>0</v>
      </c>
      <c r="Q160" s="71">
        <f>VLOOKUP(C160,Incentives!C154:K493,9,FALSE)</f>
        <v>0</v>
      </c>
      <c r="R160" s="71">
        <v>0</v>
      </c>
      <c r="S160" s="13">
        <v>0</v>
      </c>
      <c r="T160" s="13">
        <v>0</v>
      </c>
      <c r="U160" s="13"/>
      <c r="V160" s="13"/>
      <c r="Y160" s="71">
        <v>26332</v>
      </c>
      <c r="Z160" s="71">
        <v>27332</v>
      </c>
      <c r="AA160" s="71">
        <v>22000</v>
      </c>
      <c r="AB160" s="71">
        <v>27165</v>
      </c>
      <c r="AC160" s="71">
        <v>26570</v>
      </c>
      <c r="AD160" s="71">
        <v>41900</v>
      </c>
      <c r="AE160" s="13">
        <v>23255</v>
      </c>
      <c r="AF160" s="13">
        <v>29700</v>
      </c>
      <c r="AI160" s="20"/>
      <c r="AJ160" s="13"/>
      <c r="AK160" s="11">
        <f t="shared" si="18"/>
        <v>634254</v>
      </c>
      <c r="AL160" s="11">
        <f t="shared" si="14"/>
        <v>52854.5</v>
      </c>
      <c r="AM160" s="11">
        <f t="shared" si="19"/>
        <v>342.54</v>
      </c>
      <c r="AN160" s="11">
        <f>VLOOKUP(C160,'Paid Tax'!B155:M516,12,FALSE)</f>
        <v>3.7949999999999999</v>
      </c>
      <c r="AO160" s="11">
        <f t="shared" si="15"/>
        <v>338.745</v>
      </c>
      <c r="AP160" s="13">
        <v>11</v>
      </c>
      <c r="AQ160" s="16">
        <f t="shared" si="16"/>
        <v>30.795000000000002</v>
      </c>
      <c r="AR160" s="40" t="s">
        <v>790</v>
      </c>
      <c r="AS160" s="11">
        <f t="shared" si="20"/>
        <v>-30.795000000000002</v>
      </c>
      <c r="AT160" s="13"/>
    </row>
    <row r="161" spans="1:46" x14ac:dyDescent="0.25">
      <c r="A161" s="12">
        <v>154</v>
      </c>
      <c r="B161" s="60" t="s">
        <v>293</v>
      </c>
      <c r="C161" s="53">
        <v>10574</v>
      </c>
      <c r="D161" s="38" t="s">
        <v>414</v>
      </c>
      <c r="E161" s="38" t="s">
        <v>23</v>
      </c>
      <c r="F161" s="37" t="s">
        <v>279</v>
      </c>
      <c r="G161" s="4">
        <v>28000</v>
      </c>
      <c r="H161" s="4">
        <f>5000*9</f>
        <v>45000</v>
      </c>
      <c r="I161" s="4">
        <v>5000</v>
      </c>
      <c r="J161" s="4">
        <v>0</v>
      </c>
      <c r="K161" s="4">
        <v>0</v>
      </c>
      <c r="L161" s="11">
        <f t="shared" si="17"/>
        <v>386000</v>
      </c>
      <c r="M161" s="69">
        <v>0</v>
      </c>
      <c r="N161" s="71">
        <v>0</v>
      </c>
      <c r="O161" s="71">
        <v>0</v>
      </c>
      <c r="P161" s="71">
        <v>0</v>
      </c>
      <c r="Q161" s="71">
        <f>VLOOKUP(C161,Incentives!C155:K494,9,FALSE)</f>
        <v>0</v>
      </c>
      <c r="R161" s="71">
        <v>0</v>
      </c>
      <c r="S161" s="13">
        <v>0</v>
      </c>
      <c r="T161" s="13">
        <v>0</v>
      </c>
      <c r="U161" s="13"/>
      <c r="V161" s="13"/>
      <c r="Y161" s="71">
        <v>0</v>
      </c>
      <c r="Z161" s="71">
        <v>0</v>
      </c>
      <c r="AA161" s="71">
        <v>0</v>
      </c>
      <c r="AB161" s="71">
        <v>0</v>
      </c>
      <c r="AC161" s="71">
        <v>0</v>
      </c>
      <c r="AD161" s="71">
        <v>0</v>
      </c>
      <c r="AE161" s="13">
        <v>0</v>
      </c>
      <c r="AF161" s="13">
        <v>0</v>
      </c>
      <c r="AI161" s="20"/>
      <c r="AJ161" s="13"/>
      <c r="AK161" s="11">
        <f t="shared" si="18"/>
        <v>386000</v>
      </c>
      <c r="AL161" s="11">
        <f t="shared" si="14"/>
        <v>32166.666666666668</v>
      </c>
      <c r="AM161" s="11">
        <f t="shared" si="19"/>
        <v>0</v>
      </c>
      <c r="AN161" s="11">
        <f>VLOOKUP(C161,'Paid Tax'!B156:M517,12,FALSE)</f>
        <v>0</v>
      </c>
      <c r="AO161" s="11">
        <f t="shared" si="15"/>
        <v>0</v>
      </c>
      <c r="AP161" s="13">
        <v>5</v>
      </c>
      <c r="AQ161" s="16">
        <f t="shared" si="16"/>
        <v>0</v>
      </c>
      <c r="AS161" s="11">
        <f t="shared" si="20"/>
        <v>0</v>
      </c>
      <c r="AT161" s="13"/>
    </row>
    <row r="162" spans="1:46" x14ac:dyDescent="0.25">
      <c r="A162" s="12">
        <v>155</v>
      </c>
      <c r="B162" s="60" t="s">
        <v>293</v>
      </c>
      <c r="C162" s="53">
        <v>10576</v>
      </c>
      <c r="D162" s="38" t="s">
        <v>344</v>
      </c>
      <c r="E162" s="38" t="s">
        <v>347</v>
      </c>
      <c r="F162" s="37" t="s">
        <v>284</v>
      </c>
      <c r="G162" s="4">
        <v>37000</v>
      </c>
      <c r="H162" s="4"/>
      <c r="I162" s="4"/>
      <c r="J162" s="4">
        <v>0</v>
      </c>
      <c r="K162" s="4">
        <v>0</v>
      </c>
      <c r="L162" s="11">
        <f t="shared" si="17"/>
        <v>444000</v>
      </c>
      <c r="M162" s="69">
        <v>0</v>
      </c>
      <c r="N162" s="71">
        <v>0</v>
      </c>
      <c r="O162" s="71">
        <v>0</v>
      </c>
      <c r="P162" s="71">
        <v>0</v>
      </c>
      <c r="Q162" s="71">
        <f>VLOOKUP(C162,Incentives!C156:K495,9,FALSE)</f>
        <v>0</v>
      </c>
      <c r="R162" s="71">
        <v>0</v>
      </c>
      <c r="S162" s="13">
        <v>0</v>
      </c>
      <c r="T162" s="13">
        <v>0</v>
      </c>
      <c r="U162" s="13"/>
      <c r="V162" s="13"/>
      <c r="Y162" s="71">
        <v>0</v>
      </c>
      <c r="Z162" s="71">
        <v>0</v>
      </c>
      <c r="AA162" s="71">
        <v>0</v>
      </c>
      <c r="AB162" s="71">
        <v>0</v>
      </c>
      <c r="AC162" s="71">
        <v>0</v>
      </c>
      <c r="AD162" s="71">
        <v>0</v>
      </c>
      <c r="AE162" s="13">
        <v>0</v>
      </c>
      <c r="AF162" s="13">
        <v>0</v>
      </c>
      <c r="AI162" s="20"/>
      <c r="AJ162" s="13"/>
      <c r="AK162" s="11">
        <f t="shared" si="18"/>
        <v>444000</v>
      </c>
      <c r="AL162" s="11">
        <f t="shared" si="14"/>
        <v>37000</v>
      </c>
      <c r="AM162" s="11">
        <f t="shared" si="19"/>
        <v>0</v>
      </c>
      <c r="AN162" s="11">
        <f>VLOOKUP(C162,'Paid Tax'!B157:M518,12,FALSE)</f>
        <v>0</v>
      </c>
      <c r="AO162" s="11">
        <f t="shared" si="15"/>
        <v>0</v>
      </c>
      <c r="AP162" s="13">
        <v>5</v>
      </c>
      <c r="AQ162" s="16">
        <f t="shared" si="16"/>
        <v>0</v>
      </c>
      <c r="AS162" s="11">
        <f t="shared" si="20"/>
        <v>0</v>
      </c>
      <c r="AT162" s="13"/>
    </row>
    <row r="163" spans="1:46" x14ac:dyDescent="0.25">
      <c r="A163" s="12">
        <v>156</v>
      </c>
      <c r="B163" s="60" t="s">
        <v>293</v>
      </c>
      <c r="C163" s="53">
        <v>10577</v>
      </c>
      <c r="D163" s="38" t="s">
        <v>345</v>
      </c>
      <c r="E163" s="38" t="s">
        <v>69</v>
      </c>
      <c r="F163" s="37" t="s">
        <v>284</v>
      </c>
      <c r="G163" s="4">
        <v>29500</v>
      </c>
      <c r="H163" s="4">
        <f>5500*10</f>
        <v>55000</v>
      </c>
      <c r="I163" s="4"/>
      <c r="J163" s="4">
        <v>0</v>
      </c>
      <c r="K163" s="4">
        <v>0</v>
      </c>
      <c r="L163" s="11">
        <f t="shared" si="17"/>
        <v>409000</v>
      </c>
      <c r="M163" s="69">
        <v>2400</v>
      </c>
      <c r="N163" s="71">
        <v>12100</v>
      </c>
      <c r="O163" s="71">
        <v>11600</v>
      </c>
      <c r="P163" s="71">
        <v>2100</v>
      </c>
      <c r="Q163" s="71">
        <f>VLOOKUP(C163,Incentives!C157:K496,9,FALSE)</f>
        <v>990</v>
      </c>
      <c r="R163" s="71">
        <v>1140</v>
      </c>
      <c r="S163" s="13">
        <v>960</v>
      </c>
      <c r="T163" s="13">
        <v>0</v>
      </c>
      <c r="U163" s="13"/>
      <c r="V163" s="13"/>
      <c r="Y163" s="71">
        <v>0</v>
      </c>
      <c r="Z163" s="71">
        <v>0</v>
      </c>
      <c r="AA163" s="71">
        <v>0</v>
      </c>
      <c r="AB163" s="71">
        <v>0</v>
      </c>
      <c r="AC163" s="71">
        <v>0</v>
      </c>
      <c r="AD163" s="71">
        <v>0</v>
      </c>
      <c r="AE163" s="13">
        <v>0</v>
      </c>
      <c r="AF163" s="13">
        <v>0</v>
      </c>
      <c r="AI163" s="20"/>
      <c r="AJ163" s="13"/>
      <c r="AK163" s="11">
        <f t="shared" si="18"/>
        <v>440290</v>
      </c>
      <c r="AL163" s="11">
        <f t="shared" si="14"/>
        <v>36690.833333333336</v>
      </c>
      <c r="AM163" s="11">
        <f t="shared" si="19"/>
        <v>0</v>
      </c>
      <c r="AN163" s="11">
        <f>VLOOKUP(C163,'Paid Tax'!B158:M519,12,FALSE)</f>
        <v>0</v>
      </c>
      <c r="AO163" s="11">
        <f t="shared" si="15"/>
        <v>0</v>
      </c>
      <c r="AP163" s="13">
        <v>5</v>
      </c>
      <c r="AQ163" s="16">
        <f t="shared" si="16"/>
        <v>0</v>
      </c>
      <c r="AS163" s="11">
        <f t="shared" si="20"/>
        <v>0</v>
      </c>
      <c r="AT163" s="13"/>
    </row>
    <row r="164" spans="1:46" x14ac:dyDescent="0.25">
      <c r="A164" s="12">
        <v>157</v>
      </c>
      <c r="B164" s="60" t="s">
        <v>293</v>
      </c>
      <c r="C164" s="53">
        <v>10583</v>
      </c>
      <c r="D164" s="38" t="s">
        <v>346</v>
      </c>
      <c r="E164" s="38" t="s">
        <v>23</v>
      </c>
      <c r="F164" s="37" t="s">
        <v>279</v>
      </c>
      <c r="G164" s="4">
        <v>30000</v>
      </c>
      <c r="H164" s="4">
        <f>3000*9</f>
        <v>27000</v>
      </c>
      <c r="I164" s="4">
        <v>3000</v>
      </c>
      <c r="J164" s="4">
        <v>0</v>
      </c>
      <c r="K164" s="4">
        <v>0</v>
      </c>
      <c r="L164" s="11">
        <f t="shared" si="17"/>
        <v>390000</v>
      </c>
      <c r="M164" s="69">
        <v>0</v>
      </c>
      <c r="N164" s="71">
        <v>0</v>
      </c>
      <c r="O164" s="71">
        <v>0</v>
      </c>
      <c r="P164" s="71">
        <v>0</v>
      </c>
      <c r="Q164" s="71">
        <f>VLOOKUP(C164,Incentives!C158:K497,9,FALSE)</f>
        <v>0</v>
      </c>
      <c r="R164" s="71">
        <v>0</v>
      </c>
      <c r="S164" s="13">
        <v>0</v>
      </c>
      <c r="T164" s="13">
        <v>0</v>
      </c>
      <c r="U164" s="13"/>
      <c r="V164" s="13"/>
      <c r="Y164" s="71">
        <v>0</v>
      </c>
      <c r="Z164" s="71">
        <v>0</v>
      </c>
      <c r="AA164" s="71">
        <v>0</v>
      </c>
      <c r="AB164" s="71">
        <v>0</v>
      </c>
      <c r="AC164" s="71">
        <v>0</v>
      </c>
      <c r="AD164" s="71">
        <v>0</v>
      </c>
      <c r="AE164" s="13">
        <v>0</v>
      </c>
      <c r="AF164" s="13">
        <v>0</v>
      </c>
      <c r="AI164" s="20"/>
      <c r="AJ164" s="13"/>
      <c r="AK164" s="11">
        <f t="shared" si="18"/>
        <v>390000</v>
      </c>
      <c r="AL164" s="11">
        <f t="shared" si="14"/>
        <v>32500</v>
      </c>
      <c r="AM164" s="11">
        <f t="shared" si="19"/>
        <v>0</v>
      </c>
      <c r="AN164" s="11">
        <f>VLOOKUP(C164,'Paid Tax'!B159:M520,12,FALSE)</f>
        <v>0</v>
      </c>
      <c r="AO164" s="11">
        <f t="shared" si="15"/>
        <v>0</v>
      </c>
      <c r="AP164" s="13">
        <v>5</v>
      </c>
      <c r="AQ164" s="16">
        <f t="shared" si="16"/>
        <v>0</v>
      </c>
      <c r="AS164" s="11">
        <f t="shared" si="20"/>
        <v>0</v>
      </c>
      <c r="AT164" s="13"/>
    </row>
    <row r="165" spans="1:46" x14ac:dyDescent="0.25">
      <c r="A165" s="12">
        <v>158</v>
      </c>
      <c r="B165" s="60" t="s">
        <v>293</v>
      </c>
      <c r="C165" s="53">
        <v>10585</v>
      </c>
      <c r="D165" s="38" t="s">
        <v>367</v>
      </c>
      <c r="E165" s="38" t="s">
        <v>69</v>
      </c>
      <c r="F165" s="37" t="s">
        <v>284</v>
      </c>
      <c r="G165" s="4">
        <v>28500</v>
      </c>
      <c r="H165" s="4">
        <f>3500*6</f>
        <v>21000</v>
      </c>
      <c r="I165" s="4"/>
      <c r="J165" s="4">
        <v>0</v>
      </c>
      <c r="K165" s="4">
        <v>0</v>
      </c>
      <c r="L165" s="11">
        <f t="shared" si="17"/>
        <v>363000</v>
      </c>
      <c r="M165" s="69">
        <v>1500</v>
      </c>
      <c r="N165" s="71">
        <v>0</v>
      </c>
      <c r="O165" s="71">
        <v>0</v>
      </c>
      <c r="P165" s="71">
        <v>0</v>
      </c>
      <c r="Q165" s="71">
        <f>VLOOKUP(C165,Incentives!C159:K498,9,FALSE)</f>
        <v>0</v>
      </c>
      <c r="R165" s="71">
        <v>990</v>
      </c>
      <c r="S165" s="13">
        <v>0</v>
      </c>
      <c r="T165" s="13">
        <v>960</v>
      </c>
      <c r="U165" s="13"/>
      <c r="V165" s="13"/>
      <c r="Y165" s="71">
        <v>0</v>
      </c>
      <c r="Z165" s="71">
        <v>0</v>
      </c>
      <c r="AA165" s="71">
        <v>0</v>
      </c>
      <c r="AB165" s="71">
        <v>0</v>
      </c>
      <c r="AC165" s="71">
        <v>0</v>
      </c>
      <c r="AD165" s="71">
        <v>0</v>
      </c>
      <c r="AE165" s="13">
        <v>0</v>
      </c>
      <c r="AF165" s="13">
        <v>0</v>
      </c>
      <c r="AI165" s="20"/>
      <c r="AJ165" s="13"/>
      <c r="AK165" s="11">
        <f t="shared" si="18"/>
        <v>366450</v>
      </c>
      <c r="AL165" s="11">
        <f t="shared" si="14"/>
        <v>30537.5</v>
      </c>
      <c r="AM165" s="11">
        <f t="shared" si="19"/>
        <v>0</v>
      </c>
      <c r="AN165" s="11">
        <f>VLOOKUP(C165,'Paid Tax'!B160:M521,12,FALSE)</f>
        <v>0</v>
      </c>
      <c r="AO165" s="11">
        <f t="shared" si="15"/>
        <v>0</v>
      </c>
      <c r="AP165" s="13">
        <v>5</v>
      </c>
      <c r="AQ165" s="16">
        <f t="shared" si="16"/>
        <v>0</v>
      </c>
      <c r="AS165" s="11">
        <f t="shared" si="20"/>
        <v>0</v>
      </c>
      <c r="AT165" s="13"/>
    </row>
    <row r="166" spans="1:46" x14ac:dyDescent="0.25">
      <c r="A166" s="12">
        <v>159</v>
      </c>
      <c r="B166" s="60" t="s">
        <v>293</v>
      </c>
      <c r="C166" s="53">
        <v>10587</v>
      </c>
      <c r="D166" s="38" t="s">
        <v>368</v>
      </c>
      <c r="E166" s="38" t="s">
        <v>369</v>
      </c>
      <c r="F166" s="37" t="s">
        <v>287</v>
      </c>
      <c r="G166" s="67">
        <v>30000</v>
      </c>
      <c r="H166" s="67">
        <f>5000*10</f>
        <v>50000</v>
      </c>
      <c r="I166" s="67"/>
      <c r="J166" s="4">
        <v>0</v>
      </c>
      <c r="K166" s="4">
        <v>0</v>
      </c>
      <c r="L166" s="11">
        <f t="shared" si="17"/>
        <v>410000</v>
      </c>
      <c r="M166" s="69">
        <v>0</v>
      </c>
      <c r="N166" s="71">
        <v>0</v>
      </c>
      <c r="O166" s="71">
        <v>0</v>
      </c>
      <c r="P166" s="71">
        <v>0</v>
      </c>
      <c r="Q166" s="71">
        <f>VLOOKUP(C166,Incentives!C160:K499,9,FALSE)</f>
        <v>0</v>
      </c>
      <c r="R166" s="71">
        <v>0</v>
      </c>
      <c r="S166" s="13">
        <v>0</v>
      </c>
      <c r="T166" s="13">
        <v>0</v>
      </c>
      <c r="U166" s="13"/>
      <c r="V166" s="13"/>
      <c r="Y166" s="71">
        <v>21167</v>
      </c>
      <c r="Z166" s="71">
        <v>44665</v>
      </c>
      <c r="AA166" s="71">
        <v>38499</v>
      </c>
      <c r="AB166" s="71">
        <v>47499</v>
      </c>
      <c r="AC166" s="71">
        <v>65000</v>
      </c>
      <c r="AD166" s="71">
        <v>55650</v>
      </c>
      <c r="AE166" s="13">
        <v>74277</v>
      </c>
      <c r="AF166" s="13">
        <v>140400</v>
      </c>
      <c r="AI166" s="20"/>
      <c r="AJ166" s="13"/>
      <c r="AK166" s="11">
        <f t="shared" si="18"/>
        <v>897157</v>
      </c>
      <c r="AL166" s="11">
        <f t="shared" si="14"/>
        <v>74763.083333333328</v>
      </c>
      <c r="AM166" s="11">
        <f t="shared" si="19"/>
        <v>2971.57</v>
      </c>
      <c r="AN166" s="11">
        <f>VLOOKUP(C166,'Paid Tax'!B161:M522,12,FALSE)</f>
        <v>242.53381818181771</v>
      </c>
      <c r="AO166" s="11">
        <f t="shared" si="15"/>
        <v>2729.0361818181823</v>
      </c>
      <c r="AP166" s="13">
        <v>9</v>
      </c>
      <c r="AQ166" s="16">
        <f t="shared" si="16"/>
        <v>303.22624242424246</v>
      </c>
      <c r="AR166" s="92" t="s">
        <v>983</v>
      </c>
      <c r="AS166" s="11">
        <f t="shared" si="20"/>
        <v>-303.22624242424246</v>
      </c>
      <c r="AT166" s="13"/>
    </row>
    <row r="167" spans="1:46" x14ac:dyDescent="0.25">
      <c r="A167" s="12">
        <v>160</v>
      </c>
      <c r="B167" s="60" t="s">
        <v>293</v>
      </c>
      <c r="C167" s="53">
        <v>10590</v>
      </c>
      <c r="D167" s="38" t="s">
        <v>372</v>
      </c>
      <c r="E167" s="38" t="s">
        <v>337</v>
      </c>
      <c r="F167" s="37" t="s">
        <v>286</v>
      </c>
      <c r="G167" s="4">
        <v>35000</v>
      </c>
      <c r="H167" s="4">
        <f>3000*9</f>
        <v>27000</v>
      </c>
      <c r="I167" s="4"/>
      <c r="J167" s="4">
        <v>0</v>
      </c>
      <c r="K167" s="4">
        <v>0</v>
      </c>
      <c r="L167" s="11">
        <f t="shared" si="17"/>
        <v>447000</v>
      </c>
      <c r="M167" s="69">
        <v>0</v>
      </c>
      <c r="N167" s="71">
        <v>0</v>
      </c>
      <c r="O167" s="71">
        <v>0</v>
      </c>
      <c r="P167" s="71">
        <v>0</v>
      </c>
      <c r="Q167" s="71">
        <f>VLOOKUP(C167,Incentives!C161:K500,9,FALSE)</f>
        <v>0</v>
      </c>
      <c r="R167" s="71">
        <v>0</v>
      </c>
      <c r="S167" s="13">
        <v>0</v>
      </c>
      <c r="T167" s="13">
        <v>0</v>
      </c>
      <c r="U167" s="13"/>
      <c r="V167" s="13"/>
      <c r="Y167" s="71">
        <v>0</v>
      </c>
      <c r="Z167" s="71">
        <v>24270</v>
      </c>
      <c r="AA167" s="71">
        <v>27441</v>
      </c>
      <c r="AB167" s="71">
        <v>25606</v>
      </c>
      <c r="AC167" s="71">
        <v>26000</v>
      </c>
      <c r="AD167" s="71">
        <v>26704</v>
      </c>
      <c r="AE167" s="13">
        <v>0</v>
      </c>
      <c r="AF167" s="13">
        <v>24785</v>
      </c>
      <c r="AI167" s="20"/>
      <c r="AJ167" s="13"/>
      <c r="AK167" s="11">
        <f t="shared" si="18"/>
        <v>601806</v>
      </c>
      <c r="AL167" s="11">
        <f t="shared" si="14"/>
        <v>50150.5</v>
      </c>
      <c r="AM167" s="11">
        <f t="shared" si="19"/>
        <v>18.059999999999999</v>
      </c>
      <c r="AN167" s="11">
        <f>VLOOKUP(C167,'Paid Tax'!B162:M523,12,FALSE)</f>
        <v>0</v>
      </c>
      <c r="AO167" s="11">
        <f t="shared" si="15"/>
        <v>18.059999999999999</v>
      </c>
      <c r="AP167" s="13">
        <v>12</v>
      </c>
      <c r="AQ167" s="16">
        <f t="shared" si="16"/>
        <v>1.5049999999999999</v>
      </c>
      <c r="AR167" s="97" t="s">
        <v>864</v>
      </c>
      <c r="AS167" s="11">
        <f t="shared" si="20"/>
        <v>-1.5049999999999999</v>
      </c>
      <c r="AT167" s="13"/>
    </row>
    <row r="168" spans="1:46" x14ac:dyDescent="0.25">
      <c r="A168" s="12">
        <v>161</v>
      </c>
      <c r="B168" s="60" t="s">
        <v>293</v>
      </c>
      <c r="C168" s="53">
        <v>10591</v>
      </c>
      <c r="D168" s="38" t="s">
        <v>140</v>
      </c>
      <c r="E168" s="38" t="s">
        <v>69</v>
      </c>
      <c r="F168" s="37" t="s">
        <v>284</v>
      </c>
      <c r="G168" s="4">
        <v>30500</v>
      </c>
      <c r="H168" s="4">
        <f>5500*10</f>
        <v>55000</v>
      </c>
      <c r="I168" s="4"/>
      <c r="J168" s="4">
        <v>0</v>
      </c>
      <c r="K168" s="4">
        <v>0</v>
      </c>
      <c r="L168" s="11">
        <f t="shared" si="17"/>
        <v>421000</v>
      </c>
      <c r="M168" s="69">
        <v>3320</v>
      </c>
      <c r="N168" s="71">
        <v>9280</v>
      </c>
      <c r="O168" s="71">
        <v>9360</v>
      </c>
      <c r="P168" s="71">
        <v>6300</v>
      </c>
      <c r="Q168" s="71">
        <f>VLOOKUP(C168,Incentives!C162:K501,9,FALSE)</f>
        <v>11875</v>
      </c>
      <c r="R168" s="71">
        <v>8880</v>
      </c>
      <c r="S168" s="13">
        <v>17280</v>
      </c>
      <c r="T168" s="13">
        <v>15750</v>
      </c>
      <c r="U168" s="13"/>
      <c r="V168" s="13"/>
      <c r="Y168" s="71">
        <v>0</v>
      </c>
      <c r="Z168" s="71">
        <v>0</v>
      </c>
      <c r="AA168" s="71">
        <v>0</v>
      </c>
      <c r="AB168" s="71">
        <v>0</v>
      </c>
      <c r="AC168" s="71">
        <v>0</v>
      </c>
      <c r="AD168" s="71">
        <v>0</v>
      </c>
      <c r="AE168" s="13">
        <v>0</v>
      </c>
      <c r="AF168" s="13">
        <v>0</v>
      </c>
      <c r="AI168" s="20"/>
      <c r="AJ168" s="13"/>
      <c r="AK168" s="11">
        <f t="shared" si="18"/>
        <v>503045</v>
      </c>
      <c r="AL168" s="11">
        <f t="shared" si="14"/>
        <v>41920.416666666664</v>
      </c>
      <c r="AM168" s="11">
        <f t="shared" si="19"/>
        <v>0</v>
      </c>
      <c r="AN168" s="11">
        <f>VLOOKUP(C168,'Paid Tax'!B163:M524,12,FALSE)</f>
        <v>0</v>
      </c>
      <c r="AO168" s="11">
        <f t="shared" si="15"/>
        <v>0</v>
      </c>
      <c r="AP168" s="13">
        <v>5</v>
      </c>
      <c r="AQ168" s="16">
        <f t="shared" si="16"/>
        <v>0</v>
      </c>
      <c r="AS168" s="11">
        <f t="shared" si="20"/>
        <v>0</v>
      </c>
      <c r="AT168" s="13"/>
    </row>
    <row r="169" spans="1:46" x14ac:dyDescent="0.25">
      <c r="A169" s="12">
        <v>162</v>
      </c>
      <c r="B169" s="60" t="s">
        <v>293</v>
      </c>
      <c r="C169" s="53">
        <v>10597</v>
      </c>
      <c r="D169" s="38" t="s">
        <v>373</v>
      </c>
      <c r="E169" s="38" t="s">
        <v>342</v>
      </c>
      <c r="F169" s="37" t="s">
        <v>287</v>
      </c>
      <c r="G169" s="4">
        <v>30000</v>
      </c>
      <c r="H169" s="4"/>
      <c r="I169" s="4"/>
      <c r="J169" s="4">
        <v>0</v>
      </c>
      <c r="K169" s="4">
        <v>0</v>
      </c>
      <c r="L169" s="11">
        <f t="shared" si="17"/>
        <v>360000</v>
      </c>
      <c r="M169" s="69">
        <v>0</v>
      </c>
      <c r="N169" s="71">
        <v>0</v>
      </c>
      <c r="O169" s="71">
        <v>0</v>
      </c>
      <c r="P169" s="71">
        <v>0</v>
      </c>
      <c r="Q169" s="71">
        <f>VLOOKUP(C169,Incentives!C163:K502,9,FALSE)</f>
        <v>0</v>
      </c>
      <c r="R169" s="71">
        <v>0</v>
      </c>
      <c r="S169" s="13">
        <v>0</v>
      </c>
      <c r="T169" s="13">
        <v>0</v>
      </c>
      <c r="U169" s="13"/>
      <c r="V169" s="13"/>
      <c r="Y169" s="71">
        <v>22500</v>
      </c>
      <c r="Z169" s="71">
        <v>28999</v>
      </c>
      <c r="AA169" s="71">
        <v>14700</v>
      </c>
      <c r="AB169" s="71">
        <v>30166</v>
      </c>
      <c r="AC169" s="71">
        <v>23775</v>
      </c>
      <c r="AD169" s="71">
        <v>23945</v>
      </c>
      <c r="AE169" s="13">
        <v>24325</v>
      </c>
      <c r="AF169" s="13">
        <v>17780</v>
      </c>
      <c r="AI169" s="20"/>
      <c r="AJ169" s="13"/>
      <c r="AK169" s="11">
        <f t="shared" si="18"/>
        <v>546190</v>
      </c>
      <c r="AL169" s="11">
        <f t="shared" si="14"/>
        <v>45515.833333333336</v>
      </c>
      <c r="AM169" s="11">
        <f t="shared" si="19"/>
        <v>0</v>
      </c>
      <c r="AN169" s="11">
        <f>VLOOKUP(C169,'Paid Tax'!B164:M525,12,FALSE)</f>
        <v>0</v>
      </c>
      <c r="AO169" s="11">
        <f t="shared" si="15"/>
        <v>0</v>
      </c>
      <c r="AP169" s="13">
        <v>5</v>
      </c>
      <c r="AQ169" s="16">
        <f t="shared" si="16"/>
        <v>0</v>
      </c>
      <c r="AS169" s="11">
        <f t="shared" si="20"/>
        <v>0</v>
      </c>
      <c r="AT169" s="13"/>
    </row>
    <row r="170" spans="1:46" x14ac:dyDescent="0.25">
      <c r="A170" s="12">
        <v>163</v>
      </c>
      <c r="B170" s="60" t="s">
        <v>293</v>
      </c>
      <c r="C170" s="53">
        <v>10598</v>
      </c>
      <c r="D170" s="38" t="s">
        <v>374</v>
      </c>
      <c r="E170" s="38" t="s">
        <v>337</v>
      </c>
      <c r="F170" s="37" t="s">
        <v>286</v>
      </c>
      <c r="G170" s="4">
        <v>35000</v>
      </c>
      <c r="H170" s="4"/>
      <c r="I170" s="4"/>
      <c r="J170" s="4">
        <v>0</v>
      </c>
      <c r="K170" s="4">
        <v>0</v>
      </c>
      <c r="L170" s="11">
        <f t="shared" si="17"/>
        <v>420000</v>
      </c>
      <c r="M170" s="69">
        <v>0</v>
      </c>
      <c r="N170" s="71">
        <v>0</v>
      </c>
      <c r="O170" s="71">
        <v>0</v>
      </c>
      <c r="P170" s="71">
        <v>0</v>
      </c>
      <c r="Q170" s="71">
        <f>VLOOKUP(C170,Incentives!C164:K503,9,FALSE)</f>
        <v>0</v>
      </c>
      <c r="R170" s="71">
        <v>0</v>
      </c>
      <c r="S170" s="13">
        <v>0</v>
      </c>
      <c r="T170" s="13">
        <v>0</v>
      </c>
      <c r="U170" s="13"/>
      <c r="V170" s="13"/>
      <c r="Y170" s="71">
        <v>27216</v>
      </c>
      <c r="Z170" s="71">
        <v>0</v>
      </c>
      <c r="AA170" s="71">
        <v>26375</v>
      </c>
      <c r="AB170" s="71">
        <v>27093</v>
      </c>
      <c r="AC170" s="71">
        <v>0</v>
      </c>
      <c r="AD170" s="71">
        <v>0</v>
      </c>
      <c r="AE170" s="13">
        <v>0</v>
      </c>
      <c r="AF170" s="13">
        <v>0</v>
      </c>
      <c r="AI170" s="20"/>
      <c r="AJ170" s="13"/>
      <c r="AK170" s="11">
        <f t="shared" si="18"/>
        <v>500684</v>
      </c>
      <c r="AL170" s="11">
        <f t="shared" si="14"/>
        <v>41723.666666666664</v>
      </c>
      <c r="AM170" s="11">
        <f t="shared" si="19"/>
        <v>0</v>
      </c>
      <c r="AN170" s="11">
        <f>VLOOKUP(C170,'Paid Tax'!B165:M526,12,FALSE)</f>
        <v>0</v>
      </c>
      <c r="AO170" s="11">
        <f t="shared" si="15"/>
        <v>0</v>
      </c>
      <c r="AP170" s="13">
        <v>5</v>
      </c>
      <c r="AQ170" s="16">
        <f t="shared" si="16"/>
        <v>0</v>
      </c>
      <c r="AS170" s="11">
        <f t="shared" si="20"/>
        <v>0</v>
      </c>
      <c r="AT170" s="13"/>
    </row>
    <row r="171" spans="1:46" x14ac:dyDescent="0.25">
      <c r="A171" s="12">
        <v>164</v>
      </c>
      <c r="B171" s="60" t="s">
        <v>293</v>
      </c>
      <c r="C171" s="53">
        <v>10599</v>
      </c>
      <c r="D171" s="38" t="s">
        <v>375</v>
      </c>
      <c r="E171" s="38" t="s">
        <v>23</v>
      </c>
      <c r="F171" s="37" t="s">
        <v>279</v>
      </c>
      <c r="G171" s="4">
        <v>32000</v>
      </c>
      <c r="H171" s="4"/>
      <c r="I171" s="4"/>
      <c r="J171" s="4">
        <v>0</v>
      </c>
      <c r="K171" s="4">
        <v>0</v>
      </c>
      <c r="L171" s="11">
        <f t="shared" si="17"/>
        <v>384000</v>
      </c>
      <c r="M171" s="69">
        <v>0</v>
      </c>
      <c r="N171" s="71">
        <v>0</v>
      </c>
      <c r="O171" s="71">
        <v>0</v>
      </c>
      <c r="P171" s="71">
        <v>0</v>
      </c>
      <c r="Q171" s="71">
        <f>VLOOKUP(C171,Incentives!C165:K504,9,FALSE)</f>
        <v>0</v>
      </c>
      <c r="R171" s="71">
        <v>0</v>
      </c>
      <c r="S171" s="13">
        <v>0</v>
      </c>
      <c r="T171" s="13">
        <v>0</v>
      </c>
      <c r="U171" s="13"/>
      <c r="V171" s="13"/>
      <c r="Y171" s="71">
        <v>0</v>
      </c>
      <c r="Z171" s="71">
        <v>0</v>
      </c>
      <c r="AA171" s="71">
        <v>0</v>
      </c>
      <c r="AB171" s="71">
        <v>0</v>
      </c>
      <c r="AC171" s="71">
        <v>0</v>
      </c>
      <c r="AD171" s="71">
        <v>0</v>
      </c>
      <c r="AE171" s="13">
        <v>0</v>
      </c>
      <c r="AF171" s="13">
        <v>0</v>
      </c>
      <c r="AI171" s="20"/>
      <c r="AJ171" s="13"/>
      <c r="AK171" s="11">
        <f t="shared" si="18"/>
        <v>384000</v>
      </c>
      <c r="AL171" s="11">
        <f t="shared" si="14"/>
        <v>32000</v>
      </c>
      <c r="AM171" s="11">
        <f t="shared" si="19"/>
        <v>0</v>
      </c>
      <c r="AN171" s="11">
        <f>VLOOKUP(C171,'Paid Tax'!B166:M527,12,FALSE)</f>
        <v>0</v>
      </c>
      <c r="AO171" s="11">
        <f t="shared" si="15"/>
        <v>0</v>
      </c>
      <c r="AP171" s="13">
        <v>5</v>
      </c>
      <c r="AQ171" s="16">
        <f t="shared" si="16"/>
        <v>0</v>
      </c>
      <c r="AS171" s="11">
        <f t="shared" si="20"/>
        <v>0</v>
      </c>
      <c r="AT171" s="13"/>
    </row>
    <row r="172" spans="1:46" s="18" customFormat="1" x14ac:dyDescent="0.25">
      <c r="A172" s="12">
        <v>165</v>
      </c>
      <c r="B172" s="60" t="s">
        <v>293</v>
      </c>
      <c r="C172" s="53">
        <v>10602</v>
      </c>
      <c r="D172" s="38" t="s">
        <v>415</v>
      </c>
      <c r="E172" s="38" t="s">
        <v>337</v>
      </c>
      <c r="F172" s="37" t="s">
        <v>281</v>
      </c>
      <c r="G172" s="4">
        <v>40000</v>
      </c>
      <c r="H172" s="4">
        <f>5000*9</f>
        <v>45000</v>
      </c>
      <c r="I172" s="4"/>
      <c r="J172" s="4">
        <v>0</v>
      </c>
      <c r="K172" s="4">
        <v>0</v>
      </c>
      <c r="L172" s="11">
        <f t="shared" si="17"/>
        <v>525000</v>
      </c>
      <c r="M172" s="69">
        <v>0</v>
      </c>
      <c r="N172" s="71">
        <v>0</v>
      </c>
      <c r="O172" s="71">
        <v>0</v>
      </c>
      <c r="P172" s="71">
        <v>0</v>
      </c>
      <c r="Q172" s="71">
        <f>VLOOKUP(C172,Incentives!C166:K505,9,FALSE)</f>
        <v>0</v>
      </c>
      <c r="R172" s="71">
        <v>0</v>
      </c>
      <c r="S172" s="13">
        <v>0</v>
      </c>
      <c r="T172" s="13">
        <v>0</v>
      </c>
      <c r="U172" s="13"/>
      <c r="V172" s="13"/>
      <c r="W172" s="13"/>
      <c r="Y172" s="71">
        <v>52028</v>
      </c>
      <c r="Z172" s="71">
        <f>63958+21985</f>
        <v>85943</v>
      </c>
      <c r="AA172" s="71">
        <v>57258</v>
      </c>
      <c r="AB172" s="71">
        <v>35416</v>
      </c>
      <c r="AC172" s="71">
        <v>29749</v>
      </c>
      <c r="AD172" s="71">
        <v>27326</v>
      </c>
      <c r="AE172" s="13">
        <v>24904</v>
      </c>
      <c r="AF172" s="13">
        <v>24845</v>
      </c>
      <c r="AG172" s="13"/>
      <c r="AH172" s="13"/>
      <c r="AI172" s="20"/>
      <c r="AJ172" s="13"/>
      <c r="AK172" s="11">
        <f t="shared" si="18"/>
        <v>862469</v>
      </c>
      <c r="AL172" s="11">
        <f t="shared" si="14"/>
        <v>71872.416666666672</v>
      </c>
      <c r="AM172" s="11">
        <f t="shared" si="19"/>
        <v>2624.69</v>
      </c>
      <c r="AN172" s="11">
        <f>VLOOKUP(C172,'Paid Tax'!B167:M528,12,FALSE)</f>
        <v>874.82097619047636</v>
      </c>
      <c r="AO172" s="11">
        <f t="shared" si="15"/>
        <v>1749.8690238095237</v>
      </c>
      <c r="AP172" s="13">
        <v>6</v>
      </c>
      <c r="AQ172" s="16">
        <f t="shared" si="16"/>
        <v>291.6448373015873</v>
      </c>
      <c r="AR172" s="40" t="s">
        <v>1322</v>
      </c>
      <c r="AS172" s="11">
        <f t="shared" si="20"/>
        <v>-291.6448373015873</v>
      </c>
      <c r="AT172" s="13"/>
    </row>
    <row r="173" spans="1:46" s="18" customFormat="1" x14ac:dyDescent="0.25">
      <c r="A173" s="12">
        <v>166</v>
      </c>
      <c r="B173" s="60" t="s">
        <v>293</v>
      </c>
      <c r="C173" s="53">
        <v>10603</v>
      </c>
      <c r="D173" s="38" t="s">
        <v>354</v>
      </c>
      <c r="E173" s="38" t="s">
        <v>381</v>
      </c>
      <c r="F173" s="37" t="s">
        <v>290</v>
      </c>
      <c r="G173" s="4">
        <v>55000</v>
      </c>
      <c r="H173" s="4"/>
      <c r="I173" s="4"/>
      <c r="J173" s="4">
        <v>0</v>
      </c>
      <c r="K173" s="4">
        <v>0</v>
      </c>
      <c r="L173" s="11">
        <f t="shared" si="17"/>
        <v>660000</v>
      </c>
      <c r="M173" s="69">
        <v>0</v>
      </c>
      <c r="N173" s="71">
        <v>0</v>
      </c>
      <c r="O173" s="71">
        <v>0</v>
      </c>
      <c r="P173" s="71">
        <v>0</v>
      </c>
      <c r="Q173" s="71">
        <f>VLOOKUP(C173,Incentives!C167:K506,9,FALSE)</f>
        <v>0</v>
      </c>
      <c r="R173" s="71">
        <v>0</v>
      </c>
      <c r="S173" s="13">
        <v>0</v>
      </c>
      <c r="T173" s="13">
        <v>0</v>
      </c>
      <c r="U173" s="13"/>
      <c r="V173" s="13"/>
      <c r="W173" s="13"/>
      <c r="Y173" s="71">
        <v>0</v>
      </c>
      <c r="Z173" s="71">
        <v>0</v>
      </c>
      <c r="AA173" s="71">
        <v>0</v>
      </c>
      <c r="AB173" s="71">
        <v>0</v>
      </c>
      <c r="AC173" s="71">
        <v>0</v>
      </c>
      <c r="AD173" s="71">
        <v>0</v>
      </c>
      <c r="AE173" s="13">
        <v>0</v>
      </c>
      <c r="AF173" s="13">
        <v>0</v>
      </c>
      <c r="AG173" s="13"/>
      <c r="AH173" s="13"/>
      <c r="AI173" s="20"/>
      <c r="AJ173"/>
      <c r="AK173" s="11">
        <f t="shared" si="18"/>
        <v>660000</v>
      </c>
      <c r="AL173" s="11">
        <f t="shared" si="14"/>
        <v>55000</v>
      </c>
      <c r="AM173" s="11">
        <f t="shared" si="19"/>
        <v>600</v>
      </c>
      <c r="AN173" s="11">
        <f>VLOOKUP(C173,'Paid Tax'!B168:M529,12,FALSE)</f>
        <v>350</v>
      </c>
      <c r="AO173" s="11">
        <f t="shared" si="15"/>
        <v>250</v>
      </c>
      <c r="AP173" s="13">
        <v>5</v>
      </c>
      <c r="AQ173" s="16">
        <f t="shared" si="16"/>
        <v>50</v>
      </c>
      <c r="AR173" s="13"/>
      <c r="AS173" s="11">
        <f t="shared" si="20"/>
        <v>-50</v>
      </c>
      <c r="AT173" s="13"/>
    </row>
    <row r="174" spans="1:46" x14ac:dyDescent="0.25">
      <c r="A174" s="12">
        <v>167</v>
      </c>
      <c r="B174" s="60" t="s">
        <v>293</v>
      </c>
      <c r="C174" s="53">
        <v>10604</v>
      </c>
      <c r="D174" s="38" t="s">
        <v>380</v>
      </c>
      <c r="E174" s="38" t="s">
        <v>23</v>
      </c>
      <c r="F174" s="37" t="s">
        <v>279</v>
      </c>
      <c r="G174" s="4">
        <v>28000</v>
      </c>
      <c r="H174" s="4">
        <f>5000*9</f>
        <v>45000</v>
      </c>
      <c r="I174" s="4">
        <v>5000</v>
      </c>
      <c r="J174" s="4">
        <v>0</v>
      </c>
      <c r="K174" s="4">
        <v>0</v>
      </c>
      <c r="L174" s="11">
        <f t="shared" si="17"/>
        <v>386000</v>
      </c>
      <c r="M174" s="69">
        <v>0</v>
      </c>
      <c r="N174" s="71">
        <v>0</v>
      </c>
      <c r="O174" s="71">
        <v>0</v>
      </c>
      <c r="P174" s="71">
        <v>0</v>
      </c>
      <c r="Q174" s="71">
        <f>VLOOKUP(C174,Incentives!C168:K507,9,FALSE)</f>
        <v>0</v>
      </c>
      <c r="R174" s="71">
        <v>0</v>
      </c>
      <c r="S174" s="13">
        <v>0</v>
      </c>
      <c r="T174" s="13">
        <v>0</v>
      </c>
      <c r="U174" s="13"/>
      <c r="V174" s="13"/>
      <c r="Y174" s="71">
        <v>0</v>
      </c>
      <c r="Z174" s="71">
        <v>0</v>
      </c>
      <c r="AA174" s="71">
        <v>0</v>
      </c>
      <c r="AB174" s="71">
        <v>0</v>
      </c>
      <c r="AC174" s="71">
        <v>0</v>
      </c>
      <c r="AD174" s="71">
        <v>0</v>
      </c>
      <c r="AE174" s="13">
        <v>0</v>
      </c>
      <c r="AF174" s="13">
        <v>0</v>
      </c>
      <c r="AI174" s="20"/>
      <c r="AJ174" s="13"/>
      <c r="AK174" s="11">
        <f t="shared" si="18"/>
        <v>386000</v>
      </c>
      <c r="AL174" s="11">
        <f t="shared" si="14"/>
        <v>32166.666666666668</v>
      </c>
      <c r="AM174" s="11">
        <f t="shared" si="19"/>
        <v>0</v>
      </c>
      <c r="AN174" s="11">
        <f>VLOOKUP(C174,'Paid Tax'!B169:M530,12,FALSE)</f>
        <v>0</v>
      </c>
      <c r="AO174" s="11">
        <f t="shared" si="15"/>
        <v>0</v>
      </c>
      <c r="AP174" s="13">
        <v>5</v>
      </c>
      <c r="AQ174" s="16">
        <f t="shared" si="16"/>
        <v>0</v>
      </c>
      <c r="AS174" s="11">
        <f t="shared" si="20"/>
        <v>0</v>
      </c>
      <c r="AT174" s="13"/>
    </row>
    <row r="175" spans="1:46" x14ac:dyDescent="0.25">
      <c r="A175" s="12">
        <v>168</v>
      </c>
      <c r="B175" s="62" t="s">
        <v>293</v>
      </c>
      <c r="C175" s="55">
        <v>10605</v>
      </c>
      <c r="D175" s="65" t="s">
        <v>382</v>
      </c>
      <c r="E175" s="65" t="s">
        <v>342</v>
      </c>
      <c r="F175" s="58" t="s">
        <v>287</v>
      </c>
      <c r="G175" s="4">
        <v>30000</v>
      </c>
      <c r="H175" s="4"/>
      <c r="I175" s="4"/>
      <c r="J175" s="4">
        <v>0</v>
      </c>
      <c r="K175" s="4">
        <v>0</v>
      </c>
      <c r="L175" s="11">
        <f t="shared" si="17"/>
        <v>360000</v>
      </c>
      <c r="M175" s="69">
        <v>0</v>
      </c>
      <c r="N175" s="71">
        <v>0</v>
      </c>
      <c r="O175" s="71">
        <v>0</v>
      </c>
      <c r="P175" s="71">
        <v>0</v>
      </c>
      <c r="Q175" s="71">
        <f>VLOOKUP(C175,Incentives!C169:K508,9,FALSE)</f>
        <v>0</v>
      </c>
      <c r="R175" s="71">
        <v>0</v>
      </c>
      <c r="S175" s="13">
        <v>0</v>
      </c>
      <c r="T175" s="13">
        <v>0</v>
      </c>
      <c r="U175" s="13"/>
      <c r="V175" s="13"/>
      <c r="Y175" s="71">
        <v>11783</v>
      </c>
      <c r="Z175" s="71">
        <v>23666</v>
      </c>
      <c r="AA175" s="71">
        <v>26499</v>
      </c>
      <c r="AB175" s="71">
        <v>32832</v>
      </c>
      <c r="AC175" s="71">
        <v>29040</v>
      </c>
      <c r="AD175" s="71">
        <v>41700</v>
      </c>
      <c r="AE175" s="13">
        <v>30200</v>
      </c>
      <c r="AF175" s="13">
        <v>36900</v>
      </c>
      <c r="AI175" s="20"/>
      <c r="AJ175" s="13"/>
      <c r="AK175" s="11">
        <f t="shared" si="18"/>
        <v>592620</v>
      </c>
      <c r="AL175" s="11">
        <f t="shared" si="14"/>
        <v>49385</v>
      </c>
      <c r="AM175" s="11">
        <f t="shared" si="19"/>
        <v>0</v>
      </c>
      <c r="AN175" s="11">
        <f>VLOOKUP(C175,'Paid Tax'!B170:M531,12,FALSE)</f>
        <v>0</v>
      </c>
      <c r="AO175" s="11">
        <f t="shared" si="15"/>
        <v>0</v>
      </c>
      <c r="AP175" s="13">
        <v>5</v>
      </c>
      <c r="AQ175" s="16">
        <f t="shared" si="16"/>
        <v>0</v>
      </c>
      <c r="AS175" s="11">
        <f t="shared" si="20"/>
        <v>0</v>
      </c>
      <c r="AT175" s="13"/>
    </row>
    <row r="176" spans="1:46" x14ac:dyDescent="0.25">
      <c r="A176" s="12">
        <v>169</v>
      </c>
      <c r="B176" s="60" t="s">
        <v>293</v>
      </c>
      <c r="C176" s="53">
        <v>10606</v>
      </c>
      <c r="D176" s="38" t="s">
        <v>383</v>
      </c>
      <c r="E176" s="38" t="s">
        <v>337</v>
      </c>
      <c r="F176" s="37" t="s">
        <v>286</v>
      </c>
      <c r="G176" s="4">
        <v>35000</v>
      </c>
      <c r="H176" s="4">
        <f>3000*11</f>
        <v>33000</v>
      </c>
      <c r="I176" s="4"/>
      <c r="J176" s="4">
        <v>0</v>
      </c>
      <c r="K176" s="4">
        <v>0</v>
      </c>
      <c r="L176" s="11">
        <f t="shared" si="17"/>
        <v>453000</v>
      </c>
      <c r="M176" s="69">
        <v>0</v>
      </c>
      <c r="N176" s="71">
        <v>0</v>
      </c>
      <c r="O176" s="71">
        <v>0</v>
      </c>
      <c r="P176" s="71">
        <v>0</v>
      </c>
      <c r="Q176" s="71">
        <f>VLOOKUP(C176,Incentives!C170:K509,9,FALSE)</f>
        <v>0</v>
      </c>
      <c r="R176" s="71">
        <v>0</v>
      </c>
      <c r="S176" s="13">
        <v>0</v>
      </c>
      <c r="T176" s="13">
        <v>0</v>
      </c>
      <c r="U176" s="13"/>
      <c r="V176" s="13"/>
      <c r="Y176" s="71">
        <v>96625</v>
      </c>
      <c r="Z176" s="71">
        <v>132378</v>
      </c>
      <c r="AA176" s="71">
        <v>59314</v>
      </c>
      <c r="AB176" s="71">
        <v>26548</v>
      </c>
      <c r="AC176" s="71">
        <v>95866</v>
      </c>
      <c r="AD176" s="71">
        <v>57977</v>
      </c>
      <c r="AE176" s="13">
        <v>90276</v>
      </c>
      <c r="AF176" s="13">
        <v>58291</v>
      </c>
      <c r="AI176" s="20"/>
      <c r="AJ176" s="13"/>
      <c r="AK176" s="11">
        <f t="shared" si="18"/>
        <v>1070275</v>
      </c>
      <c r="AL176" s="11">
        <f t="shared" si="14"/>
        <v>89189.583333333328</v>
      </c>
      <c r="AM176" s="11">
        <f t="shared" si="19"/>
        <v>4702.75</v>
      </c>
      <c r="AN176" s="11">
        <f>VLOOKUP(C176,'Paid Tax'!B171:M532,12,FALSE)</f>
        <v>1364.5215476190481</v>
      </c>
      <c r="AO176" s="11">
        <f t="shared" si="15"/>
        <v>3338.2284523809521</v>
      </c>
      <c r="AP176" s="13">
        <v>6</v>
      </c>
      <c r="AQ176" s="16">
        <f t="shared" si="16"/>
        <v>556.37140873015869</v>
      </c>
      <c r="AR176" s="40" t="s">
        <v>1322</v>
      </c>
      <c r="AS176" s="11">
        <f t="shared" si="20"/>
        <v>-556.37140873015869</v>
      </c>
      <c r="AT176" s="13"/>
    </row>
    <row r="177" spans="1:46" x14ac:dyDescent="0.25">
      <c r="A177" s="12">
        <v>170</v>
      </c>
      <c r="B177" s="60" t="s">
        <v>293</v>
      </c>
      <c r="C177" s="53">
        <v>10607</v>
      </c>
      <c r="D177" s="38" t="s">
        <v>384</v>
      </c>
      <c r="E177" s="38" t="s">
        <v>347</v>
      </c>
      <c r="F177" s="37" t="s">
        <v>278</v>
      </c>
      <c r="G177" s="4">
        <v>35000</v>
      </c>
      <c r="H177" s="4">
        <f>3000*9</f>
        <v>27000</v>
      </c>
      <c r="I177" s="4"/>
      <c r="J177" s="4">
        <v>0</v>
      </c>
      <c r="K177" s="4">
        <v>0</v>
      </c>
      <c r="L177" s="11">
        <f t="shared" si="17"/>
        <v>447000</v>
      </c>
      <c r="M177" s="69">
        <v>0</v>
      </c>
      <c r="N177" s="71">
        <v>0</v>
      </c>
      <c r="O177" s="71">
        <v>0</v>
      </c>
      <c r="P177" s="71">
        <v>0</v>
      </c>
      <c r="Q177" s="71">
        <f>VLOOKUP(C177,Incentives!C171:K510,9,FALSE)</f>
        <v>0</v>
      </c>
      <c r="R177" s="71">
        <v>0</v>
      </c>
      <c r="S177" s="13">
        <v>0</v>
      </c>
      <c r="T177" s="13">
        <v>0</v>
      </c>
      <c r="U177" s="13"/>
      <c r="V177" s="13"/>
      <c r="Y177" s="71">
        <v>0</v>
      </c>
      <c r="Z177" s="71">
        <v>0</v>
      </c>
      <c r="AA177" s="71">
        <v>0</v>
      </c>
      <c r="AB177" s="71">
        <v>0</v>
      </c>
      <c r="AC177" s="71">
        <v>0</v>
      </c>
      <c r="AD177" s="71">
        <v>0</v>
      </c>
      <c r="AE177" s="13">
        <v>0</v>
      </c>
      <c r="AF177" s="13">
        <v>0</v>
      </c>
      <c r="AI177" s="20"/>
      <c r="AJ177" s="13"/>
      <c r="AK177" s="11">
        <f t="shared" si="18"/>
        <v>447000</v>
      </c>
      <c r="AL177" s="11">
        <f t="shared" si="14"/>
        <v>37250</v>
      </c>
      <c r="AM177" s="11">
        <f t="shared" si="19"/>
        <v>0</v>
      </c>
      <c r="AN177" s="11">
        <f>VLOOKUP(C177,'Paid Tax'!B172:M533,12,FALSE)</f>
        <v>0</v>
      </c>
      <c r="AO177" s="11">
        <f t="shared" si="15"/>
        <v>0</v>
      </c>
      <c r="AP177" s="13">
        <v>5</v>
      </c>
      <c r="AQ177" s="16">
        <f t="shared" si="16"/>
        <v>0</v>
      </c>
      <c r="AS177" s="11">
        <f t="shared" si="20"/>
        <v>0</v>
      </c>
      <c r="AT177" s="13"/>
    </row>
    <row r="178" spans="1:46" x14ac:dyDescent="0.25">
      <c r="A178" s="12">
        <v>171</v>
      </c>
      <c r="B178" s="60" t="s">
        <v>293</v>
      </c>
      <c r="C178" s="53">
        <v>10608</v>
      </c>
      <c r="D178" s="38" t="s">
        <v>385</v>
      </c>
      <c r="E178" s="38" t="s">
        <v>392</v>
      </c>
      <c r="F178" s="37" t="s">
        <v>282</v>
      </c>
      <c r="G178" s="4">
        <v>40000</v>
      </c>
      <c r="H178" s="4"/>
      <c r="I178" s="4"/>
      <c r="J178" s="4">
        <v>0</v>
      </c>
      <c r="K178" s="4">
        <v>0</v>
      </c>
      <c r="L178" s="11">
        <f t="shared" si="17"/>
        <v>480000</v>
      </c>
      <c r="M178" s="69">
        <v>0</v>
      </c>
      <c r="N178" s="71">
        <v>0</v>
      </c>
      <c r="O178" s="71">
        <v>0</v>
      </c>
      <c r="P178" s="71">
        <v>0</v>
      </c>
      <c r="Q178" s="71">
        <f>VLOOKUP(C178,Incentives!C172:K511,9,FALSE)</f>
        <v>0</v>
      </c>
      <c r="R178" s="71">
        <v>0</v>
      </c>
      <c r="S178" s="13">
        <v>0</v>
      </c>
      <c r="T178" s="13">
        <v>0</v>
      </c>
      <c r="U178" s="13"/>
      <c r="V178" s="13"/>
      <c r="Y178" s="71">
        <v>0</v>
      </c>
      <c r="Z178" s="71">
        <v>0</v>
      </c>
      <c r="AA178" s="71">
        <v>0</v>
      </c>
      <c r="AB178" s="71">
        <v>0</v>
      </c>
      <c r="AC178" s="71">
        <v>0</v>
      </c>
      <c r="AD178" s="71">
        <v>0</v>
      </c>
      <c r="AE178" s="13">
        <v>0</v>
      </c>
      <c r="AF178" s="13">
        <v>0</v>
      </c>
      <c r="AI178" s="20"/>
      <c r="AJ178" s="13"/>
      <c r="AK178" s="11">
        <f t="shared" si="18"/>
        <v>480000</v>
      </c>
      <c r="AL178" s="11">
        <f t="shared" si="14"/>
        <v>40000</v>
      </c>
      <c r="AM178" s="11">
        <f t="shared" si="19"/>
        <v>0</v>
      </c>
      <c r="AN178" s="11">
        <f>VLOOKUP(C178,'Paid Tax'!B173:M534,12,FALSE)</f>
        <v>0</v>
      </c>
      <c r="AO178" s="11">
        <f t="shared" si="15"/>
        <v>0</v>
      </c>
      <c r="AP178" s="13">
        <v>5</v>
      </c>
      <c r="AQ178" s="16">
        <f t="shared" si="16"/>
        <v>0</v>
      </c>
      <c r="AS178" s="11">
        <f t="shared" si="20"/>
        <v>0</v>
      </c>
      <c r="AT178" s="13"/>
    </row>
    <row r="179" spans="1:46" x14ac:dyDescent="0.25">
      <c r="A179" s="12">
        <v>172</v>
      </c>
      <c r="B179" s="60" t="s">
        <v>293</v>
      </c>
      <c r="C179" s="53">
        <v>10609</v>
      </c>
      <c r="D179" s="38" t="s">
        <v>386</v>
      </c>
      <c r="E179" s="38" t="s">
        <v>393</v>
      </c>
      <c r="F179" s="37" t="s">
        <v>287</v>
      </c>
      <c r="G179" s="67">
        <v>50000</v>
      </c>
      <c r="H179" s="67">
        <f>10000*9</f>
        <v>90000</v>
      </c>
      <c r="I179" s="67"/>
      <c r="J179" s="4">
        <v>0</v>
      </c>
      <c r="K179" s="4">
        <v>0</v>
      </c>
      <c r="L179" s="11">
        <f t="shared" si="17"/>
        <v>690000</v>
      </c>
      <c r="M179" s="69">
        <v>0</v>
      </c>
      <c r="N179" s="71">
        <v>0</v>
      </c>
      <c r="O179" s="71">
        <v>0</v>
      </c>
      <c r="P179" s="71">
        <v>0</v>
      </c>
      <c r="Q179" s="71">
        <f>VLOOKUP(C179,Incentives!C173:K512,9,FALSE)</f>
        <v>0</v>
      </c>
      <c r="R179" s="71">
        <v>0</v>
      </c>
      <c r="S179" s="13">
        <v>0</v>
      </c>
      <c r="T179" s="13">
        <v>0</v>
      </c>
      <c r="U179" s="13"/>
      <c r="V179" s="13"/>
      <c r="Y179" s="71">
        <v>0</v>
      </c>
      <c r="Z179" s="71">
        <v>0</v>
      </c>
      <c r="AA179" s="71">
        <v>0</v>
      </c>
      <c r="AB179" s="71">
        <v>0</v>
      </c>
      <c r="AC179" s="71">
        <v>0</v>
      </c>
      <c r="AD179" s="71">
        <v>0</v>
      </c>
      <c r="AE179" s="13">
        <v>0</v>
      </c>
      <c r="AF179" s="13">
        <v>0</v>
      </c>
      <c r="AI179" s="20"/>
      <c r="AJ179" s="13"/>
      <c r="AK179" s="11">
        <f t="shared" si="18"/>
        <v>690000</v>
      </c>
      <c r="AL179" s="11">
        <f t="shared" si="14"/>
        <v>57500</v>
      </c>
      <c r="AM179" s="11">
        <f t="shared" si="19"/>
        <v>900</v>
      </c>
      <c r="AN179" s="11">
        <f>VLOOKUP(C179,'Paid Tax'!B174:M535,12,FALSE)</f>
        <v>300</v>
      </c>
      <c r="AO179" s="11">
        <f t="shared" si="15"/>
        <v>600</v>
      </c>
      <c r="AP179" s="13">
        <v>8</v>
      </c>
      <c r="AQ179" s="16">
        <f t="shared" si="16"/>
        <v>75</v>
      </c>
      <c r="AR179" s="91" t="s">
        <v>1101</v>
      </c>
      <c r="AS179" s="11">
        <f t="shared" si="20"/>
        <v>-75</v>
      </c>
      <c r="AT179" s="13"/>
    </row>
    <row r="180" spans="1:46" x14ac:dyDescent="0.25">
      <c r="A180" s="12">
        <v>173</v>
      </c>
      <c r="B180" s="60" t="s">
        <v>293</v>
      </c>
      <c r="C180" s="53">
        <v>10610</v>
      </c>
      <c r="D180" s="38" t="s">
        <v>161</v>
      </c>
      <c r="E180" s="38" t="s">
        <v>370</v>
      </c>
      <c r="F180" s="37" t="s">
        <v>276</v>
      </c>
      <c r="G180" s="4">
        <v>40000</v>
      </c>
      <c r="H180" s="4">
        <f>10000*10</f>
        <v>100000</v>
      </c>
      <c r="I180" s="4"/>
      <c r="J180" s="4">
        <v>0</v>
      </c>
      <c r="K180" s="4">
        <v>0</v>
      </c>
      <c r="L180" s="11">
        <f t="shared" si="17"/>
        <v>580000</v>
      </c>
      <c r="M180" s="69">
        <v>0</v>
      </c>
      <c r="N180" s="71">
        <v>0</v>
      </c>
      <c r="O180" s="71">
        <v>0</v>
      </c>
      <c r="P180" s="71">
        <v>0</v>
      </c>
      <c r="Q180" s="71">
        <f>VLOOKUP(C180,Incentives!C174:K513,9,FALSE)</f>
        <v>0</v>
      </c>
      <c r="R180" s="71">
        <v>0</v>
      </c>
      <c r="S180" s="13">
        <v>0</v>
      </c>
      <c r="T180" s="13">
        <v>0</v>
      </c>
      <c r="U180" s="13"/>
      <c r="V180" s="13"/>
      <c r="Y180" s="71">
        <v>0</v>
      </c>
      <c r="Z180" s="71">
        <v>0</v>
      </c>
      <c r="AA180" s="71">
        <v>0</v>
      </c>
      <c r="AB180" s="71">
        <v>0</v>
      </c>
      <c r="AC180" s="71">
        <v>0</v>
      </c>
      <c r="AD180" s="71">
        <v>0</v>
      </c>
      <c r="AE180" s="13">
        <v>0</v>
      </c>
      <c r="AF180" s="13">
        <v>0</v>
      </c>
      <c r="AI180" s="20"/>
      <c r="AJ180" s="13"/>
      <c r="AK180" s="11">
        <f t="shared" si="18"/>
        <v>580000</v>
      </c>
      <c r="AL180" s="11">
        <f t="shared" si="14"/>
        <v>48333.333333333336</v>
      </c>
      <c r="AM180" s="11">
        <f t="shared" si="19"/>
        <v>0</v>
      </c>
      <c r="AN180" s="11">
        <f>VLOOKUP(C180,'Paid Tax'!B175:M536,12,FALSE)</f>
        <v>0</v>
      </c>
      <c r="AO180" s="11">
        <f t="shared" si="15"/>
        <v>0</v>
      </c>
      <c r="AP180" s="13">
        <v>5</v>
      </c>
      <c r="AQ180" s="16">
        <f t="shared" si="16"/>
        <v>0</v>
      </c>
      <c r="AS180" s="11">
        <f t="shared" si="20"/>
        <v>0</v>
      </c>
      <c r="AT180" s="13"/>
    </row>
    <row r="181" spans="1:46" x14ac:dyDescent="0.25">
      <c r="A181" s="12">
        <v>174</v>
      </c>
      <c r="B181" s="60" t="s">
        <v>293</v>
      </c>
      <c r="C181" s="53">
        <v>10612</v>
      </c>
      <c r="D181" s="38" t="s">
        <v>388</v>
      </c>
      <c r="E181" s="38" t="s">
        <v>53</v>
      </c>
      <c r="F181" s="37" t="s">
        <v>275</v>
      </c>
      <c r="G181" s="67">
        <v>35000</v>
      </c>
      <c r="H181" s="67"/>
      <c r="I181" s="67"/>
      <c r="J181" s="4">
        <v>0</v>
      </c>
      <c r="K181" s="4">
        <v>0</v>
      </c>
      <c r="L181" s="11">
        <f t="shared" si="17"/>
        <v>420000</v>
      </c>
      <c r="M181" s="69">
        <v>0</v>
      </c>
      <c r="N181" s="71">
        <v>0</v>
      </c>
      <c r="O181" s="71">
        <v>0</v>
      </c>
      <c r="P181" s="71">
        <v>0</v>
      </c>
      <c r="Q181" s="71">
        <f>VLOOKUP(C181,Incentives!C175:K514,9,FALSE)</f>
        <v>0</v>
      </c>
      <c r="R181" s="71">
        <v>0</v>
      </c>
      <c r="S181" s="13">
        <v>0</v>
      </c>
      <c r="T181" s="13">
        <v>0</v>
      </c>
      <c r="U181" s="13"/>
      <c r="V181" s="13"/>
      <c r="Y181" s="71">
        <v>0</v>
      </c>
      <c r="Z181" s="71">
        <v>0</v>
      </c>
      <c r="AA181" s="71">
        <v>0</v>
      </c>
      <c r="AB181" s="71">
        <v>0</v>
      </c>
      <c r="AC181" s="71">
        <v>0</v>
      </c>
      <c r="AD181" s="71">
        <v>0</v>
      </c>
      <c r="AE181" s="13">
        <v>0</v>
      </c>
      <c r="AF181" s="13">
        <v>0</v>
      </c>
      <c r="AI181" s="20"/>
      <c r="AJ181" s="13"/>
      <c r="AK181" s="11">
        <f t="shared" si="18"/>
        <v>420000</v>
      </c>
      <c r="AL181" s="11">
        <f t="shared" si="14"/>
        <v>35000</v>
      </c>
      <c r="AM181" s="11">
        <f t="shared" si="19"/>
        <v>0</v>
      </c>
      <c r="AN181" s="11">
        <f>VLOOKUP(C181,'Paid Tax'!B176:M537,12,FALSE)</f>
        <v>0</v>
      </c>
      <c r="AO181" s="11">
        <f t="shared" si="15"/>
        <v>0</v>
      </c>
      <c r="AP181" s="13">
        <v>5</v>
      </c>
      <c r="AQ181" s="16">
        <f t="shared" si="16"/>
        <v>0</v>
      </c>
      <c r="AS181" s="11">
        <f t="shared" si="20"/>
        <v>0</v>
      </c>
      <c r="AT181" s="13"/>
    </row>
    <row r="182" spans="1:46" x14ac:dyDescent="0.25">
      <c r="A182" s="12">
        <v>175</v>
      </c>
      <c r="B182" s="60" t="s">
        <v>293</v>
      </c>
      <c r="C182" s="53">
        <v>10617</v>
      </c>
      <c r="D182" s="38" t="s">
        <v>390</v>
      </c>
      <c r="E182" s="38" t="s">
        <v>348</v>
      </c>
      <c r="F182" s="37" t="s">
        <v>391</v>
      </c>
      <c r="G182" s="67">
        <v>30000</v>
      </c>
      <c r="H182" s="67">
        <f>8000*9</f>
        <v>72000</v>
      </c>
      <c r="I182" s="67">
        <v>8000</v>
      </c>
      <c r="J182" s="4">
        <v>0</v>
      </c>
      <c r="K182" s="4">
        <v>0</v>
      </c>
      <c r="L182" s="11">
        <f t="shared" si="17"/>
        <v>440000</v>
      </c>
      <c r="M182" s="69">
        <v>0</v>
      </c>
      <c r="N182" s="71">
        <v>0</v>
      </c>
      <c r="O182" s="71">
        <v>0</v>
      </c>
      <c r="P182" s="71">
        <v>0</v>
      </c>
      <c r="Q182" s="71">
        <f>VLOOKUP(C182,Incentives!C176:K515,9,FALSE)</f>
        <v>0</v>
      </c>
      <c r="R182" s="71">
        <v>0</v>
      </c>
      <c r="S182" s="13">
        <v>0</v>
      </c>
      <c r="T182" s="13">
        <v>0</v>
      </c>
      <c r="U182" s="13"/>
      <c r="V182" s="13"/>
      <c r="Y182" s="71">
        <v>0</v>
      </c>
      <c r="Z182" s="71">
        <v>0</v>
      </c>
      <c r="AA182" s="71">
        <v>0</v>
      </c>
      <c r="AB182" s="71">
        <v>0</v>
      </c>
      <c r="AC182" s="71">
        <v>0</v>
      </c>
      <c r="AD182" s="71">
        <v>0</v>
      </c>
      <c r="AE182" s="13">
        <v>0</v>
      </c>
      <c r="AF182" s="13">
        <v>0</v>
      </c>
      <c r="AI182" s="20"/>
      <c r="AJ182" s="13"/>
      <c r="AK182" s="11">
        <f t="shared" si="18"/>
        <v>440000</v>
      </c>
      <c r="AL182" s="11">
        <f t="shared" si="14"/>
        <v>36666.666666666664</v>
      </c>
      <c r="AM182" s="11">
        <f t="shared" si="19"/>
        <v>0</v>
      </c>
      <c r="AN182" s="11">
        <f>VLOOKUP(C182,'Paid Tax'!B177:M538,12,FALSE)</f>
        <v>0</v>
      </c>
      <c r="AO182" s="11">
        <f t="shared" si="15"/>
        <v>0</v>
      </c>
      <c r="AP182" s="13">
        <v>5</v>
      </c>
      <c r="AQ182" s="16">
        <f t="shared" si="16"/>
        <v>0</v>
      </c>
      <c r="AS182" s="11">
        <f t="shared" si="20"/>
        <v>0</v>
      </c>
      <c r="AT182" s="13"/>
    </row>
    <row r="183" spans="1:46" x14ac:dyDescent="0.25">
      <c r="A183" s="12">
        <v>176</v>
      </c>
      <c r="B183" s="60" t="s">
        <v>293</v>
      </c>
      <c r="C183" s="53">
        <v>10618</v>
      </c>
      <c r="D183" s="38" t="s">
        <v>416</v>
      </c>
      <c r="E183" s="38" t="s">
        <v>41</v>
      </c>
      <c r="F183" s="37" t="s">
        <v>282</v>
      </c>
      <c r="G183" s="67">
        <v>50000</v>
      </c>
      <c r="H183" s="67"/>
      <c r="I183" s="67"/>
      <c r="J183" s="4">
        <v>0</v>
      </c>
      <c r="K183" s="4">
        <v>0</v>
      </c>
      <c r="L183" s="11">
        <f t="shared" si="17"/>
        <v>600000</v>
      </c>
      <c r="M183" s="69">
        <v>0</v>
      </c>
      <c r="N183" s="71">
        <v>0</v>
      </c>
      <c r="O183" s="71">
        <v>0</v>
      </c>
      <c r="P183" s="71">
        <v>0</v>
      </c>
      <c r="Q183" s="71">
        <f>VLOOKUP(C183,Incentives!C177:K516,9,FALSE)</f>
        <v>0</v>
      </c>
      <c r="R183" s="71">
        <v>0</v>
      </c>
      <c r="S183" s="13">
        <v>0</v>
      </c>
      <c r="T183" s="13">
        <v>0</v>
      </c>
      <c r="U183" s="13"/>
      <c r="V183" s="13"/>
      <c r="Y183" s="71">
        <v>0</v>
      </c>
      <c r="Z183" s="71">
        <v>0</v>
      </c>
      <c r="AA183" s="71">
        <v>0</v>
      </c>
      <c r="AB183" s="71">
        <v>0</v>
      </c>
      <c r="AC183" s="71">
        <v>0</v>
      </c>
      <c r="AD183" s="71">
        <v>0</v>
      </c>
      <c r="AE183" s="13">
        <v>0</v>
      </c>
      <c r="AF183" s="13">
        <v>0</v>
      </c>
      <c r="AI183" s="22"/>
      <c r="AJ183" s="18"/>
      <c r="AK183" s="11">
        <f t="shared" si="18"/>
        <v>600000</v>
      </c>
      <c r="AL183" s="11">
        <f t="shared" si="14"/>
        <v>50000</v>
      </c>
      <c r="AM183" s="11">
        <f t="shared" si="19"/>
        <v>0</v>
      </c>
      <c r="AN183" s="11">
        <f>VLOOKUP(C183,'Paid Tax'!B178:M539,12,FALSE)</f>
        <v>0</v>
      </c>
      <c r="AO183" s="11">
        <f t="shared" si="15"/>
        <v>0</v>
      </c>
      <c r="AP183" s="13">
        <v>5</v>
      </c>
      <c r="AQ183" s="16">
        <f t="shared" si="16"/>
        <v>0</v>
      </c>
      <c r="AS183" s="11">
        <f t="shared" si="20"/>
        <v>0</v>
      </c>
      <c r="AT183" s="13"/>
    </row>
    <row r="184" spans="1:46" x14ac:dyDescent="0.25">
      <c r="A184" s="12">
        <v>177</v>
      </c>
      <c r="B184" s="60" t="s">
        <v>293</v>
      </c>
      <c r="C184" s="53">
        <v>10619</v>
      </c>
      <c r="D184" s="38" t="s">
        <v>396</v>
      </c>
      <c r="E184" s="38" t="s">
        <v>449</v>
      </c>
      <c r="F184" s="37" t="s">
        <v>409</v>
      </c>
      <c r="G184" s="67">
        <v>40000</v>
      </c>
      <c r="H184" s="67">
        <f>10000*9</f>
        <v>90000</v>
      </c>
      <c r="I184" s="67">
        <v>10000</v>
      </c>
      <c r="J184" s="4">
        <v>0</v>
      </c>
      <c r="K184" s="4">
        <v>0</v>
      </c>
      <c r="L184" s="11">
        <f t="shared" si="17"/>
        <v>580000</v>
      </c>
      <c r="M184" s="69">
        <v>0</v>
      </c>
      <c r="N184" s="71">
        <v>0</v>
      </c>
      <c r="O184" s="71">
        <v>0</v>
      </c>
      <c r="P184" s="71">
        <v>0</v>
      </c>
      <c r="Q184" s="71">
        <f>VLOOKUP(C184,Incentives!C178:K517,9,FALSE)</f>
        <v>0</v>
      </c>
      <c r="R184" s="71">
        <v>0</v>
      </c>
      <c r="S184" s="13">
        <v>0</v>
      </c>
      <c r="T184" s="13">
        <v>0</v>
      </c>
      <c r="U184" s="13"/>
      <c r="V184" s="13"/>
      <c r="Y184" s="71">
        <v>0</v>
      </c>
      <c r="Z184" s="71">
        <v>0</v>
      </c>
      <c r="AA184" s="71">
        <v>0</v>
      </c>
      <c r="AB184" s="71">
        <v>0</v>
      </c>
      <c r="AC184" s="71">
        <v>0</v>
      </c>
      <c r="AD184" s="71">
        <v>0</v>
      </c>
      <c r="AE184" s="13">
        <v>0</v>
      </c>
      <c r="AF184" s="13">
        <v>0</v>
      </c>
      <c r="AI184" s="22"/>
      <c r="AJ184" s="18"/>
      <c r="AK184" s="11">
        <f t="shared" si="18"/>
        <v>580000</v>
      </c>
      <c r="AL184" s="11">
        <f t="shared" si="14"/>
        <v>48333.333333333336</v>
      </c>
      <c r="AM184" s="11">
        <f t="shared" si="19"/>
        <v>0</v>
      </c>
      <c r="AN184" s="11">
        <f>VLOOKUP(C184,'Paid Tax'!B179:M540,12,FALSE)</f>
        <v>0</v>
      </c>
      <c r="AO184" s="11">
        <f t="shared" si="15"/>
        <v>0</v>
      </c>
      <c r="AP184" s="13">
        <v>5</v>
      </c>
      <c r="AQ184" s="16">
        <f t="shared" si="16"/>
        <v>0</v>
      </c>
      <c r="AS184" s="11">
        <f t="shared" si="20"/>
        <v>0</v>
      </c>
      <c r="AT184" s="13"/>
    </row>
    <row r="185" spans="1:46" x14ac:dyDescent="0.25">
      <c r="A185" s="12">
        <v>178</v>
      </c>
      <c r="B185" s="60" t="s">
        <v>293</v>
      </c>
      <c r="C185" s="53">
        <v>10620</v>
      </c>
      <c r="D185" s="38" t="s">
        <v>123</v>
      </c>
      <c r="E185" s="38" t="s">
        <v>23</v>
      </c>
      <c r="F185" s="37" t="s">
        <v>279</v>
      </c>
      <c r="G185" s="67">
        <v>35000</v>
      </c>
      <c r="H185" s="67">
        <f>3000*9</f>
        <v>27000</v>
      </c>
      <c r="I185" s="67">
        <v>3000</v>
      </c>
      <c r="J185" s="4">
        <v>0</v>
      </c>
      <c r="K185" s="4">
        <v>0</v>
      </c>
      <c r="L185" s="11">
        <f t="shared" si="17"/>
        <v>450000</v>
      </c>
      <c r="M185" s="69">
        <v>0</v>
      </c>
      <c r="N185" s="71">
        <v>0</v>
      </c>
      <c r="O185" s="71">
        <v>0</v>
      </c>
      <c r="P185" s="71">
        <v>0</v>
      </c>
      <c r="Q185" s="71">
        <f>VLOOKUP(C185,Incentives!C179:K518,9,FALSE)</f>
        <v>0</v>
      </c>
      <c r="R185" s="71">
        <v>0</v>
      </c>
      <c r="S185" s="13">
        <v>0</v>
      </c>
      <c r="T185" s="13">
        <v>0</v>
      </c>
      <c r="U185" s="13"/>
      <c r="V185" s="13"/>
      <c r="Y185" s="71">
        <v>0</v>
      </c>
      <c r="Z185" s="71">
        <v>0</v>
      </c>
      <c r="AA185" s="71">
        <v>0</v>
      </c>
      <c r="AB185" s="71">
        <v>0</v>
      </c>
      <c r="AC185" s="71">
        <v>0</v>
      </c>
      <c r="AD185" s="71">
        <v>0</v>
      </c>
      <c r="AE185" s="13">
        <v>0</v>
      </c>
      <c r="AF185" s="13">
        <v>0</v>
      </c>
      <c r="AI185" s="20"/>
      <c r="AJ185" s="13"/>
      <c r="AK185" s="11">
        <f t="shared" si="18"/>
        <v>450000</v>
      </c>
      <c r="AL185" s="11">
        <f t="shared" si="14"/>
        <v>37500</v>
      </c>
      <c r="AM185" s="11">
        <f t="shared" si="19"/>
        <v>0</v>
      </c>
      <c r="AN185" s="11">
        <f>VLOOKUP(C185,'Paid Tax'!B180:M541,12,FALSE)</f>
        <v>0</v>
      </c>
      <c r="AO185" s="11">
        <f t="shared" si="15"/>
        <v>0</v>
      </c>
      <c r="AP185" s="13">
        <v>5</v>
      </c>
      <c r="AQ185" s="16">
        <f t="shared" si="16"/>
        <v>0</v>
      </c>
      <c r="AS185" s="11">
        <f t="shared" si="20"/>
        <v>0</v>
      </c>
      <c r="AT185" s="13"/>
    </row>
    <row r="186" spans="1:46" x14ac:dyDescent="0.25">
      <c r="A186" s="12">
        <v>179</v>
      </c>
      <c r="B186" s="60" t="s">
        <v>293</v>
      </c>
      <c r="C186" s="53">
        <v>10621</v>
      </c>
      <c r="D186" s="38" t="s">
        <v>417</v>
      </c>
      <c r="E186" s="38" t="s">
        <v>55</v>
      </c>
      <c r="F186" s="37" t="s">
        <v>410</v>
      </c>
      <c r="G186" s="67">
        <v>32000</v>
      </c>
      <c r="H186" s="67"/>
      <c r="I186" s="67"/>
      <c r="J186" s="4">
        <v>0</v>
      </c>
      <c r="K186" s="4">
        <v>0</v>
      </c>
      <c r="L186" s="11">
        <f t="shared" si="17"/>
        <v>384000</v>
      </c>
      <c r="M186" s="69">
        <v>0</v>
      </c>
      <c r="N186" s="71">
        <v>0</v>
      </c>
      <c r="O186" s="71">
        <v>0</v>
      </c>
      <c r="P186" s="71">
        <v>0</v>
      </c>
      <c r="Q186" s="71">
        <f>VLOOKUP(C186,Incentives!C180:K519,9,FALSE)</f>
        <v>0</v>
      </c>
      <c r="R186" s="71">
        <v>0</v>
      </c>
      <c r="S186" s="13">
        <v>0</v>
      </c>
      <c r="T186" s="13">
        <v>0</v>
      </c>
      <c r="U186" s="13"/>
      <c r="V186" s="13"/>
      <c r="Y186" s="71">
        <v>0</v>
      </c>
      <c r="Z186" s="71">
        <v>0</v>
      </c>
      <c r="AA186" s="71">
        <v>0</v>
      </c>
      <c r="AB186" s="71">
        <v>0</v>
      </c>
      <c r="AC186" s="71">
        <v>0</v>
      </c>
      <c r="AD186" s="71">
        <v>0</v>
      </c>
      <c r="AE186" s="13">
        <v>0</v>
      </c>
      <c r="AF186" s="13">
        <v>0</v>
      </c>
      <c r="AI186" s="20"/>
      <c r="AJ186" s="13"/>
      <c r="AK186" s="11">
        <f t="shared" si="18"/>
        <v>384000</v>
      </c>
      <c r="AL186" s="11">
        <f t="shared" si="14"/>
        <v>32000</v>
      </c>
      <c r="AM186" s="11">
        <f t="shared" si="19"/>
        <v>0</v>
      </c>
      <c r="AN186" s="11">
        <f>VLOOKUP(C186,'Paid Tax'!B181:M542,12,FALSE)</f>
        <v>0</v>
      </c>
      <c r="AO186" s="11">
        <f t="shared" si="15"/>
        <v>0</v>
      </c>
      <c r="AP186" s="13">
        <v>5</v>
      </c>
      <c r="AQ186" s="16">
        <f t="shared" si="16"/>
        <v>0</v>
      </c>
      <c r="AS186" s="11">
        <f t="shared" si="20"/>
        <v>0</v>
      </c>
      <c r="AT186" s="13"/>
    </row>
    <row r="187" spans="1:46" x14ac:dyDescent="0.25">
      <c r="A187" s="12">
        <v>180</v>
      </c>
      <c r="B187" s="60" t="s">
        <v>293</v>
      </c>
      <c r="C187" s="53">
        <v>10622</v>
      </c>
      <c r="D187" s="38" t="s">
        <v>397</v>
      </c>
      <c r="E187" s="38" t="s">
        <v>55</v>
      </c>
      <c r="F187" s="37" t="s">
        <v>275</v>
      </c>
      <c r="G187" s="67">
        <v>30000</v>
      </c>
      <c r="H187" s="67"/>
      <c r="I187" s="67"/>
      <c r="J187" s="4">
        <v>0</v>
      </c>
      <c r="K187" s="4">
        <v>0</v>
      </c>
      <c r="L187" s="11">
        <f t="shared" si="17"/>
        <v>360000</v>
      </c>
      <c r="M187" s="69">
        <v>0</v>
      </c>
      <c r="N187" s="71">
        <v>0</v>
      </c>
      <c r="O187" s="71">
        <v>0</v>
      </c>
      <c r="P187" s="71">
        <v>0</v>
      </c>
      <c r="Q187" s="71">
        <f>VLOOKUP(C187,Incentives!C181:K520,9,FALSE)</f>
        <v>0</v>
      </c>
      <c r="R187" s="71">
        <v>0</v>
      </c>
      <c r="S187" s="13">
        <v>0</v>
      </c>
      <c r="T187" s="13">
        <v>0</v>
      </c>
      <c r="U187" s="13"/>
      <c r="V187" s="13"/>
      <c r="Y187" s="71">
        <v>0</v>
      </c>
      <c r="Z187" s="71">
        <v>0</v>
      </c>
      <c r="AA187" s="71">
        <v>0</v>
      </c>
      <c r="AB187" s="71">
        <v>0</v>
      </c>
      <c r="AC187" s="71">
        <v>0</v>
      </c>
      <c r="AD187" s="71">
        <v>0</v>
      </c>
      <c r="AE187" s="13">
        <v>0</v>
      </c>
      <c r="AF187" s="13">
        <v>0</v>
      </c>
      <c r="AI187" s="20"/>
      <c r="AJ187" s="13"/>
      <c r="AK187" s="11">
        <f t="shared" si="18"/>
        <v>360000</v>
      </c>
      <c r="AL187" s="11">
        <f t="shared" si="14"/>
        <v>30000</v>
      </c>
      <c r="AM187" s="11">
        <f t="shared" si="19"/>
        <v>0</v>
      </c>
      <c r="AN187" s="11">
        <f>VLOOKUP(C187,'Paid Tax'!B182:M543,12,FALSE)</f>
        <v>0</v>
      </c>
      <c r="AO187" s="11">
        <f t="shared" si="15"/>
        <v>0</v>
      </c>
      <c r="AP187" s="13">
        <v>5</v>
      </c>
      <c r="AQ187" s="16">
        <f t="shared" si="16"/>
        <v>0</v>
      </c>
      <c r="AS187" s="11">
        <f t="shared" si="20"/>
        <v>0</v>
      </c>
      <c r="AT187" s="13"/>
    </row>
    <row r="188" spans="1:46" x14ac:dyDescent="0.25">
      <c r="A188" s="12">
        <v>181</v>
      </c>
      <c r="B188" s="60" t="s">
        <v>293</v>
      </c>
      <c r="C188" s="53">
        <v>10623</v>
      </c>
      <c r="D188" s="38" t="s">
        <v>418</v>
      </c>
      <c r="E188" s="38" t="s">
        <v>398</v>
      </c>
      <c r="F188" s="37" t="s">
        <v>280</v>
      </c>
      <c r="G188" s="67">
        <v>30000</v>
      </c>
      <c r="H188" s="67"/>
      <c r="I188" s="67"/>
      <c r="J188" s="4">
        <v>0</v>
      </c>
      <c r="K188" s="4">
        <v>0</v>
      </c>
      <c r="L188" s="11">
        <f t="shared" si="17"/>
        <v>360000</v>
      </c>
      <c r="M188" s="69">
        <v>0</v>
      </c>
      <c r="N188" s="71">
        <v>0</v>
      </c>
      <c r="O188" s="71">
        <v>0</v>
      </c>
      <c r="P188" s="71">
        <v>0</v>
      </c>
      <c r="Q188" s="71">
        <f>VLOOKUP(C188,Incentives!C182:K521,9,FALSE)</f>
        <v>0</v>
      </c>
      <c r="R188" s="71">
        <v>0</v>
      </c>
      <c r="S188" s="13">
        <v>0</v>
      </c>
      <c r="T188" s="13">
        <v>0</v>
      </c>
      <c r="U188" s="13"/>
      <c r="V188" s="13"/>
      <c r="Y188" s="71">
        <v>0</v>
      </c>
      <c r="Z188" s="71">
        <v>0</v>
      </c>
      <c r="AA188" s="71">
        <v>0</v>
      </c>
      <c r="AB188" s="71">
        <v>0</v>
      </c>
      <c r="AC188" s="71">
        <v>0</v>
      </c>
      <c r="AD188" s="71">
        <v>0</v>
      </c>
      <c r="AE188" s="13">
        <v>0</v>
      </c>
      <c r="AF188" s="13">
        <v>0</v>
      </c>
      <c r="AI188" s="20"/>
      <c r="AJ188" s="13"/>
      <c r="AK188" s="11">
        <f t="shared" si="18"/>
        <v>360000</v>
      </c>
      <c r="AL188" s="11">
        <f t="shared" si="14"/>
        <v>30000</v>
      </c>
      <c r="AM188" s="11">
        <f t="shared" si="19"/>
        <v>0</v>
      </c>
      <c r="AN188" s="11">
        <f>VLOOKUP(C188,'Paid Tax'!B183:M544,12,FALSE)</f>
        <v>0</v>
      </c>
      <c r="AO188" s="11">
        <f t="shared" si="15"/>
        <v>0</v>
      </c>
      <c r="AP188" s="13">
        <v>5</v>
      </c>
      <c r="AQ188" s="16">
        <f t="shared" si="16"/>
        <v>0</v>
      </c>
      <c r="AS188" s="11">
        <f t="shared" si="20"/>
        <v>0</v>
      </c>
      <c r="AT188" s="13"/>
    </row>
    <row r="189" spans="1:46" s="13" customFormat="1" x14ac:dyDescent="0.25">
      <c r="A189" s="12">
        <v>182</v>
      </c>
      <c r="B189" s="60" t="s">
        <v>293</v>
      </c>
      <c r="C189" s="53">
        <v>10626</v>
      </c>
      <c r="D189" s="38" t="s">
        <v>238</v>
      </c>
      <c r="E189" s="38" t="s">
        <v>23</v>
      </c>
      <c r="F189" s="37" t="s">
        <v>279</v>
      </c>
      <c r="G189" s="67">
        <v>32000</v>
      </c>
      <c r="H189" s="67">
        <f>4000*6</f>
        <v>24000</v>
      </c>
      <c r="I189" s="67"/>
      <c r="J189" s="4">
        <v>0</v>
      </c>
      <c r="K189" s="4">
        <v>0</v>
      </c>
      <c r="L189" s="11">
        <f t="shared" si="17"/>
        <v>408000</v>
      </c>
      <c r="M189" s="69">
        <v>0</v>
      </c>
      <c r="N189" s="71">
        <v>0</v>
      </c>
      <c r="O189" s="71">
        <v>0</v>
      </c>
      <c r="P189" s="71">
        <v>0</v>
      </c>
      <c r="Q189" s="71">
        <f>VLOOKUP(C189,Incentives!C183:K522,9,FALSE)</f>
        <v>0</v>
      </c>
      <c r="R189" s="71">
        <v>0</v>
      </c>
      <c r="S189" s="13">
        <v>0</v>
      </c>
      <c r="T189" s="13">
        <v>0</v>
      </c>
      <c r="Y189" s="71">
        <v>0</v>
      </c>
      <c r="Z189" s="71">
        <v>0</v>
      </c>
      <c r="AA189" s="71">
        <v>0</v>
      </c>
      <c r="AB189" s="71">
        <v>0</v>
      </c>
      <c r="AC189" s="71">
        <v>0</v>
      </c>
      <c r="AD189" s="71">
        <v>0</v>
      </c>
      <c r="AE189" s="13">
        <v>4000</v>
      </c>
      <c r="AF189" s="13">
        <v>3000</v>
      </c>
      <c r="AI189" s="20"/>
      <c r="AK189" s="11">
        <f t="shared" si="18"/>
        <v>415000</v>
      </c>
      <c r="AL189" s="11">
        <f t="shared" si="14"/>
        <v>34583.333333333336</v>
      </c>
      <c r="AM189" s="11">
        <f t="shared" si="19"/>
        <v>0</v>
      </c>
      <c r="AN189" s="11">
        <f>VLOOKUP(C189,'Paid Tax'!B184:M545,12,FALSE)</f>
        <v>0</v>
      </c>
      <c r="AO189" s="11">
        <f t="shared" si="15"/>
        <v>0</v>
      </c>
      <c r="AP189" s="13">
        <v>5</v>
      </c>
      <c r="AQ189" s="16">
        <f t="shared" si="16"/>
        <v>0</v>
      </c>
      <c r="AS189" s="11">
        <f t="shared" si="20"/>
        <v>0</v>
      </c>
    </row>
    <row r="190" spans="1:46" s="18" customFormat="1" x14ac:dyDescent="0.25">
      <c r="A190" s="12">
        <v>183</v>
      </c>
      <c r="B190" s="60" t="s">
        <v>293</v>
      </c>
      <c r="C190" s="53">
        <v>10627</v>
      </c>
      <c r="D190" s="38" t="s">
        <v>419</v>
      </c>
      <c r="E190" s="38" t="s">
        <v>23</v>
      </c>
      <c r="F190" s="37" t="s">
        <v>279</v>
      </c>
      <c r="G190" s="4">
        <v>32000</v>
      </c>
      <c r="H190" s="4">
        <f>4000*6</f>
        <v>24000</v>
      </c>
      <c r="I190" s="4"/>
      <c r="J190" s="4">
        <v>0</v>
      </c>
      <c r="K190" s="4">
        <v>0</v>
      </c>
      <c r="L190" s="11">
        <f t="shared" si="17"/>
        <v>408000</v>
      </c>
      <c r="M190" s="69">
        <v>0</v>
      </c>
      <c r="N190" s="71">
        <v>0</v>
      </c>
      <c r="O190" s="71">
        <v>0</v>
      </c>
      <c r="P190" s="71">
        <v>0</v>
      </c>
      <c r="Q190" s="71">
        <f>VLOOKUP(C190,Incentives!C184:K523,9,FALSE)</f>
        <v>0</v>
      </c>
      <c r="R190" s="71">
        <v>0</v>
      </c>
      <c r="S190" s="13">
        <v>0</v>
      </c>
      <c r="T190" s="13">
        <v>0</v>
      </c>
      <c r="U190" s="13"/>
      <c r="V190" s="13"/>
      <c r="W190" s="13"/>
      <c r="Y190" s="71">
        <v>0</v>
      </c>
      <c r="Z190" s="71">
        <v>0</v>
      </c>
      <c r="AA190" s="71">
        <v>0</v>
      </c>
      <c r="AB190" s="71">
        <v>1000</v>
      </c>
      <c r="AC190" s="71">
        <v>0</v>
      </c>
      <c r="AD190" s="71">
        <v>0</v>
      </c>
      <c r="AE190" s="13">
        <v>0</v>
      </c>
      <c r="AF190" s="13">
        <v>0</v>
      </c>
      <c r="AG190" s="13"/>
      <c r="AH190" s="13"/>
      <c r="AI190" s="20"/>
      <c r="AK190" s="11">
        <f t="shared" si="18"/>
        <v>409000</v>
      </c>
      <c r="AL190" s="11">
        <f t="shared" si="14"/>
        <v>34083.333333333336</v>
      </c>
      <c r="AM190" s="11">
        <f t="shared" si="19"/>
        <v>0</v>
      </c>
      <c r="AN190" s="11">
        <f>VLOOKUP(C190,'Paid Tax'!B185:M546,12,FALSE)</f>
        <v>0</v>
      </c>
      <c r="AO190" s="11">
        <f t="shared" si="15"/>
        <v>0</v>
      </c>
      <c r="AP190" s="13">
        <v>5</v>
      </c>
      <c r="AQ190" s="16">
        <f t="shared" si="16"/>
        <v>0</v>
      </c>
      <c r="AR190" s="13"/>
      <c r="AS190" s="11">
        <f t="shared" si="20"/>
        <v>0</v>
      </c>
      <c r="AT190" s="13"/>
    </row>
    <row r="191" spans="1:46" x14ac:dyDescent="0.25">
      <c r="A191" s="12">
        <v>184</v>
      </c>
      <c r="B191" s="60" t="s">
        <v>293</v>
      </c>
      <c r="C191" s="53">
        <v>10629</v>
      </c>
      <c r="D191" s="38" t="s">
        <v>420</v>
      </c>
      <c r="E191" s="38" t="s">
        <v>319</v>
      </c>
      <c r="F191" s="37" t="s">
        <v>277</v>
      </c>
      <c r="G191" s="67">
        <v>45000</v>
      </c>
      <c r="H191" s="67">
        <f>10000*9</f>
        <v>90000</v>
      </c>
      <c r="I191" s="67">
        <v>10000</v>
      </c>
      <c r="J191" s="4">
        <v>0</v>
      </c>
      <c r="K191" s="4">
        <v>0</v>
      </c>
      <c r="L191" s="11">
        <f t="shared" si="17"/>
        <v>640000</v>
      </c>
      <c r="M191" s="69">
        <v>0</v>
      </c>
      <c r="N191" s="71">
        <v>0</v>
      </c>
      <c r="O191" s="71">
        <v>0</v>
      </c>
      <c r="P191" s="71">
        <v>0</v>
      </c>
      <c r="Q191" s="71">
        <f>VLOOKUP(C191,Incentives!C185:K524,9,FALSE)</f>
        <v>0</v>
      </c>
      <c r="R191" s="71">
        <v>0</v>
      </c>
      <c r="S191" s="13">
        <v>0</v>
      </c>
      <c r="T191" s="13">
        <v>0</v>
      </c>
      <c r="U191" s="13"/>
      <c r="V191" s="13"/>
      <c r="Y191" s="71">
        <v>0</v>
      </c>
      <c r="Z191" s="71">
        <v>0</v>
      </c>
      <c r="AA191" s="71">
        <v>0</v>
      </c>
      <c r="AB191" s="71">
        <v>0</v>
      </c>
      <c r="AC191" s="71">
        <v>0</v>
      </c>
      <c r="AD191" s="71">
        <v>0</v>
      </c>
      <c r="AE191" s="13">
        <v>0</v>
      </c>
      <c r="AF191" s="13">
        <v>0</v>
      </c>
      <c r="AI191" s="22"/>
      <c r="AJ191" s="18"/>
      <c r="AK191" s="11">
        <f t="shared" si="18"/>
        <v>640000</v>
      </c>
      <c r="AL191" s="11">
        <f t="shared" si="14"/>
        <v>53333.333333333336</v>
      </c>
      <c r="AM191" s="11">
        <f t="shared" si="19"/>
        <v>400</v>
      </c>
      <c r="AN191" s="11">
        <f>VLOOKUP(C191,'Paid Tax'!B186:M547,12,FALSE)</f>
        <v>133.3333333333332</v>
      </c>
      <c r="AO191" s="11">
        <f t="shared" si="15"/>
        <v>266.6666666666668</v>
      </c>
      <c r="AP191" s="13">
        <v>8</v>
      </c>
      <c r="AQ191" s="16">
        <f t="shared" si="16"/>
        <v>33.33333333333335</v>
      </c>
      <c r="AR191" s="91" t="s">
        <v>1101</v>
      </c>
      <c r="AS191" s="11">
        <f t="shared" si="20"/>
        <v>-33.33333333333335</v>
      </c>
      <c r="AT191" s="13"/>
    </row>
    <row r="192" spans="1:46" s="18" customFormat="1" x14ac:dyDescent="0.25">
      <c r="A192" s="12">
        <v>185</v>
      </c>
      <c r="B192" s="60" t="s">
        <v>293</v>
      </c>
      <c r="C192" s="53">
        <v>10630</v>
      </c>
      <c r="D192" s="38" t="s">
        <v>399</v>
      </c>
      <c r="E192" s="38" t="s">
        <v>23</v>
      </c>
      <c r="F192" s="37" t="s">
        <v>279</v>
      </c>
      <c r="G192" s="67">
        <v>33000</v>
      </c>
      <c r="H192" s="67"/>
      <c r="I192" s="67"/>
      <c r="J192" s="4">
        <v>0</v>
      </c>
      <c r="K192" s="4">
        <v>0</v>
      </c>
      <c r="L192" s="11">
        <f t="shared" si="17"/>
        <v>396000</v>
      </c>
      <c r="M192" s="69">
        <v>0</v>
      </c>
      <c r="N192" s="71">
        <v>0</v>
      </c>
      <c r="O192" s="71">
        <v>0</v>
      </c>
      <c r="P192" s="71">
        <v>0</v>
      </c>
      <c r="Q192" s="71">
        <f>VLOOKUP(C192,Incentives!C186:K525,9,FALSE)</f>
        <v>0</v>
      </c>
      <c r="R192" s="71">
        <v>0</v>
      </c>
      <c r="S192" s="13">
        <v>0</v>
      </c>
      <c r="T192" s="13">
        <v>0</v>
      </c>
      <c r="U192" s="13"/>
      <c r="V192" s="13"/>
      <c r="W192" s="13"/>
      <c r="Y192" s="71">
        <v>0</v>
      </c>
      <c r="Z192" s="71">
        <v>0</v>
      </c>
      <c r="AA192" s="71">
        <v>0</v>
      </c>
      <c r="AB192" s="71">
        <v>0</v>
      </c>
      <c r="AC192" s="71">
        <v>0</v>
      </c>
      <c r="AD192" s="71">
        <v>0</v>
      </c>
      <c r="AE192" s="13">
        <v>0</v>
      </c>
      <c r="AF192" s="13">
        <v>0</v>
      </c>
      <c r="AG192" s="13"/>
      <c r="AH192" s="13"/>
      <c r="AI192" s="20"/>
      <c r="AK192" s="11">
        <f t="shared" si="18"/>
        <v>396000</v>
      </c>
      <c r="AL192" s="11">
        <f t="shared" si="14"/>
        <v>33000</v>
      </c>
      <c r="AM192" s="11">
        <f t="shared" si="19"/>
        <v>0</v>
      </c>
      <c r="AN192" s="11">
        <f>VLOOKUP(C192,'Paid Tax'!B187:M548,12,FALSE)</f>
        <v>0</v>
      </c>
      <c r="AO192" s="11">
        <f t="shared" si="15"/>
        <v>0</v>
      </c>
      <c r="AP192" s="13">
        <v>5</v>
      </c>
      <c r="AQ192" s="16">
        <f t="shared" si="16"/>
        <v>0</v>
      </c>
      <c r="AR192" s="13"/>
      <c r="AS192" s="11">
        <f t="shared" si="20"/>
        <v>0</v>
      </c>
      <c r="AT192" s="13"/>
    </row>
    <row r="193" spans="1:46" x14ac:dyDescent="0.25">
      <c r="A193" s="12">
        <v>186</v>
      </c>
      <c r="B193" s="63" t="s">
        <v>293</v>
      </c>
      <c r="C193" s="56">
        <v>10631</v>
      </c>
      <c r="D193" s="66" t="s">
        <v>421</v>
      </c>
      <c r="E193" s="66" t="s">
        <v>69</v>
      </c>
      <c r="F193" s="59" t="s">
        <v>284</v>
      </c>
      <c r="G193" s="4">
        <v>32000</v>
      </c>
      <c r="H193" s="4">
        <f>6000*10</f>
        <v>60000</v>
      </c>
      <c r="I193" s="4"/>
      <c r="J193" s="4">
        <v>0</v>
      </c>
      <c r="K193" s="4">
        <v>0</v>
      </c>
      <c r="L193" s="11">
        <f t="shared" si="17"/>
        <v>444000</v>
      </c>
      <c r="M193" s="69">
        <v>8880</v>
      </c>
      <c r="N193" s="71">
        <v>46000</v>
      </c>
      <c r="O193" s="71">
        <v>43400</v>
      </c>
      <c r="P193" s="71">
        <v>43200</v>
      </c>
      <c r="Q193" s="71">
        <f>VLOOKUP(C193,Incentives!C187:K526,9,FALSE)</f>
        <v>28900</v>
      </c>
      <c r="R193" s="71">
        <v>40425</v>
      </c>
      <c r="S193" s="13">
        <v>40600</v>
      </c>
      <c r="T193" s="13">
        <v>36210</v>
      </c>
      <c r="U193" s="13"/>
      <c r="V193" s="13"/>
      <c r="Y193" s="71">
        <v>0</v>
      </c>
      <c r="Z193" s="71">
        <v>0</v>
      </c>
      <c r="AA193" s="71">
        <v>0</v>
      </c>
      <c r="AB193" s="71">
        <v>0</v>
      </c>
      <c r="AC193" s="71">
        <v>0</v>
      </c>
      <c r="AD193" s="71">
        <v>15000</v>
      </c>
      <c r="AE193" s="13">
        <v>10000</v>
      </c>
      <c r="AF193" s="13">
        <v>5000</v>
      </c>
      <c r="AI193" s="20"/>
      <c r="AJ193" s="13"/>
      <c r="AK193" s="11">
        <f t="shared" si="18"/>
        <v>761615</v>
      </c>
      <c r="AL193" s="11">
        <f t="shared" si="14"/>
        <v>63467.916666666664</v>
      </c>
      <c r="AM193" s="11">
        <f t="shared" si="19"/>
        <v>1616.15</v>
      </c>
      <c r="AN193" s="11">
        <f>VLOOKUP(C193,'Paid Tax'!B188:M549,12,FALSE)</f>
        <v>187.32272727272732</v>
      </c>
      <c r="AO193" s="11">
        <f t="shared" si="15"/>
        <v>1428.8272727272729</v>
      </c>
      <c r="AP193" s="13">
        <v>9</v>
      </c>
      <c r="AQ193" s="16">
        <f t="shared" si="16"/>
        <v>158.75858585858589</v>
      </c>
      <c r="AR193" s="92" t="s">
        <v>983</v>
      </c>
      <c r="AS193" s="11">
        <f t="shared" si="20"/>
        <v>-158.75858585858589</v>
      </c>
      <c r="AT193" s="13"/>
    </row>
    <row r="194" spans="1:46" x14ac:dyDescent="0.25">
      <c r="A194" s="12">
        <v>187</v>
      </c>
      <c r="B194" s="63" t="s">
        <v>293</v>
      </c>
      <c r="C194" s="56">
        <v>10633</v>
      </c>
      <c r="D194" s="66" t="s">
        <v>401</v>
      </c>
      <c r="E194" s="66" t="s">
        <v>23</v>
      </c>
      <c r="F194" s="59" t="s">
        <v>279</v>
      </c>
      <c r="G194" s="4">
        <v>32000</v>
      </c>
      <c r="H194" s="4"/>
      <c r="I194" s="4"/>
      <c r="J194" s="4">
        <v>0</v>
      </c>
      <c r="K194" s="4">
        <v>0</v>
      </c>
      <c r="L194" s="11">
        <f t="shared" si="17"/>
        <v>384000</v>
      </c>
      <c r="M194" s="69">
        <v>0</v>
      </c>
      <c r="N194" s="71">
        <v>0</v>
      </c>
      <c r="O194" s="71">
        <v>0</v>
      </c>
      <c r="P194" s="71">
        <v>0</v>
      </c>
      <c r="Q194" s="71">
        <f>VLOOKUP(C194,Incentives!C188:K527,9,FALSE)</f>
        <v>0</v>
      </c>
      <c r="R194" s="71">
        <v>0</v>
      </c>
      <c r="S194" s="13">
        <v>0</v>
      </c>
      <c r="T194" s="13">
        <v>0</v>
      </c>
      <c r="U194" s="13"/>
      <c r="V194" s="13"/>
      <c r="Y194" s="71">
        <v>0</v>
      </c>
      <c r="Z194" s="71">
        <v>0</v>
      </c>
      <c r="AA194" s="71">
        <v>0</v>
      </c>
      <c r="AB194" s="71">
        <v>0</v>
      </c>
      <c r="AC194" s="71">
        <v>0</v>
      </c>
      <c r="AD194" s="71">
        <v>0</v>
      </c>
      <c r="AE194" s="13">
        <v>0</v>
      </c>
      <c r="AF194" s="13">
        <v>0</v>
      </c>
      <c r="AI194" s="20"/>
      <c r="AJ194" s="13"/>
      <c r="AK194" s="11">
        <f t="shared" si="18"/>
        <v>384000</v>
      </c>
      <c r="AL194" s="11">
        <f t="shared" si="14"/>
        <v>32000</v>
      </c>
      <c r="AM194" s="11">
        <f t="shared" si="19"/>
        <v>0</v>
      </c>
      <c r="AN194" s="11">
        <f>VLOOKUP(C194,'Paid Tax'!B189:M550,12,FALSE)</f>
        <v>0</v>
      </c>
      <c r="AO194" s="11">
        <f t="shared" si="15"/>
        <v>0</v>
      </c>
      <c r="AP194" s="13">
        <v>5</v>
      </c>
      <c r="AQ194" s="16">
        <f t="shared" si="16"/>
        <v>0</v>
      </c>
      <c r="AS194" s="11">
        <f t="shared" si="20"/>
        <v>0</v>
      </c>
      <c r="AT194" s="13"/>
    </row>
    <row r="195" spans="1:46" x14ac:dyDescent="0.25">
      <c r="A195" s="12">
        <v>188</v>
      </c>
      <c r="B195" s="63" t="s">
        <v>293</v>
      </c>
      <c r="C195" s="56">
        <v>10634</v>
      </c>
      <c r="D195" s="66" t="s">
        <v>402</v>
      </c>
      <c r="E195" s="66" t="s">
        <v>23</v>
      </c>
      <c r="F195" s="59" t="s">
        <v>279</v>
      </c>
      <c r="G195" s="67">
        <v>35000</v>
      </c>
      <c r="H195" s="67">
        <f>4000*6</f>
        <v>24000</v>
      </c>
      <c r="I195" s="67"/>
      <c r="J195" s="4">
        <v>0</v>
      </c>
      <c r="K195" s="4">
        <v>0</v>
      </c>
      <c r="L195" s="11">
        <f t="shared" si="17"/>
        <v>444000</v>
      </c>
      <c r="M195" s="69">
        <v>0</v>
      </c>
      <c r="N195" s="71">
        <v>0</v>
      </c>
      <c r="O195" s="71">
        <v>0</v>
      </c>
      <c r="P195" s="71">
        <v>0</v>
      </c>
      <c r="Q195" s="71">
        <f>VLOOKUP(C195,Incentives!C189:K528,9,FALSE)</f>
        <v>0</v>
      </c>
      <c r="R195" s="71">
        <v>0</v>
      </c>
      <c r="S195" s="13">
        <v>0</v>
      </c>
      <c r="T195" s="13">
        <v>0</v>
      </c>
      <c r="U195" s="13"/>
      <c r="V195" s="13"/>
      <c r="Y195" s="71">
        <v>0</v>
      </c>
      <c r="Z195" s="71">
        <v>0</v>
      </c>
      <c r="AA195" s="71">
        <v>0</v>
      </c>
      <c r="AB195" s="71">
        <v>0</v>
      </c>
      <c r="AC195" s="71">
        <v>0</v>
      </c>
      <c r="AD195" s="71">
        <v>0</v>
      </c>
      <c r="AE195" s="13">
        <v>0</v>
      </c>
      <c r="AF195" s="13">
        <v>0</v>
      </c>
      <c r="AI195" s="20"/>
      <c r="AJ195" s="13"/>
      <c r="AK195" s="11">
        <f t="shared" si="18"/>
        <v>444000</v>
      </c>
      <c r="AL195" s="11">
        <f t="shared" si="14"/>
        <v>37000</v>
      </c>
      <c r="AM195" s="11">
        <f t="shared" si="19"/>
        <v>0</v>
      </c>
      <c r="AN195" s="11">
        <f>VLOOKUP(C195,'Paid Tax'!B190:M551,12,FALSE)</f>
        <v>0</v>
      </c>
      <c r="AO195" s="11">
        <f t="shared" si="15"/>
        <v>0</v>
      </c>
      <c r="AP195" s="13">
        <v>5</v>
      </c>
      <c r="AQ195" s="16">
        <f t="shared" si="16"/>
        <v>0</v>
      </c>
      <c r="AS195" s="11">
        <f t="shared" si="20"/>
        <v>0</v>
      </c>
      <c r="AT195" s="13"/>
    </row>
    <row r="196" spans="1:46" x14ac:dyDescent="0.25">
      <c r="A196" s="12">
        <v>189</v>
      </c>
      <c r="B196" s="63" t="s">
        <v>293</v>
      </c>
      <c r="C196" s="56">
        <v>10635</v>
      </c>
      <c r="D196" s="66" t="s">
        <v>403</v>
      </c>
      <c r="E196" s="66" t="s">
        <v>23</v>
      </c>
      <c r="F196" s="59" t="s">
        <v>279</v>
      </c>
      <c r="G196" s="4">
        <v>32000</v>
      </c>
      <c r="H196" s="4"/>
      <c r="I196" s="4"/>
      <c r="J196" s="4">
        <v>0</v>
      </c>
      <c r="K196" s="4">
        <v>0</v>
      </c>
      <c r="L196" s="11">
        <f t="shared" si="17"/>
        <v>384000</v>
      </c>
      <c r="M196" s="69">
        <v>0</v>
      </c>
      <c r="N196" s="71">
        <v>0</v>
      </c>
      <c r="O196" s="71">
        <v>0</v>
      </c>
      <c r="P196" s="71">
        <v>0</v>
      </c>
      <c r="Q196" s="71">
        <f>VLOOKUP(C196,Incentives!C190:K529,9,FALSE)</f>
        <v>0</v>
      </c>
      <c r="R196" s="71">
        <v>0</v>
      </c>
      <c r="S196" s="13">
        <v>0</v>
      </c>
      <c r="T196" s="13">
        <v>0</v>
      </c>
      <c r="U196" s="13"/>
      <c r="V196" s="13"/>
      <c r="Y196" s="71">
        <v>0</v>
      </c>
      <c r="Z196" s="71">
        <v>0</v>
      </c>
      <c r="AA196" s="71">
        <v>0</v>
      </c>
      <c r="AB196" s="71">
        <v>0</v>
      </c>
      <c r="AC196" s="71">
        <v>0</v>
      </c>
      <c r="AD196" s="71">
        <v>0</v>
      </c>
      <c r="AE196" s="13">
        <v>0</v>
      </c>
      <c r="AF196" s="13">
        <v>0</v>
      </c>
      <c r="AI196" s="20"/>
      <c r="AJ196" s="13"/>
      <c r="AK196" s="11">
        <f t="shared" si="18"/>
        <v>384000</v>
      </c>
      <c r="AL196" s="11">
        <f t="shared" si="14"/>
        <v>32000</v>
      </c>
      <c r="AM196" s="11">
        <f t="shared" si="19"/>
        <v>0</v>
      </c>
      <c r="AN196" s="11">
        <f>VLOOKUP(C196,'Paid Tax'!B191:M552,12,FALSE)</f>
        <v>0</v>
      </c>
      <c r="AO196" s="11">
        <f t="shared" si="15"/>
        <v>0</v>
      </c>
      <c r="AP196" s="13">
        <v>5</v>
      </c>
      <c r="AQ196" s="16">
        <f t="shared" si="16"/>
        <v>0</v>
      </c>
      <c r="AS196" s="11">
        <f t="shared" si="20"/>
        <v>0</v>
      </c>
      <c r="AT196" s="13"/>
    </row>
    <row r="197" spans="1:46" x14ac:dyDescent="0.25">
      <c r="A197" s="12">
        <v>190</v>
      </c>
      <c r="B197" s="63" t="s">
        <v>293</v>
      </c>
      <c r="C197" s="56">
        <v>10636</v>
      </c>
      <c r="D197" s="66" t="s">
        <v>422</v>
      </c>
      <c r="E197" s="66" t="s">
        <v>450</v>
      </c>
      <c r="F197" s="59" t="s">
        <v>287</v>
      </c>
      <c r="G197" s="4">
        <v>175000</v>
      </c>
      <c r="H197" s="4"/>
      <c r="I197" s="4"/>
      <c r="J197" s="4">
        <v>0</v>
      </c>
      <c r="K197" s="4">
        <v>0</v>
      </c>
      <c r="L197" s="11">
        <f t="shared" si="17"/>
        <v>2100000</v>
      </c>
      <c r="M197" s="69">
        <v>0</v>
      </c>
      <c r="N197" s="71">
        <v>0</v>
      </c>
      <c r="O197" s="71">
        <v>0</v>
      </c>
      <c r="P197" s="71">
        <v>0</v>
      </c>
      <c r="Q197" s="71">
        <f>VLOOKUP(C197,Incentives!C191:K530,9,FALSE)</f>
        <v>0</v>
      </c>
      <c r="R197" s="71">
        <v>0</v>
      </c>
      <c r="S197" s="13">
        <v>0</v>
      </c>
      <c r="T197" s="13">
        <v>0</v>
      </c>
      <c r="U197" s="13"/>
      <c r="V197" s="13"/>
      <c r="Y197" s="71">
        <v>23242</v>
      </c>
      <c r="Z197" s="71">
        <v>35104</v>
      </c>
      <c r="AA197" s="71">
        <v>32430</v>
      </c>
      <c r="AB197" s="71">
        <v>37973</v>
      </c>
      <c r="AC197" s="71">
        <v>39662</v>
      </c>
      <c r="AD197" s="71">
        <v>62969</v>
      </c>
      <c r="AE197" s="13">
        <v>46619</v>
      </c>
      <c r="AF197" s="13">
        <v>60680</v>
      </c>
      <c r="AI197" s="20"/>
      <c r="AJ197" s="13"/>
      <c r="AK197" s="11">
        <f t="shared" si="18"/>
        <v>2438679</v>
      </c>
      <c r="AL197" s="11">
        <f t="shared" si="14"/>
        <v>203223.25</v>
      </c>
      <c r="AM197" s="11">
        <f t="shared" si="19"/>
        <v>170896.17</v>
      </c>
      <c r="AN197" s="11">
        <f>VLOOKUP(C197,'Paid Tax'!B192:M553,12,FALSE)</f>
        <v>79366.861468253905</v>
      </c>
      <c r="AO197" s="11">
        <f t="shared" si="15"/>
        <v>91529.308531746108</v>
      </c>
      <c r="AP197" s="13">
        <v>5</v>
      </c>
      <c r="AQ197" s="16">
        <f t="shared" si="16"/>
        <v>18305.86170634922</v>
      </c>
      <c r="AS197" s="11">
        <f t="shared" si="20"/>
        <v>-18305.86170634922</v>
      </c>
      <c r="AT197" s="13"/>
    </row>
    <row r="198" spans="1:46" s="18" customFormat="1" x14ac:dyDescent="0.25">
      <c r="A198" s="12">
        <v>191</v>
      </c>
      <c r="B198" s="63" t="s">
        <v>293</v>
      </c>
      <c r="C198" s="56">
        <v>10637</v>
      </c>
      <c r="D198" s="66" t="s">
        <v>404</v>
      </c>
      <c r="E198" s="66" t="s">
        <v>23</v>
      </c>
      <c r="F198" s="59" t="s">
        <v>279</v>
      </c>
      <c r="G198" s="4">
        <v>32000</v>
      </c>
      <c r="H198" s="4"/>
      <c r="I198" s="4"/>
      <c r="J198" s="4">
        <v>0</v>
      </c>
      <c r="K198" s="4">
        <v>0</v>
      </c>
      <c r="L198" s="11">
        <f t="shared" si="17"/>
        <v>384000</v>
      </c>
      <c r="M198" s="69">
        <v>0</v>
      </c>
      <c r="N198" s="71">
        <v>0</v>
      </c>
      <c r="O198" s="71">
        <v>0</v>
      </c>
      <c r="P198" s="71">
        <v>0</v>
      </c>
      <c r="Q198" s="71">
        <f>VLOOKUP(C198,Incentives!C192:K531,9,FALSE)</f>
        <v>0</v>
      </c>
      <c r="R198" s="71">
        <v>0</v>
      </c>
      <c r="S198" s="13">
        <v>0</v>
      </c>
      <c r="T198" s="13">
        <v>0</v>
      </c>
      <c r="U198" s="13"/>
      <c r="V198" s="13"/>
      <c r="W198" s="13"/>
      <c r="Y198" s="71">
        <v>0</v>
      </c>
      <c r="Z198" s="71">
        <v>0</v>
      </c>
      <c r="AA198" s="71">
        <v>0</v>
      </c>
      <c r="AB198" s="71">
        <v>0</v>
      </c>
      <c r="AC198" s="71">
        <v>0</v>
      </c>
      <c r="AD198" s="71">
        <v>0</v>
      </c>
      <c r="AE198" s="13">
        <v>0</v>
      </c>
      <c r="AF198" s="13">
        <v>0</v>
      </c>
      <c r="AG198" s="13"/>
      <c r="AH198" s="13"/>
      <c r="AI198" s="20"/>
      <c r="AK198" s="11">
        <f t="shared" si="18"/>
        <v>384000</v>
      </c>
      <c r="AL198" s="11">
        <f t="shared" si="14"/>
        <v>32000</v>
      </c>
      <c r="AM198" s="11">
        <f t="shared" si="19"/>
        <v>0</v>
      </c>
      <c r="AN198" s="11">
        <f>VLOOKUP(C198,'Paid Tax'!B193:M554,12,FALSE)</f>
        <v>0</v>
      </c>
      <c r="AO198" s="11">
        <f t="shared" si="15"/>
        <v>0</v>
      </c>
      <c r="AP198" s="13">
        <v>5</v>
      </c>
      <c r="AQ198" s="16">
        <f t="shared" si="16"/>
        <v>0</v>
      </c>
      <c r="AR198" s="13"/>
      <c r="AS198" s="11">
        <f t="shared" si="20"/>
        <v>0</v>
      </c>
      <c r="AT198" s="13"/>
    </row>
    <row r="199" spans="1:46" x14ac:dyDescent="0.25">
      <c r="A199" s="12">
        <v>192</v>
      </c>
      <c r="B199" s="63" t="s">
        <v>293</v>
      </c>
      <c r="C199" s="56">
        <v>10638</v>
      </c>
      <c r="D199" s="66" t="s">
        <v>405</v>
      </c>
      <c r="E199" s="66" t="s">
        <v>23</v>
      </c>
      <c r="F199" s="59" t="s">
        <v>279</v>
      </c>
      <c r="G199" s="4">
        <v>32000</v>
      </c>
      <c r="H199" s="4"/>
      <c r="I199" s="4"/>
      <c r="J199" s="4">
        <v>0</v>
      </c>
      <c r="K199" s="4">
        <v>0</v>
      </c>
      <c r="L199" s="11">
        <f t="shared" si="17"/>
        <v>384000</v>
      </c>
      <c r="M199" s="69">
        <v>0</v>
      </c>
      <c r="N199" s="71">
        <v>0</v>
      </c>
      <c r="O199" s="71">
        <v>0</v>
      </c>
      <c r="P199" s="71">
        <v>0</v>
      </c>
      <c r="Q199" s="71">
        <f>VLOOKUP(C199,Incentives!C193:K532,9,FALSE)</f>
        <v>0</v>
      </c>
      <c r="R199" s="71">
        <v>0</v>
      </c>
      <c r="S199" s="13">
        <v>0</v>
      </c>
      <c r="T199" s="13">
        <v>0</v>
      </c>
      <c r="U199" s="13"/>
      <c r="V199" s="13"/>
      <c r="Y199" s="71">
        <v>0</v>
      </c>
      <c r="Z199" s="71">
        <v>0</v>
      </c>
      <c r="AA199" s="71">
        <v>0</v>
      </c>
      <c r="AB199" s="71">
        <v>0</v>
      </c>
      <c r="AC199" s="71">
        <v>0</v>
      </c>
      <c r="AD199" s="71">
        <v>0</v>
      </c>
      <c r="AE199" s="13">
        <v>0</v>
      </c>
      <c r="AF199" s="13">
        <v>0</v>
      </c>
      <c r="AI199" s="20"/>
      <c r="AJ199" s="13"/>
      <c r="AK199" s="11">
        <f t="shared" si="18"/>
        <v>384000</v>
      </c>
      <c r="AL199" s="11">
        <f t="shared" si="14"/>
        <v>32000</v>
      </c>
      <c r="AM199" s="11">
        <f t="shared" si="19"/>
        <v>0</v>
      </c>
      <c r="AN199" s="11">
        <f>VLOOKUP(C199,'Paid Tax'!B194:M555,12,FALSE)</f>
        <v>0</v>
      </c>
      <c r="AO199" s="11">
        <f t="shared" si="15"/>
        <v>0</v>
      </c>
      <c r="AP199" s="13">
        <v>5</v>
      </c>
      <c r="AQ199" s="16">
        <f t="shared" si="16"/>
        <v>0</v>
      </c>
      <c r="AS199" s="11">
        <f t="shared" si="20"/>
        <v>0</v>
      </c>
      <c r="AT199" s="13"/>
    </row>
    <row r="200" spans="1:46" x14ac:dyDescent="0.25">
      <c r="A200" s="12">
        <v>193</v>
      </c>
      <c r="B200" s="63" t="s">
        <v>293</v>
      </c>
      <c r="C200" s="56">
        <v>10639</v>
      </c>
      <c r="D200" s="66" t="s">
        <v>406</v>
      </c>
      <c r="E200" s="66" t="s">
        <v>23</v>
      </c>
      <c r="F200" s="59" t="s">
        <v>279</v>
      </c>
      <c r="G200" s="67">
        <v>32000</v>
      </c>
      <c r="H200" s="67"/>
      <c r="I200" s="67"/>
      <c r="J200" s="4">
        <v>0</v>
      </c>
      <c r="K200" s="4">
        <v>0</v>
      </c>
      <c r="L200" s="11">
        <f t="shared" si="17"/>
        <v>384000</v>
      </c>
      <c r="M200" s="69">
        <v>0</v>
      </c>
      <c r="N200" s="71">
        <v>0</v>
      </c>
      <c r="O200" s="71">
        <v>0</v>
      </c>
      <c r="P200" s="71">
        <v>0</v>
      </c>
      <c r="Q200" s="71">
        <f>VLOOKUP(C200,Incentives!C194:K533,9,FALSE)</f>
        <v>0</v>
      </c>
      <c r="R200" s="71">
        <v>0</v>
      </c>
      <c r="S200" s="13">
        <v>0</v>
      </c>
      <c r="T200" s="13">
        <v>0</v>
      </c>
      <c r="U200" s="13"/>
      <c r="V200" s="13"/>
      <c r="Y200" s="71">
        <v>0</v>
      </c>
      <c r="Z200" s="71">
        <v>0</v>
      </c>
      <c r="AA200" s="71">
        <v>0</v>
      </c>
      <c r="AB200" s="71">
        <v>0</v>
      </c>
      <c r="AC200" s="71">
        <v>0</v>
      </c>
      <c r="AD200" s="71">
        <v>0</v>
      </c>
      <c r="AE200" s="13">
        <v>0</v>
      </c>
      <c r="AF200" s="13">
        <v>0</v>
      </c>
      <c r="AI200" s="20"/>
      <c r="AJ200" s="13"/>
      <c r="AK200" s="11">
        <f t="shared" si="18"/>
        <v>384000</v>
      </c>
      <c r="AL200" s="11">
        <f t="shared" ref="AL200:AL263" si="21">AK200/12</f>
        <v>32000</v>
      </c>
      <c r="AM200" s="11">
        <f t="shared" si="19"/>
        <v>0</v>
      </c>
      <c r="AN200" s="11">
        <f>VLOOKUP(C200,'Paid Tax'!B195:M556,12,FALSE)</f>
        <v>0</v>
      </c>
      <c r="AO200" s="11">
        <f t="shared" ref="AO200:AO263" si="22">+AM200-AN200</f>
        <v>0</v>
      </c>
      <c r="AP200" s="13">
        <v>5</v>
      </c>
      <c r="AQ200" s="16">
        <f t="shared" ref="AQ200:AQ263" si="23">+AO200/AP200</f>
        <v>0</v>
      </c>
      <c r="AS200" s="11">
        <f t="shared" si="20"/>
        <v>0</v>
      </c>
      <c r="AT200" s="13"/>
    </row>
    <row r="201" spans="1:46" s="18" customFormat="1" x14ac:dyDescent="0.25">
      <c r="A201" s="12">
        <v>194</v>
      </c>
      <c r="B201" s="63" t="s">
        <v>293</v>
      </c>
      <c r="C201" s="56">
        <v>10640</v>
      </c>
      <c r="D201" s="66" t="s">
        <v>407</v>
      </c>
      <c r="E201" s="66" t="s">
        <v>149</v>
      </c>
      <c r="F201" s="59" t="s">
        <v>280</v>
      </c>
      <c r="G201" s="4">
        <v>30000</v>
      </c>
      <c r="H201" s="4"/>
      <c r="I201" s="4"/>
      <c r="J201" s="4">
        <v>0</v>
      </c>
      <c r="K201" s="4">
        <v>0</v>
      </c>
      <c r="L201" s="11">
        <f t="shared" ref="L201:L264" si="24">G201*12+H201+J201+K201+I201</f>
        <v>360000</v>
      </c>
      <c r="M201" s="69">
        <v>0</v>
      </c>
      <c r="N201" s="71">
        <v>0</v>
      </c>
      <c r="O201" s="71">
        <v>0</v>
      </c>
      <c r="P201" s="71">
        <v>0</v>
      </c>
      <c r="Q201" s="71">
        <f>VLOOKUP(C201,Incentives!C195:K534,9,FALSE)</f>
        <v>0</v>
      </c>
      <c r="R201" s="71">
        <v>0</v>
      </c>
      <c r="S201" s="13">
        <v>0</v>
      </c>
      <c r="T201" s="13">
        <v>0</v>
      </c>
      <c r="U201" s="13"/>
      <c r="V201" s="13"/>
      <c r="W201" s="13"/>
      <c r="Y201" s="71">
        <v>0</v>
      </c>
      <c r="Z201" s="71">
        <v>0</v>
      </c>
      <c r="AA201" s="71">
        <v>0</v>
      </c>
      <c r="AB201" s="71">
        <v>0</v>
      </c>
      <c r="AC201" s="71">
        <v>0</v>
      </c>
      <c r="AD201" s="71">
        <v>0</v>
      </c>
      <c r="AE201" s="13">
        <v>0</v>
      </c>
      <c r="AF201" s="13">
        <v>0</v>
      </c>
      <c r="AG201" s="13"/>
      <c r="AH201" s="13"/>
      <c r="AI201" s="20"/>
      <c r="AK201" s="11">
        <f t="shared" ref="AK201:AK264" si="25">SUM(L201:AJ201)</f>
        <v>360000</v>
      </c>
      <c r="AL201" s="11">
        <f t="shared" si="21"/>
        <v>30000</v>
      </c>
      <c r="AM201" s="11">
        <f t="shared" ref="AM201:AM264" si="26">IF(AK201&lt;=600000,0,
IF(AK201&lt;=1200000,(AK201-600000)*0.01,
IF(AK201&lt;=2200000,(AK201-1200000)*0.11+6000,
IF(AK201&lt;=3200000,(AK201-2200000)*0.23+116000,
IF(AK201&lt;=4100000,(AK201-3200000)*0.3+346000,
(AK201-4100000)*0.35+616000)))))
*(1+IF(AK201&gt;10000000,9%,0))</f>
        <v>0</v>
      </c>
      <c r="AN201" s="11">
        <f>VLOOKUP(C201,'Paid Tax'!B196:M557,12,FALSE)</f>
        <v>0</v>
      </c>
      <c r="AO201" s="11">
        <f t="shared" si="22"/>
        <v>0</v>
      </c>
      <c r="AP201" s="13">
        <v>5</v>
      </c>
      <c r="AQ201" s="16">
        <f t="shared" si="23"/>
        <v>0</v>
      </c>
      <c r="AR201" s="13"/>
      <c r="AS201" s="11">
        <f t="shared" ref="AS201:AS264" si="27">-AQ201</f>
        <v>0</v>
      </c>
      <c r="AT201" s="13"/>
    </row>
    <row r="202" spans="1:46" x14ac:dyDescent="0.25">
      <c r="A202" s="12">
        <v>195</v>
      </c>
      <c r="B202" s="63" t="s">
        <v>293</v>
      </c>
      <c r="C202" s="56">
        <v>10641</v>
      </c>
      <c r="D202" s="66" t="s">
        <v>408</v>
      </c>
      <c r="E202" s="66" t="s">
        <v>149</v>
      </c>
      <c r="F202" s="59" t="s">
        <v>280</v>
      </c>
      <c r="G202" s="4">
        <v>30000</v>
      </c>
      <c r="H202" s="4"/>
      <c r="I202" s="4"/>
      <c r="J202" s="4">
        <v>0</v>
      </c>
      <c r="K202" s="4">
        <v>0</v>
      </c>
      <c r="L202" s="11">
        <f t="shared" si="24"/>
        <v>360000</v>
      </c>
      <c r="M202" s="69">
        <v>0</v>
      </c>
      <c r="N202" s="71">
        <v>0</v>
      </c>
      <c r="O202" s="71">
        <v>0</v>
      </c>
      <c r="P202" s="71">
        <v>0</v>
      </c>
      <c r="Q202" s="71">
        <f>VLOOKUP(C202,Incentives!C196:K535,9,FALSE)</f>
        <v>0</v>
      </c>
      <c r="R202" s="71">
        <v>0</v>
      </c>
      <c r="S202" s="13">
        <v>0</v>
      </c>
      <c r="T202" s="13">
        <v>0</v>
      </c>
      <c r="U202" s="13"/>
      <c r="V202" s="13"/>
      <c r="Y202" s="71">
        <v>0</v>
      </c>
      <c r="Z202" s="71">
        <v>0</v>
      </c>
      <c r="AA202" s="71">
        <v>0</v>
      </c>
      <c r="AB202" s="71">
        <v>0</v>
      </c>
      <c r="AC202" s="71">
        <v>0</v>
      </c>
      <c r="AD202" s="71">
        <v>0</v>
      </c>
      <c r="AE202" s="13">
        <v>0</v>
      </c>
      <c r="AF202" s="13">
        <v>0</v>
      </c>
      <c r="AI202" s="20"/>
      <c r="AJ202" s="13"/>
      <c r="AK202" s="11">
        <f t="shared" si="25"/>
        <v>360000</v>
      </c>
      <c r="AL202" s="11">
        <f t="shared" si="21"/>
        <v>30000</v>
      </c>
      <c r="AM202" s="11">
        <f t="shared" si="26"/>
        <v>0</v>
      </c>
      <c r="AN202" s="11">
        <f>VLOOKUP(C202,'Paid Tax'!B197:M558,12,FALSE)</f>
        <v>0</v>
      </c>
      <c r="AO202" s="11">
        <f t="shared" si="22"/>
        <v>0</v>
      </c>
      <c r="AP202" s="13">
        <v>5</v>
      </c>
      <c r="AQ202" s="16">
        <f t="shared" si="23"/>
        <v>0</v>
      </c>
      <c r="AS202" s="11">
        <f t="shared" si="27"/>
        <v>0</v>
      </c>
      <c r="AT202" s="13"/>
    </row>
    <row r="203" spans="1:46" x14ac:dyDescent="0.25">
      <c r="A203" s="12">
        <v>196</v>
      </c>
      <c r="B203" s="60" t="s">
        <v>293</v>
      </c>
      <c r="C203" s="53">
        <v>10294</v>
      </c>
      <c r="D203" s="38" t="s">
        <v>191</v>
      </c>
      <c r="E203" s="38" t="s">
        <v>69</v>
      </c>
      <c r="F203" s="37" t="s">
        <v>284</v>
      </c>
      <c r="G203" s="67">
        <v>28081</v>
      </c>
      <c r="H203" s="67"/>
      <c r="I203" s="67"/>
      <c r="J203" s="4">
        <v>3003.8500000000004</v>
      </c>
      <c r="K203" s="4">
        <v>3003.8500000000004</v>
      </c>
      <c r="L203" s="11">
        <f t="shared" si="24"/>
        <v>342979.69999999995</v>
      </c>
      <c r="M203" s="69">
        <v>0</v>
      </c>
      <c r="N203" s="71">
        <v>0</v>
      </c>
      <c r="O203" s="71">
        <v>0</v>
      </c>
      <c r="P203" s="71">
        <v>0</v>
      </c>
      <c r="Q203" s="71">
        <f>VLOOKUP(C203,Incentives!C197:K536,9,FALSE)</f>
        <v>0</v>
      </c>
      <c r="R203" s="71">
        <v>0</v>
      </c>
      <c r="S203" s="13">
        <v>0</v>
      </c>
      <c r="T203" s="13">
        <v>0</v>
      </c>
      <c r="U203" s="13"/>
      <c r="V203" s="13"/>
      <c r="Y203" s="71">
        <v>1250</v>
      </c>
      <c r="Z203" s="71">
        <v>0</v>
      </c>
      <c r="AA203" s="71">
        <v>0</v>
      </c>
      <c r="AB203" s="71">
        <v>0</v>
      </c>
      <c r="AC203" s="71">
        <v>0</v>
      </c>
      <c r="AD203" s="71">
        <v>0</v>
      </c>
      <c r="AE203" s="13">
        <v>0</v>
      </c>
      <c r="AF203" s="13">
        <v>0</v>
      </c>
      <c r="AI203" s="20"/>
      <c r="AJ203" s="13"/>
      <c r="AK203" s="11">
        <f t="shared" si="25"/>
        <v>344229.69999999995</v>
      </c>
      <c r="AL203" s="11">
        <f t="shared" si="21"/>
        <v>28685.808333333331</v>
      </c>
      <c r="AM203" s="11">
        <f t="shared" si="26"/>
        <v>0</v>
      </c>
      <c r="AN203" s="11">
        <f>VLOOKUP(C203,'Paid Tax'!B198:M559,12,FALSE)</f>
        <v>0</v>
      </c>
      <c r="AO203" s="11">
        <f t="shared" si="22"/>
        <v>0</v>
      </c>
      <c r="AP203" s="13">
        <v>5</v>
      </c>
      <c r="AQ203" s="16">
        <f t="shared" si="23"/>
        <v>0</v>
      </c>
      <c r="AS203" s="11">
        <f t="shared" si="27"/>
        <v>0</v>
      </c>
      <c r="AT203" s="13"/>
    </row>
    <row r="204" spans="1:46" x14ac:dyDescent="0.25">
      <c r="A204" s="12">
        <v>197</v>
      </c>
      <c r="B204" s="60" t="s">
        <v>293</v>
      </c>
      <c r="C204" s="53">
        <v>10295</v>
      </c>
      <c r="D204" s="38" t="s">
        <v>192</v>
      </c>
      <c r="E204" s="38" t="s">
        <v>69</v>
      </c>
      <c r="F204" s="37" t="s">
        <v>284</v>
      </c>
      <c r="G204" s="4">
        <v>29200</v>
      </c>
      <c r="H204" s="4"/>
      <c r="I204" s="4"/>
      <c r="J204" s="4">
        <v>3057.15</v>
      </c>
      <c r="K204" s="4">
        <v>3057.15</v>
      </c>
      <c r="L204" s="11">
        <f t="shared" si="24"/>
        <v>356514.30000000005</v>
      </c>
      <c r="M204" s="69">
        <v>1500</v>
      </c>
      <c r="N204" s="71">
        <v>1620</v>
      </c>
      <c r="O204" s="71">
        <v>0</v>
      </c>
      <c r="P204" s="71">
        <v>0</v>
      </c>
      <c r="Q204" s="71">
        <f>VLOOKUP(C204,Incentives!C198:K537,9,FALSE)</f>
        <v>0</v>
      </c>
      <c r="R204" s="71">
        <v>0</v>
      </c>
      <c r="S204" s="13">
        <v>0</v>
      </c>
      <c r="T204" s="13">
        <v>0</v>
      </c>
      <c r="U204" s="13"/>
      <c r="V204" s="13"/>
      <c r="Y204" s="71">
        <v>0</v>
      </c>
      <c r="Z204" s="71">
        <v>0</v>
      </c>
      <c r="AA204" s="71">
        <v>0</v>
      </c>
      <c r="AB204" s="71">
        <v>0</v>
      </c>
      <c r="AC204" s="71">
        <v>0</v>
      </c>
      <c r="AD204" s="71">
        <v>0</v>
      </c>
      <c r="AE204" s="13">
        <v>0</v>
      </c>
      <c r="AF204" s="13">
        <v>0</v>
      </c>
      <c r="AI204" s="20"/>
      <c r="AJ204" s="13"/>
      <c r="AK204" s="11">
        <f t="shared" si="25"/>
        <v>359634.30000000005</v>
      </c>
      <c r="AL204" s="11">
        <f t="shared" si="21"/>
        <v>29969.525000000005</v>
      </c>
      <c r="AM204" s="11">
        <f t="shared" si="26"/>
        <v>0</v>
      </c>
      <c r="AN204" s="11">
        <f>VLOOKUP(C204,'Paid Tax'!B199:M560,12,FALSE)</f>
        <v>0</v>
      </c>
      <c r="AO204" s="11">
        <f t="shared" si="22"/>
        <v>0</v>
      </c>
      <c r="AP204" s="13">
        <v>5</v>
      </c>
      <c r="AQ204" s="16">
        <f t="shared" si="23"/>
        <v>0</v>
      </c>
      <c r="AS204" s="11">
        <f t="shared" si="27"/>
        <v>0</v>
      </c>
      <c r="AT204" s="13"/>
    </row>
    <row r="205" spans="1:46" x14ac:dyDescent="0.25">
      <c r="A205" s="12">
        <v>198</v>
      </c>
      <c r="B205" s="60" t="s">
        <v>295</v>
      </c>
      <c r="C205" s="53">
        <v>10063</v>
      </c>
      <c r="D205" s="38" t="s">
        <v>193</v>
      </c>
      <c r="E205" s="38" t="s">
        <v>378</v>
      </c>
      <c r="F205" s="37" t="s">
        <v>283</v>
      </c>
      <c r="G205" s="4">
        <v>88848</v>
      </c>
      <c r="H205" s="4"/>
      <c r="I205" s="4"/>
      <c r="J205" s="4">
        <v>20000</v>
      </c>
      <c r="K205" s="4">
        <v>20000</v>
      </c>
      <c r="L205" s="11">
        <f t="shared" si="24"/>
        <v>1106176</v>
      </c>
      <c r="M205" s="69">
        <v>0</v>
      </c>
      <c r="N205" s="71">
        <v>0</v>
      </c>
      <c r="O205" s="71">
        <v>0</v>
      </c>
      <c r="P205" s="71">
        <v>0</v>
      </c>
      <c r="Q205" s="71">
        <f>VLOOKUP(C205,Incentives!C199:K538,9,FALSE)</f>
        <v>0</v>
      </c>
      <c r="R205" s="71">
        <v>0</v>
      </c>
      <c r="S205" s="13">
        <v>0</v>
      </c>
      <c r="T205" s="13">
        <v>0</v>
      </c>
      <c r="U205" s="13"/>
      <c r="V205" s="13"/>
      <c r="Y205" s="71">
        <v>4810</v>
      </c>
      <c r="Z205" s="71">
        <v>150795</v>
      </c>
      <c r="AA205" s="71">
        <v>130194</v>
      </c>
      <c r="AB205" s="71">
        <v>3301</v>
      </c>
      <c r="AC205" s="71">
        <v>44330</v>
      </c>
      <c r="AD205" s="71">
        <v>35152</v>
      </c>
      <c r="AE205" s="13">
        <v>2747</v>
      </c>
      <c r="AF205" s="13">
        <v>1900</v>
      </c>
      <c r="AI205" s="20"/>
      <c r="AJ205" s="13"/>
      <c r="AK205" s="11">
        <f t="shared" si="25"/>
        <v>1479405</v>
      </c>
      <c r="AL205" s="11">
        <f t="shared" si="21"/>
        <v>123283.75</v>
      </c>
      <c r="AM205" s="11">
        <f t="shared" si="26"/>
        <v>36734.550000000003</v>
      </c>
      <c r="AN205" s="11">
        <f>VLOOKUP(C205,'Paid Tax'!B200:M561,12,FALSE)</f>
        <v>17471.370349927842</v>
      </c>
      <c r="AO205" s="11">
        <f t="shared" si="22"/>
        <v>19263.179650072161</v>
      </c>
      <c r="AP205" s="13">
        <v>5</v>
      </c>
      <c r="AQ205" s="16">
        <f t="shared" si="23"/>
        <v>3852.6359300144322</v>
      </c>
      <c r="AS205" s="11">
        <f t="shared" si="27"/>
        <v>-3852.6359300144322</v>
      </c>
      <c r="AT205" s="13"/>
    </row>
    <row r="206" spans="1:46" x14ac:dyDescent="0.25">
      <c r="A206" s="12">
        <v>199</v>
      </c>
      <c r="B206" s="60" t="s">
        <v>295</v>
      </c>
      <c r="C206" s="53">
        <v>10387</v>
      </c>
      <c r="D206" s="38" t="s">
        <v>101</v>
      </c>
      <c r="E206" s="38" t="s">
        <v>129</v>
      </c>
      <c r="F206" s="37" t="s">
        <v>284</v>
      </c>
      <c r="G206" s="4">
        <v>38700</v>
      </c>
      <c r="H206" s="4"/>
      <c r="I206" s="4"/>
      <c r="J206" s="4">
        <v>4700</v>
      </c>
      <c r="K206" s="4">
        <v>4700</v>
      </c>
      <c r="L206" s="11">
        <f t="shared" si="24"/>
        <v>473800</v>
      </c>
      <c r="M206" s="69">
        <v>0</v>
      </c>
      <c r="N206" s="71">
        <v>0</v>
      </c>
      <c r="O206" s="71">
        <v>0</v>
      </c>
      <c r="P206" s="71">
        <v>0</v>
      </c>
      <c r="Q206" s="71">
        <f>VLOOKUP(C206,Incentives!C200:K539,9,FALSE)</f>
        <v>0</v>
      </c>
      <c r="R206" s="71">
        <v>0</v>
      </c>
      <c r="S206" s="13">
        <v>0</v>
      </c>
      <c r="T206" s="13">
        <v>0</v>
      </c>
      <c r="U206" s="13"/>
      <c r="V206" s="13"/>
      <c r="Y206" s="71">
        <v>0</v>
      </c>
      <c r="Z206" s="71">
        <v>0</v>
      </c>
      <c r="AA206" s="71">
        <v>0</v>
      </c>
      <c r="AB206" s="71">
        <v>0</v>
      </c>
      <c r="AC206" s="71">
        <v>0</v>
      </c>
      <c r="AD206" s="71">
        <v>0</v>
      </c>
      <c r="AE206" s="13">
        <v>0</v>
      </c>
      <c r="AF206" s="13">
        <v>0</v>
      </c>
      <c r="AI206" s="20"/>
      <c r="AJ206" s="13"/>
      <c r="AK206" s="11">
        <f t="shared" si="25"/>
        <v>473800</v>
      </c>
      <c r="AL206" s="11">
        <f t="shared" si="21"/>
        <v>39483.333333333336</v>
      </c>
      <c r="AM206" s="11">
        <f t="shared" si="26"/>
        <v>0</v>
      </c>
      <c r="AN206" s="11">
        <f>VLOOKUP(C206,'Paid Tax'!B201:M562,12,FALSE)</f>
        <v>0</v>
      </c>
      <c r="AO206" s="11">
        <f t="shared" si="22"/>
        <v>0</v>
      </c>
      <c r="AP206" s="13">
        <v>5</v>
      </c>
      <c r="AQ206" s="16">
        <f t="shared" si="23"/>
        <v>0</v>
      </c>
      <c r="AS206" s="11">
        <f t="shared" si="27"/>
        <v>0</v>
      </c>
      <c r="AT206" s="13"/>
    </row>
    <row r="207" spans="1:46" x14ac:dyDescent="0.25">
      <c r="A207" s="12">
        <v>200</v>
      </c>
      <c r="B207" s="60" t="s">
        <v>295</v>
      </c>
      <c r="C207" s="53">
        <v>10067</v>
      </c>
      <c r="D207" s="38" t="s">
        <v>194</v>
      </c>
      <c r="E207" s="38" t="s">
        <v>69</v>
      </c>
      <c r="F207" s="37" t="s">
        <v>284</v>
      </c>
      <c r="G207" s="67">
        <v>38225</v>
      </c>
      <c r="H207" s="67"/>
      <c r="I207" s="67"/>
      <c r="J207" s="4">
        <v>4677.3999999999996</v>
      </c>
      <c r="K207" s="4">
        <v>4677.3999999999996</v>
      </c>
      <c r="L207" s="11">
        <f t="shared" si="24"/>
        <v>468054.80000000005</v>
      </c>
      <c r="M207" s="69">
        <v>4850</v>
      </c>
      <c r="N207" s="71">
        <v>6180</v>
      </c>
      <c r="O207" s="71">
        <v>3560</v>
      </c>
      <c r="P207" s="71">
        <v>4700</v>
      </c>
      <c r="Q207" s="71">
        <f>VLOOKUP(C207,Incentives!C201:K540,9,FALSE)</f>
        <v>4800</v>
      </c>
      <c r="R207" s="71">
        <v>4400</v>
      </c>
      <c r="S207" s="13">
        <v>4365</v>
      </c>
      <c r="T207" s="13">
        <v>2430</v>
      </c>
      <c r="U207" s="13"/>
      <c r="V207" s="13"/>
      <c r="Y207" s="71">
        <v>0</v>
      </c>
      <c r="Z207" s="71">
        <v>0</v>
      </c>
      <c r="AA207" s="71">
        <v>0</v>
      </c>
      <c r="AB207" s="71">
        <v>0</v>
      </c>
      <c r="AC207" s="71">
        <v>0</v>
      </c>
      <c r="AD207" s="71">
        <v>0</v>
      </c>
      <c r="AE207" s="13">
        <v>0</v>
      </c>
      <c r="AF207" s="13">
        <v>0</v>
      </c>
      <c r="AI207" s="20"/>
      <c r="AJ207" s="13"/>
      <c r="AK207" s="11">
        <f t="shared" si="25"/>
        <v>503339.80000000005</v>
      </c>
      <c r="AL207" s="11">
        <f t="shared" si="21"/>
        <v>41944.983333333337</v>
      </c>
      <c r="AM207" s="11">
        <f t="shared" si="26"/>
        <v>0</v>
      </c>
      <c r="AN207" s="11">
        <f>VLOOKUP(C207,'Paid Tax'!B202:M563,12,FALSE)</f>
        <v>0</v>
      </c>
      <c r="AO207" s="11">
        <f t="shared" si="22"/>
        <v>0</v>
      </c>
      <c r="AP207" s="13">
        <v>5</v>
      </c>
      <c r="AQ207" s="16">
        <f t="shared" si="23"/>
        <v>0</v>
      </c>
      <c r="AS207" s="11">
        <f t="shared" si="27"/>
        <v>0</v>
      </c>
      <c r="AT207" s="13"/>
    </row>
    <row r="208" spans="1:46" x14ac:dyDescent="0.25">
      <c r="A208" s="12">
        <v>201</v>
      </c>
      <c r="B208" s="60" t="s">
        <v>295</v>
      </c>
      <c r="C208" s="53">
        <v>10411</v>
      </c>
      <c r="D208" s="38" t="s">
        <v>195</v>
      </c>
      <c r="E208" s="38" t="s">
        <v>69</v>
      </c>
      <c r="F208" s="37" t="s">
        <v>284</v>
      </c>
      <c r="G208" s="4">
        <v>30100</v>
      </c>
      <c r="H208" s="4"/>
      <c r="I208" s="4"/>
      <c r="J208" s="4">
        <v>3100</v>
      </c>
      <c r="K208" s="4">
        <v>3100</v>
      </c>
      <c r="L208" s="11">
        <f t="shared" si="24"/>
        <v>367400</v>
      </c>
      <c r="M208" s="69">
        <v>0</v>
      </c>
      <c r="N208" s="71">
        <v>0</v>
      </c>
      <c r="O208" s="71">
        <v>0</v>
      </c>
      <c r="P208" s="71">
        <v>0</v>
      </c>
      <c r="Q208" s="71">
        <f>VLOOKUP(C208,Incentives!C202:K541,9,FALSE)</f>
        <v>0</v>
      </c>
      <c r="R208" s="71">
        <v>0</v>
      </c>
      <c r="S208" s="13">
        <v>0</v>
      </c>
      <c r="T208" s="13">
        <v>0</v>
      </c>
      <c r="U208" s="13"/>
      <c r="V208" s="13"/>
      <c r="Y208" s="71">
        <v>0</v>
      </c>
      <c r="Z208" s="71">
        <v>0</v>
      </c>
      <c r="AA208" s="71">
        <v>0</v>
      </c>
      <c r="AB208" s="71">
        <v>0</v>
      </c>
      <c r="AC208" s="71">
        <v>0</v>
      </c>
      <c r="AD208" s="71">
        <v>0</v>
      </c>
      <c r="AE208" s="13">
        <v>0</v>
      </c>
      <c r="AF208" s="13">
        <v>0</v>
      </c>
      <c r="AI208" s="20"/>
      <c r="AJ208" s="13"/>
      <c r="AK208" s="11">
        <f t="shared" si="25"/>
        <v>367400</v>
      </c>
      <c r="AL208" s="11">
        <f t="shared" si="21"/>
        <v>30616.666666666668</v>
      </c>
      <c r="AM208" s="11">
        <f t="shared" si="26"/>
        <v>0</v>
      </c>
      <c r="AN208" s="11">
        <f>VLOOKUP(C208,'Paid Tax'!B203:M564,12,FALSE)</f>
        <v>0</v>
      </c>
      <c r="AO208" s="11">
        <f t="shared" si="22"/>
        <v>0</v>
      </c>
      <c r="AP208" s="13">
        <v>5</v>
      </c>
      <c r="AQ208" s="16">
        <f t="shared" si="23"/>
        <v>0</v>
      </c>
      <c r="AS208" s="11">
        <f t="shared" si="27"/>
        <v>0</v>
      </c>
      <c r="AT208" s="13"/>
    </row>
    <row r="209" spans="1:46" x14ac:dyDescent="0.25">
      <c r="A209" s="12">
        <v>202</v>
      </c>
      <c r="B209" s="60" t="s">
        <v>295</v>
      </c>
      <c r="C209" s="53">
        <v>10075</v>
      </c>
      <c r="D209" s="38" t="s">
        <v>196</v>
      </c>
      <c r="E209" s="38" t="s">
        <v>197</v>
      </c>
      <c r="F209" s="37" t="s">
        <v>275</v>
      </c>
      <c r="G209" s="4">
        <v>32909</v>
      </c>
      <c r="H209" s="4"/>
      <c r="I209" s="4"/>
      <c r="J209" s="4">
        <v>3471.8500000000004</v>
      </c>
      <c r="K209" s="4">
        <v>3471.8500000000004</v>
      </c>
      <c r="L209" s="11">
        <f t="shared" si="24"/>
        <v>401851.69999999995</v>
      </c>
      <c r="M209" s="69">
        <v>0</v>
      </c>
      <c r="N209" s="71">
        <v>0</v>
      </c>
      <c r="O209" s="71">
        <v>0</v>
      </c>
      <c r="P209" s="71">
        <v>0</v>
      </c>
      <c r="Q209" s="71">
        <f>VLOOKUP(C209,Incentives!C203:K542,9,FALSE)</f>
        <v>0</v>
      </c>
      <c r="R209" s="71">
        <v>0</v>
      </c>
      <c r="S209" s="13">
        <v>0</v>
      </c>
      <c r="T209" s="13">
        <v>0</v>
      </c>
      <c r="U209" s="13"/>
      <c r="V209" s="13"/>
      <c r="Y209" s="71">
        <v>0</v>
      </c>
      <c r="Z209" s="71">
        <v>0</v>
      </c>
      <c r="AA209" s="71">
        <v>0</v>
      </c>
      <c r="AB209" s="71">
        <v>0</v>
      </c>
      <c r="AC209" s="71">
        <v>0</v>
      </c>
      <c r="AD209" s="71">
        <v>0</v>
      </c>
      <c r="AE209" s="13">
        <v>0</v>
      </c>
      <c r="AF209" s="13">
        <v>0</v>
      </c>
      <c r="AI209" s="20"/>
      <c r="AJ209" s="13"/>
      <c r="AK209" s="11">
        <f t="shared" si="25"/>
        <v>401851.69999999995</v>
      </c>
      <c r="AL209" s="11">
        <f t="shared" si="21"/>
        <v>33487.641666666663</v>
      </c>
      <c r="AM209" s="11">
        <f t="shared" si="26"/>
        <v>0</v>
      </c>
      <c r="AN209" s="11">
        <f>VLOOKUP(C209,'Paid Tax'!B204:M565,12,FALSE)</f>
        <v>0</v>
      </c>
      <c r="AO209" s="11">
        <f t="shared" si="22"/>
        <v>0</v>
      </c>
      <c r="AP209" s="13">
        <v>5</v>
      </c>
      <c r="AQ209" s="16">
        <f t="shared" si="23"/>
        <v>0</v>
      </c>
      <c r="AS209" s="11">
        <f t="shared" si="27"/>
        <v>0</v>
      </c>
      <c r="AT209" s="13"/>
    </row>
    <row r="210" spans="1:46" x14ac:dyDescent="0.25">
      <c r="A210" s="12">
        <v>203</v>
      </c>
      <c r="B210" s="60" t="s">
        <v>295</v>
      </c>
      <c r="C210" s="53">
        <v>10301</v>
      </c>
      <c r="D210" s="38" t="s">
        <v>198</v>
      </c>
      <c r="E210" s="38" t="s">
        <v>106</v>
      </c>
      <c r="F210" s="37" t="s">
        <v>275</v>
      </c>
      <c r="G210" s="4">
        <v>33643</v>
      </c>
      <c r="H210" s="4"/>
      <c r="I210" s="4"/>
      <c r="J210" s="4">
        <v>3983</v>
      </c>
      <c r="K210" s="4">
        <v>3983</v>
      </c>
      <c r="L210" s="11">
        <f t="shared" si="24"/>
        <v>411682</v>
      </c>
      <c r="M210" s="69">
        <v>0</v>
      </c>
      <c r="N210" s="71">
        <v>0</v>
      </c>
      <c r="O210" s="71">
        <v>0</v>
      </c>
      <c r="P210" s="71">
        <v>0</v>
      </c>
      <c r="Q210" s="71">
        <f>VLOOKUP(C210,Incentives!C204:K543,9,FALSE)</f>
        <v>0</v>
      </c>
      <c r="R210" s="71">
        <v>0</v>
      </c>
      <c r="S210" s="13">
        <v>0</v>
      </c>
      <c r="T210" s="13">
        <v>0</v>
      </c>
      <c r="U210" s="13"/>
      <c r="V210" s="13"/>
      <c r="Y210" s="71">
        <v>0</v>
      </c>
      <c r="Z210" s="71">
        <v>0</v>
      </c>
      <c r="AA210" s="71">
        <v>0</v>
      </c>
      <c r="AB210" s="71">
        <v>0</v>
      </c>
      <c r="AC210" s="71">
        <v>0</v>
      </c>
      <c r="AD210" s="71">
        <v>0</v>
      </c>
      <c r="AE210" s="13">
        <v>0</v>
      </c>
      <c r="AF210" s="13">
        <v>0</v>
      </c>
      <c r="AI210" s="20"/>
      <c r="AJ210" s="13"/>
      <c r="AK210" s="11">
        <f t="shared" si="25"/>
        <v>411682</v>
      </c>
      <c r="AL210" s="11">
        <f t="shared" si="21"/>
        <v>34306.833333333336</v>
      </c>
      <c r="AM210" s="11">
        <f t="shared" si="26"/>
        <v>0</v>
      </c>
      <c r="AN210" s="11">
        <f>VLOOKUP(C210,'Paid Tax'!B205:M566,12,FALSE)</f>
        <v>0</v>
      </c>
      <c r="AO210" s="11">
        <f t="shared" si="22"/>
        <v>0</v>
      </c>
      <c r="AP210" s="13">
        <v>5</v>
      </c>
      <c r="AQ210" s="16">
        <f t="shared" si="23"/>
        <v>0</v>
      </c>
      <c r="AS210" s="11">
        <f t="shared" si="27"/>
        <v>0</v>
      </c>
      <c r="AT210" s="13"/>
    </row>
    <row r="211" spans="1:46" x14ac:dyDescent="0.25">
      <c r="A211" s="12">
        <v>204</v>
      </c>
      <c r="B211" s="60" t="s">
        <v>295</v>
      </c>
      <c r="C211" s="53">
        <v>10076</v>
      </c>
      <c r="D211" s="38" t="s">
        <v>199</v>
      </c>
      <c r="E211" s="38" t="s">
        <v>199</v>
      </c>
      <c r="F211" s="37" t="s">
        <v>275</v>
      </c>
      <c r="G211" s="4">
        <v>3000</v>
      </c>
      <c r="H211" s="4"/>
      <c r="I211" s="4"/>
      <c r="J211" s="4">
        <v>0</v>
      </c>
      <c r="K211" s="4">
        <v>0</v>
      </c>
      <c r="L211" s="11">
        <f t="shared" si="24"/>
        <v>36000</v>
      </c>
      <c r="M211" s="69">
        <v>0</v>
      </c>
      <c r="N211" s="71">
        <v>0</v>
      </c>
      <c r="O211" s="71">
        <v>0</v>
      </c>
      <c r="P211" s="71">
        <v>0</v>
      </c>
      <c r="Q211" s="71">
        <f>VLOOKUP(C211,Incentives!C205:K544,9,FALSE)</f>
        <v>0</v>
      </c>
      <c r="R211" s="71">
        <v>0</v>
      </c>
      <c r="S211" s="13">
        <v>0</v>
      </c>
      <c r="T211" s="13">
        <v>0</v>
      </c>
      <c r="U211" s="13"/>
      <c r="V211" s="13"/>
      <c r="Y211" s="71">
        <v>0</v>
      </c>
      <c r="Z211" s="71">
        <v>0</v>
      </c>
      <c r="AA211" s="71">
        <v>0</v>
      </c>
      <c r="AB211" s="71">
        <v>0</v>
      </c>
      <c r="AC211" s="71">
        <v>0</v>
      </c>
      <c r="AD211" s="71">
        <v>0</v>
      </c>
      <c r="AE211" s="13">
        <v>0</v>
      </c>
      <c r="AF211" s="13">
        <v>0</v>
      </c>
      <c r="AI211" s="22"/>
      <c r="AJ211" s="18"/>
      <c r="AK211" s="11">
        <f t="shared" si="25"/>
        <v>36000</v>
      </c>
      <c r="AL211" s="11">
        <f t="shared" si="21"/>
        <v>3000</v>
      </c>
      <c r="AM211" s="11">
        <f t="shared" si="26"/>
        <v>0</v>
      </c>
      <c r="AN211" s="11">
        <f>VLOOKUP(C211,'Paid Tax'!B206:M567,12,FALSE)</f>
        <v>0</v>
      </c>
      <c r="AO211" s="11">
        <f t="shared" si="22"/>
        <v>0</v>
      </c>
      <c r="AP211" s="13">
        <v>5</v>
      </c>
      <c r="AQ211" s="16">
        <f t="shared" si="23"/>
        <v>0</v>
      </c>
      <c r="AS211" s="11">
        <f t="shared" si="27"/>
        <v>0</v>
      </c>
      <c r="AT211" s="13"/>
    </row>
    <row r="212" spans="1:46" x14ac:dyDescent="0.25">
      <c r="A212" s="12">
        <v>205</v>
      </c>
      <c r="B212" s="60" t="s">
        <v>295</v>
      </c>
      <c r="C212" s="53">
        <v>10156</v>
      </c>
      <c r="D212" s="38" t="s">
        <v>200</v>
      </c>
      <c r="E212" s="38" t="s">
        <v>69</v>
      </c>
      <c r="F212" s="37" t="s">
        <v>284</v>
      </c>
      <c r="G212" s="67">
        <v>31156</v>
      </c>
      <c r="H212" s="67"/>
      <c r="I212" s="67"/>
      <c r="J212" s="4">
        <v>4340.75</v>
      </c>
      <c r="K212" s="4">
        <v>4340.75</v>
      </c>
      <c r="L212" s="11">
        <f t="shared" si="24"/>
        <v>382553.5</v>
      </c>
      <c r="M212" s="69">
        <v>12300</v>
      </c>
      <c r="N212" s="71">
        <v>9440</v>
      </c>
      <c r="O212" s="71">
        <v>6420</v>
      </c>
      <c r="P212" s="71">
        <v>6120</v>
      </c>
      <c r="Q212" s="71">
        <f>VLOOKUP(C212,Incentives!C206:K545,9,FALSE)</f>
        <v>1980</v>
      </c>
      <c r="R212" s="71">
        <v>2130</v>
      </c>
      <c r="S212" s="13">
        <v>1560</v>
      </c>
      <c r="T212" s="13">
        <v>6955</v>
      </c>
      <c r="U212" s="13"/>
      <c r="V212" s="13"/>
      <c r="Y212" s="71">
        <v>0</v>
      </c>
      <c r="Z212" s="71">
        <v>0</v>
      </c>
      <c r="AA212" s="71">
        <v>0</v>
      </c>
      <c r="AB212" s="71">
        <v>0</v>
      </c>
      <c r="AC212" s="71">
        <v>0</v>
      </c>
      <c r="AD212" s="71">
        <v>0</v>
      </c>
      <c r="AE212" s="13">
        <v>0</v>
      </c>
      <c r="AF212" s="13">
        <v>0</v>
      </c>
      <c r="AI212" s="20"/>
      <c r="AJ212" s="13"/>
      <c r="AK212" s="11">
        <f t="shared" si="25"/>
        <v>429458.5</v>
      </c>
      <c r="AL212" s="11">
        <f t="shared" si="21"/>
        <v>35788.208333333336</v>
      </c>
      <c r="AM212" s="11">
        <f t="shared" si="26"/>
        <v>0</v>
      </c>
      <c r="AN212" s="11">
        <f>VLOOKUP(C212,'Paid Tax'!B207:M568,12,FALSE)</f>
        <v>0</v>
      </c>
      <c r="AO212" s="11">
        <f t="shared" si="22"/>
        <v>0</v>
      </c>
      <c r="AP212" s="13">
        <v>5</v>
      </c>
      <c r="AQ212" s="16">
        <f t="shared" si="23"/>
        <v>0</v>
      </c>
      <c r="AS212" s="11">
        <f t="shared" si="27"/>
        <v>0</v>
      </c>
      <c r="AT212" s="13"/>
    </row>
    <row r="213" spans="1:46" x14ac:dyDescent="0.25">
      <c r="A213" s="12">
        <v>206</v>
      </c>
      <c r="B213" s="60" t="s">
        <v>295</v>
      </c>
      <c r="C213" s="53">
        <v>10181</v>
      </c>
      <c r="D213" s="38" t="s">
        <v>116</v>
      </c>
      <c r="E213" s="38" t="s">
        <v>69</v>
      </c>
      <c r="F213" s="37" t="s">
        <v>284</v>
      </c>
      <c r="G213" s="4">
        <v>29559</v>
      </c>
      <c r="H213" s="4"/>
      <c r="I213" s="4"/>
      <c r="J213" s="4">
        <v>4264.7000000000007</v>
      </c>
      <c r="K213" s="4">
        <v>4264.7000000000007</v>
      </c>
      <c r="L213" s="11">
        <f t="shared" si="24"/>
        <v>363237.4</v>
      </c>
      <c r="M213" s="69">
        <v>9040</v>
      </c>
      <c r="N213" s="71">
        <v>9280</v>
      </c>
      <c r="O213" s="71">
        <v>4800</v>
      </c>
      <c r="P213" s="71">
        <v>3400</v>
      </c>
      <c r="Q213" s="71">
        <f>VLOOKUP(C213,Incentives!C207:K546,9,FALSE)</f>
        <v>9200</v>
      </c>
      <c r="R213" s="71">
        <v>11270</v>
      </c>
      <c r="S213" s="13">
        <v>10290</v>
      </c>
      <c r="T213" s="13">
        <v>1740</v>
      </c>
      <c r="U213" s="13"/>
      <c r="V213" s="13"/>
      <c r="Y213" s="71">
        <v>0</v>
      </c>
      <c r="Z213" s="71">
        <v>0</v>
      </c>
      <c r="AA213" s="71">
        <v>0</v>
      </c>
      <c r="AB213" s="71">
        <v>0</v>
      </c>
      <c r="AC213" s="71">
        <v>0</v>
      </c>
      <c r="AD213" s="71">
        <v>0</v>
      </c>
      <c r="AE213" s="13">
        <v>0</v>
      </c>
      <c r="AF213" s="13">
        <v>0</v>
      </c>
      <c r="AI213" s="20"/>
      <c r="AJ213" s="13"/>
      <c r="AK213" s="11">
        <f t="shared" si="25"/>
        <v>422257.4</v>
      </c>
      <c r="AL213" s="11">
        <f t="shared" si="21"/>
        <v>35188.116666666669</v>
      </c>
      <c r="AM213" s="11">
        <f t="shared" si="26"/>
        <v>0</v>
      </c>
      <c r="AN213" s="11">
        <f>VLOOKUP(C213,'Paid Tax'!B208:M569,12,FALSE)</f>
        <v>0</v>
      </c>
      <c r="AO213" s="11">
        <f t="shared" si="22"/>
        <v>0</v>
      </c>
      <c r="AP213" s="13">
        <v>5</v>
      </c>
      <c r="AQ213" s="16">
        <f t="shared" si="23"/>
        <v>0</v>
      </c>
      <c r="AS213" s="11">
        <f t="shared" si="27"/>
        <v>0</v>
      </c>
      <c r="AT213" s="13"/>
    </row>
    <row r="214" spans="1:46" s="18" customFormat="1" x14ac:dyDescent="0.25">
      <c r="A214" s="12">
        <v>207</v>
      </c>
      <c r="B214" s="60" t="s">
        <v>295</v>
      </c>
      <c r="C214" s="53">
        <v>10192</v>
      </c>
      <c r="D214" s="38" t="s">
        <v>201</v>
      </c>
      <c r="E214" s="38" t="s">
        <v>69</v>
      </c>
      <c r="F214" s="37" t="s">
        <v>284</v>
      </c>
      <c r="G214" s="4">
        <v>29331</v>
      </c>
      <c r="H214" s="4"/>
      <c r="I214" s="4"/>
      <c r="J214" s="4">
        <v>4253.8500000000004</v>
      </c>
      <c r="K214" s="4">
        <v>4253.8500000000004</v>
      </c>
      <c r="L214" s="11">
        <f t="shared" si="24"/>
        <v>360479.69999999995</v>
      </c>
      <c r="M214" s="69">
        <v>16440</v>
      </c>
      <c r="N214" s="71">
        <v>2250</v>
      </c>
      <c r="O214" s="71">
        <v>0</v>
      </c>
      <c r="P214" s="71">
        <v>1770</v>
      </c>
      <c r="Q214" s="71">
        <f>VLOOKUP(C214,Incentives!C208:K547,9,FALSE)</f>
        <v>1230</v>
      </c>
      <c r="R214" s="71">
        <v>1080</v>
      </c>
      <c r="S214" s="13">
        <v>2130</v>
      </c>
      <c r="T214" s="13">
        <v>2190</v>
      </c>
      <c r="U214" s="13"/>
      <c r="V214" s="13"/>
      <c r="W214" s="13"/>
      <c r="Y214" s="71">
        <v>0</v>
      </c>
      <c r="Z214" s="71">
        <v>0</v>
      </c>
      <c r="AA214" s="71">
        <v>0</v>
      </c>
      <c r="AB214" s="71">
        <v>0</v>
      </c>
      <c r="AC214" s="71">
        <v>0</v>
      </c>
      <c r="AD214" s="71">
        <v>0</v>
      </c>
      <c r="AE214" s="13">
        <v>0</v>
      </c>
      <c r="AF214" s="13">
        <v>5000</v>
      </c>
      <c r="AG214" s="13"/>
      <c r="AH214" s="13"/>
      <c r="AI214" s="20"/>
      <c r="AK214" s="11">
        <f t="shared" si="25"/>
        <v>392569.69999999995</v>
      </c>
      <c r="AL214" s="11">
        <f t="shared" si="21"/>
        <v>32714.141666666663</v>
      </c>
      <c r="AM214" s="11">
        <f t="shared" si="26"/>
        <v>0</v>
      </c>
      <c r="AN214" s="11">
        <f>VLOOKUP(C214,'Paid Tax'!B209:M570,12,FALSE)</f>
        <v>0</v>
      </c>
      <c r="AO214" s="11">
        <f t="shared" si="22"/>
        <v>0</v>
      </c>
      <c r="AP214" s="13">
        <v>5</v>
      </c>
      <c r="AQ214" s="16">
        <f t="shared" si="23"/>
        <v>0</v>
      </c>
      <c r="AR214" s="13"/>
      <c r="AS214" s="11">
        <f t="shared" si="27"/>
        <v>0</v>
      </c>
      <c r="AT214" s="13"/>
    </row>
    <row r="215" spans="1:46" x14ac:dyDescent="0.25">
      <c r="A215" s="12">
        <v>208</v>
      </c>
      <c r="B215" s="60" t="s">
        <v>295</v>
      </c>
      <c r="C215" s="53">
        <v>10193</v>
      </c>
      <c r="D215" s="38" t="s">
        <v>202</v>
      </c>
      <c r="E215" s="38" t="s">
        <v>69</v>
      </c>
      <c r="F215" s="37" t="s">
        <v>284</v>
      </c>
      <c r="G215" s="4">
        <v>28831</v>
      </c>
      <c r="H215" s="4"/>
      <c r="I215" s="4"/>
      <c r="J215" s="4">
        <v>3753.8500000000004</v>
      </c>
      <c r="K215" s="4">
        <v>3753.8500000000004</v>
      </c>
      <c r="L215" s="11">
        <f t="shared" si="24"/>
        <v>353479.69999999995</v>
      </c>
      <c r="M215" s="69">
        <v>4650</v>
      </c>
      <c r="N215" s="71">
        <v>2400</v>
      </c>
      <c r="O215" s="71">
        <v>1620</v>
      </c>
      <c r="P215" s="71">
        <v>0</v>
      </c>
      <c r="Q215" s="71">
        <f>VLOOKUP(C215,Incentives!C209:K548,9,FALSE)</f>
        <v>1200</v>
      </c>
      <c r="R215" s="71">
        <v>1050</v>
      </c>
      <c r="S215" s="13">
        <v>0</v>
      </c>
      <c r="T215" s="13">
        <v>1200</v>
      </c>
      <c r="U215" s="13"/>
      <c r="V215" s="13"/>
      <c r="Y215" s="71">
        <v>0</v>
      </c>
      <c r="Z215" s="71">
        <v>0</v>
      </c>
      <c r="AA215" s="71">
        <v>0</v>
      </c>
      <c r="AB215" s="71">
        <v>0</v>
      </c>
      <c r="AC215" s="71">
        <v>0</v>
      </c>
      <c r="AD215" s="71">
        <v>0</v>
      </c>
      <c r="AE215" s="13">
        <v>0</v>
      </c>
      <c r="AF215" s="13">
        <v>0</v>
      </c>
      <c r="AI215" s="20"/>
      <c r="AJ215" s="13"/>
      <c r="AK215" s="11">
        <f t="shared" si="25"/>
        <v>365599.69999999995</v>
      </c>
      <c r="AL215" s="11">
        <f t="shared" si="21"/>
        <v>30466.641666666663</v>
      </c>
      <c r="AM215" s="11">
        <f t="shared" si="26"/>
        <v>0</v>
      </c>
      <c r="AN215" s="11">
        <f>VLOOKUP(C215,'Paid Tax'!B210:M571,12,FALSE)</f>
        <v>0</v>
      </c>
      <c r="AO215" s="11">
        <f t="shared" si="22"/>
        <v>0</v>
      </c>
      <c r="AP215" s="13">
        <v>5</v>
      </c>
      <c r="AQ215" s="16">
        <f t="shared" si="23"/>
        <v>0</v>
      </c>
      <c r="AS215" s="11">
        <f t="shared" si="27"/>
        <v>0</v>
      </c>
      <c r="AT215" s="13"/>
    </row>
    <row r="216" spans="1:46" x14ac:dyDescent="0.25">
      <c r="A216" s="12">
        <v>209</v>
      </c>
      <c r="B216" s="60" t="s">
        <v>295</v>
      </c>
      <c r="C216" s="53">
        <v>10194</v>
      </c>
      <c r="D216" s="38" t="s">
        <v>203</v>
      </c>
      <c r="E216" s="38" t="s">
        <v>69</v>
      </c>
      <c r="F216" s="37" t="s">
        <v>284</v>
      </c>
      <c r="G216" s="67">
        <v>29228</v>
      </c>
      <c r="H216" s="67"/>
      <c r="I216" s="67"/>
      <c r="J216" s="4">
        <v>3772.75</v>
      </c>
      <c r="K216" s="4">
        <v>3772.75</v>
      </c>
      <c r="L216" s="11">
        <f t="shared" si="24"/>
        <v>358281.5</v>
      </c>
      <c r="M216" s="69">
        <v>3280</v>
      </c>
      <c r="N216" s="71">
        <v>1950</v>
      </c>
      <c r="O216" s="71">
        <v>1920</v>
      </c>
      <c r="P216" s="71">
        <v>0</v>
      </c>
      <c r="Q216" s="71">
        <f>VLOOKUP(C216,Incentives!C210:K549,9,FALSE)</f>
        <v>0</v>
      </c>
      <c r="R216" s="71">
        <v>0</v>
      </c>
      <c r="S216" s="13">
        <v>0</v>
      </c>
      <c r="T216" s="13">
        <v>0</v>
      </c>
      <c r="U216" s="13"/>
      <c r="V216" s="13"/>
      <c r="Y216" s="71">
        <v>0</v>
      </c>
      <c r="Z216" s="71">
        <v>0</v>
      </c>
      <c r="AA216" s="71">
        <v>0</v>
      </c>
      <c r="AB216" s="71">
        <v>0</v>
      </c>
      <c r="AC216" s="71">
        <v>0</v>
      </c>
      <c r="AD216" s="71">
        <v>0</v>
      </c>
      <c r="AE216" s="13">
        <v>0</v>
      </c>
      <c r="AF216" s="13">
        <v>0</v>
      </c>
      <c r="AI216" s="20"/>
      <c r="AJ216" s="13"/>
      <c r="AK216" s="11">
        <f t="shared" si="25"/>
        <v>365431.5</v>
      </c>
      <c r="AL216" s="11">
        <f t="shared" si="21"/>
        <v>30452.625</v>
      </c>
      <c r="AM216" s="11">
        <f t="shared" si="26"/>
        <v>0</v>
      </c>
      <c r="AN216" s="11">
        <f>VLOOKUP(C216,'Paid Tax'!B211:M572,12,FALSE)</f>
        <v>0</v>
      </c>
      <c r="AO216" s="11">
        <f t="shared" si="22"/>
        <v>0</v>
      </c>
      <c r="AP216" s="13">
        <v>5</v>
      </c>
      <c r="AQ216" s="16">
        <f t="shared" si="23"/>
        <v>0</v>
      </c>
      <c r="AS216" s="11">
        <f t="shared" si="27"/>
        <v>0</v>
      </c>
      <c r="AT216" s="13"/>
    </row>
    <row r="217" spans="1:46" x14ac:dyDescent="0.25">
      <c r="A217" s="12">
        <v>210</v>
      </c>
      <c r="B217" s="60" t="s">
        <v>295</v>
      </c>
      <c r="C217" s="53">
        <v>10200</v>
      </c>
      <c r="D217" s="38" t="s">
        <v>204</v>
      </c>
      <c r="E217" s="38" t="s">
        <v>205</v>
      </c>
      <c r="F217" s="37" t="s">
        <v>275</v>
      </c>
      <c r="G217" s="4">
        <v>32938</v>
      </c>
      <c r="H217" s="4"/>
      <c r="I217" s="4"/>
      <c r="J217" s="4">
        <v>3473.25</v>
      </c>
      <c r="K217" s="4">
        <v>3473.25</v>
      </c>
      <c r="L217" s="11">
        <f t="shared" si="24"/>
        <v>402202.5</v>
      </c>
      <c r="M217" s="69">
        <v>0</v>
      </c>
      <c r="N217" s="71">
        <v>0</v>
      </c>
      <c r="O217" s="71">
        <v>0</v>
      </c>
      <c r="P217" s="71">
        <v>0</v>
      </c>
      <c r="Q217" s="71">
        <f>VLOOKUP(C217,Incentives!C211:K550,9,FALSE)</f>
        <v>0</v>
      </c>
      <c r="R217" s="71">
        <v>0</v>
      </c>
      <c r="S217" s="13">
        <v>0</v>
      </c>
      <c r="T217" s="13">
        <v>0</v>
      </c>
      <c r="U217" s="13"/>
      <c r="V217" s="13"/>
      <c r="Y217" s="71">
        <v>0</v>
      </c>
      <c r="Z217" s="71">
        <v>0</v>
      </c>
      <c r="AA217" s="71">
        <v>0</v>
      </c>
      <c r="AB217" s="71">
        <v>0</v>
      </c>
      <c r="AC217" s="71">
        <v>0</v>
      </c>
      <c r="AD217" s="71">
        <v>0</v>
      </c>
      <c r="AE217" s="13">
        <v>0</v>
      </c>
      <c r="AF217" s="13">
        <v>0</v>
      </c>
      <c r="AI217" s="20"/>
      <c r="AJ217" s="13"/>
      <c r="AK217" s="11">
        <f t="shared" si="25"/>
        <v>402202.5</v>
      </c>
      <c r="AL217" s="11">
        <f t="shared" si="21"/>
        <v>33516.875</v>
      </c>
      <c r="AM217" s="11">
        <f t="shared" si="26"/>
        <v>0</v>
      </c>
      <c r="AN217" s="11">
        <f>VLOOKUP(C217,'Paid Tax'!B212:M573,12,FALSE)</f>
        <v>0</v>
      </c>
      <c r="AO217" s="11">
        <f t="shared" si="22"/>
        <v>0</v>
      </c>
      <c r="AP217" s="13">
        <v>5</v>
      </c>
      <c r="AQ217" s="16">
        <f t="shared" si="23"/>
        <v>0</v>
      </c>
      <c r="AS217" s="11">
        <f t="shared" si="27"/>
        <v>0</v>
      </c>
      <c r="AT217" s="13"/>
    </row>
    <row r="218" spans="1:46" x14ac:dyDescent="0.25">
      <c r="A218" s="12">
        <v>211</v>
      </c>
      <c r="B218" s="60" t="s">
        <v>295</v>
      </c>
      <c r="C218" s="53">
        <v>10278</v>
      </c>
      <c r="D218" s="38" t="s">
        <v>206</v>
      </c>
      <c r="E218" s="38" t="s">
        <v>205</v>
      </c>
      <c r="F218" s="37" t="s">
        <v>275</v>
      </c>
      <c r="G218" s="4">
        <v>32786</v>
      </c>
      <c r="H218" s="4"/>
      <c r="I218" s="4"/>
      <c r="J218" s="4">
        <v>3466</v>
      </c>
      <c r="K218" s="4">
        <v>3466</v>
      </c>
      <c r="L218" s="11">
        <f t="shared" si="24"/>
        <v>400364</v>
      </c>
      <c r="M218" s="69">
        <v>0</v>
      </c>
      <c r="N218" s="71">
        <v>0</v>
      </c>
      <c r="O218" s="71">
        <v>0</v>
      </c>
      <c r="P218" s="71">
        <v>0</v>
      </c>
      <c r="Q218" s="71">
        <f>VLOOKUP(C218,Incentives!C212:K551,9,FALSE)</f>
        <v>0</v>
      </c>
      <c r="R218" s="71">
        <v>0</v>
      </c>
      <c r="S218" s="13">
        <v>0</v>
      </c>
      <c r="T218" s="13">
        <v>0</v>
      </c>
      <c r="U218" s="13"/>
      <c r="V218" s="13"/>
      <c r="Y218" s="71">
        <v>0</v>
      </c>
      <c r="Z218" s="71">
        <v>0</v>
      </c>
      <c r="AA218" s="71">
        <v>0</v>
      </c>
      <c r="AB218" s="71">
        <v>0</v>
      </c>
      <c r="AC218" s="71">
        <v>0</v>
      </c>
      <c r="AD218" s="71">
        <v>0</v>
      </c>
      <c r="AE218" s="13">
        <v>0</v>
      </c>
      <c r="AF218" s="13">
        <v>0</v>
      </c>
      <c r="AI218" s="20"/>
      <c r="AJ218" s="13"/>
      <c r="AK218" s="11">
        <f t="shared" si="25"/>
        <v>400364</v>
      </c>
      <c r="AL218" s="11">
        <f t="shared" si="21"/>
        <v>33363.666666666664</v>
      </c>
      <c r="AM218" s="11">
        <f t="shared" si="26"/>
        <v>0</v>
      </c>
      <c r="AN218" s="11">
        <f>VLOOKUP(C218,'Paid Tax'!B213:M574,12,FALSE)</f>
        <v>0</v>
      </c>
      <c r="AO218" s="11">
        <f t="shared" si="22"/>
        <v>0</v>
      </c>
      <c r="AP218" s="13">
        <v>5</v>
      </c>
      <c r="AQ218" s="16">
        <f t="shared" si="23"/>
        <v>0</v>
      </c>
      <c r="AS218" s="11">
        <f t="shared" si="27"/>
        <v>0</v>
      </c>
      <c r="AT218" s="13"/>
    </row>
    <row r="219" spans="1:46" x14ac:dyDescent="0.25">
      <c r="A219" s="12">
        <v>212</v>
      </c>
      <c r="B219" s="60" t="s">
        <v>295</v>
      </c>
      <c r="C219" s="53">
        <v>10229</v>
      </c>
      <c r="D219" s="38" t="s">
        <v>207</v>
      </c>
      <c r="E219" s="38" t="s">
        <v>208</v>
      </c>
      <c r="F219" s="37" t="s">
        <v>284</v>
      </c>
      <c r="G219" s="4">
        <v>49093</v>
      </c>
      <c r="H219" s="4"/>
      <c r="I219" s="4"/>
      <c r="J219" s="4">
        <v>7099.65</v>
      </c>
      <c r="K219" s="4">
        <v>7099.65</v>
      </c>
      <c r="L219" s="11">
        <f t="shared" si="24"/>
        <v>603315.30000000005</v>
      </c>
      <c r="M219" s="69">
        <v>0</v>
      </c>
      <c r="N219" s="71">
        <v>0</v>
      </c>
      <c r="O219" s="71">
        <v>0</v>
      </c>
      <c r="P219" s="71">
        <v>0</v>
      </c>
      <c r="Q219" s="71">
        <f>VLOOKUP(C219,Incentives!C213:K552,9,FALSE)</f>
        <v>0</v>
      </c>
      <c r="R219" s="71">
        <v>0</v>
      </c>
      <c r="S219" s="13">
        <v>0</v>
      </c>
      <c r="T219" s="13">
        <v>0</v>
      </c>
      <c r="U219" s="13"/>
      <c r="V219" s="13"/>
      <c r="Y219" s="71">
        <v>0</v>
      </c>
      <c r="Z219" s="71">
        <v>0</v>
      </c>
      <c r="AA219" s="71">
        <v>0</v>
      </c>
      <c r="AB219" s="71">
        <v>0</v>
      </c>
      <c r="AC219" s="71">
        <v>0</v>
      </c>
      <c r="AD219" s="71">
        <v>0</v>
      </c>
      <c r="AE219" s="13">
        <v>0</v>
      </c>
      <c r="AF219" s="13">
        <v>0</v>
      </c>
      <c r="AI219" s="20"/>
      <c r="AJ219" s="13"/>
      <c r="AK219" s="11">
        <f t="shared" si="25"/>
        <v>603315.30000000005</v>
      </c>
      <c r="AL219" s="11">
        <f t="shared" si="21"/>
        <v>50276.275000000001</v>
      </c>
      <c r="AM219" s="11">
        <f t="shared" si="26"/>
        <v>33.153000000000468</v>
      </c>
      <c r="AN219" s="11">
        <f>VLOOKUP(C219,'Paid Tax'!B214:M575,12,FALSE)</f>
        <v>16.877890909091146</v>
      </c>
      <c r="AO219" s="11">
        <f t="shared" si="22"/>
        <v>16.275109090909321</v>
      </c>
      <c r="AP219" s="13">
        <v>6</v>
      </c>
      <c r="AQ219" s="16">
        <f t="shared" si="23"/>
        <v>2.7125181818182202</v>
      </c>
      <c r="AR219" s="40" t="s">
        <v>1322</v>
      </c>
      <c r="AS219" s="11">
        <f t="shared" si="27"/>
        <v>-2.7125181818182202</v>
      </c>
      <c r="AT219" s="13"/>
    </row>
    <row r="220" spans="1:46" x14ac:dyDescent="0.25">
      <c r="A220" s="12">
        <v>213</v>
      </c>
      <c r="B220" s="60" t="s">
        <v>295</v>
      </c>
      <c r="C220" s="53">
        <v>10347</v>
      </c>
      <c r="D220" s="38" t="s">
        <v>209</v>
      </c>
      <c r="E220" s="38" t="s">
        <v>69</v>
      </c>
      <c r="F220" s="37" t="s">
        <v>284</v>
      </c>
      <c r="G220" s="4">
        <v>30033</v>
      </c>
      <c r="H220" s="4"/>
      <c r="I220" s="4"/>
      <c r="J220" s="4">
        <v>4287.3</v>
      </c>
      <c r="K220" s="4">
        <v>4287.3</v>
      </c>
      <c r="L220" s="11">
        <f t="shared" si="24"/>
        <v>368970.6</v>
      </c>
      <c r="M220" s="69">
        <v>12100</v>
      </c>
      <c r="N220" s="71">
        <v>12500</v>
      </c>
      <c r="O220" s="71">
        <v>6060</v>
      </c>
      <c r="P220" s="71">
        <v>6060</v>
      </c>
      <c r="Q220" s="71">
        <f>VLOOKUP(C220,Incentives!C214:K553,9,FALSE)</f>
        <v>6885</v>
      </c>
      <c r="R220" s="71">
        <v>13230</v>
      </c>
      <c r="S220" s="13">
        <v>11520</v>
      </c>
      <c r="T220" s="13">
        <v>4730</v>
      </c>
      <c r="U220" s="13"/>
      <c r="V220" s="13"/>
      <c r="Y220" s="71">
        <v>0</v>
      </c>
      <c r="Z220" s="71">
        <v>0</v>
      </c>
      <c r="AA220" s="71">
        <v>0</v>
      </c>
      <c r="AB220" s="71">
        <v>0</v>
      </c>
      <c r="AC220" s="71">
        <v>0</v>
      </c>
      <c r="AD220" s="71">
        <v>0</v>
      </c>
      <c r="AE220" s="13">
        <v>0</v>
      </c>
      <c r="AF220" s="13">
        <v>0</v>
      </c>
      <c r="AI220" s="20"/>
      <c r="AJ220" s="13"/>
      <c r="AK220" s="11">
        <f t="shared" si="25"/>
        <v>442055.6</v>
      </c>
      <c r="AL220" s="11">
        <f t="shared" si="21"/>
        <v>36837.966666666667</v>
      </c>
      <c r="AM220" s="11">
        <f t="shared" si="26"/>
        <v>0</v>
      </c>
      <c r="AN220" s="11">
        <f>VLOOKUP(C220,'Paid Tax'!B215:M576,12,FALSE)</f>
        <v>0</v>
      </c>
      <c r="AO220" s="11">
        <f t="shared" si="22"/>
        <v>0</v>
      </c>
      <c r="AP220" s="13">
        <v>5</v>
      </c>
      <c r="AQ220" s="16">
        <f t="shared" si="23"/>
        <v>0</v>
      </c>
      <c r="AS220" s="11">
        <f t="shared" si="27"/>
        <v>0</v>
      </c>
      <c r="AT220" s="13"/>
    </row>
    <row r="221" spans="1:46" x14ac:dyDescent="0.25">
      <c r="A221" s="12">
        <v>214</v>
      </c>
      <c r="B221" s="60" t="s">
        <v>295</v>
      </c>
      <c r="C221" s="53">
        <v>10286</v>
      </c>
      <c r="D221" s="38" t="s">
        <v>210</v>
      </c>
      <c r="E221" s="38" t="s">
        <v>69</v>
      </c>
      <c r="F221" s="37" t="s">
        <v>284</v>
      </c>
      <c r="G221" s="4">
        <v>29950</v>
      </c>
      <c r="H221" s="4"/>
      <c r="I221" s="4"/>
      <c r="J221" s="4">
        <v>3807.15</v>
      </c>
      <c r="K221" s="4">
        <v>3807.15</v>
      </c>
      <c r="L221" s="11">
        <f t="shared" si="24"/>
        <v>367014.30000000005</v>
      </c>
      <c r="M221" s="69">
        <v>0</v>
      </c>
      <c r="N221" s="71">
        <v>2190</v>
      </c>
      <c r="O221" s="71">
        <v>1980</v>
      </c>
      <c r="P221" s="71">
        <v>2010</v>
      </c>
      <c r="Q221" s="71">
        <f>VLOOKUP(C221,Incentives!C215:K554,9,FALSE)</f>
        <v>2800</v>
      </c>
      <c r="R221" s="71">
        <v>1770</v>
      </c>
      <c r="S221" s="13">
        <v>2070</v>
      </c>
      <c r="T221" s="13">
        <v>2250</v>
      </c>
      <c r="U221" s="13"/>
      <c r="V221" s="13"/>
      <c r="Y221" s="71">
        <v>0</v>
      </c>
      <c r="Z221" s="71">
        <v>0</v>
      </c>
      <c r="AA221" s="71">
        <v>0</v>
      </c>
      <c r="AB221" s="71">
        <v>0</v>
      </c>
      <c r="AC221" s="71">
        <v>0</v>
      </c>
      <c r="AD221" s="71">
        <v>0</v>
      </c>
      <c r="AE221" s="13">
        <v>0</v>
      </c>
      <c r="AF221" s="13">
        <v>0</v>
      </c>
      <c r="AI221" s="20"/>
      <c r="AJ221" s="13"/>
      <c r="AK221" s="11">
        <f t="shared" si="25"/>
        <v>382084.30000000005</v>
      </c>
      <c r="AL221" s="11">
        <f t="shared" si="21"/>
        <v>31840.358333333337</v>
      </c>
      <c r="AM221" s="11">
        <f t="shared" si="26"/>
        <v>0</v>
      </c>
      <c r="AN221" s="11">
        <f>VLOOKUP(C221,'Paid Tax'!B216:M577,12,FALSE)</f>
        <v>0</v>
      </c>
      <c r="AO221" s="11">
        <f t="shared" si="22"/>
        <v>0</v>
      </c>
      <c r="AP221" s="13">
        <v>5</v>
      </c>
      <c r="AQ221" s="16">
        <f t="shared" si="23"/>
        <v>0</v>
      </c>
      <c r="AS221" s="11">
        <f t="shared" si="27"/>
        <v>0</v>
      </c>
      <c r="AT221" s="13"/>
    </row>
    <row r="222" spans="1:46" x14ac:dyDescent="0.25">
      <c r="A222" s="12">
        <v>215</v>
      </c>
      <c r="B222" s="60" t="s">
        <v>295</v>
      </c>
      <c r="C222" s="53">
        <v>10396</v>
      </c>
      <c r="D222" s="38" t="s">
        <v>211</v>
      </c>
      <c r="E222" s="38" t="s">
        <v>69</v>
      </c>
      <c r="F222" s="37" t="s">
        <v>284</v>
      </c>
      <c r="G222" s="67">
        <v>28750</v>
      </c>
      <c r="H222" s="67"/>
      <c r="I222" s="67"/>
      <c r="J222" s="4">
        <v>3750</v>
      </c>
      <c r="K222" s="4">
        <v>3750</v>
      </c>
      <c r="L222" s="11">
        <f t="shared" si="24"/>
        <v>352500</v>
      </c>
      <c r="M222" s="69">
        <v>0</v>
      </c>
      <c r="N222" s="71">
        <v>5000</v>
      </c>
      <c r="O222" s="71">
        <v>2190</v>
      </c>
      <c r="P222" s="71">
        <v>2130</v>
      </c>
      <c r="Q222" s="71">
        <f>VLOOKUP(C222,Incentives!C216:K555,9,FALSE)</f>
        <v>2835</v>
      </c>
      <c r="R222" s="71">
        <v>2450</v>
      </c>
      <c r="S222" s="13">
        <v>2430</v>
      </c>
      <c r="T222" s="13">
        <v>2370</v>
      </c>
      <c r="U222" s="13"/>
      <c r="V222" s="13"/>
      <c r="Y222" s="71">
        <v>0</v>
      </c>
      <c r="Z222" s="71">
        <v>0</v>
      </c>
      <c r="AA222" s="71">
        <v>0</v>
      </c>
      <c r="AB222" s="71">
        <v>0</v>
      </c>
      <c r="AC222" s="71">
        <v>0</v>
      </c>
      <c r="AD222" s="71">
        <v>0</v>
      </c>
      <c r="AE222" s="13">
        <v>0</v>
      </c>
      <c r="AF222" s="13">
        <v>0</v>
      </c>
      <c r="AI222" s="20"/>
      <c r="AJ222" s="13"/>
      <c r="AK222" s="11">
        <f t="shared" si="25"/>
        <v>371905</v>
      </c>
      <c r="AL222" s="11">
        <f t="shared" si="21"/>
        <v>30992.083333333332</v>
      </c>
      <c r="AM222" s="11">
        <f t="shared" si="26"/>
        <v>0</v>
      </c>
      <c r="AN222" s="11">
        <f>VLOOKUP(C222,'Paid Tax'!B217:M578,12,FALSE)</f>
        <v>0</v>
      </c>
      <c r="AO222" s="11">
        <f t="shared" si="22"/>
        <v>0</v>
      </c>
      <c r="AP222" s="13">
        <v>5</v>
      </c>
      <c r="AQ222" s="16">
        <f t="shared" si="23"/>
        <v>0</v>
      </c>
      <c r="AS222" s="11">
        <f t="shared" si="27"/>
        <v>0</v>
      </c>
      <c r="AT222" s="13"/>
    </row>
    <row r="223" spans="1:46" x14ac:dyDescent="0.25">
      <c r="A223" s="12">
        <v>216</v>
      </c>
      <c r="B223" s="60" t="s">
        <v>295</v>
      </c>
      <c r="C223" s="53">
        <v>10403</v>
      </c>
      <c r="D223" s="38" t="s">
        <v>212</v>
      </c>
      <c r="E223" s="38" t="s">
        <v>69</v>
      </c>
      <c r="F223" s="37" t="s">
        <v>284</v>
      </c>
      <c r="G223" s="4">
        <v>31900</v>
      </c>
      <c r="H223" s="4"/>
      <c r="I223" s="4"/>
      <c r="J223" s="4">
        <v>3900</v>
      </c>
      <c r="K223" s="4">
        <v>3900</v>
      </c>
      <c r="L223" s="11">
        <f t="shared" si="24"/>
        <v>390600</v>
      </c>
      <c r="M223" s="69">
        <v>0</v>
      </c>
      <c r="N223" s="71">
        <v>1920</v>
      </c>
      <c r="O223" s="71">
        <v>1000</v>
      </c>
      <c r="P223" s="71">
        <v>1560</v>
      </c>
      <c r="Q223" s="71">
        <f>VLOOKUP(C223,Incentives!C217:K556,9,FALSE)</f>
        <v>1410</v>
      </c>
      <c r="R223" s="71">
        <v>1440</v>
      </c>
      <c r="S223" s="13">
        <v>1290</v>
      </c>
      <c r="T223" s="13">
        <v>1950</v>
      </c>
      <c r="U223" s="13"/>
      <c r="V223" s="13"/>
      <c r="Y223" s="71">
        <v>0</v>
      </c>
      <c r="Z223" s="71">
        <v>0</v>
      </c>
      <c r="AA223" s="71">
        <v>0</v>
      </c>
      <c r="AB223" s="71">
        <v>0</v>
      </c>
      <c r="AC223" s="71">
        <v>0</v>
      </c>
      <c r="AD223" s="71">
        <v>250</v>
      </c>
      <c r="AE223" s="13">
        <v>0</v>
      </c>
      <c r="AF223" s="13">
        <v>0</v>
      </c>
      <c r="AI223" s="20"/>
      <c r="AJ223" s="13"/>
      <c r="AK223" s="11">
        <f t="shared" si="25"/>
        <v>401420</v>
      </c>
      <c r="AL223" s="11">
        <f t="shared" si="21"/>
        <v>33451.666666666664</v>
      </c>
      <c r="AM223" s="11">
        <f t="shared" si="26"/>
        <v>0</v>
      </c>
      <c r="AN223" s="11">
        <f>VLOOKUP(C223,'Paid Tax'!B218:M579,12,FALSE)</f>
        <v>0</v>
      </c>
      <c r="AO223" s="11">
        <f t="shared" si="22"/>
        <v>0</v>
      </c>
      <c r="AP223" s="13">
        <v>5</v>
      </c>
      <c r="AQ223" s="16">
        <f t="shared" si="23"/>
        <v>0</v>
      </c>
      <c r="AS223" s="11">
        <f t="shared" si="27"/>
        <v>0</v>
      </c>
      <c r="AT223" s="13"/>
    </row>
    <row r="224" spans="1:46" x14ac:dyDescent="0.25">
      <c r="A224" s="12">
        <v>217</v>
      </c>
      <c r="B224" s="60" t="s">
        <v>295</v>
      </c>
      <c r="C224" s="53">
        <v>10516</v>
      </c>
      <c r="D224" s="38" t="s">
        <v>68</v>
      </c>
      <c r="E224" s="38" t="s">
        <v>69</v>
      </c>
      <c r="F224" s="37" t="s">
        <v>284</v>
      </c>
      <c r="G224" s="4">
        <v>30000</v>
      </c>
      <c r="H224" s="4"/>
      <c r="I224" s="4"/>
      <c r="J224" s="4">
        <v>0</v>
      </c>
      <c r="K224" s="4">
        <v>0</v>
      </c>
      <c r="L224" s="11">
        <f t="shared" si="24"/>
        <v>360000</v>
      </c>
      <c r="M224" s="69">
        <v>1830</v>
      </c>
      <c r="N224" s="71">
        <v>1860</v>
      </c>
      <c r="O224" s="71">
        <v>0</v>
      </c>
      <c r="P224" s="71">
        <v>1530</v>
      </c>
      <c r="Q224" s="71">
        <f>VLOOKUP(C224,Incentives!C218:K557,9,FALSE)</f>
        <v>1080</v>
      </c>
      <c r="R224" s="71">
        <v>1260</v>
      </c>
      <c r="S224" s="13">
        <v>0</v>
      </c>
      <c r="T224" s="13">
        <v>0</v>
      </c>
      <c r="U224" s="13"/>
      <c r="V224" s="13"/>
      <c r="Y224" s="71">
        <v>0</v>
      </c>
      <c r="Z224" s="71">
        <v>0</v>
      </c>
      <c r="AA224" s="71">
        <v>0</v>
      </c>
      <c r="AB224" s="71">
        <v>0</v>
      </c>
      <c r="AC224" s="71">
        <v>0</v>
      </c>
      <c r="AD224" s="71">
        <v>0</v>
      </c>
      <c r="AE224" s="13">
        <v>0</v>
      </c>
      <c r="AF224" s="13">
        <v>0</v>
      </c>
      <c r="AI224" s="20"/>
      <c r="AJ224" s="13"/>
      <c r="AK224" s="11">
        <f t="shared" si="25"/>
        <v>367560</v>
      </c>
      <c r="AL224" s="11">
        <f t="shared" si="21"/>
        <v>30630</v>
      </c>
      <c r="AM224" s="11">
        <f t="shared" si="26"/>
        <v>0</v>
      </c>
      <c r="AN224" s="11">
        <f>VLOOKUP(C224,'Paid Tax'!B219:M580,12,FALSE)</f>
        <v>0</v>
      </c>
      <c r="AO224" s="11">
        <f t="shared" si="22"/>
        <v>0</v>
      </c>
      <c r="AP224" s="13">
        <v>5</v>
      </c>
      <c r="AQ224" s="16">
        <f t="shared" si="23"/>
        <v>0</v>
      </c>
      <c r="AS224" s="11">
        <f t="shared" si="27"/>
        <v>0</v>
      </c>
      <c r="AT224" s="13"/>
    </row>
    <row r="225" spans="1:46" s="13" customFormat="1" x14ac:dyDescent="0.25">
      <c r="A225" s="12">
        <v>218</v>
      </c>
      <c r="B225" s="60" t="s">
        <v>295</v>
      </c>
      <c r="C225" s="53">
        <v>10536</v>
      </c>
      <c r="D225" s="38" t="s">
        <v>317</v>
      </c>
      <c r="E225" s="38" t="s">
        <v>69</v>
      </c>
      <c r="F225" s="37" t="s">
        <v>284</v>
      </c>
      <c r="G225" s="4">
        <v>28000</v>
      </c>
      <c r="H225" s="4"/>
      <c r="I225" s="4"/>
      <c r="J225" s="4">
        <v>0</v>
      </c>
      <c r="K225" s="4">
        <v>0</v>
      </c>
      <c r="L225" s="11">
        <f t="shared" si="24"/>
        <v>336000</v>
      </c>
      <c r="M225" s="69">
        <v>2190</v>
      </c>
      <c r="N225" s="71">
        <v>1890</v>
      </c>
      <c r="O225" s="71">
        <v>1680</v>
      </c>
      <c r="P225" s="71">
        <v>1860</v>
      </c>
      <c r="Q225" s="71">
        <f>VLOOKUP(C225,Incentives!C219:K558,9,FALSE)</f>
        <v>1110</v>
      </c>
      <c r="R225" s="71">
        <v>1350</v>
      </c>
      <c r="S225" s="13">
        <v>1200</v>
      </c>
      <c r="T225" s="13">
        <v>1830</v>
      </c>
      <c r="Y225" s="71">
        <v>0</v>
      </c>
      <c r="Z225" s="71">
        <v>0</v>
      </c>
      <c r="AA225" s="71">
        <v>0</v>
      </c>
      <c r="AB225" s="71">
        <v>0</v>
      </c>
      <c r="AC225" s="71">
        <v>0</v>
      </c>
      <c r="AD225" s="71">
        <v>0</v>
      </c>
      <c r="AE225" s="13">
        <v>0</v>
      </c>
      <c r="AF225" s="13">
        <v>0</v>
      </c>
      <c r="AI225" s="20"/>
      <c r="AK225" s="11">
        <f t="shared" si="25"/>
        <v>349110</v>
      </c>
      <c r="AL225" s="11">
        <f t="shared" si="21"/>
        <v>29092.5</v>
      </c>
      <c r="AM225" s="11">
        <f t="shared" si="26"/>
        <v>0</v>
      </c>
      <c r="AN225" s="11">
        <f>VLOOKUP(C225,'Paid Tax'!B220:M581,12,FALSE)</f>
        <v>0</v>
      </c>
      <c r="AO225" s="11">
        <f t="shared" si="22"/>
        <v>0</v>
      </c>
      <c r="AP225" s="13">
        <v>5</v>
      </c>
      <c r="AQ225" s="16">
        <f t="shared" si="23"/>
        <v>0</v>
      </c>
      <c r="AS225" s="11">
        <f t="shared" si="27"/>
        <v>0</v>
      </c>
    </row>
    <row r="226" spans="1:46" s="18" customFormat="1" x14ac:dyDescent="0.25">
      <c r="A226" s="12">
        <v>219</v>
      </c>
      <c r="B226" s="60" t="s">
        <v>295</v>
      </c>
      <c r="C226" s="53">
        <v>10404</v>
      </c>
      <c r="D226" s="38" t="s">
        <v>213</v>
      </c>
      <c r="E226" s="38" t="s">
        <v>69</v>
      </c>
      <c r="F226" s="37" t="s">
        <v>284</v>
      </c>
      <c r="G226" s="4">
        <v>29800</v>
      </c>
      <c r="H226" s="4"/>
      <c r="I226" s="4"/>
      <c r="J226" s="4">
        <v>3800</v>
      </c>
      <c r="K226" s="4">
        <v>3800</v>
      </c>
      <c r="L226" s="11">
        <f t="shared" si="24"/>
        <v>365200</v>
      </c>
      <c r="M226" s="69">
        <v>4600</v>
      </c>
      <c r="N226" s="71">
        <v>20440</v>
      </c>
      <c r="O226" s="71">
        <v>15720</v>
      </c>
      <c r="P226" s="71">
        <v>3440</v>
      </c>
      <c r="Q226" s="71">
        <f>VLOOKUP(C226,Incentives!C220:K559,9,FALSE)</f>
        <v>2070</v>
      </c>
      <c r="R226" s="71">
        <v>1710</v>
      </c>
      <c r="S226" s="13">
        <v>1620</v>
      </c>
      <c r="T226" s="13">
        <v>2490</v>
      </c>
      <c r="U226" s="13"/>
      <c r="V226" s="13"/>
      <c r="W226" s="13"/>
      <c r="Y226" s="71">
        <v>0</v>
      </c>
      <c r="Z226" s="71">
        <v>0</v>
      </c>
      <c r="AA226" s="71">
        <v>0</v>
      </c>
      <c r="AB226" s="71">
        <v>0</v>
      </c>
      <c r="AC226" s="71">
        <v>0</v>
      </c>
      <c r="AD226" s="71">
        <v>0</v>
      </c>
      <c r="AE226" s="13">
        <v>0</v>
      </c>
      <c r="AF226" s="13">
        <v>0</v>
      </c>
      <c r="AG226" s="13"/>
      <c r="AH226" s="13"/>
      <c r="AI226" s="20"/>
      <c r="AK226" s="11">
        <f t="shared" si="25"/>
        <v>417290</v>
      </c>
      <c r="AL226" s="11">
        <f t="shared" si="21"/>
        <v>34774.166666666664</v>
      </c>
      <c r="AM226" s="11">
        <f t="shared" si="26"/>
        <v>0</v>
      </c>
      <c r="AN226" s="11">
        <f>VLOOKUP(C226,'Paid Tax'!B221:M582,12,FALSE)</f>
        <v>0</v>
      </c>
      <c r="AO226" s="11">
        <f t="shared" si="22"/>
        <v>0</v>
      </c>
      <c r="AP226" s="13">
        <v>5</v>
      </c>
      <c r="AQ226" s="16">
        <f t="shared" si="23"/>
        <v>0</v>
      </c>
      <c r="AR226" s="13"/>
      <c r="AS226" s="11">
        <f t="shared" si="27"/>
        <v>0</v>
      </c>
      <c r="AT226" s="13"/>
    </row>
    <row r="227" spans="1:46" x14ac:dyDescent="0.25">
      <c r="A227" s="12">
        <v>220</v>
      </c>
      <c r="B227" s="60" t="s">
        <v>295</v>
      </c>
      <c r="C227" s="53">
        <v>10588</v>
      </c>
      <c r="D227" s="38" t="s">
        <v>371</v>
      </c>
      <c r="E227" s="38" t="s">
        <v>69</v>
      </c>
      <c r="F227" s="37" t="s">
        <v>284</v>
      </c>
      <c r="G227" s="4">
        <v>28500</v>
      </c>
      <c r="H227" s="4"/>
      <c r="I227" s="4"/>
      <c r="J227" s="4">
        <v>0</v>
      </c>
      <c r="K227" s="4">
        <v>0</v>
      </c>
      <c r="L227" s="11">
        <f t="shared" si="24"/>
        <v>342000</v>
      </c>
      <c r="M227" s="69">
        <v>2010</v>
      </c>
      <c r="N227" s="71">
        <v>1740</v>
      </c>
      <c r="O227" s="71">
        <v>4750</v>
      </c>
      <c r="P227" s="71">
        <v>2130</v>
      </c>
      <c r="Q227" s="71">
        <f>VLOOKUP(C227,Incentives!C221:K560,9,FALSE)</f>
        <v>1950</v>
      </c>
      <c r="R227" s="71">
        <v>3750</v>
      </c>
      <c r="S227" s="13">
        <v>1230</v>
      </c>
      <c r="T227" s="13">
        <v>10735</v>
      </c>
      <c r="U227" s="13"/>
      <c r="V227" s="13"/>
      <c r="Y227" s="71">
        <v>0</v>
      </c>
      <c r="Z227" s="71">
        <v>0</v>
      </c>
      <c r="AA227" s="71">
        <v>0</v>
      </c>
      <c r="AB227" s="71">
        <v>0</v>
      </c>
      <c r="AC227" s="71">
        <v>0</v>
      </c>
      <c r="AD227" s="71">
        <v>0</v>
      </c>
      <c r="AE227" s="13">
        <v>0</v>
      </c>
      <c r="AF227" s="13">
        <v>0</v>
      </c>
      <c r="AI227" s="20"/>
      <c r="AJ227" s="13"/>
      <c r="AK227" s="11">
        <f t="shared" si="25"/>
        <v>370295</v>
      </c>
      <c r="AL227" s="11">
        <f t="shared" si="21"/>
        <v>30857.916666666668</v>
      </c>
      <c r="AM227" s="11">
        <f t="shared" si="26"/>
        <v>0</v>
      </c>
      <c r="AN227" s="11">
        <f>VLOOKUP(C227,'Paid Tax'!B222:M583,12,FALSE)</f>
        <v>0</v>
      </c>
      <c r="AO227" s="11">
        <f t="shared" si="22"/>
        <v>0</v>
      </c>
      <c r="AP227" s="13">
        <v>5</v>
      </c>
      <c r="AQ227" s="16">
        <f t="shared" si="23"/>
        <v>0</v>
      </c>
      <c r="AS227" s="11">
        <f t="shared" si="27"/>
        <v>0</v>
      </c>
      <c r="AT227" s="13"/>
    </row>
    <row r="228" spans="1:46" x14ac:dyDescent="0.25">
      <c r="A228" s="12">
        <v>221</v>
      </c>
      <c r="B228" s="60" t="s">
        <v>295</v>
      </c>
      <c r="C228" s="53">
        <v>10601</v>
      </c>
      <c r="D228" s="38" t="s">
        <v>223</v>
      </c>
      <c r="E228" s="38" t="s">
        <v>378</v>
      </c>
      <c r="F228" s="37" t="s">
        <v>283</v>
      </c>
      <c r="G228" s="4">
        <v>80000</v>
      </c>
      <c r="H228" s="4"/>
      <c r="I228" s="4"/>
      <c r="J228" s="4">
        <v>0</v>
      </c>
      <c r="K228" s="4">
        <v>0</v>
      </c>
      <c r="L228" s="11">
        <f t="shared" si="24"/>
        <v>960000</v>
      </c>
      <c r="M228" s="69">
        <v>0</v>
      </c>
      <c r="N228" s="71">
        <v>0</v>
      </c>
      <c r="O228" s="71">
        <v>0</v>
      </c>
      <c r="P228" s="71">
        <v>0</v>
      </c>
      <c r="Q228" s="71">
        <f>VLOOKUP(C228,Incentives!C222:K561,9,FALSE)</f>
        <v>0</v>
      </c>
      <c r="R228" s="71">
        <v>0</v>
      </c>
      <c r="S228" s="13">
        <v>0</v>
      </c>
      <c r="T228" s="13">
        <v>0</v>
      </c>
      <c r="U228" s="13"/>
      <c r="V228" s="13"/>
      <c r="Y228" s="71">
        <v>0</v>
      </c>
      <c r="Z228" s="71">
        <v>28945</v>
      </c>
      <c r="AA228" s="71">
        <v>19890</v>
      </c>
      <c r="AB228" s="71">
        <v>0</v>
      </c>
      <c r="AC228" s="71">
        <v>0</v>
      </c>
      <c r="AD228" s="71">
        <v>0</v>
      </c>
      <c r="AE228" s="13">
        <v>0</v>
      </c>
      <c r="AF228" s="13">
        <v>0</v>
      </c>
      <c r="AI228" s="20"/>
      <c r="AJ228" s="13"/>
      <c r="AK228" s="11">
        <f t="shared" si="25"/>
        <v>1008835</v>
      </c>
      <c r="AL228" s="11">
        <f t="shared" si="21"/>
        <v>84069.583333333328</v>
      </c>
      <c r="AM228" s="11">
        <f t="shared" si="26"/>
        <v>4088.35</v>
      </c>
      <c r="AN228" s="11">
        <f>VLOOKUP(C228,'Paid Tax'!B223:M584,12,FALSE)</f>
        <v>1318.7209090909087</v>
      </c>
      <c r="AO228" s="11">
        <f t="shared" si="22"/>
        <v>2769.6290909090912</v>
      </c>
      <c r="AP228" s="13">
        <v>5</v>
      </c>
      <c r="AQ228" s="16">
        <f t="shared" si="23"/>
        <v>553.92581818181827</v>
      </c>
      <c r="AS228" s="11">
        <v>0</v>
      </c>
      <c r="AT228" s="13" t="s">
        <v>868</v>
      </c>
    </row>
    <row r="229" spans="1:46" x14ac:dyDescent="0.25">
      <c r="A229" s="12">
        <v>222</v>
      </c>
      <c r="B229" s="60" t="s">
        <v>296</v>
      </c>
      <c r="C229" s="53">
        <v>10169</v>
      </c>
      <c r="D229" s="38" t="s">
        <v>214</v>
      </c>
      <c r="E229" s="38" t="s">
        <v>69</v>
      </c>
      <c r="F229" s="37" t="s">
        <v>284</v>
      </c>
      <c r="G229" s="4">
        <v>29208</v>
      </c>
      <c r="H229" s="4">
        <f>2792*10</f>
        <v>27920</v>
      </c>
      <c r="I229" s="4"/>
      <c r="J229" s="4">
        <v>3057.5</v>
      </c>
      <c r="K229" s="4">
        <v>3057.5</v>
      </c>
      <c r="L229" s="11">
        <f t="shared" si="24"/>
        <v>384531</v>
      </c>
      <c r="M229" s="69">
        <v>0</v>
      </c>
      <c r="N229" s="71">
        <v>1770</v>
      </c>
      <c r="O229" s="71">
        <v>1590</v>
      </c>
      <c r="P229" s="71">
        <v>0</v>
      </c>
      <c r="Q229" s="71">
        <f>VLOOKUP(C229,Incentives!C223:K562,9,FALSE)</f>
        <v>990</v>
      </c>
      <c r="R229" s="71">
        <v>960</v>
      </c>
      <c r="S229" s="13">
        <v>1230</v>
      </c>
      <c r="T229" s="13">
        <v>1050</v>
      </c>
      <c r="U229" s="13"/>
      <c r="V229" s="13"/>
      <c r="Y229" s="71">
        <v>0</v>
      </c>
      <c r="Z229" s="71">
        <v>0</v>
      </c>
      <c r="AA229" s="71">
        <v>0</v>
      </c>
      <c r="AB229" s="71">
        <v>0</v>
      </c>
      <c r="AC229" s="71">
        <v>0</v>
      </c>
      <c r="AD229" s="71">
        <v>0</v>
      </c>
      <c r="AE229" s="13">
        <v>0</v>
      </c>
      <c r="AF229" s="13">
        <v>1250</v>
      </c>
      <c r="AI229" s="20"/>
      <c r="AJ229" s="13"/>
      <c r="AK229" s="11">
        <f t="shared" si="25"/>
        <v>393371</v>
      </c>
      <c r="AL229" s="11">
        <f t="shared" si="21"/>
        <v>32780.916666666664</v>
      </c>
      <c r="AM229" s="11">
        <f t="shared" si="26"/>
        <v>0</v>
      </c>
      <c r="AN229" s="11">
        <f>VLOOKUP(C229,'Paid Tax'!B224:M585,12,FALSE)</f>
        <v>0</v>
      </c>
      <c r="AO229" s="11">
        <f t="shared" si="22"/>
        <v>0</v>
      </c>
      <c r="AP229" s="13">
        <v>5</v>
      </c>
      <c r="AQ229" s="16">
        <f t="shared" si="23"/>
        <v>0</v>
      </c>
      <c r="AS229" s="11">
        <f t="shared" si="27"/>
        <v>0</v>
      </c>
      <c r="AT229" s="13"/>
    </row>
    <row r="230" spans="1:46" x14ac:dyDescent="0.25">
      <c r="A230" s="12">
        <v>223</v>
      </c>
      <c r="B230" s="60" t="s">
        <v>296</v>
      </c>
      <c r="C230" s="53">
        <v>10173</v>
      </c>
      <c r="D230" s="38" t="s">
        <v>215</v>
      </c>
      <c r="E230" s="38" t="s">
        <v>69</v>
      </c>
      <c r="F230" s="37" t="s">
        <v>284</v>
      </c>
      <c r="G230" s="4">
        <v>29106</v>
      </c>
      <c r="H230" s="4"/>
      <c r="I230" s="4"/>
      <c r="J230" s="4">
        <v>3052.65</v>
      </c>
      <c r="K230" s="4">
        <v>3052.65</v>
      </c>
      <c r="L230" s="11">
        <f t="shared" si="24"/>
        <v>355377.30000000005</v>
      </c>
      <c r="M230" s="69">
        <v>0</v>
      </c>
      <c r="N230" s="71">
        <v>0</v>
      </c>
      <c r="O230" s="71">
        <v>0</v>
      </c>
      <c r="P230" s="71">
        <v>0</v>
      </c>
      <c r="Q230" s="71">
        <f>VLOOKUP(C230,Incentives!C224:K563,9,FALSE)</f>
        <v>0</v>
      </c>
      <c r="R230" s="71">
        <v>0</v>
      </c>
      <c r="S230" s="13">
        <v>0</v>
      </c>
      <c r="T230" s="13">
        <v>0</v>
      </c>
      <c r="U230" s="13"/>
      <c r="V230" s="13"/>
      <c r="Y230" s="71">
        <v>0</v>
      </c>
      <c r="Z230" s="71">
        <v>0</v>
      </c>
      <c r="AA230" s="71">
        <v>0</v>
      </c>
      <c r="AB230" s="71">
        <v>0</v>
      </c>
      <c r="AC230" s="71">
        <v>0</v>
      </c>
      <c r="AD230" s="71">
        <v>0</v>
      </c>
      <c r="AE230" s="13">
        <v>0</v>
      </c>
      <c r="AF230" s="13">
        <v>0</v>
      </c>
      <c r="AI230" s="22"/>
      <c r="AJ230" s="18"/>
      <c r="AK230" s="11">
        <f t="shared" si="25"/>
        <v>355377.30000000005</v>
      </c>
      <c r="AL230" s="11">
        <f t="shared" si="21"/>
        <v>29614.775000000005</v>
      </c>
      <c r="AM230" s="11">
        <f t="shared" si="26"/>
        <v>0</v>
      </c>
      <c r="AN230" s="11">
        <f>VLOOKUP(C230,'Paid Tax'!B225:M586,12,FALSE)</f>
        <v>0</v>
      </c>
      <c r="AO230" s="11">
        <f t="shared" si="22"/>
        <v>0</v>
      </c>
      <c r="AP230" s="13">
        <v>5</v>
      </c>
      <c r="AQ230" s="16">
        <f t="shared" si="23"/>
        <v>0</v>
      </c>
      <c r="AS230" s="11">
        <f t="shared" si="27"/>
        <v>0</v>
      </c>
      <c r="AT230" s="13"/>
    </row>
    <row r="231" spans="1:46" x14ac:dyDescent="0.25">
      <c r="A231" s="12">
        <v>224</v>
      </c>
      <c r="B231" s="60" t="s">
        <v>295</v>
      </c>
      <c r="C231" s="53">
        <v>10406</v>
      </c>
      <c r="D231" s="38" t="s">
        <v>216</v>
      </c>
      <c r="E231" s="38" t="s">
        <v>69</v>
      </c>
      <c r="F231" s="37" t="s">
        <v>284</v>
      </c>
      <c r="G231" s="4">
        <v>29800</v>
      </c>
      <c r="H231" s="4"/>
      <c r="I231" s="4"/>
      <c r="J231" s="4">
        <v>3800</v>
      </c>
      <c r="K231" s="4">
        <v>3800</v>
      </c>
      <c r="L231" s="11">
        <f t="shared" si="24"/>
        <v>365200</v>
      </c>
      <c r="M231" s="69">
        <v>0</v>
      </c>
      <c r="N231" s="71">
        <v>1590</v>
      </c>
      <c r="O231" s="71">
        <v>0</v>
      </c>
      <c r="P231" s="71">
        <v>0</v>
      </c>
      <c r="Q231" s="71">
        <f>VLOOKUP(C231,Incentives!C225:K564,9,FALSE)</f>
        <v>1230</v>
      </c>
      <c r="R231" s="71">
        <v>1320</v>
      </c>
      <c r="S231" s="13">
        <v>1620</v>
      </c>
      <c r="T231" s="13">
        <v>1140</v>
      </c>
      <c r="U231" s="13"/>
      <c r="V231" s="13"/>
      <c r="Y231" s="71">
        <v>0</v>
      </c>
      <c r="Z231" s="71">
        <v>0</v>
      </c>
      <c r="AA231" s="71">
        <v>0</v>
      </c>
      <c r="AB231" s="71">
        <v>0</v>
      </c>
      <c r="AC231" s="71">
        <v>1250</v>
      </c>
      <c r="AD231" s="71">
        <v>0</v>
      </c>
      <c r="AE231" s="13">
        <v>0</v>
      </c>
      <c r="AF231" s="13">
        <v>0</v>
      </c>
      <c r="AI231" s="20"/>
      <c r="AJ231" s="13"/>
      <c r="AK231" s="11">
        <f t="shared" si="25"/>
        <v>373350</v>
      </c>
      <c r="AL231" s="11">
        <f t="shared" si="21"/>
        <v>31112.5</v>
      </c>
      <c r="AM231" s="11">
        <f t="shared" si="26"/>
        <v>0</v>
      </c>
      <c r="AN231" s="11">
        <f>VLOOKUP(C231,'Paid Tax'!B226:M587,12,FALSE)</f>
        <v>0</v>
      </c>
      <c r="AO231" s="11">
        <f t="shared" si="22"/>
        <v>0</v>
      </c>
      <c r="AP231" s="13">
        <v>5</v>
      </c>
      <c r="AQ231" s="16">
        <f t="shared" si="23"/>
        <v>0</v>
      </c>
      <c r="AS231" s="11">
        <f t="shared" si="27"/>
        <v>0</v>
      </c>
      <c r="AT231" s="13"/>
    </row>
    <row r="232" spans="1:46" x14ac:dyDescent="0.25">
      <c r="A232" s="12">
        <v>225</v>
      </c>
      <c r="B232" s="60" t="s">
        <v>295</v>
      </c>
      <c r="C232" s="53">
        <v>10077</v>
      </c>
      <c r="D232" s="38" t="s">
        <v>217</v>
      </c>
      <c r="E232" s="38" t="s">
        <v>69</v>
      </c>
      <c r="F232" s="37" t="s">
        <v>284</v>
      </c>
      <c r="G232" s="4">
        <v>31500</v>
      </c>
      <c r="H232" s="4"/>
      <c r="I232" s="4"/>
      <c r="J232" s="4">
        <v>0</v>
      </c>
      <c r="K232" s="4">
        <v>0</v>
      </c>
      <c r="L232" s="11">
        <f t="shared" si="24"/>
        <v>378000</v>
      </c>
      <c r="M232" s="69">
        <v>0</v>
      </c>
      <c r="N232" s="71">
        <v>0</v>
      </c>
      <c r="O232" s="71">
        <v>0</v>
      </c>
      <c r="P232" s="71">
        <v>0</v>
      </c>
      <c r="Q232" s="71">
        <f>VLOOKUP(C232,Incentives!C226:K565,9,FALSE)</f>
        <v>0</v>
      </c>
      <c r="R232" s="71">
        <v>0</v>
      </c>
      <c r="S232" s="13">
        <v>960</v>
      </c>
      <c r="T232" s="13">
        <v>0</v>
      </c>
      <c r="U232" s="13"/>
      <c r="V232" s="13"/>
      <c r="Y232" s="71">
        <v>0</v>
      </c>
      <c r="Z232" s="71">
        <v>0</v>
      </c>
      <c r="AA232" s="71">
        <v>0</v>
      </c>
      <c r="AB232" s="71">
        <v>0</v>
      </c>
      <c r="AC232" s="71">
        <v>0</v>
      </c>
      <c r="AD232" s="71">
        <v>0</v>
      </c>
      <c r="AE232" s="13">
        <v>0</v>
      </c>
      <c r="AF232" s="13">
        <v>0</v>
      </c>
      <c r="AI232" s="22"/>
      <c r="AJ232" s="18"/>
      <c r="AK232" s="11">
        <f t="shared" si="25"/>
        <v>378960</v>
      </c>
      <c r="AL232" s="11">
        <f t="shared" si="21"/>
        <v>31580</v>
      </c>
      <c r="AM232" s="11">
        <f t="shared" si="26"/>
        <v>0</v>
      </c>
      <c r="AN232" s="11">
        <f>VLOOKUP(C232,'Paid Tax'!B227:M588,12,FALSE)</f>
        <v>0</v>
      </c>
      <c r="AO232" s="11">
        <f t="shared" si="22"/>
        <v>0</v>
      </c>
      <c r="AP232" s="13">
        <v>5</v>
      </c>
      <c r="AQ232" s="16">
        <f t="shared" si="23"/>
        <v>0</v>
      </c>
      <c r="AS232" s="11">
        <f t="shared" si="27"/>
        <v>0</v>
      </c>
      <c r="AT232" s="13"/>
    </row>
    <row r="233" spans="1:46" s="13" customFormat="1" x14ac:dyDescent="0.25">
      <c r="A233" s="12">
        <v>226</v>
      </c>
      <c r="B233" s="60" t="s">
        <v>295</v>
      </c>
      <c r="C233" s="53">
        <v>10593</v>
      </c>
      <c r="D233" s="38" t="s">
        <v>376</v>
      </c>
      <c r="E233" s="38" t="s">
        <v>69</v>
      </c>
      <c r="F233" s="37" t="s">
        <v>284</v>
      </c>
      <c r="G233" s="4">
        <v>28500</v>
      </c>
      <c r="H233" s="4"/>
      <c r="I233" s="4"/>
      <c r="J233" s="4">
        <v>0</v>
      </c>
      <c r="K233" s="4">
        <v>0</v>
      </c>
      <c r="L233" s="11">
        <f t="shared" si="24"/>
        <v>342000</v>
      </c>
      <c r="M233" s="69">
        <v>2220</v>
      </c>
      <c r="N233" s="71">
        <v>3280</v>
      </c>
      <c r="O233" s="71">
        <v>1860</v>
      </c>
      <c r="P233" s="71">
        <v>1590</v>
      </c>
      <c r="Q233" s="71">
        <f>VLOOKUP(C233,Incentives!C227:K566,9,FALSE)</f>
        <v>1080</v>
      </c>
      <c r="R233" s="71">
        <v>1350</v>
      </c>
      <c r="S233" s="13">
        <v>1200</v>
      </c>
      <c r="T233" s="13">
        <v>1080</v>
      </c>
      <c r="Y233" s="71">
        <v>0</v>
      </c>
      <c r="Z233" s="71">
        <v>0</v>
      </c>
      <c r="AA233" s="71">
        <v>0</v>
      </c>
      <c r="AB233" s="71">
        <v>0</v>
      </c>
      <c r="AC233" s="71">
        <v>0</v>
      </c>
      <c r="AD233" s="71">
        <v>0</v>
      </c>
      <c r="AE233" s="13">
        <v>0</v>
      </c>
      <c r="AF233" s="13">
        <v>0</v>
      </c>
      <c r="AI233" s="20"/>
      <c r="AK233" s="11">
        <f t="shared" si="25"/>
        <v>355660</v>
      </c>
      <c r="AL233" s="11">
        <f t="shared" si="21"/>
        <v>29638.333333333332</v>
      </c>
      <c r="AM233" s="11">
        <f t="shared" si="26"/>
        <v>0</v>
      </c>
      <c r="AN233" s="11">
        <f>VLOOKUP(C233,'Paid Tax'!B228:M589,12,FALSE)</f>
        <v>0</v>
      </c>
      <c r="AO233" s="11">
        <f t="shared" si="22"/>
        <v>0</v>
      </c>
      <c r="AP233" s="13">
        <v>5</v>
      </c>
      <c r="AQ233" s="16">
        <f t="shared" si="23"/>
        <v>0</v>
      </c>
      <c r="AS233" s="11">
        <f t="shared" si="27"/>
        <v>0</v>
      </c>
    </row>
    <row r="234" spans="1:46" x14ac:dyDescent="0.25">
      <c r="A234" s="12">
        <v>227</v>
      </c>
      <c r="B234" s="60" t="s">
        <v>297</v>
      </c>
      <c r="C234" s="53">
        <v>10351</v>
      </c>
      <c r="D234" s="38" t="s">
        <v>218</v>
      </c>
      <c r="E234" s="38" t="s">
        <v>219</v>
      </c>
      <c r="F234" s="37" t="s">
        <v>284</v>
      </c>
      <c r="G234" s="4">
        <v>49355</v>
      </c>
      <c r="H234" s="4"/>
      <c r="I234" s="4"/>
      <c r="J234" s="4">
        <v>5207.3999999999996</v>
      </c>
      <c r="K234" s="4">
        <v>5207.3999999999996</v>
      </c>
      <c r="L234" s="11">
        <f t="shared" si="24"/>
        <v>602674.80000000005</v>
      </c>
      <c r="M234" s="69">
        <v>0</v>
      </c>
      <c r="N234" s="71">
        <v>0</v>
      </c>
      <c r="O234" s="71">
        <v>0</v>
      </c>
      <c r="P234" s="71">
        <v>0</v>
      </c>
      <c r="Q234" s="71">
        <f>VLOOKUP(C234,Incentives!C228:K567,9,FALSE)</f>
        <v>0</v>
      </c>
      <c r="R234" s="71">
        <v>0</v>
      </c>
      <c r="S234" s="13">
        <v>0</v>
      </c>
      <c r="T234" s="13">
        <v>0</v>
      </c>
      <c r="U234" s="13"/>
      <c r="V234" s="13"/>
      <c r="Y234" s="71">
        <v>0</v>
      </c>
      <c r="Z234" s="71">
        <v>0</v>
      </c>
      <c r="AA234" s="71">
        <v>0</v>
      </c>
      <c r="AB234" s="71">
        <v>0</v>
      </c>
      <c r="AC234" s="71">
        <v>0</v>
      </c>
      <c r="AD234" s="71">
        <v>0</v>
      </c>
      <c r="AE234" s="13">
        <v>0</v>
      </c>
      <c r="AF234" s="13">
        <v>0</v>
      </c>
      <c r="AI234" s="20"/>
      <c r="AJ234" s="13"/>
      <c r="AK234" s="11">
        <f t="shared" si="25"/>
        <v>602674.80000000005</v>
      </c>
      <c r="AL234" s="11">
        <f t="shared" si="21"/>
        <v>50222.9</v>
      </c>
      <c r="AM234" s="11">
        <f t="shared" si="26"/>
        <v>26.748000000000467</v>
      </c>
      <c r="AN234" s="11">
        <f>VLOOKUP(C234,'Paid Tax'!B229:M590,12,FALSE)</f>
        <v>13.617163636363873</v>
      </c>
      <c r="AO234" s="11">
        <f t="shared" si="22"/>
        <v>13.130836363636593</v>
      </c>
      <c r="AP234" s="13">
        <v>6</v>
      </c>
      <c r="AQ234" s="16">
        <f t="shared" si="23"/>
        <v>2.1884727272727655</v>
      </c>
      <c r="AR234" s="40" t="s">
        <v>1322</v>
      </c>
      <c r="AS234" s="11">
        <f t="shared" si="27"/>
        <v>-2.1884727272727655</v>
      </c>
      <c r="AT234" s="13"/>
    </row>
    <row r="235" spans="1:46" x14ac:dyDescent="0.25">
      <c r="A235" s="12">
        <v>228</v>
      </c>
      <c r="B235" s="60" t="s">
        <v>297</v>
      </c>
      <c r="C235" s="53">
        <v>10344</v>
      </c>
      <c r="D235" s="38" t="s">
        <v>220</v>
      </c>
      <c r="E235" s="38" t="s">
        <v>69</v>
      </c>
      <c r="F235" s="37" t="s">
        <v>284</v>
      </c>
      <c r="G235" s="4">
        <v>30420</v>
      </c>
      <c r="H235" s="4"/>
      <c r="I235" s="4"/>
      <c r="J235" s="4">
        <v>4305.7</v>
      </c>
      <c r="K235" s="4">
        <v>4305.7</v>
      </c>
      <c r="L235" s="11">
        <f t="shared" si="24"/>
        <v>373651.4</v>
      </c>
      <c r="M235" s="69">
        <v>2190</v>
      </c>
      <c r="N235" s="71">
        <v>3440</v>
      </c>
      <c r="O235" s="71">
        <v>2280</v>
      </c>
      <c r="P235" s="71">
        <v>2250</v>
      </c>
      <c r="Q235" s="71">
        <f>VLOOKUP(C235,Incentives!C229:K568,9,FALSE)</f>
        <v>5880</v>
      </c>
      <c r="R235" s="71">
        <v>17110</v>
      </c>
      <c r="S235" s="13">
        <v>10640</v>
      </c>
      <c r="T235" s="13">
        <v>4365</v>
      </c>
      <c r="U235" s="13"/>
      <c r="V235" s="13"/>
      <c r="Y235" s="71">
        <v>0</v>
      </c>
      <c r="Z235" s="71">
        <v>0</v>
      </c>
      <c r="AA235" s="71">
        <v>0</v>
      </c>
      <c r="AB235" s="71">
        <v>0</v>
      </c>
      <c r="AC235" s="71">
        <v>0</v>
      </c>
      <c r="AD235" s="71">
        <v>0</v>
      </c>
      <c r="AE235" s="13">
        <v>0</v>
      </c>
      <c r="AF235" s="13">
        <v>0</v>
      </c>
      <c r="AI235" s="20"/>
      <c r="AJ235" s="13"/>
      <c r="AK235" s="11">
        <f t="shared" si="25"/>
        <v>421806.4</v>
      </c>
      <c r="AL235" s="11">
        <f t="shared" si="21"/>
        <v>35150.533333333333</v>
      </c>
      <c r="AM235" s="11">
        <f t="shared" si="26"/>
        <v>0</v>
      </c>
      <c r="AN235" s="11">
        <f>VLOOKUP(C235,'Paid Tax'!B230:M591,12,FALSE)</f>
        <v>0</v>
      </c>
      <c r="AO235" s="11">
        <f t="shared" si="22"/>
        <v>0</v>
      </c>
      <c r="AP235" s="13">
        <v>5</v>
      </c>
      <c r="AQ235" s="16">
        <f t="shared" si="23"/>
        <v>0</v>
      </c>
      <c r="AS235" s="11">
        <f t="shared" si="27"/>
        <v>0</v>
      </c>
      <c r="AT235" s="13"/>
    </row>
    <row r="236" spans="1:46" x14ac:dyDescent="0.25">
      <c r="A236" s="12">
        <v>229</v>
      </c>
      <c r="B236" s="60" t="s">
        <v>297</v>
      </c>
      <c r="C236" s="53">
        <v>10082</v>
      </c>
      <c r="D236" s="38" t="s">
        <v>221</v>
      </c>
      <c r="E236" s="38" t="s">
        <v>69</v>
      </c>
      <c r="F236" s="37" t="s">
        <v>284</v>
      </c>
      <c r="G236" s="4">
        <v>32432</v>
      </c>
      <c r="H236" s="4"/>
      <c r="I236" s="4"/>
      <c r="J236" s="4">
        <v>4401.5</v>
      </c>
      <c r="K236" s="4">
        <v>4401.5</v>
      </c>
      <c r="L236" s="11">
        <f t="shared" si="24"/>
        <v>397987</v>
      </c>
      <c r="M236" s="69">
        <v>6060</v>
      </c>
      <c r="N236" s="71">
        <v>4800</v>
      </c>
      <c r="O236" s="71">
        <v>4650</v>
      </c>
      <c r="P236" s="71">
        <v>20580</v>
      </c>
      <c r="Q236" s="71">
        <f>VLOOKUP(C236,Incentives!C230:K569,9,FALSE)</f>
        <v>8075</v>
      </c>
      <c r="R236" s="71">
        <v>6630</v>
      </c>
      <c r="S236" s="13">
        <v>2100</v>
      </c>
      <c r="T236" s="13">
        <v>25575</v>
      </c>
      <c r="U236" s="13"/>
      <c r="V236" s="13"/>
      <c r="Y236" s="71">
        <v>0</v>
      </c>
      <c r="Z236" s="71">
        <v>0</v>
      </c>
      <c r="AA236" s="71">
        <v>0</v>
      </c>
      <c r="AB236" s="71">
        <v>0</v>
      </c>
      <c r="AC236" s="71">
        <v>0</v>
      </c>
      <c r="AD236" s="71">
        <v>0</v>
      </c>
      <c r="AE236" s="13">
        <v>0</v>
      </c>
      <c r="AF236" s="13">
        <v>0</v>
      </c>
      <c r="AI236" s="20"/>
      <c r="AJ236" s="13"/>
      <c r="AK236" s="11">
        <f t="shared" si="25"/>
        <v>476457</v>
      </c>
      <c r="AL236" s="11">
        <f t="shared" si="21"/>
        <v>39704.75</v>
      </c>
      <c r="AM236" s="11">
        <f t="shared" si="26"/>
        <v>0</v>
      </c>
      <c r="AN236" s="11">
        <f>VLOOKUP(C236,'Paid Tax'!B231:M592,12,FALSE)</f>
        <v>0</v>
      </c>
      <c r="AO236" s="11">
        <f t="shared" si="22"/>
        <v>0</v>
      </c>
      <c r="AP236" s="13">
        <v>5</v>
      </c>
      <c r="AQ236" s="16">
        <f t="shared" si="23"/>
        <v>0</v>
      </c>
      <c r="AS236" s="11">
        <f t="shared" si="27"/>
        <v>0</v>
      </c>
      <c r="AT236" s="13"/>
    </row>
    <row r="237" spans="1:46" x14ac:dyDescent="0.25">
      <c r="A237" s="12">
        <v>230</v>
      </c>
      <c r="B237" s="60" t="s">
        <v>297</v>
      </c>
      <c r="C237" s="53">
        <v>10510</v>
      </c>
      <c r="D237" s="38" t="s">
        <v>222</v>
      </c>
      <c r="E237" s="38" t="s">
        <v>69</v>
      </c>
      <c r="F237" s="37" t="s">
        <v>284</v>
      </c>
      <c r="G237" s="4">
        <v>27000</v>
      </c>
      <c r="H237" s="4"/>
      <c r="I237" s="4"/>
      <c r="J237" s="4">
        <v>0</v>
      </c>
      <c r="K237" s="4">
        <v>0</v>
      </c>
      <c r="L237" s="11">
        <f t="shared" si="24"/>
        <v>324000</v>
      </c>
      <c r="M237" s="69">
        <v>6360</v>
      </c>
      <c r="N237" s="71">
        <v>12500</v>
      </c>
      <c r="O237" s="71">
        <v>12700</v>
      </c>
      <c r="P237" s="71">
        <v>4650</v>
      </c>
      <c r="Q237" s="71">
        <f>VLOOKUP(C237,Incentives!C231:K570,9,FALSE)</f>
        <v>7740</v>
      </c>
      <c r="R237" s="71">
        <v>9555</v>
      </c>
      <c r="S237" s="13">
        <v>14125</v>
      </c>
      <c r="T237" s="13">
        <v>18900</v>
      </c>
      <c r="U237" s="13"/>
      <c r="V237" s="13"/>
      <c r="Y237" s="71">
        <v>0</v>
      </c>
      <c r="Z237" s="71">
        <v>0</v>
      </c>
      <c r="AA237" s="71">
        <v>0</v>
      </c>
      <c r="AB237" s="71">
        <v>0</v>
      </c>
      <c r="AC237" s="71">
        <v>0</v>
      </c>
      <c r="AD237" s="71">
        <v>0</v>
      </c>
      <c r="AE237" s="13">
        <v>0</v>
      </c>
      <c r="AF237" s="13">
        <v>0</v>
      </c>
      <c r="AI237" s="20"/>
      <c r="AJ237" s="13"/>
      <c r="AK237" s="11">
        <f t="shared" si="25"/>
        <v>410530</v>
      </c>
      <c r="AL237" s="11">
        <f t="shared" si="21"/>
        <v>34210.833333333336</v>
      </c>
      <c r="AM237" s="11">
        <f t="shared" si="26"/>
        <v>0</v>
      </c>
      <c r="AN237" s="11">
        <f>VLOOKUP(C237,'Paid Tax'!B232:M593,12,FALSE)</f>
        <v>0</v>
      </c>
      <c r="AO237" s="11">
        <f t="shared" si="22"/>
        <v>0</v>
      </c>
      <c r="AP237" s="13">
        <v>5</v>
      </c>
      <c r="AQ237" s="16">
        <f t="shared" si="23"/>
        <v>0</v>
      </c>
      <c r="AS237" s="11">
        <f t="shared" si="27"/>
        <v>0</v>
      </c>
      <c r="AT237" s="13"/>
    </row>
    <row r="238" spans="1:46" s="18" customFormat="1" x14ac:dyDescent="0.25">
      <c r="A238" s="12">
        <v>231</v>
      </c>
      <c r="B238" s="60" t="s">
        <v>297</v>
      </c>
      <c r="C238" s="53">
        <v>10527</v>
      </c>
      <c r="D238" s="38" t="s">
        <v>224</v>
      </c>
      <c r="E238" s="38" t="s">
        <v>47</v>
      </c>
      <c r="F238" s="37" t="s">
        <v>283</v>
      </c>
      <c r="G238" s="4">
        <v>35000</v>
      </c>
      <c r="H238" s="4">
        <f>10000*10</f>
        <v>100000</v>
      </c>
      <c r="I238" s="4"/>
      <c r="J238" s="4">
        <v>0</v>
      </c>
      <c r="K238" s="4">
        <v>0</v>
      </c>
      <c r="L238" s="11">
        <f t="shared" si="24"/>
        <v>520000</v>
      </c>
      <c r="M238" s="69">
        <v>0</v>
      </c>
      <c r="N238" s="71">
        <v>0</v>
      </c>
      <c r="O238" s="71">
        <v>0</v>
      </c>
      <c r="P238" s="71">
        <v>0</v>
      </c>
      <c r="Q238" s="71">
        <f>VLOOKUP(C238,Incentives!C232:K571,9,FALSE)</f>
        <v>0</v>
      </c>
      <c r="R238" s="71">
        <v>0</v>
      </c>
      <c r="S238" s="13">
        <v>0</v>
      </c>
      <c r="T238" s="13">
        <v>0</v>
      </c>
      <c r="U238" s="13"/>
      <c r="V238" s="13"/>
      <c r="W238" s="13"/>
      <c r="Y238" s="71">
        <v>0</v>
      </c>
      <c r="Z238" s="71">
        <v>75850</v>
      </c>
      <c r="AA238" s="71">
        <v>10075</v>
      </c>
      <c r="AB238" s="71">
        <v>2925</v>
      </c>
      <c r="AC238" s="71">
        <v>10675</v>
      </c>
      <c r="AD238" s="71">
        <v>30712</v>
      </c>
      <c r="AE238" s="13">
        <v>0</v>
      </c>
      <c r="AF238" s="13">
        <v>1239</v>
      </c>
      <c r="AG238" s="13"/>
      <c r="AH238" s="13"/>
      <c r="AI238" s="22"/>
      <c r="AK238" s="11">
        <f t="shared" si="25"/>
        <v>651476</v>
      </c>
      <c r="AL238" s="11">
        <f t="shared" si="21"/>
        <v>54289.666666666664</v>
      </c>
      <c r="AM238" s="11">
        <f t="shared" si="26"/>
        <v>514.76</v>
      </c>
      <c r="AN238" s="11">
        <f>VLOOKUP(C238,'Paid Tax'!B233:M594,12,FALSE)</f>
        <v>135.63752525252517</v>
      </c>
      <c r="AO238" s="11">
        <f t="shared" si="22"/>
        <v>379.12247474747483</v>
      </c>
      <c r="AP238" s="13">
        <v>7</v>
      </c>
      <c r="AQ238" s="16">
        <f t="shared" si="23"/>
        <v>54.160353535353543</v>
      </c>
      <c r="AR238" s="89" t="s">
        <v>1180</v>
      </c>
      <c r="AS238" s="11">
        <f t="shared" si="27"/>
        <v>-54.160353535353543</v>
      </c>
      <c r="AT238" s="13"/>
    </row>
    <row r="239" spans="1:46" x14ac:dyDescent="0.25">
      <c r="A239" s="12">
        <v>232</v>
      </c>
      <c r="B239" s="60" t="s">
        <v>297</v>
      </c>
      <c r="C239" s="53">
        <v>10088</v>
      </c>
      <c r="D239" s="38" t="s">
        <v>225</v>
      </c>
      <c r="E239" s="38" t="s">
        <v>226</v>
      </c>
      <c r="F239" s="37" t="s">
        <v>275</v>
      </c>
      <c r="G239" s="4">
        <v>33035</v>
      </c>
      <c r="H239" s="4"/>
      <c r="I239" s="4"/>
      <c r="J239" s="4">
        <v>3477.8500000000004</v>
      </c>
      <c r="K239" s="4">
        <v>3477.8500000000004</v>
      </c>
      <c r="L239" s="11">
        <f t="shared" si="24"/>
        <v>403375.69999999995</v>
      </c>
      <c r="M239" s="69">
        <v>0</v>
      </c>
      <c r="N239" s="71">
        <v>0</v>
      </c>
      <c r="O239" s="71">
        <v>0</v>
      </c>
      <c r="P239" s="71">
        <v>0</v>
      </c>
      <c r="Q239" s="71">
        <f>VLOOKUP(C239,Incentives!C233:K572,9,FALSE)</f>
        <v>0</v>
      </c>
      <c r="R239" s="71">
        <v>0</v>
      </c>
      <c r="S239" s="13">
        <v>0</v>
      </c>
      <c r="T239" s="13">
        <v>0</v>
      </c>
      <c r="U239" s="13"/>
      <c r="V239" s="13"/>
      <c r="Y239" s="71">
        <v>0</v>
      </c>
      <c r="Z239" s="71">
        <v>0</v>
      </c>
      <c r="AA239" s="71">
        <v>0</v>
      </c>
      <c r="AB239" s="71">
        <v>0</v>
      </c>
      <c r="AC239" s="71">
        <v>0</v>
      </c>
      <c r="AD239" s="71">
        <v>0</v>
      </c>
      <c r="AE239" s="13">
        <v>0</v>
      </c>
      <c r="AF239" s="13">
        <v>0</v>
      </c>
      <c r="AI239" s="20"/>
      <c r="AJ239" s="13"/>
      <c r="AK239" s="11">
        <f t="shared" si="25"/>
        <v>403375.69999999995</v>
      </c>
      <c r="AL239" s="11">
        <f t="shared" si="21"/>
        <v>33614.641666666663</v>
      </c>
      <c r="AM239" s="11">
        <f t="shared" si="26"/>
        <v>0</v>
      </c>
      <c r="AN239" s="11">
        <f>VLOOKUP(C239,'Paid Tax'!B234:M595,12,FALSE)</f>
        <v>0</v>
      </c>
      <c r="AO239" s="11">
        <f t="shared" si="22"/>
        <v>0</v>
      </c>
      <c r="AP239" s="13">
        <v>5</v>
      </c>
      <c r="AQ239" s="16">
        <f t="shared" si="23"/>
        <v>0</v>
      </c>
      <c r="AS239" s="11">
        <f t="shared" si="27"/>
        <v>0</v>
      </c>
      <c r="AT239" s="13"/>
    </row>
    <row r="240" spans="1:46" x14ac:dyDescent="0.25">
      <c r="A240" s="12">
        <v>233</v>
      </c>
      <c r="B240" s="60" t="s">
        <v>297</v>
      </c>
      <c r="C240" s="53">
        <v>10183</v>
      </c>
      <c r="D240" s="38" t="s">
        <v>227</v>
      </c>
      <c r="E240" s="38" t="s">
        <v>228</v>
      </c>
      <c r="F240" s="37" t="s">
        <v>275</v>
      </c>
      <c r="G240" s="4">
        <v>13913</v>
      </c>
      <c r="H240" s="4"/>
      <c r="I240" s="4"/>
      <c r="J240" s="4">
        <v>2329.1999999999998</v>
      </c>
      <c r="K240" s="4">
        <v>2329.1999999999998</v>
      </c>
      <c r="L240" s="11">
        <f t="shared" si="24"/>
        <v>171614.40000000002</v>
      </c>
      <c r="M240" s="69">
        <v>0</v>
      </c>
      <c r="N240" s="71">
        <v>0</v>
      </c>
      <c r="O240" s="71">
        <v>0</v>
      </c>
      <c r="P240" s="71">
        <v>0</v>
      </c>
      <c r="Q240" s="71">
        <f>VLOOKUP(C240,Incentives!C234:K573,9,FALSE)</f>
        <v>0</v>
      </c>
      <c r="R240" s="71">
        <v>0</v>
      </c>
      <c r="S240" s="13">
        <v>0</v>
      </c>
      <c r="T240" s="13">
        <v>0</v>
      </c>
      <c r="U240" s="13"/>
      <c r="V240" s="13"/>
      <c r="Y240" s="71">
        <v>0</v>
      </c>
      <c r="Z240" s="71">
        <v>0</v>
      </c>
      <c r="AA240" s="71">
        <v>0</v>
      </c>
      <c r="AB240" s="71">
        <v>0</v>
      </c>
      <c r="AC240" s="71">
        <v>0</v>
      </c>
      <c r="AD240" s="71">
        <v>0</v>
      </c>
      <c r="AE240" s="13">
        <v>0</v>
      </c>
      <c r="AF240" s="13">
        <v>0</v>
      </c>
      <c r="AI240" s="20"/>
      <c r="AJ240" s="13"/>
      <c r="AK240" s="11">
        <f t="shared" si="25"/>
        <v>171614.40000000002</v>
      </c>
      <c r="AL240" s="11">
        <f t="shared" si="21"/>
        <v>14301.200000000003</v>
      </c>
      <c r="AM240" s="11">
        <f t="shared" si="26"/>
        <v>0</v>
      </c>
      <c r="AN240" s="11">
        <f>VLOOKUP(C240,'Paid Tax'!B235:M596,12,FALSE)</f>
        <v>0</v>
      </c>
      <c r="AO240" s="11">
        <f t="shared" si="22"/>
        <v>0</v>
      </c>
      <c r="AP240" s="13">
        <v>5</v>
      </c>
      <c r="AQ240" s="16">
        <f t="shared" si="23"/>
        <v>0</v>
      </c>
      <c r="AS240" s="11">
        <f t="shared" si="27"/>
        <v>0</v>
      </c>
      <c r="AT240" s="13"/>
    </row>
    <row r="241" spans="1:46" x14ac:dyDescent="0.25">
      <c r="A241" s="12">
        <v>234</v>
      </c>
      <c r="B241" s="60" t="s">
        <v>297</v>
      </c>
      <c r="C241" s="53">
        <v>10592</v>
      </c>
      <c r="D241" s="38" t="s">
        <v>377</v>
      </c>
      <c r="E241" s="38" t="s">
        <v>378</v>
      </c>
      <c r="F241" s="37" t="s">
        <v>283</v>
      </c>
      <c r="G241" s="4">
        <v>77000</v>
      </c>
      <c r="H241" s="4"/>
      <c r="I241" s="4"/>
      <c r="J241" s="4">
        <v>0</v>
      </c>
      <c r="K241" s="4">
        <v>0</v>
      </c>
      <c r="L241" s="11">
        <f t="shared" si="24"/>
        <v>924000</v>
      </c>
      <c r="M241" s="69">
        <v>0</v>
      </c>
      <c r="N241" s="71">
        <v>0</v>
      </c>
      <c r="O241" s="71">
        <v>0</v>
      </c>
      <c r="P241" s="71">
        <v>0</v>
      </c>
      <c r="Q241" s="71">
        <f>VLOOKUP(C241,Incentives!C235:K574,9,FALSE)</f>
        <v>0</v>
      </c>
      <c r="R241" s="71">
        <v>0</v>
      </c>
      <c r="S241" s="13">
        <v>0</v>
      </c>
      <c r="T241" s="13">
        <v>0</v>
      </c>
      <c r="U241" s="13"/>
      <c r="V241" s="13"/>
      <c r="Y241" s="71">
        <v>0</v>
      </c>
      <c r="Z241" s="71">
        <v>33250</v>
      </c>
      <c r="AA241" s="71">
        <v>12150</v>
      </c>
      <c r="AB241" s="71">
        <v>0</v>
      </c>
      <c r="AC241" s="71">
        <v>0</v>
      </c>
      <c r="AD241" s="71">
        <v>3820</v>
      </c>
      <c r="AE241" s="13">
        <v>0</v>
      </c>
      <c r="AF241" s="13">
        <v>0</v>
      </c>
      <c r="AI241" s="20"/>
      <c r="AJ241" s="13"/>
      <c r="AK241" s="11">
        <f t="shared" si="25"/>
        <v>973220</v>
      </c>
      <c r="AL241" s="11">
        <f t="shared" si="21"/>
        <v>81101.666666666672</v>
      </c>
      <c r="AM241" s="11">
        <f t="shared" si="26"/>
        <v>3732.2000000000003</v>
      </c>
      <c r="AN241" s="11">
        <f>VLOOKUP(C241,'Paid Tax'!B236:M597,12,FALSE)</f>
        <v>2143.0279220779225</v>
      </c>
      <c r="AO241" s="11">
        <f t="shared" si="22"/>
        <v>1589.1720779220777</v>
      </c>
      <c r="AP241" s="13">
        <v>5</v>
      </c>
      <c r="AQ241" s="16">
        <f t="shared" si="23"/>
        <v>317.83441558441552</v>
      </c>
      <c r="AS241" s="11">
        <f t="shared" si="27"/>
        <v>-317.83441558441552</v>
      </c>
      <c r="AT241" s="13"/>
    </row>
    <row r="242" spans="1:46" x14ac:dyDescent="0.25">
      <c r="A242" s="12">
        <v>235</v>
      </c>
      <c r="B242" s="60" t="s">
        <v>294</v>
      </c>
      <c r="C242" s="53">
        <v>10346</v>
      </c>
      <c r="D242" s="38" t="s">
        <v>229</v>
      </c>
      <c r="E242" s="38" t="s">
        <v>219</v>
      </c>
      <c r="F242" s="37" t="s">
        <v>284</v>
      </c>
      <c r="G242" s="4">
        <v>41035</v>
      </c>
      <c r="H242" s="4"/>
      <c r="I242" s="4"/>
      <c r="J242" s="4">
        <v>4811.2</v>
      </c>
      <c r="K242" s="4">
        <v>4811.2</v>
      </c>
      <c r="L242" s="11">
        <f t="shared" si="24"/>
        <v>502042.4</v>
      </c>
      <c r="M242" s="69">
        <v>0</v>
      </c>
      <c r="N242" s="71">
        <v>0</v>
      </c>
      <c r="O242" s="71">
        <v>0</v>
      </c>
      <c r="P242" s="71">
        <v>0</v>
      </c>
      <c r="Q242" s="71">
        <f>VLOOKUP(C242,Incentives!C236:K575,9,FALSE)</f>
        <v>0</v>
      </c>
      <c r="R242" s="71">
        <v>0</v>
      </c>
      <c r="S242" s="13">
        <v>0</v>
      </c>
      <c r="T242" s="13">
        <v>0</v>
      </c>
      <c r="U242" s="13"/>
      <c r="V242" s="13"/>
      <c r="Y242" s="71">
        <v>0</v>
      </c>
      <c r="Z242" s="71">
        <v>0</v>
      </c>
      <c r="AA242" s="71">
        <v>0</v>
      </c>
      <c r="AB242" s="71">
        <v>0</v>
      </c>
      <c r="AC242" s="71">
        <v>0</v>
      </c>
      <c r="AD242" s="71">
        <v>0</v>
      </c>
      <c r="AE242" s="13">
        <v>0</v>
      </c>
      <c r="AF242" s="13">
        <v>0</v>
      </c>
      <c r="AI242" s="20"/>
      <c r="AJ242" s="13"/>
      <c r="AK242" s="11">
        <f t="shared" si="25"/>
        <v>502042.4</v>
      </c>
      <c r="AL242" s="11">
        <f t="shared" si="21"/>
        <v>41836.866666666669</v>
      </c>
      <c r="AM242" s="11">
        <f t="shared" si="26"/>
        <v>0</v>
      </c>
      <c r="AN242" s="11">
        <f>VLOOKUP(C242,'Paid Tax'!B237:M598,12,FALSE)</f>
        <v>0</v>
      </c>
      <c r="AO242" s="11">
        <f t="shared" si="22"/>
        <v>0</v>
      </c>
      <c r="AP242" s="13">
        <v>5</v>
      </c>
      <c r="AQ242" s="16">
        <f t="shared" si="23"/>
        <v>0</v>
      </c>
      <c r="AS242" s="11">
        <f t="shared" si="27"/>
        <v>0</v>
      </c>
      <c r="AT242" s="13"/>
    </row>
    <row r="243" spans="1:46" x14ac:dyDescent="0.25">
      <c r="A243" s="12">
        <v>236</v>
      </c>
      <c r="B243" s="60" t="s">
        <v>294</v>
      </c>
      <c r="C243" s="53">
        <v>10322</v>
      </c>
      <c r="D243" s="38" t="s">
        <v>230</v>
      </c>
      <c r="E243" s="38" t="s">
        <v>69</v>
      </c>
      <c r="F243" s="37" t="s">
        <v>284</v>
      </c>
      <c r="G243" s="4">
        <v>28761</v>
      </c>
      <c r="H243" s="4"/>
      <c r="I243" s="4"/>
      <c r="J243" s="4">
        <v>3750.5</v>
      </c>
      <c r="K243" s="4">
        <v>3750.5</v>
      </c>
      <c r="L243" s="11">
        <f t="shared" si="24"/>
        <v>352633</v>
      </c>
      <c r="M243" s="69">
        <v>1890</v>
      </c>
      <c r="N243" s="71">
        <v>3280</v>
      </c>
      <c r="O243" s="71">
        <v>3360</v>
      </c>
      <c r="P243" s="71">
        <v>3400</v>
      </c>
      <c r="Q243" s="71">
        <f>VLOOKUP(C243,Incentives!C237:K576,9,FALSE)</f>
        <v>2700</v>
      </c>
      <c r="R243" s="71">
        <v>2130</v>
      </c>
      <c r="S243" s="13">
        <v>2130</v>
      </c>
      <c r="T243" s="13">
        <v>12995</v>
      </c>
      <c r="U243" s="13"/>
      <c r="V243" s="13"/>
      <c r="Y243" s="71">
        <v>0</v>
      </c>
      <c r="Z243" s="71">
        <v>0</v>
      </c>
      <c r="AA243" s="71">
        <v>0</v>
      </c>
      <c r="AB243" s="71">
        <v>0</v>
      </c>
      <c r="AC243" s="71">
        <v>0</v>
      </c>
      <c r="AD243" s="71">
        <v>0</v>
      </c>
      <c r="AE243" s="13">
        <v>0</v>
      </c>
      <c r="AF243" s="13">
        <v>0</v>
      </c>
      <c r="AI243" s="20"/>
      <c r="AJ243" s="13"/>
      <c r="AK243" s="11">
        <f t="shared" si="25"/>
        <v>384518</v>
      </c>
      <c r="AL243" s="11">
        <f t="shared" si="21"/>
        <v>32043.166666666668</v>
      </c>
      <c r="AM243" s="11">
        <f t="shared" si="26"/>
        <v>0</v>
      </c>
      <c r="AN243" s="11">
        <f>VLOOKUP(C243,'Paid Tax'!B238:M599,12,FALSE)</f>
        <v>0</v>
      </c>
      <c r="AO243" s="11">
        <f t="shared" si="22"/>
        <v>0</v>
      </c>
      <c r="AP243" s="13">
        <v>5</v>
      </c>
      <c r="AQ243" s="16">
        <f t="shared" si="23"/>
        <v>0</v>
      </c>
      <c r="AS243" s="11">
        <f t="shared" si="27"/>
        <v>0</v>
      </c>
      <c r="AT243" s="13"/>
    </row>
    <row r="244" spans="1:46" x14ac:dyDescent="0.25">
      <c r="A244" s="12">
        <v>237</v>
      </c>
      <c r="B244" s="60" t="s">
        <v>294</v>
      </c>
      <c r="C244" s="53">
        <v>10488</v>
      </c>
      <c r="D244" s="38" t="s">
        <v>231</v>
      </c>
      <c r="E244" s="38" t="s">
        <v>228</v>
      </c>
      <c r="F244" s="37" t="s">
        <v>275</v>
      </c>
      <c r="G244" s="4">
        <v>5000</v>
      </c>
      <c r="H244" s="4"/>
      <c r="I244" s="4"/>
      <c r="J244" s="4">
        <v>0</v>
      </c>
      <c r="K244" s="4">
        <v>0</v>
      </c>
      <c r="L244" s="11">
        <f t="shared" si="24"/>
        <v>60000</v>
      </c>
      <c r="M244" s="69">
        <v>0</v>
      </c>
      <c r="N244" s="71">
        <v>0</v>
      </c>
      <c r="O244" s="71">
        <v>0</v>
      </c>
      <c r="P244" s="71">
        <v>0</v>
      </c>
      <c r="Q244" s="71">
        <f>VLOOKUP(C244,Incentives!C238:K577,9,FALSE)</f>
        <v>0</v>
      </c>
      <c r="R244" s="71">
        <v>0</v>
      </c>
      <c r="S244" s="13">
        <v>0</v>
      </c>
      <c r="T244" s="13">
        <v>0</v>
      </c>
      <c r="U244" s="13"/>
      <c r="V244" s="13"/>
      <c r="Y244" s="71">
        <v>0</v>
      </c>
      <c r="Z244" s="71">
        <v>0</v>
      </c>
      <c r="AA244" s="71">
        <v>0</v>
      </c>
      <c r="AB244" s="71">
        <v>0</v>
      </c>
      <c r="AC244" s="71">
        <v>0</v>
      </c>
      <c r="AD244" s="71">
        <v>0</v>
      </c>
      <c r="AE244" s="13">
        <v>0</v>
      </c>
      <c r="AF244" s="13">
        <v>0</v>
      </c>
      <c r="AI244" s="20"/>
      <c r="AJ244" s="13"/>
      <c r="AK244" s="11">
        <f t="shared" si="25"/>
        <v>60000</v>
      </c>
      <c r="AL244" s="11">
        <f t="shared" si="21"/>
        <v>5000</v>
      </c>
      <c r="AM244" s="11">
        <f t="shared" si="26"/>
        <v>0</v>
      </c>
      <c r="AN244" s="11">
        <f>VLOOKUP(C244,'Paid Tax'!B239:M600,12,FALSE)</f>
        <v>0</v>
      </c>
      <c r="AO244" s="11">
        <f t="shared" si="22"/>
        <v>0</v>
      </c>
      <c r="AP244" s="13">
        <v>5</v>
      </c>
      <c r="AQ244" s="16">
        <f t="shared" si="23"/>
        <v>0</v>
      </c>
      <c r="AS244" s="11">
        <f t="shared" si="27"/>
        <v>0</v>
      </c>
      <c r="AT244" s="13"/>
    </row>
    <row r="245" spans="1:46" s="18" customFormat="1" x14ac:dyDescent="0.25">
      <c r="A245" s="12">
        <v>238</v>
      </c>
      <c r="B245" s="60" t="s">
        <v>294</v>
      </c>
      <c r="C245" s="53">
        <v>10398</v>
      </c>
      <c r="D245" s="38" t="s">
        <v>232</v>
      </c>
      <c r="E245" s="38" t="s">
        <v>69</v>
      </c>
      <c r="F245" s="37" t="s">
        <v>284</v>
      </c>
      <c r="G245" s="4">
        <v>29800</v>
      </c>
      <c r="H245" s="4"/>
      <c r="I245" s="4"/>
      <c r="J245" s="4">
        <v>3800</v>
      </c>
      <c r="K245" s="4">
        <v>3800</v>
      </c>
      <c r="L245" s="11">
        <f t="shared" si="24"/>
        <v>365200</v>
      </c>
      <c r="M245" s="69">
        <v>0</v>
      </c>
      <c r="N245" s="71">
        <v>1530</v>
      </c>
      <c r="O245" s="71">
        <v>2130</v>
      </c>
      <c r="P245" s="71">
        <v>0</v>
      </c>
      <c r="Q245" s="71">
        <f>VLOOKUP(C245,Incentives!C239:K578,9,FALSE)</f>
        <v>1530</v>
      </c>
      <c r="R245" s="71">
        <v>1050</v>
      </c>
      <c r="S245" s="13">
        <v>1170</v>
      </c>
      <c r="T245" s="13">
        <v>0</v>
      </c>
      <c r="U245" s="13"/>
      <c r="V245" s="13"/>
      <c r="W245" s="13"/>
      <c r="Y245" s="71">
        <v>0</v>
      </c>
      <c r="Z245" s="71">
        <v>0</v>
      </c>
      <c r="AA245" s="71">
        <v>0</v>
      </c>
      <c r="AB245" s="71">
        <v>0</v>
      </c>
      <c r="AC245" s="71">
        <v>0</v>
      </c>
      <c r="AD245" s="71">
        <v>0</v>
      </c>
      <c r="AE245" s="13">
        <v>0</v>
      </c>
      <c r="AF245" s="13">
        <v>0</v>
      </c>
      <c r="AG245" s="13"/>
      <c r="AH245" s="13"/>
      <c r="AI245" s="20"/>
      <c r="AK245" s="11">
        <f t="shared" si="25"/>
        <v>372610</v>
      </c>
      <c r="AL245" s="11">
        <f t="shared" si="21"/>
        <v>31050.833333333332</v>
      </c>
      <c r="AM245" s="11">
        <f t="shared" si="26"/>
        <v>0</v>
      </c>
      <c r="AN245" s="11">
        <f>VLOOKUP(C245,'Paid Tax'!B240:M601,12,FALSE)</f>
        <v>0</v>
      </c>
      <c r="AO245" s="11">
        <f t="shared" si="22"/>
        <v>0</v>
      </c>
      <c r="AP245" s="13">
        <v>5</v>
      </c>
      <c r="AQ245" s="16">
        <f t="shared" si="23"/>
        <v>0</v>
      </c>
      <c r="AR245" s="13"/>
      <c r="AS245" s="11">
        <f t="shared" si="27"/>
        <v>0</v>
      </c>
      <c r="AT245" s="13"/>
    </row>
    <row r="246" spans="1:46" x14ac:dyDescent="0.25">
      <c r="A246" s="12">
        <v>239</v>
      </c>
      <c r="B246" s="60" t="s">
        <v>294</v>
      </c>
      <c r="C246" s="53">
        <v>10340</v>
      </c>
      <c r="D246" s="38" t="s">
        <v>233</v>
      </c>
      <c r="E246" s="38" t="s">
        <v>69</v>
      </c>
      <c r="F246" s="37" t="s">
        <v>284</v>
      </c>
      <c r="G246" s="4">
        <v>32741</v>
      </c>
      <c r="H246" s="4"/>
      <c r="I246" s="4"/>
      <c r="J246" s="4">
        <v>4416.25</v>
      </c>
      <c r="K246" s="4">
        <v>4416.25</v>
      </c>
      <c r="L246" s="11">
        <f t="shared" si="24"/>
        <v>401724.5</v>
      </c>
      <c r="M246" s="69">
        <v>0</v>
      </c>
      <c r="N246" s="71">
        <v>0</v>
      </c>
      <c r="O246" s="71">
        <v>0</v>
      </c>
      <c r="P246" s="71">
        <v>1950</v>
      </c>
      <c r="Q246" s="71">
        <f>VLOOKUP(C246,Incentives!C240:K579,9,FALSE)</f>
        <v>1920</v>
      </c>
      <c r="R246" s="71">
        <v>1200</v>
      </c>
      <c r="S246" s="13">
        <v>2205</v>
      </c>
      <c r="T246" s="13">
        <v>1950</v>
      </c>
      <c r="U246" s="13"/>
      <c r="V246" s="13"/>
      <c r="Y246" s="71">
        <v>0</v>
      </c>
      <c r="Z246" s="71">
        <v>0</v>
      </c>
      <c r="AA246" s="71">
        <v>0</v>
      </c>
      <c r="AB246" s="71">
        <v>0</v>
      </c>
      <c r="AC246" s="71">
        <v>0</v>
      </c>
      <c r="AD246" s="71">
        <v>0</v>
      </c>
      <c r="AE246" s="13">
        <v>0</v>
      </c>
      <c r="AF246" s="13">
        <v>0</v>
      </c>
      <c r="AI246" s="20"/>
      <c r="AJ246" s="13"/>
      <c r="AK246" s="11">
        <f t="shared" si="25"/>
        <v>410949.5</v>
      </c>
      <c r="AL246" s="11">
        <f t="shared" si="21"/>
        <v>34245.791666666664</v>
      </c>
      <c r="AM246" s="11">
        <f t="shared" si="26"/>
        <v>0</v>
      </c>
      <c r="AN246" s="11">
        <f>VLOOKUP(C246,'Paid Tax'!B241:M602,12,FALSE)</f>
        <v>0</v>
      </c>
      <c r="AO246" s="11">
        <f t="shared" si="22"/>
        <v>0</v>
      </c>
      <c r="AP246" s="13">
        <v>5</v>
      </c>
      <c r="AQ246" s="16">
        <f t="shared" si="23"/>
        <v>0</v>
      </c>
      <c r="AS246" s="11">
        <f t="shared" si="27"/>
        <v>0</v>
      </c>
      <c r="AT246" s="13"/>
    </row>
    <row r="247" spans="1:46" x14ac:dyDescent="0.25">
      <c r="A247" s="12">
        <v>240</v>
      </c>
      <c r="B247" s="60" t="s">
        <v>294</v>
      </c>
      <c r="C247" s="53">
        <v>10153</v>
      </c>
      <c r="D247" s="38" t="s">
        <v>234</v>
      </c>
      <c r="E247" s="38" t="s">
        <v>205</v>
      </c>
      <c r="F247" s="37" t="s">
        <v>275</v>
      </c>
      <c r="G247" s="4">
        <v>31383</v>
      </c>
      <c r="H247" s="4"/>
      <c r="I247" s="4"/>
      <c r="J247" s="4">
        <v>3399.2000000000003</v>
      </c>
      <c r="K247" s="4">
        <v>3399.2000000000003</v>
      </c>
      <c r="L247" s="11">
        <f t="shared" si="24"/>
        <v>383394.4</v>
      </c>
      <c r="M247" s="69">
        <v>0</v>
      </c>
      <c r="N247" s="71">
        <v>0</v>
      </c>
      <c r="O247" s="71">
        <v>0</v>
      </c>
      <c r="P247" s="71">
        <v>0</v>
      </c>
      <c r="Q247" s="71">
        <f>VLOOKUP(C247,Incentives!C241:K580,9,FALSE)</f>
        <v>0</v>
      </c>
      <c r="R247" s="71">
        <v>0</v>
      </c>
      <c r="S247" s="13">
        <v>0</v>
      </c>
      <c r="T247" s="13">
        <v>0</v>
      </c>
      <c r="U247" s="13"/>
      <c r="V247" s="13"/>
      <c r="Y247" s="71">
        <v>0</v>
      </c>
      <c r="Z247" s="71">
        <v>0</v>
      </c>
      <c r="AA247" s="71">
        <v>0</v>
      </c>
      <c r="AB247" s="71">
        <v>0</v>
      </c>
      <c r="AC247" s="71">
        <v>0</v>
      </c>
      <c r="AD247" s="71">
        <v>0</v>
      </c>
      <c r="AE247" s="13">
        <v>0</v>
      </c>
      <c r="AF247" s="13">
        <v>0</v>
      </c>
      <c r="AI247" s="20"/>
      <c r="AJ247" s="13"/>
      <c r="AK247" s="11">
        <f t="shared" si="25"/>
        <v>383394.4</v>
      </c>
      <c r="AL247" s="11">
        <f t="shared" si="21"/>
        <v>31949.533333333336</v>
      </c>
      <c r="AM247" s="11">
        <f t="shared" si="26"/>
        <v>0</v>
      </c>
      <c r="AN247" s="11">
        <f>VLOOKUP(C247,'Paid Tax'!B242:M603,12,FALSE)</f>
        <v>0</v>
      </c>
      <c r="AO247" s="11">
        <f t="shared" si="22"/>
        <v>0</v>
      </c>
      <c r="AP247" s="13">
        <v>5</v>
      </c>
      <c r="AQ247" s="16">
        <f t="shared" si="23"/>
        <v>0</v>
      </c>
      <c r="AS247" s="11">
        <f t="shared" si="27"/>
        <v>0</v>
      </c>
      <c r="AT247" s="13"/>
    </row>
    <row r="248" spans="1:46" x14ac:dyDescent="0.25">
      <c r="A248" s="12">
        <v>241</v>
      </c>
      <c r="B248" s="60" t="s">
        <v>294</v>
      </c>
      <c r="C248" s="53">
        <v>10532</v>
      </c>
      <c r="D248" s="38" t="s">
        <v>312</v>
      </c>
      <c r="E248" s="38" t="s">
        <v>69</v>
      </c>
      <c r="F248" s="37" t="s">
        <v>284</v>
      </c>
      <c r="G248" s="4">
        <v>32500</v>
      </c>
      <c r="H248" s="4"/>
      <c r="I248" s="4"/>
      <c r="J248" s="4">
        <v>0</v>
      </c>
      <c r="K248" s="4">
        <v>0</v>
      </c>
      <c r="L248" s="11">
        <f t="shared" si="24"/>
        <v>390000</v>
      </c>
      <c r="M248" s="69">
        <v>2070</v>
      </c>
      <c r="N248" s="71">
        <v>4600</v>
      </c>
      <c r="O248" s="71">
        <v>4700</v>
      </c>
      <c r="P248" s="71">
        <v>2340</v>
      </c>
      <c r="Q248" s="71">
        <f>VLOOKUP(C248,Incentives!C242:K581,9,FALSE)</f>
        <v>7600</v>
      </c>
      <c r="R248" s="71">
        <v>2040</v>
      </c>
      <c r="S248" s="13">
        <v>5220</v>
      </c>
      <c r="T248" s="13">
        <v>2790</v>
      </c>
      <c r="U248" s="13"/>
      <c r="V248" s="13"/>
      <c r="Y248" s="71">
        <v>0</v>
      </c>
      <c r="Z248" s="71">
        <v>0</v>
      </c>
      <c r="AA248" s="71">
        <v>0</v>
      </c>
      <c r="AB248" s="71">
        <v>0</v>
      </c>
      <c r="AC248" s="71">
        <v>0</v>
      </c>
      <c r="AD248" s="71">
        <v>0</v>
      </c>
      <c r="AE248" s="13">
        <v>0</v>
      </c>
      <c r="AF248" s="13">
        <v>0</v>
      </c>
      <c r="AI248" s="20"/>
      <c r="AJ248" s="13"/>
      <c r="AK248" s="11">
        <f t="shared" si="25"/>
        <v>421360</v>
      </c>
      <c r="AL248" s="11">
        <f t="shared" si="21"/>
        <v>35113.333333333336</v>
      </c>
      <c r="AM248" s="11">
        <f t="shared" si="26"/>
        <v>0</v>
      </c>
      <c r="AN248" s="11">
        <f>VLOOKUP(C248,'Paid Tax'!B243:M604,12,FALSE)</f>
        <v>0</v>
      </c>
      <c r="AO248" s="11">
        <f t="shared" si="22"/>
        <v>0</v>
      </c>
      <c r="AP248" s="13">
        <v>5</v>
      </c>
      <c r="AQ248" s="16">
        <f t="shared" si="23"/>
        <v>0</v>
      </c>
      <c r="AS248" s="11">
        <f t="shared" si="27"/>
        <v>0</v>
      </c>
      <c r="AT248" s="13"/>
    </row>
    <row r="249" spans="1:46" x14ac:dyDescent="0.25">
      <c r="A249" s="12">
        <v>242</v>
      </c>
      <c r="B249" s="60" t="s">
        <v>294</v>
      </c>
      <c r="C249" s="53">
        <v>10462</v>
      </c>
      <c r="D249" s="38" t="s">
        <v>236</v>
      </c>
      <c r="E249" s="38" t="s">
        <v>69</v>
      </c>
      <c r="F249" s="37" t="s">
        <v>284</v>
      </c>
      <c r="G249" s="4">
        <v>28750</v>
      </c>
      <c r="H249" s="4"/>
      <c r="I249" s="4"/>
      <c r="J249" s="4">
        <v>3750</v>
      </c>
      <c r="K249" s="4">
        <v>3750</v>
      </c>
      <c r="L249" s="11">
        <f t="shared" si="24"/>
        <v>352500</v>
      </c>
      <c r="M249" s="69">
        <v>0</v>
      </c>
      <c r="N249" s="71">
        <v>2100</v>
      </c>
      <c r="O249" s="71">
        <v>1620</v>
      </c>
      <c r="P249" s="71">
        <v>0</v>
      </c>
      <c r="Q249" s="71">
        <f>VLOOKUP(C249,Incentives!C243:K582,9,FALSE)</f>
        <v>1890</v>
      </c>
      <c r="R249" s="71">
        <v>1170</v>
      </c>
      <c r="S249" s="13">
        <v>0</v>
      </c>
      <c r="T249" s="13">
        <v>0</v>
      </c>
      <c r="U249" s="13"/>
      <c r="V249" s="13"/>
      <c r="Y249" s="71">
        <v>0</v>
      </c>
      <c r="Z249" s="71">
        <v>0</v>
      </c>
      <c r="AA249" s="71">
        <v>0</v>
      </c>
      <c r="AB249" s="71">
        <v>0</v>
      </c>
      <c r="AC249" s="71">
        <v>0</v>
      </c>
      <c r="AD249" s="71">
        <v>0</v>
      </c>
      <c r="AE249" s="13">
        <v>0</v>
      </c>
      <c r="AF249" s="13">
        <v>0</v>
      </c>
      <c r="AI249" s="20"/>
      <c r="AJ249" s="13"/>
      <c r="AK249" s="11">
        <f t="shared" si="25"/>
        <v>359280</v>
      </c>
      <c r="AL249" s="11">
        <f t="shared" si="21"/>
        <v>29940</v>
      </c>
      <c r="AM249" s="11">
        <f t="shared" si="26"/>
        <v>0</v>
      </c>
      <c r="AN249" s="11">
        <f>VLOOKUP(C249,'Paid Tax'!B244:M605,12,FALSE)</f>
        <v>0</v>
      </c>
      <c r="AO249" s="11">
        <f t="shared" si="22"/>
        <v>0</v>
      </c>
      <c r="AP249" s="13">
        <v>5</v>
      </c>
      <c r="AQ249" s="16">
        <f t="shared" si="23"/>
        <v>0</v>
      </c>
      <c r="AS249" s="11">
        <f t="shared" si="27"/>
        <v>0</v>
      </c>
      <c r="AT249" s="13"/>
    </row>
    <row r="250" spans="1:46" x14ac:dyDescent="0.25">
      <c r="A250" s="12">
        <v>243</v>
      </c>
      <c r="B250" s="60" t="s">
        <v>294</v>
      </c>
      <c r="C250" s="53">
        <v>10470</v>
      </c>
      <c r="D250" s="38" t="s">
        <v>237</v>
      </c>
      <c r="E250" s="38" t="s">
        <v>69</v>
      </c>
      <c r="F250" s="37" t="s">
        <v>284</v>
      </c>
      <c r="G250" s="4">
        <v>29250</v>
      </c>
      <c r="H250" s="4"/>
      <c r="I250" s="4"/>
      <c r="J250" s="4">
        <v>4250</v>
      </c>
      <c r="K250" s="4">
        <v>4250</v>
      </c>
      <c r="L250" s="11">
        <f t="shared" si="24"/>
        <v>359500</v>
      </c>
      <c r="M250" s="69">
        <v>2370</v>
      </c>
      <c r="N250" s="71">
        <v>2070</v>
      </c>
      <c r="O250" s="71">
        <v>3440</v>
      </c>
      <c r="P250" s="71">
        <v>2370</v>
      </c>
      <c r="Q250" s="71">
        <f>VLOOKUP(C250,Incentives!C244:K583,9,FALSE)</f>
        <v>1590</v>
      </c>
      <c r="R250" s="71">
        <v>2430</v>
      </c>
      <c r="S250" s="13">
        <v>2040</v>
      </c>
      <c r="T250" s="13">
        <v>27520</v>
      </c>
      <c r="U250" s="13"/>
      <c r="V250" s="13"/>
      <c r="Y250" s="71">
        <v>0</v>
      </c>
      <c r="Z250" s="71">
        <v>1750</v>
      </c>
      <c r="AA250" s="71">
        <v>0</v>
      </c>
      <c r="AB250" s="71">
        <v>0</v>
      </c>
      <c r="AC250" s="71">
        <v>250</v>
      </c>
      <c r="AD250" s="71">
        <v>0</v>
      </c>
      <c r="AE250" s="13">
        <v>0</v>
      </c>
      <c r="AF250" s="13">
        <v>0</v>
      </c>
      <c r="AI250" s="20"/>
      <c r="AJ250" s="13"/>
      <c r="AK250" s="11">
        <f t="shared" si="25"/>
        <v>405330</v>
      </c>
      <c r="AL250" s="11">
        <f t="shared" si="21"/>
        <v>33777.5</v>
      </c>
      <c r="AM250" s="11">
        <f t="shared" si="26"/>
        <v>0</v>
      </c>
      <c r="AN250" s="11">
        <f>VLOOKUP(C250,'Paid Tax'!B245:M606,12,FALSE)</f>
        <v>0</v>
      </c>
      <c r="AO250" s="11">
        <f t="shared" si="22"/>
        <v>0</v>
      </c>
      <c r="AP250" s="13">
        <v>5</v>
      </c>
      <c r="AQ250" s="16">
        <f t="shared" si="23"/>
        <v>0</v>
      </c>
      <c r="AS250" s="11">
        <f t="shared" si="27"/>
        <v>0</v>
      </c>
      <c r="AT250" s="13"/>
    </row>
    <row r="251" spans="1:46" x14ac:dyDescent="0.25">
      <c r="A251" s="12">
        <v>244</v>
      </c>
      <c r="B251" s="60" t="s">
        <v>294</v>
      </c>
      <c r="C251" s="53">
        <v>10535</v>
      </c>
      <c r="D251" s="38" t="s">
        <v>316</v>
      </c>
      <c r="E251" s="38" t="s">
        <v>69</v>
      </c>
      <c r="F251" s="37" t="s">
        <v>284</v>
      </c>
      <c r="G251" s="4">
        <v>28000</v>
      </c>
      <c r="H251" s="4"/>
      <c r="I251" s="4"/>
      <c r="J251" s="4">
        <v>0</v>
      </c>
      <c r="K251" s="4">
        <v>0</v>
      </c>
      <c r="L251" s="11">
        <f t="shared" si="24"/>
        <v>336000</v>
      </c>
      <c r="M251" s="69">
        <v>0</v>
      </c>
      <c r="N251" s="71">
        <v>0</v>
      </c>
      <c r="O251" s="71">
        <v>0</v>
      </c>
      <c r="P251" s="71">
        <v>0</v>
      </c>
      <c r="Q251" s="71">
        <f>VLOOKUP(C251,Incentives!C245:K584,9,FALSE)</f>
        <v>0</v>
      </c>
      <c r="R251" s="71">
        <v>0</v>
      </c>
      <c r="S251" s="13">
        <v>0</v>
      </c>
      <c r="T251" s="13">
        <v>0</v>
      </c>
      <c r="U251" s="13"/>
      <c r="V251" s="13"/>
      <c r="Y251" s="71">
        <v>0</v>
      </c>
      <c r="Z251" s="71">
        <v>0</v>
      </c>
      <c r="AA251" s="71">
        <v>0</v>
      </c>
      <c r="AB251" s="71">
        <v>0</v>
      </c>
      <c r="AC251" s="71">
        <v>0</v>
      </c>
      <c r="AD251" s="71">
        <v>0</v>
      </c>
      <c r="AE251" s="13">
        <v>0</v>
      </c>
      <c r="AF251" s="13">
        <v>0</v>
      </c>
      <c r="AI251" s="20"/>
      <c r="AJ251" s="13"/>
      <c r="AK251" s="11">
        <f t="shared" si="25"/>
        <v>336000</v>
      </c>
      <c r="AL251" s="11">
        <f t="shared" si="21"/>
        <v>28000</v>
      </c>
      <c r="AM251" s="11">
        <f t="shared" si="26"/>
        <v>0</v>
      </c>
      <c r="AN251" s="11">
        <f>VLOOKUP(C251,'Paid Tax'!B246:M607,12,FALSE)</f>
        <v>0</v>
      </c>
      <c r="AO251" s="11">
        <f t="shared" si="22"/>
        <v>0</v>
      </c>
      <c r="AP251" s="13">
        <v>5</v>
      </c>
      <c r="AQ251" s="16">
        <f t="shared" si="23"/>
        <v>0</v>
      </c>
      <c r="AS251" s="11">
        <f t="shared" si="27"/>
        <v>0</v>
      </c>
      <c r="AT251" s="13"/>
    </row>
    <row r="252" spans="1:46" x14ac:dyDescent="0.25">
      <c r="A252" s="12">
        <v>245</v>
      </c>
      <c r="B252" s="60" t="s">
        <v>294</v>
      </c>
      <c r="C252" s="53">
        <v>10600</v>
      </c>
      <c r="D252" s="38" t="s">
        <v>235</v>
      </c>
      <c r="E252" s="38" t="s">
        <v>69</v>
      </c>
      <c r="F252" s="37" t="s">
        <v>284</v>
      </c>
      <c r="G252" s="4">
        <v>28500</v>
      </c>
      <c r="H252" s="4"/>
      <c r="I252" s="4"/>
      <c r="J252" s="4">
        <v>0</v>
      </c>
      <c r="K252" s="4">
        <v>0</v>
      </c>
      <c r="L252" s="11">
        <f t="shared" si="24"/>
        <v>342000</v>
      </c>
      <c r="M252" s="69">
        <v>0</v>
      </c>
      <c r="N252" s="71">
        <v>0</v>
      </c>
      <c r="O252" s="71">
        <v>0</v>
      </c>
      <c r="P252" s="71">
        <v>0</v>
      </c>
      <c r="Q252" s="71">
        <f>VLOOKUP(C252,Incentives!C246:K585,9,FALSE)</f>
        <v>0</v>
      </c>
      <c r="R252" s="71">
        <v>0</v>
      </c>
      <c r="S252" s="13">
        <v>0</v>
      </c>
      <c r="T252" s="13">
        <v>0</v>
      </c>
      <c r="U252" s="13"/>
      <c r="V252" s="13"/>
      <c r="Y252" s="71">
        <v>0</v>
      </c>
      <c r="Z252" s="71">
        <v>0</v>
      </c>
      <c r="AA252" s="71">
        <v>0</v>
      </c>
      <c r="AB252" s="71">
        <v>0</v>
      </c>
      <c r="AC252" s="71">
        <v>0</v>
      </c>
      <c r="AD252" s="71">
        <v>0</v>
      </c>
      <c r="AE252" s="13">
        <v>0</v>
      </c>
      <c r="AF252" s="13">
        <v>0</v>
      </c>
      <c r="AI252" s="20"/>
      <c r="AJ252" s="13"/>
      <c r="AK252" s="11">
        <f t="shared" si="25"/>
        <v>342000</v>
      </c>
      <c r="AL252" s="11">
        <f t="shared" si="21"/>
        <v>28500</v>
      </c>
      <c r="AM252" s="11">
        <f t="shared" si="26"/>
        <v>0</v>
      </c>
      <c r="AN252" s="11">
        <f>VLOOKUP(C252,'Paid Tax'!B247:M608,12,FALSE)</f>
        <v>0</v>
      </c>
      <c r="AO252" s="11">
        <f t="shared" si="22"/>
        <v>0</v>
      </c>
      <c r="AP252" s="13">
        <v>5</v>
      </c>
      <c r="AQ252" s="16">
        <f t="shared" si="23"/>
        <v>0</v>
      </c>
      <c r="AS252" s="11">
        <f t="shared" si="27"/>
        <v>0</v>
      </c>
      <c r="AT252" s="13"/>
    </row>
    <row r="253" spans="1:46" x14ac:dyDescent="0.25">
      <c r="A253" s="12">
        <v>246</v>
      </c>
      <c r="B253" s="60" t="s">
        <v>294</v>
      </c>
      <c r="C253" s="53">
        <v>10624</v>
      </c>
      <c r="D253" s="38" t="s">
        <v>423</v>
      </c>
      <c r="E253" s="38" t="s">
        <v>69</v>
      </c>
      <c r="F253" s="37" t="s">
        <v>284</v>
      </c>
      <c r="G253" s="4">
        <v>28500</v>
      </c>
      <c r="H253" s="4"/>
      <c r="I253" s="4"/>
      <c r="J253" s="4">
        <v>0</v>
      </c>
      <c r="K253" s="4">
        <v>0</v>
      </c>
      <c r="L253" s="11">
        <f t="shared" si="24"/>
        <v>342000</v>
      </c>
      <c r="M253" s="69">
        <v>1950</v>
      </c>
      <c r="N253" s="71">
        <v>4550</v>
      </c>
      <c r="O253" s="71">
        <v>2340</v>
      </c>
      <c r="P253" s="71">
        <v>2310</v>
      </c>
      <c r="Q253" s="71">
        <f>VLOOKUP(C253,Incentives!C247:K586,9,FALSE)</f>
        <v>1890</v>
      </c>
      <c r="R253" s="71">
        <v>1620</v>
      </c>
      <c r="S253" s="13">
        <v>1770</v>
      </c>
      <c r="T253" s="13">
        <v>2160</v>
      </c>
      <c r="U253" s="13"/>
      <c r="V253" s="13"/>
      <c r="Y253" s="71">
        <v>0</v>
      </c>
      <c r="Z253" s="71">
        <v>0</v>
      </c>
      <c r="AA253" s="71">
        <v>0</v>
      </c>
      <c r="AB253" s="71">
        <v>0</v>
      </c>
      <c r="AC253" s="71">
        <v>0</v>
      </c>
      <c r="AD253" s="71">
        <v>0</v>
      </c>
      <c r="AE253" s="13">
        <v>0</v>
      </c>
      <c r="AF253" s="13">
        <v>0</v>
      </c>
      <c r="AI253" s="20"/>
      <c r="AJ253" s="13"/>
      <c r="AK253" s="11">
        <f t="shared" si="25"/>
        <v>360590</v>
      </c>
      <c r="AL253" s="11">
        <f t="shared" si="21"/>
        <v>30049.166666666668</v>
      </c>
      <c r="AM253" s="11">
        <f t="shared" si="26"/>
        <v>0</v>
      </c>
      <c r="AN253" s="11">
        <f>VLOOKUP(C253,'Paid Tax'!B248:M609,12,FALSE)</f>
        <v>0</v>
      </c>
      <c r="AO253" s="11">
        <f t="shared" si="22"/>
        <v>0</v>
      </c>
      <c r="AP253" s="13">
        <v>5</v>
      </c>
      <c r="AQ253" s="16">
        <f t="shared" si="23"/>
        <v>0</v>
      </c>
      <c r="AS253" s="11">
        <f t="shared" si="27"/>
        <v>0</v>
      </c>
      <c r="AT253" s="13"/>
    </row>
    <row r="254" spans="1:46" x14ac:dyDescent="0.25">
      <c r="A254" s="12">
        <v>247</v>
      </c>
      <c r="B254" s="60" t="s">
        <v>294</v>
      </c>
      <c r="C254" s="53">
        <v>10274</v>
      </c>
      <c r="D254" s="38" t="s">
        <v>238</v>
      </c>
      <c r="E254" s="38" t="s">
        <v>69</v>
      </c>
      <c r="F254" s="37" t="s">
        <v>284</v>
      </c>
      <c r="G254" s="4">
        <v>28961</v>
      </c>
      <c r="H254" s="4"/>
      <c r="I254" s="4"/>
      <c r="J254" s="4">
        <v>3760.05</v>
      </c>
      <c r="K254" s="4">
        <v>3760.05</v>
      </c>
      <c r="L254" s="11">
        <f t="shared" si="24"/>
        <v>355052.1</v>
      </c>
      <c r="M254" s="69">
        <v>1500</v>
      </c>
      <c r="N254" s="71">
        <v>1620</v>
      </c>
      <c r="O254" s="71">
        <v>2000</v>
      </c>
      <c r="P254" s="71">
        <v>0</v>
      </c>
      <c r="Q254" s="71">
        <f>VLOOKUP(C254,Incentives!C248:K587,9,FALSE)</f>
        <v>1110</v>
      </c>
      <c r="R254" s="71">
        <v>960</v>
      </c>
      <c r="S254" s="13">
        <v>1170</v>
      </c>
      <c r="T254" s="13">
        <v>2040</v>
      </c>
      <c r="U254" s="13"/>
      <c r="V254" s="13"/>
      <c r="Y254" s="71">
        <v>2000</v>
      </c>
      <c r="Z254" s="71">
        <v>0</v>
      </c>
      <c r="AA254" s="71">
        <v>0</v>
      </c>
      <c r="AB254" s="71">
        <v>0</v>
      </c>
      <c r="AC254" s="71">
        <v>0</v>
      </c>
      <c r="AD254" s="71">
        <v>0</v>
      </c>
      <c r="AE254" s="13">
        <v>0</v>
      </c>
      <c r="AF254" s="13">
        <v>0</v>
      </c>
      <c r="AI254" s="20"/>
      <c r="AJ254" s="13"/>
      <c r="AK254" s="11">
        <f t="shared" si="25"/>
        <v>367452.1</v>
      </c>
      <c r="AL254" s="11">
        <f t="shared" si="21"/>
        <v>30621.008333333331</v>
      </c>
      <c r="AM254" s="11">
        <f t="shared" si="26"/>
        <v>0</v>
      </c>
      <c r="AN254" s="11">
        <f>VLOOKUP(C254,'Paid Tax'!B249:M610,12,FALSE)</f>
        <v>0</v>
      </c>
      <c r="AO254" s="11">
        <f t="shared" si="22"/>
        <v>0</v>
      </c>
      <c r="AP254" s="13">
        <v>5</v>
      </c>
      <c r="AQ254" s="16">
        <f t="shared" si="23"/>
        <v>0</v>
      </c>
      <c r="AS254" s="11">
        <f t="shared" si="27"/>
        <v>0</v>
      </c>
      <c r="AT254" s="13"/>
    </row>
    <row r="255" spans="1:46" x14ac:dyDescent="0.25">
      <c r="A255" s="12">
        <v>248</v>
      </c>
      <c r="B255" s="60" t="s">
        <v>294</v>
      </c>
      <c r="C255" s="53">
        <v>10611</v>
      </c>
      <c r="D255" s="38" t="s">
        <v>387</v>
      </c>
      <c r="E255" s="38" t="s">
        <v>69</v>
      </c>
      <c r="F255" s="37" t="s">
        <v>284</v>
      </c>
      <c r="G255" s="4">
        <v>28500</v>
      </c>
      <c r="H255" s="4"/>
      <c r="I255" s="4"/>
      <c r="J255" s="4">
        <v>0</v>
      </c>
      <c r="K255" s="4">
        <v>0</v>
      </c>
      <c r="L255" s="11">
        <f t="shared" si="24"/>
        <v>342000</v>
      </c>
      <c r="M255" s="69">
        <v>1500</v>
      </c>
      <c r="N255" s="71">
        <v>0</v>
      </c>
      <c r="O255" s="71">
        <v>2000</v>
      </c>
      <c r="P255" s="71">
        <v>0</v>
      </c>
      <c r="Q255" s="71">
        <f>VLOOKUP(C255,Incentives!C249:K588,9,FALSE)</f>
        <v>0</v>
      </c>
      <c r="R255" s="71">
        <v>1020</v>
      </c>
      <c r="S255" s="13">
        <v>0</v>
      </c>
      <c r="T255" s="13">
        <v>960</v>
      </c>
      <c r="U255" s="13"/>
      <c r="V255" s="13"/>
      <c r="Y255" s="71">
        <v>0</v>
      </c>
      <c r="Z255" s="71">
        <v>0</v>
      </c>
      <c r="AA255" s="71">
        <v>0</v>
      </c>
      <c r="AB255" s="71">
        <v>0</v>
      </c>
      <c r="AC255" s="71">
        <v>0</v>
      </c>
      <c r="AD255" s="71">
        <v>0</v>
      </c>
      <c r="AE255" s="13">
        <v>0</v>
      </c>
      <c r="AF255" s="13">
        <v>0</v>
      </c>
      <c r="AI255" s="20"/>
      <c r="AJ255" s="13"/>
      <c r="AK255" s="11">
        <f t="shared" si="25"/>
        <v>347480</v>
      </c>
      <c r="AL255" s="11">
        <f t="shared" si="21"/>
        <v>28956.666666666668</v>
      </c>
      <c r="AM255" s="11">
        <f t="shared" si="26"/>
        <v>0</v>
      </c>
      <c r="AN255" s="11">
        <f>VLOOKUP(C255,'Paid Tax'!B250:M611,12,FALSE)</f>
        <v>0</v>
      </c>
      <c r="AO255" s="11">
        <f t="shared" si="22"/>
        <v>0</v>
      </c>
      <c r="AP255" s="13">
        <v>5</v>
      </c>
      <c r="AQ255" s="16">
        <f t="shared" si="23"/>
        <v>0</v>
      </c>
      <c r="AS255" s="11">
        <f t="shared" si="27"/>
        <v>0</v>
      </c>
      <c r="AT255" s="13"/>
    </row>
    <row r="256" spans="1:46" x14ac:dyDescent="0.25">
      <c r="A256" s="12">
        <v>249</v>
      </c>
      <c r="B256" s="60" t="s">
        <v>295</v>
      </c>
      <c r="C256" s="53">
        <v>10101</v>
      </c>
      <c r="D256" s="38" t="s">
        <v>239</v>
      </c>
      <c r="E256" s="38" t="s">
        <v>240</v>
      </c>
      <c r="F256" s="37" t="s">
        <v>283</v>
      </c>
      <c r="G256" s="4">
        <v>320793</v>
      </c>
      <c r="H256" s="4"/>
      <c r="I256" s="4"/>
      <c r="J256" s="4">
        <v>70000</v>
      </c>
      <c r="K256" s="4">
        <v>70000</v>
      </c>
      <c r="L256" s="11">
        <f t="shared" si="24"/>
        <v>3989516</v>
      </c>
      <c r="M256" s="69">
        <v>0</v>
      </c>
      <c r="N256" s="71">
        <v>0</v>
      </c>
      <c r="O256" s="71">
        <v>0</v>
      </c>
      <c r="P256" s="71">
        <v>0</v>
      </c>
      <c r="Q256" s="71">
        <f>VLOOKUP(C256,Incentives!C250:K589,9,FALSE)</f>
        <v>0</v>
      </c>
      <c r="R256" s="71">
        <v>0</v>
      </c>
      <c r="S256" s="13">
        <v>0</v>
      </c>
      <c r="T256" s="13">
        <v>0</v>
      </c>
      <c r="U256" s="13"/>
      <c r="V256" s="13"/>
      <c r="Y256" s="71">
        <v>0</v>
      </c>
      <c r="Z256" s="71">
        <v>98719</v>
      </c>
      <c r="AA256" s="71">
        <v>78933</v>
      </c>
      <c r="AB256" s="71">
        <v>0</v>
      </c>
      <c r="AC256" s="71">
        <v>72442</v>
      </c>
      <c r="AD256" s="71">
        <v>56213</v>
      </c>
      <c r="AE256" s="13">
        <v>0</v>
      </c>
      <c r="AF256" s="13">
        <v>0</v>
      </c>
      <c r="AI256" s="20"/>
      <c r="AJ256" s="13"/>
      <c r="AK256" s="11">
        <f t="shared" si="25"/>
        <v>4295823</v>
      </c>
      <c r="AL256" s="11">
        <f t="shared" si="21"/>
        <v>357985.25</v>
      </c>
      <c r="AM256" s="11">
        <f t="shared" si="26"/>
        <v>684538.05</v>
      </c>
      <c r="AN256" s="11">
        <f>VLOOKUP(C256,'Paid Tax'!B251:M612,12,FALSE)</f>
        <v>384005.65946969693</v>
      </c>
      <c r="AO256" s="11">
        <f t="shared" si="22"/>
        <v>300532.39053030312</v>
      </c>
      <c r="AP256" s="13">
        <v>5</v>
      </c>
      <c r="AQ256" s="16">
        <f t="shared" si="23"/>
        <v>60106.478106060626</v>
      </c>
      <c r="AS256" s="11">
        <f t="shared" si="27"/>
        <v>-60106.478106060626</v>
      </c>
      <c r="AT256" s="13"/>
    </row>
    <row r="257" spans="1:46" x14ac:dyDescent="0.25">
      <c r="A257" s="12">
        <v>250</v>
      </c>
      <c r="B257" s="60" t="s">
        <v>296</v>
      </c>
      <c r="C257" s="53">
        <v>10432</v>
      </c>
      <c r="D257" s="38" t="s">
        <v>241</v>
      </c>
      <c r="E257" s="38" t="s">
        <v>242</v>
      </c>
      <c r="F257" s="37" t="s">
        <v>283</v>
      </c>
      <c r="G257" s="4">
        <v>70468</v>
      </c>
      <c r="H257" s="4"/>
      <c r="I257" s="4"/>
      <c r="J257" s="4">
        <v>12500</v>
      </c>
      <c r="K257" s="4">
        <v>12500</v>
      </c>
      <c r="L257" s="11">
        <f t="shared" si="24"/>
        <v>870616</v>
      </c>
      <c r="M257" s="69">
        <v>0</v>
      </c>
      <c r="N257" s="71">
        <v>0</v>
      </c>
      <c r="O257" s="71">
        <v>0</v>
      </c>
      <c r="P257" s="71">
        <v>0</v>
      </c>
      <c r="Q257" s="71">
        <f>VLOOKUP(C257,Incentives!C251:K590,9,FALSE)</f>
        <v>0</v>
      </c>
      <c r="R257" s="71">
        <v>0</v>
      </c>
      <c r="S257" s="13">
        <v>0</v>
      </c>
      <c r="T257" s="13">
        <v>0</v>
      </c>
      <c r="U257" s="13"/>
      <c r="V257" s="13"/>
      <c r="Y257" s="71">
        <v>0</v>
      </c>
      <c r="Z257" s="71">
        <v>41775</v>
      </c>
      <c r="AA257" s="71">
        <v>16000</v>
      </c>
      <c r="AB257" s="71">
        <v>0</v>
      </c>
      <c r="AC257" s="71">
        <v>9450</v>
      </c>
      <c r="AD257" s="71">
        <v>12040</v>
      </c>
      <c r="AE257" s="13">
        <v>1120</v>
      </c>
      <c r="AF257" s="13">
        <v>0</v>
      </c>
      <c r="AI257" s="20"/>
      <c r="AJ257" s="13"/>
      <c r="AK257" s="11">
        <f t="shared" si="25"/>
        <v>951001</v>
      </c>
      <c r="AL257" s="11">
        <f t="shared" si="21"/>
        <v>79250.083333333328</v>
      </c>
      <c r="AM257" s="11">
        <f t="shared" si="26"/>
        <v>3510.01</v>
      </c>
      <c r="AN257" s="11">
        <f>VLOOKUP(C257,'Paid Tax'!B252:M613,12,FALSE)</f>
        <v>1953.4262878787881</v>
      </c>
      <c r="AO257" s="11">
        <f t="shared" si="22"/>
        <v>1556.5837121212121</v>
      </c>
      <c r="AP257" s="13">
        <v>5</v>
      </c>
      <c r="AQ257" s="16">
        <f t="shared" si="23"/>
        <v>311.31674242424242</v>
      </c>
      <c r="AS257" s="11">
        <f t="shared" si="27"/>
        <v>-311.31674242424242</v>
      </c>
      <c r="AT257" s="13"/>
    </row>
    <row r="258" spans="1:46" x14ac:dyDescent="0.25">
      <c r="A258" s="12">
        <v>251</v>
      </c>
      <c r="B258" s="60" t="s">
        <v>296</v>
      </c>
      <c r="C258" s="53">
        <v>10391</v>
      </c>
      <c r="D258" s="38" t="s">
        <v>243</v>
      </c>
      <c r="E258" s="38" t="s">
        <v>242</v>
      </c>
      <c r="F258" s="37" t="s">
        <v>283</v>
      </c>
      <c r="G258" s="4">
        <v>84000</v>
      </c>
      <c r="H258" s="4"/>
      <c r="I258" s="4"/>
      <c r="J258" s="4">
        <v>20000</v>
      </c>
      <c r="K258" s="4">
        <v>20000</v>
      </c>
      <c r="L258" s="11">
        <f t="shared" si="24"/>
        <v>1048000</v>
      </c>
      <c r="M258" s="69">
        <v>0</v>
      </c>
      <c r="N258" s="71">
        <v>0</v>
      </c>
      <c r="O258" s="71">
        <v>0</v>
      </c>
      <c r="P258" s="71">
        <v>0</v>
      </c>
      <c r="Q258" s="71">
        <f>VLOOKUP(C258,Incentives!C252:K591,9,FALSE)</f>
        <v>0</v>
      </c>
      <c r="R258" s="71">
        <v>0</v>
      </c>
      <c r="S258" s="13">
        <v>0</v>
      </c>
      <c r="T258" s="13">
        <v>0</v>
      </c>
      <c r="U258" s="13"/>
      <c r="V258" s="13"/>
      <c r="Y258" s="71">
        <v>7342</v>
      </c>
      <c r="Z258" s="71">
        <v>63800</v>
      </c>
      <c r="AA258" s="71">
        <v>297899</v>
      </c>
      <c r="AB258" s="71">
        <v>3185</v>
      </c>
      <c r="AC258" s="71">
        <v>228576</v>
      </c>
      <c r="AD258" s="71">
        <v>74381</v>
      </c>
      <c r="AE258" s="71">
        <f>3153+195075</f>
        <v>198228</v>
      </c>
      <c r="AF258" s="13">
        <v>2679</v>
      </c>
      <c r="AI258" s="20"/>
      <c r="AJ258" s="13"/>
      <c r="AK258" s="11">
        <f t="shared" si="25"/>
        <v>1924090</v>
      </c>
      <c r="AL258" s="11">
        <f t="shared" si="21"/>
        <v>160340.83333333334</v>
      </c>
      <c r="AM258" s="11">
        <f t="shared" si="26"/>
        <v>85649.9</v>
      </c>
      <c r="AN258" s="11">
        <f>VLOOKUP(C258,'Paid Tax'!B253:M614,12,FALSE)</f>
        <v>30894.470591630517</v>
      </c>
      <c r="AO258" s="11">
        <f t="shared" si="22"/>
        <v>54755.429408369477</v>
      </c>
      <c r="AP258" s="13">
        <v>5</v>
      </c>
      <c r="AQ258" s="96">
        <f t="shared" si="23"/>
        <v>10951.085881673895</v>
      </c>
      <c r="AS258" s="11">
        <f t="shared" si="27"/>
        <v>-10951.085881673895</v>
      </c>
      <c r="AT258" s="13"/>
    </row>
    <row r="259" spans="1:46" x14ac:dyDescent="0.25">
      <c r="A259" s="12">
        <v>252</v>
      </c>
      <c r="B259" s="60" t="s">
        <v>296</v>
      </c>
      <c r="C259" s="53">
        <v>10102</v>
      </c>
      <c r="D259" s="38" t="s">
        <v>244</v>
      </c>
      <c r="E259" s="38" t="s">
        <v>205</v>
      </c>
      <c r="F259" s="37" t="s">
        <v>275</v>
      </c>
      <c r="G259" s="4">
        <v>36601</v>
      </c>
      <c r="H259" s="4"/>
      <c r="I259" s="4"/>
      <c r="J259" s="4">
        <v>3647.65</v>
      </c>
      <c r="K259" s="4">
        <v>3647.65</v>
      </c>
      <c r="L259" s="11">
        <f t="shared" si="24"/>
        <v>446507.30000000005</v>
      </c>
      <c r="M259" s="69">
        <v>0</v>
      </c>
      <c r="N259" s="71">
        <v>0</v>
      </c>
      <c r="O259" s="71">
        <v>0</v>
      </c>
      <c r="P259" s="71">
        <v>0</v>
      </c>
      <c r="Q259" s="71">
        <f>VLOOKUP(C259,Incentives!C253:K592,9,FALSE)</f>
        <v>0</v>
      </c>
      <c r="R259" s="71">
        <v>0</v>
      </c>
      <c r="S259" s="13">
        <v>0</v>
      </c>
      <c r="T259" s="13">
        <v>0</v>
      </c>
      <c r="U259" s="13"/>
      <c r="V259" s="13"/>
      <c r="Y259" s="71">
        <v>0</v>
      </c>
      <c r="Z259" s="71">
        <v>0</v>
      </c>
      <c r="AA259" s="71">
        <v>0</v>
      </c>
      <c r="AB259" s="71">
        <v>0</v>
      </c>
      <c r="AC259" s="71">
        <v>0</v>
      </c>
      <c r="AD259" s="71">
        <v>0</v>
      </c>
      <c r="AE259" s="13">
        <v>0</v>
      </c>
      <c r="AF259" s="13">
        <v>0</v>
      </c>
      <c r="AI259" s="20"/>
      <c r="AJ259" s="13"/>
      <c r="AK259" s="11">
        <f t="shared" si="25"/>
        <v>446507.30000000005</v>
      </c>
      <c r="AL259" s="11">
        <f t="shared" si="21"/>
        <v>37208.941666666673</v>
      </c>
      <c r="AM259" s="11">
        <f t="shared" si="26"/>
        <v>0</v>
      </c>
      <c r="AN259" s="11">
        <f>VLOOKUP(C259,'Paid Tax'!B254:M615,12,FALSE)</f>
        <v>0</v>
      </c>
      <c r="AO259" s="11">
        <f t="shared" si="22"/>
        <v>0</v>
      </c>
      <c r="AP259" s="13">
        <v>5</v>
      </c>
      <c r="AQ259" s="16">
        <f t="shared" si="23"/>
        <v>0</v>
      </c>
      <c r="AS259" s="11">
        <f t="shared" si="27"/>
        <v>0</v>
      </c>
      <c r="AT259" s="13"/>
    </row>
    <row r="260" spans="1:46" x14ac:dyDescent="0.25">
      <c r="A260" s="12">
        <v>253</v>
      </c>
      <c r="B260" s="60" t="s">
        <v>296</v>
      </c>
      <c r="C260" s="53">
        <v>10103</v>
      </c>
      <c r="D260" s="38" t="s">
        <v>245</v>
      </c>
      <c r="E260" s="38" t="s">
        <v>208</v>
      </c>
      <c r="F260" s="37" t="s">
        <v>284</v>
      </c>
      <c r="G260" s="4">
        <v>50487</v>
      </c>
      <c r="H260" s="4"/>
      <c r="I260" s="4"/>
      <c r="J260" s="4">
        <v>6213.6500000000005</v>
      </c>
      <c r="K260" s="4">
        <v>6213.6500000000005</v>
      </c>
      <c r="L260" s="11">
        <f t="shared" si="24"/>
        <v>618271.30000000005</v>
      </c>
      <c r="M260" s="69">
        <v>0</v>
      </c>
      <c r="N260" s="71">
        <v>0</v>
      </c>
      <c r="O260" s="71">
        <v>0</v>
      </c>
      <c r="P260" s="71">
        <v>0</v>
      </c>
      <c r="Q260" s="71">
        <f>VLOOKUP(C260,Incentives!C254:K593,9,FALSE)</f>
        <v>0</v>
      </c>
      <c r="R260" s="71">
        <v>0</v>
      </c>
      <c r="S260" s="13">
        <v>0</v>
      </c>
      <c r="T260" s="13">
        <v>0</v>
      </c>
      <c r="U260" s="13"/>
      <c r="V260" s="13"/>
      <c r="Y260" s="71">
        <v>0</v>
      </c>
      <c r="Z260" s="71">
        <v>0</v>
      </c>
      <c r="AA260" s="71">
        <v>0</v>
      </c>
      <c r="AB260" s="71">
        <v>0</v>
      </c>
      <c r="AC260" s="71">
        <v>0</v>
      </c>
      <c r="AD260" s="71">
        <v>0</v>
      </c>
      <c r="AE260" s="13">
        <v>0</v>
      </c>
      <c r="AF260" s="13">
        <v>0</v>
      </c>
      <c r="AI260" s="20"/>
      <c r="AJ260" s="13"/>
      <c r="AK260" s="11">
        <f t="shared" si="25"/>
        <v>618271.30000000005</v>
      </c>
      <c r="AL260" s="11">
        <f t="shared" si="21"/>
        <v>51522.608333333337</v>
      </c>
      <c r="AM260" s="11">
        <f t="shared" si="26"/>
        <v>182.71300000000048</v>
      </c>
      <c r="AN260" s="11">
        <f>VLOOKUP(C260,'Paid Tax'!B255:M616,12,FALSE)</f>
        <v>104.22892803030327</v>
      </c>
      <c r="AO260" s="11">
        <f t="shared" si="22"/>
        <v>78.484071969697212</v>
      </c>
      <c r="AP260" s="13">
        <v>5</v>
      </c>
      <c r="AQ260" s="16">
        <f t="shared" si="23"/>
        <v>15.696814393939443</v>
      </c>
      <c r="AS260" s="11">
        <f t="shared" si="27"/>
        <v>-15.696814393939443</v>
      </c>
      <c r="AT260" s="13"/>
    </row>
    <row r="261" spans="1:46" x14ac:dyDescent="0.25">
      <c r="A261" s="12">
        <v>254</v>
      </c>
      <c r="B261" s="60" t="s">
        <v>296</v>
      </c>
      <c r="C261" s="53">
        <v>10104</v>
      </c>
      <c r="D261" s="38" t="s">
        <v>246</v>
      </c>
      <c r="E261" s="38" t="s">
        <v>69</v>
      </c>
      <c r="F261" s="37" t="s">
        <v>284</v>
      </c>
      <c r="G261" s="4">
        <v>32437</v>
      </c>
      <c r="H261" s="4"/>
      <c r="I261" s="4"/>
      <c r="J261" s="4">
        <v>3211.3</v>
      </c>
      <c r="K261" s="4">
        <v>3211.3</v>
      </c>
      <c r="L261" s="11">
        <f t="shared" si="24"/>
        <v>395666.6</v>
      </c>
      <c r="M261" s="69">
        <v>1950</v>
      </c>
      <c r="N261" s="71">
        <v>3440</v>
      </c>
      <c r="O261" s="71">
        <v>2280</v>
      </c>
      <c r="P261" s="71">
        <v>1950</v>
      </c>
      <c r="Q261" s="71">
        <f>VLOOKUP(C261,Incentives!C255:K594,9,FALSE)</f>
        <v>3905</v>
      </c>
      <c r="R261" s="71">
        <v>2835</v>
      </c>
      <c r="S261" s="13">
        <v>5530</v>
      </c>
      <c r="T261" s="13">
        <v>3440</v>
      </c>
      <c r="U261" s="13"/>
      <c r="V261" s="13"/>
      <c r="Y261" s="71">
        <v>0</v>
      </c>
      <c r="Z261" s="71">
        <v>0</v>
      </c>
      <c r="AA261" s="71">
        <v>0</v>
      </c>
      <c r="AB261" s="71">
        <v>0</v>
      </c>
      <c r="AC261" s="71">
        <v>0</v>
      </c>
      <c r="AD261" s="71">
        <v>0</v>
      </c>
      <c r="AE261" s="13">
        <v>0</v>
      </c>
      <c r="AF261" s="13">
        <v>0</v>
      </c>
      <c r="AI261" s="20"/>
      <c r="AJ261" s="13"/>
      <c r="AK261" s="11">
        <f t="shared" si="25"/>
        <v>420996.6</v>
      </c>
      <c r="AL261" s="11">
        <f t="shared" si="21"/>
        <v>35083.049999999996</v>
      </c>
      <c r="AM261" s="11">
        <f t="shared" si="26"/>
        <v>0</v>
      </c>
      <c r="AN261" s="11">
        <f>VLOOKUP(C261,'Paid Tax'!B256:M617,12,FALSE)</f>
        <v>0</v>
      </c>
      <c r="AO261" s="11">
        <f t="shared" si="22"/>
        <v>0</v>
      </c>
      <c r="AP261" s="13">
        <v>5</v>
      </c>
      <c r="AQ261" s="16">
        <f t="shared" si="23"/>
        <v>0</v>
      </c>
      <c r="AS261" s="11">
        <f t="shared" si="27"/>
        <v>0</v>
      </c>
      <c r="AT261" s="13"/>
    </row>
    <row r="262" spans="1:46" x14ac:dyDescent="0.25">
      <c r="A262" s="12">
        <v>255</v>
      </c>
      <c r="B262" s="60" t="s">
        <v>296</v>
      </c>
      <c r="C262" s="53">
        <v>10107</v>
      </c>
      <c r="D262" s="38" t="s">
        <v>247</v>
      </c>
      <c r="E262" s="38" t="s">
        <v>69</v>
      </c>
      <c r="F262" s="37" t="s">
        <v>284</v>
      </c>
      <c r="G262" s="4">
        <v>38621</v>
      </c>
      <c r="H262" s="4"/>
      <c r="I262" s="4"/>
      <c r="J262" s="4">
        <v>4696.25</v>
      </c>
      <c r="K262" s="4">
        <v>4696.25</v>
      </c>
      <c r="L262" s="11">
        <f t="shared" si="24"/>
        <v>472844.5</v>
      </c>
      <c r="M262" s="69">
        <v>1710</v>
      </c>
      <c r="N262" s="71">
        <v>1980</v>
      </c>
      <c r="O262" s="71">
        <v>2280</v>
      </c>
      <c r="P262" s="71">
        <v>1800</v>
      </c>
      <c r="Q262" s="71">
        <f>VLOOKUP(C262,Incentives!C256:K595,9,FALSE)</f>
        <v>1290</v>
      </c>
      <c r="R262" s="71">
        <v>1740</v>
      </c>
      <c r="S262" s="13">
        <v>3750</v>
      </c>
      <c r="T262" s="13">
        <v>2340</v>
      </c>
      <c r="U262" s="13"/>
      <c r="V262" s="13"/>
      <c r="Y262" s="71">
        <v>0</v>
      </c>
      <c r="Z262" s="71">
        <v>0</v>
      </c>
      <c r="AA262" s="71">
        <v>0</v>
      </c>
      <c r="AB262" s="71">
        <v>0</v>
      </c>
      <c r="AC262" s="71">
        <v>0</v>
      </c>
      <c r="AD262" s="71">
        <v>0</v>
      </c>
      <c r="AE262" s="13">
        <v>0</v>
      </c>
      <c r="AF262" s="13">
        <v>0</v>
      </c>
      <c r="AI262" s="20"/>
      <c r="AJ262" s="13"/>
      <c r="AK262" s="11">
        <f t="shared" si="25"/>
        <v>489734.5</v>
      </c>
      <c r="AL262" s="11">
        <f t="shared" si="21"/>
        <v>40811.208333333336</v>
      </c>
      <c r="AM262" s="11">
        <f t="shared" si="26"/>
        <v>0</v>
      </c>
      <c r="AN262" s="11">
        <f>VLOOKUP(C262,'Paid Tax'!B257:M618,12,FALSE)</f>
        <v>0</v>
      </c>
      <c r="AO262" s="11">
        <f t="shared" si="22"/>
        <v>0</v>
      </c>
      <c r="AP262" s="13">
        <v>5</v>
      </c>
      <c r="AQ262" s="16">
        <f t="shared" si="23"/>
        <v>0</v>
      </c>
      <c r="AS262" s="11">
        <f t="shared" si="27"/>
        <v>0</v>
      </c>
      <c r="AT262" s="13"/>
    </row>
    <row r="263" spans="1:46" x14ac:dyDescent="0.25">
      <c r="A263" s="12">
        <v>256</v>
      </c>
      <c r="B263" s="60" t="s">
        <v>296</v>
      </c>
      <c r="C263" s="53">
        <v>10345</v>
      </c>
      <c r="D263" s="38" t="s">
        <v>248</v>
      </c>
      <c r="E263" s="38" t="s">
        <v>69</v>
      </c>
      <c r="F263" s="37" t="s">
        <v>284</v>
      </c>
      <c r="G263" s="4">
        <v>29146</v>
      </c>
      <c r="H263" s="4"/>
      <c r="I263" s="4"/>
      <c r="J263" s="4">
        <v>3768.8500000000004</v>
      </c>
      <c r="K263" s="4">
        <v>3768.8500000000004</v>
      </c>
      <c r="L263" s="11">
        <f t="shared" si="24"/>
        <v>357289.69999999995</v>
      </c>
      <c r="M263" s="69">
        <v>1860</v>
      </c>
      <c r="N263" s="71">
        <v>3400</v>
      </c>
      <c r="O263" s="71">
        <v>2220</v>
      </c>
      <c r="P263" s="71">
        <v>1920</v>
      </c>
      <c r="Q263" s="71">
        <f>VLOOKUP(C263,Incentives!C257:K596,9,FALSE)</f>
        <v>1770</v>
      </c>
      <c r="R263" s="71">
        <v>1680</v>
      </c>
      <c r="S263" s="13">
        <v>10350</v>
      </c>
      <c r="T263" s="13">
        <v>10500</v>
      </c>
      <c r="U263" s="13"/>
      <c r="V263" s="13"/>
      <c r="Y263" s="71">
        <v>0</v>
      </c>
      <c r="Z263" s="71">
        <v>0</v>
      </c>
      <c r="AA263" s="71">
        <v>0</v>
      </c>
      <c r="AB263" s="71">
        <v>0</v>
      </c>
      <c r="AC263" s="71">
        <v>0</v>
      </c>
      <c r="AD263" s="71">
        <v>0</v>
      </c>
      <c r="AE263" s="13">
        <v>0</v>
      </c>
      <c r="AF263" s="13">
        <v>0</v>
      </c>
      <c r="AI263" s="20"/>
      <c r="AJ263" s="13"/>
      <c r="AK263" s="11">
        <f t="shared" si="25"/>
        <v>390989.69999999995</v>
      </c>
      <c r="AL263" s="11">
        <f t="shared" si="21"/>
        <v>32582.474999999995</v>
      </c>
      <c r="AM263" s="11">
        <f t="shared" si="26"/>
        <v>0</v>
      </c>
      <c r="AN263" s="11">
        <f>VLOOKUP(C263,'Paid Tax'!B258:M619,12,FALSE)</f>
        <v>0</v>
      </c>
      <c r="AO263" s="11">
        <f t="shared" si="22"/>
        <v>0</v>
      </c>
      <c r="AP263" s="13">
        <v>5</v>
      </c>
      <c r="AQ263" s="16">
        <f t="shared" si="23"/>
        <v>0</v>
      </c>
      <c r="AS263" s="11">
        <f t="shared" si="27"/>
        <v>0</v>
      </c>
      <c r="AT263" s="13"/>
    </row>
    <row r="264" spans="1:46" x14ac:dyDescent="0.25">
      <c r="A264" s="12">
        <v>257</v>
      </c>
      <c r="B264" s="60" t="s">
        <v>296</v>
      </c>
      <c r="C264" s="53">
        <v>10292</v>
      </c>
      <c r="D264" s="38" t="s">
        <v>249</v>
      </c>
      <c r="E264" s="38" t="s">
        <v>69</v>
      </c>
      <c r="F264" s="37" t="s">
        <v>284</v>
      </c>
      <c r="G264" s="4">
        <v>28831</v>
      </c>
      <c r="H264" s="4"/>
      <c r="I264" s="4"/>
      <c r="J264" s="4">
        <v>3753.8500000000004</v>
      </c>
      <c r="K264" s="4">
        <v>3753.8500000000004</v>
      </c>
      <c r="L264" s="11">
        <f t="shared" si="24"/>
        <v>353479.69999999995</v>
      </c>
      <c r="M264" s="69">
        <v>1620</v>
      </c>
      <c r="N264" s="71">
        <v>1740</v>
      </c>
      <c r="O264" s="71">
        <v>1860</v>
      </c>
      <c r="P264" s="71">
        <v>1710</v>
      </c>
      <c r="Q264" s="71">
        <f>VLOOKUP(C264,Incentives!C258:K597,9,FALSE)</f>
        <v>1620</v>
      </c>
      <c r="R264" s="71">
        <v>1530</v>
      </c>
      <c r="S264" s="13">
        <v>1770</v>
      </c>
      <c r="T264" s="13">
        <v>2520</v>
      </c>
      <c r="U264" s="13"/>
      <c r="V264" s="13"/>
      <c r="Y264" s="71">
        <v>0</v>
      </c>
      <c r="Z264" s="71">
        <v>0</v>
      </c>
      <c r="AA264" s="71">
        <v>0</v>
      </c>
      <c r="AB264" s="71">
        <v>0</v>
      </c>
      <c r="AC264" s="71">
        <v>0</v>
      </c>
      <c r="AD264" s="71">
        <v>0</v>
      </c>
      <c r="AE264" s="13">
        <v>0</v>
      </c>
      <c r="AF264" s="13">
        <v>0</v>
      </c>
      <c r="AI264" s="20"/>
      <c r="AJ264" s="13"/>
      <c r="AK264" s="11">
        <f t="shared" si="25"/>
        <v>367849.69999999995</v>
      </c>
      <c r="AL264" s="11">
        <f t="shared" ref="AL264:AL294" si="28">AK264/12</f>
        <v>30654.141666666663</v>
      </c>
      <c r="AM264" s="11">
        <f t="shared" si="26"/>
        <v>0</v>
      </c>
      <c r="AN264" s="11">
        <f>VLOOKUP(C264,'Paid Tax'!B259:M620,12,FALSE)</f>
        <v>0</v>
      </c>
      <c r="AO264" s="11">
        <f t="shared" ref="AO264:AO327" si="29">+AM264-AN264</f>
        <v>0</v>
      </c>
      <c r="AP264" s="13">
        <v>5</v>
      </c>
      <c r="AQ264" s="16">
        <f t="shared" ref="AQ264:AQ315" si="30">+AO264/AP264</f>
        <v>0</v>
      </c>
      <c r="AS264" s="11">
        <f t="shared" si="27"/>
        <v>0</v>
      </c>
      <c r="AT264" s="13"/>
    </row>
    <row r="265" spans="1:46" x14ac:dyDescent="0.25">
      <c r="A265" s="12">
        <v>258</v>
      </c>
      <c r="B265" s="60" t="s">
        <v>296</v>
      </c>
      <c r="C265" s="53">
        <v>10402</v>
      </c>
      <c r="D265" s="38" t="s">
        <v>250</v>
      </c>
      <c r="E265" s="38" t="s">
        <v>69</v>
      </c>
      <c r="F265" s="37" t="s">
        <v>284</v>
      </c>
      <c r="G265" s="4">
        <v>28000</v>
      </c>
      <c r="H265" s="4"/>
      <c r="I265" s="4"/>
      <c r="J265" s="4">
        <v>3000</v>
      </c>
      <c r="K265" s="4">
        <v>3000</v>
      </c>
      <c r="L265" s="11">
        <f t="shared" ref="L265:L328" si="31">G265*12+H265+J265+K265+I265</f>
        <v>342000</v>
      </c>
      <c r="M265" s="69">
        <v>0</v>
      </c>
      <c r="N265" s="71">
        <v>0</v>
      </c>
      <c r="O265" s="71">
        <v>0</v>
      </c>
      <c r="P265" s="71">
        <v>0</v>
      </c>
      <c r="Q265" s="71">
        <f>VLOOKUP(C265,Incentives!C259:K598,9,FALSE)</f>
        <v>0</v>
      </c>
      <c r="R265" s="71">
        <v>1860</v>
      </c>
      <c r="S265" s="13">
        <v>0</v>
      </c>
      <c r="T265" s="13">
        <v>1260</v>
      </c>
      <c r="U265" s="13"/>
      <c r="V265" s="13"/>
      <c r="Y265" s="71">
        <v>0</v>
      </c>
      <c r="Z265" s="71">
        <v>0</v>
      </c>
      <c r="AA265" s="71">
        <v>0</v>
      </c>
      <c r="AB265" s="71">
        <v>0</v>
      </c>
      <c r="AC265" s="71">
        <v>0</v>
      </c>
      <c r="AD265" s="71">
        <v>0</v>
      </c>
      <c r="AE265" s="13">
        <v>0</v>
      </c>
      <c r="AF265" s="13">
        <v>0</v>
      </c>
      <c r="AI265" s="20"/>
      <c r="AJ265" s="13"/>
      <c r="AK265" s="11">
        <f t="shared" ref="AK265:AK294" si="32">SUM(L265:AJ265)</f>
        <v>345120</v>
      </c>
      <c r="AL265" s="11">
        <f t="shared" si="28"/>
        <v>28760</v>
      </c>
      <c r="AM265" s="11">
        <f t="shared" ref="AM265:AM328" si="33">IF(AK265&lt;=600000,0,
IF(AK265&lt;=1200000,(AK265-600000)*0.01,
IF(AK265&lt;=2200000,(AK265-1200000)*0.11+6000,
IF(AK265&lt;=3200000,(AK265-2200000)*0.23+116000,
IF(AK265&lt;=4100000,(AK265-3200000)*0.3+346000,
(AK265-4100000)*0.35+616000)))))
*(1+IF(AK265&gt;10000000,9%,0))</f>
        <v>0</v>
      </c>
      <c r="AN265" s="11">
        <f>VLOOKUP(C265,'Paid Tax'!B260:M621,12,FALSE)</f>
        <v>0</v>
      </c>
      <c r="AO265" s="11">
        <f t="shared" si="29"/>
        <v>0</v>
      </c>
      <c r="AP265" s="13">
        <v>5</v>
      </c>
      <c r="AQ265" s="16">
        <f t="shared" si="30"/>
        <v>0</v>
      </c>
      <c r="AS265" s="11">
        <f t="shared" ref="AS265:AS328" si="34">-AQ265</f>
        <v>0</v>
      </c>
      <c r="AT265" s="13"/>
    </row>
    <row r="266" spans="1:46" x14ac:dyDescent="0.25">
      <c r="A266" s="12">
        <v>259</v>
      </c>
      <c r="B266" s="60" t="s">
        <v>296</v>
      </c>
      <c r="C266" s="53">
        <v>10493</v>
      </c>
      <c r="D266" s="38" t="s">
        <v>251</v>
      </c>
      <c r="E266" s="38" t="s">
        <v>69</v>
      </c>
      <c r="F266" s="37" t="s">
        <v>284</v>
      </c>
      <c r="G266" s="4">
        <v>28000</v>
      </c>
      <c r="H266" s="4"/>
      <c r="I266" s="4"/>
      <c r="J266" s="4">
        <v>3000</v>
      </c>
      <c r="K266" s="4">
        <v>3000</v>
      </c>
      <c r="L266" s="11">
        <f t="shared" si="31"/>
        <v>342000</v>
      </c>
      <c r="M266" s="69">
        <v>0</v>
      </c>
      <c r="N266" s="71">
        <v>0</v>
      </c>
      <c r="O266" s="71">
        <v>1000</v>
      </c>
      <c r="P266" s="71">
        <v>0</v>
      </c>
      <c r="Q266" s="71">
        <f>VLOOKUP(C266,Incentives!C260:K599,9,FALSE)</f>
        <v>0</v>
      </c>
      <c r="R266" s="71">
        <v>0</v>
      </c>
      <c r="S266" s="13">
        <v>0</v>
      </c>
      <c r="T266" s="13">
        <v>0</v>
      </c>
      <c r="U266" s="13"/>
      <c r="V266" s="13"/>
      <c r="Y266" s="71">
        <v>0</v>
      </c>
      <c r="Z266" s="71">
        <v>0</v>
      </c>
      <c r="AA266" s="71">
        <v>0</v>
      </c>
      <c r="AB266" s="71">
        <v>0</v>
      </c>
      <c r="AC266" s="71">
        <v>0</v>
      </c>
      <c r="AD266" s="71">
        <v>0</v>
      </c>
      <c r="AE266" s="13">
        <v>0</v>
      </c>
      <c r="AF266" s="13">
        <v>0</v>
      </c>
      <c r="AI266" s="20"/>
      <c r="AJ266" s="13"/>
      <c r="AK266" s="11">
        <f t="shared" si="32"/>
        <v>343000</v>
      </c>
      <c r="AL266" s="11">
        <f t="shared" si="28"/>
        <v>28583.333333333332</v>
      </c>
      <c r="AM266" s="11">
        <f t="shared" si="33"/>
        <v>0</v>
      </c>
      <c r="AN266" s="11">
        <f>VLOOKUP(C266,'Paid Tax'!B261:M622,12,FALSE)</f>
        <v>0</v>
      </c>
      <c r="AO266" s="11">
        <f t="shared" si="29"/>
        <v>0</v>
      </c>
      <c r="AP266" s="13">
        <v>5</v>
      </c>
      <c r="AQ266" s="16">
        <f t="shared" si="30"/>
        <v>0</v>
      </c>
      <c r="AS266" s="11">
        <f t="shared" si="34"/>
        <v>0</v>
      </c>
      <c r="AT266" s="13"/>
    </row>
    <row r="267" spans="1:46" s="18" customFormat="1" x14ac:dyDescent="0.25">
      <c r="A267" s="12">
        <v>260</v>
      </c>
      <c r="B267" s="60" t="s">
        <v>296</v>
      </c>
      <c r="C267" s="53">
        <v>10426</v>
      </c>
      <c r="D267" s="38" t="s">
        <v>252</v>
      </c>
      <c r="E267" s="38" t="s">
        <v>69</v>
      </c>
      <c r="F267" s="37" t="s">
        <v>284</v>
      </c>
      <c r="G267" s="4">
        <v>31150</v>
      </c>
      <c r="H267" s="4"/>
      <c r="I267" s="4"/>
      <c r="J267" s="4">
        <v>3150</v>
      </c>
      <c r="K267" s="4">
        <v>3150</v>
      </c>
      <c r="L267" s="11">
        <f t="shared" si="31"/>
        <v>380100</v>
      </c>
      <c r="M267" s="69">
        <v>0</v>
      </c>
      <c r="N267" s="71">
        <v>1950</v>
      </c>
      <c r="O267" s="71">
        <v>0</v>
      </c>
      <c r="P267" s="71">
        <v>1560</v>
      </c>
      <c r="Q267" s="71">
        <f>VLOOKUP(C267,Incentives!C261:K600,9,FALSE)</f>
        <v>1440</v>
      </c>
      <c r="R267" s="71">
        <v>1200</v>
      </c>
      <c r="S267" s="13">
        <v>1320</v>
      </c>
      <c r="T267" s="13">
        <v>4350</v>
      </c>
      <c r="U267" s="13"/>
      <c r="V267" s="13"/>
      <c r="W267" s="13"/>
      <c r="Y267" s="71">
        <v>0</v>
      </c>
      <c r="Z267" s="71">
        <v>0</v>
      </c>
      <c r="AA267" s="71">
        <v>0</v>
      </c>
      <c r="AB267" s="71">
        <v>0</v>
      </c>
      <c r="AC267" s="71">
        <v>0</v>
      </c>
      <c r="AD267" s="71">
        <v>0</v>
      </c>
      <c r="AE267" s="13">
        <v>0</v>
      </c>
      <c r="AF267" s="13">
        <v>0</v>
      </c>
      <c r="AG267" s="13"/>
      <c r="AH267" s="13"/>
      <c r="AI267" s="20"/>
      <c r="AK267" s="11">
        <f t="shared" si="32"/>
        <v>391920</v>
      </c>
      <c r="AL267" s="11">
        <f t="shared" si="28"/>
        <v>32660</v>
      </c>
      <c r="AM267" s="11">
        <f t="shared" si="33"/>
        <v>0</v>
      </c>
      <c r="AN267" s="11">
        <f>VLOOKUP(C267,'Paid Tax'!B262:M623,12,FALSE)</f>
        <v>0</v>
      </c>
      <c r="AO267" s="11">
        <f t="shared" si="29"/>
        <v>0</v>
      </c>
      <c r="AP267" s="13">
        <v>5</v>
      </c>
      <c r="AQ267" s="16">
        <f t="shared" si="30"/>
        <v>0</v>
      </c>
      <c r="AR267" s="13"/>
      <c r="AS267" s="11">
        <f t="shared" si="34"/>
        <v>0</v>
      </c>
      <c r="AT267" s="13"/>
    </row>
    <row r="268" spans="1:46" x14ac:dyDescent="0.25">
      <c r="A268" s="12">
        <v>261</v>
      </c>
      <c r="B268" s="60" t="s">
        <v>295</v>
      </c>
      <c r="C268" s="53">
        <v>10455</v>
      </c>
      <c r="D268" s="38" t="s">
        <v>253</v>
      </c>
      <c r="E268" s="38" t="s">
        <v>69</v>
      </c>
      <c r="F268" s="37" t="s">
        <v>284</v>
      </c>
      <c r="G268" s="4">
        <v>28000</v>
      </c>
      <c r="H268" s="4"/>
      <c r="I268" s="4"/>
      <c r="J268" s="4">
        <v>3000</v>
      </c>
      <c r="K268" s="4">
        <v>3000</v>
      </c>
      <c r="L268" s="11">
        <f t="shared" si="31"/>
        <v>342000</v>
      </c>
      <c r="M268" s="69">
        <v>2130</v>
      </c>
      <c r="N268" s="71">
        <v>2040</v>
      </c>
      <c r="O268" s="71">
        <v>0</v>
      </c>
      <c r="P268" s="71">
        <v>0</v>
      </c>
      <c r="Q268" s="71">
        <f>VLOOKUP(C268,Incentives!C262:K601,9,FALSE)</f>
        <v>0</v>
      </c>
      <c r="R268" s="71">
        <v>0</v>
      </c>
      <c r="S268" s="13">
        <v>0</v>
      </c>
      <c r="T268" s="13">
        <v>0</v>
      </c>
      <c r="U268" s="13"/>
      <c r="V268" s="13"/>
      <c r="Y268" s="71">
        <v>0</v>
      </c>
      <c r="Z268" s="71">
        <v>0</v>
      </c>
      <c r="AA268" s="71">
        <v>0</v>
      </c>
      <c r="AB268" s="71">
        <v>0</v>
      </c>
      <c r="AC268" s="71">
        <v>0</v>
      </c>
      <c r="AD268" s="71">
        <v>0</v>
      </c>
      <c r="AE268" s="13">
        <v>0</v>
      </c>
      <c r="AF268" s="13">
        <v>0</v>
      </c>
      <c r="AI268" s="20"/>
      <c r="AJ268" s="13"/>
      <c r="AK268" s="11">
        <f t="shared" si="32"/>
        <v>346170</v>
      </c>
      <c r="AL268" s="11">
        <f t="shared" si="28"/>
        <v>28847.5</v>
      </c>
      <c r="AM268" s="11">
        <f t="shared" si="33"/>
        <v>0</v>
      </c>
      <c r="AN268" s="11">
        <f>VLOOKUP(C268,'Paid Tax'!B263:M624,12,FALSE)</f>
        <v>0</v>
      </c>
      <c r="AO268" s="11">
        <f t="shared" si="29"/>
        <v>0</v>
      </c>
      <c r="AP268" s="13">
        <v>5</v>
      </c>
      <c r="AQ268" s="16">
        <f t="shared" si="30"/>
        <v>0</v>
      </c>
      <c r="AS268" s="11">
        <f t="shared" si="34"/>
        <v>0</v>
      </c>
      <c r="AT268" s="13"/>
    </row>
    <row r="269" spans="1:46" x14ac:dyDescent="0.25">
      <c r="A269" s="12">
        <v>262</v>
      </c>
      <c r="B269" s="63" t="s">
        <v>295</v>
      </c>
      <c r="C269" s="56">
        <v>10642</v>
      </c>
      <c r="D269" s="66" t="s">
        <v>424</v>
      </c>
      <c r="E269" s="66" t="s">
        <v>69</v>
      </c>
      <c r="F269" s="59" t="s">
        <v>284</v>
      </c>
      <c r="G269" s="4">
        <v>28500</v>
      </c>
      <c r="H269" s="4"/>
      <c r="I269" s="4"/>
      <c r="J269" s="4">
        <v>0</v>
      </c>
      <c r="K269" s="4">
        <v>0</v>
      </c>
      <c r="L269" s="11">
        <f t="shared" si="31"/>
        <v>342000</v>
      </c>
      <c r="M269" s="69">
        <v>0</v>
      </c>
      <c r="N269" s="71">
        <v>2070</v>
      </c>
      <c r="O269" s="71">
        <v>0</v>
      </c>
      <c r="P269" s="71">
        <v>0</v>
      </c>
      <c r="Q269" s="71">
        <f>VLOOKUP(C269,Incentives!C263:K602,9,FALSE)</f>
        <v>0</v>
      </c>
      <c r="R269" s="71">
        <v>0</v>
      </c>
      <c r="S269" s="13">
        <v>900</v>
      </c>
      <c r="T269" s="13">
        <v>1080</v>
      </c>
      <c r="U269" s="13"/>
      <c r="V269" s="13"/>
      <c r="Y269" s="71">
        <v>0</v>
      </c>
      <c r="Z269" s="71">
        <v>0</v>
      </c>
      <c r="AA269" s="71">
        <v>0</v>
      </c>
      <c r="AB269" s="71">
        <v>0</v>
      </c>
      <c r="AC269" s="71">
        <v>0</v>
      </c>
      <c r="AD269" s="71">
        <v>0</v>
      </c>
      <c r="AE269" s="13">
        <v>0</v>
      </c>
      <c r="AF269" s="13">
        <v>0</v>
      </c>
      <c r="AI269" s="20"/>
      <c r="AJ269" s="13"/>
      <c r="AK269" s="11">
        <f t="shared" si="32"/>
        <v>346050</v>
      </c>
      <c r="AL269" s="11">
        <f t="shared" si="28"/>
        <v>28837.5</v>
      </c>
      <c r="AM269" s="11">
        <f t="shared" si="33"/>
        <v>0</v>
      </c>
      <c r="AN269" s="11">
        <f>VLOOKUP(C269,'Paid Tax'!B264:M625,12,FALSE)</f>
        <v>0</v>
      </c>
      <c r="AO269" s="11">
        <f t="shared" si="29"/>
        <v>0</v>
      </c>
      <c r="AP269" s="13">
        <v>5</v>
      </c>
      <c r="AQ269" s="16">
        <f t="shared" si="30"/>
        <v>0</v>
      </c>
      <c r="AS269" s="11">
        <f t="shared" si="34"/>
        <v>0</v>
      </c>
      <c r="AT269" s="13"/>
    </row>
    <row r="270" spans="1:46" x14ac:dyDescent="0.25">
      <c r="A270" s="12">
        <v>263</v>
      </c>
      <c r="B270" s="60" t="s">
        <v>296</v>
      </c>
      <c r="C270" s="53">
        <v>10556</v>
      </c>
      <c r="D270" s="38" t="s">
        <v>329</v>
      </c>
      <c r="E270" s="38" t="s">
        <v>69</v>
      </c>
      <c r="F270" s="37" t="s">
        <v>284</v>
      </c>
      <c r="G270" s="4">
        <v>28500</v>
      </c>
      <c r="H270" s="4">
        <f>3500*10</f>
        <v>35000</v>
      </c>
      <c r="I270" s="4"/>
      <c r="J270" s="4">
        <v>0</v>
      </c>
      <c r="K270" s="4">
        <v>0</v>
      </c>
      <c r="L270" s="11">
        <f t="shared" si="31"/>
        <v>377000</v>
      </c>
      <c r="M270" s="69">
        <v>0</v>
      </c>
      <c r="N270" s="71">
        <v>0</v>
      </c>
      <c r="O270" s="71">
        <v>0</v>
      </c>
      <c r="P270" s="71">
        <v>0</v>
      </c>
      <c r="Q270" s="71">
        <f>VLOOKUP(C270,Incentives!C264:K603,9,FALSE)</f>
        <v>0</v>
      </c>
      <c r="R270" s="71">
        <v>900</v>
      </c>
      <c r="S270" s="13">
        <v>0</v>
      </c>
      <c r="T270" s="13">
        <v>2100</v>
      </c>
      <c r="U270" s="13"/>
      <c r="V270" s="13"/>
      <c r="Y270" s="71">
        <v>0</v>
      </c>
      <c r="Z270" s="71">
        <v>0</v>
      </c>
      <c r="AA270" s="71">
        <v>0</v>
      </c>
      <c r="AB270" s="71">
        <v>0</v>
      </c>
      <c r="AC270" s="71">
        <v>0</v>
      </c>
      <c r="AD270" s="71">
        <v>0</v>
      </c>
      <c r="AE270" s="13">
        <v>0</v>
      </c>
      <c r="AF270" s="13">
        <v>0</v>
      </c>
      <c r="AI270" s="20"/>
      <c r="AJ270" s="13"/>
      <c r="AK270" s="11">
        <f t="shared" si="32"/>
        <v>380000</v>
      </c>
      <c r="AL270" s="11">
        <f t="shared" si="28"/>
        <v>31666.666666666668</v>
      </c>
      <c r="AM270" s="11">
        <f t="shared" si="33"/>
        <v>0</v>
      </c>
      <c r="AN270" s="11">
        <f>VLOOKUP(C270,'Paid Tax'!B265:M626,12,FALSE)</f>
        <v>0</v>
      </c>
      <c r="AO270" s="11">
        <f t="shared" si="29"/>
        <v>0</v>
      </c>
      <c r="AP270" s="13">
        <v>5</v>
      </c>
      <c r="AQ270" s="16">
        <f t="shared" si="30"/>
        <v>0</v>
      </c>
      <c r="AS270" s="11">
        <f t="shared" si="34"/>
        <v>0</v>
      </c>
      <c r="AT270" s="13"/>
    </row>
    <row r="271" spans="1:46" x14ac:dyDescent="0.25">
      <c r="A271" s="12">
        <v>264</v>
      </c>
      <c r="B271" s="63" t="s">
        <v>296</v>
      </c>
      <c r="C271" s="56">
        <v>10632</v>
      </c>
      <c r="D271" s="66" t="s">
        <v>400</v>
      </c>
      <c r="E271" s="66" t="s">
        <v>69</v>
      </c>
      <c r="F271" s="59" t="s">
        <v>284</v>
      </c>
      <c r="G271" s="4">
        <v>30500</v>
      </c>
      <c r="H271" s="4"/>
      <c r="I271" s="4"/>
      <c r="J271" s="4">
        <v>0</v>
      </c>
      <c r="K271" s="4">
        <v>0</v>
      </c>
      <c r="L271" s="11">
        <f t="shared" si="31"/>
        <v>366000</v>
      </c>
      <c r="M271" s="69">
        <v>1590</v>
      </c>
      <c r="N271" s="71">
        <v>3320</v>
      </c>
      <c r="O271" s="71">
        <v>0</v>
      </c>
      <c r="P271" s="71">
        <v>2010</v>
      </c>
      <c r="Q271" s="71">
        <f>VLOOKUP(C271,Incentives!C265:K604,9,FALSE)</f>
        <v>1260</v>
      </c>
      <c r="R271" s="71">
        <v>0</v>
      </c>
      <c r="S271" s="13">
        <v>0</v>
      </c>
      <c r="T271" s="13">
        <v>0</v>
      </c>
      <c r="U271" s="13"/>
      <c r="V271" s="13"/>
      <c r="Y271" s="71">
        <v>0</v>
      </c>
      <c r="Z271" s="71">
        <v>0</v>
      </c>
      <c r="AA271" s="71">
        <v>0</v>
      </c>
      <c r="AB271" s="71">
        <v>0</v>
      </c>
      <c r="AC271" s="71">
        <v>0</v>
      </c>
      <c r="AD271" s="71">
        <v>0</v>
      </c>
      <c r="AE271" s="13">
        <v>0</v>
      </c>
      <c r="AF271" s="13">
        <v>0</v>
      </c>
      <c r="AI271" s="20"/>
      <c r="AJ271" s="13"/>
      <c r="AK271" s="11">
        <f t="shared" si="32"/>
        <v>374180</v>
      </c>
      <c r="AL271" s="11">
        <f t="shared" si="28"/>
        <v>31181.666666666668</v>
      </c>
      <c r="AM271" s="11">
        <f t="shared" si="33"/>
        <v>0</v>
      </c>
      <c r="AN271" s="11">
        <f>VLOOKUP(C271,'Paid Tax'!B266:M627,12,FALSE)</f>
        <v>0</v>
      </c>
      <c r="AO271" s="11">
        <f t="shared" si="29"/>
        <v>0</v>
      </c>
      <c r="AP271" s="13">
        <v>5</v>
      </c>
      <c r="AQ271" s="16">
        <f t="shared" si="30"/>
        <v>0</v>
      </c>
      <c r="AS271" s="11">
        <f t="shared" si="34"/>
        <v>0</v>
      </c>
      <c r="AT271" s="13"/>
    </row>
    <row r="272" spans="1:46" x14ac:dyDescent="0.25">
      <c r="A272" s="12">
        <v>265</v>
      </c>
      <c r="B272" s="60" t="s">
        <v>296</v>
      </c>
      <c r="C272" s="53">
        <v>10420</v>
      </c>
      <c r="D272" s="38" t="s">
        <v>254</v>
      </c>
      <c r="E272" s="38" t="s">
        <v>69</v>
      </c>
      <c r="F272" s="37" t="s">
        <v>284</v>
      </c>
      <c r="G272" s="4">
        <v>28750</v>
      </c>
      <c r="H272" s="4"/>
      <c r="I272" s="4"/>
      <c r="J272" s="4">
        <v>3750</v>
      </c>
      <c r="K272" s="4">
        <v>3750</v>
      </c>
      <c r="L272" s="11">
        <f t="shared" si="31"/>
        <v>352500</v>
      </c>
      <c r="M272" s="69">
        <v>1500</v>
      </c>
      <c r="N272" s="71">
        <v>1860</v>
      </c>
      <c r="O272" s="71">
        <v>0</v>
      </c>
      <c r="P272" s="71">
        <v>1650</v>
      </c>
      <c r="Q272" s="71">
        <f>VLOOKUP(C272,Incentives!C266:K605,9,FALSE)</f>
        <v>1530</v>
      </c>
      <c r="R272" s="71">
        <v>1800</v>
      </c>
      <c r="S272" s="13">
        <v>0</v>
      </c>
      <c r="T272" s="13">
        <v>0</v>
      </c>
      <c r="U272" s="13"/>
      <c r="V272" s="13"/>
      <c r="Y272" s="71">
        <v>0</v>
      </c>
      <c r="Z272" s="71">
        <v>0</v>
      </c>
      <c r="AA272" s="71">
        <v>0</v>
      </c>
      <c r="AB272" s="71">
        <v>0</v>
      </c>
      <c r="AC272" s="71">
        <v>0</v>
      </c>
      <c r="AD272" s="71">
        <v>0</v>
      </c>
      <c r="AE272" s="13">
        <v>0</v>
      </c>
      <c r="AF272" s="13">
        <v>0</v>
      </c>
      <c r="AI272" s="20"/>
      <c r="AJ272" s="13"/>
      <c r="AK272" s="11">
        <f t="shared" si="32"/>
        <v>360840</v>
      </c>
      <c r="AL272" s="11">
        <f t="shared" si="28"/>
        <v>30070</v>
      </c>
      <c r="AM272" s="11">
        <f t="shared" si="33"/>
        <v>0</v>
      </c>
      <c r="AN272" s="11">
        <f>VLOOKUP(C272,'Paid Tax'!B267:M628,12,FALSE)</f>
        <v>0</v>
      </c>
      <c r="AO272" s="11">
        <f t="shared" si="29"/>
        <v>0</v>
      </c>
      <c r="AP272" s="13">
        <v>5</v>
      </c>
      <c r="AQ272" s="16">
        <f t="shared" si="30"/>
        <v>0</v>
      </c>
      <c r="AS272" s="11">
        <f t="shared" si="34"/>
        <v>0</v>
      </c>
      <c r="AT272" s="13"/>
    </row>
    <row r="273" spans="1:46" x14ac:dyDescent="0.25">
      <c r="A273" s="12">
        <v>266</v>
      </c>
      <c r="B273" s="60" t="s">
        <v>293</v>
      </c>
      <c r="C273" s="53">
        <v>10112</v>
      </c>
      <c r="D273" s="38" t="s">
        <v>255</v>
      </c>
      <c r="E273" s="38" t="s">
        <v>451</v>
      </c>
      <c r="F273" s="37" t="s">
        <v>284</v>
      </c>
      <c r="G273" s="4">
        <v>33030</v>
      </c>
      <c r="H273" s="4"/>
      <c r="I273" s="4"/>
      <c r="J273" s="4">
        <v>4430</v>
      </c>
      <c r="K273" s="4">
        <v>4430</v>
      </c>
      <c r="L273" s="11">
        <f t="shared" si="31"/>
        <v>405220</v>
      </c>
      <c r="M273" s="69">
        <v>0</v>
      </c>
      <c r="N273" s="71">
        <v>0</v>
      </c>
      <c r="O273" s="71">
        <v>0</v>
      </c>
      <c r="P273" s="71">
        <v>0</v>
      </c>
      <c r="Q273" s="71">
        <f>VLOOKUP(C273,Incentives!C267:K606,9,FALSE)</f>
        <v>0</v>
      </c>
      <c r="R273" s="71">
        <v>0</v>
      </c>
      <c r="S273" s="13">
        <v>0</v>
      </c>
      <c r="T273" s="13">
        <v>0</v>
      </c>
      <c r="U273" s="13"/>
      <c r="V273" s="13"/>
      <c r="Y273" s="71">
        <v>0</v>
      </c>
      <c r="Z273" s="71">
        <v>0</v>
      </c>
      <c r="AA273" s="71">
        <v>0</v>
      </c>
      <c r="AB273" s="71">
        <v>0</v>
      </c>
      <c r="AC273" s="71">
        <v>0</v>
      </c>
      <c r="AD273" s="71">
        <v>0</v>
      </c>
      <c r="AE273" s="13">
        <v>0</v>
      </c>
      <c r="AF273" s="13">
        <v>0</v>
      </c>
      <c r="AI273" s="20"/>
      <c r="AJ273" s="13"/>
      <c r="AK273" s="11">
        <f t="shared" si="32"/>
        <v>405220</v>
      </c>
      <c r="AL273" s="11">
        <f t="shared" si="28"/>
        <v>33768.333333333336</v>
      </c>
      <c r="AM273" s="11">
        <f t="shared" si="33"/>
        <v>0</v>
      </c>
      <c r="AN273" s="11">
        <f>VLOOKUP(C273,'Paid Tax'!B268:M629,12,FALSE)</f>
        <v>0</v>
      </c>
      <c r="AO273" s="11">
        <f t="shared" si="29"/>
        <v>0</v>
      </c>
      <c r="AP273" s="13">
        <v>5</v>
      </c>
      <c r="AQ273" s="16">
        <f t="shared" si="30"/>
        <v>0</v>
      </c>
      <c r="AS273" s="11">
        <f t="shared" si="34"/>
        <v>0</v>
      </c>
      <c r="AT273" s="13"/>
    </row>
    <row r="274" spans="1:46" x14ac:dyDescent="0.25">
      <c r="A274" s="12">
        <v>267</v>
      </c>
      <c r="B274" s="60" t="s">
        <v>293</v>
      </c>
      <c r="C274" s="53">
        <v>10549</v>
      </c>
      <c r="D274" s="38" t="s">
        <v>333</v>
      </c>
      <c r="E274" s="38" t="s">
        <v>69</v>
      </c>
      <c r="F274" s="37" t="s">
        <v>284</v>
      </c>
      <c r="G274" s="4">
        <v>28500</v>
      </c>
      <c r="H274" s="4">
        <f>3500*6</f>
        <v>21000</v>
      </c>
      <c r="I274" s="4"/>
      <c r="J274" s="4">
        <v>0</v>
      </c>
      <c r="K274" s="4">
        <v>0</v>
      </c>
      <c r="L274" s="11">
        <f t="shared" si="31"/>
        <v>363000</v>
      </c>
      <c r="M274" s="69">
        <v>0</v>
      </c>
      <c r="N274" s="71">
        <v>0</v>
      </c>
      <c r="O274" s="71">
        <v>0</v>
      </c>
      <c r="P274" s="71">
        <v>0</v>
      </c>
      <c r="Q274" s="71">
        <f>VLOOKUP(C274,Incentives!C268:K607,9,FALSE)</f>
        <v>1645</v>
      </c>
      <c r="R274" s="71">
        <v>1170</v>
      </c>
      <c r="S274" s="13">
        <v>990</v>
      </c>
      <c r="T274" s="13">
        <v>1170</v>
      </c>
      <c r="U274" s="13"/>
      <c r="V274" s="13"/>
      <c r="Y274" s="71">
        <v>0</v>
      </c>
      <c r="Z274" s="71">
        <v>0</v>
      </c>
      <c r="AA274" s="71">
        <v>0</v>
      </c>
      <c r="AB274" s="71">
        <v>0</v>
      </c>
      <c r="AC274" s="71">
        <v>0</v>
      </c>
      <c r="AD274" s="71">
        <v>0</v>
      </c>
      <c r="AE274" s="13">
        <v>0</v>
      </c>
      <c r="AF274" s="13">
        <v>0</v>
      </c>
      <c r="AI274" s="20"/>
      <c r="AJ274" s="13"/>
      <c r="AK274" s="11">
        <f t="shared" si="32"/>
        <v>367975</v>
      </c>
      <c r="AL274" s="11">
        <f t="shared" si="28"/>
        <v>30664.583333333332</v>
      </c>
      <c r="AM274" s="11">
        <f t="shared" si="33"/>
        <v>0</v>
      </c>
      <c r="AN274" s="11">
        <f>VLOOKUP(C274,'Paid Tax'!B269:M630,12,FALSE)</f>
        <v>0</v>
      </c>
      <c r="AO274" s="11">
        <f t="shared" si="29"/>
        <v>0</v>
      </c>
      <c r="AP274" s="13">
        <v>5</v>
      </c>
      <c r="AQ274" s="16">
        <f t="shared" si="30"/>
        <v>0</v>
      </c>
      <c r="AS274" s="11">
        <f t="shared" si="34"/>
        <v>0</v>
      </c>
      <c r="AT274" s="13"/>
    </row>
    <row r="275" spans="1:46" x14ac:dyDescent="0.25">
      <c r="A275" s="12">
        <v>268</v>
      </c>
      <c r="B275" s="60" t="s">
        <v>293</v>
      </c>
      <c r="C275" s="53">
        <v>10113</v>
      </c>
      <c r="D275" s="38" t="s">
        <v>256</v>
      </c>
      <c r="E275" s="38" t="s">
        <v>69</v>
      </c>
      <c r="F275" s="37" t="s">
        <v>284</v>
      </c>
      <c r="G275" s="4">
        <v>31274</v>
      </c>
      <c r="H275" s="4"/>
      <c r="I275" s="4"/>
      <c r="J275" s="4">
        <v>3870.2000000000003</v>
      </c>
      <c r="K275" s="4">
        <v>3870.2000000000003</v>
      </c>
      <c r="L275" s="11">
        <f t="shared" si="31"/>
        <v>383028.4</v>
      </c>
      <c r="M275" s="69">
        <v>2190</v>
      </c>
      <c r="N275" s="71">
        <v>1620</v>
      </c>
      <c r="O275" s="71">
        <v>1000</v>
      </c>
      <c r="P275" s="71">
        <v>0</v>
      </c>
      <c r="Q275" s="71">
        <f>VLOOKUP(C275,Incentives!C269:K608,9,FALSE)</f>
        <v>0</v>
      </c>
      <c r="R275" s="71">
        <v>1440</v>
      </c>
      <c r="S275" s="13">
        <v>1500</v>
      </c>
      <c r="T275" s="13">
        <v>1230</v>
      </c>
      <c r="U275" s="13"/>
      <c r="V275" s="13"/>
      <c r="Y275" s="71">
        <v>0</v>
      </c>
      <c r="Z275" s="71">
        <v>0</v>
      </c>
      <c r="AA275" s="71">
        <v>0</v>
      </c>
      <c r="AB275" s="71">
        <v>0</v>
      </c>
      <c r="AC275" s="71">
        <v>0</v>
      </c>
      <c r="AD275" s="71">
        <v>0</v>
      </c>
      <c r="AE275" s="13">
        <v>0</v>
      </c>
      <c r="AF275" s="13">
        <v>0</v>
      </c>
      <c r="AI275" s="20"/>
      <c r="AJ275" s="13"/>
      <c r="AK275" s="11">
        <f t="shared" si="32"/>
        <v>392008.4</v>
      </c>
      <c r="AL275" s="11">
        <f t="shared" si="28"/>
        <v>32667.366666666669</v>
      </c>
      <c r="AM275" s="11">
        <f t="shared" si="33"/>
        <v>0</v>
      </c>
      <c r="AN275" s="11">
        <f>VLOOKUP(C275,'Paid Tax'!B270:M631,12,FALSE)</f>
        <v>0</v>
      </c>
      <c r="AO275" s="11">
        <f t="shared" si="29"/>
        <v>0</v>
      </c>
      <c r="AP275" s="13">
        <v>5</v>
      </c>
      <c r="AQ275" s="16">
        <f t="shared" si="30"/>
        <v>0</v>
      </c>
      <c r="AS275" s="11">
        <f t="shared" si="34"/>
        <v>0</v>
      </c>
      <c r="AT275" s="13"/>
    </row>
    <row r="276" spans="1:46" x14ac:dyDescent="0.25">
      <c r="A276" s="12">
        <v>269</v>
      </c>
      <c r="B276" s="60" t="s">
        <v>293</v>
      </c>
      <c r="C276" s="53">
        <v>10568</v>
      </c>
      <c r="D276" s="38" t="s">
        <v>338</v>
      </c>
      <c r="E276" s="38" t="s">
        <v>47</v>
      </c>
      <c r="F276" s="37" t="s">
        <v>411</v>
      </c>
      <c r="G276" s="4">
        <v>45000</v>
      </c>
      <c r="H276" s="4"/>
      <c r="I276" s="4"/>
      <c r="J276" s="4">
        <v>0</v>
      </c>
      <c r="K276" s="4">
        <v>0</v>
      </c>
      <c r="L276" s="11">
        <f t="shared" si="31"/>
        <v>540000</v>
      </c>
      <c r="M276" s="69">
        <v>0</v>
      </c>
      <c r="N276" s="71">
        <v>0</v>
      </c>
      <c r="O276" s="71">
        <v>0</v>
      </c>
      <c r="P276" s="71">
        <v>0</v>
      </c>
      <c r="Q276" s="71">
        <f>VLOOKUP(C276,Incentives!C270:K609,9,FALSE)</f>
        <v>0</v>
      </c>
      <c r="R276" s="71">
        <v>0</v>
      </c>
      <c r="S276" s="13">
        <v>0</v>
      </c>
      <c r="T276" s="13">
        <v>0</v>
      </c>
      <c r="U276" s="13"/>
      <c r="V276" s="13"/>
      <c r="Y276" s="71">
        <v>0</v>
      </c>
      <c r="Z276" s="71">
        <v>22440</v>
      </c>
      <c r="AA276" s="71">
        <v>0</v>
      </c>
      <c r="AB276" s="71">
        <v>0</v>
      </c>
      <c r="AC276" s="71">
        <v>0</v>
      </c>
      <c r="AD276" s="71">
        <v>25425</v>
      </c>
      <c r="AE276" s="13">
        <v>0</v>
      </c>
      <c r="AF276" s="13">
        <v>0</v>
      </c>
      <c r="AI276" s="20"/>
      <c r="AJ276" s="13"/>
      <c r="AK276" s="11">
        <f t="shared" si="32"/>
        <v>587865</v>
      </c>
      <c r="AL276" s="11">
        <f t="shared" si="28"/>
        <v>48988.75</v>
      </c>
      <c r="AM276" s="11">
        <f t="shared" si="33"/>
        <v>0</v>
      </c>
      <c r="AN276" s="11">
        <f>VLOOKUP(C276,'Paid Tax'!B271:M632,12,FALSE)</f>
        <v>0</v>
      </c>
      <c r="AO276" s="11">
        <f t="shared" si="29"/>
        <v>0</v>
      </c>
      <c r="AP276" s="13">
        <v>5</v>
      </c>
      <c r="AQ276" s="16">
        <f t="shared" si="30"/>
        <v>0</v>
      </c>
      <c r="AS276" s="11">
        <f t="shared" si="34"/>
        <v>0</v>
      </c>
      <c r="AT276" s="13"/>
    </row>
    <row r="277" spans="1:46" x14ac:dyDescent="0.25">
      <c r="A277" s="12">
        <v>270</v>
      </c>
      <c r="B277" s="60" t="s">
        <v>293</v>
      </c>
      <c r="C277" s="53">
        <v>10613</v>
      </c>
      <c r="D277" s="38" t="s">
        <v>389</v>
      </c>
      <c r="E277" s="38" t="s">
        <v>69</v>
      </c>
      <c r="F277" s="37" t="s">
        <v>284</v>
      </c>
      <c r="G277" s="4">
        <v>26500</v>
      </c>
      <c r="H277" s="4"/>
      <c r="I277" s="4"/>
      <c r="J277" s="4">
        <v>0</v>
      </c>
      <c r="K277" s="4">
        <v>0</v>
      </c>
      <c r="L277" s="11">
        <f t="shared" si="31"/>
        <v>318000</v>
      </c>
      <c r="M277" s="69">
        <v>1920</v>
      </c>
      <c r="N277" s="71">
        <v>0</v>
      </c>
      <c r="O277" s="71">
        <v>2000</v>
      </c>
      <c r="P277" s="71">
        <v>0</v>
      </c>
      <c r="Q277" s="71">
        <f>VLOOKUP(C277,Incentives!C271:K610,9,FALSE)</f>
        <v>1560</v>
      </c>
      <c r="R277" s="71">
        <v>0</v>
      </c>
      <c r="S277" s="13">
        <v>900</v>
      </c>
      <c r="T277" s="13">
        <v>1080</v>
      </c>
      <c r="U277" s="13"/>
      <c r="V277" s="13"/>
      <c r="Y277" s="71">
        <v>0</v>
      </c>
      <c r="Z277" s="71">
        <v>0</v>
      </c>
      <c r="AA277" s="71">
        <v>0</v>
      </c>
      <c r="AB277" s="71">
        <v>0</v>
      </c>
      <c r="AC277" s="71">
        <v>0</v>
      </c>
      <c r="AD277" s="71">
        <v>0</v>
      </c>
      <c r="AE277" s="13">
        <v>0</v>
      </c>
      <c r="AF277" s="13">
        <v>0</v>
      </c>
      <c r="AI277" s="20"/>
      <c r="AJ277" s="13"/>
      <c r="AK277" s="11">
        <f t="shared" si="32"/>
        <v>325460</v>
      </c>
      <c r="AL277" s="11">
        <f t="shared" si="28"/>
        <v>27121.666666666668</v>
      </c>
      <c r="AM277" s="11">
        <f t="shared" si="33"/>
        <v>0</v>
      </c>
      <c r="AN277" s="11">
        <f>VLOOKUP(C277,'Paid Tax'!B272:M633,12,FALSE)</f>
        <v>0</v>
      </c>
      <c r="AO277" s="11">
        <f t="shared" si="29"/>
        <v>0</v>
      </c>
      <c r="AP277" s="13">
        <v>5</v>
      </c>
      <c r="AQ277" s="16">
        <f t="shared" si="30"/>
        <v>0</v>
      </c>
      <c r="AS277" s="11">
        <f t="shared" si="34"/>
        <v>0</v>
      </c>
      <c r="AT277" s="13"/>
    </row>
    <row r="278" spans="1:46" s="18" customFormat="1" x14ac:dyDescent="0.25">
      <c r="A278" s="12">
        <v>271</v>
      </c>
      <c r="B278" s="60" t="s">
        <v>293</v>
      </c>
      <c r="C278" s="53">
        <v>10114</v>
      </c>
      <c r="D278" s="38" t="s">
        <v>257</v>
      </c>
      <c r="E278" s="38" t="s">
        <v>69</v>
      </c>
      <c r="F278" s="37" t="s">
        <v>284</v>
      </c>
      <c r="G278" s="4">
        <v>29746</v>
      </c>
      <c r="H278" s="4"/>
      <c r="I278" s="4"/>
      <c r="J278" s="4">
        <v>3083.15</v>
      </c>
      <c r="K278" s="4">
        <v>3083.15</v>
      </c>
      <c r="L278" s="11">
        <f t="shared" si="31"/>
        <v>363118.30000000005</v>
      </c>
      <c r="M278" s="69">
        <v>1530</v>
      </c>
      <c r="N278" s="71">
        <v>0</v>
      </c>
      <c r="O278" s="71">
        <v>0</v>
      </c>
      <c r="P278" s="71">
        <v>0</v>
      </c>
      <c r="Q278" s="71">
        <f>VLOOKUP(C278,Incentives!C272:K611,9,FALSE)</f>
        <v>1260</v>
      </c>
      <c r="R278" s="71">
        <v>1650</v>
      </c>
      <c r="S278" s="13">
        <v>1860</v>
      </c>
      <c r="T278" s="13">
        <v>6300</v>
      </c>
      <c r="U278" s="13"/>
      <c r="V278" s="13"/>
      <c r="W278" s="13"/>
      <c r="Y278" s="71">
        <v>0</v>
      </c>
      <c r="Z278" s="71">
        <v>0</v>
      </c>
      <c r="AA278" s="71">
        <v>0</v>
      </c>
      <c r="AB278" s="71">
        <v>0</v>
      </c>
      <c r="AC278" s="71">
        <v>0</v>
      </c>
      <c r="AD278" s="71">
        <v>0</v>
      </c>
      <c r="AE278" s="13">
        <v>0</v>
      </c>
      <c r="AF278" s="13">
        <v>0</v>
      </c>
      <c r="AG278" s="13"/>
      <c r="AH278" s="13"/>
      <c r="AI278" s="22"/>
      <c r="AK278" s="11">
        <f t="shared" si="32"/>
        <v>375718.30000000005</v>
      </c>
      <c r="AL278" s="11">
        <f t="shared" si="28"/>
        <v>31309.858333333337</v>
      </c>
      <c r="AM278" s="11">
        <f t="shared" si="33"/>
        <v>0</v>
      </c>
      <c r="AN278" s="11">
        <f>VLOOKUP(C278,'Paid Tax'!B273:M634,12,FALSE)</f>
        <v>0</v>
      </c>
      <c r="AO278" s="11">
        <f t="shared" si="29"/>
        <v>0</v>
      </c>
      <c r="AP278" s="13">
        <v>5</v>
      </c>
      <c r="AQ278" s="16">
        <f t="shared" si="30"/>
        <v>0</v>
      </c>
      <c r="AR278" s="13"/>
      <c r="AS278" s="11">
        <f t="shared" si="34"/>
        <v>0</v>
      </c>
      <c r="AT278" s="13"/>
    </row>
    <row r="279" spans="1:46" x14ac:dyDescent="0.25">
      <c r="A279" s="12">
        <v>272</v>
      </c>
      <c r="B279" s="60" t="s">
        <v>294</v>
      </c>
      <c r="C279" s="53">
        <v>10136</v>
      </c>
      <c r="D279" s="38" t="s">
        <v>258</v>
      </c>
      <c r="E279" s="38" t="s">
        <v>69</v>
      </c>
      <c r="F279" s="37" t="s">
        <v>284</v>
      </c>
      <c r="G279" s="4">
        <v>28583</v>
      </c>
      <c r="H279" s="4"/>
      <c r="I279" s="4"/>
      <c r="J279" s="4">
        <v>3027.75</v>
      </c>
      <c r="K279" s="4">
        <v>3027.75</v>
      </c>
      <c r="L279" s="11">
        <f t="shared" si="31"/>
        <v>349051.5</v>
      </c>
      <c r="M279" s="69">
        <v>0</v>
      </c>
      <c r="N279" s="71">
        <v>0</v>
      </c>
      <c r="O279" s="71">
        <v>0</v>
      </c>
      <c r="P279" s="71">
        <v>0</v>
      </c>
      <c r="Q279" s="71">
        <f>VLOOKUP(C279,Incentives!C273:K612,9,FALSE)</f>
        <v>0</v>
      </c>
      <c r="R279" s="71">
        <v>0</v>
      </c>
      <c r="S279" s="13">
        <v>0</v>
      </c>
      <c r="T279" s="13">
        <v>0</v>
      </c>
      <c r="U279" s="13"/>
      <c r="V279" s="13"/>
      <c r="Y279" s="71">
        <v>0</v>
      </c>
      <c r="Z279" s="71">
        <v>0</v>
      </c>
      <c r="AA279" s="71">
        <v>0</v>
      </c>
      <c r="AB279" s="71">
        <v>0</v>
      </c>
      <c r="AC279" s="71">
        <v>0</v>
      </c>
      <c r="AD279" s="71">
        <v>0</v>
      </c>
      <c r="AE279" s="13">
        <v>0</v>
      </c>
      <c r="AF279" s="13">
        <v>0</v>
      </c>
      <c r="AI279" s="20"/>
      <c r="AJ279" s="13"/>
      <c r="AK279" s="11">
        <f t="shared" si="32"/>
        <v>349051.5</v>
      </c>
      <c r="AL279" s="11">
        <f t="shared" si="28"/>
        <v>29087.625</v>
      </c>
      <c r="AM279" s="11">
        <f t="shared" si="33"/>
        <v>0</v>
      </c>
      <c r="AN279" s="11">
        <f>VLOOKUP(C279,'Paid Tax'!B274:M635,12,FALSE)</f>
        <v>0</v>
      </c>
      <c r="AO279" s="11">
        <f t="shared" si="29"/>
        <v>0</v>
      </c>
      <c r="AP279" s="13">
        <v>5</v>
      </c>
      <c r="AQ279" s="16">
        <f t="shared" si="30"/>
        <v>0</v>
      </c>
      <c r="AS279" s="11">
        <f t="shared" si="34"/>
        <v>0</v>
      </c>
      <c r="AT279" s="13"/>
    </row>
    <row r="280" spans="1:46" x14ac:dyDescent="0.25">
      <c r="A280" s="12">
        <v>273</v>
      </c>
      <c r="B280" s="60" t="s">
        <v>294</v>
      </c>
      <c r="C280" s="53">
        <v>10285</v>
      </c>
      <c r="D280" s="38" t="s">
        <v>259</v>
      </c>
      <c r="E280" s="38" t="s">
        <v>69</v>
      </c>
      <c r="F280" s="37" t="s">
        <v>284</v>
      </c>
      <c r="G280" s="4">
        <v>29200</v>
      </c>
      <c r="H280" s="4"/>
      <c r="I280" s="4"/>
      <c r="J280" s="4">
        <v>3057.15</v>
      </c>
      <c r="K280" s="4">
        <v>3057.15</v>
      </c>
      <c r="L280" s="11">
        <f t="shared" si="31"/>
        <v>356514.30000000005</v>
      </c>
      <c r="M280" s="69">
        <v>0</v>
      </c>
      <c r="N280" s="71">
        <v>0</v>
      </c>
      <c r="O280" s="71">
        <v>0</v>
      </c>
      <c r="P280" s="71">
        <v>0</v>
      </c>
      <c r="Q280" s="71">
        <f>VLOOKUP(C280,Incentives!C274:K613,9,FALSE)</f>
        <v>0</v>
      </c>
      <c r="R280" s="71">
        <v>0</v>
      </c>
      <c r="S280" s="13">
        <v>0</v>
      </c>
      <c r="T280" s="13">
        <v>0</v>
      </c>
      <c r="U280" s="13"/>
      <c r="V280" s="13"/>
      <c r="Y280" s="71">
        <v>0</v>
      </c>
      <c r="Z280" s="71">
        <v>0</v>
      </c>
      <c r="AA280" s="71">
        <v>0</v>
      </c>
      <c r="AB280" s="71">
        <v>0</v>
      </c>
      <c r="AC280" s="71">
        <v>0</v>
      </c>
      <c r="AD280" s="71">
        <v>0</v>
      </c>
      <c r="AE280" s="13">
        <v>0</v>
      </c>
      <c r="AF280" s="13">
        <v>0</v>
      </c>
      <c r="AI280" s="20"/>
      <c r="AJ280" s="13"/>
      <c r="AK280" s="11">
        <f t="shared" si="32"/>
        <v>356514.30000000005</v>
      </c>
      <c r="AL280" s="11">
        <f t="shared" si="28"/>
        <v>29709.525000000005</v>
      </c>
      <c r="AM280" s="11">
        <f t="shared" si="33"/>
        <v>0</v>
      </c>
      <c r="AN280" s="11">
        <f>VLOOKUP(C280,'Paid Tax'!B275:M636,12,FALSE)</f>
        <v>0</v>
      </c>
      <c r="AO280" s="11">
        <f t="shared" si="29"/>
        <v>0</v>
      </c>
      <c r="AP280" s="13">
        <v>5</v>
      </c>
      <c r="AQ280" s="16">
        <f t="shared" si="30"/>
        <v>0</v>
      </c>
      <c r="AS280" s="11">
        <f t="shared" si="34"/>
        <v>0</v>
      </c>
      <c r="AT280" s="13"/>
    </row>
    <row r="281" spans="1:46" x14ac:dyDescent="0.25">
      <c r="A281" s="12">
        <v>274</v>
      </c>
      <c r="B281" s="60" t="s">
        <v>294</v>
      </c>
      <c r="C281" s="53">
        <v>10456</v>
      </c>
      <c r="D281" s="38" t="s">
        <v>260</v>
      </c>
      <c r="E281" s="38" t="s">
        <v>69</v>
      </c>
      <c r="F281" s="37" t="s">
        <v>284</v>
      </c>
      <c r="G281" s="4">
        <v>28000</v>
      </c>
      <c r="H281" s="4"/>
      <c r="I281" s="4"/>
      <c r="J281" s="4">
        <v>3000</v>
      </c>
      <c r="K281" s="4">
        <v>3000</v>
      </c>
      <c r="L281" s="11">
        <f t="shared" si="31"/>
        <v>342000</v>
      </c>
      <c r="M281" s="69">
        <v>1500</v>
      </c>
      <c r="N281" s="71">
        <v>1620</v>
      </c>
      <c r="O281" s="71">
        <v>0</v>
      </c>
      <c r="P281" s="71">
        <v>0</v>
      </c>
      <c r="Q281" s="71">
        <f>VLOOKUP(C281,Incentives!C275:K614,9,FALSE)</f>
        <v>0</v>
      </c>
      <c r="R281" s="71">
        <v>1050</v>
      </c>
      <c r="S281" s="13">
        <v>1800</v>
      </c>
      <c r="T281" s="13">
        <v>1530</v>
      </c>
      <c r="U281" s="13"/>
      <c r="V281" s="13"/>
      <c r="Y281" s="71">
        <v>0</v>
      </c>
      <c r="Z281" s="71">
        <v>0</v>
      </c>
      <c r="AA281" s="71">
        <v>0</v>
      </c>
      <c r="AB281" s="71">
        <v>0</v>
      </c>
      <c r="AC281" s="71">
        <v>0</v>
      </c>
      <c r="AD281" s="71">
        <v>0</v>
      </c>
      <c r="AE281" s="13">
        <v>0</v>
      </c>
      <c r="AF281" s="13">
        <v>0</v>
      </c>
      <c r="AI281" s="20"/>
      <c r="AJ281" s="13"/>
      <c r="AK281" s="11">
        <f t="shared" si="32"/>
        <v>349500</v>
      </c>
      <c r="AL281" s="11">
        <f t="shared" si="28"/>
        <v>29125</v>
      </c>
      <c r="AM281" s="11">
        <f t="shared" si="33"/>
        <v>0</v>
      </c>
      <c r="AN281" s="11">
        <f>VLOOKUP(C281,'Paid Tax'!B276:M637,12,FALSE)</f>
        <v>0</v>
      </c>
      <c r="AO281" s="11">
        <f t="shared" si="29"/>
        <v>0</v>
      </c>
      <c r="AP281" s="13">
        <v>5</v>
      </c>
      <c r="AQ281" s="16">
        <f t="shared" si="30"/>
        <v>0</v>
      </c>
      <c r="AS281" s="11">
        <f t="shared" si="34"/>
        <v>0</v>
      </c>
      <c r="AT281" s="13"/>
    </row>
    <row r="282" spans="1:46" x14ac:dyDescent="0.25">
      <c r="A282" s="12">
        <v>275</v>
      </c>
      <c r="B282" s="60" t="s">
        <v>296</v>
      </c>
      <c r="C282" s="53">
        <v>10117</v>
      </c>
      <c r="D282" s="38" t="s">
        <v>261</v>
      </c>
      <c r="E282" s="38" t="s">
        <v>69</v>
      </c>
      <c r="F282" s="37" t="s">
        <v>284</v>
      </c>
      <c r="G282" s="4">
        <v>28107</v>
      </c>
      <c r="H282" s="4"/>
      <c r="I282" s="4"/>
      <c r="J282" s="4">
        <v>3005.1000000000004</v>
      </c>
      <c r="K282" s="4">
        <v>3005.1000000000004</v>
      </c>
      <c r="L282" s="11">
        <f t="shared" si="31"/>
        <v>343294.19999999995</v>
      </c>
      <c r="M282" s="69">
        <v>1500</v>
      </c>
      <c r="N282" s="71">
        <v>0</v>
      </c>
      <c r="O282" s="71">
        <v>0</v>
      </c>
      <c r="P282" s="71">
        <v>0</v>
      </c>
      <c r="Q282" s="71">
        <f>VLOOKUP(C282,Incentives!C276:K615,9,FALSE)</f>
        <v>0</v>
      </c>
      <c r="R282" s="71">
        <v>0</v>
      </c>
      <c r="S282" s="13">
        <v>0</v>
      </c>
      <c r="T282" s="13">
        <v>0</v>
      </c>
      <c r="U282" s="13"/>
      <c r="V282" s="13"/>
      <c r="Y282" s="71">
        <v>0</v>
      </c>
      <c r="Z282" s="71">
        <v>0</v>
      </c>
      <c r="AA282" s="71">
        <v>0</v>
      </c>
      <c r="AB282" s="71">
        <v>0</v>
      </c>
      <c r="AC282" s="71">
        <v>0</v>
      </c>
      <c r="AD282" s="71">
        <v>0</v>
      </c>
      <c r="AE282" s="13">
        <v>0</v>
      </c>
      <c r="AF282" s="13">
        <v>0</v>
      </c>
      <c r="AI282" s="20"/>
      <c r="AJ282" s="13"/>
      <c r="AK282" s="11">
        <f t="shared" si="32"/>
        <v>344794.19999999995</v>
      </c>
      <c r="AL282" s="11">
        <f t="shared" si="28"/>
        <v>28732.849999999995</v>
      </c>
      <c r="AM282" s="11">
        <f t="shared" si="33"/>
        <v>0</v>
      </c>
      <c r="AN282" s="11">
        <f>VLOOKUP(C282,'Paid Tax'!B277:M638,12,FALSE)</f>
        <v>0</v>
      </c>
      <c r="AO282" s="11">
        <f t="shared" si="29"/>
        <v>0</v>
      </c>
      <c r="AP282" s="13">
        <v>5</v>
      </c>
      <c r="AQ282" s="16">
        <f t="shared" si="30"/>
        <v>0</v>
      </c>
      <c r="AS282" s="11">
        <f t="shared" si="34"/>
        <v>0</v>
      </c>
      <c r="AT282" s="13"/>
    </row>
    <row r="283" spans="1:46" x14ac:dyDescent="0.25">
      <c r="A283" s="12">
        <v>276</v>
      </c>
      <c r="B283" s="60" t="s">
        <v>294</v>
      </c>
      <c r="C283" s="53">
        <v>10452</v>
      </c>
      <c r="D283" s="38" t="s">
        <v>262</v>
      </c>
      <c r="E283" s="38" t="s">
        <v>69</v>
      </c>
      <c r="F283" s="37" t="s">
        <v>284</v>
      </c>
      <c r="G283" s="4">
        <v>31150</v>
      </c>
      <c r="H283" s="4"/>
      <c r="I283" s="4"/>
      <c r="J283" s="4">
        <v>3150</v>
      </c>
      <c r="K283" s="4">
        <v>3150</v>
      </c>
      <c r="L283" s="11">
        <f t="shared" si="31"/>
        <v>380100</v>
      </c>
      <c r="M283" s="69">
        <v>0</v>
      </c>
      <c r="N283" s="71">
        <v>0</v>
      </c>
      <c r="O283" s="71">
        <v>0</v>
      </c>
      <c r="P283" s="71">
        <v>0</v>
      </c>
      <c r="Q283" s="71">
        <f>VLOOKUP(C283,Incentives!C277:K616,9,FALSE)</f>
        <v>0</v>
      </c>
      <c r="R283" s="71">
        <v>0</v>
      </c>
      <c r="S283" s="13">
        <v>0</v>
      </c>
      <c r="T283" s="13">
        <v>0</v>
      </c>
      <c r="U283" s="13"/>
      <c r="V283" s="13"/>
      <c r="Y283" s="71">
        <v>0</v>
      </c>
      <c r="Z283" s="71">
        <v>0</v>
      </c>
      <c r="AA283" s="71">
        <v>0</v>
      </c>
      <c r="AB283" s="71">
        <v>0</v>
      </c>
      <c r="AC283" s="71">
        <v>0</v>
      </c>
      <c r="AD283" s="71">
        <v>0</v>
      </c>
      <c r="AE283" s="13">
        <v>0</v>
      </c>
      <c r="AF283" s="13">
        <v>0</v>
      </c>
      <c r="AI283" s="20"/>
      <c r="AJ283" s="13"/>
      <c r="AK283" s="11">
        <f t="shared" si="32"/>
        <v>380100</v>
      </c>
      <c r="AL283" s="11">
        <f t="shared" si="28"/>
        <v>31675</v>
      </c>
      <c r="AM283" s="11">
        <f t="shared" si="33"/>
        <v>0</v>
      </c>
      <c r="AN283" s="11">
        <f>VLOOKUP(C283,'Paid Tax'!B278:M639,12,FALSE)</f>
        <v>0</v>
      </c>
      <c r="AO283" s="11">
        <f t="shared" si="29"/>
        <v>0</v>
      </c>
      <c r="AP283" s="13">
        <v>5</v>
      </c>
      <c r="AQ283" s="16">
        <f t="shared" si="30"/>
        <v>0</v>
      </c>
      <c r="AS283" s="11">
        <f t="shared" si="34"/>
        <v>0</v>
      </c>
      <c r="AT283" s="13"/>
    </row>
    <row r="284" spans="1:46" x14ac:dyDescent="0.25">
      <c r="A284" s="12">
        <v>277</v>
      </c>
      <c r="B284" s="60" t="s">
        <v>296</v>
      </c>
      <c r="C284" s="53">
        <v>10118</v>
      </c>
      <c r="D284" s="38" t="s">
        <v>263</v>
      </c>
      <c r="E284" s="38" t="s">
        <v>69</v>
      </c>
      <c r="F284" s="37" t="s">
        <v>284</v>
      </c>
      <c r="G284" s="4">
        <v>31816</v>
      </c>
      <c r="H284" s="4"/>
      <c r="I284" s="4"/>
      <c r="J284" s="4">
        <v>3896</v>
      </c>
      <c r="K284" s="4">
        <v>3896</v>
      </c>
      <c r="L284" s="11">
        <f t="shared" si="31"/>
        <v>389584</v>
      </c>
      <c r="M284" s="69">
        <v>6480</v>
      </c>
      <c r="N284" s="71">
        <v>6180</v>
      </c>
      <c r="O284" s="71">
        <v>2070</v>
      </c>
      <c r="P284" s="71">
        <v>9120</v>
      </c>
      <c r="Q284" s="71">
        <f>VLOOKUP(C284,Incentives!C278:K617,9,FALSE)</f>
        <v>12650</v>
      </c>
      <c r="R284" s="71">
        <v>10830</v>
      </c>
      <c r="S284" s="13">
        <v>8400</v>
      </c>
      <c r="T284" s="13">
        <v>8330</v>
      </c>
      <c r="U284" s="13"/>
      <c r="V284" s="13"/>
      <c r="Y284" s="71">
        <v>0</v>
      </c>
      <c r="Z284" s="71">
        <v>0</v>
      </c>
      <c r="AA284" s="71">
        <v>0</v>
      </c>
      <c r="AB284" s="71">
        <v>0</v>
      </c>
      <c r="AC284" s="71">
        <v>0</v>
      </c>
      <c r="AD284" s="71">
        <v>0</v>
      </c>
      <c r="AE284" s="13">
        <v>0</v>
      </c>
      <c r="AF284" s="13">
        <v>0</v>
      </c>
      <c r="AI284" s="20"/>
      <c r="AJ284" s="13"/>
      <c r="AK284" s="11">
        <f t="shared" si="32"/>
        <v>453644</v>
      </c>
      <c r="AL284" s="11">
        <f t="shared" si="28"/>
        <v>37803.666666666664</v>
      </c>
      <c r="AM284" s="11">
        <f t="shared" si="33"/>
        <v>0</v>
      </c>
      <c r="AN284" s="11">
        <f>VLOOKUP(C284,'Paid Tax'!B279:M640,12,FALSE)</f>
        <v>0</v>
      </c>
      <c r="AO284" s="11">
        <f t="shared" si="29"/>
        <v>0</v>
      </c>
      <c r="AP284" s="13">
        <v>5</v>
      </c>
      <c r="AQ284" s="16">
        <f t="shared" si="30"/>
        <v>0</v>
      </c>
      <c r="AS284" s="11">
        <f t="shared" si="34"/>
        <v>0</v>
      </c>
      <c r="AT284" s="13"/>
    </row>
    <row r="285" spans="1:46" s="13" customFormat="1" x14ac:dyDescent="0.25">
      <c r="A285" s="12">
        <v>278</v>
      </c>
      <c r="B285" s="60" t="s">
        <v>296</v>
      </c>
      <c r="C285" s="53">
        <v>10119</v>
      </c>
      <c r="D285" s="38" t="s">
        <v>264</v>
      </c>
      <c r="E285" s="38" t="s">
        <v>69</v>
      </c>
      <c r="F285" s="37" t="s">
        <v>284</v>
      </c>
      <c r="G285" s="4">
        <v>29047</v>
      </c>
      <c r="H285" s="4"/>
      <c r="I285" s="4"/>
      <c r="J285" s="4">
        <v>3764.15</v>
      </c>
      <c r="K285" s="4">
        <v>3764.15</v>
      </c>
      <c r="L285" s="11">
        <f t="shared" si="31"/>
        <v>356092.30000000005</v>
      </c>
      <c r="M285" s="69">
        <v>1650</v>
      </c>
      <c r="N285" s="71">
        <v>2340</v>
      </c>
      <c r="O285" s="71">
        <v>1710</v>
      </c>
      <c r="P285" s="71">
        <v>1770</v>
      </c>
      <c r="Q285" s="71">
        <f>VLOOKUP(C285,Incentives!C279:K618,9,FALSE)</f>
        <v>1380</v>
      </c>
      <c r="R285" s="71">
        <v>1980</v>
      </c>
      <c r="S285" s="13">
        <v>1770</v>
      </c>
      <c r="T285" s="13">
        <v>1440</v>
      </c>
      <c r="Y285" s="71">
        <v>0</v>
      </c>
      <c r="Z285" s="71">
        <v>2750</v>
      </c>
      <c r="AA285" s="71">
        <v>0</v>
      </c>
      <c r="AB285" s="71">
        <v>0</v>
      </c>
      <c r="AC285" s="71">
        <v>0</v>
      </c>
      <c r="AD285" s="71">
        <v>0</v>
      </c>
      <c r="AE285" s="13">
        <v>0</v>
      </c>
      <c r="AF285" s="13">
        <v>0</v>
      </c>
      <c r="AI285" s="20"/>
      <c r="AK285" s="11">
        <f t="shared" si="32"/>
        <v>372882.30000000005</v>
      </c>
      <c r="AL285" s="11">
        <f t="shared" si="28"/>
        <v>31073.525000000005</v>
      </c>
      <c r="AM285" s="11">
        <f t="shared" si="33"/>
        <v>0</v>
      </c>
      <c r="AN285" s="11">
        <f>VLOOKUP(C285,'Paid Tax'!B280:M641,12,FALSE)</f>
        <v>0</v>
      </c>
      <c r="AO285" s="11">
        <f t="shared" si="29"/>
        <v>0</v>
      </c>
      <c r="AP285" s="13">
        <v>5</v>
      </c>
      <c r="AQ285" s="16">
        <f t="shared" si="30"/>
        <v>0</v>
      </c>
      <c r="AS285" s="11">
        <f t="shared" si="34"/>
        <v>0</v>
      </c>
    </row>
    <row r="286" spans="1:46" s="13" customFormat="1" x14ac:dyDescent="0.25">
      <c r="A286" s="12">
        <v>279</v>
      </c>
      <c r="B286" s="60" t="s">
        <v>295</v>
      </c>
      <c r="C286" s="53">
        <v>10120</v>
      </c>
      <c r="D286" s="38" t="s">
        <v>265</v>
      </c>
      <c r="E286" s="38" t="s">
        <v>69</v>
      </c>
      <c r="F286" s="37" t="s">
        <v>284</v>
      </c>
      <c r="G286" s="4">
        <v>29406</v>
      </c>
      <c r="H286" s="4"/>
      <c r="I286" s="4"/>
      <c r="J286" s="4">
        <v>3066.9500000000003</v>
      </c>
      <c r="K286" s="4">
        <v>3066.9500000000003</v>
      </c>
      <c r="L286" s="11">
        <f t="shared" si="31"/>
        <v>359005.9</v>
      </c>
      <c r="M286" s="69">
        <v>0</v>
      </c>
      <c r="N286" s="71">
        <v>0</v>
      </c>
      <c r="O286" s="71">
        <v>0</v>
      </c>
      <c r="P286" s="71">
        <v>0</v>
      </c>
      <c r="Q286" s="71">
        <f>VLOOKUP(C286,Incentives!C280:K619,9,FALSE)</f>
        <v>0</v>
      </c>
      <c r="R286" s="71">
        <v>0</v>
      </c>
      <c r="S286" s="13">
        <v>0</v>
      </c>
      <c r="T286" s="13">
        <v>0</v>
      </c>
      <c r="Y286" s="71">
        <v>0</v>
      </c>
      <c r="Z286" s="71">
        <v>0</v>
      </c>
      <c r="AA286" s="71">
        <v>0</v>
      </c>
      <c r="AB286" s="71">
        <v>0</v>
      </c>
      <c r="AC286" s="71">
        <v>0</v>
      </c>
      <c r="AD286" s="71">
        <v>0</v>
      </c>
      <c r="AE286" s="13">
        <v>0</v>
      </c>
      <c r="AF286" s="13">
        <v>0</v>
      </c>
      <c r="AI286" s="22"/>
      <c r="AJ286" s="18"/>
      <c r="AK286" s="11">
        <f t="shared" si="32"/>
        <v>359005.9</v>
      </c>
      <c r="AL286" s="11">
        <f t="shared" si="28"/>
        <v>29917.158333333336</v>
      </c>
      <c r="AM286" s="11">
        <f t="shared" si="33"/>
        <v>0</v>
      </c>
      <c r="AN286" s="11">
        <f>VLOOKUP(C286,'Paid Tax'!B281:M642,12,FALSE)</f>
        <v>0</v>
      </c>
      <c r="AO286" s="11">
        <f t="shared" si="29"/>
        <v>0</v>
      </c>
      <c r="AP286" s="13">
        <v>5</v>
      </c>
      <c r="AQ286" s="16">
        <f t="shared" si="30"/>
        <v>0</v>
      </c>
      <c r="AS286" s="11">
        <f t="shared" si="34"/>
        <v>0</v>
      </c>
    </row>
    <row r="287" spans="1:46" s="13" customFormat="1" x14ac:dyDescent="0.25">
      <c r="A287" s="12">
        <v>280</v>
      </c>
      <c r="B287" s="60" t="s">
        <v>295</v>
      </c>
      <c r="C287" s="53">
        <v>10557</v>
      </c>
      <c r="D287" s="38" t="s">
        <v>330</v>
      </c>
      <c r="E287" s="38" t="s">
        <v>69</v>
      </c>
      <c r="F287" s="37" t="s">
        <v>284</v>
      </c>
      <c r="G287" s="4">
        <v>28500</v>
      </c>
      <c r="H287" s="4">
        <f>3500*10</f>
        <v>35000</v>
      </c>
      <c r="I287" s="4"/>
      <c r="J287" s="4">
        <v>0</v>
      </c>
      <c r="K287" s="4">
        <v>0</v>
      </c>
      <c r="L287" s="11">
        <f t="shared" si="31"/>
        <v>377000</v>
      </c>
      <c r="M287" s="69">
        <v>4900</v>
      </c>
      <c r="N287" s="71">
        <v>1950</v>
      </c>
      <c r="O287" s="71">
        <v>1770</v>
      </c>
      <c r="P287" s="71">
        <v>1560</v>
      </c>
      <c r="Q287" s="71">
        <f>VLOOKUP(C287,Incentives!C281:K620,9,FALSE)</f>
        <v>1830</v>
      </c>
      <c r="R287" s="71">
        <v>1440</v>
      </c>
      <c r="S287" s="13">
        <v>1410</v>
      </c>
      <c r="T287" s="13">
        <v>1590</v>
      </c>
      <c r="Y287" s="71">
        <v>0</v>
      </c>
      <c r="Z287" s="71">
        <v>0</v>
      </c>
      <c r="AA287" s="71">
        <v>0</v>
      </c>
      <c r="AB287" s="71">
        <v>0</v>
      </c>
      <c r="AC287" s="71">
        <v>0</v>
      </c>
      <c r="AD287" s="71">
        <v>0</v>
      </c>
      <c r="AE287" s="13">
        <v>0</v>
      </c>
      <c r="AF287" s="13">
        <v>0</v>
      </c>
      <c r="AI287" s="20"/>
      <c r="AK287" s="11">
        <f t="shared" si="32"/>
        <v>393450</v>
      </c>
      <c r="AL287" s="11">
        <f t="shared" si="28"/>
        <v>32787.5</v>
      </c>
      <c r="AM287" s="11">
        <f t="shared" si="33"/>
        <v>0</v>
      </c>
      <c r="AN287" s="11">
        <f>VLOOKUP(C287,'Paid Tax'!B282:M643,12,FALSE)</f>
        <v>0</v>
      </c>
      <c r="AO287" s="11">
        <f t="shared" si="29"/>
        <v>0</v>
      </c>
      <c r="AP287" s="13">
        <v>5</v>
      </c>
      <c r="AQ287" s="16">
        <f t="shared" si="30"/>
        <v>0</v>
      </c>
      <c r="AS287" s="11">
        <f t="shared" si="34"/>
        <v>0</v>
      </c>
    </row>
    <row r="288" spans="1:46" s="13" customFormat="1" x14ac:dyDescent="0.25">
      <c r="A288" s="12">
        <v>281</v>
      </c>
      <c r="B288" s="60" t="s">
        <v>297</v>
      </c>
      <c r="C288" s="53">
        <v>10122</v>
      </c>
      <c r="D288" s="38" t="s">
        <v>266</v>
      </c>
      <c r="E288" s="38" t="s">
        <v>69</v>
      </c>
      <c r="F288" s="37" t="s">
        <v>284</v>
      </c>
      <c r="G288" s="4">
        <v>30065</v>
      </c>
      <c r="H288" s="4"/>
      <c r="I288" s="4"/>
      <c r="J288" s="4">
        <v>3812.6000000000004</v>
      </c>
      <c r="K288" s="4">
        <v>3812.6000000000004</v>
      </c>
      <c r="L288" s="11">
        <f t="shared" si="31"/>
        <v>368405.19999999995</v>
      </c>
      <c r="M288" s="69">
        <v>1500</v>
      </c>
      <c r="N288" s="71">
        <v>3320</v>
      </c>
      <c r="O288" s="71">
        <v>1000</v>
      </c>
      <c r="P288" s="71">
        <v>0</v>
      </c>
      <c r="Q288" s="71">
        <f>VLOOKUP(C288,Incentives!C282:K621,9,FALSE)</f>
        <v>0</v>
      </c>
      <c r="R288" s="71">
        <v>0</v>
      </c>
      <c r="S288" s="13">
        <v>0</v>
      </c>
      <c r="T288" s="13">
        <v>0</v>
      </c>
      <c r="Y288" s="71">
        <v>0</v>
      </c>
      <c r="Z288" s="71">
        <v>0</v>
      </c>
      <c r="AA288" s="71">
        <v>0</v>
      </c>
      <c r="AB288" s="71">
        <v>0</v>
      </c>
      <c r="AC288" s="71">
        <v>0</v>
      </c>
      <c r="AD288" s="71">
        <v>0</v>
      </c>
      <c r="AE288" s="13">
        <v>0</v>
      </c>
      <c r="AF288" s="13">
        <v>0</v>
      </c>
      <c r="AI288" s="22"/>
      <c r="AJ288" s="18"/>
      <c r="AK288" s="11">
        <f t="shared" si="32"/>
        <v>374225.19999999995</v>
      </c>
      <c r="AL288" s="11">
        <f t="shared" si="28"/>
        <v>31185.433333333331</v>
      </c>
      <c r="AM288" s="11">
        <f t="shared" si="33"/>
        <v>0</v>
      </c>
      <c r="AN288" s="11">
        <f>VLOOKUP(C288,'Paid Tax'!B283:M644,12,FALSE)</f>
        <v>0</v>
      </c>
      <c r="AO288" s="11">
        <f t="shared" si="29"/>
        <v>0</v>
      </c>
      <c r="AP288" s="13">
        <v>5</v>
      </c>
      <c r="AQ288" s="16">
        <f t="shared" si="30"/>
        <v>0</v>
      </c>
      <c r="AS288" s="11">
        <f t="shared" si="34"/>
        <v>0</v>
      </c>
    </row>
    <row r="289" spans="1:47" s="13" customFormat="1" x14ac:dyDescent="0.25">
      <c r="A289" s="12">
        <v>282</v>
      </c>
      <c r="B289" s="60" t="s">
        <v>295</v>
      </c>
      <c r="C289" s="53">
        <v>10124</v>
      </c>
      <c r="D289" s="38" t="s">
        <v>267</v>
      </c>
      <c r="E289" s="38" t="s">
        <v>69</v>
      </c>
      <c r="F289" s="37" t="s">
        <v>284</v>
      </c>
      <c r="G289" s="4">
        <v>31760</v>
      </c>
      <c r="H289" s="4"/>
      <c r="I289" s="4"/>
      <c r="J289" s="4">
        <v>3893.3500000000004</v>
      </c>
      <c r="K289" s="4">
        <v>3893.3500000000004</v>
      </c>
      <c r="L289" s="11">
        <f t="shared" si="31"/>
        <v>388906.69999999995</v>
      </c>
      <c r="M289" s="69">
        <v>1830</v>
      </c>
      <c r="N289" s="71">
        <v>1710</v>
      </c>
      <c r="O289" s="71">
        <v>0</v>
      </c>
      <c r="P289" s="71">
        <v>0</v>
      </c>
      <c r="Q289" s="71">
        <f>VLOOKUP(C289,Incentives!C283:K622,9,FALSE)</f>
        <v>1200</v>
      </c>
      <c r="R289" s="71">
        <v>1200</v>
      </c>
      <c r="S289" s="13">
        <v>1410</v>
      </c>
      <c r="T289" s="13">
        <v>1590</v>
      </c>
      <c r="Y289" s="71">
        <v>0</v>
      </c>
      <c r="Z289" s="71">
        <v>0</v>
      </c>
      <c r="AA289" s="71">
        <v>0</v>
      </c>
      <c r="AB289" s="71">
        <v>0</v>
      </c>
      <c r="AC289" s="71">
        <v>0</v>
      </c>
      <c r="AD289" s="71">
        <v>0</v>
      </c>
      <c r="AE289" s="13">
        <v>0</v>
      </c>
      <c r="AF289" s="13">
        <v>0</v>
      </c>
      <c r="AI289" s="22"/>
      <c r="AJ289" s="18"/>
      <c r="AK289" s="11">
        <f t="shared" si="32"/>
        <v>397846.69999999995</v>
      </c>
      <c r="AL289" s="11">
        <f t="shared" si="28"/>
        <v>33153.891666666663</v>
      </c>
      <c r="AM289" s="11">
        <f t="shared" si="33"/>
        <v>0</v>
      </c>
      <c r="AN289" s="11">
        <f>VLOOKUP(C289,'Paid Tax'!B284:M645,12,FALSE)</f>
        <v>0</v>
      </c>
      <c r="AO289" s="11">
        <f t="shared" si="29"/>
        <v>0</v>
      </c>
      <c r="AP289" s="13">
        <v>5</v>
      </c>
      <c r="AQ289" s="16">
        <f t="shared" si="30"/>
        <v>0</v>
      </c>
      <c r="AS289" s="11">
        <f t="shared" si="34"/>
        <v>0</v>
      </c>
    </row>
    <row r="290" spans="1:47" s="13" customFormat="1" x14ac:dyDescent="0.25">
      <c r="A290" s="12">
        <v>283</v>
      </c>
      <c r="B290" s="60" t="s">
        <v>293</v>
      </c>
      <c r="C290" s="53">
        <v>10427</v>
      </c>
      <c r="D290" s="38" t="s">
        <v>268</v>
      </c>
      <c r="E290" s="38" t="s">
        <v>69</v>
      </c>
      <c r="F290" s="37" t="s">
        <v>284</v>
      </c>
      <c r="G290" s="4">
        <v>30100</v>
      </c>
      <c r="H290" s="4"/>
      <c r="I290" s="4"/>
      <c r="J290" s="4">
        <v>3100</v>
      </c>
      <c r="K290" s="4">
        <v>3100</v>
      </c>
      <c r="L290" s="11">
        <f t="shared" si="31"/>
        <v>367400</v>
      </c>
      <c r="M290" s="69">
        <v>1500</v>
      </c>
      <c r="N290" s="71">
        <v>0</v>
      </c>
      <c r="O290" s="71">
        <v>0</v>
      </c>
      <c r="P290" s="71">
        <v>0</v>
      </c>
      <c r="Q290" s="71">
        <f>VLOOKUP(C290,Incentives!C284:K623,9,FALSE)</f>
        <v>1830</v>
      </c>
      <c r="R290" s="71">
        <v>1560</v>
      </c>
      <c r="S290" s="13">
        <v>1080</v>
      </c>
      <c r="T290" s="13">
        <v>1290</v>
      </c>
      <c r="Y290" s="71">
        <v>0</v>
      </c>
      <c r="Z290" s="71">
        <v>0</v>
      </c>
      <c r="AA290" s="71">
        <v>0</v>
      </c>
      <c r="AB290" s="71">
        <v>0</v>
      </c>
      <c r="AC290" s="71">
        <v>0</v>
      </c>
      <c r="AD290" s="71">
        <v>0</v>
      </c>
      <c r="AE290" s="13">
        <v>0</v>
      </c>
      <c r="AF290" s="13">
        <v>0</v>
      </c>
      <c r="AI290" s="20"/>
      <c r="AK290" s="11">
        <f t="shared" si="32"/>
        <v>374660</v>
      </c>
      <c r="AL290" s="11">
        <f t="shared" si="28"/>
        <v>31221.666666666668</v>
      </c>
      <c r="AM290" s="11">
        <f t="shared" si="33"/>
        <v>0</v>
      </c>
      <c r="AN290" s="11">
        <f>VLOOKUP(C290,'Paid Tax'!B285:M646,12,FALSE)</f>
        <v>0</v>
      </c>
      <c r="AO290" s="11">
        <f t="shared" si="29"/>
        <v>0</v>
      </c>
      <c r="AP290" s="13">
        <v>5</v>
      </c>
      <c r="AQ290" s="16">
        <f t="shared" si="30"/>
        <v>0</v>
      </c>
      <c r="AS290" s="11">
        <f t="shared" si="34"/>
        <v>0</v>
      </c>
    </row>
    <row r="291" spans="1:47" s="13" customFormat="1" x14ac:dyDescent="0.25">
      <c r="A291" s="12">
        <v>284</v>
      </c>
      <c r="B291" s="60" t="s">
        <v>293</v>
      </c>
      <c r="C291" s="53">
        <v>10126</v>
      </c>
      <c r="D291" s="38" t="s">
        <v>269</v>
      </c>
      <c r="E291" s="38" t="s">
        <v>69</v>
      </c>
      <c r="F291" s="37" t="s">
        <v>284</v>
      </c>
      <c r="G291" s="4">
        <v>30497</v>
      </c>
      <c r="H291" s="4"/>
      <c r="I291" s="4"/>
      <c r="J291" s="4">
        <v>3118.9</v>
      </c>
      <c r="K291" s="4">
        <v>3118.9</v>
      </c>
      <c r="L291" s="11">
        <f t="shared" si="31"/>
        <v>372201.80000000005</v>
      </c>
      <c r="M291" s="69">
        <v>0</v>
      </c>
      <c r="N291" s="71">
        <v>0</v>
      </c>
      <c r="O291" s="71">
        <v>0</v>
      </c>
      <c r="P291" s="71">
        <v>0</v>
      </c>
      <c r="Q291" s="71">
        <f>VLOOKUP(C291,Incentives!C285:K624,9,FALSE)</f>
        <v>1020</v>
      </c>
      <c r="R291" s="71">
        <v>900</v>
      </c>
      <c r="S291" s="13">
        <v>1200</v>
      </c>
      <c r="T291" s="13">
        <v>1080</v>
      </c>
      <c r="Y291" s="71">
        <v>0</v>
      </c>
      <c r="Z291" s="71">
        <v>0</v>
      </c>
      <c r="AA291" s="71">
        <v>0</v>
      </c>
      <c r="AB291" s="71">
        <v>0</v>
      </c>
      <c r="AC291" s="71">
        <v>0</v>
      </c>
      <c r="AD291" s="71">
        <v>0</v>
      </c>
      <c r="AE291" s="13">
        <v>0</v>
      </c>
      <c r="AF291" s="13">
        <v>0</v>
      </c>
      <c r="AI291" s="20"/>
      <c r="AK291" s="11">
        <f t="shared" si="32"/>
        <v>376401.80000000005</v>
      </c>
      <c r="AL291" s="11">
        <f t="shared" si="28"/>
        <v>31366.816666666669</v>
      </c>
      <c r="AM291" s="11">
        <f t="shared" si="33"/>
        <v>0</v>
      </c>
      <c r="AN291" s="11">
        <f>VLOOKUP(C291,'Paid Tax'!B286:M647,12,FALSE)</f>
        <v>0</v>
      </c>
      <c r="AO291" s="11">
        <f t="shared" si="29"/>
        <v>0</v>
      </c>
      <c r="AP291" s="13">
        <v>5</v>
      </c>
      <c r="AQ291" s="16">
        <f t="shared" si="30"/>
        <v>0</v>
      </c>
      <c r="AS291" s="11">
        <f t="shared" si="34"/>
        <v>0</v>
      </c>
    </row>
    <row r="292" spans="1:47" s="13" customFormat="1" x14ac:dyDescent="0.25">
      <c r="A292" s="12">
        <v>285</v>
      </c>
      <c r="B292" s="60" t="s">
        <v>294</v>
      </c>
      <c r="C292" s="53">
        <v>10155</v>
      </c>
      <c r="D292" s="38" t="s">
        <v>270</v>
      </c>
      <c r="E292" s="38" t="s">
        <v>69</v>
      </c>
      <c r="F292" s="37" t="s">
        <v>284</v>
      </c>
      <c r="G292" s="4">
        <v>28096</v>
      </c>
      <c r="H292" s="4"/>
      <c r="I292" s="4"/>
      <c r="J292" s="4">
        <v>3004.55</v>
      </c>
      <c r="K292" s="4">
        <v>3004.55</v>
      </c>
      <c r="L292" s="11">
        <f t="shared" si="31"/>
        <v>343161.1</v>
      </c>
      <c r="M292" s="69">
        <v>0</v>
      </c>
      <c r="N292" s="71">
        <v>0</v>
      </c>
      <c r="O292" s="71">
        <v>0</v>
      </c>
      <c r="P292" s="71">
        <v>0</v>
      </c>
      <c r="Q292" s="71">
        <f>VLOOKUP(C292,Incentives!C286:K625,9,FALSE)</f>
        <v>0</v>
      </c>
      <c r="R292" s="71">
        <v>0</v>
      </c>
      <c r="S292" s="13">
        <v>0</v>
      </c>
      <c r="T292" s="13">
        <v>0</v>
      </c>
      <c r="Y292" s="71">
        <v>0</v>
      </c>
      <c r="Z292" s="71">
        <v>0</v>
      </c>
      <c r="AA292" s="71">
        <v>0</v>
      </c>
      <c r="AB292" s="71">
        <v>0</v>
      </c>
      <c r="AC292" s="71">
        <v>0</v>
      </c>
      <c r="AD292" s="71">
        <v>0</v>
      </c>
      <c r="AE292" s="13">
        <v>0</v>
      </c>
      <c r="AF292" s="13">
        <v>0</v>
      </c>
      <c r="AI292" s="20"/>
      <c r="AK292" s="11">
        <f t="shared" si="32"/>
        <v>343161.1</v>
      </c>
      <c r="AL292" s="11">
        <f t="shared" si="28"/>
        <v>28596.758333333331</v>
      </c>
      <c r="AM292" s="11">
        <f t="shared" si="33"/>
        <v>0</v>
      </c>
      <c r="AN292" s="11">
        <f>VLOOKUP(C292,'Paid Tax'!B287:M648,12,FALSE)</f>
        <v>0</v>
      </c>
      <c r="AO292" s="11">
        <f t="shared" si="29"/>
        <v>0</v>
      </c>
      <c r="AP292" s="13">
        <v>5</v>
      </c>
      <c r="AQ292" s="16">
        <f t="shared" si="30"/>
        <v>0</v>
      </c>
      <c r="AS292" s="11">
        <f t="shared" si="34"/>
        <v>0</v>
      </c>
    </row>
    <row r="293" spans="1:47" s="13" customFormat="1" x14ac:dyDescent="0.25">
      <c r="A293" s="12">
        <v>286</v>
      </c>
      <c r="B293" s="60" t="s">
        <v>294</v>
      </c>
      <c r="C293" s="53">
        <v>10128</v>
      </c>
      <c r="D293" s="38" t="s">
        <v>271</v>
      </c>
      <c r="E293" s="38" t="s">
        <v>69</v>
      </c>
      <c r="F293" s="37" t="s">
        <v>284</v>
      </c>
      <c r="G293" s="4">
        <v>30427</v>
      </c>
      <c r="H293" s="4"/>
      <c r="I293" s="4"/>
      <c r="J293" s="4">
        <v>3115.55</v>
      </c>
      <c r="K293" s="4">
        <v>3115.55</v>
      </c>
      <c r="L293" s="11">
        <f t="shared" si="31"/>
        <v>371355.1</v>
      </c>
      <c r="M293" s="69">
        <v>0</v>
      </c>
      <c r="N293" s="71">
        <v>0</v>
      </c>
      <c r="O293" s="71">
        <v>0</v>
      </c>
      <c r="P293" s="71">
        <v>0</v>
      </c>
      <c r="Q293" s="71">
        <f>VLOOKUP(C293,Incentives!C287:K626,9,FALSE)</f>
        <v>0</v>
      </c>
      <c r="R293" s="71">
        <v>0</v>
      </c>
      <c r="S293" s="13">
        <v>0</v>
      </c>
      <c r="T293" s="13">
        <v>0</v>
      </c>
      <c r="Y293" s="71">
        <v>0</v>
      </c>
      <c r="Z293" s="71">
        <v>0</v>
      </c>
      <c r="AA293" s="71">
        <v>0</v>
      </c>
      <c r="AB293" s="71">
        <v>0</v>
      </c>
      <c r="AC293" s="71">
        <v>0</v>
      </c>
      <c r="AD293" s="71">
        <v>0</v>
      </c>
      <c r="AE293" s="13">
        <v>0</v>
      </c>
      <c r="AF293" s="13">
        <v>0</v>
      </c>
      <c r="AI293" s="20"/>
      <c r="AK293" s="11">
        <f t="shared" si="32"/>
        <v>371355.1</v>
      </c>
      <c r="AL293" s="11">
        <f t="shared" si="28"/>
        <v>30946.258333333331</v>
      </c>
      <c r="AM293" s="11">
        <f t="shared" si="33"/>
        <v>0</v>
      </c>
      <c r="AN293" s="11">
        <f>VLOOKUP(C293,'Paid Tax'!B288:M649,12,FALSE)</f>
        <v>0</v>
      </c>
      <c r="AO293" s="11">
        <f t="shared" si="29"/>
        <v>0</v>
      </c>
      <c r="AP293" s="13">
        <v>5</v>
      </c>
      <c r="AQ293" s="16">
        <f t="shared" si="30"/>
        <v>0</v>
      </c>
      <c r="AS293" s="11">
        <f t="shared" si="34"/>
        <v>0</v>
      </c>
    </row>
    <row r="294" spans="1:47" s="13" customFormat="1" x14ac:dyDescent="0.25">
      <c r="A294" s="12">
        <v>287</v>
      </c>
      <c r="B294" s="60" t="s">
        <v>296</v>
      </c>
      <c r="C294" s="53">
        <v>10129</v>
      </c>
      <c r="D294" s="38" t="s">
        <v>272</v>
      </c>
      <c r="E294" s="38" t="s">
        <v>69</v>
      </c>
      <c r="F294" s="37" t="s">
        <v>284</v>
      </c>
      <c r="G294" s="4">
        <v>31702</v>
      </c>
      <c r="H294" s="4"/>
      <c r="I294" s="4"/>
      <c r="J294" s="4">
        <v>3890.55</v>
      </c>
      <c r="K294" s="4">
        <v>3890.55</v>
      </c>
      <c r="L294" s="11">
        <f t="shared" si="31"/>
        <v>388205.1</v>
      </c>
      <c r="M294" s="69">
        <v>1620</v>
      </c>
      <c r="N294" s="71">
        <v>1770</v>
      </c>
      <c r="O294" s="71">
        <v>0</v>
      </c>
      <c r="P294" s="71">
        <v>0</v>
      </c>
      <c r="Q294" s="71">
        <f>VLOOKUP(C294,Incentives!C288:K627,9,FALSE)</f>
        <v>0</v>
      </c>
      <c r="R294" s="71">
        <v>0</v>
      </c>
      <c r="S294" s="13">
        <v>0</v>
      </c>
      <c r="T294" s="13">
        <v>0</v>
      </c>
      <c r="Y294" s="71">
        <v>0</v>
      </c>
      <c r="Z294" s="71">
        <v>0</v>
      </c>
      <c r="AA294" s="71">
        <v>0</v>
      </c>
      <c r="AB294" s="71">
        <v>0</v>
      </c>
      <c r="AC294" s="71">
        <v>0</v>
      </c>
      <c r="AD294" s="71">
        <v>0</v>
      </c>
      <c r="AE294" s="13">
        <v>0</v>
      </c>
      <c r="AF294" s="13">
        <v>0</v>
      </c>
      <c r="AI294" s="20"/>
      <c r="AK294" s="11">
        <f t="shared" si="32"/>
        <v>391595.1</v>
      </c>
      <c r="AL294" s="11">
        <f t="shared" si="28"/>
        <v>32632.924999999999</v>
      </c>
      <c r="AM294" s="11">
        <f t="shared" si="33"/>
        <v>0</v>
      </c>
      <c r="AN294" s="11">
        <f>VLOOKUP(C294,'Paid Tax'!B289:M650,12,FALSE)</f>
        <v>0</v>
      </c>
      <c r="AO294" s="11">
        <f t="shared" si="29"/>
        <v>0</v>
      </c>
      <c r="AP294" s="13">
        <v>5</v>
      </c>
      <c r="AQ294" s="16">
        <f t="shared" si="30"/>
        <v>0</v>
      </c>
      <c r="AS294" s="11">
        <f t="shared" si="34"/>
        <v>0</v>
      </c>
    </row>
    <row r="295" spans="1:47" s="13" customFormat="1" x14ac:dyDescent="0.25">
      <c r="A295" s="12">
        <v>288</v>
      </c>
      <c r="B295" s="60" t="s">
        <v>293</v>
      </c>
      <c r="C295" s="53">
        <v>10643</v>
      </c>
      <c r="D295" s="38" t="s">
        <v>394</v>
      </c>
      <c r="E295" s="38" t="s">
        <v>553</v>
      </c>
      <c r="F295" s="37" t="s">
        <v>283</v>
      </c>
      <c r="G295" s="4">
        <v>45000</v>
      </c>
      <c r="H295" s="4"/>
      <c r="I295" s="4"/>
      <c r="J295" s="4"/>
      <c r="K295" s="4"/>
      <c r="L295" s="11">
        <f t="shared" si="31"/>
        <v>540000</v>
      </c>
      <c r="M295" s="71"/>
      <c r="N295" s="71">
        <v>0</v>
      </c>
      <c r="O295" s="71">
        <v>0</v>
      </c>
      <c r="P295" s="71">
        <v>0</v>
      </c>
      <c r="Q295" s="71">
        <f>VLOOKUP(C295,Incentives!C289:K628,9,FALSE)</f>
        <v>0</v>
      </c>
      <c r="R295" s="71">
        <v>0</v>
      </c>
      <c r="S295" s="13">
        <v>0</v>
      </c>
      <c r="T295" s="13">
        <v>0</v>
      </c>
      <c r="Y295" s="71">
        <v>0</v>
      </c>
      <c r="Z295" s="71">
        <v>0</v>
      </c>
      <c r="AA295" s="71">
        <v>0</v>
      </c>
      <c r="AB295" s="71">
        <v>0</v>
      </c>
      <c r="AC295" s="71">
        <v>0</v>
      </c>
      <c r="AD295" s="71">
        <v>0</v>
      </c>
      <c r="AE295" s="13">
        <v>0</v>
      </c>
      <c r="AF295" s="13">
        <v>0</v>
      </c>
      <c r="AI295" s="20"/>
      <c r="AK295" s="11">
        <f t="shared" ref="AK295:AK299" si="35">SUM(L295:AJ295)</f>
        <v>540000</v>
      </c>
      <c r="AL295" s="11">
        <f t="shared" ref="AL295:AL299" si="36">AK295/12</f>
        <v>45000</v>
      </c>
      <c r="AM295" s="11">
        <f t="shared" si="33"/>
        <v>0</v>
      </c>
      <c r="AN295" s="11">
        <f>VLOOKUP(C295,'Paid Tax'!B290:M651,12,FALSE)</f>
        <v>0</v>
      </c>
      <c r="AO295" s="11">
        <f t="shared" si="29"/>
        <v>0</v>
      </c>
      <c r="AP295" s="13">
        <v>5</v>
      </c>
      <c r="AQ295" s="16">
        <f t="shared" ref="AQ295:AQ299" si="37">+AO295/AP295</f>
        <v>0</v>
      </c>
      <c r="AS295" s="11">
        <f t="shared" si="34"/>
        <v>0</v>
      </c>
    </row>
    <row r="296" spans="1:47" s="13" customFormat="1" x14ac:dyDescent="0.25">
      <c r="A296" s="12">
        <v>289</v>
      </c>
      <c r="B296" s="60" t="s">
        <v>293</v>
      </c>
      <c r="C296" s="53">
        <v>10645</v>
      </c>
      <c r="D296" s="38" t="s">
        <v>550</v>
      </c>
      <c r="E296" s="38" t="s">
        <v>69</v>
      </c>
      <c r="F296" s="37" t="s">
        <v>284</v>
      </c>
      <c r="G296" s="4">
        <v>32000</v>
      </c>
      <c r="H296" s="4">
        <f>5000*9</f>
        <v>45000</v>
      </c>
      <c r="I296" s="4"/>
      <c r="J296" s="4"/>
      <c r="K296" s="4"/>
      <c r="L296" s="11">
        <f t="shared" si="31"/>
        <v>429000</v>
      </c>
      <c r="M296" s="71"/>
      <c r="N296" s="71">
        <v>3280</v>
      </c>
      <c r="O296" s="71">
        <v>6060</v>
      </c>
      <c r="P296" s="71">
        <v>30240</v>
      </c>
      <c r="Q296" s="71">
        <f>VLOOKUP(C296,Incentives!C290:K629,9,FALSE)</f>
        <v>26400</v>
      </c>
      <c r="R296" s="71">
        <v>27040</v>
      </c>
      <c r="S296" s="13">
        <v>43380</v>
      </c>
      <c r="T296" s="13">
        <v>48240</v>
      </c>
      <c r="Y296" s="71">
        <v>0</v>
      </c>
      <c r="Z296" s="71">
        <v>0</v>
      </c>
      <c r="AA296" s="71">
        <v>0</v>
      </c>
      <c r="AB296" s="71">
        <v>0</v>
      </c>
      <c r="AC296" s="71">
        <v>0</v>
      </c>
      <c r="AD296" s="71">
        <v>0</v>
      </c>
      <c r="AE296" s="13">
        <v>15000</v>
      </c>
      <c r="AF296" s="13">
        <v>15000</v>
      </c>
      <c r="AI296" s="20"/>
      <c r="AK296" s="11">
        <f t="shared" si="35"/>
        <v>643640</v>
      </c>
      <c r="AL296" s="11">
        <f t="shared" si="36"/>
        <v>53636.666666666664</v>
      </c>
      <c r="AM296" s="11">
        <f t="shared" si="33"/>
        <v>436.40000000000003</v>
      </c>
      <c r="AN296" s="11">
        <f>VLOOKUP(C296,'Paid Tax'!B291:M652,12,FALSE)</f>
        <v>0</v>
      </c>
      <c r="AO296" s="11">
        <f t="shared" si="29"/>
        <v>436.40000000000003</v>
      </c>
      <c r="AP296" s="13">
        <v>12</v>
      </c>
      <c r="AQ296" s="16">
        <f t="shared" si="37"/>
        <v>36.366666666666667</v>
      </c>
      <c r="AR296" s="97" t="s">
        <v>864</v>
      </c>
      <c r="AS296" s="11">
        <f t="shared" si="34"/>
        <v>-36.366666666666667</v>
      </c>
    </row>
    <row r="297" spans="1:47" s="13" customFormat="1" x14ac:dyDescent="0.25">
      <c r="A297" s="12">
        <v>290</v>
      </c>
      <c r="B297" s="60" t="s">
        <v>293</v>
      </c>
      <c r="C297" s="53">
        <v>10646</v>
      </c>
      <c r="D297" s="38" t="s">
        <v>551</v>
      </c>
      <c r="E297" s="38" t="s">
        <v>554</v>
      </c>
      <c r="F297" s="37" t="s">
        <v>290</v>
      </c>
      <c r="G297" s="4">
        <v>65000</v>
      </c>
      <c r="H297" s="4"/>
      <c r="I297" s="4"/>
      <c r="J297" s="4"/>
      <c r="K297" s="4"/>
      <c r="L297" s="11">
        <f t="shared" si="31"/>
        <v>780000</v>
      </c>
      <c r="M297" s="71"/>
      <c r="N297" s="71">
        <v>0</v>
      </c>
      <c r="O297" s="71">
        <v>0</v>
      </c>
      <c r="P297" s="71">
        <v>0</v>
      </c>
      <c r="Q297" s="71">
        <f>VLOOKUP(C297,Incentives!C291:K630,9,FALSE)</f>
        <v>0</v>
      </c>
      <c r="R297" s="71">
        <v>0</v>
      </c>
      <c r="S297" s="13">
        <v>0</v>
      </c>
      <c r="T297" s="13">
        <v>0</v>
      </c>
      <c r="Y297" s="71">
        <v>0</v>
      </c>
      <c r="Z297" s="71">
        <v>0</v>
      </c>
      <c r="AA297" s="71">
        <v>0</v>
      </c>
      <c r="AB297" s="71">
        <v>0</v>
      </c>
      <c r="AC297" s="71">
        <v>0</v>
      </c>
      <c r="AD297" s="71">
        <v>0</v>
      </c>
      <c r="AE297" s="13">
        <v>0</v>
      </c>
      <c r="AF297" s="13">
        <v>0</v>
      </c>
      <c r="AI297" s="20"/>
      <c r="AK297" s="11">
        <f t="shared" si="35"/>
        <v>780000</v>
      </c>
      <c r="AL297" s="11">
        <f t="shared" si="36"/>
        <v>65000</v>
      </c>
      <c r="AM297" s="11">
        <f t="shared" si="33"/>
        <v>1800</v>
      </c>
      <c r="AN297" s="11">
        <f>VLOOKUP(C297,'Paid Tax'!B292:M653,12,FALSE)</f>
        <v>1050.6136363636376</v>
      </c>
      <c r="AO297" s="11">
        <f t="shared" si="29"/>
        <v>749.38636363636238</v>
      </c>
      <c r="AP297" s="13">
        <v>5</v>
      </c>
      <c r="AQ297" s="16">
        <f t="shared" si="37"/>
        <v>149.87727272727247</v>
      </c>
      <c r="AS297" s="11">
        <f t="shared" si="34"/>
        <v>-149.87727272727247</v>
      </c>
      <c r="AU297" s="13">
        <v>149.87727272727273</v>
      </c>
    </row>
    <row r="298" spans="1:47" s="13" customFormat="1" x14ac:dyDescent="0.25">
      <c r="A298" s="12">
        <v>291</v>
      </c>
      <c r="B298" s="60" t="s">
        <v>293</v>
      </c>
      <c r="C298" s="53">
        <v>10647</v>
      </c>
      <c r="D298" s="38" t="s">
        <v>552</v>
      </c>
      <c r="E298" s="38" t="s">
        <v>149</v>
      </c>
      <c r="F298" s="37" t="s">
        <v>280</v>
      </c>
      <c r="G298" s="4">
        <v>32000</v>
      </c>
      <c r="H298" s="4"/>
      <c r="I298" s="4"/>
      <c r="J298" s="4"/>
      <c r="K298" s="4"/>
      <c r="L298" s="11">
        <f t="shared" si="31"/>
        <v>384000</v>
      </c>
      <c r="M298" s="71"/>
      <c r="N298" s="71">
        <v>0</v>
      </c>
      <c r="O298" s="71">
        <v>0</v>
      </c>
      <c r="P298" s="71">
        <v>0</v>
      </c>
      <c r="Q298" s="71">
        <f>VLOOKUP(C298,Incentives!C292:K631,9,FALSE)</f>
        <v>0</v>
      </c>
      <c r="R298" s="71">
        <v>0</v>
      </c>
      <c r="S298" s="13">
        <v>0</v>
      </c>
      <c r="T298" s="13">
        <v>0</v>
      </c>
      <c r="Y298" s="71">
        <v>0</v>
      </c>
      <c r="Z298" s="71">
        <v>0</v>
      </c>
      <c r="AA298" s="71">
        <v>0</v>
      </c>
      <c r="AB298" s="71">
        <v>0</v>
      </c>
      <c r="AC298" s="71">
        <v>0</v>
      </c>
      <c r="AD298" s="71">
        <v>0</v>
      </c>
      <c r="AE298" s="13">
        <v>0</v>
      </c>
      <c r="AF298" s="13">
        <v>0</v>
      </c>
      <c r="AI298" s="20"/>
      <c r="AK298" s="11">
        <f t="shared" si="35"/>
        <v>384000</v>
      </c>
      <c r="AL298" s="11">
        <f t="shared" si="36"/>
        <v>32000</v>
      </c>
      <c r="AM298" s="11">
        <f t="shared" si="33"/>
        <v>0</v>
      </c>
      <c r="AN298" s="11">
        <f>VLOOKUP(C298,'Paid Tax'!B293:M654,12,FALSE)</f>
        <v>0</v>
      </c>
      <c r="AO298" s="11">
        <f t="shared" si="29"/>
        <v>0</v>
      </c>
      <c r="AP298" s="13">
        <v>5</v>
      </c>
      <c r="AQ298" s="16">
        <f t="shared" si="37"/>
        <v>0</v>
      </c>
      <c r="AS298" s="11">
        <f t="shared" si="34"/>
        <v>0</v>
      </c>
    </row>
    <row r="299" spans="1:47" s="13" customFormat="1" x14ac:dyDescent="0.25">
      <c r="A299" s="12">
        <v>292</v>
      </c>
      <c r="B299" s="60" t="s">
        <v>322</v>
      </c>
      <c r="C299" s="53">
        <v>10644</v>
      </c>
      <c r="D299" s="38" t="s">
        <v>555</v>
      </c>
      <c r="E299" s="38" t="s">
        <v>451</v>
      </c>
      <c r="F299" s="37" t="s">
        <v>284</v>
      </c>
      <c r="G299" s="4">
        <v>35000</v>
      </c>
      <c r="H299" s="4"/>
      <c r="I299" s="4"/>
      <c r="J299" s="4"/>
      <c r="K299" s="4"/>
      <c r="L299" s="11">
        <f t="shared" si="31"/>
        <v>420000</v>
      </c>
      <c r="M299" s="71"/>
      <c r="N299" s="71">
        <v>0</v>
      </c>
      <c r="O299" s="71">
        <v>0</v>
      </c>
      <c r="P299" s="71">
        <v>0</v>
      </c>
      <c r="Q299" s="71">
        <f>VLOOKUP(C299,Incentives!C293:K632,9,FALSE)</f>
        <v>1260</v>
      </c>
      <c r="R299" s="71">
        <v>4740</v>
      </c>
      <c r="S299" s="13">
        <v>1530</v>
      </c>
      <c r="T299" s="13">
        <v>2010</v>
      </c>
      <c r="Y299" s="71">
        <v>0</v>
      </c>
      <c r="Z299" s="71">
        <v>1750</v>
      </c>
      <c r="AA299" s="71">
        <v>0</v>
      </c>
      <c r="AB299" s="71">
        <v>0</v>
      </c>
      <c r="AC299" s="71">
        <v>0</v>
      </c>
      <c r="AD299" s="71">
        <v>0</v>
      </c>
      <c r="AE299" s="13">
        <v>0</v>
      </c>
      <c r="AF299" s="13">
        <v>0</v>
      </c>
      <c r="AI299" s="20"/>
      <c r="AK299" s="11">
        <f t="shared" si="35"/>
        <v>431290</v>
      </c>
      <c r="AL299" s="11">
        <f t="shared" si="36"/>
        <v>35940.833333333336</v>
      </c>
      <c r="AM299" s="11">
        <f t="shared" si="33"/>
        <v>0</v>
      </c>
      <c r="AN299" s="11">
        <f>VLOOKUP(C299,'Paid Tax'!B294:M655,12,FALSE)</f>
        <v>0</v>
      </c>
      <c r="AO299" s="11">
        <f t="shared" si="29"/>
        <v>0</v>
      </c>
      <c r="AP299" s="13">
        <v>5</v>
      </c>
      <c r="AQ299" s="16">
        <f t="shared" si="37"/>
        <v>0</v>
      </c>
      <c r="AS299" s="11">
        <f t="shared" si="34"/>
        <v>0</v>
      </c>
    </row>
    <row r="300" spans="1:47" s="13" customFormat="1" x14ac:dyDescent="0.25">
      <c r="A300" s="12">
        <v>293</v>
      </c>
      <c r="B300" s="60" t="s">
        <v>293</v>
      </c>
      <c r="C300" s="85">
        <v>10390</v>
      </c>
      <c r="D300" s="38" t="s">
        <v>556</v>
      </c>
      <c r="E300" s="38" t="s">
        <v>557</v>
      </c>
      <c r="F300" s="37" t="s">
        <v>291</v>
      </c>
      <c r="G300" s="4">
        <v>70000</v>
      </c>
      <c r="H300" s="4"/>
      <c r="I300" s="4"/>
      <c r="J300" s="4"/>
      <c r="K300" s="4"/>
      <c r="L300" s="11">
        <f t="shared" si="31"/>
        <v>840000</v>
      </c>
      <c r="M300" s="71"/>
      <c r="N300" s="71">
        <v>0</v>
      </c>
      <c r="O300" s="71">
        <v>0</v>
      </c>
      <c r="P300" s="71">
        <v>0</v>
      </c>
      <c r="Q300" s="71">
        <f>VLOOKUP(C300,Incentives!C294:K633,9,FALSE)</f>
        <v>0</v>
      </c>
      <c r="R300" s="71">
        <v>0</v>
      </c>
      <c r="S300" s="13">
        <v>0</v>
      </c>
      <c r="T300" s="13">
        <v>0</v>
      </c>
      <c r="Y300" s="71">
        <v>0</v>
      </c>
      <c r="Z300" s="71">
        <v>0</v>
      </c>
      <c r="AA300" s="71">
        <v>0</v>
      </c>
      <c r="AB300" s="71">
        <v>0</v>
      </c>
      <c r="AC300" s="71">
        <v>0</v>
      </c>
      <c r="AD300" s="71">
        <v>0</v>
      </c>
      <c r="AE300" s="13">
        <v>0</v>
      </c>
      <c r="AF300" s="13">
        <v>0</v>
      </c>
      <c r="AI300" s="20"/>
      <c r="AK300" s="11">
        <f t="shared" ref="AK300" si="38">SUM(L300:AJ300)</f>
        <v>840000</v>
      </c>
      <c r="AL300" s="11">
        <f t="shared" ref="AL300" si="39">AK300/12</f>
        <v>70000</v>
      </c>
      <c r="AM300" s="11">
        <f t="shared" si="33"/>
        <v>2400</v>
      </c>
      <c r="AN300" s="11">
        <f>VLOOKUP(C300,'Paid Tax'!B295:M656,12,FALSE)</f>
        <v>218.18181818181819</v>
      </c>
      <c r="AO300" s="11">
        <f t="shared" si="29"/>
        <v>2181.818181818182</v>
      </c>
      <c r="AP300" s="13">
        <v>12</v>
      </c>
      <c r="AQ300" s="16">
        <f t="shared" ref="AQ300" si="40">+AO300/AP300</f>
        <v>181.81818181818184</v>
      </c>
      <c r="AR300" s="88" t="s">
        <v>868</v>
      </c>
      <c r="AS300" s="11">
        <v>0</v>
      </c>
    </row>
    <row r="301" spans="1:47" s="13" customFormat="1" x14ac:dyDescent="0.25">
      <c r="A301" s="12">
        <v>294</v>
      </c>
      <c r="B301" s="60" t="s">
        <v>576</v>
      </c>
      <c r="C301" s="53">
        <v>10648</v>
      </c>
      <c r="D301" s="38" t="s">
        <v>558</v>
      </c>
      <c r="E301" s="38" t="s">
        <v>69</v>
      </c>
      <c r="F301" s="37" t="s">
        <v>284</v>
      </c>
      <c r="G301" s="4">
        <v>32000</v>
      </c>
      <c r="H301" s="4"/>
      <c r="I301" s="4"/>
      <c r="J301" s="4"/>
      <c r="K301" s="4"/>
      <c r="L301" s="11">
        <f t="shared" si="31"/>
        <v>384000</v>
      </c>
      <c r="M301" s="71">
        <v>0</v>
      </c>
      <c r="N301" s="71">
        <v>0</v>
      </c>
      <c r="O301" s="71">
        <v>1710</v>
      </c>
      <c r="P301" s="71">
        <v>0</v>
      </c>
      <c r="Q301" s="71">
        <f>VLOOKUP(C301,Incentives!C295:K634,9,FALSE)</f>
        <v>900</v>
      </c>
      <c r="R301" s="71">
        <v>1170</v>
      </c>
      <c r="S301" s="13">
        <v>1350</v>
      </c>
      <c r="T301" s="13">
        <v>1650</v>
      </c>
      <c r="Y301" s="71">
        <v>0</v>
      </c>
      <c r="Z301" s="71">
        <v>0</v>
      </c>
      <c r="AA301" s="71">
        <v>0</v>
      </c>
      <c r="AB301" s="71">
        <v>0</v>
      </c>
      <c r="AC301" s="71">
        <v>0</v>
      </c>
      <c r="AD301" s="71">
        <v>0</v>
      </c>
      <c r="AE301" s="13">
        <v>0</v>
      </c>
      <c r="AF301" s="13">
        <v>0</v>
      </c>
      <c r="AI301" s="20"/>
      <c r="AK301" s="11">
        <f t="shared" ref="AK301" si="41">SUM(L301:AJ301)</f>
        <v>390780</v>
      </c>
      <c r="AL301" s="11">
        <f t="shared" ref="AL301" si="42">AK301/12</f>
        <v>32565</v>
      </c>
      <c r="AM301" s="11">
        <f t="shared" si="33"/>
        <v>0</v>
      </c>
      <c r="AN301" s="11">
        <f>VLOOKUP(C301,'Paid Tax'!B296:M657,12,FALSE)</f>
        <v>0</v>
      </c>
      <c r="AO301" s="11">
        <f t="shared" si="29"/>
        <v>0</v>
      </c>
      <c r="AP301" s="13">
        <v>5</v>
      </c>
      <c r="AQ301" s="16">
        <f t="shared" ref="AQ301" si="43">+AO301/AP301</f>
        <v>0</v>
      </c>
      <c r="AS301" s="11">
        <f t="shared" si="34"/>
        <v>0</v>
      </c>
    </row>
    <row r="302" spans="1:47" s="13" customFormat="1" x14ac:dyDescent="0.25">
      <c r="A302" s="12">
        <v>295</v>
      </c>
      <c r="B302" s="14" t="s">
        <v>293</v>
      </c>
      <c r="C302" s="14">
        <v>10649</v>
      </c>
      <c r="D302" s="15" t="s">
        <v>559</v>
      </c>
      <c r="E302" s="15" t="s">
        <v>560</v>
      </c>
      <c r="F302" s="14" t="s">
        <v>572</v>
      </c>
      <c r="G302" s="4">
        <v>55000</v>
      </c>
      <c r="H302" s="4">
        <f>10000*8</f>
        <v>80000</v>
      </c>
      <c r="I302" s="4"/>
      <c r="J302" s="4"/>
      <c r="K302" s="4"/>
      <c r="L302" s="11">
        <f t="shared" si="31"/>
        <v>740000</v>
      </c>
      <c r="M302" s="71">
        <v>0</v>
      </c>
      <c r="N302" s="71">
        <v>0</v>
      </c>
      <c r="O302" s="71">
        <v>0</v>
      </c>
      <c r="P302" s="71">
        <v>0</v>
      </c>
      <c r="Q302" s="71">
        <f>VLOOKUP(C302,Incentives!C296:K635,9,FALSE)</f>
        <v>0</v>
      </c>
      <c r="R302" s="71">
        <v>0</v>
      </c>
      <c r="S302" s="13">
        <v>0</v>
      </c>
      <c r="T302" s="13">
        <v>0</v>
      </c>
      <c r="Y302" s="71">
        <v>0</v>
      </c>
      <c r="Z302" s="71">
        <v>0</v>
      </c>
      <c r="AA302" s="71">
        <v>0</v>
      </c>
      <c r="AB302" s="71">
        <v>0</v>
      </c>
      <c r="AC302" s="71">
        <v>0</v>
      </c>
      <c r="AD302" s="71">
        <v>0</v>
      </c>
      <c r="AE302" s="13">
        <v>0</v>
      </c>
      <c r="AF302" s="13">
        <v>0</v>
      </c>
      <c r="AI302" s="20"/>
      <c r="AK302" s="11">
        <f t="shared" ref="AK302:AK321" si="44">SUM(L302:AJ302)</f>
        <v>740000</v>
      </c>
      <c r="AL302" s="11">
        <f t="shared" ref="AL302:AL321" si="45">AK302/12</f>
        <v>61666.666666666664</v>
      </c>
      <c r="AM302" s="11">
        <f t="shared" si="33"/>
        <v>1400</v>
      </c>
      <c r="AN302" s="11">
        <f>VLOOKUP(C302,'Paid Tax'!B297:M658,12,FALSE)</f>
        <v>569.39393939393904</v>
      </c>
      <c r="AO302" s="11">
        <f t="shared" si="29"/>
        <v>830.60606060606096</v>
      </c>
      <c r="AP302" s="13">
        <v>6</v>
      </c>
      <c r="AQ302" s="16">
        <f t="shared" si="30"/>
        <v>138.4343434343435</v>
      </c>
      <c r="AR302" s="40" t="s">
        <v>1322</v>
      </c>
      <c r="AS302" s="11">
        <f t="shared" si="34"/>
        <v>-138.4343434343435</v>
      </c>
    </row>
    <row r="303" spans="1:47" s="13" customFormat="1" x14ac:dyDescent="0.25">
      <c r="A303" s="12">
        <v>296</v>
      </c>
      <c r="B303" s="14" t="s">
        <v>293</v>
      </c>
      <c r="C303" s="14">
        <v>10650</v>
      </c>
      <c r="D303" s="15" t="s">
        <v>561</v>
      </c>
      <c r="E303" s="15" t="s">
        <v>337</v>
      </c>
      <c r="F303" s="14" t="s">
        <v>573</v>
      </c>
      <c r="G303" s="4">
        <v>35000</v>
      </c>
      <c r="H303" s="5"/>
      <c r="I303" s="5"/>
      <c r="J303" s="5"/>
      <c r="K303" s="5"/>
      <c r="L303" s="11">
        <f t="shared" si="31"/>
        <v>420000</v>
      </c>
      <c r="M303" s="71">
        <v>0</v>
      </c>
      <c r="N303" s="71">
        <v>0</v>
      </c>
      <c r="O303" s="71">
        <v>0</v>
      </c>
      <c r="P303" s="71">
        <v>0</v>
      </c>
      <c r="Q303" s="71">
        <f>VLOOKUP(C303,Incentives!C297:K636,9,FALSE)</f>
        <v>0</v>
      </c>
      <c r="R303" s="71">
        <v>0</v>
      </c>
      <c r="S303" s="13">
        <v>0</v>
      </c>
      <c r="T303" s="13">
        <v>0</v>
      </c>
      <c r="Y303" s="71">
        <v>0</v>
      </c>
      <c r="Z303" s="71">
        <v>0</v>
      </c>
      <c r="AA303" s="71">
        <v>0</v>
      </c>
      <c r="AB303" s="71">
        <v>0</v>
      </c>
      <c r="AC303" s="71">
        <v>27571</v>
      </c>
      <c r="AD303" s="71">
        <v>26035</v>
      </c>
      <c r="AE303" s="13">
        <v>0</v>
      </c>
      <c r="AF303" s="13">
        <v>23113</v>
      </c>
      <c r="AI303" s="20"/>
      <c r="AK303" s="11">
        <f t="shared" si="44"/>
        <v>496719</v>
      </c>
      <c r="AL303" s="11">
        <f t="shared" si="45"/>
        <v>41393.25</v>
      </c>
      <c r="AM303" s="11">
        <f t="shared" si="33"/>
        <v>0</v>
      </c>
      <c r="AN303" s="11">
        <f>VLOOKUP(C303,'Paid Tax'!B298:M659,12,FALSE)</f>
        <v>0</v>
      </c>
      <c r="AO303" s="11">
        <f t="shared" si="29"/>
        <v>0</v>
      </c>
      <c r="AP303" s="13">
        <v>5</v>
      </c>
      <c r="AQ303" s="16">
        <f t="shared" si="30"/>
        <v>0</v>
      </c>
      <c r="AS303" s="11">
        <f t="shared" si="34"/>
        <v>0</v>
      </c>
    </row>
    <row r="304" spans="1:47" s="13" customFormat="1" x14ac:dyDescent="0.25">
      <c r="A304" s="12">
        <v>297</v>
      </c>
      <c r="B304" s="14" t="s">
        <v>293</v>
      </c>
      <c r="C304" s="14">
        <v>10651</v>
      </c>
      <c r="D304" s="15" t="s">
        <v>562</v>
      </c>
      <c r="E304" s="15" t="s">
        <v>337</v>
      </c>
      <c r="F304" s="14" t="s">
        <v>573</v>
      </c>
      <c r="G304" s="4">
        <v>35000</v>
      </c>
      <c r="H304" s="4"/>
      <c r="I304" s="4"/>
      <c r="J304" s="4"/>
      <c r="K304" s="4"/>
      <c r="L304" s="11">
        <f t="shared" si="31"/>
        <v>420000</v>
      </c>
      <c r="M304" s="71">
        <v>0</v>
      </c>
      <c r="N304" s="71">
        <v>0</v>
      </c>
      <c r="O304" s="71">
        <v>0</v>
      </c>
      <c r="P304" s="71">
        <v>0</v>
      </c>
      <c r="Q304" s="71">
        <f>VLOOKUP(C304,Incentives!C298:K637,9,FALSE)</f>
        <v>0</v>
      </c>
      <c r="R304" s="71">
        <v>0</v>
      </c>
      <c r="S304" s="13">
        <v>0</v>
      </c>
      <c r="T304" s="13">
        <v>0</v>
      </c>
      <c r="Y304" s="71">
        <v>0</v>
      </c>
      <c r="Z304" s="71">
        <v>0</v>
      </c>
      <c r="AA304" s="71">
        <v>0</v>
      </c>
      <c r="AB304" s="71">
        <v>28544</v>
      </c>
      <c r="AC304" s="71">
        <v>0</v>
      </c>
      <c r="AD304" s="71">
        <v>26989</v>
      </c>
      <c r="AE304" s="13">
        <v>26407</v>
      </c>
      <c r="AF304" s="13">
        <v>0</v>
      </c>
      <c r="AI304" s="20"/>
      <c r="AK304" s="11">
        <f t="shared" si="44"/>
        <v>501940</v>
      </c>
      <c r="AL304" s="11">
        <f t="shared" si="45"/>
        <v>41828.333333333336</v>
      </c>
      <c r="AM304" s="11">
        <f t="shared" si="33"/>
        <v>0</v>
      </c>
      <c r="AN304" s="11">
        <f>VLOOKUP(C304,'Paid Tax'!B299:M660,12,FALSE)</f>
        <v>0</v>
      </c>
      <c r="AO304" s="11">
        <f t="shared" si="29"/>
        <v>0</v>
      </c>
      <c r="AP304" s="13">
        <v>5</v>
      </c>
      <c r="AQ304" s="16">
        <f t="shared" si="30"/>
        <v>0</v>
      </c>
      <c r="AS304" s="11">
        <f t="shared" si="34"/>
        <v>0</v>
      </c>
    </row>
    <row r="305" spans="1:46" s="13" customFormat="1" x14ac:dyDescent="0.25">
      <c r="A305" s="12">
        <v>298</v>
      </c>
      <c r="B305" s="14" t="s">
        <v>293</v>
      </c>
      <c r="C305" s="14">
        <v>10652</v>
      </c>
      <c r="D305" s="15" t="s">
        <v>563</v>
      </c>
      <c r="E305" s="15" t="s">
        <v>23</v>
      </c>
      <c r="F305" s="14" t="s">
        <v>574</v>
      </c>
      <c r="G305" s="4">
        <v>32000</v>
      </c>
      <c r="H305" s="4"/>
      <c r="I305" s="4"/>
      <c r="J305" s="4"/>
      <c r="K305" s="4"/>
      <c r="L305" s="11">
        <f t="shared" si="31"/>
        <v>384000</v>
      </c>
      <c r="M305" s="71">
        <v>0</v>
      </c>
      <c r="N305" s="71">
        <v>0</v>
      </c>
      <c r="O305" s="71">
        <v>0</v>
      </c>
      <c r="P305" s="71">
        <v>0</v>
      </c>
      <c r="Q305" s="71">
        <f>VLOOKUP(C305,Incentives!C299:K638,9,FALSE)</f>
        <v>0</v>
      </c>
      <c r="R305" s="71">
        <v>0</v>
      </c>
      <c r="S305" s="13">
        <v>0</v>
      </c>
      <c r="T305" s="13">
        <v>0</v>
      </c>
      <c r="Y305" s="71">
        <v>0</v>
      </c>
      <c r="Z305" s="71">
        <v>0</v>
      </c>
      <c r="AA305" s="71">
        <v>0</v>
      </c>
      <c r="AB305" s="71">
        <v>0</v>
      </c>
      <c r="AC305" s="71">
        <v>0</v>
      </c>
      <c r="AD305" s="71">
        <v>0</v>
      </c>
      <c r="AE305" s="13">
        <v>0</v>
      </c>
      <c r="AF305" s="13">
        <v>0</v>
      </c>
      <c r="AI305" s="20"/>
      <c r="AK305" s="11">
        <f t="shared" si="44"/>
        <v>384000</v>
      </c>
      <c r="AL305" s="11">
        <f t="shared" si="45"/>
        <v>32000</v>
      </c>
      <c r="AM305" s="11">
        <f t="shared" si="33"/>
        <v>0</v>
      </c>
      <c r="AN305" s="11">
        <f>VLOOKUP(C305,'Paid Tax'!B300:M661,12,FALSE)</f>
        <v>0</v>
      </c>
      <c r="AO305" s="11">
        <f t="shared" si="29"/>
        <v>0</v>
      </c>
      <c r="AP305" s="13">
        <v>5</v>
      </c>
      <c r="AQ305" s="16">
        <f t="shared" si="30"/>
        <v>0</v>
      </c>
      <c r="AS305" s="11">
        <f t="shared" si="34"/>
        <v>0</v>
      </c>
    </row>
    <row r="306" spans="1:46" s="13" customFormat="1" x14ac:dyDescent="0.25">
      <c r="A306" s="12">
        <v>299</v>
      </c>
      <c r="B306" s="14" t="s">
        <v>293</v>
      </c>
      <c r="C306" s="14">
        <v>10653</v>
      </c>
      <c r="D306" s="15" t="s">
        <v>564</v>
      </c>
      <c r="E306" s="15" t="s">
        <v>23</v>
      </c>
      <c r="F306" s="14" t="s">
        <v>574</v>
      </c>
      <c r="G306" s="4">
        <v>32000</v>
      </c>
      <c r="H306" s="5"/>
      <c r="I306" s="5"/>
      <c r="J306" s="4"/>
      <c r="K306" s="4"/>
      <c r="L306" s="11">
        <f t="shared" si="31"/>
        <v>384000</v>
      </c>
      <c r="M306" s="71">
        <v>0</v>
      </c>
      <c r="N306" s="71">
        <v>0</v>
      </c>
      <c r="O306" s="71">
        <v>0</v>
      </c>
      <c r="P306" s="71">
        <v>0</v>
      </c>
      <c r="Q306" s="71">
        <f>VLOOKUP(C306,Incentives!C300:K639,9,FALSE)</f>
        <v>0</v>
      </c>
      <c r="R306" s="71">
        <v>0</v>
      </c>
      <c r="S306" s="13">
        <v>0</v>
      </c>
      <c r="T306" s="13">
        <v>0</v>
      </c>
      <c r="Y306" s="71">
        <v>0</v>
      </c>
      <c r="Z306" s="71">
        <v>0</v>
      </c>
      <c r="AA306" s="71">
        <v>0</v>
      </c>
      <c r="AB306" s="71">
        <v>0</v>
      </c>
      <c r="AC306" s="71">
        <v>0</v>
      </c>
      <c r="AD306" s="71">
        <v>0</v>
      </c>
      <c r="AE306" s="13">
        <v>0</v>
      </c>
      <c r="AF306" s="13">
        <v>2000</v>
      </c>
      <c r="AI306" s="20"/>
      <c r="AK306" s="11">
        <f t="shared" si="44"/>
        <v>386000</v>
      </c>
      <c r="AL306" s="11">
        <f t="shared" si="45"/>
        <v>32166.666666666668</v>
      </c>
      <c r="AM306" s="11">
        <f t="shared" si="33"/>
        <v>0</v>
      </c>
      <c r="AN306" s="11">
        <f>VLOOKUP(C306,'Paid Tax'!B301:M662,12,FALSE)</f>
        <v>0</v>
      </c>
      <c r="AO306" s="11">
        <f t="shared" si="29"/>
        <v>0</v>
      </c>
      <c r="AP306" s="13">
        <v>5</v>
      </c>
      <c r="AQ306" s="16">
        <f t="shared" si="30"/>
        <v>0</v>
      </c>
      <c r="AS306" s="11">
        <f t="shared" si="34"/>
        <v>0</v>
      </c>
    </row>
    <row r="307" spans="1:46" s="13" customFormat="1" x14ac:dyDescent="0.25">
      <c r="A307" s="12">
        <v>300</v>
      </c>
      <c r="B307" s="14" t="s">
        <v>293</v>
      </c>
      <c r="C307" s="14">
        <v>10654</v>
      </c>
      <c r="D307" s="15" t="s">
        <v>565</v>
      </c>
      <c r="E307" s="15" t="s">
        <v>23</v>
      </c>
      <c r="F307" s="14" t="s">
        <v>574</v>
      </c>
      <c r="G307" s="4">
        <v>32000</v>
      </c>
      <c r="H307" s="4"/>
      <c r="I307" s="4"/>
      <c r="J307" s="4"/>
      <c r="K307" s="4"/>
      <c r="L307" s="11">
        <f t="shared" si="31"/>
        <v>384000</v>
      </c>
      <c r="M307" s="71">
        <v>0</v>
      </c>
      <c r="N307" s="71">
        <v>0</v>
      </c>
      <c r="O307" s="71">
        <v>0</v>
      </c>
      <c r="P307" s="71">
        <v>0</v>
      </c>
      <c r="Q307" s="71">
        <f>VLOOKUP(C307,Incentives!C301:K640,9,FALSE)</f>
        <v>0</v>
      </c>
      <c r="R307" s="71">
        <v>0</v>
      </c>
      <c r="S307" s="13">
        <v>0</v>
      </c>
      <c r="T307" s="13">
        <v>0</v>
      </c>
      <c r="Y307" s="71">
        <v>0</v>
      </c>
      <c r="Z307" s="71">
        <v>0</v>
      </c>
      <c r="AA307" s="71">
        <v>0</v>
      </c>
      <c r="AB307" s="71">
        <v>0</v>
      </c>
      <c r="AC307" s="71">
        <v>0</v>
      </c>
      <c r="AD307" s="71">
        <v>0</v>
      </c>
      <c r="AE307" s="13">
        <v>0</v>
      </c>
      <c r="AF307" s="13">
        <v>1000</v>
      </c>
      <c r="AI307" s="20"/>
      <c r="AK307" s="11">
        <f t="shared" si="44"/>
        <v>385000</v>
      </c>
      <c r="AL307" s="11">
        <f t="shared" si="45"/>
        <v>32083.333333333332</v>
      </c>
      <c r="AM307" s="11">
        <f t="shared" si="33"/>
        <v>0</v>
      </c>
      <c r="AN307" s="11">
        <f>VLOOKUP(C307,'Paid Tax'!B302:M663,12,FALSE)</f>
        <v>0</v>
      </c>
      <c r="AO307" s="11">
        <f t="shared" si="29"/>
        <v>0</v>
      </c>
      <c r="AP307" s="13">
        <v>5</v>
      </c>
      <c r="AQ307" s="16">
        <f t="shared" si="30"/>
        <v>0</v>
      </c>
      <c r="AS307" s="11">
        <f t="shared" si="34"/>
        <v>0</v>
      </c>
    </row>
    <row r="308" spans="1:46" s="18" customFormat="1" x14ac:dyDescent="0.25">
      <c r="A308" s="12">
        <v>301</v>
      </c>
      <c r="B308" s="14" t="s">
        <v>293</v>
      </c>
      <c r="C308" s="14">
        <v>10655</v>
      </c>
      <c r="D308" s="15" t="s">
        <v>566</v>
      </c>
      <c r="E308" s="15" t="s">
        <v>337</v>
      </c>
      <c r="F308" s="14" t="s">
        <v>575</v>
      </c>
      <c r="G308" s="4">
        <v>38000</v>
      </c>
      <c r="H308" s="5"/>
      <c r="I308" s="5"/>
      <c r="J308" s="4"/>
      <c r="K308" s="4"/>
      <c r="L308" s="11">
        <f t="shared" si="31"/>
        <v>456000</v>
      </c>
      <c r="M308" s="71">
        <v>0</v>
      </c>
      <c r="N308" s="71">
        <v>0</v>
      </c>
      <c r="O308" s="71">
        <v>0</v>
      </c>
      <c r="P308" s="71">
        <v>0</v>
      </c>
      <c r="Q308" s="71">
        <f>VLOOKUP(C308,Incentives!C302:K641,9,FALSE)</f>
        <v>0</v>
      </c>
      <c r="R308" s="71">
        <v>0</v>
      </c>
      <c r="S308" s="13">
        <v>0</v>
      </c>
      <c r="T308" s="13">
        <v>0</v>
      </c>
      <c r="U308" s="13"/>
      <c r="V308" s="13"/>
      <c r="W308" s="13"/>
      <c r="Y308" s="71">
        <v>0</v>
      </c>
      <c r="Z308" s="71">
        <v>0</v>
      </c>
      <c r="AA308" s="71">
        <v>0</v>
      </c>
      <c r="AB308" s="71">
        <v>31583</v>
      </c>
      <c r="AC308" s="71">
        <v>53023</v>
      </c>
      <c r="AD308" s="71">
        <v>25447</v>
      </c>
      <c r="AE308" s="13">
        <v>26923</v>
      </c>
      <c r="AF308" s="13">
        <v>25566</v>
      </c>
      <c r="AG308" s="13"/>
      <c r="AH308" s="13"/>
      <c r="AI308" s="20"/>
      <c r="AJ308" s="13"/>
      <c r="AK308" s="11">
        <f t="shared" si="44"/>
        <v>618542</v>
      </c>
      <c r="AL308" s="11">
        <f t="shared" si="45"/>
        <v>51545.166666666664</v>
      </c>
      <c r="AM308" s="11">
        <f t="shared" si="33"/>
        <v>185.42000000000002</v>
      </c>
      <c r="AN308" s="11">
        <f>VLOOKUP(C308,'Paid Tax'!B303:M664,12,FALSE)</f>
        <v>0</v>
      </c>
      <c r="AO308" s="11">
        <f t="shared" si="29"/>
        <v>185.42000000000002</v>
      </c>
      <c r="AP308" s="13">
        <v>12</v>
      </c>
      <c r="AQ308" s="16">
        <f t="shared" si="30"/>
        <v>15.451666666666668</v>
      </c>
      <c r="AR308" s="97" t="s">
        <v>864</v>
      </c>
      <c r="AS308" s="11">
        <f t="shared" si="34"/>
        <v>-15.451666666666668</v>
      </c>
      <c r="AT308" s="13"/>
    </row>
    <row r="309" spans="1:46" s="13" customFormat="1" x14ac:dyDescent="0.25">
      <c r="A309" s="12">
        <v>302</v>
      </c>
      <c r="B309" s="14" t="s">
        <v>293</v>
      </c>
      <c r="C309" s="14">
        <v>10656</v>
      </c>
      <c r="D309" s="15" t="s">
        <v>567</v>
      </c>
      <c r="E309" s="15" t="s">
        <v>23</v>
      </c>
      <c r="F309" s="14" t="s">
        <v>574</v>
      </c>
      <c r="G309" s="4">
        <v>32000</v>
      </c>
      <c r="H309" s="4"/>
      <c r="I309" s="4"/>
      <c r="J309" s="4"/>
      <c r="K309" s="4"/>
      <c r="L309" s="11">
        <f t="shared" si="31"/>
        <v>384000</v>
      </c>
      <c r="M309" s="71">
        <v>0</v>
      </c>
      <c r="N309" s="71">
        <v>0</v>
      </c>
      <c r="O309" s="71">
        <v>0</v>
      </c>
      <c r="P309" s="71">
        <v>0</v>
      </c>
      <c r="Q309" s="71">
        <f>VLOOKUP(C309,Incentives!C303:K642,9,FALSE)</f>
        <v>0</v>
      </c>
      <c r="R309" s="71">
        <v>0</v>
      </c>
      <c r="S309" s="13">
        <v>0</v>
      </c>
      <c r="T309" s="13">
        <v>0</v>
      </c>
      <c r="Y309" s="71">
        <v>0</v>
      </c>
      <c r="Z309" s="71">
        <v>0</v>
      </c>
      <c r="AA309" s="71">
        <v>0</v>
      </c>
      <c r="AB309" s="71">
        <v>0</v>
      </c>
      <c r="AC309" s="71">
        <v>0</v>
      </c>
      <c r="AD309" s="71">
        <v>0</v>
      </c>
      <c r="AE309" s="13">
        <v>0</v>
      </c>
      <c r="AF309" s="13">
        <v>0</v>
      </c>
      <c r="AI309" s="20"/>
      <c r="AK309" s="11">
        <f t="shared" si="44"/>
        <v>384000</v>
      </c>
      <c r="AL309" s="11">
        <f t="shared" si="45"/>
        <v>32000</v>
      </c>
      <c r="AM309" s="11">
        <f t="shared" si="33"/>
        <v>0</v>
      </c>
      <c r="AN309" s="11">
        <f>VLOOKUP(C309,'Paid Tax'!B304:M665,12,FALSE)</f>
        <v>0</v>
      </c>
      <c r="AO309" s="11">
        <f t="shared" si="29"/>
        <v>0</v>
      </c>
      <c r="AP309" s="13">
        <v>5</v>
      </c>
      <c r="AQ309" s="16">
        <f t="shared" si="30"/>
        <v>0</v>
      </c>
      <c r="AS309" s="11">
        <f t="shared" si="34"/>
        <v>0</v>
      </c>
    </row>
    <row r="310" spans="1:46" x14ac:dyDescent="0.25">
      <c r="A310" s="12">
        <v>303</v>
      </c>
      <c r="B310" s="14" t="s">
        <v>293</v>
      </c>
      <c r="C310" s="14">
        <v>10657</v>
      </c>
      <c r="D310" s="15" t="s">
        <v>568</v>
      </c>
      <c r="E310" s="15" t="s">
        <v>69</v>
      </c>
      <c r="F310" s="14" t="s">
        <v>284</v>
      </c>
      <c r="G310" s="4">
        <v>34000</v>
      </c>
      <c r="H310" s="4"/>
      <c r="I310" s="4"/>
      <c r="J310" s="4"/>
      <c r="K310" s="4"/>
      <c r="L310" s="11">
        <f t="shared" si="31"/>
        <v>408000</v>
      </c>
      <c r="M310" s="71">
        <v>0</v>
      </c>
      <c r="N310" s="71">
        <v>0</v>
      </c>
      <c r="O310" s="71">
        <v>3240</v>
      </c>
      <c r="P310" s="71">
        <v>0</v>
      </c>
      <c r="Q310" s="71">
        <f>VLOOKUP(C310,Incentives!C304:K643,9,FALSE)</f>
        <v>0</v>
      </c>
      <c r="R310" s="71">
        <v>0</v>
      </c>
      <c r="S310" s="13">
        <v>0</v>
      </c>
      <c r="T310" s="13">
        <v>0</v>
      </c>
      <c r="U310" s="13"/>
      <c r="V310" s="13"/>
      <c r="Y310" s="71">
        <v>0</v>
      </c>
      <c r="Z310" s="71">
        <v>0</v>
      </c>
      <c r="AA310" s="71">
        <v>0</v>
      </c>
      <c r="AB310" s="71">
        <v>0</v>
      </c>
      <c r="AC310" s="71">
        <v>0</v>
      </c>
      <c r="AD310" s="71">
        <v>0</v>
      </c>
      <c r="AE310" s="13">
        <v>0</v>
      </c>
      <c r="AF310" s="13">
        <v>0</v>
      </c>
      <c r="AI310" s="20"/>
      <c r="AJ310" s="13"/>
      <c r="AK310" s="11">
        <f t="shared" si="44"/>
        <v>411240</v>
      </c>
      <c r="AL310" s="11">
        <f t="shared" si="45"/>
        <v>34270</v>
      </c>
      <c r="AM310" s="11">
        <f t="shared" si="33"/>
        <v>0</v>
      </c>
      <c r="AN310" s="11">
        <f>VLOOKUP(C310,'Paid Tax'!B305:M666,12,FALSE)</f>
        <v>0</v>
      </c>
      <c r="AO310" s="11">
        <f t="shared" si="29"/>
        <v>0</v>
      </c>
      <c r="AP310" s="13">
        <v>5</v>
      </c>
      <c r="AQ310" s="16">
        <f t="shared" si="30"/>
        <v>0</v>
      </c>
      <c r="AS310" s="11">
        <f t="shared" si="34"/>
        <v>0</v>
      </c>
      <c r="AT310" s="13"/>
    </row>
    <row r="311" spans="1:46" x14ac:dyDescent="0.25">
      <c r="A311" s="12">
        <v>304</v>
      </c>
      <c r="B311" s="14" t="s">
        <v>293</v>
      </c>
      <c r="C311" s="14">
        <v>10658</v>
      </c>
      <c r="D311" s="15" t="s">
        <v>569</v>
      </c>
      <c r="E311" s="15" t="s">
        <v>69</v>
      </c>
      <c r="F311" s="14" t="s">
        <v>284</v>
      </c>
      <c r="G311" s="4">
        <v>33500</v>
      </c>
      <c r="H311" s="4"/>
      <c r="I311" s="4"/>
      <c r="J311" s="4"/>
      <c r="K311" s="4"/>
      <c r="L311" s="11">
        <f t="shared" si="31"/>
        <v>402000</v>
      </c>
      <c r="M311" s="71">
        <v>0</v>
      </c>
      <c r="N311" s="71">
        <v>0</v>
      </c>
      <c r="O311" s="71">
        <v>0</v>
      </c>
      <c r="P311" s="71">
        <v>0</v>
      </c>
      <c r="Q311" s="71">
        <f>VLOOKUP(C311,Incentives!C305:K644,9,FALSE)</f>
        <v>0</v>
      </c>
      <c r="R311" s="71">
        <v>0</v>
      </c>
      <c r="S311" s="13">
        <v>0</v>
      </c>
      <c r="T311" s="13">
        <v>0</v>
      </c>
      <c r="U311" s="13"/>
      <c r="V311" s="13"/>
      <c r="Y311" s="71">
        <v>0</v>
      </c>
      <c r="Z311" s="71">
        <v>0</v>
      </c>
      <c r="AA311" s="71">
        <v>0</v>
      </c>
      <c r="AB311" s="71">
        <v>0</v>
      </c>
      <c r="AC311" s="71">
        <v>0</v>
      </c>
      <c r="AD311" s="71">
        <v>0</v>
      </c>
      <c r="AE311" s="13">
        <v>0</v>
      </c>
      <c r="AF311" s="13">
        <v>0</v>
      </c>
      <c r="AI311" s="20"/>
      <c r="AJ311" s="13"/>
      <c r="AK311" s="11">
        <f t="shared" si="44"/>
        <v>402000</v>
      </c>
      <c r="AL311" s="11">
        <f t="shared" si="45"/>
        <v>33500</v>
      </c>
      <c r="AM311" s="11">
        <f t="shared" si="33"/>
        <v>0</v>
      </c>
      <c r="AN311" s="11">
        <f>VLOOKUP(C311,'Paid Tax'!B306:M667,12,FALSE)</f>
        <v>0</v>
      </c>
      <c r="AO311" s="11">
        <f t="shared" si="29"/>
        <v>0</v>
      </c>
      <c r="AP311" s="13">
        <v>5</v>
      </c>
      <c r="AQ311" s="16">
        <f t="shared" si="30"/>
        <v>0</v>
      </c>
      <c r="AS311" s="11">
        <f t="shared" si="34"/>
        <v>0</v>
      </c>
      <c r="AT311" s="13"/>
    </row>
    <row r="312" spans="1:46" x14ac:dyDescent="0.25">
      <c r="A312" s="12">
        <v>305</v>
      </c>
      <c r="B312" s="14" t="s">
        <v>293</v>
      </c>
      <c r="C312" s="14">
        <v>10659</v>
      </c>
      <c r="D312" s="15" t="s">
        <v>570</v>
      </c>
      <c r="E312" s="15" t="s">
        <v>571</v>
      </c>
      <c r="F312" s="14" t="s">
        <v>290</v>
      </c>
      <c r="G312" s="4">
        <v>100000</v>
      </c>
      <c r="H312" s="4"/>
      <c r="I312" s="4"/>
      <c r="J312" s="4"/>
      <c r="K312" s="4"/>
      <c r="L312" s="11">
        <f t="shared" si="31"/>
        <v>1200000</v>
      </c>
      <c r="M312" s="71">
        <v>0</v>
      </c>
      <c r="N312" s="71">
        <v>0</v>
      </c>
      <c r="O312" s="71">
        <v>0</v>
      </c>
      <c r="P312" s="71">
        <v>0</v>
      </c>
      <c r="Q312" s="71">
        <f>VLOOKUP(C312,Incentives!C306:K645,9,FALSE)</f>
        <v>0</v>
      </c>
      <c r="R312" s="71">
        <v>0</v>
      </c>
      <c r="S312" s="13">
        <v>0</v>
      </c>
      <c r="T312" s="13">
        <v>0</v>
      </c>
      <c r="U312" s="13"/>
      <c r="V312" s="13"/>
      <c r="Y312" s="71">
        <v>0</v>
      </c>
      <c r="Z312" s="71">
        <v>0</v>
      </c>
      <c r="AA312" s="71">
        <v>0</v>
      </c>
      <c r="AB312" s="71">
        <v>0</v>
      </c>
      <c r="AC312" s="71">
        <v>0</v>
      </c>
      <c r="AD312" s="71">
        <v>0</v>
      </c>
      <c r="AE312" s="13">
        <v>0</v>
      </c>
      <c r="AF312" s="13">
        <v>0</v>
      </c>
      <c r="AI312" s="20"/>
      <c r="AJ312" s="13"/>
      <c r="AK312" s="11">
        <f t="shared" si="44"/>
        <v>1200000</v>
      </c>
      <c r="AL312" s="11">
        <f t="shared" si="45"/>
        <v>100000</v>
      </c>
      <c r="AM312" s="11">
        <f t="shared" si="33"/>
        <v>6000</v>
      </c>
      <c r="AN312" s="11">
        <f>VLOOKUP(C312,'Paid Tax'!B307:M668,12,FALSE)</f>
        <v>3000</v>
      </c>
      <c r="AO312" s="11">
        <f t="shared" si="29"/>
        <v>3000</v>
      </c>
      <c r="AP312" s="13">
        <v>6</v>
      </c>
      <c r="AQ312" s="16">
        <f t="shared" si="30"/>
        <v>500</v>
      </c>
      <c r="AR312" s="40" t="s">
        <v>1322</v>
      </c>
      <c r="AS312" s="11">
        <f t="shared" si="34"/>
        <v>-500</v>
      </c>
      <c r="AT312" s="13"/>
    </row>
    <row r="313" spans="1:46" x14ac:dyDescent="0.25">
      <c r="A313" s="12">
        <v>306</v>
      </c>
      <c r="B313" s="14" t="s">
        <v>293</v>
      </c>
      <c r="C313" s="14">
        <v>10660</v>
      </c>
      <c r="D313" s="15" t="s">
        <v>660</v>
      </c>
      <c r="E313" s="15" t="s">
        <v>347</v>
      </c>
      <c r="F313" s="14" t="s">
        <v>283</v>
      </c>
      <c r="G313" s="4">
        <v>40000</v>
      </c>
      <c r="H313" s="4">
        <f>5000*6</f>
        <v>30000</v>
      </c>
      <c r="I313" s="4"/>
      <c r="J313" s="4"/>
      <c r="K313" s="4"/>
      <c r="L313" s="11">
        <f t="shared" si="31"/>
        <v>510000</v>
      </c>
      <c r="M313" s="71">
        <v>0</v>
      </c>
      <c r="N313" s="71">
        <v>0</v>
      </c>
      <c r="O313" s="71">
        <v>0</v>
      </c>
      <c r="P313" s="71">
        <v>0</v>
      </c>
      <c r="Q313" s="71">
        <f>VLOOKUP(C313,Incentives!C307:K646,9,FALSE)</f>
        <v>0</v>
      </c>
      <c r="R313" s="71">
        <v>0</v>
      </c>
      <c r="S313" s="13">
        <v>0</v>
      </c>
      <c r="T313" s="13">
        <v>0</v>
      </c>
      <c r="U313" s="13"/>
      <c r="V313" s="13"/>
      <c r="Y313" s="71">
        <v>0</v>
      </c>
      <c r="Z313" s="71">
        <v>0</v>
      </c>
      <c r="AA313" s="71">
        <v>0</v>
      </c>
      <c r="AB313" s="71">
        <v>0</v>
      </c>
      <c r="AC313" s="71">
        <v>0</v>
      </c>
      <c r="AD313" s="71">
        <v>0</v>
      </c>
      <c r="AE313" s="13">
        <v>0</v>
      </c>
      <c r="AF313" s="13">
        <v>0</v>
      </c>
      <c r="AI313" s="20"/>
      <c r="AJ313" s="13"/>
      <c r="AK313" s="11">
        <f t="shared" si="44"/>
        <v>510000</v>
      </c>
      <c r="AL313" s="11">
        <f t="shared" si="45"/>
        <v>42500</v>
      </c>
      <c r="AM313" s="11">
        <f t="shared" si="33"/>
        <v>0</v>
      </c>
      <c r="AN313" s="11">
        <f>VLOOKUP(C313,'Paid Tax'!B308:M669,12,FALSE)</f>
        <v>0</v>
      </c>
      <c r="AO313" s="11">
        <f t="shared" si="29"/>
        <v>0</v>
      </c>
      <c r="AP313" s="13">
        <v>5</v>
      </c>
      <c r="AQ313" s="16">
        <f t="shared" si="30"/>
        <v>0</v>
      </c>
      <c r="AS313" s="11">
        <f t="shared" si="34"/>
        <v>0</v>
      </c>
      <c r="AT313" s="13"/>
    </row>
    <row r="314" spans="1:46" x14ac:dyDescent="0.25">
      <c r="A314" s="12">
        <v>307</v>
      </c>
      <c r="B314" s="14" t="s">
        <v>293</v>
      </c>
      <c r="C314" s="14">
        <v>10661</v>
      </c>
      <c r="D314" s="15" t="s">
        <v>661</v>
      </c>
      <c r="E314" s="15" t="s">
        <v>23</v>
      </c>
      <c r="F314" s="14" t="s">
        <v>279</v>
      </c>
      <c r="G314" s="4">
        <v>36000</v>
      </c>
      <c r="H314" s="4"/>
      <c r="I314" s="4"/>
      <c r="J314" s="4"/>
      <c r="K314" s="4"/>
      <c r="L314" s="11">
        <f t="shared" si="31"/>
        <v>432000</v>
      </c>
      <c r="M314" s="71">
        <v>0</v>
      </c>
      <c r="N314" s="71">
        <v>0</v>
      </c>
      <c r="O314" s="71">
        <v>0</v>
      </c>
      <c r="P314" s="71">
        <v>0</v>
      </c>
      <c r="Q314" s="71">
        <f>VLOOKUP(C314,Incentives!C308:K647,9,FALSE)</f>
        <v>0</v>
      </c>
      <c r="R314" s="71">
        <v>0</v>
      </c>
      <c r="S314" s="13">
        <v>0</v>
      </c>
      <c r="T314" s="13">
        <v>0</v>
      </c>
      <c r="U314" s="13"/>
      <c r="V314" s="13"/>
      <c r="Y314" s="71">
        <v>0</v>
      </c>
      <c r="Z314" s="71">
        <v>0</v>
      </c>
      <c r="AA314" s="71">
        <v>0</v>
      </c>
      <c r="AB314" s="71">
        <v>0</v>
      </c>
      <c r="AC314" s="71">
        <v>0</v>
      </c>
      <c r="AD314" s="71">
        <v>0</v>
      </c>
      <c r="AE314" s="13">
        <v>0</v>
      </c>
      <c r="AF314" s="13">
        <v>0</v>
      </c>
      <c r="AI314" s="20"/>
      <c r="AJ314" s="13"/>
      <c r="AK314" s="11">
        <f t="shared" si="44"/>
        <v>432000</v>
      </c>
      <c r="AL314" s="11">
        <f t="shared" si="45"/>
        <v>36000</v>
      </c>
      <c r="AM314" s="11">
        <f t="shared" si="33"/>
        <v>0</v>
      </c>
      <c r="AN314" s="11">
        <f>VLOOKUP(C314,'Paid Tax'!B309:M670,12,FALSE)</f>
        <v>0</v>
      </c>
      <c r="AO314" s="11">
        <f t="shared" si="29"/>
        <v>0</v>
      </c>
      <c r="AP314" s="13">
        <v>5</v>
      </c>
      <c r="AQ314" s="16">
        <f t="shared" si="30"/>
        <v>0</v>
      </c>
      <c r="AS314" s="11">
        <f t="shared" si="34"/>
        <v>0</v>
      </c>
      <c r="AT314" s="13"/>
    </row>
    <row r="315" spans="1:46" x14ac:dyDescent="0.25">
      <c r="A315" s="12">
        <v>308</v>
      </c>
      <c r="B315" s="14" t="s">
        <v>293</v>
      </c>
      <c r="C315" s="14">
        <v>10662</v>
      </c>
      <c r="D315" s="15" t="s">
        <v>662</v>
      </c>
      <c r="E315" s="15" t="s">
        <v>23</v>
      </c>
      <c r="F315" s="14" t="s">
        <v>279</v>
      </c>
      <c r="G315" s="4">
        <v>36000</v>
      </c>
      <c r="H315" s="4"/>
      <c r="I315" s="4"/>
      <c r="J315" s="4"/>
      <c r="K315" s="4"/>
      <c r="L315" s="11">
        <f t="shared" si="31"/>
        <v>432000</v>
      </c>
      <c r="M315" s="71">
        <v>0</v>
      </c>
      <c r="N315" s="71">
        <v>0</v>
      </c>
      <c r="O315" s="71">
        <v>0</v>
      </c>
      <c r="P315" s="71">
        <v>0</v>
      </c>
      <c r="Q315" s="71">
        <f>VLOOKUP(C315,Incentives!C309:K648,9,FALSE)</f>
        <v>0</v>
      </c>
      <c r="R315" s="71">
        <v>0</v>
      </c>
      <c r="S315" s="13">
        <v>0</v>
      </c>
      <c r="T315" s="13">
        <v>0</v>
      </c>
      <c r="U315" s="13"/>
      <c r="V315" s="13"/>
      <c r="Y315" s="71">
        <v>0</v>
      </c>
      <c r="Z315" s="71">
        <v>0</v>
      </c>
      <c r="AA315" s="71">
        <v>0</v>
      </c>
      <c r="AB315" s="71">
        <v>0</v>
      </c>
      <c r="AC315" s="71">
        <v>0</v>
      </c>
      <c r="AD315" s="71">
        <v>0</v>
      </c>
      <c r="AE315" s="13">
        <v>0</v>
      </c>
      <c r="AF315" s="13">
        <v>0</v>
      </c>
      <c r="AI315" s="20"/>
      <c r="AJ315" s="13"/>
      <c r="AK315" s="11">
        <f t="shared" si="44"/>
        <v>432000</v>
      </c>
      <c r="AL315" s="11">
        <f t="shared" si="45"/>
        <v>36000</v>
      </c>
      <c r="AM315" s="11">
        <f t="shared" si="33"/>
        <v>0</v>
      </c>
      <c r="AN315" s="11">
        <f>VLOOKUP(C315,'Paid Tax'!B310:M671,12,FALSE)</f>
        <v>0</v>
      </c>
      <c r="AO315" s="11">
        <f t="shared" si="29"/>
        <v>0</v>
      </c>
      <c r="AP315" s="13">
        <v>5</v>
      </c>
      <c r="AQ315" s="16">
        <f t="shared" si="30"/>
        <v>0</v>
      </c>
      <c r="AS315" s="11">
        <f t="shared" si="34"/>
        <v>0</v>
      </c>
      <c r="AT315" s="13"/>
    </row>
    <row r="316" spans="1:46" s="40" customFormat="1" x14ac:dyDescent="0.25">
      <c r="A316" s="12">
        <v>309</v>
      </c>
      <c r="B316" s="60" t="s">
        <v>293</v>
      </c>
      <c r="C316" s="14">
        <v>10663</v>
      </c>
      <c r="D316" s="15" t="s">
        <v>775</v>
      </c>
      <c r="E316" s="15" t="s">
        <v>776</v>
      </c>
      <c r="F316" s="14" t="s">
        <v>283</v>
      </c>
      <c r="G316" s="4">
        <v>55000</v>
      </c>
      <c r="H316" s="39"/>
      <c r="I316" s="39"/>
      <c r="J316" s="4"/>
      <c r="K316" s="4"/>
      <c r="L316" s="11">
        <f t="shared" si="31"/>
        <v>660000</v>
      </c>
      <c r="M316" s="71">
        <v>0</v>
      </c>
      <c r="N316" s="71">
        <v>0</v>
      </c>
      <c r="O316" s="71">
        <v>0</v>
      </c>
      <c r="P316" s="71">
        <v>0</v>
      </c>
      <c r="Q316" s="71">
        <f>VLOOKUP(C316,Incentives!C310:K649,9,FALSE)</f>
        <v>0</v>
      </c>
      <c r="R316" s="71">
        <v>0</v>
      </c>
      <c r="S316" s="13">
        <v>0</v>
      </c>
      <c r="T316" s="13">
        <v>0</v>
      </c>
      <c r="U316" s="13"/>
      <c r="V316" s="13"/>
      <c r="W316" s="13"/>
      <c r="Y316" s="71">
        <v>0</v>
      </c>
      <c r="Z316" s="71">
        <v>0</v>
      </c>
      <c r="AA316" s="71">
        <v>0</v>
      </c>
      <c r="AB316" s="71">
        <v>0</v>
      </c>
      <c r="AC316" s="71">
        <v>0</v>
      </c>
      <c r="AD316" s="71">
        <v>8600</v>
      </c>
      <c r="AE316" s="13">
        <v>0</v>
      </c>
      <c r="AF316" s="13">
        <v>6750</v>
      </c>
      <c r="AG316" s="13"/>
      <c r="AH316" s="13"/>
      <c r="AI316" s="20"/>
      <c r="AJ316" s="13"/>
      <c r="AK316" s="11">
        <f t="shared" si="44"/>
        <v>675350</v>
      </c>
      <c r="AL316" s="11">
        <f t="shared" si="45"/>
        <v>56279.166666666664</v>
      </c>
      <c r="AM316" s="11">
        <f t="shared" si="33"/>
        <v>753.5</v>
      </c>
      <c r="AN316" s="11">
        <f>VLOOKUP(C316,'Paid Tax'!B311:M672,12,FALSE)</f>
        <v>269.1111111111112</v>
      </c>
      <c r="AO316" s="11">
        <f t="shared" si="29"/>
        <v>484.3888888888888</v>
      </c>
      <c r="AP316" s="13">
        <v>7</v>
      </c>
      <c r="AQ316" s="16">
        <f t="shared" ref="AQ316:AQ369" si="46">+AO316/AP316</f>
        <v>69.198412698412682</v>
      </c>
      <c r="AR316" s="89" t="s">
        <v>1180</v>
      </c>
      <c r="AS316" s="11">
        <f t="shared" si="34"/>
        <v>-69.198412698412682</v>
      </c>
    </row>
    <row r="317" spans="1:46" s="13" customFormat="1" x14ac:dyDescent="0.25">
      <c r="A317" s="12">
        <v>310</v>
      </c>
      <c r="B317" s="60" t="s">
        <v>293</v>
      </c>
      <c r="C317" s="14">
        <v>10664</v>
      </c>
      <c r="D317" s="15" t="s">
        <v>777</v>
      </c>
      <c r="E317" s="15" t="s">
        <v>23</v>
      </c>
      <c r="F317" s="14" t="s">
        <v>279</v>
      </c>
      <c r="G317" s="4">
        <v>36000</v>
      </c>
      <c r="H317" s="4"/>
      <c r="I317" s="4"/>
      <c r="J317" s="4"/>
      <c r="K317" s="4"/>
      <c r="L317" s="11">
        <f t="shared" si="31"/>
        <v>432000</v>
      </c>
      <c r="M317" s="71">
        <v>0</v>
      </c>
      <c r="N317" s="71">
        <v>0</v>
      </c>
      <c r="O317" s="71">
        <v>0</v>
      </c>
      <c r="P317" s="71">
        <v>0</v>
      </c>
      <c r="Q317" s="71">
        <f>VLOOKUP(C317,Incentives!C311:K650,9,FALSE)</f>
        <v>0</v>
      </c>
      <c r="R317" s="71">
        <v>0</v>
      </c>
      <c r="S317" s="13">
        <v>0</v>
      </c>
      <c r="T317" s="13">
        <v>0</v>
      </c>
      <c r="Y317" s="71">
        <v>0</v>
      </c>
      <c r="Z317" s="71">
        <v>0</v>
      </c>
      <c r="AA317" s="71">
        <v>0</v>
      </c>
      <c r="AB317" s="71">
        <v>0</v>
      </c>
      <c r="AC317" s="71">
        <v>0</v>
      </c>
      <c r="AD317" s="71">
        <v>0</v>
      </c>
      <c r="AE317" s="13">
        <v>0</v>
      </c>
      <c r="AF317" s="13">
        <v>0</v>
      </c>
      <c r="AI317" s="20"/>
      <c r="AK317" s="11">
        <f t="shared" si="44"/>
        <v>432000</v>
      </c>
      <c r="AL317" s="11">
        <f t="shared" si="45"/>
        <v>36000</v>
      </c>
      <c r="AM317" s="11">
        <f t="shared" si="33"/>
        <v>0</v>
      </c>
      <c r="AN317" s="11">
        <f>VLOOKUP(C317,'Paid Tax'!B312:M673,12,FALSE)</f>
        <v>0</v>
      </c>
      <c r="AO317" s="11">
        <f t="shared" si="29"/>
        <v>0</v>
      </c>
      <c r="AP317" s="13">
        <v>5</v>
      </c>
      <c r="AQ317" s="16">
        <f t="shared" si="46"/>
        <v>0</v>
      </c>
      <c r="AS317" s="11">
        <f t="shared" si="34"/>
        <v>0</v>
      </c>
    </row>
    <row r="318" spans="1:46" s="13" customFormat="1" x14ac:dyDescent="0.25">
      <c r="A318" s="12">
        <v>311</v>
      </c>
      <c r="B318" s="60" t="s">
        <v>293</v>
      </c>
      <c r="C318" s="14">
        <v>10665</v>
      </c>
      <c r="D318" s="15" t="s">
        <v>778</v>
      </c>
      <c r="E318" s="15" t="s">
        <v>23</v>
      </c>
      <c r="F318" s="14" t="s">
        <v>279</v>
      </c>
      <c r="G318" s="4">
        <v>32000</v>
      </c>
      <c r="H318" s="5"/>
      <c r="I318" s="5"/>
      <c r="J318" s="4"/>
      <c r="K318" s="4"/>
      <c r="L318" s="11">
        <f t="shared" si="31"/>
        <v>384000</v>
      </c>
      <c r="M318" s="71">
        <v>0</v>
      </c>
      <c r="N318" s="71">
        <v>0</v>
      </c>
      <c r="O318" s="71">
        <v>0</v>
      </c>
      <c r="P318" s="71">
        <v>0</v>
      </c>
      <c r="Q318" s="71">
        <f>VLOOKUP(C318,Incentives!C312:K651,9,FALSE)</f>
        <v>0</v>
      </c>
      <c r="R318" s="71">
        <v>0</v>
      </c>
      <c r="S318" s="13">
        <v>0</v>
      </c>
      <c r="T318" s="13">
        <v>0</v>
      </c>
      <c r="Y318" s="71">
        <v>0</v>
      </c>
      <c r="Z318" s="71">
        <v>0</v>
      </c>
      <c r="AA318" s="71">
        <v>0</v>
      </c>
      <c r="AB318" s="71">
        <v>0</v>
      </c>
      <c r="AC318" s="71">
        <v>0</v>
      </c>
      <c r="AD318" s="71">
        <v>0</v>
      </c>
      <c r="AE318" s="13">
        <v>0</v>
      </c>
      <c r="AF318" s="13">
        <v>0</v>
      </c>
      <c r="AI318" s="20"/>
      <c r="AK318" s="11">
        <f t="shared" si="44"/>
        <v>384000</v>
      </c>
      <c r="AL318" s="11">
        <f t="shared" si="45"/>
        <v>32000</v>
      </c>
      <c r="AM318" s="11">
        <f t="shared" si="33"/>
        <v>0</v>
      </c>
      <c r="AN318" s="11">
        <f>VLOOKUP(C318,'Paid Tax'!B313:M674,12,FALSE)</f>
        <v>0</v>
      </c>
      <c r="AO318" s="11">
        <f t="shared" si="29"/>
        <v>0</v>
      </c>
      <c r="AP318" s="13">
        <v>5</v>
      </c>
      <c r="AQ318" s="16">
        <f t="shared" si="46"/>
        <v>0</v>
      </c>
      <c r="AS318" s="11">
        <f t="shared" si="34"/>
        <v>0</v>
      </c>
    </row>
    <row r="319" spans="1:46" s="13" customFormat="1" x14ac:dyDescent="0.25">
      <c r="A319" s="12">
        <v>312</v>
      </c>
      <c r="B319" s="60" t="s">
        <v>293</v>
      </c>
      <c r="C319" s="14">
        <v>10666</v>
      </c>
      <c r="D319" s="15" t="s">
        <v>779</v>
      </c>
      <c r="E319" s="15" t="s">
        <v>23</v>
      </c>
      <c r="F319" s="14" t="s">
        <v>279</v>
      </c>
      <c r="G319" s="4">
        <v>35000</v>
      </c>
      <c r="H319" s="4"/>
      <c r="I319" s="4"/>
      <c r="J319" s="4"/>
      <c r="K319" s="4"/>
      <c r="L319" s="11">
        <f t="shared" si="31"/>
        <v>420000</v>
      </c>
      <c r="M319" s="71">
        <v>0</v>
      </c>
      <c r="N319" s="71">
        <v>0</v>
      </c>
      <c r="O319" s="71">
        <v>0</v>
      </c>
      <c r="P319" s="71">
        <v>0</v>
      </c>
      <c r="Q319" s="71">
        <f>VLOOKUP(C319,Incentives!C313:K652,9,FALSE)</f>
        <v>0</v>
      </c>
      <c r="R319" s="71">
        <v>0</v>
      </c>
      <c r="S319" s="13">
        <v>0</v>
      </c>
      <c r="T319" s="13">
        <v>0</v>
      </c>
      <c r="Y319" s="71">
        <v>0</v>
      </c>
      <c r="Z319" s="71">
        <v>0</v>
      </c>
      <c r="AA319" s="71">
        <v>0</v>
      </c>
      <c r="AB319" s="71">
        <v>0</v>
      </c>
      <c r="AC319" s="71">
        <v>0</v>
      </c>
      <c r="AD319" s="71">
        <v>0</v>
      </c>
      <c r="AE319" s="13">
        <v>0</v>
      </c>
      <c r="AF319" s="13">
        <v>0</v>
      </c>
      <c r="AI319" s="20"/>
      <c r="AK319" s="11">
        <f t="shared" si="44"/>
        <v>420000</v>
      </c>
      <c r="AL319" s="11">
        <f t="shared" si="45"/>
        <v>35000</v>
      </c>
      <c r="AM319" s="11">
        <f t="shared" si="33"/>
        <v>0</v>
      </c>
      <c r="AN319" s="11">
        <f>VLOOKUP(C319,'Paid Tax'!B314:M675,12,FALSE)</f>
        <v>0</v>
      </c>
      <c r="AO319" s="11">
        <f t="shared" si="29"/>
        <v>0</v>
      </c>
      <c r="AP319" s="13">
        <v>5</v>
      </c>
      <c r="AQ319" s="16">
        <f t="shared" si="46"/>
        <v>0</v>
      </c>
      <c r="AS319" s="11">
        <f t="shared" si="34"/>
        <v>0</v>
      </c>
    </row>
    <row r="320" spans="1:46" s="13" customFormat="1" x14ac:dyDescent="0.25">
      <c r="A320" s="12">
        <v>313</v>
      </c>
      <c r="B320" s="60" t="s">
        <v>293</v>
      </c>
      <c r="C320" s="14">
        <v>10667</v>
      </c>
      <c r="D320" s="15" t="s">
        <v>201</v>
      </c>
      <c r="E320" s="15" t="s">
        <v>23</v>
      </c>
      <c r="F320" s="14" t="s">
        <v>279</v>
      </c>
      <c r="G320" s="4">
        <v>32000</v>
      </c>
      <c r="H320" s="4"/>
      <c r="I320" s="4"/>
      <c r="J320" s="4"/>
      <c r="K320" s="4"/>
      <c r="L320" s="11">
        <f t="shared" si="31"/>
        <v>384000</v>
      </c>
      <c r="M320" s="71">
        <v>0</v>
      </c>
      <c r="N320" s="71">
        <v>0</v>
      </c>
      <c r="O320" s="71">
        <v>0</v>
      </c>
      <c r="P320" s="71">
        <v>0</v>
      </c>
      <c r="Q320" s="71">
        <f>VLOOKUP(C320,Incentives!C314:K653,9,FALSE)</f>
        <v>0</v>
      </c>
      <c r="R320" s="71">
        <v>0</v>
      </c>
      <c r="S320" s="13">
        <v>0</v>
      </c>
      <c r="T320" s="13">
        <v>0</v>
      </c>
      <c r="Y320" s="71">
        <v>0</v>
      </c>
      <c r="Z320" s="71">
        <v>0</v>
      </c>
      <c r="AA320" s="71">
        <v>0</v>
      </c>
      <c r="AB320" s="71">
        <v>0</v>
      </c>
      <c r="AC320" s="71">
        <v>0</v>
      </c>
      <c r="AD320" s="71">
        <v>0</v>
      </c>
      <c r="AE320" s="13">
        <v>0</v>
      </c>
      <c r="AF320" s="13">
        <v>0</v>
      </c>
      <c r="AI320" s="20"/>
      <c r="AK320" s="11">
        <f t="shared" si="44"/>
        <v>384000</v>
      </c>
      <c r="AL320" s="11">
        <f t="shared" si="45"/>
        <v>32000</v>
      </c>
      <c r="AM320" s="11">
        <f t="shared" si="33"/>
        <v>0</v>
      </c>
      <c r="AN320" s="11">
        <f>VLOOKUP(C320,'Paid Tax'!B315:M676,12,FALSE)</f>
        <v>0</v>
      </c>
      <c r="AO320" s="11">
        <f t="shared" si="29"/>
        <v>0</v>
      </c>
      <c r="AP320" s="13">
        <v>5</v>
      </c>
      <c r="AQ320" s="16">
        <f t="shared" si="46"/>
        <v>0</v>
      </c>
      <c r="AS320" s="11">
        <f t="shared" si="34"/>
        <v>0</v>
      </c>
    </row>
    <row r="321" spans="1:45" s="13" customFormat="1" x14ac:dyDescent="0.25">
      <c r="A321" s="12">
        <v>314</v>
      </c>
      <c r="B321" s="60" t="s">
        <v>293</v>
      </c>
      <c r="C321" s="14">
        <v>10668</v>
      </c>
      <c r="D321" s="15" t="s">
        <v>780</v>
      </c>
      <c r="E321" s="15" t="s">
        <v>781</v>
      </c>
      <c r="F321" s="14" t="s">
        <v>282</v>
      </c>
      <c r="G321" s="4">
        <v>40000</v>
      </c>
      <c r="H321" s="5"/>
      <c r="I321" s="5"/>
      <c r="J321" s="4"/>
      <c r="K321" s="4"/>
      <c r="L321" s="11">
        <f t="shared" si="31"/>
        <v>480000</v>
      </c>
      <c r="M321" s="71">
        <v>0</v>
      </c>
      <c r="N321" s="71">
        <v>0</v>
      </c>
      <c r="O321" s="71">
        <v>0</v>
      </c>
      <c r="P321" s="71">
        <v>0</v>
      </c>
      <c r="Q321" s="71">
        <f>VLOOKUP(C321,Incentives!C315:K654,9,FALSE)</f>
        <v>0</v>
      </c>
      <c r="R321" s="71">
        <v>0</v>
      </c>
      <c r="S321" s="13">
        <v>0</v>
      </c>
      <c r="T321" s="13">
        <v>0</v>
      </c>
      <c r="Y321" s="71">
        <v>0</v>
      </c>
      <c r="Z321" s="71">
        <v>0</v>
      </c>
      <c r="AA321" s="71">
        <v>0</v>
      </c>
      <c r="AB321" s="71">
        <v>0</v>
      </c>
      <c r="AC321" s="71">
        <v>0</v>
      </c>
      <c r="AD321" s="71">
        <v>0</v>
      </c>
      <c r="AE321" s="13">
        <v>0</v>
      </c>
      <c r="AF321" s="13">
        <v>0</v>
      </c>
      <c r="AI321" s="20"/>
      <c r="AK321" s="11">
        <f t="shared" si="44"/>
        <v>480000</v>
      </c>
      <c r="AL321" s="11">
        <f t="shared" si="45"/>
        <v>40000</v>
      </c>
      <c r="AM321" s="11">
        <f t="shared" si="33"/>
        <v>0</v>
      </c>
      <c r="AN321" s="11">
        <f>VLOOKUP(C321,'Paid Tax'!B316:M677,12,FALSE)</f>
        <v>0</v>
      </c>
      <c r="AO321" s="11">
        <f t="shared" si="29"/>
        <v>0</v>
      </c>
      <c r="AP321" s="13">
        <v>5</v>
      </c>
      <c r="AQ321" s="16">
        <f t="shared" si="46"/>
        <v>0</v>
      </c>
      <c r="AS321" s="11">
        <f t="shared" si="34"/>
        <v>0</v>
      </c>
    </row>
    <row r="322" spans="1:45" s="13" customFormat="1" x14ac:dyDescent="0.25">
      <c r="A322" s="12">
        <v>315</v>
      </c>
      <c r="B322" s="60" t="s">
        <v>293</v>
      </c>
      <c r="C322" s="14">
        <v>10670</v>
      </c>
      <c r="D322" s="15" t="s">
        <v>782</v>
      </c>
      <c r="E322" s="15" t="s">
        <v>783</v>
      </c>
      <c r="F322" s="14" t="s">
        <v>288</v>
      </c>
      <c r="G322" s="4">
        <v>38000</v>
      </c>
      <c r="H322" s="5"/>
      <c r="I322" s="5"/>
      <c r="J322" s="4"/>
      <c r="K322" s="4"/>
      <c r="L322" s="11">
        <f t="shared" si="31"/>
        <v>456000</v>
      </c>
      <c r="M322" s="71">
        <v>0</v>
      </c>
      <c r="N322" s="71">
        <v>0</v>
      </c>
      <c r="O322" s="71">
        <v>0</v>
      </c>
      <c r="P322" s="71">
        <v>0</v>
      </c>
      <c r="Q322" s="71">
        <f>VLOOKUP(C322,Incentives!C316:K655,9,FALSE)</f>
        <v>0</v>
      </c>
      <c r="R322" s="71">
        <v>0</v>
      </c>
      <c r="S322" s="13">
        <v>0</v>
      </c>
      <c r="T322" s="13">
        <v>0</v>
      </c>
      <c r="Y322" s="71">
        <v>0</v>
      </c>
      <c r="Z322" s="71">
        <v>0</v>
      </c>
      <c r="AA322" s="71">
        <v>0</v>
      </c>
      <c r="AB322" s="71">
        <v>0</v>
      </c>
      <c r="AC322" s="71">
        <v>0</v>
      </c>
      <c r="AD322" s="71">
        <v>0</v>
      </c>
      <c r="AE322" s="13">
        <v>0</v>
      </c>
      <c r="AF322" s="13">
        <v>0</v>
      </c>
      <c r="AI322" s="20"/>
      <c r="AK322" s="11">
        <f t="shared" ref="AK322:AK330" si="47">SUM(L322:AJ322)</f>
        <v>456000</v>
      </c>
      <c r="AL322" s="11">
        <f t="shared" ref="AL322:AL330" si="48">AK322/12</f>
        <v>38000</v>
      </c>
      <c r="AM322" s="11">
        <f t="shared" si="33"/>
        <v>0</v>
      </c>
      <c r="AN322" s="11">
        <f>VLOOKUP(C322,'Paid Tax'!B317:M678,12,FALSE)</f>
        <v>0</v>
      </c>
      <c r="AO322" s="11">
        <f t="shared" si="29"/>
        <v>0</v>
      </c>
      <c r="AP322" s="13">
        <v>5</v>
      </c>
      <c r="AQ322" s="16">
        <f t="shared" ref="AQ322:AQ330" si="49">+AO322/AP322</f>
        <v>0</v>
      </c>
      <c r="AS322" s="11">
        <f t="shared" si="34"/>
        <v>0</v>
      </c>
    </row>
    <row r="323" spans="1:45" s="13" customFormat="1" x14ac:dyDescent="0.25">
      <c r="A323" s="12">
        <v>316</v>
      </c>
      <c r="B323" s="60" t="s">
        <v>293</v>
      </c>
      <c r="C323" s="14">
        <v>10671</v>
      </c>
      <c r="D323" s="15" t="s">
        <v>784</v>
      </c>
      <c r="E323" s="15" t="s">
        <v>69</v>
      </c>
      <c r="F323" s="14" t="s">
        <v>284</v>
      </c>
      <c r="G323" s="4">
        <v>35000</v>
      </c>
      <c r="H323" s="5"/>
      <c r="I323" s="5"/>
      <c r="J323" s="4"/>
      <c r="K323" s="4"/>
      <c r="L323" s="11">
        <f t="shared" si="31"/>
        <v>420000</v>
      </c>
      <c r="M323" s="71">
        <v>0</v>
      </c>
      <c r="N323" s="71">
        <v>0</v>
      </c>
      <c r="O323" s="71">
        <v>0</v>
      </c>
      <c r="P323" s="71">
        <v>1860</v>
      </c>
      <c r="Q323" s="71">
        <f>VLOOKUP(C323,Incentives!C317:K656,9,FALSE)</f>
        <v>11655</v>
      </c>
      <c r="R323" s="71">
        <v>5950</v>
      </c>
      <c r="S323" s="13">
        <v>2160</v>
      </c>
      <c r="T323" s="13">
        <v>2040</v>
      </c>
      <c r="Y323" s="71">
        <v>0</v>
      </c>
      <c r="Z323" s="71">
        <v>0</v>
      </c>
      <c r="AA323" s="71">
        <v>0</v>
      </c>
      <c r="AB323" s="71">
        <v>0</v>
      </c>
      <c r="AC323" s="71">
        <v>0</v>
      </c>
      <c r="AD323" s="71">
        <v>0</v>
      </c>
      <c r="AE323" s="13">
        <v>0</v>
      </c>
      <c r="AF323" s="13">
        <v>0</v>
      </c>
      <c r="AI323" s="20"/>
      <c r="AK323" s="11">
        <f t="shared" si="47"/>
        <v>443665</v>
      </c>
      <c r="AL323" s="11">
        <f t="shared" si="48"/>
        <v>36972.083333333336</v>
      </c>
      <c r="AM323" s="11">
        <f t="shared" si="33"/>
        <v>0</v>
      </c>
      <c r="AN323" s="11">
        <f>VLOOKUP(C323,'Paid Tax'!B318:M679,12,FALSE)</f>
        <v>0</v>
      </c>
      <c r="AO323" s="11">
        <f t="shared" si="29"/>
        <v>0</v>
      </c>
      <c r="AP323" s="13">
        <v>5</v>
      </c>
      <c r="AQ323" s="16">
        <f t="shared" si="49"/>
        <v>0</v>
      </c>
      <c r="AS323" s="11">
        <f t="shared" si="34"/>
        <v>0</v>
      </c>
    </row>
    <row r="324" spans="1:45" s="13" customFormat="1" x14ac:dyDescent="0.25">
      <c r="A324" s="12">
        <v>317</v>
      </c>
      <c r="B324" s="60" t="s">
        <v>293</v>
      </c>
      <c r="C324" s="14">
        <v>10672</v>
      </c>
      <c r="D324" s="15" t="s">
        <v>785</v>
      </c>
      <c r="E324" s="15" t="s">
        <v>69</v>
      </c>
      <c r="F324" s="14" t="s">
        <v>284</v>
      </c>
      <c r="G324" s="4">
        <v>36000</v>
      </c>
      <c r="H324" s="5"/>
      <c r="I324" s="5"/>
      <c r="J324" s="4"/>
      <c r="K324" s="4"/>
      <c r="L324" s="11">
        <f t="shared" si="31"/>
        <v>432000</v>
      </c>
      <c r="M324" s="71">
        <v>0</v>
      </c>
      <c r="N324" s="71">
        <v>0</v>
      </c>
      <c r="O324" s="71">
        <v>0</v>
      </c>
      <c r="P324" s="71">
        <v>2160</v>
      </c>
      <c r="Q324" s="71">
        <f>VLOOKUP(C324,Incentives!C318:K657,9,FALSE)</f>
        <v>3240</v>
      </c>
      <c r="R324" s="71">
        <v>0</v>
      </c>
      <c r="S324" s="13">
        <v>0</v>
      </c>
      <c r="T324" s="13">
        <v>0</v>
      </c>
      <c r="Y324" s="71">
        <v>0</v>
      </c>
      <c r="Z324" s="71">
        <v>0</v>
      </c>
      <c r="AA324" s="71">
        <v>0</v>
      </c>
      <c r="AB324" s="71">
        <v>0</v>
      </c>
      <c r="AC324" s="71">
        <v>0</v>
      </c>
      <c r="AD324" s="71">
        <v>0</v>
      </c>
      <c r="AE324" s="13">
        <v>0</v>
      </c>
      <c r="AF324" s="13">
        <v>0</v>
      </c>
      <c r="AI324" s="20"/>
      <c r="AK324" s="11">
        <f t="shared" si="47"/>
        <v>437400</v>
      </c>
      <c r="AL324" s="11">
        <f t="shared" si="48"/>
        <v>36450</v>
      </c>
      <c r="AM324" s="11">
        <f t="shared" si="33"/>
        <v>0</v>
      </c>
      <c r="AN324" s="11">
        <f>VLOOKUP(C324,'Paid Tax'!B319:M680,12,FALSE)</f>
        <v>0</v>
      </c>
      <c r="AO324" s="11">
        <f t="shared" si="29"/>
        <v>0</v>
      </c>
      <c r="AP324" s="13">
        <v>5</v>
      </c>
      <c r="AQ324" s="16">
        <f t="shared" si="49"/>
        <v>0</v>
      </c>
      <c r="AS324" s="11">
        <f t="shared" si="34"/>
        <v>0</v>
      </c>
    </row>
    <row r="325" spans="1:45" s="13" customFormat="1" x14ac:dyDescent="0.25">
      <c r="A325" s="12">
        <v>318</v>
      </c>
      <c r="B325" s="60" t="s">
        <v>293</v>
      </c>
      <c r="C325" s="14">
        <v>10673</v>
      </c>
      <c r="D325" s="15" t="s">
        <v>786</v>
      </c>
      <c r="E325" s="15" t="s">
        <v>69</v>
      </c>
      <c r="F325" s="14" t="s">
        <v>284</v>
      </c>
      <c r="G325" s="4">
        <v>37000</v>
      </c>
      <c r="H325" s="4"/>
      <c r="I325" s="4"/>
      <c r="J325" s="4"/>
      <c r="K325" s="4"/>
      <c r="L325" s="11">
        <f t="shared" si="31"/>
        <v>444000</v>
      </c>
      <c r="M325" s="71">
        <v>0</v>
      </c>
      <c r="N325" s="71">
        <v>0</v>
      </c>
      <c r="O325" s="71">
        <v>0</v>
      </c>
      <c r="P325" s="71">
        <v>2040</v>
      </c>
      <c r="Q325" s="71">
        <f>VLOOKUP(C325,Incentives!C319:K658,9,FALSE)</f>
        <v>15680</v>
      </c>
      <c r="R325" s="71">
        <v>8640</v>
      </c>
      <c r="S325" s="13">
        <v>7680</v>
      </c>
      <c r="T325" s="13">
        <v>1830</v>
      </c>
      <c r="Y325" s="71">
        <v>0</v>
      </c>
      <c r="Z325" s="71">
        <v>0</v>
      </c>
      <c r="AA325" s="71">
        <v>0</v>
      </c>
      <c r="AB325" s="71">
        <v>0</v>
      </c>
      <c r="AC325" s="71">
        <v>0</v>
      </c>
      <c r="AD325" s="71">
        <v>0</v>
      </c>
      <c r="AE325" s="13">
        <v>0</v>
      </c>
      <c r="AF325" s="13">
        <v>0</v>
      </c>
      <c r="AI325" s="20"/>
      <c r="AK325" s="11">
        <f t="shared" si="47"/>
        <v>479870</v>
      </c>
      <c r="AL325" s="11">
        <f t="shared" si="48"/>
        <v>39989.166666666664</v>
      </c>
      <c r="AM325" s="11">
        <f t="shared" si="33"/>
        <v>0</v>
      </c>
      <c r="AN325" s="11">
        <f>VLOOKUP(C325,'Paid Tax'!B320:M681,12,FALSE)</f>
        <v>0</v>
      </c>
      <c r="AO325" s="11">
        <f t="shared" si="29"/>
        <v>0</v>
      </c>
      <c r="AP325" s="13">
        <v>5</v>
      </c>
      <c r="AQ325" s="16">
        <f t="shared" si="49"/>
        <v>0</v>
      </c>
      <c r="AS325" s="11">
        <f t="shared" si="34"/>
        <v>0</v>
      </c>
    </row>
    <row r="326" spans="1:45" s="13" customFormat="1" x14ac:dyDescent="0.25">
      <c r="A326" s="12">
        <v>319</v>
      </c>
      <c r="B326" s="60" t="s">
        <v>293</v>
      </c>
      <c r="C326" s="14">
        <v>10674</v>
      </c>
      <c r="D326" s="15" t="s">
        <v>787</v>
      </c>
      <c r="E326" s="15" t="s">
        <v>69</v>
      </c>
      <c r="F326" s="14" t="s">
        <v>284</v>
      </c>
      <c r="G326" s="4">
        <v>30000</v>
      </c>
      <c r="H326" s="4"/>
      <c r="I326" s="4"/>
      <c r="J326" s="4"/>
      <c r="K326" s="4"/>
      <c r="L326" s="11">
        <f t="shared" si="31"/>
        <v>360000</v>
      </c>
      <c r="M326" s="71">
        <v>0</v>
      </c>
      <c r="N326" s="71">
        <v>0</v>
      </c>
      <c r="O326" s="71">
        <v>0</v>
      </c>
      <c r="P326" s="71">
        <v>0</v>
      </c>
      <c r="Q326" s="71">
        <f>VLOOKUP(C326,Incentives!C320:K659,9,FALSE)</f>
        <v>0</v>
      </c>
      <c r="R326" s="71">
        <v>960</v>
      </c>
      <c r="S326" s="13">
        <v>960</v>
      </c>
      <c r="T326" s="13">
        <v>900</v>
      </c>
      <c r="Y326" s="71">
        <v>0</v>
      </c>
      <c r="Z326" s="71">
        <v>0</v>
      </c>
      <c r="AA326" s="71">
        <v>0</v>
      </c>
      <c r="AB326" s="71">
        <v>0</v>
      </c>
      <c r="AC326" s="71">
        <v>0</v>
      </c>
      <c r="AD326" s="71">
        <v>0</v>
      </c>
      <c r="AE326" s="13">
        <v>0</v>
      </c>
      <c r="AF326" s="13">
        <v>0</v>
      </c>
      <c r="AI326" s="20"/>
      <c r="AK326" s="11">
        <f t="shared" si="47"/>
        <v>362820</v>
      </c>
      <c r="AL326" s="11">
        <f t="shared" si="48"/>
        <v>30235</v>
      </c>
      <c r="AM326" s="11">
        <f t="shared" si="33"/>
        <v>0</v>
      </c>
      <c r="AN326" s="11">
        <f>VLOOKUP(C326,'Paid Tax'!B321:M682,12,FALSE)</f>
        <v>0</v>
      </c>
      <c r="AO326" s="11">
        <f t="shared" si="29"/>
        <v>0</v>
      </c>
      <c r="AP326" s="13">
        <v>5</v>
      </c>
      <c r="AQ326" s="16">
        <f t="shared" si="49"/>
        <v>0</v>
      </c>
      <c r="AS326" s="11">
        <f t="shared" si="34"/>
        <v>0</v>
      </c>
    </row>
    <row r="327" spans="1:45" s="13" customFormat="1" x14ac:dyDescent="0.25">
      <c r="A327" s="12">
        <v>320</v>
      </c>
      <c r="B327" s="60" t="s">
        <v>294</v>
      </c>
      <c r="C327" s="14">
        <v>10669</v>
      </c>
      <c r="D327" s="15" t="s">
        <v>788</v>
      </c>
      <c r="E327" s="15" t="s">
        <v>69</v>
      </c>
      <c r="F327" s="14" t="s">
        <v>284</v>
      </c>
      <c r="G327" s="4">
        <v>30000</v>
      </c>
      <c r="H327" s="4"/>
      <c r="I327" s="4"/>
      <c r="J327" s="4"/>
      <c r="K327" s="4"/>
      <c r="L327" s="11">
        <f t="shared" si="31"/>
        <v>360000</v>
      </c>
      <c r="M327" s="71">
        <v>0</v>
      </c>
      <c r="N327" s="71">
        <v>0</v>
      </c>
      <c r="O327" s="71">
        <v>0</v>
      </c>
      <c r="P327" s="71">
        <v>0</v>
      </c>
      <c r="Q327" s="71">
        <f>VLOOKUP(C327,Incentives!C321:K660,9,FALSE)</f>
        <v>1830</v>
      </c>
      <c r="R327" s="71">
        <v>4615</v>
      </c>
      <c r="S327" s="13">
        <v>1770</v>
      </c>
      <c r="T327" s="13">
        <v>0</v>
      </c>
      <c r="Y327" s="71">
        <v>0</v>
      </c>
      <c r="Z327" s="71">
        <v>0</v>
      </c>
      <c r="AA327" s="71">
        <v>0</v>
      </c>
      <c r="AB327" s="71">
        <v>0</v>
      </c>
      <c r="AC327" s="71">
        <v>0</v>
      </c>
      <c r="AD327" s="71">
        <v>0</v>
      </c>
      <c r="AE327" s="13">
        <v>0</v>
      </c>
      <c r="AF327" s="13">
        <v>0</v>
      </c>
      <c r="AI327" s="20"/>
      <c r="AK327" s="11">
        <f t="shared" si="47"/>
        <v>368215</v>
      </c>
      <c r="AL327" s="11">
        <f t="shared" si="48"/>
        <v>30684.583333333332</v>
      </c>
      <c r="AM327" s="11">
        <f t="shared" si="33"/>
        <v>0</v>
      </c>
      <c r="AN327" s="11">
        <f>VLOOKUP(C327,'Paid Tax'!B322:M683,12,FALSE)</f>
        <v>0</v>
      </c>
      <c r="AO327" s="11">
        <f t="shared" si="29"/>
        <v>0</v>
      </c>
      <c r="AP327" s="13">
        <v>5</v>
      </c>
      <c r="AQ327" s="16">
        <f t="shared" si="49"/>
        <v>0</v>
      </c>
      <c r="AS327" s="11">
        <f t="shared" si="34"/>
        <v>0</v>
      </c>
    </row>
    <row r="328" spans="1:45" s="13" customFormat="1" x14ac:dyDescent="0.25">
      <c r="A328" s="12">
        <v>321</v>
      </c>
      <c r="B328" s="14" t="s">
        <v>297</v>
      </c>
      <c r="C328" s="14">
        <v>10675</v>
      </c>
      <c r="D328" s="15" t="s">
        <v>792</v>
      </c>
      <c r="E328" s="15" t="s">
        <v>69</v>
      </c>
      <c r="F328" s="14" t="s">
        <v>284</v>
      </c>
      <c r="G328" s="4">
        <v>32000</v>
      </c>
      <c r="H328" s="4"/>
      <c r="I328" s="4"/>
      <c r="J328" s="4"/>
      <c r="K328" s="4"/>
      <c r="L328" s="11">
        <f t="shared" si="31"/>
        <v>384000</v>
      </c>
      <c r="M328" s="71">
        <v>0</v>
      </c>
      <c r="N328" s="71">
        <v>0</v>
      </c>
      <c r="O328" s="71">
        <v>0</v>
      </c>
      <c r="P328" s="71">
        <v>0</v>
      </c>
      <c r="Q328" s="71">
        <f>VLOOKUP(C328,Incentives!C322:K661,9,FALSE)</f>
        <v>1050</v>
      </c>
      <c r="R328" s="71">
        <v>1410</v>
      </c>
      <c r="S328" s="13">
        <v>1980</v>
      </c>
      <c r="T328" s="13">
        <v>1890</v>
      </c>
      <c r="Y328" s="71">
        <v>0</v>
      </c>
      <c r="Z328" s="71">
        <v>0</v>
      </c>
      <c r="AA328" s="71">
        <v>0</v>
      </c>
      <c r="AB328" s="71">
        <v>0</v>
      </c>
      <c r="AC328" s="71">
        <v>0</v>
      </c>
      <c r="AD328" s="71">
        <v>0</v>
      </c>
      <c r="AE328" s="13">
        <v>0</v>
      </c>
      <c r="AF328" s="13">
        <v>0</v>
      </c>
      <c r="AI328" s="20"/>
      <c r="AK328" s="11">
        <f t="shared" si="47"/>
        <v>390330</v>
      </c>
      <c r="AL328" s="11">
        <f t="shared" si="48"/>
        <v>32527.5</v>
      </c>
      <c r="AM328" s="11">
        <f t="shared" si="33"/>
        <v>0</v>
      </c>
      <c r="AN328" s="11">
        <f>VLOOKUP(C328,'Paid Tax'!B323:M684,12,FALSE)</f>
        <v>0</v>
      </c>
      <c r="AO328" s="11">
        <f t="shared" ref="AO328" si="50">+AM328-AN328</f>
        <v>0</v>
      </c>
      <c r="AP328" s="13">
        <v>5</v>
      </c>
      <c r="AQ328" s="16">
        <f t="shared" si="49"/>
        <v>0</v>
      </c>
      <c r="AS328" s="11">
        <f t="shared" si="34"/>
        <v>0</v>
      </c>
    </row>
    <row r="329" spans="1:45" s="13" customFormat="1" x14ac:dyDescent="0.25">
      <c r="A329" s="12">
        <v>322</v>
      </c>
      <c r="B329" s="14" t="s">
        <v>293</v>
      </c>
      <c r="C329" s="14">
        <v>10676</v>
      </c>
      <c r="D329" s="15" t="s">
        <v>855</v>
      </c>
      <c r="E329" s="15" t="s">
        <v>69</v>
      </c>
      <c r="F329" s="14" t="s">
        <v>284</v>
      </c>
      <c r="G329" s="4">
        <v>35000</v>
      </c>
      <c r="H329" s="4"/>
      <c r="I329" s="4"/>
      <c r="J329" s="4"/>
      <c r="K329" s="4"/>
      <c r="L329" s="11">
        <f t="shared" ref="L329:L336" si="51">G329*12+H329+J329+K329+I329</f>
        <v>420000</v>
      </c>
      <c r="M329" s="71">
        <v>0</v>
      </c>
      <c r="N329" s="71">
        <v>0</v>
      </c>
      <c r="O329" s="71">
        <v>0</v>
      </c>
      <c r="P329" s="71">
        <v>0</v>
      </c>
      <c r="Q329" s="71">
        <f>VLOOKUP(C329,Incentives!C323:K662,9,FALSE)</f>
        <v>5590</v>
      </c>
      <c r="R329" s="71">
        <v>27900</v>
      </c>
      <c r="S329" s="13">
        <v>9700</v>
      </c>
      <c r="T329" s="13">
        <v>11400</v>
      </c>
      <c r="Y329" s="71">
        <v>0</v>
      </c>
      <c r="Z329" s="71">
        <v>0</v>
      </c>
      <c r="AA329" s="71">
        <v>0</v>
      </c>
      <c r="AB329" s="71">
        <v>0</v>
      </c>
      <c r="AC329" s="71">
        <v>0</v>
      </c>
      <c r="AD329" s="71">
        <v>0</v>
      </c>
      <c r="AE329" s="13">
        <v>0</v>
      </c>
      <c r="AF329" s="13">
        <v>0</v>
      </c>
      <c r="AI329" s="20"/>
      <c r="AK329" s="11">
        <f t="shared" si="47"/>
        <v>474590</v>
      </c>
      <c r="AL329" s="11">
        <f t="shared" si="48"/>
        <v>39549.166666666664</v>
      </c>
      <c r="AM329" s="11">
        <f t="shared" ref="AM329:AM383" si="52">IF(AK329&lt;=600000,0,
IF(AK329&lt;=1200000,(AK329-600000)*0.01,
IF(AK329&lt;=2200000,(AK329-1200000)*0.11+6000,
IF(AK329&lt;=3200000,(AK329-2200000)*0.23+116000,
IF(AK329&lt;=4100000,(AK329-3200000)*0.3+346000,
(AK329-4100000)*0.35+616000)))))
*(1+IF(AK329&gt;10000000,9%,0))</f>
        <v>0</v>
      </c>
      <c r="AN329" s="11">
        <f>VLOOKUP(C329,'Paid Tax'!B324:M685,12,FALSE)</f>
        <v>0</v>
      </c>
      <c r="AO329" s="11">
        <f t="shared" ref="AO329:AO336" si="53">+AM329-AN329</f>
        <v>0</v>
      </c>
      <c r="AP329" s="13">
        <v>5</v>
      </c>
      <c r="AQ329" s="16">
        <f t="shared" si="49"/>
        <v>0</v>
      </c>
      <c r="AS329" s="11">
        <f t="shared" ref="AS329:AS393" si="54">-AQ329</f>
        <v>0</v>
      </c>
    </row>
    <row r="330" spans="1:45" s="13" customFormat="1" x14ac:dyDescent="0.25">
      <c r="A330" s="12">
        <v>323</v>
      </c>
      <c r="B330" s="14" t="s">
        <v>293</v>
      </c>
      <c r="C330" s="14">
        <v>10677</v>
      </c>
      <c r="D330" s="15" t="s">
        <v>856</v>
      </c>
      <c r="E330" s="15" t="s">
        <v>69</v>
      </c>
      <c r="F330" s="14" t="s">
        <v>284</v>
      </c>
      <c r="G330" s="4">
        <v>37000</v>
      </c>
      <c r="H330" s="4"/>
      <c r="I330" s="4"/>
      <c r="J330" s="4"/>
      <c r="K330" s="4"/>
      <c r="L330" s="11">
        <f t="shared" si="51"/>
        <v>444000</v>
      </c>
      <c r="M330" s="71">
        <v>0</v>
      </c>
      <c r="N330" s="71">
        <v>0</v>
      </c>
      <c r="O330" s="71">
        <v>0</v>
      </c>
      <c r="P330" s="71">
        <v>0</v>
      </c>
      <c r="Q330" s="71">
        <f>VLOOKUP(C330,Incentives!C324:K663,9,FALSE)</f>
        <v>990</v>
      </c>
      <c r="R330" s="71">
        <v>0</v>
      </c>
      <c r="S330" s="13">
        <v>0</v>
      </c>
      <c r="T330" s="13">
        <v>0</v>
      </c>
      <c r="Y330" s="71">
        <v>0</v>
      </c>
      <c r="Z330" s="71">
        <v>0</v>
      </c>
      <c r="AA330" s="71">
        <v>0</v>
      </c>
      <c r="AB330" s="71">
        <v>0</v>
      </c>
      <c r="AC330" s="71">
        <v>0</v>
      </c>
      <c r="AD330" s="71">
        <v>0</v>
      </c>
      <c r="AE330" s="13">
        <v>0</v>
      </c>
      <c r="AF330" s="13">
        <v>0</v>
      </c>
      <c r="AI330" s="20"/>
      <c r="AK330" s="11">
        <f t="shared" si="47"/>
        <v>444990</v>
      </c>
      <c r="AL330" s="11">
        <f t="shared" si="48"/>
        <v>37082.5</v>
      </c>
      <c r="AM330" s="11">
        <f t="shared" si="52"/>
        <v>0</v>
      </c>
      <c r="AN330" s="11">
        <f>VLOOKUP(C330,'Paid Tax'!B325:M686,12,FALSE)</f>
        <v>0</v>
      </c>
      <c r="AO330" s="11">
        <f t="shared" si="53"/>
        <v>0</v>
      </c>
      <c r="AP330" s="13">
        <v>5</v>
      </c>
      <c r="AQ330" s="16">
        <f t="shared" si="49"/>
        <v>0</v>
      </c>
      <c r="AS330" s="11">
        <f t="shared" si="54"/>
        <v>0</v>
      </c>
    </row>
    <row r="331" spans="1:45" s="13" customFormat="1" x14ac:dyDescent="0.25">
      <c r="A331" s="12">
        <v>324</v>
      </c>
      <c r="B331" s="14" t="s">
        <v>293</v>
      </c>
      <c r="C331" s="14">
        <v>10678</v>
      </c>
      <c r="D331" s="15" t="s">
        <v>857</v>
      </c>
      <c r="E331" s="15" t="s">
        <v>337</v>
      </c>
      <c r="F331" s="14" t="s">
        <v>573</v>
      </c>
      <c r="G331" s="4">
        <v>35000</v>
      </c>
      <c r="H331" s="4"/>
      <c r="I331" s="4"/>
      <c r="J331" s="4"/>
      <c r="K331" s="4"/>
      <c r="L331" s="11">
        <f t="shared" si="51"/>
        <v>420000</v>
      </c>
      <c r="M331" s="71">
        <v>0</v>
      </c>
      <c r="N331" s="71">
        <v>0</v>
      </c>
      <c r="O331" s="71">
        <v>0</v>
      </c>
      <c r="P331" s="71">
        <v>0</v>
      </c>
      <c r="Q331" s="71">
        <f>VLOOKUP(C331,Incentives!C325:K664,9,FALSE)</f>
        <v>0</v>
      </c>
      <c r="R331" s="71">
        <v>0</v>
      </c>
      <c r="S331" s="13">
        <v>0</v>
      </c>
      <c r="T331" s="13">
        <v>0</v>
      </c>
      <c r="Y331" s="71">
        <v>0</v>
      </c>
      <c r="Z331" s="71">
        <v>0</v>
      </c>
      <c r="AA331" s="71">
        <v>0</v>
      </c>
      <c r="AB331" s="71">
        <v>0</v>
      </c>
      <c r="AC331" s="71">
        <v>0</v>
      </c>
      <c r="AD331" s="71">
        <v>0</v>
      </c>
      <c r="AE331" s="13">
        <v>27773</v>
      </c>
      <c r="AF331" s="13">
        <v>89991</v>
      </c>
      <c r="AI331" s="20"/>
      <c r="AK331" s="11">
        <f t="shared" ref="AK331:AK336" si="55">SUM(L331:AJ331)</f>
        <v>537764</v>
      </c>
      <c r="AL331" s="11">
        <f t="shared" ref="AL331:AL336" si="56">AK331/12</f>
        <v>44813.666666666664</v>
      </c>
      <c r="AM331" s="11">
        <f t="shared" si="52"/>
        <v>0</v>
      </c>
      <c r="AN331" s="11">
        <f>VLOOKUP(C331,'Paid Tax'!B326:M687,12,FALSE)</f>
        <v>0</v>
      </c>
      <c r="AO331" s="11">
        <f t="shared" si="53"/>
        <v>0</v>
      </c>
      <c r="AP331" s="13">
        <v>5</v>
      </c>
      <c r="AQ331" s="16">
        <f t="shared" ref="AQ331:AQ336" si="57">+AO331/AP331</f>
        <v>0</v>
      </c>
      <c r="AS331" s="11">
        <f t="shared" si="54"/>
        <v>0</v>
      </c>
    </row>
    <row r="332" spans="1:45" s="13" customFormat="1" x14ac:dyDescent="0.25">
      <c r="A332" s="12">
        <v>325</v>
      </c>
      <c r="B332" s="14" t="s">
        <v>293</v>
      </c>
      <c r="C332" s="14">
        <v>10679</v>
      </c>
      <c r="D332" s="15" t="s">
        <v>858</v>
      </c>
      <c r="E332" s="15" t="s">
        <v>342</v>
      </c>
      <c r="F332" s="14" t="s">
        <v>287</v>
      </c>
      <c r="G332" s="4">
        <v>30000</v>
      </c>
      <c r="H332" s="4"/>
      <c r="I332" s="4"/>
      <c r="J332" s="4"/>
      <c r="K332" s="4"/>
      <c r="L332" s="11">
        <f t="shared" si="51"/>
        <v>360000</v>
      </c>
      <c r="M332" s="71">
        <v>0</v>
      </c>
      <c r="N332" s="71">
        <v>0</v>
      </c>
      <c r="O332" s="71">
        <v>0</v>
      </c>
      <c r="P332" s="71">
        <v>0</v>
      </c>
      <c r="Q332" s="71">
        <f>VLOOKUP(C332,Incentives!C326:K665,9,FALSE)</f>
        <v>0</v>
      </c>
      <c r="R332" s="71">
        <v>0</v>
      </c>
      <c r="S332" s="13">
        <v>0</v>
      </c>
      <c r="T332" s="13">
        <v>0</v>
      </c>
      <c r="Y332" s="71">
        <v>0</v>
      </c>
      <c r="Z332" s="71">
        <v>0</v>
      </c>
      <c r="AA332" s="71">
        <v>0</v>
      </c>
      <c r="AB332" s="71">
        <v>0</v>
      </c>
      <c r="AC332" s="71">
        <v>0</v>
      </c>
      <c r="AD332" s="71">
        <v>11148</v>
      </c>
      <c r="AE332" s="13">
        <v>0</v>
      </c>
      <c r="AF332" s="13">
        <v>0</v>
      </c>
      <c r="AI332" s="20"/>
      <c r="AK332" s="11">
        <f t="shared" si="55"/>
        <v>371148</v>
      </c>
      <c r="AL332" s="11">
        <f t="shared" si="56"/>
        <v>30929</v>
      </c>
      <c r="AM332" s="11">
        <f t="shared" si="52"/>
        <v>0</v>
      </c>
      <c r="AN332" s="11">
        <f>VLOOKUP(C332,'Paid Tax'!B327:M688,12,FALSE)</f>
        <v>0</v>
      </c>
      <c r="AO332" s="11">
        <f t="shared" si="53"/>
        <v>0</v>
      </c>
      <c r="AP332" s="13">
        <v>5</v>
      </c>
      <c r="AQ332" s="16">
        <f t="shared" si="57"/>
        <v>0</v>
      </c>
      <c r="AS332" s="11">
        <f t="shared" si="54"/>
        <v>0</v>
      </c>
    </row>
    <row r="333" spans="1:45" s="13" customFormat="1" x14ac:dyDescent="0.25">
      <c r="A333" s="12">
        <v>326</v>
      </c>
      <c r="B333" s="14" t="s">
        <v>293</v>
      </c>
      <c r="C333" s="14">
        <v>10680</v>
      </c>
      <c r="D333" s="15" t="s">
        <v>859</v>
      </c>
      <c r="E333" s="15" t="s">
        <v>23</v>
      </c>
      <c r="F333" s="14" t="s">
        <v>279</v>
      </c>
      <c r="G333" s="4">
        <v>35000</v>
      </c>
      <c r="H333" s="4"/>
      <c r="I333" s="4"/>
      <c r="J333" s="4"/>
      <c r="K333" s="4"/>
      <c r="L333" s="11">
        <f t="shared" si="51"/>
        <v>420000</v>
      </c>
      <c r="M333" s="71">
        <v>0</v>
      </c>
      <c r="N333" s="71">
        <v>0</v>
      </c>
      <c r="O333" s="71">
        <v>0</v>
      </c>
      <c r="P333" s="71">
        <v>0</v>
      </c>
      <c r="Q333" s="71">
        <f>VLOOKUP(C333,Incentives!C327:K666,9,FALSE)</f>
        <v>0</v>
      </c>
      <c r="R333" s="71">
        <v>0</v>
      </c>
      <c r="S333" s="13">
        <v>0</v>
      </c>
      <c r="T333" s="13">
        <v>0</v>
      </c>
      <c r="Y333" s="71">
        <v>0</v>
      </c>
      <c r="Z333" s="71">
        <v>0</v>
      </c>
      <c r="AA333" s="71">
        <v>0</v>
      </c>
      <c r="AB333" s="71">
        <v>0</v>
      </c>
      <c r="AC333" s="71">
        <v>0</v>
      </c>
      <c r="AD333" s="71">
        <v>0</v>
      </c>
      <c r="AE333" s="13">
        <v>0</v>
      </c>
      <c r="AF333" s="13">
        <v>0</v>
      </c>
      <c r="AI333" s="20"/>
      <c r="AK333" s="11">
        <f t="shared" si="55"/>
        <v>420000</v>
      </c>
      <c r="AL333" s="11">
        <f t="shared" si="56"/>
        <v>35000</v>
      </c>
      <c r="AM333" s="11">
        <f t="shared" si="52"/>
        <v>0</v>
      </c>
      <c r="AN333" s="11">
        <f>VLOOKUP(C333,'Paid Tax'!B328:M689,12,FALSE)</f>
        <v>0</v>
      </c>
      <c r="AO333" s="11">
        <f t="shared" si="53"/>
        <v>0</v>
      </c>
      <c r="AP333" s="13">
        <v>5</v>
      </c>
      <c r="AQ333" s="16">
        <f t="shared" si="57"/>
        <v>0</v>
      </c>
      <c r="AS333" s="11">
        <f t="shared" si="54"/>
        <v>0</v>
      </c>
    </row>
    <row r="334" spans="1:45" s="13" customFormat="1" x14ac:dyDescent="0.25">
      <c r="A334" s="12">
        <v>327</v>
      </c>
      <c r="B334" s="14" t="s">
        <v>293</v>
      </c>
      <c r="C334" s="14">
        <v>10681</v>
      </c>
      <c r="D334" s="15" t="s">
        <v>860</v>
      </c>
      <c r="E334" s="15" t="s">
        <v>69</v>
      </c>
      <c r="F334" s="14" t="s">
        <v>284</v>
      </c>
      <c r="G334" s="4">
        <v>35000</v>
      </c>
      <c r="H334" s="4"/>
      <c r="I334" s="4"/>
      <c r="J334" s="4"/>
      <c r="K334" s="4"/>
      <c r="L334" s="11">
        <f t="shared" si="51"/>
        <v>420000</v>
      </c>
      <c r="M334" s="71">
        <v>0</v>
      </c>
      <c r="N334" s="71">
        <v>0</v>
      </c>
      <c r="O334" s="71">
        <v>0</v>
      </c>
      <c r="P334" s="71">
        <v>0</v>
      </c>
      <c r="Q334" s="71">
        <f>VLOOKUP(C334,Incentives!C328:K667,9,FALSE)</f>
        <v>1500</v>
      </c>
      <c r="R334" s="71">
        <v>14160</v>
      </c>
      <c r="S334" s="13">
        <v>1680</v>
      </c>
      <c r="T334" s="13">
        <v>3430</v>
      </c>
      <c r="Y334" s="71">
        <v>0</v>
      </c>
      <c r="Z334" s="71">
        <v>0</v>
      </c>
      <c r="AA334" s="71">
        <v>0</v>
      </c>
      <c r="AB334" s="71">
        <v>0</v>
      </c>
      <c r="AC334" s="71">
        <v>0</v>
      </c>
      <c r="AD334" s="71">
        <v>0</v>
      </c>
      <c r="AE334" s="13">
        <v>0</v>
      </c>
      <c r="AF334" s="13">
        <v>0</v>
      </c>
      <c r="AI334" s="20"/>
      <c r="AK334" s="11">
        <f t="shared" si="55"/>
        <v>440770</v>
      </c>
      <c r="AL334" s="11">
        <f t="shared" si="56"/>
        <v>36730.833333333336</v>
      </c>
      <c r="AM334" s="11">
        <f t="shared" si="52"/>
        <v>0</v>
      </c>
      <c r="AN334" s="11">
        <f>VLOOKUP(C334,'Paid Tax'!B329:M690,12,FALSE)</f>
        <v>0</v>
      </c>
      <c r="AO334" s="11">
        <f t="shared" si="53"/>
        <v>0</v>
      </c>
      <c r="AP334" s="13">
        <v>5</v>
      </c>
      <c r="AQ334" s="16">
        <f t="shared" si="57"/>
        <v>0</v>
      </c>
      <c r="AS334" s="11">
        <f t="shared" si="54"/>
        <v>0</v>
      </c>
    </row>
    <row r="335" spans="1:45" s="13" customFormat="1" x14ac:dyDescent="0.25">
      <c r="A335" s="12">
        <v>328</v>
      </c>
      <c r="B335" s="14" t="s">
        <v>295</v>
      </c>
      <c r="C335" s="14">
        <v>10682</v>
      </c>
      <c r="D335" s="15" t="s">
        <v>861</v>
      </c>
      <c r="E335" s="15" t="s">
        <v>69</v>
      </c>
      <c r="F335" s="14" t="s">
        <v>284</v>
      </c>
      <c r="G335" s="4">
        <v>35000</v>
      </c>
      <c r="H335" s="4"/>
      <c r="I335" s="4"/>
      <c r="J335" s="4"/>
      <c r="K335" s="4"/>
      <c r="L335" s="11">
        <f t="shared" si="51"/>
        <v>420000</v>
      </c>
      <c r="M335" s="71">
        <v>0</v>
      </c>
      <c r="N335" s="71">
        <v>0</v>
      </c>
      <c r="O335" s="71">
        <v>0</v>
      </c>
      <c r="P335" s="71">
        <v>0</v>
      </c>
      <c r="Q335" s="71">
        <f>VLOOKUP(C335,Incentives!C329:K668,9,FALSE)</f>
        <v>1350</v>
      </c>
      <c r="R335" s="71">
        <v>1740</v>
      </c>
      <c r="S335" s="13">
        <v>5170</v>
      </c>
      <c r="T335" s="13">
        <v>1800</v>
      </c>
      <c r="Y335" s="71">
        <v>0</v>
      </c>
      <c r="Z335" s="71">
        <v>0</v>
      </c>
      <c r="AA335" s="71">
        <v>0</v>
      </c>
      <c r="AB335" s="71">
        <v>0</v>
      </c>
      <c r="AC335" s="71">
        <v>0</v>
      </c>
      <c r="AD335" s="71">
        <v>0</v>
      </c>
      <c r="AE335" s="13">
        <v>0</v>
      </c>
      <c r="AF335" s="13">
        <v>0</v>
      </c>
      <c r="AI335" s="20"/>
      <c r="AK335" s="11">
        <f t="shared" si="55"/>
        <v>430060</v>
      </c>
      <c r="AL335" s="11">
        <f t="shared" si="56"/>
        <v>35838.333333333336</v>
      </c>
      <c r="AM335" s="11">
        <f t="shared" si="52"/>
        <v>0</v>
      </c>
      <c r="AN335" s="11">
        <f>VLOOKUP(C335,'Paid Tax'!B330:M691,12,FALSE)</f>
        <v>0</v>
      </c>
      <c r="AO335" s="11">
        <f t="shared" si="53"/>
        <v>0</v>
      </c>
      <c r="AP335" s="13">
        <v>5</v>
      </c>
      <c r="AQ335" s="16">
        <f t="shared" si="57"/>
        <v>0</v>
      </c>
      <c r="AS335" s="11">
        <f t="shared" si="54"/>
        <v>0</v>
      </c>
    </row>
    <row r="336" spans="1:45" s="13" customFormat="1" x14ac:dyDescent="0.25">
      <c r="A336" s="12">
        <v>329</v>
      </c>
      <c r="B336" s="14" t="s">
        <v>293</v>
      </c>
      <c r="C336" s="14">
        <v>10683</v>
      </c>
      <c r="D336" s="15" t="s">
        <v>862</v>
      </c>
      <c r="E336" s="15" t="s">
        <v>55</v>
      </c>
      <c r="F336" s="14" t="s">
        <v>572</v>
      </c>
      <c r="G336" s="4">
        <v>35000</v>
      </c>
      <c r="H336" s="5"/>
      <c r="I336" s="5"/>
      <c r="J336" s="4"/>
      <c r="K336" s="4"/>
      <c r="L336" s="11">
        <f t="shared" si="51"/>
        <v>420000</v>
      </c>
      <c r="M336" s="71">
        <v>0</v>
      </c>
      <c r="N336" s="71">
        <v>0</v>
      </c>
      <c r="O336" s="71">
        <v>0</v>
      </c>
      <c r="P336" s="71">
        <v>0</v>
      </c>
      <c r="Q336" s="71">
        <f>VLOOKUP(C336,Incentives!C330:K669,9,FALSE)</f>
        <v>0</v>
      </c>
      <c r="R336" s="71">
        <v>0</v>
      </c>
      <c r="S336" s="13">
        <v>0</v>
      </c>
      <c r="T336" s="13">
        <v>0</v>
      </c>
      <c r="Y336" s="71">
        <v>0</v>
      </c>
      <c r="Z336" s="71">
        <v>0</v>
      </c>
      <c r="AA336" s="71">
        <v>0</v>
      </c>
      <c r="AB336" s="71">
        <v>0</v>
      </c>
      <c r="AC336" s="71">
        <v>0</v>
      </c>
      <c r="AD336" s="71">
        <v>0</v>
      </c>
      <c r="AE336" s="13">
        <v>0</v>
      </c>
      <c r="AF336" s="13">
        <v>0</v>
      </c>
      <c r="AI336" s="20"/>
      <c r="AK336" s="11">
        <f t="shared" si="55"/>
        <v>420000</v>
      </c>
      <c r="AL336" s="11">
        <f t="shared" si="56"/>
        <v>35000</v>
      </c>
      <c r="AM336" s="11">
        <f t="shared" si="52"/>
        <v>0</v>
      </c>
      <c r="AN336" s="11">
        <f>VLOOKUP(C336,'Paid Tax'!B331:M692,12,FALSE)</f>
        <v>0</v>
      </c>
      <c r="AO336" s="11">
        <f t="shared" si="53"/>
        <v>0</v>
      </c>
      <c r="AP336" s="13">
        <v>5</v>
      </c>
      <c r="AQ336" s="16">
        <f t="shared" si="57"/>
        <v>0</v>
      </c>
      <c r="AS336" s="11">
        <f t="shared" si="54"/>
        <v>0</v>
      </c>
    </row>
    <row r="337" spans="1:45" s="13" customFormat="1" x14ac:dyDescent="0.25">
      <c r="A337" s="12">
        <v>330</v>
      </c>
      <c r="B337" s="60" t="s">
        <v>293</v>
      </c>
      <c r="C337" s="14">
        <v>10684</v>
      </c>
      <c r="D337" s="15" t="s">
        <v>972</v>
      </c>
      <c r="E337" s="15" t="s">
        <v>337</v>
      </c>
      <c r="F337" s="14" t="s">
        <v>573</v>
      </c>
      <c r="G337" s="4">
        <v>35000</v>
      </c>
      <c r="H337" s="4"/>
      <c r="I337" s="4"/>
      <c r="J337" s="4"/>
      <c r="K337" s="4"/>
      <c r="L337" s="11">
        <f t="shared" ref="L337:L356" si="58">G337*12+H337+J337+K337+I337</f>
        <v>420000</v>
      </c>
      <c r="M337" s="71">
        <v>0</v>
      </c>
      <c r="N337" s="71">
        <v>0</v>
      </c>
      <c r="O337" s="71">
        <v>0</v>
      </c>
      <c r="P337" s="71">
        <v>0</v>
      </c>
      <c r="Q337" s="71">
        <f>VLOOKUP(C337,Incentives!C331:K670,9,FALSE)</f>
        <v>0</v>
      </c>
      <c r="R337" s="71">
        <v>0</v>
      </c>
      <c r="S337" s="13">
        <v>0</v>
      </c>
      <c r="T337" s="13">
        <v>0</v>
      </c>
      <c r="Y337" s="71">
        <v>0</v>
      </c>
      <c r="Z337" s="71">
        <v>0</v>
      </c>
      <c r="AA337" s="71">
        <v>0</v>
      </c>
      <c r="AB337" s="71">
        <v>0</v>
      </c>
      <c r="AC337" s="71">
        <v>0</v>
      </c>
      <c r="AD337" s="71">
        <v>0</v>
      </c>
      <c r="AE337" s="13">
        <v>29394</v>
      </c>
      <c r="AF337" s="13">
        <v>57163</v>
      </c>
      <c r="AI337" s="20"/>
      <c r="AK337" s="11">
        <f t="shared" ref="AK337:AK344" si="59">SUM(L337:AJ337)</f>
        <v>506557</v>
      </c>
      <c r="AL337" s="11">
        <f t="shared" ref="AL337:AL344" si="60">AK337/12</f>
        <v>42213.083333333336</v>
      </c>
      <c r="AM337" s="11">
        <f t="shared" si="52"/>
        <v>0</v>
      </c>
      <c r="AN337" s="11">
        <f>VLOOKUP(C337,'Paid Tax'!B332:M693,12,FALSE)</f>
        <v>0</v>
      </c>
      <c r="AO337" s="11">
        <f t="shared" ref="AO337:AO344" si="61">+AM337-AN337</f>
        <v>0</v>
      </c>
      <c r="AP337" s="13">
        <v>5</v>
      </c>
      <c r="AQ337" s="16">
        <f t="shared" ref="AQ337:AQ344" si="62">+AO337/AP337</f>
        <v>0</v>
      </c>
      <c r="AS337" s="11">
        <f t="shared" si="54"/>
        <v>0</v>
      </c>
    </row>
    <row r="338" spans="1:45" s="13" customFormat="1" x14ac:dyDescent="0.25">
      <c r="A338" s="12">
        <v>331</v>
      </c>
      <c r="B338" s="60" t="s">
        <v>293</v>
      </c>
      <c r="C338" s="14">
        <v>10685</v>
      </c>
      <c r="D338" s="15" t="s">
        <v>973</v>
      </c>
      <c r="E338" s="15" t="s">
        <v>149</v>
      </c>
      <c r="F338" s="14" t="s">
        <v>280</v>
      </c>
      <c r="G338" s="4">
        <v>34000</v>
      </c>
      <c r="H338" s="4"/>
      <c r="I338" s="4"/>
      <c r="J338" s="4"/>
      <c r="K338" s="4"/>
      <c r="L338" s="11">
        <f t="shared" si="58"/>
        <v>408000</v>
      </c>
      <c r="M338" s="71">
        <v>0</v>
      </c>
      <c r="N338" s="71">
        <v>0</v>
      </c>
      <c r="O338" s="71">
        <v>0</v>
      </c>
      <c r="P338" s="71">
        <v>0</v>
      </c>
      <c r="Q338" s="71">
        <f>VLOOKUP(C338,Incentives!C332:K671,9,FALSE)</f>
        <v>0</v>
      </c>
      <c r="R338" s="71">
        <v>0</v>
      </c>
      <c r="S338" s="13">
        <v>0</v>
      </c>
      <c r="T338" s="13">
        <v>0</v>
      </c>
      <c r="Y338" s="71">
        <v>0</v>
      </c>
      <c r="Z338" s="71">
        <v>0</v>
      </c>
      <c r="AA338" s="71">
        <v>0</v>
      </c>
      <c r="AB338" s="71">
        <v>0</v>
      </c>
      <c r="AC338" s="71">
        <v>0</v>
      </c>
      <c r="AD338" s="71">
        <v>0</v>
      </c>
      <c r="AE338" s="13">
        <v>0</v>
      </c>
      <c r="AF338" s="13">
        <v>0</v>
      </c>
      <c r="AI338" s="20"/>
      <c r="AK338" s="11">
        <f t="shared" si="59"/>
        <v>408000</v>
      </c>
      <c r="AL338" s="11">
        <f t="shared" si="60"/>
        <v>34000</v>
      </c>
      <c r="AM338" s="11">
        <f t="shared" si="52"/>
        <v>0</v>
      </c>
      <c r="AN338" s="11">
        <f>VLOOKUP(C338,'Paid Tax'!B333:M694,12,FALSE)</f>
        <v>0</v>
      </c>
      <c r="AO338" s="11">
        <f t="shared" si="61"/>
        <v>0</v>
      </c>
      <c r="AP338" s="13">
        <v>5</v>
      </c>
      <c r="AQ338" s="16">
        <f t="shared" si="62"/>
        <v>0</v>
      </c>
      <c r="AS338" s="11">
        <f t="shared" si="54"/>
        <v>0</v>
      </c>
    </row>
    <row r="339" spans="1:45" s="13" customFormat="1" x14ac:dyDescent="0.25">
      <c r="A339" s="12">
        <v>332</v>
      </c>
      <c r="B339" s="60" t="s">
        <v>293</v>
      </c>
      <c r="C339" s="14">
        <v>10686</v>
      </c>
      <c r="D339" s="15" t="s">
        <v>974</v>
      </c>
      <c r="E339" s="15" t="s">
        <v>347</v>
      </c>
      <c r="F339" s="14" t="s">
        <v>284</v>
      </c>
      <c r="G339" s="4">
        <v>35000</v>
      </c>
      <c r="H339" s="4"/>
      <c r="I339" s="4"/>
      <c r="J339" s="4"/>
      <c r="K339" s="4"/>
      <c r="L339" s="11">
        <f t="shared" si="58"/>
        <v>420000</v>
      </c>
      <c r="M339" s="71">
        <v>0</v>
      </c>
      <c r="N339" s="71">
        <v>0</v>
      </c>
      <c r="O339" s="71">
        <v>0</v>
      </c>
      <c r="P339" s="71">
        <v>0</v>
      </c>
      <c r="Q339" s="71">
        <f>VLOOKUP(C339,Incentives!C333:K672,9,FALSE)</f>
        <v>0</v>
      </c>
      <c r="R339" s="71">
        <v>0</v>
      </c>
      <c r="S339" s="13">
        <v>0</v>
      </c>
      <c r="T339" s="13">
        <v>0</v>
      </c>
      <c r="Y339" s="71">
        <v>0</v>
      </c>
      <c r="Z339" s="71">
        <v>0</v>
      </c>
      <c r="AA339" s="71">
        <v>0</v>
      </c>
      <c r="AB339" s="71">
        <v>0</v>
      </c>
      <c r="AC339" s="71">
        <v>0</v>
      </c>
      <c r="AD339" s="71">
        <v>0</v>
      </c>
      <c r="AE339" s="13">
        <v>0</v>
      </c>
      <c r="AF339" s="13">
        <v>0</v>
      </c>
      <c r="AI339" s="20"/>
      <c r="AK339" s="11">
        <f t="shared" si="59"/>
        <v>420000</v>
      </c>
      <c r="AL339" s="11">
        <f t="shared" si="60"/>
        <v>35000</v>
      </c>
      <c r="AM339" s="11">
        <f t="shared" si="52"/>
        <v>0</v>
      </c>
      <c r="AN339" s="11">
        <f>VLOOKUP(C339,'Paid Tax'!B334:M695,12,FALSE)</f>
        <v>0</v>
      </c>
      <c r="AO339" s="11">
        <f t="shared" si="61"/>
        <v>0</v>
      </c>
      <c r="AP339" s="13">
        <v>5</v>
      </c>
      <c r="AQ339" s="16">
        <f t="shared" si="62"/>
        <v>0</v>
      </c>
      <c r="AS339" s="11">
        <f t="shared" si="54"/>
        <v>0</v>
      </c>
    </row>
    <row r="340" spans="1:45" s="13" customFormat="1" x14ac:dyDescent="0.25">
      <c r="A340" s="12">
        <v>333</v>
      </c>
      <c r="B340" s="60" t="s">
        <v>981</v>
      </c>
      <c r="C340" s="14">
        <v>10689</v>
      </c>
      <c r="D340" s="15" t="s">
        <v>975</v>
      </c>
      <c r="E340" s="15" t="s">
        <v>69</v>
      </c>
      <c r="F340" s="14" t="s">
        <v>284</v>
      </c>
      <c r="G340" s="4">
        <v>30000</v>
      </c>
      <c r="H340" s="4"/>
      <c r="I340" s="4"/>
      <c r="J340" s="4"/>
      <c r="K340" s="4"/>
      <c r="L340" s="11">
        <f t="shared" si="58"/>
        <v>360000</v>
      </c>
      <c r="M340" s="71">
        <v>0</v>
      </c>
      <c r="N340" s="71">
        <v>0</v>
      </c>
      <c r="O340" s="71">
        <v>0</v>
      </c>
      <c r="P340" s="71">
        <v>0</v>
      </c>
      <c r="Q340" s="71">
        <f>VLOOKUP(C340,Incentives!C334:K673,9,FALSE)</f>
        <v>0</v>
      </c>
      <c r="R340" s="71">
        <v>1410</v>
      </c>
      <c r="S340" s="13">
        <v>1950</v>
      </c>
      <c r="T340" s="13">
        <v>1470</v>
      </c>
      <c r="Y340" s="71">
        <v>0</v>
      </c>
      <c r="Z340" s="71">
        <v>0</v>
      </c>
      <c r="AA340" s="71">
        <v>0</v>
      </c>
      <c r="AB340" s="71">
        <v>0</v>
      </c>
      <c r="AC340" s="71">
        <v>0</v>
      </c>
      <c r="AD340" s="71">
        <v>0</v>
      </c>
      <c r="AE340" s="13">
        <v>0</v>
      </c>
      <c r="AF340" s="13">
        <v>0</v>
      </c>
      <c r="AI340" s="20"/>
      <c r="AK340" s="11">
        <f t="shared" si="59"/>
        <v>364830</v>
      </c>
      <c r="AL340" s="11">
        <f t="shared" si="60"/>
        <v>30402.5</v>
      </c>
      <c r="AM340" s="11">
        <f t="shared" si="52"/>
        <v>0</v>
      </c>
      <c r="AN340" s="11">
        <f>VLOOKUP(C340,'Paid Tax'!B335:M696,12,FALSE)</f>
        <v>0</v>
      </c>
      <c r="AO340" s="11">
        <f t="shared" si="61"/>
        <v>0</v>
      </c>
      <c r="AP340" s="13">
        <v>5</v>
      </c>
      <c r="AQ340" s="16">
        <f t="shared" si="62"/>
        <v>0</v>
      </c>
      <c r="AS340" s="11">
        <f t="shared" si="54"/>
        <v>0</v>
      </c>
    </row>
    <row r="341" spans="1:45" s="13" customFormat="1" x14ac:dyDescent="0.25">
      <c r="A341" s="12">
        <v>334</v>
      </c>
      <c r="B341" s="60" t="s">
        <v>293</v>
      </c>
      <c r="C341" s="14">
        <v>10690</v>
      </c>
      <c r="D341" s="15" t="s">
        <v>976</v>
      </c>
      <c r="E341" s="15" t="s">
        <v>23</v>
      </c>
      <c r="F341" s="14" t="s">
        <v>279</v>
      </c>
      <c r="G341" s="4">
        <v>35000</v>
      </c>
      <c r="H341" s="4"/>
      <c r="I341" s="4"/>
      <c r="J341" s="4"/>
      <c r="K341" s="4"/>
      <c r="L341" s="11">
        <f t="shared" si="58"/>
        <v>420000</v>
      </c>
      <c r="M341" s="71">
        <v>0</v>
      </c>
      <c r="N341" s="71">
        <v>0</v>
      </c>
      <c r="O341" s="71">
        <v>0</v>
      </c>
      <c r="P341" s="71">
        <v>0</v>
      </c>
      <c r="Q341" s="71">
        <f>VLOOKUP(C341,Incentives!C335:K674,9,FALSE)</f>
        <v>0</v>
      </c>
      <c r="R341" s="71">
        <v>0</v>
      </c>
      <c r="S341" s="13">
        <v>0</v>
      </c>
      <c r="T341" s="13">
        <v>0</v>
      </c>
      <c r="Y341" s="71">
        <v>0</v>
      </c>
      <c r="Z341" s="71">
        <v>0</v>
      </c>
      <c r="AA341" s="71">
        <v>0</v>
      </c>
      <c r="AB341" s="71">
        <v>0</v>
      </c>
      <c r="AC341" s="71">
        <v>0</v>
      </c>
      <c r="AD341" s="71">
        <v>0</v>
      </c>
      <c r="AE341" s="13">
        <v>0</v>
      </c>
      <c r="AF341" s="13">
        <v>0</v>
      </c>
      <c r="AI341" s="20"/>
      <c r="AK341" s="11">
        <f t="shared" si="59"/>
        <v>420000</v>
      </c>
      <c r="AL341" s="11">
        <f t="shared" si="60"/>
        <v>35000</v>
      </c>
      <c r="AM341" s="11">
        <f t="shared" si="52"/>
        <v>0</v>
      </c>
      <c r="AN341" s="11">
        <f>VLOOKUP(C341,'Paid Tax'!B336:M697,12,FALSE)</f>
        <v>0</v>
      </c>
      <c r="AO341" s="11">
        <f t="shared" si="61"/>
        <v>0</v>
      </c>
      <c r="AP341" s="13">
        <v>5</v>
      </c>
      <c r="AQ341" s="16">
        <f t="shared" si="62"/>
        <v>0</v>
      </c>
      <c r="AS341" s="11">
        <f t="shared" si="54"/>
        <v>0</v>
      </c>
    </row>
    <row r="342" spans="1:45" s="13" customFormat="1" x14ac:dyDescent="0.25">
      <c r="A342" s="12">
        <v>335</v>
      </c>
      <c r="B342" s="60" t="s">
        <v>293</v>
      </c>
      <c r="C342" s="14">
        <v>10691</v>
      </c>
      <c r="D342" s="15" t="s">
        <v>977</v>
      </c>
      <c r="E342" s="15" t="s">
        <v>23</v>
      </c>
      <c r="F342" s="14" t="s">
        <v>279</v>
      </c>
      <c r="G342" s="4">
        <v>35000</v>
      </c>
      <c r="H342" s="5"/>
      <c r="I342" s="5"/>
      <c r="J342" s="4"/>
      <c r="K342" s="4"/>
      <c r="L342" s="11">
        <f t="shared" si="58"/>
        <v>420000</v>
      </c>
      <c r="M342" s="71">
        <v>0</v>
      </c>
      <c r="N342" s="71">
        <v>0</v>
      </c>
      <c r="O342" s="71">
        <v>0</v>
      </c>
      <c r="P342" s="71">
        <v>0</v>
      </c>
      <c r="Q342" s="71">
        <f>VLOOKUP(C342,Incentives!C336:K675,9,FALSE)</f>
        <v>0</v>
      </c>
      <c r="R342" s="71">
        <v>0</v>
      </c>
      <c r="S342" s="13">
        <v>0</v>
      </c>
      <c r="T342" s="13">
        <v>0</v>
      </c>
      <c r="Y342" s="71">
        <v>0</v>
      </c>
      <c r="Z342" s="71">
        <v>0</v>
      </c>
      <c r="AA342" s="71">
        <v>0</v>
      </c>
      <c r="AB342" s="71">
        <v>0</v>
      </c>
      <c r="AC342" s="71">
        <v>0</v>
      </c>
      <c r="AD342" s="71">
        <v>0</v>
      </c>
      <c r="AE342" s="13">
        <v>0</v>
      </c>
      <c r="AF342" s="13">
        <v>0</v>
      </c>
      <c r="AI342" s="20"/>
      <c r="AK342" s="11">
        <f t="shared" si="59"/>
        <v>420000</v>
      </c>
      <c r="AL342" s="11">
        <f t="shared" si="60"/>
        <v>35000</v>
      </c>
      <c r="AM342" s="11">
        <f t="shared" si="52"/>
        <v>0</v>
      </c>
      <c r="AN342" s="11">
        <f>VLOOKUP(C342,'Paid Tax'!B337:M698,12,FALSE)</f>
        <v>0</v>
      </c>
      <c r="AO342" s="11">
        <f t="shared" si="61"/>
        <v>0</v>
      </c>
      <c r="AP342" s="13">
        <v>5</v>
      </c>
      <c r="AQ342" s="16">
        <f t="shared" si="62"/>
        <v>0</v>
      </c>
      <c r="AS342" s="11">
        <f t="shared" si="54"/>
        <v>0</v>
      </c>
    </row>
    <row r="343" spans="1:45" s="13" customFormat="1" x14ac:dyDescent="0.25">
      <c r="A343" s="12">
        <v>336</v>
      </c>
      <c r="B343" s="60" t="s">
        <v>293</v>
      </c>
      <c r="C343" s="14">
        <v>10692</v>
      </c>
      <c r="D343" s="15" t="s">
        <v>978</v>
      </c>
      <c r="E343" s="15" t="s">
        <v>337</v>
      </c>
      <c r="F343" s="14" t="s">
        <v>575</v>
      </c>
      <c r="G343" s="4">
        <v>45000</v>
      </c>
      <c r="H343" s="4"/>
      <c r="I343" s="4"/>
      <c r="J343" s="4"/>
      <c r="K343" s="4"/>
      <c r="L343" s="11">
        <f t="shared" si="58"/>
        <v>540000</v>
      </c>
      <c r="M343" s="71">
        <v>0</v>
      </c>
      <c r="N343" s="71">
        <v>0</v>
      </c>
      <c r="O343" s="71">
        <v>0</v>
      </c>
      <c r="P343" s="71">
        <v>0</v>
      </c>
      <c r="Q343" s="71">
        <f>VLOOKUP(C343,Incentives!C337:K676,9,FALSE)</f>
        <v>0</v>
      </c>
      <c r="R343" s="71">
        <v>0</v>
      </c>
      <c r="S343" s="13">
        <v>0</v>
      </c>
      <c r="T343" s="13">
        <v>0</v>
      </c>
      <c r="Y343" s="71">
        <v>0</v>
      </c>
      <c r="Z343" s="71">
        <v>0</v>
      </c>
      <c r="AA343" s="71">
        <v>0</v>
      </c>
      <c r="AB343" s="71">
        <v>0</v>
      </c>
      <c r="AC343" s="71">
        <v>0</v>
      </c>
      <c r="AD343" s="71">
        <v>0</v>
      </c>
      <c r="AE343" s="13">
        <v>57189</v>
      </c>
      <c r="AF343" s="13">
        <v>131254</v>
      </c>
      <c r="AI343" s="20"/>
      <c r="AK343" s="11">
        <f t="shared" si="59"/>
        <v>728443</v>
      </c>
      <c r="AL343" s="11">
        <f t="shared" si="60"/>
        <v>60703.583333333336</v>
      </c>
      <c r="AM343" s="11">
        <f t="shared" si="52"/>
        <v>1284.43</v>
      </c>
      <c r="AN343" s="11">
        <f>VLOOKUP(C343,'Paid Tax'!B338:M699,12,FALSE)</f>
        <v>0</v>
      </c>
      <c r="AO343" s="11">
        <f t="shared" si="61"/>
        <v>1284.43</v>
      </c>
      <c r="AP343" s="13">
        <v>12</v>
      </c>
      <c r="AQ343" s="16">
        <f t="shared" si="62"/>
        <v>107.03583333333334</v>
      </c>
      <c r="AR343" s="97" t="s">
        <v>864</v>
      </c>
      <c r="AS343" s="11">
        <f t="shared" si="54"/>
        <v>-107.03583333333334</v>
      </c>
    </row>
    <row r="344" spans="1:45" s="13" customFormat="1" x14ac:dyDescent="0.25">
      <c r="A344" s="12">
        <v>337</v>
      </c>
      <c r="B344" s="60" t="s">
        <v>293</v>
      </c>
      <c r="C344" s="14">
        <v>10693</v>
      </c>
      <c r="D344" s="15" t="s">
        <v>979</v>
      </c>
      <c r="E344" s="15" t="s">
        <v>23</v>
      </c>
      <c r="F344" s="14" t="s">
        <v>279</v>
      </c>
      <c r="G344" s="4">
        <v>35000</v>
      </c>
      <c r="H344" s="4"/>
      <c r="I344" s="4"/>
      <c r="J344" s="4"/>
      <c r="K344" s="4"/>
      <c r="L344" s="11">
        <f t="shared" si="58"/>
        <v>420000</v>
      </c>
      <c r="M344" s="71">
        <v>0</v>
      </c>
      <c r="N344" s="71">
        <v>0</v>
      </c>
      <c r="O344" s="71">
        <v>0</v>
      </c>
      <c r="P344" s="71">
        <v>0</v>
      </c>
      <c r="Q344" s="71">
        <f>VLOOKUP(C344,Incentives!C338:K677,9,FALSE)</f>
        <v>0</v>
      </c>
      <c r="R344" s="71">
        <v>0</v>
      </c>
      <c r="S344" s="13">
        <v>0</v>
      </c>
      <c r="T344" s="13">
        <v>0</v>
      </c>
      <c r="Y344" s="71">
        <v>0</v>
      </c>
      <c r="Z344" s="71">
        <v>0</v>
      </c>
      <c r="AA344" s="71">
        <v>0</v>
      </c>
      <c r="AB344" s="71">
        <v>0</v>
      </c>
      <c r="AC344" s="71">
        <v>0</v>
      </c>
      <c r="AD344" s="71">
        <v>0</v>
      </c>
      <c r="AE344" s="13">
        <v>0</v>
      </c>
      <c r="AF344" s="13">
        <v>0</v>
      </c>
      <c r="AI344" s="20"/>
      <c r="AK344" s="11">
        <f t="shared" si="59"/>
        <v>420000</v>
      </c>
      <c r="AL344" s="11">
        <f t="shared" si="60"/>
        <v>35000</v>
      </c>
      <c r="AM344" s="11">
        <f t="shared" si="52"/>
        <v>0</v>
      </c>
      <c r="AN344" s="11">
        <f>VLOOKUP(C344,'Paid Tax'!B339:M700,12,FALSE)</f>
        <v>0</v>
      </c>
      <c r="AO344" s="11">
        <f t="shared" si="61"/>
        <v>0</v>
      </c>
      <c r="AP344" s="13">
        <v>5</v>
      </c>
      <c r="AQ344" s="16">
        <f t="shared" si="62"/>
        <v>0</v>
      </c>
      <c r="AS344" s="11">
        <f t="shared" si="54"/>
        <v>0</v>
      </c>
    </row>
    <row r="345" spans="1:45" s="13" customFormat="1" x14ac:dyDescent="0.25">
      <c r="A345" s="12">
        <v>338</v>
      </c>
      <c r="B345" s="60" t="s">
        <v>293</v>
      </c>
      <c r="C345" s="14">
        <v>10694</v>
      </c>
      <c r="D345" s="15" t="s">
        <v>139</v>
      </c>
      <c r="E345" s="15" t="s">
        <v>23</v>
      </c>
      <c r="F345" s="14" t="s">
        <v>279</v>
      </c>
      <c r="G345" s="4">
        <v>35000</v>
      </c>
      <c r="H345" s="4"/>
      <c r="I345" s="4"/>
      <c r="J345" s="4"/>
      <c r="K345" s="4"/>
      <c r="L345" s="11">
        <f t="shared" si="58"/>
        <v>420000</v>
      </c>
      <c r="M345" s="71">
        <v>0</v>
      </c>
      <c r="N345" s="71">
        <v>0</v>
      </c>
      <c r="O345" s="71">
        <v>0</v>
      </c>
      <c r="P345" s="71">
        <v>0</v>
      </c>
      <c r="Q345" s="71">
        <f>VLOOKUP(C345,Incentives!C339:K678,9,FALSE)</f>
        <v>0</v>
      </c>
      <c r="R345" s="71">
        <v>0</v>
      </c>
      <c r="S345" s="13">
        <v>0</v>
      </c>
      <c r="T345" s="13">
        <v>0</v>
      </c>
      <c r="Y345" s="71">
        <v>0</v>
      </c>
      <c r="Z345" s="71">
        <v>0</v>
      </c>
      <c r="AA345" s="71">
        <v>0</v>
      </c>
      <c r="AB345" s="71">
        <v>0</v>
      </c>
      <c r="AC345" s="71">
        <v>0</v>
      </c>
      <c r="AD345" s="71">
        <v>0</v>
      </c>
      <c r="AE345" s="13">
        <v>0</v>
      </c>
      <c r="AF345" s="13">
        <v>0</v>
      </c>
      <c r="AI345" s="20"/>
      <c r="AK345" s="11">
        <f t="shared" ref="AK345:AK346" si="63">SUM(L345:AJ345)</f>
        <v>420000</v>
      </c>
      <c r="AL345" s="11">
        <f t="shared" ref="AL345:AL346" si="64">AK345/12</f>
        <v>35000</v>
      </c>
      <c r="AM345" s="11">
        <f t="shared" si="52"/>
        <v>0</v>
      </c>
      <c r="AN345" s="11">
        <f>VLOOKUP(C345,'Paid Tax'!B340:M701,12,FALSE)</f>
        <v>0</v>
      </c>
      <c r="AO345" s="11">
        <f t="shared" ref="AO345:AO369" si="65">+AM345-AN345</f>
        <v>0</v>
      </c>
      <c r="AP345" s="13">
        <v>5</v>
      </c>
      <c r="AQ345" s="16">
        <f t="shared" si="46"/>
        <v>0</v>
      </c>
      <c r="AS345" s="11">
        <f t="shared" si="54"/>
        <v>0</v>
      </c>
    </row>
    <row r="346" spans="1:45" s="13" customFormat="1" x14ac:dyDescent="0.25">
      <c r="A346" s="12">
        <v>339</v>
      </c>
      <c r="B346" s="60" t="s">
        <v>293</v>
      </c>
      <c r="C346" s="14">
        <v>10695</v>
      </c>
      <c r="D346" s="15" t="s">
        <v>980</v>
      </c>
      <c r="E346" s="15" t="s">
        <v>69</v>
      </c>
      <c r="F346" s="14" t="s">
        <v>284</v>
      </c>
      <c r="G346" s="4">
        <v>36000</v>
      </c>
      <c r="H346" s="5"/>
      <c r="I346" s="5"/>
      <c r="J346" s="4"/>
      <c r="K346" s="4"/>
      <c r="L346" s="11">
        <f t="shared" si="58"/>
        <v>432000</v>
      </c>
      <c r="M346" s="71">
        <v>0</v>
      </c>
      <c r="N346" s="71">
        <v>0</v>
      </c>
      <c r="O346" s="71">
        <v>0</v>
      </c>
      <c r="P346" s="71">
        <v>0</v>
      </c>
      <c r="Q346" s="71">
        <f>VLOOKUP(C346,Incentives!C340:K679,9,FALSE)</f>
        <v>0</v>
      </c>
      <c r="R346" s="71">
        <v>1650</v>
      </c>
      <c r="S346" s="13">
        <v>26565</v>
      </c>
      <c r="T346" s="13">
        <v>30030</v>
      </c>
      <c r="Y346" s="71">
        <v>0</v>
      </c>
      <c r="Z346" s="71">
        <v>0</v>
      </c>
      <c r="AA346" s="71">
        <v>0</v>
      </c>
      <c r="AB346" s="71">
        <v>0</v>
      </c>
      <c r="AC346" s="71">
        <v>0</v>
      </c>
      <c r="AD346" s="71">
        <v>0</v>
      </c>
      <c r="AE346" s="13">
        <v>0</v>
      </c>
      <c r="AF346" s="13">
        <v>0</v>
      </c>
      <c r="AI346" s="20"/>
      <c r="AK346" s="11">
        <f t="shared" si="63"/>
        <v>490245</v>
      </c>
      <c r="AL346" s="11">
        <f t="shared" si="64"/>
        <v>40853.75</v>
      </c>
      <c r="AM346" s="11">
        <f t="shared" si="52"/>
        <v>0</v>
      </c>
      <c r="AN346" s="11">
        <f>VLOOKUP(C346,'Paid Tax'!B341:M702,12,FALSE)</f>
        <v>0</v>
      </c>
      <c r="AO346" s="11">
        <f t="shared" si="65"/>
        <v>0</v>
      </c>
      <c r="AP346" s="13">
        <v>5</v>
      </c>
      <c r="AQ346" s="16">
        <f t="shared" si="46"/>
        <v>0</v>
      </c>
      <c r="AS346" s="11">
        <f t="shared" si="54"/>
        <v>0</v>
      </c>
    </row>
    <row r="347" spans="1:45" s="13" customFormat="1" x14ac:dyDescent="0.25">
      <c r="A347" s="12">
        <v>340</v>
      </c>
      <c r="B347" s="14" t="s">
        <v>293</v>
      </c>
      <c r="C347" s="13">
        <v>10696</v>
      </c>
      <c r="D347" s="15" t="s">
        <v>1091</v>
      </c>
      <c r="E347" s="15" t="s">
        <v>23</v>
      </c>
      <c r="F347" s="14" t="s">
        <v>1099</v>
      </c>
      <c r="G347" s="4">
        <v>36000</v>
      </c>
      <c r="H347" s="4"/>
      <c r="I347" s="4"/>
      <c r="J347" s="4"/>
      <c r="K347" s="4"/>
      <c r="L347" s="11">
        <f t="shared" si="58"/>
        <v>432000</v>
      </c>
      <c r="M347" s="23"/>
      <c r="N347" s="71">
        <v>0</v>
      </c>
      <c r="O347" s="71">
        <v>0</v>
      </c>
      <c r="P347" s="71">
        <v>0</v>
      </c>
      <c r="Q347" s="71">
        <f>VLOOKUP(C347,Incentives!C341:K680,9,FALSE)</f>
        <v>0</v>
      </c>
      <c r="R347" s="71">
        <v>0</v>
      </c>
      <c r="S347" s="13">
        <v>0</v>
      </c>
      <c r="T347" s="13">
        <v>0</v>
      </c>
      <c r="Y347" s="71">
        <v>0</v>
      </c>
      <c r="Z347" s="71">
        <v>0</v>
      </c>
      <c r="AA347" s="71">
        <v>0</v>
      </c>
      <c r="AB347" s="71">
        <v>0</v>
      </c>
      <c r="AC347" s="71">
        <v>0</v>
      </c>
      <c r="AD347" s="71">
        <v>0</v>
      </c>
      <c r="AE347" s="13">
        <v>0</v>
      </c>
      <c r="AF347" s="13">
        <v>0</v>
      </c>
      <c r="AI347" s="26"/>
      <c r="AK347" s="11">
        <f t="shared" ref="AK347:AK393" si="66">SUM(L347:AJ347)</f>
        <v>432000</v>
      </c>
      <c r="AL347" s="11">
        <f t="shared" ref="AL347:AL392" si="67">AK347/12</f>
        <v>36000</v>
      </c>
      <c r="AM347" s="11">
        <f t="shared" si="52"/>
        <v>0</v>
      </c>
      <c r="AN347" s="11">
        <f>VLOOKUP(C347,'Paid Tax'!B342:M703,12,FALSE)</f>
        <v>0</v>
      </c>
      <c r="AO347" s="11">
        <f t="shared" si="65"/>
        <v>0</v>
      </c>
      <c r="AP347" s="13">
        <v>5</v>
      </c>
      <c r="AQ347" s="16">
        <f t="shared" si="46"/>
        <v>0</v>
      </c>
      <c r="AS347" s="11">
        <f t="shared" si="54"/>
        <v>0</v>
      </c>
    </row>
    <row r="348" spans="1:45" s="13" customFormat="1" x14ac:dyDescent="0.25">
      <c r="A348" s="12">
        <v>341</v>
      </c>
      <c r="B348" s="14" t="s">
        <v>293</v>
      </c>
      <c r="C348" s="13">
        <v>10697</v>
      </c>
      <c r="D348" s="15" t="s">
        <v>1092</v>
      </c>
      <c r="E348" s="15" t="s">
        <v>87</v>
      </c>
      <c r="F348" s="14" t="s">
        <v>280</v>
      </c>
      <c r="G348" s="4">
        <v>35000</v>
      </c>
      <c r="H348" s="4"/>
      <c r="I348" s="4"/>
      <c r="J348" s="4"/>
      <c r="K348" s="4"/>
      <c r="L348" s="11">
        <f t="shared" si="58"/>
        <v>420000</v>
      </c>
      <c r="M348" s="71">
        <v>0</v>
      </c>
      <c r="N348" s="71">
        <v>0</v>
      </c>
      <c r="O348" s="71">
        <v>0</v>
      </c>
      <c r="P348" s="71">
        <v>0</v>
      </c>
      <c r="Q348" s="71">
        <f>VLOOKUP(C348,Incentives!C342:K681,9,FALSE)</f>
        <v>0</v>
      </c>
      <c r="R348" s="71">
        <v>0</v>
      </c>
      <c r="S348" s="13">
        <v>0</v>
      </c>
      <c r="T348" s="13">
        <v>0</v>
      </c>
      <c r="Y348" s="71">
        <v>0</v>
      </c>
      <c r="Z348" s="71">
        <v>0</v>
      </c>
      <c r="AA348" s="71">
        <v>0</v>
      </c>
      <c r="AB348" s="71">
        <v>0</v>
      </c>
      <c r="AC348" s="71">
        <v>0</v>
      </c>
      <c r="AD348" s="71">
        <v>0</v>
      </c>
      <c r="AE348" s="13">
        <v>0</v>
      </c>
      <c r="AF348" s="13">
        <v>0</v>
      </c>
      <c r="AI348" s="26"/>
      <c r="AK348" s="11">
        <f t="shared" si="66"/>
        <v>420000</v>
      </c>
      <c r="AL348" s="11">
        <f t="shared" si="67"/>
        <v>35000</v>
      </c>
      <c r="AM348" s="11">
        <f t="shared" si="52"/>
        <v>0</v>
      </c>
      <c r="AN348" s="11">
        <f>VLOOKUP(C348,'Paid Tax'!B343:M704,12,FALSE)</f>
        <v>0</v>
      </c>
      <c r="AO348" s="11">
        <f t="shared" si="65"/>
        <v>0</v>
      </c>
      <c r="AP348" s="13">
        <v>5</v>
      </c>
      <c r="AQ348" s="16">
        <f t="shared" si="46"/>
        <v>0</v>
      </c>
      <c r="AS348" s="11">
        <f t="shared" si="54"/>
        <v>0</v>
      </c>
    </row>
    <row r="349" spans="1:45" s="13" customFormat="1" x14ac:dyDescent="0.25">
      <c r="A349" s="12">
        <v>342</v>
      </c>
      <c r="B349" s="14" t="s">
        <v>293</v>
      </c>
      <c r="C349" s="13">
        <v>10698</v>
      </c>
      <c r="D349" s="15" t="s">
        <v>1093</v>
      </c>
      <c r="E349" s="15" t="s">
        <v>69</v>
      </c>
      <c r="F349" s="14" t="s">
        <v>284</v>
      </c>
      <c r="G349" s="4">
        <v>45000</v>
      </c>
      <c r="H349" s="4"/>
      <c r="I349" s="4"/>
      <c r="J349" s="4"/>
      <c r="K349" s="4"/>
      <c r="L349" s="11">
        <f t="shared" si="58"/>
        <v>540000</v>
      </c>
      <c r="M349" s="23"/>
      <c r="N349" s="71">
        <v>0</v>
      </c>
      <c r="O349" s="71">
        <v>0</v>
      </c>
      <c r="P349" s="71">
        <v>0</v>
      </c>
      <c r="Q349" s="71">
        <f>VLOOKUP(C349,Incentives!C343:K682,9,FALSE)</f>
        <v>0</v>
      </c>
      <c r="R349" s="71">
        <v>0</v>
      </c>
      <c r="S349" s="13">
        <v>0</v>
      </c>
      <c r="T349" s="13">
        <f>9120+20000</f>
        <v>29120</v>
      </c>
      <c r="Y349" s="71">
        <v>0</v>
      </c>
      <c r="Z349" s="71">
        <v>0</v>
      </c>
      <c r="AA349" s="71">
        <v>0</v>
      </c>
      <c r="AB349" s="71">
        <v>0</v>
      </c>
      <c r="AC349" s="71">
        <v>0</v>
      </c>
      <c r="AD349" s="71">
        <v>0</v>
      </c>
      <c r="AE349" s="13">
        <v>0</v>
      </c>
      <c r="AF349" s="13">
        <v>0</v>
      </c>
      <c r="AI349" s="26"/>
      <c r="AK349" s="11">
        <f t="shared" si="66"/>
        <v>569120</v>
      </c>
      <c r="AL349" s="11">
        <f t="shared" si="67"/>
        <v>47426.666666666664</v>
      </c>
      <c r="AM349" s="11">
        <f t="shared" si="52"/>
        <v>0</v>
      </c>
      <c r="AN349" s="11">
        <f>VLOOKUP(C349,'Paid Tax'!B344:M705,12,FALSE)</f>
        <v>0</v>
      </c>
      <c r="AO349" s="11">
        <f t="shared" si="65"/>
        <v>0</v>
      </c>
      <c r="AP349" s="13">
        <v>5</v>
      </c>
      <c r="AQ349" s="16">
        <f t="shared" si="46"/>
        <v>0</v>
      </c>
      <c r="AS349" s="11">
        <f t="shared" si="54"/>
        <v>0</v>
      </c>
    </row>
    <row r="350" spans="1:45" s="13" customFormat="1" x14ac:dyDescent="0.25">
      <c r="A350" s="12">
        <v>343</v>
      </c>
      <c r="B350" s="14" t="s">
        <v>293</v>
      </c>
      <c r="C350" s="13">
        <v>10699</v>
      </c>
      <c r="D350" s="15" t="s">
        <v>1094</v>
      </c>
      <c r="E350" s="15" t="s">
        <v>23</v>
      </c>
      <c r="F350" s="14" t="s">
        <v>1099</v>
      </c>
      <c r="G350" s="4">
        <v>36000</v>
      </c>
      <c r="H350" s="4"/>
      <c r="I350" s="4"/>
      <c r="J350" s="4"/>
      <c r="K350" s="4"/>
      <c r="L350" s="11">
        <f t="shared" si="58"/>
        <v>432000</v>
      </c>
      <c r="M350" s="71">
        <v>0</v>
      </c>
      <c r="N350" s="71">
        <v>0</v>
      </c>
      <c r="O350" s="71">
        <v>0</v>
      </c>
      <c r="P350" s="71">
        <v>0</v>
      </c>
      <c r="Q350" s="71">
        <f>VLOOKUP(C350,Incentives!C344:K683,9,FALSE)</f>
        <v>0</v>
      </c>
      <c r="R350" s="71">
        <v>0</v>
      </c>
      <c r="S350" s="13">
        <v>0</v>
      </c>
      <c r="T350" s="13">
        <v>0</v>
      </c>
      <c r="Y350" s="71">
        <v>0</v>
      </c>
      <c r="Z350" s="71">
        <v>0</v>
      </c>
      <c r="AA350" s="71">
        <v>0</v>
      </c>
      <c r="AB350" s="71">
        <v>0</v>
      </c>
      <c r="AC350" s="71">
        <v>0</v>
      </c>
      <c r="AD350" s="71">
        <v>0</v>
      </c>
      <c r="AE350" s="13">
        <v>0</v>
      </c>
      <c r="AF350" s="13">
        <v>4000</v>
      </c>
      <c r="AI350" s="26"/>
      <c r="AK350" s="11">
        <f t="shared" si="66"/>
        <v>436000</v>
      </c>
      <c r="AL350" s="11">
        <f t="shared" si="67"/>
        <v>36333.333333333336</v>
      </c>
      <c r="AM350" s="11">
        <f t="shared" si="52"/>
        <v>0</v>
      </c>
      <c r="AN350" s="11">
        <f>VLOOKUP(C350,'Paid Tax'!B345:M706,12,FALSE)</f>
        <v>0</v>
      </c>
      <c r="AO350" s="11">
        <f t="shared" si="65"/>
        <v>0</v>
      </c>
      <c r="AP350" s="13">
        <v>5</v>
      </c>
      <c r="AQ350" s="16">
        <f t="shared" si="46"/>
        <v>0</v>
      </c>
      <c r="AS350" s="11">
        <f t="shared" si="54"/>
        <v>0</v>
      </c>
    </row>
    <row r="351" spans="1:45" s="13" customFormat="1" x14ac:dyDescent="0.25">
      <c r="A351" s="12">
        <v>344</v>
      </c>
      <c r="B351" s="14" t="s">
        <v>293</v>
      </c>
      <c r="C351" s="13">
        <v>10700</v>
      </c>
      <c r="D351" s="15" t="s">
        <v>1095</v>
      </c>
      <c r="E351" s="15" t="s">
        <v>23</v>
      </c>
      <c r="F351" s="14" t="s">
        <v>1099</v>
      </c>
      <c r="G351" s="5">
        <v>37000</v>
      </c>
      <c r="H351" s="5"/>
      <c r="I351" s="5"/>
      <c r="J351" s="4"/>
      <c r="K351" s="4"/>
      <c r="L351" s="11">
        <f t="shared" si="58"/>
        <v>444000</v>
      </c>
      <c r="M351" s="23"/>
      <c r="N351" s="71">
        <v>0</v>
      </c>
      <c r="O351" s="71">
        <v>0</v>
      </c>
      <c r="P351" s="71">
        <v>0</v>
      </c>
      <c r="Q351" s="71">
        <f>VLOOKUP(C351,Incentives!C345:K684,9,FALSE)</f>
        <v>0</v>
      </c>
      <c r="R351" s="71">
        <v>0</v>
      </c>
      <c r="S351" s="13">
        <v>0</v>
      </c>
      <c r="T351" s="13">
        <v>0</v>
      </c>
      <c r="Y351" s="71">
        <v>0</v>
      </c>
      <c r="Z351" s="71">
        <v>0</v>
      </c>
      <c r="AA351" s="71">
        <v>0</v>
      </c>
      <c r="AB351" s="71">
        <v>0</v>
      </c>
      <c r="AC351" s="71">
        <v>0</v>
      </c>
      <c r="AD351" s="71">
        <v>0</v>
      </c>
      <c r="AE351" s="13">
        <v>0</v>
      </c>
      <c r="AF351" s="13">
        <v>0</v>
      </c>
      <c r="AI351" s="22"/>
      <c r="AJ351" s="18"/>
      <c r="AK351" s="11">
        <f t="shared" si="66"/>
        <v>444000</v>
      </c>
      <c r="AL351" s="11">
        <f t="shared" si="67"/>
        <v>37000</v>
      </c>
      <c r="AM351" s="11">
        <f t="shared" si="52"/>
        <v>0</v>
      </c>
      <c r="AN351" s="11">
        <f>VLOOKUP(C351,'Paid Tax'!B346:M707,12,FALSE)</f>
        <v>0</v>
      </c>
      <c r="AO351" s="11">
        <f t="shared" si="65"/>
        <v>0</v>
      </c>
      <c r="AP351" s="13">
        <v>5</v>
      </c>
      <c r="AQ351" s="16">
        <f t="shared" si="46"/>
        <v>0</v>
      </c>
      <c r="AS351" s="11">
        <f t="shared" si="54"/>
        <v>0</v>
      </c>
    </row>
    <row r="352" spans="1:45" s="13" customFormat="1" x14ac:dyDescent="0.25">
      <c r="A352" s="12">
        <v>345</v>
      </c>
      <c r="B352" s="14" t="s">
        <v>293</v>
      </c>
      <c r="C352" s="13">
        <v>10701</v>
      </c>
      <c r="D352" s="15" t="s">
        <v>1096</v>
      </c>
      <c r="E352" s="15" t="s">
        <v>347</v>
      </c>
      <c r="F352" s="14" t="s">
        <v>284</v>
      </c>
      <c r="G352" s="4">
        <v>37000</v>
      </c>
      <c r="H352" s="4"/>
      <c r="I352" s="4"/>
      <c r="J352" s="4"/>
      <c r="K352" s="4"/>
      <c r="L352" s="11">
        <f t="shared" si="58"/>
        <v>444000</v>
      </c>
      <c r="M352" s="71">
        <v>0</v>
      </c>
      <c r="N352" s="71">
        <v>0</v>
      </c>
      <c r="O352" s="71">
        <v>0</v>
      </c>
      <c r="P352" s="71">
        <v>0</v>
      </c>
      <c r="Q352" s="71">
        <f>VLOOKUP(C352,Incentives!C346:K685,9,FALSE)</f>
        <v>0</v>
      </c>
      <c r="R352" s="71">
        <v>0</v>
      </c>
      <c r="S352" s="13">
        <v>0</v>
      </c>
      <c r="T352" s="13">
        <v>0</v>
      </c>
      <c r="Y352" s="71">
        <v>0</v>
      </c>
      <c r="Z352" s="71">
        <v>0</v>
      </c>
      <c r="AA352" s="71">
        <v>0</v>
      </c>
      <c r="AB352" s="71">
        <v>0</v>
      </c>
      <c r="AC352" s="71">
        <v>0</v>
      </c>
      <c r="AD352" s="71">
        <v>0</v>
      </c>
      <c r="AE352" s="13">
        <v>0</v>
      </c>
      <c r="AF352" s="13">
        <v>0</v>
      </c>
      <c r="AI352" s="26"/>
      <c r="AK352" s="11">
        <f t="shared" si="66"/>
        <v>444000</v>
      </c>
      <c r="AL352" s="11">
        <f t="shared" si="67"/>
        <v>37000</v>
      </c>
      <c r="AM352" s="11">
        <f t="shared" si="52"/>
        <v>0</v>
      </c>
      <c r="AN352" s="11">
        <f>VLOOKUP(C352,'Paid Tax'!B347:M708,12,FALSE)</f>
        <v>0</v>
      </c>
      <c r="AO352" s="11">
        <f t="shared" si="65"/>
        <v>0</v>
      </c>
      <c r="AP352" s="13">
        <v>5</v>
      </c>
      <c r="AQ352" s="16">
        <f t="shared" si="46"/>
        <v>0</v>
      </c>
      <c r="AS352" s="11">
        <f t="shared" si="54"/>
        <v>0</v>
      </c>
    </row>
    <row r="353" spans="1:45" s="13" customFormat="1" x14ac:dyDescent="0.25">
      <c r="A353" s="12">
        <v>346</v>
      </c>
      <c r="B353" s="14" t="s">
        <v>294</v>
      </c>
      <c r="C353" s="13">
        <v>10702</v>
      </c>
      <c r="D353" s="15" t="s">
        <v>1097</v>
      </c>
      <c r="E353" s="15" t="s">
        <v>69</v>
      </c>
      <c r="F353" s="14" t="s">
        <v>284</v>
      </c>
      <c r="G353" s="4">
        <v>30000</v>
      </c>
      <c r="H353" s="4"/>
      <c r="I353" s="4"/>
      <c r="J353" s="4"/>
      <c r="K353" s="4"/>
      <c r="L353" s="11">
        <f t="shared" si="58"/>
        <v>360000</v>
      </c>
      <c r="M353" s="23"/>
      <c r="N353" s="71">
        <v>0</v>
      </c>
      <c r="O353" s="71">
        <v>0</v>
      </c>
      <c r="P353" s="71">
        <v>0</v>
      </c>
      <c r="Q353" s="71">
        <f>VLOOKUP(C353,Incentives!C347:K686,9,FALSE)</f>
        <v>0</v>
      </c>
      <c r="R353" s="71">
        <v>0</v>
      </c>
      <c r="S353" s="13">
        <v>0</v>
      </c>
      <c r="T353" s="13">
        <v>0</v>
      </c>
      <c r="Y353" s="71">
        <v>0</v>
      </c>
      <c r="Z353" s="71">
        <v>0</v>
      </c>
      <c r="AA353" s="71">
        <v>0</v>
      </c>
      <c r="AB353" s="71">
        <v>0</v>
      </c>
      <c r="AC353" s="71">
        <v>0</v>
      </c>
      <c r="AD353" s="71">
        <v>0</v>
      </c>
      <c r="AE353" s="13">
        <v>0</v>
      </c>
      <c r="AF353" s="13">
        <v>0</v>
      </c>
      <c r="AI353" s="26"/>
      <c r="AK353" s="11">
        <f t="shared" si="66"/>
        <v>360000</v>
      </c>
      <c r="AL353" s="11">
        <f t="shared" si="67"/>
        <v>30000</v>
      </c>
      <c r="AM353" s="11">
        <f t="shared" si="52"/>
        <v>0</v>
      </c>
      <c r="AN353" s="11">
        <f>VLOOKUP(C353,'Paid Tax'!B348:M709,12,FALSE)</f>
        <v>0</v>
      </c>
      <c r="AO353" s="11">
        <f t="shared" si="65"/>
        <v>0</v>
      </c>
      <c r="AP353" s="13">
        <v>5</v>
      </c>
      <c r="AQ353" s="16">
        <f t="shared" si="46"/>
        <v>0</v>
      </c>
      <c r="AS353" s="11">
        <f t="shared" si="54"/>
        <v>0</v>
      </c>
    </row>
    <row r="354" spans="1:45" s="13" customFormat="1" x14ac:dyDescent="0.25">
      <c r="A354" s="12">
        <v>347</v>
      </c>
      <c r="B354" s="15" t="s">
        <v>293</v>
      </c>
      <c r="C354" s="13">
        <v>10703</v>
      </c>
      <c r="D354" s="15" t="s">
        <v>1098</v>
      </c>
      <c r="E354" s="15" t="s">
        <v>337</v>
      </c>
      <c r="F354" s="14" t="s">
        <v>281</v>
      </c>
      <c r="G354" s="4">
        <v>45000</v>
      </c>
      <c r="H354" s="4"/>
      <c r="I354" s="4"/>
      <c r="J354" s="4"/>
      <c r="K354" s="4"/>
      <c r="L354" s="11">
        <f t="shared" si="58"/>
        <v>540000</v>
      </c>
      <c r="M354" s="71">
        <v>0</v>
      </c>
      <c r="N354" s="71">
        <v>0</v>
      </c>
      <c r="O354" s="71">
        <v>0</v>
      </c>
      <c r="P354" s="71">
        <v>0</v>
      </c>
      <c r="Q354" s="71">
        <f>VLOOKUP(C354,Incentives!C348:K687,9,FALSE)</f>
        <v>0</v>
      </c>
      <c r="R354" s="71">
        <v>0</v>
      </c>
      <c r="S354" s="13">
        <v>0</v>
      </c>
      <c r="T354" s="13">
        <v>0</v>
      </c>
      <c r="Y354" s="71">
        <v>0</v>
      </c>
      <c r="Z354" s="71">
        <v>0</v>
      </c>
      <c r="AA354" s="71">
        <v>0</v>
      </c>
      <c r="AB354" s="71">
        <v>0</v>
      </c>
      <c r="AC354" s="71">
        <v>0</v>
      </c>
      <c r="AD354" s="71">
        <v>0</v>
      </c>
      <c r="AE354" s="13">
        <v>0</v>
      </c>
      <c r="AF354" s="13">
        <v>0</v>
      </c>
      <c r="AI354" s="26"/>
      <c r="AK354" s="11">
        <f t="shared" si="66"/>
        <v>540000</v>
      </c>
      <c r="AL354" s="11">
        <f t="shared" si="67"/>
        <v>45000</v>
      </c>
      <c r="AM354" s="11">
        <f t="shared" si="52"/>
        <v>0</v>
      </c>
      <c r="AN354" s="11">
        <f>VLOOKUP(C354,'Paid Tax'!B349:M710,12,FALSE)</f>
        <v>0</v>
      </c>
      <c r="AO354" s="11">
        <f t="shared" si="65"/>
        <v>0</v>
      </c>
      <c r="AP354" s="13">
        <v>5</v>
      </c>
      <c r="AQ354" s="16">
        <f t="shared" si="46"/>
        <v>0</v>
      </c>
      <c r="AS354" s="11">
        <f t="shared" si="54"/>
        <v>0</v>
      </c>
    </row>
    <row r="355" spans="1:45" s="13" customFormat="1" x14ac:dyDescent="0.25">
      <c r="A355" s="12">
        <v>348</v>
      </c>
      <c r="B355" s="15" t="s">
        <v>293</v>
      </c>
      <c r="C355" s="13">
        <v>10704</v>
      </c>
      <c r="D355" s="15" t="s">
        <v>1181</v>
      </c>
      <c r="E355" s="15" t="s">
        <v>337</v>
      </c>
      <c r="F355" s="14" t="s">
        <v>281</v>
      </c>
      <c r="G355" s="4">
        <v>45000</v>
      </c>
      <c r="H355" s="4"/>
      <c r="I355" s="4"/>
      <c r="J355" s="4"/>
      <c r="K355" s="4"/>
      <c r="L355" s="11">
        <f t="shared" si="58"/>
        <v>540000</v>
      </c>
      <c r="M355" s="71"/>
      <c r="N355" s="71"/>
      <c r="O355" s="71"/>
      <c r="P355" s="71"/>
      <c r="Q355" s="71"/>
      <c r="R355" s="71"/>
      <c r="S355" s="13">
        <v>0</v>
      </c>
      <c r="T355" s="13">
        <v>0</v>
      </c>
      <c r="Y355" s="71"/>
      <c r="Z355" s="71"/>
      <c r="AA355" s="71"/>
      <c r="AB355" s="71"/>
      <c r="AC355" s="71"/>
      <c r="AD355" s="71"/>
      <c r="AE355" s="13">
        <v>0</v>
      </c>
      <c r="AF355" s="13">
        <v>51634</v>
      </c>
      <c r="AI355" s="26"/>
      <c r="AK355" s="11">
        <f t="shared" si="66"/>
        <v>591634</v>
      </c>
      <c r="AL355" s="11">
        <f t="shared" si="67"/>
        <v>49302.833333333336</v>
      </c>
      <c r="AM355" s="11">
        <f t="shared" si="52"/>
        <v>0</v>
      </c>
      <c r="AN355" s="11">
        <f>VLOOKUP(C355,'Paid Tax'!B350:M711,12,FALSE)</f>
        <v>0</v>
      </c>
      <c r="AO355" s="11">
        <f t="shared" ref="AO355" si="68">+AM355-AN355</f>
        <v>0</v>
      </c>
      <c r="AP355" s="13">
        <v>5</v>
      </c>
      <c r="AQ355" s="16">
        <f t="shared" ref="AQ355" si="69">+AO355/AP355</f>
        <v>0</v>
      </c>
      <c r="AS355" s="11"/>
    </row>
    <row r="356" spans="1:45" s="13" customFormat="1" x14ac:dyDescent="0.25">
      <c r="A356" s="12">
        <v>349</v>
      </c>
      <c r="B356" s="60" t="s">
        <v>1102</v>
      </c>
      <c r="C356" s="14">
        <v>10705</v>
      </c>
      <c r="D356" s="15" t="s">
        <v>1103</v>
      </c>
      <c r="E356" s="15" t="s">
        <v>69</v>
      </c>
      <c r="F356" s="14" t="s">
        <v>284</v>
      </c>
      <c r="G356" s="4">
        <v>30500</v>
      </c>
      <c r="H356" s="4"/>
      <c r="I356" s="4"/>
      <c r="J356" s="4"/>
      <c r="K356" s="4"/>
      <c r="L356" s="11">
        <f t="shared" si="58"/>
        <v>366000</v>
      </c>
      <c r="M356" s="23"/>
      <c r="N356" s="71">
        <v>0</v>
      </c>
      <c r="O356" s="71">
        <v>0</v>
      </c>
      <c r="P356" s="71">
        <v>0</v>
      </c>
      <c r="Q356" s="71">
        <v>0</v>
      </c>
      <c r="R356" s="71">
        <v>0</v>
      </c>
      <c r="S356" s="13">
        <v>0</v>
      </c>
      <c r="T356" s="13">
        <v>0</v>
      </c>
      <c r="Y356" s="71">
        <v>0</v>
      </c>
      <c r="Z356" s="71">
        <v>0</v>
      </c>
      <c r="AA356" s="71">
        <v>0</v>
      </c>
      <c r="AB356" s="71">
        <v>0</v>
      </c>
      <c r="AC356" s="71">
        <v>0</v>
      </c>
      <c r="AD356" s="71">
        <v>0</v>
      </c>
      <c r="AE356" s="13">
        <v>0</v>
      </c>
      <c r="AF356" s="13">
        <v>0</v>
      </c>
      <c r="AI356" s="26"/>
      <c r="AK356" s="11">
        <f t="shared" si="66"/>
        <v>366000</v>
      </c>
      <c r="AL356" s="11">
        <f t="shared" si="67"/>
        <v>30500</v>
      </c>
      <c r="AM356" s="11">
        <f t="shared" si="52"/>
        <v>0</v>
      </c>
      <c r="AN356" s="11">
        <f>VLOOKUP(C356,'Paid Tax'!B351:M712,12,FALSE)</f>
        <v>0</v>
      </c>
      <c r="AO356" s="11">
        <f t="shared" si="65"/>
        <v>0</v>
      </c>
      <c r="AP356" s="13">
        <v>5</v>
      </c>
      <c r="AQ356" s="16">
        <f t="shared" si="46"/>
        <v>0</v>
      </c>
      <c r="AS356" s="11">
        <f t="shared" si="54"/>
        <v>0</v>
      </c>
    </row>
    <row r="357" spans="1:45" s="13" customFormat="1" x14ac:dyDescent="0.25">
      <c r="A357" s="12">
        <v>350</v>
      </c>
      <c r="B357" s="60" t="s">
        <v>293</v>
      </c>
      <c r="C357" s="14">
        <v>10708</v>
      </c>
      <c r="D357" s="15" t="s">
        <v>1104</v>
      </c>
      <c r="E357" s="15" t="s">
        <v>23</v>
      </c>
      <c r="F357" s="14" t="s">
        <v>1099</v>
      </c>
      <c r="G357" s="4">
        <v>37000</v>
      </c>
      <c r="H357" s="4"/>
      <c r="I357" s="4"/>
      <c r="J357" s="4"/>
      <c r="K357" s="4"/>
      <c r="L357" s="11">
        <f t="shared" ref="L357:L363" si="70">G357*12+H357+J357+K357+I357</f>
        <v>444000</v>
      </c>
      <c r="M357" s="23"/>
      <c r="N357" s="71">
        <v>0</v>
      </c>
      <c r="O357" s="71">
        <v>0</v>
      </c>
      <c r="P357" s="71">
        <v>0</v>
      </c>
      <c r="Q357" s="71">
        <v>0</v>
      </c>
      <c r="R357" s="71">
        <v>0</v>
      </c>
      <c r="S357" s="13">
        <v>0</v>
      </c>
      <c r="T357" s="13">
        <v>0</v>
      </c>
      <c r="Y357" s="71">
        <v>0</v>
      </c>
      <c r="Z357" s="71">
        <v>0</v>
      </c>
      <c r="AA357" s="71">
        <v>0</v>
      </c>
      <c r="AB357" s="71">
        <v>0</v>
      </c>
      <c r="AC357" s="71">
        <v>0</v>
      </c>
      <c r="AD357" s="71">
        <v>0</v>
      </c>
      <c r="AE357" s="13">
        <v>0</v>
      </c>
      <c r="AF357" s="13">
        <v>0</v>
      </c>
      <c r="AI357" s="26"/>
      <c r="AK357" s="11">
        <f t="shared" ref="AK357:AK363" si="71">SUM(L357:AJ357)</f>
        <v>444000</v>
      </c>
      <c r="AL357" s="11">
        <f t="shared" ref="AL357:AL363" si="72">AK357/12</f>
        <v>37000</v>
      </c>
      <c r="AM357" s="11">
        <f t="shared" si="52"/>
        <v>0</v>
      </c>
      <c r="AN357" s="11">
        <f>VLOOKUP(C357,'Paid Tax'!B352:M713,12,FALSE)</f>
        <v>0</v>
      </c>
      <c r="AO357" s="11">
        <f t="shared" si="65"/>
        <v>0</v>
      </c>
      <c r="AP357" s="13">
        <v>5</v>
      </c>
      <c r="AQ357" s="16">
        <f t="shared" si="46"/>
        <v>0</v>
      </c>
      <c r="AS357" s="11">
        <f t="shared" si="54"/>
        <v>0</v>
      </c>
    </row>
    <row r="358" spans="1:45" s="13" customFormat="1" x14ac:dyDescent="0.25">
      <c r="A358" s="12">
        <v>351</v>
      </c>
      <c r="B358" s="60" t="s">
        <v>1105</v>
      </c>
      <c r="C358" s="14">
        <v>10706</v>
      </c>
      <c r="D358" s="15" t="s">
        <v>1106</v>
      </c>
      <c r="E358" s="15" t="s">
        <v>69</v>
      </c>
      <c r="F358" s="14" t="s">
        <v>284</v>
      </c>
      <c r="G358" s="4">
        <v>30500</v>
      </c>
      <c r="H358" s="4"/>
      <c r="I358" s="4"/>
      <c r="J358" s="4"/>
      <c r="K358" s="4"/>
      <c r="L358" s="11">
        <f t="shared" si="70"/>
        <v>366000</v>
      </c>
      <c r="M358" s="23"/>
      <c r="N358" s="71">
        <v>0</v>
      </c>
      <c r="O358" s="71">
        <v>0</v>
      </c>
      <c r="P358" s="71">
        <v>0</v>
      </c>
      <c r="Q358" s="71">
        <v>0</v>
      </c>
      <c r="R358" s="71">
        <v>0</v>
      </c>
      <c r="S358" s="13">
        <v>0</v>
      </c>
      <c r="T358" s="13">
        <v>1560</v>
      </c>
      <c r="Y358" s="71">
        <v>0</v>
      </c>
      <c r="Z358" s="71">
        <v>0</v>
      </c>
      <c r="AA358" s="71">
        <v>0</v>
      </c>
      <c r="AB358" s="71">
        <v>0</v>
      </c>
      <c r="AC358" s="71">
        <v>0</v>
      </c>
      <c r="AD358" s="71">
        <v>0</v>
      </c>
      <c r="AE358" s="13">
        <v>0</v>
      </c>
      <c r="AF358" s="13">
        <v>0</v>
      </c>
      <c r="AI358" s="26"/>
      <c r="AK358" s="11">
        <f t="shared" si="71"/>
        <v>367560</v>
      </c>
      <c r="AL358" s="11">
        <f t="shared" si="72"/>
        <v>30630</v>
      </c>
      <c r="AM358" s="11">
        <f t="shared" si="52"/>
        <v>0</v>
      </c>
      <c r="AN358" s="11">
        <f>VLOOKUP(C358,'Paid Tax'!B353:M714,12,FALSE)</f>
        <v>0</v>
      </c>
      <c r="AO358" s="11">
        <f t="shared" si="65"/>
        <v>0</v>
      </c>
      <c r="AP358" s="13">
        <v>5</v>
      </c>
      <c r="AQ358" s="16">
        <f t="shared" si="46"/>
        <v>0</v>
      </c>
      <c r="AS358" s="11">
        <f t="shared" si="54"/>
        <v>0</v>
      </c>
    </row>
    <row r="359" spans="1:45" s="13" customFormat="1" x14ac:dyDescent="0.25">
      <c r="A359" s="12">
        <v>352</v>
      </c>
      <c r="B359" s="60" t="s">
        <v>295</v>
      </c>
      <c r="C359" s="14">
        <v>10707</v>
      </c>
      <c r="D359" s="15" t="s">
        <v>1107</v>
      </c>
      <c r="E359" s="15" t="s">
        <v>378</v>
      </c>
      <c r="F359" s="14" t="s">
        <v>283</v>
      </c>
      <c r="G359" s="4">
        <v>100000</v>
      </c>
      <c r="H359" s="4"/>
      <c r="I359" s="4"/>
      <c r="J359" s="4"/>
      <c r="K359" s="4"/>
      <c r="L359" s="11">
        <f t="shared" si="70"/>
        <v>1200000</v>
      </c>
      <c r="M359" s="23"/>
      <c r="N359" s="71">
        <v>0</v>
      </c>
      <c r="O359" s="71">
        <v>0</v>
      </c>
      <c r="P359" s="71">
        <v>0</v>
      </c>
      <c r="Q359" s="71">
        <v>0</v>
      </c>
      <c r="R359" s="71">
        <v>0</v>
      </c>
      <c r="S359" s="13">
        <v>0</v>
      </c>
      <c r="T359" s="13">
        <v>0</v>
      </c>
      <c r="Y359" s="71">
        <v>0</v>
      </c>
      <c r="Z359" s="71">
        <v>0</v>
      </c>
      <c r="AA359" s="71">
        <v>0</v>
      </c>
      <c r="AB359" s="71">
        <v>0</v>
      </c>
      <c r="AC359" s="71">
        <v>0</v>
      </c>
      <c r="AD359" s="71">
        <v>0</v>
      </c>
      <c r="AE359" s="13">
        <v>0</v>
      </c>
      <c r="AF359" s="13">
        <v>0</v>
      </c>
      <c r="AI359" s="26"/>
      <c r="AK359" s="11">
        <f t="shared" si="71"/>
        <v>1200000</v>
      </c>
      <c r="AL359" s="11">
        <f t="shared" si="72"/>
        <v>100000</v>
      </c>
      <c r="AM359" s="11">
        <f t="shared" si="52"/>
        <v>6000</v>
      </c>
      <c r="AN359" s="11">
        <f>VLOOKUP(C359,'Paid Tax'!B354:M715,12,FALSE)</f>
        <v>500</v>
      </c>
      <c r="AO359" s="11">
        <f t="shared" si="65"/>
        <v>5500</v>
      </c>
      <c r="AP359" s="13">
        <v>11</v>
      </c>
      <c r="AQ359" s="16">
        <f t="shared" si="46"/>
        <v>500</v>
      </c>
      <c r="AR359" s="40" t="s">
        <v>790</v>
      </c>
      <c r="AS359" s="11">
        <f t="shared" si="54"/>
        <v>-500</v>
      </c>
    </row>
    <row r="360" spans="1:45" s="13" customFormat="1" x14ac:dyDescent="0.25">
      <c r="A360" s="12">
        <v>353</v>
      </c>
      <c r="B360" s="60" t="s">
        <v>293</v>
      </c>
      <c r="C360" s="14">
        <v>10709</v>
      </c>
      <c r="D360" s="15" t="s">
        <v>1108</v>
      </c>
      <c r="E360" s="15" t="s">
        <v>23</v>
      </c>
      <c r="F360" s="14" t="s">
        <v>1099</v>
      </c>
      <c r="G360" s="4">
        <v>37000</v>
      </c>
      <c r="H360" s="4"/>
      <c r="I360" s="4"/>
      <c r="J360" s="4"/>
      <c r="K360" s="4"/>
      <c r="L360" s="11">
        <f t="shared" si="70"/>
        <v>444000</v>
      </c>
      <c r="M360" s="23"/>
      <c r="N360" s="71">
        <v>0</v>
      </c>
      <c r="O360" s="71">
        <v>0</v>
      </c>
      <c r="P360" s="71">
        <v>0</v>
      </c>
      <c r="Q360" s="71">
        <v>0</v>
      </c>
      <c r="R360" s="71">
        <v>0</v>
      </c>
      <c r="S360" s="13">
        <v>0</v>
      </c>
      <c r="T360" s="13">
        <v>0</v>
      </c>
      <c r="Y360" s="71">
        <v>0</v>
      </c>
      <c r="Z360" s="71">
        <v>0</v>
      </c>
      <c r="AA360" s="71">
        <v>0</v>
      </c>
      <c r="AB360" s="71">
        <v>0</v>
      </c>
      <c r="AC360" s="71">
        <v>0</v>
      </c>
      <c r="AD360" s="71">
        <v>0</v>
      </c>
      <c r="AE360" s="13">
        <v>0</v>
      </c>
      <c r="AF360" s="13">
        <v>0</v>
      </c>
      <c r="AI360" s="26"/>
      <c r="AK360" s="11">
        <f t="shared" si="71"/>
        <v>444000</v>
      </c>
      <c r="AL360" s="11">
        <f t="shared" si="72"/>
        <v>37000</v>
      </c>
      <c r="AM360" s="11">
        <f t="shared" si="52"/>
        <v>0</v>
      </c>
      <c r="AN360" s="11">
        <f>VLOOKUP(C360,'Paid Tax'!B355:M716,12,FALSE)</f>
        <v>0</v>
      </c>
      <c r="AO360" s="11">
        <f t="shared" si="65"/>
        <v>0</v>
      </c>
      <c r="AP360" s="13">
        <v>5</v>
      </c>
      <c r="AQ360" s="16">
        <f t="shared" si="46"/>
        <v>0</v>
      </c>
      <c r="AS360" s="11">
        <f t="shared" si="54"/>
        <v>0</v>
      </c>
    </row>
    <row r="361" spans="1:45" s="13" customFormat="1" x14ac:dyDescent="0.25">
      <c r="A361" s="12">
        <v>354</v>
      </c>
      <c r="B361" s="60" t="s">
        <v>293</v>
      </c>
      <c r="C361" s="14">
        <v>10710</v>
      </c>
      <c r="D361" s="15" t="s">
        <v>1109</v>
      </c>
      <c r="E361" s="15" t="s">
        <v>23</v>
      </c>
      <c r="F361" s="14" t="s">
        <v>1099</v>
      </c>
      <c r="G361" s="4">
        <v>38000</v>
      </c>
      <c r="H361" s="4"/>
      <c r="I361" s="4"/>
      <c r="J361" s="4"/>
      <c r="K361" s="4"/>
      <c r="L361" s="11">
        <f t="shared" si="70"/>
        <v>456000</v>
      </c>
      <c r="M361" s="23"/>
      <c r="N361" s="71">
        <v>0</v>
      </c>
      <c r="O361" s="71">
        <v>0</v>
      </c>
      <c r="P361" s="71">
        <v>0</v>
      </c>
      <c r="Q361" s="71">
        <v>0</v>
      </c>
      <c r="R361" s="71">
        <v>0</v>
      </c>
      <c r="S361" s="13">
        <v>0</v>
      </c>
      <c r="T361" s="13">
        <v>0</v>
      </c>
      <c r="Y361" s="71">
        <v>0</v>
      </c>
      <c r="Z361" s="71">
        <v>0</v>
      </c>
      <c r="AA361" s="71">
        <v>0</v>
      </c>
      <c r="AB361" s="71">
        <v>0</v>
      </c>
      <c r="AC361" s="71">
        <v>0</v>
      </c>
      <c r="AD361" s="71">
        <v>0</v>
      </c>
      <c r="AE361" s="13">
        <v>0</v>
      </c>
      <c r="AF361" s="13">
        <v>0</v>
      </c>
      <c r="AI361" s="26"/>
      <c r="AK361" s="11">
        <f t="shared" si="71"/>
        <v>456000</v>
      </c>
      <c r="AL361" s="11">
        <f t="shared" si="72"/>
        <v>38000</v>
      </c>
      <c r="AM361" s="11">
        <f t="shared" si="52"/>
        <v>0</v>
      </c>
      <c r="AN361" s="11">
        <f>VLOOKUP(C361,'Paid Tax'!B356:M717,12,FALSE)</f>
        <v>0</v>
      </c>
      <c r="AO361" s="11">
        <f t="shared" si="65"/>
        <v>0</v>
      </c>
      <c r="AP361" s="13">
        <v>5</v>
      </c>
      <c r="AQ361" s="16">
        <f t="shared" si="46"/>
        <v>0</v>
      </c>
      <c r="AS361" s="11">
        <f t="shared" si="54"/>
        <v>0</v>
      </c>
    </row>
    <row r="362" spans="1:45" s="13" customFormat="1" x14ac:dyDescent="0.25">
      <c r="A362" s="12">
        <v>355</v>
      </c>
      <c r="B362" s="60" t="s">
        <v>293</v>
      </c>
      <c r="C362" s="14">
        <v>10711</v>
      </c>
      <c r="D362" s="15" t="s">
        <v>1110</v>
      </c>
      <c r="E362" s="15" t="s">
        <v>69</v>
      </c>
      <c r="F362" s="14" t="s">
        <v>284</v>
      </c>
      <c r="G362" s="4">
        <v>35500</v>
      </c>
      <c r="H362" s="4"/>
      <c r="I362" s="4"/>
      <c r="J362" s="4"/>
      <c r="K362" s="4"/>
      <c r="L362" s="11">
        <f t="shared" si="70"/>
        <v>426000</v>
      </c>
      <c r="M362" s="23"/>
      <c r="N362" s="71">
        <v>0</v>
      </c>
      <c r="O362" s="71">
        <v>0</v>
      </c>
      <c r="P362" s="71">
        <v>0</v>
      </c>
      <c r="Q362" s="71">
        <v>0</v>
      </c>
      <c r="R362" s="71">
        <v>0</v>
      </c>
      <c r="S362" s="13">
        <v>0</v>
      </c>
      <c r="T362" s="13">
        <v>1740</v>
      </c>
      <c r="Y362" s="71">
        <v>0</v>
      </c>
      <c r="Z362" s="71">
        <v>0</v>
      </c>
      <c r="AA362" s="71">
        <v>0</v>
      </c>
      <c r="AB362" s="71">
        <v>0</v>
      </c>
      <c r="AC362" s="71">
        <v>0</v>
      </c>
      <c r="AD362" s="71">
        <v>0</v>
      </c>
      <c r="AE362" s="13">
        <v>0</v>
      </c>
      <c r="AF362" s="13">
        <v>0</v>
      </c>
      <c r="AI362" s="26"/>
      <c r="AK362" s="11">
        <f t="shared" si="71"/>
        <v>427740</v>
      </c>
      <c r="AL362" s="11">
        <f t="shared" si="72"/>
        <v>35645</v>
      </c>
      <c r="AM362" s="11">
        <f t="shared" si="52"/>
        <v>0</v>
      </c>
      <c r="AN362" s="11">
        <f>VLOOKUP(C362,'Paid Tax'!B357:M718,12,FALSE)</f>
        <v>0</v>
      </c>
      <c r="AO362" s="11">
        <f t="shared" si="65"/>
        <v>0</v>
      </c>
      <c r="AP362" s="13">
        <v>5</v>
      </c>
      <c r="AQ362" s="16">
        <f t="shared" si="46"/>
        <v>0</v>
      </c>
      <c r="AS362" s="11">
        <f t="shared" si="54"/>
        <v>0</v>
      </c>
    </row>
    <row r="363" spans="1:45" s="13" customFormat="1" x14ac:dyDescent="0.25">
      <c r="A363" s="12">
        <v>356</v>
      </c>
      <c r="B363" s="60" t="s">
        <v>293</v>
      </c>
      <c r="C363" s="14">
        <v>10712</v>
      </c>
      <c r="D363" s="15" t="s">
        <v>1111</v>
      </c>
      <c r="E363" s="15" t="s">
        <v>1112</v>
      </c>
      <c r="F363" s="14" t="s">
        <v>287</v>
      </c>
      <c r="G363" s="4">
        <v>30000</v>
      </c>
      <c r="H363" s="4"/>
      <c r="I363" s="4"/>
      <c r="J363" s="4"/>
      <c r="K363" s="4"/>
      <c r="L363" s="11">
        <f t="shared" si="70"/>
        <v>360000</v>
      </c>
      <c r="M363" s="23"/>
      <c r="N363" s="71">
        <v>0</v>
      </c>
      <c r="O363" s="71">
        <v>0</v>
      </c>
      <c r="P363" s="71">
        <v>0</v>
      </c>
      <c r="Q363" s="71">
        <v>0</v>
      </c>
      <c r="R363" s="71">
        <v>0</v>
      </c>
      <c r="S363" s="13">
        <v>0</v>
      </c>
      <c r="T363" s="13">
        <v>0</v>
      </c>
      <c r="Y363" s="71">
        <v>0</v>
      </c>
      <c r="Z363" s="71">
        <v>0</v>
      </c>
      <c r="AA363" s="71">
        <v>0</v>
      </c>
      <c r="AB363" s="71">
        <v>0</v>
      </c>
      <c r="AC363" s="71">
        <v>0</v>
      </c>
      <c r="AD363" s="71">
        <v>0</v>
      </c>
      <c r="AE363" s="13">
        <v>0</v>
      </c>
      <c r="AF363" s="13">
        <v>0</v>
      </c>
      <c r="AI363" s="26"/>
      <c r="AK363" s="11">
        <f t="shared" si="71"/>
        <v>360000</v>
      </c>
      <c r="AL363" s="11">
        <f t="shared" si="72"/>
        <v>30000</v>
      </c>
      <c r="AM363" s="11">
        <f t="shared" si="52"/>
        <v>0</v>
      </c>
      <c r="AN363" s="11">
        <f>VLOOKUP(C363,'Paid Tax'!B358:M719,12,FALSE)</f>
        <v>0</v>
      </c>
      <c r="AO363" s="11">
        <f t="shared" si="65"/>
        <v>0</v>
      </c>
      <c r="AP363" s="13">
        <v>5</v>
      </c>
      <c r="AQ363" s="16">
        <f t="shared" si="46"/>
        <v>0</v>
      </c>
      <c r="AS363" s="11">
        <f t="shared" si="54"/>
        <v>0</v>
      </c>
    </row>
    <row r="364" spans="1:45" s="13" customFormat="1" x14ac:dyDescent="0.25">
      <c r="A364" s="12">
        <v>357</v>
      </c>
      <c r="B364" s="15" t="s">
        <v>293</v>
      </c>
      <c r="C364" s="14">
        <v>10713</v>
      </c>
      <c r="D364" s="15" t="s">
        <v>1172</v>
      </c>
      <c r="E364" s="15" t="s">
        <v>319</v>
      </c>
      <c r="F364" s="14" t="s">
        <v>1178</v>
      </c>
      <c r="G364" s="4">
        <v>45000</v>
      </c>
      <c r="H364" s="4"/>
      <c r="I364" s="4"/>
      <c r="J364" s="4"/>
      <c r="K364" s="4"/>
      <c r="L364" s="11">
        <f t="shared" ref="L364:L369" si="73">G364*12+H364+J364+K364+I364</f>
        <v>540000</v>
      </c>
      <c r="M364" s="23"/>
      <c r="N364" s="71">
        <v>0</v>
      </c>
      <c r="O364" s="71">
        <v>0</v>
      </c>
      <c r="P364" s="71">
        <v>0</v>
      </c>
      <c r="Q364" s="71">
        <v>0</v>
      </c>
      <c r="R364" s="71">
        <v>0</v>
      </c>
      <c r="S364" s="13">
        <v>0</v>
      </c>
      <c r="T364" s="13">
        <v>0</v>
      </c>
      <c r="Y364" s="71">
        <v>0</v>
      </c>
      <c r="Z364" s="71">
        <v>0</v>
      </c>
      <c r="AA364" s="71">
        <v>0</v>
      </c>
      <c r="AB364" s="71">
        <v>0</v>
      </c>
      <c r="AC364" s="71">
        <v>0</v>
      </c>
      <c r="AD364" s="71">
        <v>0</v>
      </c>
      <c r="AE364" s="13">
        <v>0</v>
      </c>
      <c r="AF364" s="13">
        <v>0</v>
      </c>
      <c r="AI364" s="26"/>
      <c r="AK364" s="11">
        <f t="shared" ref="AK364:AK369" si="74">SUM(L364:AJ364)</f>
        <v>540000</v>
      </c>
      <c r="AL364" s="11">
        <f t="shared" ref="AL364:AL369" si="75">AK364/12</f>
        <v>45000</v>
      </c>
      <c r="AM364" s="11">
        <f t="shared" si="52"/>
        <v>0</v>
      </c>
      <c r="AN364" s="11">
        <f>VLOOKUP(C364,'Paid Tax'!B359:M720,12,FALSE)</f>
        <v>0</v>
      </c>
      <c r="AO364" s="11">
        <f t="shared" si="65"/>
        <v>0</v>
      </c>
      <c r="AP364" s="13">
        <v>5</v>
      </c>
      <c r="AQ364" s="16">
        <f t="shared" si="46"/>
        <v>0</v>
      </c>
      <c r="AS364" s="11">
        <f t="shared" si="54"/>
        <v>0</v>
      </c>
    </row>
    <row r="365" spans="1:45" s="13" customFormat="1" x14ac:dyDescent="0.25">
      <c r="A365" s="12">
        <v>358</v>
      </c>
      <c r="B365" s="15" t="s">
        <v>293</v>
      </c>
      <c r="C365" s="14">
        <v>10714</v>
      </c>
      <c r="D365" s="15" t="s">
        <v>1173</v>
      </c>
      <c r="E365" s="15" t="s">
        <v>342</v>
      </c>
      <c r="F365" s="14" t="s">
        <v>287</v>
      </c>
      <c r="G365" s="4">
        <v>30000</v>
      </c>
      <c r="H365" s="4"/>
      <c r="I365" s="4"/>
      <c r="J365" s="4"/>
      <c r="K365" s="4"/>
      <c r="L365" s="11">
        <f t="shared" si="73"/>
        <v>360000</v>
      </c>
      <c r="M365" s="23"/>
      <c r="N365" s="71">
        <v>0</v>
      </c>
      <c r="O365" s="71">
        <v>0</v>
      </c>
      <c r="P365" s="71">
        <v>0</v>
      </c>
      <c r="Q365" s="71">
        <v>0</v>
      </c>
      <c r="R365" s="71">
        <v>0</v>
      </c>
      <c r="S365" s="13">
        <v>0</v>
      </c>
      <c r="T365" s="13">
        <v>0</v>
      </c>
      <c r="Y365" s="71">
        <v>0</v>
      </c>
      <c r="Z365" s="71">
        <v>0</v>
      </c>
      <c r="AA365" s="71">
        <v>0</v>
      </c>
      <c r="AB365" s="71">
        <v>0</v>
      </c>
      <c r="AC365" s="71">
        <v>0</v>
      </c>
      <c r="AD365" s="71">
        <v>0</v>
      </c>
      <c r="AE365" s="13">
        <v>0</v>
      </c>
      <c r="AF365" s="13">
        <v>0</v>
      </c>
      <c r="AI365" s="26"/>
      <c r="AK365" s="11">
        <f t="shared" si="74"/>
        <v>360000</v>
      </c>
      <c r="AL365" s="11">
        <f t="shared" si="75"/>
        <v>30000</v>
      </c>
      <c r="AM365" s="11">
        <f t="shared" si="52"/>
        <v>0</v>
      </c>
      <c r="AN365" s="11">
        <f>VLOOKUP(C365,'Paid Tax'!B360:M721,12,FALSE)</f>
        <v>0</v>
      </c>
      <c r="AO365" s="11">
        <f t="shared" si="65"/>
        <v>0</v>
      </c>
      <c r="AP365" s="13">
        <v>5</v>
      </c>
      <c r="AQ365" s="16">
        <f t="shared" si="46"/>
        <v>0</v>
      </c>
      <c r="AS365" s="11">
        <f t="shared" si="54"/>
        <v>0</v>
      </c>
    </row>
    <row r="366" spans="1:45" s="13" customFormat="1" x14ac:dyDescent="0.25">
      <c r="A366" s="12">
        <v>359</v>
      </c>
      <c r="B366" s="15" t="s">
        <v>293</v>
      </c>
      <c r="C366" s="14">
        <v>10715</v>
      </c>
      <c r="D366" s="15" t="s">
        <v>1174</v>
      </c>
      <c r="E366" s="15" t="s">
        <v>23</v>
      </c>
      <c r="F366" s="14" t="s">
        <v>1099</v>
      </c>
      <c r="G366" s="4">
        <v>38000</v>
      </c>
      <c r="H366" s="4"/>
      <c r="I366" s="4"/>
      <c r="J366" s="4"/>
      <c r="K366" s="4"/>
      <c r="L366" s="11">
        <f t="shared" si="73"/>
        <v>456000</v>
      </c>
      <c r="M366" s="23"/>
      <c r="N366" s="71">
        <v>0</v>
      </c>
      <c r="O366" s="71">
        <v>0</v>
      </c>
      <c r="P366" s="71">
        <v>0</v>
      </c>
      <c r="Q366" s="71">
        <v>0</v>
      </c>
      <c r="R366" s="71">
        <v>0</v>
      </c>
      <c r="S366" s="13">
        <v>0</v>
      </c>
      <c r="T366" s="13">
        <v>0</v>
      </c>
      <c r="Y366" s="71">
        <v>0</v>
      </c>
      <c r="Z366" s="71">
        <v>0</v>
      </c>
      <c r="AA366" s="71">
        <v>0</v>
      </c>
      <c r="AB366" s="71">
        <v>0</v>
      </c>
      <c r="AC366" s="71">
        <v>0</v>
      </c>
      <c r="AD366" s="71">
        <v>0</v>
      </c>
      <c r="AE366" s="13">
        <v>0</v>
      </c>
      <c r="AF366" s="13">
        <v>0</v>
      </c>
      <c r="AI366" s="26"/>
      <c r="AK366" s="11">
        <f t="shared" si="74"/>
        <v>456000</v>
      </c>
      <c r="AL366" s="11">
        <f t="shared" si="75"/>
        <v>38000</v>
      </c>
      <c r="AM366" s="11">
        <f t="shared" si="52"/>
        <v>0</v>
      </c>
      <c r="AN366" s="11">
        <f>VLOOKUP(C366,'Paid Tax'!B361:M722,12,FALSE)</f>
        <v>0</v>
      </c>
      <c r="AO366" s="11">
        <f t="shared" si="65"/>
        <v>0</v>
      </c>
      <c r="AP366" s="13">
        <v>5</v>
      </c>
      <c r="AQ366" s="16">
        <f t="shared" si="46"/>
        <v>0</v>
      </c>
      <c r="AS366" s="11">
        <f t="shared" si="54"/>
        <v>0</v>
      </c>
    </row>
    <row r="367" spans="1:45" s="13" customFormat="1" x14ac:dyDescent="0.25">
      <c r="A367" s="12">
        <v>360</v>
      </c>
      <c r="B367" s="15" t="s">
        <v>293</v>
      </c>
      <c r="C367" s="14">
        <v>10716</v>
      </c>
      <c r="D367" s="15" t="s">
        <v>1175</v>
      </c>
      <c r="E367" s="15" t="s">
        <v>23</v>
      </c>
      <c r="F367" s="14" t="s">
        <v>1099</v>
      </c>
      <c r="G367" s="4">
        <v>38000</v>
      </c>
      <c r="H367" s="4"/>
      <c r="I367" s="4"/>
      <c r="J367" s="4"/>
      <c r="K367" s="4"/>
      <c r="L367" s="11">
        <f t="shared" si="73"/>
        <v>456000</v>
      </c>
      <c r="M367" s="23"/>
      <c r="N367" s="71">
        <v>0</v>
      </c>
      <c r="O367" s="71">
        <v>0</v>
      </c>
      <c r="P367" s="71">
        <v>0</v>
      </c>
      <c r="Q367" s="71">
        <v>0</v>
      </c>
      <c r="R367" s="71">
        <v>0</v>
      </c>
      <c r="S367" s="13">
        <v>0</v>
      </c>
      <c r="T367" s="13">
        <v>0</v>
      </c>
      <c r="Y367" s="71">
        <v>0</v>
      </c>
      <c r="Z367" s="71">
        <v>0</v>
      </c>
      <c r="AA367" s="71">
        <v>0</v>
      </c>
      <c r="AB367" s="71">
        <v>0</v>
      </c>
      <c r="AC367" s="71">
        <v>0</v>
      </c>
      <c r="AD367" s="71">
        <v>0</v>
      </c>
      <c r="AE367" s="13">
        <v>0</v>
      </c>
      <c r="AF367" s="13">
        <v>0</v>
      </c>
      <c r="AI367" s="26"/>
      <c r="AK367" s="11">
        <f t="shared" si="74"/>
        <v>456000</v>
      </c>
      <c r="AL367" s="11">
        <f t="shared" si="75"/>
        <v>38000</v>
      </c>
      <c r="AM367" s="11">
        <f t="shared" si="52"/>
        <v>0</v>
      </c>
      <c r="AN367" s="11">
        <f>VLOOKUP(C367,'Paid Tax'!B362:M723,12,FALSE)</f>
        <v>0</v>
      </c>
      <c r="AO367" s="11">
        <f t="shared" si="65"/>
        <v>0</v>
      </c>
      <c r="AP367" s="13">
        <v>5</v>
      </c>
      <c r="AQ367" s="16">
        <f t="shared" si="46"/>
        <v>0</v>
      </c>
      <c r="AS367" s="11">
        <f t="shared" si="54"/>
        <v>0</v>
      </c>
    </row>
    <row r="368" spans="1:45" s="13" customFormat="1" x14ac:dyDescent="0.25">
      <c r="A368" s="12">
        <v>361</v>
      </c>
      <c r="B368" s="15" t="s">
        <v>293</v>
      </c>
      <c r="C368" s="14">
        <v>10717</v>
      </c>
      <c r="D368" s="15" t="s">
        <v>1176</v>
      </c>
      <c r="E368" s="15" t="s">
        <v>149</v>
      </c>
      <c r="F368" s="14" t="s">
        <v>280</v>
      </c>
      <c r="G368" s="4">
        <v>32000</v>
      </c>
      <c r="H368" s="4"/>
      <c r="I368" s="4"/>
      <c r="J368" s="4"/>
      <c r="K368" s="4"/>
      <c r="L368" s="11">
        <f t="shared" si="73"/>
        <v>384000</v>
      </c>
      <c r="M368" s="23"/>
      <c r="N368" s="71">
        <v>0</v>
      </c>
      <c r="O368" s="71">
        <v>0</v>
      </c>
      <c r="P368" s="71">
        <v>0</v>
      </c>
      <c r="Q368" s="71">
        <v>0</v>
      </c>
      <c r="R368" s="71">
        <v>0</v>
      </c>
      <c r="S368" s="13">
        <v>0</v>
      </c>
      <c r="T368" s="13">
        <v>0</v>
      </c>
      <c r="Y368" s="71">
        <v>0</v>
      </c>
      <c r="Z368" s="71">
        <v>0</v>
      </c>
      <c r="AA368" s="71">
        <v>0</v>
      </c>
      <c r="AB368" s="71">
        <v>0</v>
      </c>
      <c r="AC368" s="71">
        <v>0</v>
      </c>
      <c r="AD368" s="71">
        <v>0</v>
      </c>
      <c r="AE368" s="13">
        <v>0</v>
      </c>
      <c r="AF368" s="13">
        <v>0</v>
      </c>
      <c r="AI368" s="26"/>
      <c r="AK368" s="11">
        <f t="shared" si="74"/>
        <v>384000</v>
      </c>
      <c r="AL368" s="11">
        <f t="shared" si="75"/>
        <v>32000</v>
      </c>
      <c r="AM368" s="11">
        <f t="shared" si="52"/>
        <v>0</v>
      </c>
      <c r="AN368" s="11">
        <f>VLOOKUP(C368,'Paid Tax'!B363:M724,12,FALSE)</f>
        <v>0</v>
      </c>
      <c r="AO368" s="11">
        <f t="shared" si="65"/>
        <v>0</v>
      </c>
      <c r="AP368" s="13">
        <v>5</v>
      </c>
      <c r="AQ368" s="16">
        <f t="shared" si="46"/>
        <v>0</v>
      </c>
      <c r="AS368" s="11">
        <f t="shared" si="54"/>
        <v>0</v>
      </c>
    </row>
    <row r="369" spans="1:45" s="13" customFormat="1" x14ac:dyDescent="0.25">
      <c r="A369" s="12">
        <v>362</v>
      </c>
      <c r="B369" s="15" t="s">
        <v>1102</v>
      </c>
      <c r="C369" s="14">
        <v>10718</v>
      </c>
      <c r="D369" s="15" t="s">
        <v>1177</v>
      </c>
      <c r="E369" s="15" t="s">
        <v>69</v>
      </c>
      <c r="F369" s="14" t="s">
        <v>284</v>
      </c>
      <c r="G369" s="4">
        <v>32000</v>
      </c>
      <c r="H369" s="4"/>
      <c r="I369" s="4"/>
      <c r="J369" s="4"/>
      <c r="K369" s="4"/>
      <c r="L369" s="11">
        <f t="shared" si="73"/>
        <v>384000</v>
      </c>
      <c r="M369" s="23"/>
      <c r="N369" s="71">
        <v>0</v>
      </c>
      <c r="O369" s="71">
        <v>0</v>
      </c>
      <c r="P369" s="71">
        <v>0</v>
      </c>
      <c r="Q369" s="71">
        <v>0</v>
      </c>
      <c r="R369" s="71">
        <v>0</v>
      </c>
      <c r="S369" s="13">
        <v>0</v>
      </c>
      <c r="T369" s="13">
        <v>0</v>
      </c>
      <c r="Y369" s="71">
        <v>0</v>
      </c>
      <c r="Z369" s="71">
        <v>0</v>
      </c>
      <c r="AA369" s="71">
        <v>0</v>
      </c>
      <c r="AB369" s="71">
        <v>0</v>
      </c>
      <c r="AC369" s="71">
        <v>0</v>
      </c>
      <c r="AD369" s="71">
        <v>0</v>
      </c>
      <c r="AE369" s="13">
        <v>0</v>
      </c>
      <c r="AF369" s="13">
        <v>0</v>
      </c>
      <c r="AI369" s="26"/>
      <c r="AK369" s="11">
        <f t="shared" si="74"/>
        <v>384000</v>
      </c>
      <c r="AL369" s="11">
        <f t="shared" si="75"/>
        <v>32000</v>
      </c>
      <c r="AM369" s="11">
        <f t="shared" si="52"/>
        <v>0</v>
      </c>
      <c r="AN369" s="11">
        <f>VLOOKUP(C369,'Paid Tax'!B364:M725,12,FALSE)</f>
        <v>0</v>
      </c>
      <c r="AO369" s="11">
        <f t="shared" si="65"/>
        <v>0</v>
      </c>
      <c r="AP369" s="13">
        <v>5</v>
      </c>
      <c r="AQ369" s="16">
        <f t="shared" si="46"/>
        <v>0</v>
      </c>
      <c r="AS369" s="11">
        <f t="shared" si="54"/>
        <v>0</v>
      </c>
    </row>
    <row r="370" spans="1:45" s="13" customFormat="1" x14ac:dyDescent="0.25">
      <c r="A370" s="12">
        <v>363</v>
      </c>
      <c r="B370" s="15" t="s">
        <v>293</v>
      </c>
      <c r="C370" s="14">
        <v>10719</v>
      </c>
      <c r="D370" s="15" t="s">
        <v>1187</v>
      </c>
      <c r="E370" s="15" t="s">
        <v>23</v>
      </c>
      <c r="F370" s="14" t="s">
        <v>1191</v>
      </c>
      <c r="G370" s="4">
        <v>42000</v>
      </c>
      <c r="H370" s="4"/>
      <c r="I370" s="4"/>
      <c r="J370" s="4"/>
      <c r="K370" s="4"/>
      <c r="L370" s="11">
        <f t="shared" ref="L370:L372" si="76">G370*12+H370+J370+K370+I370</f>
        <v>504000</v>
      </c>
      <c r="M370" s="23"/>
      <c r="N370" s="71">
        <v>0</v>
      </c>
      <c r="O370" s="71">
        <v>0</v>
      </c>
      <c r="P370" s="71">
        <v>0</v>
      </c>
      <c r="Q370" s="71">
        <v>0</v>
      </c>
      <c r="R370" s="71">
        <v>0</v>
      </c>
      <c r="S370" s="13">
        <v>0</v>
      </c>
      <c r="T370" s="13">
        <v>0</v>
      </c>
      <c r="Y370" s="71">
        <v>0</v>
      </c>
      <c r="Z370" s="71">
        <v>0</v>
      </c>
      <c r="AA370" s="71">
        <v>0</v>
      </c>
      <c r="AB370" s="71">
        <v>0</v>
      </c>
      <c r="AC370" s="71">
        <v>0</v>
      </c>
      <c r="AD370" s="71">
        <v>0</v>
      </c>
      <c r="AE370" s="13">
        <v>0</v>
      </c>
      <c r="AF370" s="13">
        <v>0</v>
      </c>
      <c r="AI370" s="26"/>
      <c r="AK370" s="11">
        <f t="shared" ref="AK370:AK372" si="77">SUM(L370:AJ370)</f>
        <v>504000</v>
      </c>
      <c r="AL370" s="11">
        <f t="shared" ref="AL370:AL372" si="78">AK370/12</f>
        <v>42000</v>
      </c>
      <c r="AM370" s="11">
        <f t="shared" si="52"/>
        <v>0</v>
      </c>
      <c r="AN370" s="11">
        <f>VLOOKUP(C370,'Paid Tax'!B365:M726,12,FALSE)</f>
        <v>0</v>
      </c>
      <c r="AO370" s="11">
        <f t="shared" ref="AO370:AO372" si="79">+AM370-AN370</f>
        <v>0</v>
      </c>
      <c r="AP370" s="13">
        <v>5</v>
      </c>
      <c r="AQ370" s="16">
        <f t="shared" ref="AQ370:AQ372" si="80">+AO370/AP370</f>
        <v>0</v>
      </c>
      <c r="AS370" s="11">
        <f t="shared" si="54"/>
        <v>0</v>
      </c>
    </row>
    <row r="371" spans="1:45" s="13" customFormat="1" x14ac:dyDescent="0.25">
      <c r="A371" s="12">
        <v>364</v>
      </c>
      <c r="B371" s="15" t="s">
        <v>293</v>
      </c>
      <c r="C371" s="14">
        <v>10720</v>
      </c>
      <c r="D371" s="15" t="s">
        <v>1188</v>
      </c>
      <c r="E371" s="15" t="s">
        <v>23</v>
      </c>
      <c r="F371" s="14" t="s">
        <v>1191</v>
      </c>
      <c r="G371" s="4">
        <v>42000</v>
      </c>
      <c r="H371" s="4"/>
      <c r="I371" s="4"/>
      <c r="J371" s="4"/>
      <c r="K371" s="4"/>
      <c r="L371" s="11">
        <f t="shared" si="76"/>
        <v>504000</v>
      </c>
      <c r="M371" s="23"/>
      <c r="N371" s="71">
        <v>0</v>
      </c>
      <c r="O371" s="71">
        <v>0</v>
      </c>
      <c r="P371" s="71">
        <v>0</v>
      </c>
      <c r="Q371" s="71">
        <v>0</v>
      </c>
      <c r="R371" s="71">
        <v>0</v>
      </c>
      <c r="S371" s="13">
        <v>0</v>
      </c>
      <c r="T371" s="13">
        <v>0</v>
      </c>
      <c r="Y371" s="71">
        <v>0</v>
      </c>
      <c r="Z371" s="71">
        <v>0</v>
      </c>
      <c r="AA371" s="71">
        <v>0</v>
      </c>
      <c r="AB371" s="71">
        <v>0</v>
      </c>
      <c r="AC371" s="71">
        <v>0</v>
      </c>
      <c r="AD371" s="71">
        <v>0</v>
      </c>
      <c r="AE371" s="13">
        <v>0</v>
      </c>
      <c r="AF371" s="13">
        <v>0</v>
      </c>
      <c r="AI371" s="26"/>
      <c r="AK371" s="11">
        <f t="shared" si="77"/>
        <v>504000</v>
      </c>
      <c r="AL371" s="11">
        <f t="shared" si="78"/>
        <v>42000</v>
      </c>
      <c r="AM371" s="11">
        <f t="shared" si="52"/>
        <v>0</v>
      </c>
      <c r="AN371" s="11">
        <f>VLOOKUP(C371,'Paid Tax'!B366:M727,12,FALSE)</f>
        <v>0</v>
      </c>
      <c r="AO371" s="11">
        <f t="shared" si="79"/>
        <v>0</v>
      </c>
      <c r="AP371" s="13">
        <v>5</v>
      </c>
      <c r="AQ371" s="16">
        <f t="shared" si="80"/>
        <v>0</v>
      </c>
      <c r="AS371" s="11">
        <f t="shared" si="54"/>
        <v>0</v>
      </c>
    </row>
    <row r="372" spans="1:45" s="13" customFormat="1" x14ac:dyDescent="0.25">
      <c r="A372" s="12">
        <v>365</v>
      </c>
      <c r="B372" s="15" t="s">
        <v>293</v>
      </c>
      <c r="C372" s="14">
        <v>10721</v>
      </c>
      <c r="D372" s="15" t="s">
        <v>1189</v>
      </c>
      <c r="E372" s="15" t="s">
        <v>1190</v>
      </c>
      <c r="F372" s="14" t="s">
        <v>290</v>
      </c>
      <c r="G372" s="4">
        <v>35000</v>
      </c>
      <c r="H372" s="4"/>
      <c r="I372" s="4"/>
      <c r="J372" s="4"/>
      <c r="K372" s="4"/>
      <c r="L372" s="11">
        <f t="shared" si="76"/>
        <v>420000</v>
      </c>
      <c r="M372" s="23"/>
      <c r="N372" s="71">
        <v>0</v>
      </c>
      <c r="O372" s="71">
        <v>0</v>
      </c>
      <c r="P372" s="71">
        <v>0</v>
      </c>
      <c r="Q372" s="71">
        <v>0</v>
      </c>
      <c r="R372" s="71">
        <v>0</v>
      </c>
      <c r="S372" s="13">
        <v>0</v>
      </c>
      <c r="T372" s="13">
        <v>0</v>
      </c>
      <c r="Y372" s="71">
        <v>0</v>
      </c>
      <c r="Z372" s="71">
        <v>0</v>
      </c>
      <c r="AA372" s="71">
        <v>0</v>
      </c>
      <c r="AB372" s="71">
        <v>0</v>
      </c>
      <c r="AC372" s="71">
        <v>0</v>
      </c>
      <c r="AD372" s="71">
        <v>0</v>
      </c>
      <c r="AE372" s="13">
        <v>0</v>
      </c>
      <c r="AF372" s="13">
        <v>0</v>
      </c>
      <c r="AI372" s="26"/>
      <c r="AK372" s="11">
        <f t="shared" si="77"/>
        <v>420000</v>
      </c>
      <c r="AL372" s="11">
        <f t="shared" si="78"/>
        <v>35000</v>
      </c>
      <c r="AM372" s="11">
        <f t="shared" si="52"/>
        <v>0</v>
      </c>
      <c r="AN372" s="11">
        <f>VLOOKUP(C372,'Paid Tax'!B367:M728,12,FALSE)</f>
        <v>0</v>
      </c>
      <c r="AO372" s="11">
        <f t="shared" si="79"/>
        <v>0</v>
      </c>
      <c r="AP372" s="13">
        <v>5</v>
      </c>
      <c r="AQ372" s="16">
        <f t="shared" si="80"/>
        <v>0</v>
      </c>
      <c r="AS372" s="11">
        <f t="shared" si="54"/>
        <v>0</v>
      </c>
    </row>
    <row r="373" spans="1:45" s="13" customFormat="1" x14ac:dyDescent="0.25">
      <c r="A373" s="12">
        <v>366</v>
      </c>
      <c r="B373" s="15" t="s">
        <v>293</v>
      </c>
      <c r="C373" s="14">
        <v>10722</v>
      </c>
      <c r="D373" s="15" t="s">
        <v>1308</v>
      </c>
      <c r="E373" s="15" t="s">
        <v>342</v>
      </c>
      <c r="F373" s="14" t="s">
        <v>287</v>
      </c>
      <c r="G373" s="4">
        <v>30000</v>
      </c>
      <c r="H373" s="4"/>
      <c r="I373" s="4"/>
      <c r="J373" s="4"/>
      <c r="K373" s="4"/>
      <c r="L373" s="11">
        <f t="shared" ref="L373:L383" si="81">G373*12+H373+J373+K373+I373</f>
        <v>360000</v>
      </c>
      <c r="M373" s="23"/>
      <c r="N373" s="71">
        <v>0</v>
      </c>
      <c r="O373" s="71">
        <v>0</v>
      </c>
      <c r="P373" s="71">
        <v>0</v>
      </c>
      <c r="Q373" s="71">
        <v>0</v>
      </c>
      <c r="R373" s="71">
        <v>0</v>
      </c>
      <c r="S373" s="13">
        <v>0</v>
      </c>
      <c r="T373" s="13">
        <v>0</v>
      </c>
      <c r="Y373" s="71">
        <v>0</v>
      </c>
      <c r="Z373" s="71">
        <v>0</v>
      </c>
      <c r="AA373" s="71">
        <v>0</v>
      </c>
      <c r="AB373" s="71">
        <v>0</v>
      </c>
      <c r="AC373" s="71">
        <v>0</v>
      </c>
      <c r="AD373" s="71">
        <v>0</v>
      </c>
      <c r="AE373" s="13">
        <v>0</v>
      </c>
      <c r="AF373" s="13">
        <v>0</v>
      </c>
      <c r="AI373" s="26"/>
      <c r="AK373" s="11">
        <f t="shared" ref="AK373:AK383" si="82">SUM(L373:AJ373)</f>
        <v>360000</v>
      </c>
      <c r="AL373" s="11">
        <f t="shared" ref="AL373:AL383" si="83">AK373/12</f>
        <v>30000</v>
      </c>
      <c r="AM373" s="11">
        <f t="shared" si="52"/>
        <v>0</v>
      </c>
      <c r="AN373" s="11">
        <f>VLOOKUP(C373,'Paid Tax'!B368:M729,12,FALSE)</f>
        <v>0</v>
      </c>
      <c r="AO373" s="11">
        <f t="shared" ref="AO373:AO383" si="84">+AM373-AN373</f>
        <v>0</v>
      </c>
      <c r="AP373" s="13">
        <v>5</v>
      </c>
      <c r="AQ373" s="16">
        <f t="shared" ref="AQ373:AQ383" si="85">+AO373/AP373</f>
        <v>0</v>
      </c>
      <c r="AS373" s="11">
        <f t="shared" si="54"/>
        <v>0</v>
      </c>
    </row>
    <row r="374" spans="1:45" s="13" customFormat="1" x14ac:dyDescent="0.25">
      <c r="A374" s="12">
        <v>367</v>
      </c>
      <c r="B374" s="15" t="s">
        <v>294</v>
      </c>
      <c r="C374" s="14">
        <v>10723</v>
      </c>
      <c r="D374" s="15" t="s">
        <v>1309</v>
      </c>
      <c r="E374" s="15" t="s">
        <v>69</v>
      </c>
      <c r="F374" s="14" t="s">
        <v>284</v>
      </c>
      <c r="G374" s="4">
        <v>30500</v>
      </c>
      <c r="H374" s="4"/>
      <c r="I374" s="4"/>
      <c r="J374" s="4"/>
      <c r="K374" s="4"/>
      <c r="L374" s="11">
        <f t="shared" si="81"/>
        <v>366000</v>
      </c>
      <c r="M374" s="23"/>
      <c r="N374" s="71">
        <v>0</v>
      </c>
      <c r="O374" s="71">
        <v>0</v>
      </c>
      <c r="P374" s="71">
        <v>0</v>
      </c>
      <c r="Q374" s="71">
        <v>0</v>
      </c>
      <c r="R374" s="71">
        <v>0</v>
      </c>
      <c r="S374" s="13">
        <v>0</v>
      </c>
      <c r="T374" s="13">
        <v>0</v>
      </c>
      <c r="Y374" s="71">
        <v>0</v>
      </c>
      <c r="Z374" s="71">
        <v>0</v>
      </c>
      <c r="AA374" s="71">
        <v>0</v>
      </c>
      <c r="AB374" s="71">
        <v>0</v>
      </c>
      <c r="AC374" s="71">
        <v>0</v>
      </c>
      <c r="AD374" s="71">
        <v>0</v>
      </c>
      <c r="AE374" s="13">
        <v>0</v>
      </c>
      <c r="AF374" s="13">
        <v>0</v>
      </c>
      <c r="AI374" s="26"/>
      <c r="AK374" s="11">
        <f t="shared" si="82"/>
        <v>366000</v>
      </c>
      <c r="AL374" s="11">
        <f t="shared" si="83"/>
        <v>30500</v>
      </c>
      <c r="AM374" s="11">
        <f t="shared" si="52"/>
        <v>0</v>
      </c>
      <c r="AN374" s="11">
        <f>VLOOKUP(C374,'Paid Tax'!B369:M730,12,FALSE)</f>
        <v>0</v>
      </c>
      <c r="AO374" s="11">
        <f t="shared" si="84"/>
        <v>0</v>
      </c>
      <c r="AP374" s="13">
        <v>5</v>
      </c>
      <c r="AQ374" s="16">
        <f t="shared" si="85"/>
        <v>0</v>
      </c>
      <c r="AS374" s="11">
        <f t="shared" si="54"/>
        <v>0</v>
      </c>
    </row>
    <row r="375" spans="1:45" s="13" customFormat="1" x14ac:dyDescent="0.25">
      <c r="A375" s="12">
        <v>368</v>
      </c>
      <c r="B375" s="15" t="s">
        <v>293</v>
      </c>
      <c r="C375" s="14">
        <v>10724</v>
      </c>
      <c r="D375" s="15" t="s">
        <v>1310</v>
      </c>
      <c r="E375" s="15" t="s">
        <v>23</v>
      </c>
      <c r="F375" s="14" t="s">
        <v>1191</v>
      </c>
      <c r="G375" s="4">
        <v>40000</v>
      </c>
      <c r="H375" s="4"/>
      <c r="I375" s="4"/>
      <c r="J375" s="4"/>
      <c r="K375" s="4"/>
      <c r="L375" s="11">
        <f t="shared" si="81"/>
        <v>480000</v>
      </c>
      <c r="M375" s="23"/>
      <c r="N375" s="71">
        <v>0</v>
      </c>
      <c r="O375" s="71">
        <v>0</v>
      </c>
      <c r="P375" s="71">
        <v>0</v>
      </c>
      <c r="Q375" s="71">
        <v>0</v>
      </c>
      <c r="R375" s="71">
        <v>0</v>
      </c>
      <c r="S375" s="13">
        <v>0</v>
      </c>
      <c r="T375" s="13">
        <v>0</v>
      </c>
      <c r="Y375" s="71">
        <v>0</v>
      </c>
      <c r="Z375" s="71">
        <v>0</v>
      </c>
      <c r="AA375" s="71">
        <v>0</v>
      </c>
      <c r="AB375" s="71">
        <v>0</v>
      </c>
      <c r="AC375" s="71">
        <v>0</v>
      </c>
      <c r="AD375" s="71">
        <v>0</v>
      </c>
      <c r="AE375" s="13">
        <v>0</v>
      </c>
      <c r="AF375" s="13">
        <v>0</v>
      </c>
      <c r="AI375" s="26"/>
      <c r="AK375" s="11">
        <f t="shared" si="82"/>
        <v>480000</v>
      </c>
      <c r="AL375" s="11">
        <f t="shared" si="83"/>
        <v>40000</v>
      </c>
      <c r="AM375" s="11">
        <f t="shared" si="52"/>
        <v>0</v>
      </c>
      <c r="AN375" s="11">
        <f>VLOOKUP(C375,'Paid Tax'!B370:M731,12,FALSE)</f>
        <v>0</v>
      </c>
      <c r="AO375" s="11">
        <f t="shared" si="84"/>
        <v>0</v>
      </c>
      <c r="AP375" s="13">
        <v>5</v>
      </c>
      <c r="AQ375" s="16">
        <f t="shared" si="85"/>
        <v>0</v>
      </c>
      <c r="AS375" s="11">
        <f t="shared" si="54"/>
        <v>0</v>
      </c>
    </row>
    <row r="376" spans="1:45" s="13" customFormat="1" x14ac:dyDescent="0.25">
      <c r="A376" s="12">
        <v>369</v>
      </c>
      <c r="B376" s="15" t="s">
        <v>293</v>
      </c>
      <c r="C376" s="14">
        <v>10725</v>
      </c>
      <c r="D376" s="15" t="s">
        <v>1311</v>
      </c>
      <c r="E376" s="15" t="s">
        <v>337</v>
      </c>
      <c r="F376" s="14" t="s">
        <v>1320</v>
      </c>
      <c r="G376" s="4">
        <v>35000</v>
      </c>
      <c r="H376" s="4"/>
      <c r="I376" s="4"/>
      <c r="J376" s="4"/>
      <c r="K376" s="4"/>
      <c r="L376" s="11">
        <f t="shared" si="81"/>
        <v>420000</v>
      </c>
      <c r="M376" s="23"/>
      <c r="N376" s="71">
        <v>0</v>
      </c>
      <c r="O376" s="71">
        <v>0</v>
      </c>
      <c r="P376" s="71">
        <v>0</v>
      </c>
      <c r="Q376" s="71">
        <v>0</v>
      </c>
      <c r="R376" s="71">
        <v>0</v>
      </c>
      <c r="S376" s="13">
        <v>0</v>
      </c>
      <c r="T376" s="13">
        <v>0</v>
      </c>
      <c r="Y376" s="71">
        <v>0</v>
      </c>
      <c r="Z376" s="71">
        <v>0</v>
      </c>
      <c r="AA376" s="71">
        <v>0</v>
      </c>
      <c r="AB376" s="71">
        <v>0</v>
      </c>
      <c r="AC376" s="71">
        <v>0</v>
      </c>
      <c r="AD376" s="71">
        <v>0</v>
      </c>
      <c r="AE376" s="13">
        <v>0</v>
      </c>
      <c r="AF376" s="13">
        <v>0</v>
      </c>
      <c r="AI376" s="26"/>
      <c r="AK376" s="11">
        <f t="shared" si="82"/>
        <v>420000</v>
      </c>
      <c r="AL376" s="11">
        <f t="shared" si="83"/>
        <v>35000</v>
      </c>
      <c r="AM376" s="11">
        <f t="shared" si="52"/>
        <v>0</v>
      </c>
      <c r="AN376" s="11">
        <f>VLOOKUP(C376,'Paid Tax'!B371:M732,12,FALSE)</f>
        <v>0</v>
      </c>
      <c r="AO376" s="11">
        <f t="shared" si="84"/>
        <v>0</v>
      </c>
      <c r="AP376" s="13">
        <v>5</v>
      </c>
      <c r="AQ376" s="16">
        <f t="shared" si="85"/>
        <v>0</v>
      </c>
      <c r="AS376" s="11">
        <f t="shared" si="54"/>
        <v>0</v>
      </c>
    </row>
    <row r="377" spans="1:45" s="13" customFormat="1" x14ac:dyDescent="0.25">
      <c r="A377" s="12">
        <v>370</v>
      </c>
      <c r="B377" s="15" t="s">
        <v>293</v>
      </c>
      <c r="C377" s="14">
        <v>10726</v>
      </c>
      <c r="D377" s="15" t="s">
        <v>1312</v>
      </c>
      <c r="E377" s="15" t="s">
        <v>170</v>
      </c>
      <c r="F377" s="14" t="s">
        <v>291</v>
      </c>
      <c r="G377" s="4">
        <v>160000</v>
      </c>
      <c r="H377" s="4"/>
      <c r="I377" s="4"/>
      <c r="J377" s="4"/>
      <c r="K377" s="4"/>
      <c r="L377" s="11">
        <f t="shared" si="81"/>
        <v>1920000</v>
      </c>
      <c r="M377" s="23"/>
      <c r="N377" s="71">
        <v>0</v>
      </c>
      <c r="O377" s="71">
        <v>0</v>
      </c>
      <c r="P377" s="71">
        <v>0</v>
      </c>
      <c r="Q377" s="71">
        <v>0</v>
      </c>
      <c r="R377" s="71">
        <v>0</v>
      </c>
      <c r="S377" s="13">
        <v>0</v>
      </c>
      <c r="T377" s="13">
        <v>0</v>
      </c>
      <c r="Y377" s="71">
        <v>0</v>
      </c>
      <c r="Z377" s="71">
        <v>0</v>
      </c>
      <c r="AA377" s="71">
        <v>0</v>
      </c>
      <c r="AB377" s="71">
        <v>0</v>
      </c>
      <c r="AC377" s="71">
        <v>0</v>
      </c>
      <c r="AD377" s="71">
        <v>0</v>
      </c>
      <c r="AE377" s="13">
        <v>0</v>
      </c>
      <c r="AF377" s="13">
        <v>0</v>
      </c>
      <c r="AI377" s="26"/>
      <c r="AK377" s="11">
        <f t="shared" si="82"/>
        <v>1920000</v>
      </c>
      <c r="AL377" s="11">
        <f t="shared" si="83"/>
        <v>160000</v>
      </c>
      <c r="AM377" s="11">
        <f t="shared" si="52"/>
        <v>85200</v>
      </c>
      <c r="AN377" s="11">
        <f>VLOOKUP(C377,'Paid Tax'!B372:M733,12,FALSE)</f>
        <v>0</v>
      </c>
      <c r="AO377" s="11">
        <f t="shared" si="84"/>
        <v>85200</v>
      </c>
      <c r="AP377" s="13">
        <v>12</v>
      </c>
      <c r="AQ377" s="16">
        <f t="shared" si="85"/>
        <v>7100</v>
      </c>
      <c r="AR377" s="97" t="s">
        <v>864</v>
      </c>
      <c r="AS377" s="11">
        <f t="shared" si="54"/>
        <v>-7100</v>
      </c>
    </row>
    <row r="378" spans="1:45" s="13" customFormat="1" x14ac:dyDescent="0.25">
      <c r="A378" s="12">
        <v>371</v>
      </c>
      <c r="B378" s="15" t="s">
        <v>293</v>
      </c>
      <c r="C378" s="14">
        <v>10728</v>
      </c>
      <c r="D378" s="15" t="s">
        <v>1313</v>
      </c>
      <c r="E378" s="15" t="s">
        <v>337</v>
      </c>
      <c r="F378" s="14" t="s">
        <v>379</v>
      </c>
      <c r="G378" s="4">
        <v>42000</v>
      </c>
      <c r="H378" s="4"/>
      <c r="I378" s="4"/>
      <c r="J378" s="4"/>
      <c r="K378" s="4"/>
      <c r="L378" s="11">
        <f t="shared" si="81"/>
        <v>504000</v>
      </c>
      <c r="M378" s="23"/>
      <c r="N378" s="71">
        <v>0</v>
      </c>
      <c r="O378" s="71">
        <v>0</v>
      </c>
      <c r="P378" s="71">
        <v>0</v>
      </c>
      <c r="Q378" s="71">
        <v>0</v>
      </c>
      <c r="R378" s="71">
        <v>0</v>
      </c>
      <c r="S378" s="13">
        <v>0</v>
      </c>
      <c r="T378" s="13">
        <v>0</v>
      </c>
      <c r="Y378" s="71">
        <v>0</v>
      </c>
      <c r="Z378" s="71">
        <v>0</v>
      </c>
      <c r="AA378" s="71">
        <v>0</v>
      </c>
      <c r="AB378" s="71">
        <v>0</v>
      </c>
      <c r="AC378" s="71">
        <v>0</v>
      </c>
      <c r="AD378" s="71">
        <v>0</v>
      </c>
      <c r="AE378" s="13">
        <v>0</v>
      </c>
      <c r="AF378" s="13">
        <v>0</v>
      </c>
      <c r="AI378" s="26"/>
      <c r="AK378" s="11">
        <f t="shared" si="82"/>
        <v>504000</v>
      </c>
      <c r="AL378" s="11">
        <f t="shared" si="83"/>
        <v>42000</v>
      </c>
      <c r="AM378" s="11">
        <f t="shared" si="52"/>
        <v>0</v>
      </c>
      <c r="AN378" s="11">
        <f>VLOOKUP(C378,'Paid Tax'!B373:M734,12,FALSE)</f>
        <v>0</v>
      </c>
      <c r="AO378" s="11">
        <f t="shared" si="84"/>
        <v>0</v>
      </c>
      <c r="AP378" s="13">
        <v>5</v>
      </c>
      <c r="AQ378" s="16">
        <f t="shared" si="85"/>
        <v>0</v>
      </c>
      <c r="AS378" s="11">
        <f t="shared" si="54"/>
        <v>0</v>
      </c>
    </row>
    <row r="379" spans="1:45" s="13" customFormat="1" x14ac:dyDescent="0.25">
      <c r="A379" s="12">
        <v>372</v>
      </c>
      <c r="B379" s="15" t="s">
        <v>293</v>
      </c>
      <c r="C379" s="14">
        <v>10729</v>
      </c>
      <c r="D379" s="15" t="s">
        <v>1314</v>
      </c>
      <c r="E379" s="15" t="s">
        <v>1315</v>
      </c>
      <c r="F379" s="14" t="s">
        <v>278</v>
      </c>
      <c r="G379" s="4">
        <v>38000</v>
      </c>
      <c r="H379" s="4"/>
      <c r="I379" s="4"/>
      <c r="J379" s="4"/>
      <c r="K379" s="4"/>
      <c r="L379" s="11">
        <f t="shared" si="81"/>
        <v>456000</v>
      </c>
      <c r="M379" s="23"/>
      <c r="N379" s="71">
        <v>0</v>
      </c>
      <c r="O379" s="71">
        <v>0</v>
      </c>
      <c r="P379" s="71">
        <v>0</v>
      </c>
      <c r="Q379" s="71">
        <v>0</v>
      </c>
      <c r="R379" s="71">
        <v>0</v>
      </c>
      <c r="S379" s="13">
        <v>0</v>
      </c>
      <c r="T379" s="13">
        <v>0</v>
      </c>
      <c r="Y379" s="71">
        <v>0</v>
      </c>
      <c r="Z379" s="71">
        <v>0</v>
      </c>
      <c r="AA379" s="71">
        <v>0</v>
      </c>
      <c r="AB379" s="71">
        <v>0</v>
      </c>
      <c r="AC379" s="71">
        <v>0</v>
      </c>
      <c r="AD379" s="71">
        <v>0</v>
      </c>
      <c r="AE379" s="13">
        <v>0</v>
      </c>
      <c r="AF379" s="13">
        <v>0</v>
      </c>
      <c r="AI379" s="26"/>
      <c r="AK379" s="11">
        <f t="shared" si="82"/>
        <v>456000</v>
      </c>
      <c r="AL379" s="11">
        <f t="shared" si="83"/>
        <v>38000</v>
      </c>
      <c r="AM379" s="11">
        <f t="shared" si="52"/>
        <v>0</v>
      </c>
      <c r="AN379" s="11">
        <f>VLOOKUP(C379,'Paid Tax'!B374:M735,12,FALSE)</f>
        <v>0</v>
      </c>
      <c r="AO379" s="11">
        <f t="shared" si="84"/>
        <v>0</v>
      </c>
      <c r="AP379" s="13">
        <v>5</v>
      </c>
      <c r="AQ379" s="16">
        <f t="shared" si="85"/>
        <v>0</v>
      </c>
      <c r="AS379" s="11">
        <f t="shared" si="54"/>
        <v>0</v>
      </c>
    </row>
    <row r="380" spans="1:45" s="13" customFormat="1" x14ac:dyDescent="0.25">
      <c r="A380" s="12">
        <v>373</v>
      </c>
      <c r="B380" s="15" t="s">
        <v>293</v>
      </c>
      <c r="C380" s="14">
        <v>10730</v>
      </c>
      <c r="D380" s="15" t="s">
        <v>1316</v>
      </c>
      <c r="E380" s="15" t="s">
        <v>337</v>
      </c>
      <c r="F380" s="14" t="s">
        <v>1320</v>
      </c>
      <c r="G380" s="4">
        <v>38000</v>
      </c>
      <c r="H380" s="4"/>
      <c r="I380" s="4"/>
      <c r="J380" s="4"/>
      <c r="K380" s="4"/>
      <c r="L380" s="11">
        <f t="shared" si="81"/>
        <v>456000</v>
      </c>
      <c r="M380" s="23"/>
      <c r="N380" s="71">
        <v>0</v>
      </c>
      <c r="O380" s="71">
        <v>0</v>
      </c>
      <c r="P380" s="71">
        <v>0</v>
      </c>
      <c r="Q380" s="71">
        <v>0</v>
      </c>
      <c r="R380" s="71">
        <v>0</v>
      </c>
      <c r="S380" s="13">
        <v>0</v>
      </c>
      <c r="T380" s="13">
        <v>0</v>
      </c>
      <c r="Y380" s="71">
        <v>0</v>
      </c>
      <c r="Z380" s="71">
        <v>0</v>
      </c>
      <c r="AA380" s="71">
        <v>0</v>
      </c>
      <c r="AB380" s="71">
        <v>0</v>
      </c>
      <c r="AC380" s="71">
        <v>0</v>
      </c>
      <c r="AD380" s="71">
        <v>0</v>
      </c>
      <c r="AE380" s="13">
        <v>0</v>
      </c>
      <c r="AF380" s="13">
        <v>0</v>
      </c>
      <c r="AI380" s="26"/>
      <c r="AK380" s="11">
        <f t="shared" si="82"/>
        <v>456000</v>
      </c>
      <c r="AL380" s="11">
        <f t="shared" si="83"/>
        <v>38000</v>
      </c>
      <c r="AM380" s="11">
        <f t="shared" si="52"/>
        <v>0</v>
      </c>
      <c r="AN380" s="11">
        <f>VLOOKUP(C380,'Paid Tax'!B375:M736,12,FALSE)</f>
        <v>0</v>
      </c>
      <c r="AO380" s="11">
        <f t="shared" si="84"/>
        <v>0</v>
      </c>
      <c r="AP380" s="13">
        <v>5</v>
      </c>
      <c r="AQ380" s="16">
        <f t="shared" si="85"/>
        <v>0</v>
      </c>
      <c r="AS380" s="11">
        <f t="shared" si="54"/>
        <v>0</v>
      </c>
    </row>
    <row r="381" spans="1:45" s="13" customFormat="1" x14ac:dyDescent="0.25">
      <c r="A381" s="12">
        <v>374</v>
      </c>
      <c r="B381" s="15" t="s">
        <v>293</v>
      </c>
      <c r="C381" s="14">
        <v>10731</v>
      </c>
      <c r="D381" s="15" t="s">
        <v>1317</v>
      </c>
      <c r="E381" s="15" t="s">
        <v>87</v>
      </c>
      <c r="F381" s="14" t="s">
        <v>280</v>
      </c>
      <c r="G381" s="4">
        <v>35000</v>
      </c>
      <c r="H381" s="4"/>
      <c r="I381" s="4"/>
      <c r="J381" s="4"/>
      <c r="K381" s="4"/>
      <c r="L381" s="11">
        <f t="shared" si="81"/>
        <v>420000</v>
      </c>
      <c r="M381" s="23"/>
      <c r="N381" s="71">
        <v>0</v>
      </c>
      <c r="O381" s="71">
        <v>0</v>
      </c>
      <c r="P381" s="71">
        <v>0</v>
      </c>
      <c r="Q381" s="71">
        <v>0</v>
      </c>
      <c r="R381" s="71">
        <v>0</v>
      </c>
      <c r="S381" s="13">
        <v>0</v>
      </c>
      <c r="T381" s="13">
        <v>0</v>
      </c>
      <c r="Y381" s="71">
        <v>0</v>
      </c>
      <c r="Z381" s="71">
        <v>0</v>
      </c>
      <c r="AA381" s="71">
        <v>0</v>
      </c>
      <c r="AB381" s="71">
        <v>0</v>
      </c>
      <c r="AC381" s="71">
        <v>0</v>
      </c>
      <c r="AD381" s="71">
        <v>0</v>
      </c>
      <c r="AE381" s="13">
        <v>0</v>
      </c>
      <c r="AF381" s="13">
        <v>0</v>
      </c>
      <c r="AI381" s="26"/>
      <c r="AK381" s="11">
        <f t="shared" si="82"/>
        <v>420000</v>
      </c>
      <c r="AL381" s="11">
        <f t="shared" si="83"/>
        <v>35000</v>
      </c>
      <c r="AM381" s="11">
        <f t="shared" si="52"/>
        <v>0</v>
      </c>
      <c r="AN381" s="11">
        <f>VLOOKUP(C381,'Paid Tax'!B376:M737,12,FALSE)</f>
        <v>0</v>
      </c>
      <c r="AO381" s="11">
        <f t="shared" si="84"/>
        <v>0</v>
      </c>
      <c r="AP381" s="13">
        <v>5</v>
      </c>
      <c r="AQ381" s="16">
        <f t="shared" si="85"/>
        <v>0</v>
      </c>
      <c r="AS381" s="11">
        <f t="shared" si="54"/>
        <v>0</v>
      </c>
    </row>
    <row r="382" spans="1:45" s="13" customFormat="1" x14ac:dyDescent="0.25">
      <c r="A382" s="12">
        <v>375</v>
      </c>
      <c r="B382" s="15" t="s">
        <v>293</v>
      </c>
      <c r="C382" s="14">
        <v>10732</v>
      </c>
      <c r="D382" s="15" t="s">
        <v>1318</v>
      </c>
      <c r="E382" s="15" t="s">
        <v>337</v>
      </c>
      <c r="F382" s="14" t="s">
        <v>379</v>
      </c>
      <c r="G382" s="4">
        <v>42000</v>
      </c>
      <c r="H382" s="4"/>
      <c r="I382" s="4"/>
      <c r="J382" s="4"/>
      <c r="K382" s="4"/>
      <c r="L382" s="11">
        <f t="shared" si="81"/>
        <v>504000</v>
      </c>
      <c r="M382" s="23"/>
      <c r="N382" s="71">
        <v>0</v>
      </c>
      <c r="O382" s="71">
        <v>0</v>
      </c>
      <c r="P382" s="71">
        <v>0</v>
      </c>
      <c r="Q382" s="71">
        <v>0</v>
      </c>
      <c r="R382" s="71">
        <v>0</v>
      </c>
      <c r="S382" s="13">
        <v>0</v>
      </c>
      <c r="T382" s="13">
        <v>0</v>
      </c>
      <c r="Y382" s="71">
        <v>0</v>
      </c>
      <c r="Z382" s="71">
        <v>0</v>
      </c>
      <c r="AA382" s="71">
        <v>0</v>
      </c>
      <c r="AB382" s="71">
        <v>0</v>
      </c>
      <c r="AC382" s="71">
        <v>0</v>
      </c>
      <c r="AD382" s="71">
        <v>0</v>
      </c>
      <c r="AE382" s="13">
        <v>0</v>
      </c>
      <c r="AF382" s="13">
        <v>0</v>
      </c>
      <c r="AI382" s="26"/>
      <c r="AK382" s="11">
        <f t="shared" si="82"/>
        <v>504000</v>
      </c>
      <c r="AL382" s="11">
        <f t="shared" si="83"/>
        <v>42000</v>
      </c>
      <c r="AM382" s="11">
        <f t="shared" si="52"/>
        <v>0</v>
      </c>
      <c r="AN382" s="11">
        <f>VLOOKUP(C382,'Paid Tax'!B377:M738,12,FALSE)</f>
        <v>0</v>
      </c>
      <c r="AO382" s="11">
        <f t="shared" si="84"/>
        <v>0</v>
      </c>
      <c r="AP382" s="13">
        <v>5</v>
      </c>
      <c r="AQ382" s="16">
        <f t="shared" si="85"/>
        <v>0</v>
      </c>
      <c r="AS382" s="11">
        <f t="shared" si="54"/>
        <v>0</v>
      </c>
    </row>
    <row r="383" spans="1:45" s="13" customFormat="1" x14ac:dyDescent="0.25">
      <c r="A383" s="12">
        <v>376</v>
      </c>
      <c r="B383" s="15" t="s">
        <v>293</v>
      </c>
      <c r="C383" s="14">
        <v>10733</v>
      </c>
      <c r="D383" s="15" t="s">
        <v>1319</v>
      </c>
      <c r="E383" s="15" t="s">
        <v>150</v>
      </c>
      <c r="F383" s="14" t="s">
        <v>280</v>
      </c>
      <c r="G383" s="4">
        <v>35000</v>
      </c>
      <c r="H383" s="4"/>
      <c r="I383" s="4"/>
      <c r="J383" s="4"/>
      <c r="K383" s="4"/>
      <c r="L383" s="11">
        <f t="shared" si="81"/>
        <v>420000</v>
      </c>
      <c r="M383" s="23"/>
      <c r="N383" s="71">
        <v>0</v>
      </c>
      <c r="O383" s="71">
        <v>0</v>
      </c>
      <c r="P383" s="71">
        <v>0</v>
      </c>
      <c r="Q383" s="71">
        <v>0</v>
      </c>
      <c r="R383" s="71">
        <v>0</v>
      </c>
      <c r="S383" s="13">
        <v>0</v>
      </c>
      <c r="T383" s="13">
        <v>0</v>
      </c>
      <c r="Y383" s="71">
        <v>0</v>
      </c>
      <c r="Z383" s="71">
        <v>0</v>
      </c>
      <c r="AA383" s="71">
        <v>0</v>
      </c>
      <c r="AB383" s="71">
        <v>0</v>
      </c>
      <c r="AC383" s="71">
        <v>0</v>
      </c>
      <c r="AD383" s="71">
        <v>0</v>
      </c>
      <c r="AE383" s="13">
        <v>0</v>
      </c>
      <c r="AF383" s="13">
        <v>0</v>
      </c>
      <c r="AI383" s="26"/>
      <c r="AK383" s="11">
        <f t="shared" si="82"/>
        <v>420000</v>
      </c>
      <c r="AL383" s="11">
        <f t="shared" si="83"/>
        <v>35000</v>
      </c>
      <c r="AM383" s="11">
        <f t="shared" si="52"/>
        <v>0</v>
      </c>
      <c r="AN383" s="11">
        <f>VLOOKUP(C383,'Paid Tax'!B378:M739,12,FALSE)</f>
        <v>0</v>
      </c>
      <c r="AO383" s="11">
        <f t="shared" si="84"/>
        <v>0</v>
      </c>
      <c r="AP383" s="13">
        <v>5</v>
      </c>
      <c r="AQ383" s="16">
        <f t="shared" si="85"/>
        <v>0</v>
      </c>
      <c r="AS383" s="11">
        <f t="shared" si="54"/>
        <v>0</v>
      </c>
    </row>
    <row r="384" spans="1:45" s="13" customFormat="1" x14ac:dyDescent="0.25">
      <c r="A384" s="12">
        <v>377</v>
      </c>
      <c r="B384" s="15"/>
      <c r="C384" s="14"/>
      <c r="D384" s="15"/>
      <c r="E384" s="15"/>
      <c r="F384" s="14"/>
      <c r="G384" s="4"/>
      <c r="H384" s="4"/>
      <c r="I384" s="4"/>
      <c r="J384" s="4"/>
      <c r="K384" s="4"/>
      <c r="L384" s="11"/>
      <c r="M384" s="23"/>
      <c r="N384" s="71">
        <v>0</v>
      </c>
      <c r="O384" s="71"/>
      <c r="P384" s="71"/>
      <c r="Q384" s="71"/>
      <c r="R384" s="71"/>
      <c r="S384" s="20"/>
      <c r="T384" s="20"/>
      <c r="Z384" s="71">
        <v>0</v>
      </c>
      <c r="AA384" s="71">
        <v>0</v>
      </c>
      <c r="AB384" s="71"/>
      <c r="AC384" s="71"/>
      <c r="AI384" s="26"/>
      <c r="AK384" s="11">
        <f t="shared" si="66"/>
        <v>0</v>
      </c>
      <c r="AL384" s="11">
        <f t="shared" si="67"/>
        <v>0</v>
      </c>
      <c r="AM384" s="11"/>
      <c r="AN384" s="11"/>
      <c r="AO384" s="11"/>
      <c r="AP384" s="13">
        <v>5</v>
      </c>
      <c r="AQ384" s="16">
        <f t="shared" ref="AQ384:AQ401" si="86">+AO384/AP384</f>
        <v>0</v>
      </c>
      <c r="AS384" s="11">
        <f t="shared" si="54"/>
        <v>0</v>
      </c>
    </row>
    <row r="385" spans="1:45" s="13" customFormat="1" x14ac:dyDescent="0.25">
      <c r="A385" s="12">
        <v>378</v>
      </c>
      <c r="B385" s="15"/>
      <c r="C385" s="14"/>
      <c r="D385" s="15"/>
      <c r="E385" s="15"/>
      <c r="F385" s="14"/>
      <c r="G385" s="4"/>
      <c r="H385" s="4"/>
      <c r="I385" s="4"/>
      <c r="J385" s="4"/>
      <c r="K385" s="4"/>
      <c r="L385" s="11"/>
      <c r="M385" s="23"/>
      <c r="N385" s="71">
        <v>0</v>
      </c>
      <c r="O385" s="71"/>
      <c r="P385" s="71"/>
      <c r="Q385" s="71"/>
      <c r="R385" s="71"/>
      <c r="S385" s="20"/>
      <c r="T385" s="20"/>
      <c r="Z385" s="71">
        <v>0</v>
      </c>
      <c r="AA385" s="71">
        <v>0</v>
      </c>
      <c r="AB385" s="71"/>
      <c r="AC385" s="71"/>
      <c r="AI385" s="26"/>
      <c r="AK385" s="11">
        <f t="shared" si="66"/>
        <v>0</v>
      </c>
      <c r="AL385" s="11">
        <f t="shared" si="67"/>
        <v>0</v>
      </c>
      <c r="AM385" s="11"/>
      <c r="AN385" s="11"/>
      <c r="AO385" s="11"/>
      <c r="AP385" s="13">
        <v>5</v>
      </c>
      <c r="AQ385" s="16">
        <f t="shared" si="86"/>
        <v>0</v>
      </c>
      <c r="AS385" s="11">
        <f t="shared" si="54"/>
        <v>0</v>
      </c>
    </row>
    <row r="386" spans="1:45" s="13" customFormat="1" x14ac:dyDescent="0.25">
      <c r="A386" s="12">
        <v>379</v>
      </c>
      <c r="B386" s="15"/>
      <c r="C386" s="14"/>
      <c r="D386" s="15"/>
      <c r="E386" s="15"/>
      <c r="F386" s="14"/>
      <c r="G386" s="4"/>
      <c r="H386" s="4"/>
      <c r="I386" s="4"/>
      <c r="J386" s="4"/>
      <c r="K386" s="4"/>
      <c r="L386" s="11"/>
      <c r="M386" s="23"/>
      <c r="N386" s="71">
        <v>0</v>
      </c>
      <c r="O386" s="71"/>
      <c r="P386" s="71"/>
      <c r="Q386" s="71"/>
      <c r="R386" s="71"/>
      <c r="S386" s="20"/>
      <c r="T386" s="20"/>
      <c r="Z386" s="71">
        <v>0</v>
      </c>
      <c r="AA386" s="71">
        <v>0</v>
      </c>
      <c r="AB386" s="71"/>
      <c r="AC386" s="71"/>
      <c r="AI386" s="26"/>
      <c r="AK386" s="11">
        <f t="shared" si="66"/>
        <v>0</v>
      </c>
      <c r="AL386" s="11">
        <f t="shared" si="67"/>
        <v>0</v>
      </c>
      <c r="AM386" s="11"/>
      <c r="AN386" s="11"/>
      <c r="AO386" s="11"/>
      <c r="AP386" s="13">
        <v>5</v>
      </c>
      <c r="AQ386" s="16">
        <f t="shared" si="86"/>
        <v>0</v>
      </c>
      <c r="AS386" s="11">
        <f t="shared" si="54"/>
        <v>0</v>
      </c>
    </row>
    <row r="387" spans="1:45" s="13" customFormat="1" x14ac:dyDescent="0.25">
      <c r="A387" s="12">
        <v>380</v>
      </c>
      <c r="B387" s="15"/>
      <c r="C387" s="14"/>
      <c r="D387" s="15"/>
      <c r="E387" s="15"/>
      <c r="F387" s="14"/>
      <c r="G387" s="4"/>
      <c r="H387" s="4"/>
      <c r="I387" s="4"/>
      <c r="J387" s="4"/>
      <c r="K387" s="4"/>
      <c r="L387" s="11"/>
      <c r="M387" s="23"/>
      <c r="N387" s="71">
        <v>0</v>
      </c>
      <c r="O387" s="71"/>
      <c r="P387" s="71"/>
      <c r="Q387" s="71"/>
      <c r="R387" s="71"/>
      <c r="S387" s="20"/>
      <c r="T387" s="20"/>
      <c r="Z387" s="71">
        <v>0</v>
      </c>
      <c r="AA387" s="71">
        <v>0</v>
      </c>
      <c r="AB387" s="71"/>
      <c r="AC387" s="71"/>
      <c r="AI387" s="26"/>
      <c r="AK387" s="11">
        <f t="shared" si="66"/>
        <v>0</v>
      </c>
      <c r="AL387" s="11">
        <f t="shared" si="67"/>
        <v>0</v>
      </c>
      <c r="AM387" s="11"/>
      <c r="AN387" s="11"/>
      <c r="AO387" s="11"/>
      <c r="AP387" s="13">
        <v>5</v>
      </c>
      <c r="AQ387" s="16">
        <f t="shared" si="86"/>
        <v>0</v>
      </c>
      <c r="AS387" s="11">
        <f t="shared" si="54"/>
        <v>0</v>
      </c>
    </row>
    <row r="388" spans="1:45" s="13" customFormat="1" x14ac:dyDescent="0.25">
      <c r="A388" s="12">
        <v>381</v>
      </c>
      <c r="B388" s="15"/>
      <c r="C388" s="14"/>
      <c r="D388" s="15"/>
      <c r="E388" s="15"/>
      <c r="F388" s="14"/>
      <c r="G388" s="4"/>
      <c r="H388" s="4"/>
      <c r="I388" s="4"/>
      <c r="J388" s="4"/>
      <c r="K388" s="4"/>
      <c r="L388" s="11"/>
      <c r="M388" s="23"/>
      <c r="N388" s="71">
        <v>0</v>
      </c>
      <c r="O388" s="71"/>
      <c r="P388" s="71"/>
      <c r="Q388" s="71"/>
      <c r="R388" s="71"/>
      <c r="S388" s="20"/>
      <c r="T388" s="20"/>
      <c r="Z388" s="71">
        <v>0</v>
      </c>
      <c r="AA388" s="71">
        <v>0</v>
      </c>
      <c r="AB388" s="71"/>
      <c r="AC388" s="71"/>
      <c r="AI388" s="26"/>
      <c r="AK388" s="11">
        <f t="shared" si="66"/>
        <v>0</v>
      </c>
      <c r="AL388" s="11">
        <f t="shared" si="67"/>
        <v>0</v>
      </c>
      <c r="AM388" s="11"/>
      <c r="AN388" s="11"/>
      <c r="AO388" s="11"/>
      <c r="AP388" s="13">
        <v>5</v>
      </c>
      <c r="AQ388" s="16">
        <f t="shared" si="86"/>
        <v>0</v>
      </c>
      <c r="AS388" s="11">
        <f t="shared" si="54"/>
        <v>0</v>
      </c>
    </row>
    <row r="389" spans="1:45" s="13" customFormat="1" x14ac:dyDescent="0.25">
      <c r="A389" s="12">
        <v>382</v>
      </c>
      <c r="B389" s="15"/>
      <c r="C389" s="14"/>
      <c r="D389" s="15"/>
      <c r="E389" s="15"/>
      <c r="F389" s="14"/>
      <c r="G389" s="4"/>
      <c r="H389" s="4"/>
      <c r="I389" s="4"/>
      <c r="J389" s="4"/>
      <c r="K389" s="4"/>
      <c r="L389" s="11"/>
      <c r="M389" s="23"/>
      <c r="N389" s="71">
        <v>0</v>
      </c>
      <c r="O389" s="71"/>
      <c r="P389" s="71"/>
      <c r="Q389" s="71"/>
      <c r="R389" s="71"/>
      <c r="S389" s="20"/>
      <c r="T389" s="20"/>
      <c r="Z389" s="71">
        <v>0</v>
      </c>
      <c r="AA389" s="71">
        <v>0</v>
      </c>
      <c r="AB389" s="71"/>
      <c r="AC389" s="71"/>
      <c r="AI389" s="26"/>
      <c r="AK389" s="11">
        <f t="shared" si="66"/>
        <v>0</v>
      </c>
      <c r="AL389" s="11">
        <f t="shared" si="67"/>
        <v>0</v>
      </c>
      <c r="AM389" s="11"/>
      <c r="AN389" s="11"/>
      <c r="AO389" s="11"/>
      <c r="AP389" s="13">
        <v>5</v>
      </c>
      <c r="AQ389" s="16">
        <f t="shared" si="86"/>
        <v>0</v>
      </c>
      <c r="AS389" s="11">
        <f t="shared" si="54"/>
        <v>0</v>
      </c>
    </row>
    <row r="390" spans="1:45" s="13" customFormat="1" x14ac:dyDescent="0.25">
      <c r="A390" s="12">
        <v>383</v>
      </c>
      <c r="B390" s="15"/>
      <c r="C390" s="14"/>
      <c r="D390" s="15"/>
      <c r="E390" s="15"/>
      <c r="F390" s="14"/>
      <c r="G390" s="4"/>
      <c r="H390" s="4"/>
      <c r="I390" s="4"/>
      <c r="J390" s="4"/>
      <c r="K390" s="4"/>
      <c r="L390" s="11"/>
      <c r="M390" s="23"/>
      <c r="N390" s="71">
        <v>0</v>
      </c>
      <c r="O390" s="71"/>
      <c r="P390" s="71"/>
      <c r="Q390" s="71"/>
      <c r="R390" s="71"/>
      <c r="S390" s="20"/>
      <c r="T390" s="20"/>
      <c r="Z390" s="71">
        <v>0</v>
      </c>
      <c r="AA390" s="71">
        <v>0</v>
      </c>
      <c r="AB390" s="71"/>
      <c r="AC390" s="71"/>
      <c r="AI390" s="26"/>
      <c r="AK390" s="11">
        <f t="shared" si="66"/>
        <v>0</v>
      </c>
      <c r="AL390" s="11">
        <f t="shared" si="67"/>
        <v>0</v>
      </c>
      <c r="AM390" s="11"/>
      <c r="AN390" s="11"/>
      <c r="AO390" s="11"/>
      <c r="AP390" s="13">
        <v>5</v>
      </c>
      <c r="AQ390" s="16">
        <f t="shared" si="86"/>
        <v>0</v>
      </c>
      <c r="AS390" s="11">
        <f t="shared" si="54"/>
        <v>0</v>
      </c>
    </row>
    <row r="391" spans="1:45" s="13" customFormat="1" x14ac:dyDescent="0.25">
      <c r="A391" s="12">
        <v>384</v>
      </c>
      <c r="B391" s="15"/>
      <c r="C391" s="14"/>
      <c r="D391" s="15"/>
      <c r="E391" s="15"/>
      <c r="F391" s="14"/>
      <c r="G391" s="4"/>
      <c r="H391" s="4"/>
      <c r="I391" s="4"/>
      <c r="J391" s="4"/>
      <c r="K391" s="4"/>
      <c r="L391" s="11"/>
      <c r="M391" s="23"/>
      <c r="N391" s="71">
        <v>0</v>
      </c>
      <c r="O391" s="71"/>
      <c r="P391" s="71"/>
      <c r="Q391" s="71"/>
      <c r="R391" s="71"/>
      <c r="S391" s="20"/>
      <c r="T391" s="20"/>
      <c r="Z391" s="71">
        <v>0</v>
      </c>
      <c r="AA391" s="71">
        <v>0</v>
      </c>
      <c r="AB391" s="71"/>
      <c r="AC391" s="71"/>
      <c r="AI391" s="26"/>
      <c r="AK391" s="11">
        <f t="shared" si="66"/>
        <v>0</v>
      </c>
      <c r="AL391" s="11">
        <f t="shared" si="67"/>
        <v>0</v>
      </c>
      <c r="AM391" s="11"/>
      <c r="AN391" s="11"/>
      <c r="AO391" s="11"/>
      <c r="AP391" s="13">
        <v>5</v>
      </c>
      <c r="AQ391" s="16">
        <f t="shared" si="86"/>
        <v>0</v>
      </c>
      <c r="AS391" s="11">
        <f t="shared" si="54"/>
        <v>0</v>
      </c>
    </row>
    <row r="392" spans="1:45" s="13" customFormat="1" x14ac:dyDescent="0.25">
      <c r="A392" s="12">
        <v>385</v>
      </c>
      <c r="B392" s="15"/>
      <c r="C392" s="14"/>
      <c r="D392" s="15"/>
      <c r="E392" s="15"/>
      <c r="F392" s="14"/>
      <c r="G392" s="4"/>
      <c r="H392" s="4"/>
      <c r="I392" s="4"/>
      <c r="J392" s="4"/>
      <c r="K392" s="4"/>
      <c r="L392" s="11"/>
      <c r="M392" s="23"/>
      <c r="N392" s="71">
        <v>0</v>
      </c>
      <c r="O392" s="71"/>
      <c r="P392" s="71"/>
      <c r="Q392" s="71"/>
      <c r="R392" s="71"/>
      <c r="S392" s="20"/>
      <c r="T392" s="20"/>
      <c r="Z392" s="71">
        <v>0</v>
      </c>
      <c r="AA392" s="71">
        <v>0</v>
      </c>
      <c r="AB392" s="71"/>
      <c r="AC392" s="71"/>
      <c r="AI392" s="26"/>
      <c r="AK392" s="11">
        <f t="shared" si="66"/>
        <v>0</v>
      </c>
      <c r="AL392" s="11">
        <f t="shared" si="67"/>
        <v>0</v>
      </c>
      <c r="AM392" s="11"/>
      <c r="AN392" s="11"/>
      <c r="AO392" s="11"/>
      <c r="AP392" s="13">
        <v>5</v>
      </c>
      <c r="AQ392" s="16">
        <f t="shared" si="86"/>
        <v>0</v>
      </c>
      <c r="AS392" s="11">
        <f t="shared" si="54"/>
        <v>0</v>
      </c>
    </row>
    <row r="393" spans="1:45" s="13" customFormat="1" x14ac:dyDescent="0.25">
      <c r="A393" s="12">
        <v>386</v>
      </c>
      <c r="B393" s="15"/>
      <c r="C393" s="14"/>
      <c r="D393" s="15"/>
      <c r="E393" s="15"/>
      <c r="F393" s="14"/>
      <c r="G393" s="4"/>
      <c r="H393" s="4"/>
      <c r="I393" s="4"/>
      <c r="J393" s="4"/>
      <c r="K393" s="4"/>
      <c r="L393" s="11"/>
      <c r="M393" s="23"/>
      <c r="N393" s="71">
        <v>0</v>
      </c>
      <c r="O393" s="71"/>
      <c r="P393" s="71"/>
      <c r="Q393" s="71"/>
      <c r="R393" s="71"/>
      <c r="S393" s="20"/>
      <c r="T393" s="20"/>
      <c r="Z393" s="71">
        <v>0</v>
      </c>
      <c r="AA393" s="71">
        <v>0</v>
      </c>
      <c r="AB393" s="71"/>
      <c r="AC393" s="71"/>
      <c r="AI393" s="26"/>
      <c r="AK393" s="11">
        <f t="shared" si="66"/>
        <v>0</v>
      </c>
      <c r="AL393" s="11">
        <f t="shared" ref="AL393:AL401" si="87">AK393/12</f>
        <v>0</v>
      </c>
      <c r="AM393" s="11"/>
      <c r="AN393" s="11"/>
      <c r="AO393" s="11"/>
      <c r="AP393" s="13">
        <v>5</v>
      </c>
      <c r="AQ393" s="16">
        <f t="shared" si="86"/>
        <v>0</v>
      </c>
      <c r="AS393" s="11">
        <f t="shared" si="54"/>
        <v>0</v>
      </c>
    </row>
    <row r="394" spans="1:45" s="13" customFormat="1" x14ac:dyDescent="0.25">
      <c r="A394" s="12">
        <v>387</v>
      </c>
      <c r="B394" s="15"/>
      <c r="C394" s="14"/>
      <c r="D394" s="15"/>
      <c r="E394" s="15"/>
      <c r="F394" s="14"/>
      <c r="G394" s="4"/>
      <c r="H394" s="4"/>
      <c r="I394" s="4"/>
      <c r="J394" s="4"/>
      <c r="K394" s="4"/>
      <c r="L394" s="11"/>
      <c r="M394" s="23"/>
      <c r="N394" s="71">
        <v>0</v>
      </c>
      <c r="O394" s="71"/>
      <c r="P394" s="71"/>
      <c r="Q394" s="71"/>
      <c r="R394" s="71"/>
      <c r="S394" s="20"/>
      <c r="T394" s="20"/>
      <c r="Z394" s="71">
        <v>0</v>
      </c>
      <c r="AA394" s="71">
        <v>0</v>
      </c>
      <c r="AB394" s="71"/>
      <c r="AC394" s="71"/>
      <c r="AI394" s="26"/>
      <c r="AK394" s="11">
        <f t="shared" ref="AK394:AK401" si="88">SUM(L394:AJ394)</f>
        <v>0</v>
      </c>
      <c r="AL394" s="11">
        <f t="shared" si="87"/>
        <v>0</v>
      </c>
      <c r="AM394" s="11"/>
      <c r="AN394" s="11"/>
      <c r="AO394" s="11"/>
      <c r="AP394" s="13">
        <v>5</v>
      </c>
      <c r="AQ394" s="16">
        <f t="shared" si="86"/>
        <v>0</v>
      </c>
      <c r="AS394" s="11">
        <f t="shared" ref="AS394:AS401" si="89">-AQ394</f>
        <v>0</v>
      </c>
    </row>
    <row r="395" spans="1:45" s="13" customFormat="1" x14ac:dyDescent="0.25">
      <c r="A395" s="12">
        <v>388</v>
      </c>
      <c r="B395" s="15"/>
      <c r="C395" s="14"/>
      <c r="D395" s="15"/>
      <c r="E395" s="15"/>
      <c r="F395" s="14"/>
      <c r="G395" s="4"/>
      <c r="H395" s="4"/>
      <c r="I395" s="4"/>
      <c r="J395" s="4"/>
      <c r="K395" s="4"/>
      <c r="L395" s="11"/>
      <c r="M395" s="23"/>
      <c r="N395" s="71">
        <v>0</v>
      </c>
      <c r="O395" s="71"/>
      <c r="P395" s="71"/>
      <c r="Q395" s="71"/>
      <c r="R395" s="71"/>
      <c r="S395" s="20"/>
      <c r="T395" s="20"/>
      <c r="Z395" s="71">
        <v>0</v>
      </c>
      <c r="AA395" s="71">
        <v>0</v>
      </c>
      <c r="AB395" s="71"/>
      <c r="AC395" s="71"/>
      <c r="AI395" s="26"/>
      <c r="AK395" s="11">
        <f t="shared" si="88"/>
        <v>0</v>
      </c>
      <c r="AL395" s="11">
        <f t="shared" si="87"/>
        <v>0</v>
      </c>
      <c r="AM395" s="11"/>
      <c r="AN395" s="11"/>
      <c r="AO395" s="11"/>
      <c r="AP395" s="13">
        <v>5</v>
      </c>
      <c r="AQ395" s="16">
        <f t="shared" si="86"/>
        <v>0</v>
      </c>
      <c r="AS395" s="11">
        <f t="shared" si="89"/>
        <v>0</v>
      </c>
    </row>
    <row r="396" spans="1:45" s="13" customFormat="1" x14ac:dyDescent="0.25">
      <c r="A396" s="12">
        <v>389</v>
      </c>
      <c r="B396" s="15"/>
      <c r="C396" s="14"/>
      <c r="D396" s="15"/>
      <c r="E396" s="15"/>
      <c r="F396" s="14"/>
      <c r="G396" s="4"/>
      <c r="H396" s="4"/>
      <c r="I396" s="4"/>
      <c r="J396" s="4"/>
      <c r="K396" s="4"/>
      <c r="L396" s="11"/>
      <c r="M396" s="23"/>
      <c r="N396" s="71">
        <v>0</v>
      </c>
      <c r="O396" s="71"/>
      <c r="P396" s="71"/>
      <c r="Q396" s="71"/>
      <c r="R396" s="71"/>
      <c r="S396" s="20"/>
      <c r="T396" s="20"/>
      <c r="Z396" s="71">
        <v>0</v>
      </c>
      <c r="AA396" s="71">
        <v>0</v>
      </c>
      <c r="AB396" s="71"/>
      <c r="AC396" s="71"/>
      <c r="AI396" s="26"/>
      <c r="AK396" s="11">
        <f t="shared" si="88"/>
        <v>0</v>
      </c>
      <c r="AL396" s="11">
        <f t="shared" si="87"/>
        <v>0</v>
      </c>
      <c r="AM396" s="11"/>
      <c r="AN396" s="11"/>
      <c r="AO396" s="11"/>
      <c r="AP396" s="13">
        <v>5</v>
      </c>
      <c r="AQ396" s="16">
        <f t="shared" si="86"/>
        <v>0</v>
      </c>
      <c r="AS396" s="11">
        <f t="shared" si="89"/>
        <v>0</v>
      </c>
    </row>
    <row r="397" spans="1:45" s="13" customFormat="1" x14ac:dyDescent="0.25">
      <c r="A397" s="12">
        <v>390</v>
      </c>
      <c r="B397" s="15"/>
      <c r="C397" s="14"/>
      <c r="D397" s="15"/>
      <c r="E397" s="15"/>
      <c r="F397" s="14"/>
      <c r="G397" s="4"/>
      <c r="H397" s="4"/>
      <c r="I397" s="4"/>
      <c r="J397" s="4"/>
      <c r="K397" s="4"/>
      <c r="L397" s="11"/>
      <c r="M397" s="23"/>
      <c r="N397" s="71">
        <v>0</v>
      </c>
      <c r="O397" s="71"/>
      <c r="P397" s="71"/>
      <c r="Q397" s="71"/>
      <c r="R397" s="71"/>
      <c r="S397" s="20"/>
      <c r="T397" s="20"/>
      <c r="Z397" s="71">
        <v>0</v>
      </c>
      <c r="AA397" s="71">
        <v>0</v>
      </c>
      <c r="AB397" s="71"/>
      <c r="AC397" s="71"/>
      <c r="AI397" s="26"/>
      <c r="AK397" s="11">
        <f t="shared" si="88"/>
        <v>0</v>
      </c>
      <c r="AL397" s="11">
        <f t="shared" si="87"/>
        <v>0</v>
      </c>
      <c r="AM397" s="11"/>
      <c r="AN397" s="11"/>
      <c r="AO397" s="11"/>
      <c r="AP397" s="13">
        <v>5</v>
      </c>
      <c r="AQ397" s="16">
        <f t="shared" si="86"/>
        <v>0</v>
      </c>
      <c r="AS397" s="11">
        <f t="shared" si="89"/>
        <v>0</v>
      </c>
    </row>
    <row r="398" spans="1:45" s="13" customFormat="1" x14ac:dyDescent="0.25">
      <c r="A398" s="12">
        <v>391</v>
      </c>
      <c r="B398" s="15"/>
      <c r="C398" s="14"/>
      <c r="D398" s="15"/>
      <c r="E398" s="15"/>
      <c r="F398" s="14"/>
      <c r="G398" s="4"/>
      <c r="H398" s="4"/>
      <c r="I398" s="4"/>
      <c r="J398" s="4"/>
      <c r="K398" s="4"/>
      <c r="L398" s="11"/>
      <c r="M398" s="23"/>
      <c r="N398" s="71">
        <v>0</v>
      </c>
      <c r="O398" s="71"/>
      <c r="P398" s="71"/>
      <c r="Q398" s="71"/>
      <c r="R398" s="71"/>
      <c r="S398" s="20"/>
      <c r="T398" s="20"/>
      <c r="Z398" s="71">
        <v>0</v>
      </c>
      <c r="AA398" s="71">
        <v>0</v>
      </c>
      <c r="AB398" s="71"/>
      <c r="AC398" s="71"/>
      <c r="AI398" s="26"/>
      <c r="AK398" s="11">
        <f t="shared" si="88"/>
        <v>0</v>
      </c>
      <c r="AL398" s="11">
        <f t="shared" si="87"/>
        <v>0</v>
      </c>
      <c r="AM398" s="11"/>
      <c r="AN398" s="11"/>
      <c r="AO398" s="11"/>
      <c r="AP398" s="13">
        <v>5</v>
      </c>
      <c r="AQ398" s="16">
        <f t="shared" si="86"/>
        <v>0</v>
      </c>
      <c r="AS398" s="11">
        <f t="shared" si="89"/>
        <v>0</v>
      </c>
    </row>
    <row r="399" spans="1:45" s="13" customFormat="1" x14ac:dyDescent="0.25">
      <c r="A399" s="12">
        <v>392</v>
      </c>
      <c r="B399" s="15"/>
      <c r="C399" s="14"/>
      <c r="D399" s="15"/>
      <c r="E399" s="15"/>
      <c r="F399" s="14"/>
      <c r="G399" s="4"/>
      <c r="H399" s="4"/>
      <c r="I399" s="4"/>
      <c r="J399" s="4"/>
      <c r="K399" s="4"/>
      <c r="L399" s="11"/>
      <c r="M399" s="23"/>
      <c r="N399" s="71">
        <v>0</v>
      </c>
      <c r="O399" s="71"/>
      <c r="P399" s="71"/>
      <c r="Q399" s="71"/>
      <c r="R399" s="71"/>
      <c r="S399" s="20"/>
      <c r="T399" s="20"/>
      <c r="Z399" s="71">
        <v>0</v>
      </c>
      <c r="AA399" s="71">
        <v>0</v>
      </c>
      <c r="AB399" s="71"/>
      <c r="AC399" s="71"/>
      <c r="AI399" s="26"/>
      <c r="AK399" s="11">
        <f t="shared" si="88"/>
        <v>0</v>
      </c>
      <c r="AL399" s="11">
        <f t="shared" si="87"/>
        <v>0</v>
      </c>
      <c r="AM399" s="11"/>
      <c r="AN399" s="11"/>
      <c r="AO399" s="11"/>
      <c r="AP399" s="13">
        <v>5</v>
      </c>
      <c r="AQ399" s="16">
        <f t="shared" si="86"/>
        <v>0</v>
      </c>
      <c r="AS399" s="11">
        <f t="shared" si="89"/>
        <v>0</v>
      </c>
    </row>
    <row r="400" spans="1:45" s="13" customFormat="1" x14ac:dyDescent="0.25">
      <c r="A400" s="12">
        <v>393</v>
      </c>
      <c r="B400" s="15"/>
      <c r="C400" s="14"/>
      <c r="D400" s="15"/>
      <c r="E400" s="15"/>
      <c r="F400" s="14"/>
      <c r="G400" s="4"/>
      <c r="H400" s="4"/>
      <c r="I400" s="4"/>
      <c r="J400" s="4"/>
      <c r="K400" s="4"/>
      <c r="L400" s="11"/>
      <c r="M400" s="23"/>
      <c r="N400" s="71">
        <v>0</v>
      </c>
      <c r="O400" s="71"/>
      <c r="P400" s="71"/>
      <c r="Q400" s="71"/>
      <c r="R400" s="71"/>
      <c r="S400" s="20"/>
      <c r="T400" s="20"/>
      <c r="Z400" s="71">
        <v>0</v>
      </c>
      <c r="AA400" s="71">
        <v>0</v>
      </c>
      <c r="AB400" s="71"/>
      <c r="AC400" s="71"/>
      <c r="AI400" s="26"/>
      <c r="AK400" s="11">
        <f t="shared" si="88"/>
        <v>0</v>
      </c>
      <c r="AL400" s="11">
        <f t="shared" si="87"/>
        <v>0</v>
      </c>
      <c r="AM400" s="11"/>
      <c r="AN400" s="11"/>
      <c r="AO400" s="11"/>
      <c r="AP400" s="13">
        <v>5</v>
      </c>
      <c r="AQ400" s="16">
        <f t="shared" si="86"/>
        <v>0</v>
      </c>
      <c r="AS400" s="11">
        <f t="shared" si="89"/>
        <v>0</v>
      </c>
    </row>
    <row r="401" spans="1:45" s="13" customFormat="1" x14ac:dyDescent="0.25">
      <c r="A401" s="12">
        <v>394</v>
      </c>
      <c r="B401" s="15"/>
      <c r="C401" s="14"/>
      <c r="D401" s="15"/>
      <c r="E401" s="15"/>
      <c r="F401" s="14"/>
      <c r="G401" s="4"/>
      <c r="H401" s="4"/>
      <c r="I401" s="4"/>
      <c r="J401" s="4"/>
      <c r="K401" s="4"/>
      <c r="L401" s="11"/>
      <c r="M401" s="23"/>
      <c r="N401" s="71">
        <v>0</v>
      </c>
      <c r="O401" s="71"/>
      <c r="P401" s="71"/>
      <c r="Q401" s="71"/>
      <c r="R401" s="71"/>
      <c r="S401" s="20"/>
      <c r="T401" s="20"/>
      <c r="Z401" s="71">
        <v>0</v>
      </c>
      <c r="AA401" s="71">
        <v>0</v>
      </c>
      <c r="AB401" s="71"/>
      <c r="AC401" s="71"/>
      <c r="AI401" s="26"/>
      <c r="AK401" s="11">
        <f t="shared" si="88"/>
        <v>0</v>
      </c>
      <c r="AL401" s="11">
        <f t="shared" si="87"/>
        <v>0</v>
      </c>
      <c r="AM401" s="11"/>
      <c r="AN401" s="11"/>
      <c r="AO401" s="11"/>
      <c r="AP401" s="13">
        <v>5</v>
      </c>
      <c r="AQ401" s="16">
        <f t="shared" si="86"/>
        <v>0</v>
      </c>
      <c r="AS401" s="11">
        <f t="shared" si="89"/>
        <v>0</v>
      </c>
    </row>
    <row r="402" spans="1:45" s="13" customFormat="1" x14ac:dyDescent="0.25">
      <c r="A402" s="12">
        <v>395</v>
      </c>
      <c r="B402" s="15"/>
      <c r="C402" s="14"/>
      <c r="D402" s="15"/>
      <c r="E402" s="15"/>
      <c r="F402" s="14"/>
      <c r="G402" s="4"/>
      <c r="H402" s="4"/>
      <c r="I402" s="4"/>
      <c r="J402" s="4"/>
      <c r="K402" s="4"/>
      <c r="L402" s="11"/>
      <c r="M402" s="23"/>
      <c r="N402" s="71"/>
      <c r="O402" s="71"/>
      <c r="P402" s="71"/>
      <c r="Q402" s="71"/>
      <c r="R402" s="71"/>
      <c r="S402" s="20"/>
      <c r="T402" s="20"/>
      <c r="V402" s="23"/>
      <c r="W402" s="23"/>
      <c r="X402" s="71"/>
      <c r="Y402" s="23"/>
      <c r="Z402" s="23"/>
      <c r="AA402" s="71">
        <v>0</v>
      </c>
      <c r="AB402" s="71"/>
      <c r="AC402" s="23"/>
      <c r="AD402" s="23"/>
      <c r="AE402" s="23"/>
      <c r="AG402" s="23"/>
      <c r="AH402" s="23"/>
      <c r="AI402" s="26"/>
      <c r="AK402" s="25"/>
      <c r="AL402" s="25"/>
      <c r="AM402" s="25"/>
      <c r="AN402" s="11"/>
      <c r="AO402" s="25"/>
      <c r="AP402" s="23"/>
      <c r="AQ402" s="41">
        <f>SUM(AQ8:AQ401)</f>
        <v>1828458.3069279634</v>
      </c>
      <c r="AS402" s="11">
        <f>SUBTOTAL(9,AS8:AS401)</f>
        <v>-1827401.8158370543</v>
      </c>
    </row>
    <row r="403" spans="1:45" s="13" customFormat="1" x14ac:dyDescent="0.25">
      <c r="A403" s="12">
        <v>396</v>
      </c>
      <c r="B403" s="15"/>
      <c r="C403" s="14"/>
      <c r="D403" s="15"/>
      <c r="E403" s="15"/>
      <c r="F403" s="14"/>
      <c r="G403" s="4"/>
      <c r="H403" s="4"/>
      <c r="I403" s="4"/>
      <c r="J403" s="4"/>
      <c r="K403" s="4"/>
      <c r="L403" s="11"/>
      <c r="M403" s="23"/>
      <c r="N403" s="71"/>
      <c r="O403" s="71"/>
      <c r="P403" s="71"/>
      <c r="S403" s="20"/>
      <c r="T403" s="20"/>
      <c r="V403" s="23"/>
      <c r="W403" s="23"/>
      <c r="X403" s="23"/>
      <c r="Y403" s="23"/>
      <c r="Z403" s="23"/>
      <c r="AA403" s="71">
        <v>0</v>
      </c>
      <c r="AB403" s="71"/>
      <c r="AC403" s="23"/>
      <c r="AD403" s="23"/>
      <c r="AE403" s="23"/>
      <c r="AG403" s="23"/>
      <c r="AH403" s="23"/>
      <c r="AI403" s="26"/>
      <c r="AK403" s="25"/>
      <c r="AL403" s="25"/>
      <c r="AM403" s="25"/>
      <c r="AN403" s="11"/>
      <c r="AO403" s="25"/>
      <c r="AP403" s="23"/>
      <c r="AQ403" s="41">
        <f>AQ402-300</f>
        <v>1828158.3069279634</v>
      </c>
      <c r="AS403" s="11"/>
    </row>
    <row r="404" spans="1:45" x14ac:dyDescent="0.25">
      <c r="A404" s="12">
        <v>397</v>
      </c>
      <c r="T404" s="20"/>
      <c r="AA404" s="71">
        <v>0</v>
      </c>
      <c r="AB404" s="71"/>
      <c r="AQ404" s="93">
        <v>-88.180000000000291</v>
      </c>
    </row>
    <row r="405" spans="1:45" x14ac:dyDescent="0.25">
      <c r="A405" s="12">
        <v>398</v>
      </c>
      <c r="T405" s="20"/>
      <c r="AA405" s="71">
        <v>0</v>
      </c>
      <c r="AB405" s="71"/>
      <c r="AQ405" s="93">
        <v>-346.20363636364345</v>
      </c>
    </row>
    <row r="406" spans="1:45" x14ac:dyDescent="0.25">
      <c r="A406" s="12">
        <v>399</v>
      </c>
      <c r="T406" s="20"/>
      <c r="AA406" s="71">
        <v>0</v>
      </c>
      <c r="AB406" s="71"/>
    </row>
    <row r="407" spans="1:45" x14ac:dyDescent="0.25">
      <c r="A407" s="12">
        <v>400</v>
      </c>
      <c r="T407" s="20"/>
      <c r="AA407" s="71">
        <v>0</v>
      </c>
      <c r="AB407" s="71"/>
    </row>
    <row r="408" spans="1:45" x14ac:dyDescent="0.25">
      <c r="A408" s="12">
        <v>401</v>
      </c>
      <c r="T408" s="20"/>
      <c r="AA408" s="71">
        <v>0</v>
      </c>
      <c r="AB408" s="71"/>
    </row>
    <row r="409" spans="1:45" x14ac:dyDescent="0.25">
      <c r="A409" s="12">
        <v>402</v>
      </c>
      <c r="T409" s="20"/>
      <c r="AA409" s="71">
        <v>0</v>
      </c>
      <c r="AB409" s="71"/>
    </row>
    <row r="410" spans="1:45" x14ac:dyDescent="0.25">
      <c r="A410" s="12">
        <v>403</v>
      </c>
      <c r="T410" s="20"/>
      <c r="AA410" s="71">
        <v>0</v>
      </c>
      <c r="AB410" s="71"/>
    </row>
    <row r="411" spans="1:45" x14ac:dyDescent="0.25">
      <c r="A411" s="12">
        <v>404</v>
      </c>
      <c r="T411" s="20"/>
      <c r="AA411" s="71">
        <v>0</v>
      </c>
      <c r="AB411" s="71"/>
    </row>
    <row r="412" spans="1:45" x14ac:dyDescent="0.25">
      <c r="A412" s="12">
        <v>405</v>
      </c>
      <c r="T412" s="20"/>
      <c r="AA412" s="71">
        <v>0</v>
      </c>
      <c r="AB412" s="71"/>
    </row>
    <row r="413" spans="1:45" x14ac:dyDescent="0.25">
      <c r="T413" s="20"/>
      <c r="AA413" s="71">
        <v>0</v>
      </c>
      <c r="AB413" s="71"/>
    </row>
    <row r="414" spans="1:45" x14ac:dyDescent="0.25">
      <c r="T414" s="20"/>
      <c r="AA414" s="71">
        <v>0</v>
      </c>
      <c r="AB414" s="71"/>
    </row>
    <row r="415" spans="1:45" x14ac:dyDescent="0.25">
      <c r="T415" s="20"/>
      <c r="AA415" s="71">
        <v>0</v>
      </c>
      <c r="AB415" s="71"/>
    </row>
    <row r="416" spans="1:45" x14ac:dyDescent="0.25">
      <c r="T416" s="20"/>
      <c r="AA416" s="71">
        <v>0</v>
      </c>
      <c r="AB416" s="71"/>
    </row>
    <row r="1048552" spans="13:13" x14ac:dyDescent="0.25">
      <c r="M1048552" s="71"/>
    </row>
  </sheetData>
  <autoFilter ref="A1:AU416" xr:uid="{00000000-0009-0000-0000-000000000000}"/>
  <conditionalFormatting sqref="C1">
    <cfRule type="duplicateValues" dxfId="287" priority="19"/>
    <cfRule type="duplicateValues" dxfId="286" priority="20"/>
    <cfRule type="duplicateValues" dxfId="285" priority="21"/>
    <cfRule type="duplicateValues" dxfId="284" priority="22"/>
  </conditionalFormatting>
  <conditionalFormatting sqref="C7">
    <cfRule type="duplicateValues" dxfId="283" priority="488"/>
    <cfRule type="duplicateValues" dxfId="282" priority="500"/>
    <cfRule type="duplicateValues" dxfId="281" priority="501"/>
    <cfRule type="duplicateValues" dxfId="280" priority="503"/>
  </conditionalFormatting>
  <conditionalFormatting sqref="C8">
    <cfRule type="duplicateValues" dxfId="279" priority="28"/>
    <cfRule type="duplicateValues" dxfId="278" priority="29"/>
    <cfRule type="duplicateValues" dxfId="277" priority="30"/>
    <cfRule type="duplicateValues" dxfId="276" priority="31"/>
  </conditionalFormatting>
  <conditionalFormatting sqref="C9:C294">
    <cfRule type="duplicateValues" dxfId="275" priority="32"/>
  </conditionalFormatting>
  <conditionalFormatting sqref="C295:C301">
    <cfRule type="duplicateValues" dxfId="274" priority="23"/>
  </conditionalFormatting>
  <conditionalFormatting sqref="C302">
    <cfRule type="duplicateValues" dxfId="273" priority="164"/>
    <cfRule type="duplicateValues" dxfId="272" priority="165"/>
    <cfRule type="duplicateValues" dxfId="271" priority="166"/>
    <cfRule type="duplicateValues" dxfId="270" priority="167"/>
  </conditionalFormatting>
  <conditionalFormatting sqref="C328">
    <cfRule type="duplicateValues" dxfId="269" priority="9"/>
    <cfRule type="duplicateValues" dxfId="268" priority="10"/>
    <cfRule type="duplicateValues" dxfId="267" priority="11"/>
    <cfRule type="duplicateValues" dxfId="266" priority="12"/>
  </conditionalFormatting>
  <conditionalFormatting sqref="C337:C346">
    <cfRule type="duplicateValues" dxfId="265" priority="5"/>
    <cfRule type="duplicateValues" dxfId="264" priority="6"/>
    <cfRule type="duplicateValues" dxfId="263" priority="7"/>
    <cfRule type="duplicateValues" dxfId="262" priority="8"/>
  </conditionalFormatting>
  <conditionalFormatting sqref="C356:C363">
    <cfRule type="duplicateValues" dxfId="261" priority="1"/>
    <cfRule type="duplicateValues" dxfId="260" priority="2"/>
    <cfRule type="duplicateValues" dxfId="259" priority="3"/>
    <cfRule type="duplicateValues" dxfId="258" priority="4"/>
  </conditionalFormatting>
  <conditionalFormatting sqref="C364:C379">
    <cfRule type="duplicateValues" dxfId="257" priority="49"/>
    <cfRule type="duplicateValues" dxfId="256" priority="50"/>
    <cfRule type="duplicateValues" dxfId="255" priority="51"/>
    <cfRule type="duplicateValues" dxfId="254" priority="52"/>
  </conditionalFormatting>
  <conditionalFormatting sqref="C380:C383 C390:C391">
    <cfRule type="duplicateValues" dxfId="253" priority="45"/>
    <cfRule type="duplicateValues" dxfId="252" priority="46"/>
    <cfRule type="duplicateValues" dxfId="251" priority="47"/>
    <cfRule type="duplicateValues" dxfId="250" priority="48"/>
  </conditionalFormatting>
  <conditionalFormatting sqref="C384:C388">
    <cfRule type="duplicateValues" dxfId="249" priority="41"/>
    <cfRule type="duplicateValues" dxfId="248" priority="42"/>
    <cfRule type="duplicateValues" dxfId="247" priority="43"/>
    <cfRule type="duplicateValues" dxfId="246" priority="44"/>
  </conditionalFormatting>
  <conditionalFormatting sqref="C389">
    <cfRule type="duplicateValues" dxfId="245" priority="37"/>
    <cfRule type="duplicateValues" dxfId="244" priority="38"/>
    <cfRule type="duplicateValues" dxfId="243" priority="39"/>
    <cfRule type="duplicateValues" dxfId="242" priority="40"/>
  </conditionalFormatting>
  <conditionalFormatting sqref="C392:C403">
    <cfRule type="duplicateValues" dxfId="241" priority="33"/>
    <cfRule type="duplicateValues" dxfId="240" priority="34"/>
    <cfRule type="duplicateValues" dxfId="239" priority="35"/>
    <cfRule type="duplicateValues" dxfId="238" priority="36"/>
  </conditionalFormatting>
  <conditionalFormatting sqref="F347:F353 C303:C327 C329:C336">
    <cfRule type="duplicateValues" dxfId="237" priority="13"/>
    <cfRule type="duplicateValues" dxfId="236" priority="14"/>
    <cfRule type="duplicateValues" dxfId="235" priority="15"/>
    <cfRule type="duplicateValues" dxfId="234" priority="16"/>
  </conditionalFormatting>
  <conditionalFormatting sqref="F354:F355">
    <cfRule type="duplicateValues" dxfId="233" priority="62"/>
    <cfRule type="duplicateValues" dxfId="232" priority="63"/>
    <cfRule type="duplicateValues" dxfId="231" priority="64"/>
    <cfRule type="duplicateValues" dxfId="230" priority="65"/>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N401"/>
  <sheetViews>
    <sheetView topLeftCell="A326" workbookViewId="0">
      <selection activeCell="C344" sqref="C344"/>
    </sheetView>
  </sheetViews>
  <sheetFormatPr defaultRowHeight="15" x14ac:dyDescent="0.25"/>
  <cols>
    <col min="1" max="1" width="4.28515625" style="13" bestFit="1" customWidth="1"/>
    <col min="2" max="2" width="8.7109375" bestFit="1" customWidth="1"/>
    <col min="3" max="3" width="26.5703125" bestFit="1" customWidth="1"/>
    <col min="4" max="4" width="35.85546875" bestFit="1" customWidth="1"/>
    <col min="5" max="5" width="20.85546875" bestFit="1" customWidth="1"/>
    <col min="6" max="7" width="10.28515625" style="13" bestFit="1" customWidth="1"/>
    <col min="8" max="12" width="10.28515625" style="13" customWidth="1"/>
    <col min="13" max="13" width="8.28515625" style="13" customWidth="1"/>
  </cols>
  <sheetData>
    <row r="2" spans="1:13" ht="25.5" x14ac:dyDescent="0.25">
      <c r="A2" s="1" t="s">
        <v>664</v>
      </c>
      <c r="B2" s="1" t="s">
        <v>0</v>
      </c>
      <c r="C2" s="1" t="s">
        <v>1</v>
      </c>
      <c r="D2" s="1" t="s">
        <v>2</v>
      </c>
      <c r="E2" s="3" t="s">
        <v>273</v>
      </c>
      <c r="F2" s="3" t="s">
        <v>665</v>
      </c>
      <c r="G2" s="3" t="s">
        <v>666</v>
      </c>
      <c r="H2" s="3" t="s">
        <v>791</v>
      </c>
      <c r="I2" s="3" t="s">
        <v>982</v>
      </c>
      <c r="J2" s="3" t="s">
        <v>1100</v>
      </c>
      <c r="K2" s="3" t="s">
        <v>1179</v>
      </c>
      <c r="L2" s="3" t="s">
        <v>1321</v>
      </c>
      <c r="M2" s="3" t="s">
        <v>667</v>
      </c>
    </row>
    <row r="3" spans="1:13" x14ac:dyDescent="0.25">
      <c r="A3" s="53">
        <v>1</v>
      </c>
      <c r="B3" s="53">
        <v>10001</v>
      </c>
      <c r="C3" s="38" t="s">
        <v>3</v>
      </c>
      <c r="D3" s="38" t="s">
        <v>4</v>
      </c>
      <c r="E3" s="37" t="s">
        <v>274</v>
      </c>
      <c r="F3" s="86">
        <v>1175113.4190909092</v>
      </c>
      <c r="G3" s="86">
        <v>1175113.4190909092</v>
      </c>
      <c r="H3" s="86">
        <v>1175113.4771818183</v>
      </c>
      <c r="I3" s="86">
        <v>1175113.47718182</v>
      </c>
      <c r="J3" s="86">
        <v>1175113.47718182</v>
      </c>
      <c r="K3" s="86">
        <v>1175113.47718182</v>
      </c>
      <c r="L3" s="86">
        <v>1175113.47718182</v>
      </c>
      <c r="M3" s="86">
        <f>SUM(F3:L3)</f>
        <v>8225794.224090917</v>
      </c>
    </row>
    <row r="4" spans="1:13" x14ac:dyDescent="0.25">
      <c r="A4" s="53">
        <v>2</v>
      </c>
      <c r="B4" s="53">
        <v>20001</v>
      </c>
      <c r="C4" s="38" t="s">
        <v>334</v>
      </c>
      <c r="D4" s="38" t="s">
        <v>343</v>
      </c>
      <c r="E4" s="37" t="s">
        <v>274</v>
      </c>
      <c r="F4" s="86">
        <v>74881.099999999991</v>
      </c>
      <c r="G4" s="86">
        <v>74881.099999999991</v>
      </c>
      <c r="H4" s="86">
        <v>74881.100000000006</v>
      </c>
      <c r="I4" s="86">
        <v>74881.100000000006</v>
      </c>
      <c r="J4" s="86">
        <v>74881.100000000006</v>
      </c>
      <c r="K4" s="86">
        <v>74881.100000000006</v>
      </c>
      <c r="L4" s="86">
        <v>74881.100000000006</v>
      </c>
      <c r="M4" s="86">
        <f t="shared" ref="M4:M67" si="0">SUM(F4:L4)</f>
        <v>524167.69999999995</v>
      </c>
    </row>
    <row r="5" spans="1:13" x14ac:dyDescent="0.25">
      <c r="A5" s="53">
        <v>3</v>
      </c>
      <c r="B5" s="53">
        <v>10520</v>
      </c>
      <c r="C5" s="38" t="s">
        <v>5</v>
      </c>
      <c r="D5" s="38" t="s">
        <v>6</v>
      </c>
      <c r="E5" s="37" t="s">
        <v>274</v>
      </c>
      <c r="F5" s="86">
        <v>350</v>
      </c>
      <c r="G5" s="86">
        <v>350</v>
      </c>
      <c r="H5" s="86">
        <v>350</v>
      </c>
      <c r="I5" s="86">
        <v>350</v>
      </c>
      <c r="J5" s="86">
        <v>350</v>
      </c>
      <c r="K5" s="86">
        <v>350</v>
      </c>
      <c r="L5" s="86">
        <v>350</v>
      </c>
      <c r="M5" s="86">
        <f t="shared" si="0"/>
        <v>2450</v>
      </c>
    </row>
    <row r="6" spans="1:13" x14ac:dyDescent="0.25">
      <c r="A6" s="53">
        <v>4</v>
      </c>
      <c r="B6" s="53">
        <v>10002</v>
      </c>
      <c r="C6" s="38" t="s">
        <v>7</v>
      </c>
      <c r="D6" s="38" t="s">
        <v>425</v>
      </c>
      <c r="E6" s="37" t="s">
        <v>275</v>
      </c>
      <c r="F6" s="86">
        <v>5507.2618750000001</v>
      </c>
      <c r="G6" s="86">
        <v>5646.0493749999996</v>
      </c>
      <c r="H6" s="86">
        <v>5646.0493749999996</v>
      </c>
      <c r="I6" s="86">
        <v>5646.0493749999996</v>
      </c>
      <c r="J6" s="86">
        <v>5646.0493749999996</v>
      </c>
      <c r="K6" s="86">
        <v>5646.0493749999996</v>
      </c>
      <c r="L6" s="86">
        <v>5646.0493749999996</v>
      </c>
      <c r="M6" s="86">
        <f t="shared" si="0"/>
        <v>39383.558124999996</v>
      </c>
    </row>
    <row r="7" spans="1:13" x14ac:dyDescent="0.25">
      <c r="A7" s="53">
        <v>5</v>
      </c>
      <c r="B7" s="53">
        <v>10003</v>
      </c>
      <c r="C7" s="38" t="s">
        <v>8</v>
      </c>
      <c r="D7" s="38" t="s">
        <v>9</v>
      </c>
      <c r="E7" s="37" t="s">
        <v>275</v>
      </c>
      <c r="F7" s="86">
        <v>308.43666666666667</v>
      </c>
      <c r="G7" s="86">
        <v>315.70939393939398</v>
      </c>
      <c r="H7" s="86">
        <v>315.70939393939398</v>
      </c>
      <c r="I7" s="86">
        <v>315.70939393939398</v>
      </c>
      <c r="J7" s="86">
        <v>315.70939393939398</v>
      </c>
      <c r="K7" s="86">
        <v>315.70939393939398</v>
      </c>
      <c r="L7" s="86">
        <v>315.70939393939398</v>
      </c>
      <c r="M7" s="86">
        <f t="shared" si="0"/>
        <v>2202.6930303030304</v>
      </c>
    </row>
    <row r="8" spans="1:13" x14ac:dyDescent="0.25">
      <c r="A8" s="53">
        <v>6</v>
      </c>
      <c r="B8" s="53">
        <v>10418</v>
      </c>
      <c r="C8" s="38" t="s">
        <v>10</v>
      </c>
      <c r="D8" s="38" t="s">
        <v>11</v>
      </c>
      <c r="E8" s="37" t="s">
        <v>275</v>
      </c>
      <c r="F8" s="86">
        <v>0</v>
      </c>
      <c r="G8" s="86">
        <v>0</v>
      </c>
      <c r="H8" s="86">
        <v>0</v>
      </c>
      <c r="I8" s="86">
        <v>0</v>
      </c>
      <c r="J8" s="86">
        <v>0</v>
      </c>
      <c r="K8" s="86">
        <v>0</v>
      </c>
      <c r="L8" s="86">
        <v>0</v>
      </c>
      <c r="M8" s="86">
        <f t="shared" si="0"/>
        <v>0</v>
      </c>
    </row>
    <row r="9" spans="1:13" x14ac:dyDescent="0.25">
      <c r="A9" s="53">
        <v>7</v>
      </c>
      <c r="B9" s="53">
        <v>10006</v>
      </c>
      <c r="C9" s="38" t="s">
        <v>12</v>
      </c>
      <c r="D9" s="38" t="s">
        <v>426</v>
      </c>
      <c r="E9" s="37" t="s">
        <v>276</v>
      </c>
      <c r="F9" s="86">
        <v>5364.0533333333333</v>
      </c>
      <c r="G9" s="86">
        <v>5564.0533333333333</v>
      </c>
      <c r="H9" s="86">
        <v>5564.0533333333333</v>
      </c>
      <c r="I9" s="86">
        <v>5564.0533333333296</v>
      </c>
      <c r="J9" s="86">
        <v>5564.0533333333296</v>
      </c>
      <c r="K9" s="86">
        <v>5564.0533333333296</v>
      </c>
      <c r="L9" s="86">
        <v>5564.0533333333296</v>
      </c>
      <c r="M9" s="86">
        <f t="shared" si="0"/>
        <v>38748.373333333322</v>
      </c>
    </row>
    <row r="10" spans="1:13" x14ac:dyDescent="0.25">
      <c r="A10" s="53">
        <v>8</v>
      </c>
      <c r="B10" s="53">
        <v>10008</v>
      </c>
      <c r="C10" s="38" t="s">
        <v>13</v>
      </c>
      <c r="D10" s="38" t="s">
        <v>427</v>
      </c>
      <c r="E10" s="37" t="s">
        <v>277</v>
      </c>
      <c r="F10" s="86">
        <v>40416.133333333331</v>
      </c>
      <c r="G10" s="86">
        <v>42052.496969696971</v>
      </c>
      <c r="H10" s="86">
        <v>42052.496969696964</v>
      </c>
      <c r="I10" s="86">
        <v>42052.496969697</v>
      </c>
      <c r="J10" s="86">
        <v>42052.496969697</v>
      </c>
      <c r="K10" s="86">
        <v>42052.496969697</v>
      </c>
      <c r="L10" s="86">
        <v>42052.496969696898</v>
      </c>
      <c r="M10" s="86">
        <f t="shared" si="0"/>
        <v>292731.11515151517</v>
      </c>
    </row>
    <row r="11" spans="1:13" x14ac:dyDescent="0.25">
      <c r="A11" s="53">
        <v>9</v>
      </c>
      <c r="B11" s="53">
        <v>10009</v>
      </c>
      <c r="C11" s="38" t="s">
        <v>14</v>
      </c>
      <c r="D11" s="38" t="s">
        <v>428</v>
      </c>
      <c r="E11" s="37" t="s">
        <v>277</v>
      </c>
      <c r="F11" s="86">
        <v>84.160000000000011</v>
      </c>
      <c r="G11" s="86">
        <v>92.341818181818198</v>
      </c>
      <c r="H11" s="86">
        <v>92.341818181818184</v>
      </c>
      <c r="I11" s="86">
        <v>92.341818181818198</v>
      </c>
      <c r="J11" s="86">
        <v>92.341818181818198</v>
      </c>
      <c r="K11" s="86">
        <v>92.341818181818198</v>
      </c>
      <c r="L11" s="86">
        <v>92.341818181818198</v>
      </c>
      <c r="M11" s="86">
        <f t="shared" si="0"/>
        <v>638.21090909090924</v>
      </c>
    </row>
    <row r="12" spans="1:13" x14ac:dyDescent="0.25">
      <c r="A12" s="53">
        <v>10</v>
      </c>
      <c r="B12" s="53">
        <v>10010</v>
      </c>
      <c r="C12" s="38" t="s">
        <v>15</v>
      </c>
      <c r="D12" s="38" t="s">
        <v>16</v>
      </c>
      <c r="E12" s="37" t="s">
        <v>278</v>
      </c>
      <c r="F12" s="86">
        <v>26057.194999999996</v>
      </c>
      <c r="G12" s="86">
        <v>27830.202272727274</v>
      </c>
      <c r="H12" s="86">
        <v>28326.703272727278</v>
      </c>
      <c r="I12" s="86">
        <v>28870.627717171701</v>
      </c>
      <c r="J12" s="86">
        <v>29692.158967171701</v>
      </c>
      <c r="K12" s="86">
        <v>30484.416110028898</v>
      </c>
      <c r="L12" s="86">
        <v>31761.616110028899</v>
      </c>
      <c r="M12" s="86">
        <f t="shared" si="0"/>
        <v>203022.91944985575</v>
      </c>
    </row>
    <row r="13" spans="1:13" x14ac:dyDescent="0.25">
      <c r="A13" s="53">
        <v>11</v>
      </c>
      <c r="B13" s="53">
        <v>10011</v>
      </c>
      <c r="C13" s="38" t="s">
        <v>17</v>
      </c>
      <c r="D13" s="38" t="s">
        <v>429</v>
      </c>
      <c r="E13" s="37" t="s">
        <v>278</v>
      </c>
      <c r="F13" s="86">
        <v>491.37666666666684</v>
      </c>
      <c r="G13" s="86">
        <v>507.30393939394168</v>
      </c>
      <c r="H13" s="86">
        <v>507.30393939394173</v>
      </c>
      <c r="I13" s="86">
        <v>507.30393939394202</v>
      </c>
      <c r="J13" s="86">
        <v>507.30393939394202</v>
      </c>
      <c r="K13" s="86">
        <v>507.30393939394202</v>
      </c>
      <c r="L13" s="86">
        <v>507.30393939394202</v>
      </c>
      <c r="M13" s="86">
        <f t="shared" si="0"/>
        <v>3535.2003030303185</v>
      </c>
    </row>
    <row r="14" spans="1:13" x14ac:dyDescent="0.25">
      <c r="A14" s="53">
        <v>12</v>
      </c>
      <c r="B14" s="53">
        <v>10494</v>
      </c>
      <c r="C14" s="38" t="s">
        <v>18</v>
      </c>
      <c r="D14" s="38" t="s">
        <v>19</v>
      </c>
      <c r="E14" s="37" t="s">
        <v>278</v>
      </c>
      <c r="F14" s="86">
        <v>42.041666666666664</v>
      </c>
      <c r="G14" s="86">
        <v>50.814393939393945</v>
      </c>
      <c r="H14" s="86">
        <v>54.814393939393938</v>
      </c>
      <c r="I14" s="86">
        <v>54.814393939393902</v>
      </c>
      <c r="J14" s="86">
        <v>54.814393939393902</v>
      </c>
      <c r="K14" s="86">
        <v>54.814393939393902</v>
      </c>
      <c r="L14" s="86">
        <v>54.814393939394002</v>
      </c>
      <c r="M14" s="86">
        <f t="shared" si="0"/>
        <v>366.92803030303025</v>
      </c>
    </row>
    <row r="15" spans="1:13" x14ac:dyDescent="0.25">
      <c r="A15" s="53">
        <v>13</v>
      </c>
      <c r="B15" s="53">
        <v>10015</v>
      </c>
      <c r="C15" s="38" t="s">
        <v>20</v>
      </c>
      <c r="D15" s="38" t="s">
        <v>430</v>
      </c>
      <c r="E15" s="37" t="s">
        <v>279</v>
      </c>
      <c r="F15" s="86">
        <v>26304.598333333342</v>
      </c>
      <c r="G15" s="86">
        <v>32088.963787878802</v>
      </c>
      <c r="H15" s="86">
        <v>36240.393787878798</v>
      </c>
      <c r="I15" s="86">
        <v>41942.093787878803</v>
      </c>
      <c r="J15" s="86">
        <v>49525.906287878803</v>
      </c>
      <c r="K15" s="86">
        <v>55930.0920021645</v>
      </c>
      <c r="L15" s="86">
        <v>63622</v>
      </c>
      <c r="M15" s="86">
        <f t="shared" si="0"/>
        <v>305654.04798701307</v>
      </c>
    </row>
    <row r="16" spans="1:13" x14ac:dyDescent="0.25">
      <c r="A16" s="53">
        <v>14</v>
      </c>
      <c r="B16" s="53">
        <v>10016</v>
      </c>
      <c r="C16" s="38" t="s">
        <v>21</v>
      </c>
      <c r="D16" s="38" t="s">
        <v>431</v>
      </c>
      <c r="E16" s="37" t="s">
        <v>280</v>
      </c>
      <c r="F16" s="86">
        <v>9071.75</v>
      </c>
      <c r="G16" s="86">
        <v>9371.75</v>
      </c>
      <c r="H16" s="86">
        <v>9371.75</v>
      </c>
      <c r="I16" s="86">
        <v>9371.75</v>
      </c>
      <c r="J16" s="86">
        <v>9371.75</v>
      </c>
      <c r="K16" s="86">
        <v>9371.75</v>
      </c>
      <c r="L16" s="86">
        <v>9371.75</v>
      </c>
      <c r="M16" s="86">
        <f t="shared" si="0"/>
        <v>65302.25</v>
      </c>
    </row>
    <row r="17" spans="1:13" x14ac:dyDescent="0.25">
      <c r="A17" s="53">
        <v>15</v>
      </c>
      <c r="B17" s="53">
        <v>10239</v>
      </c>
      <c r="C17" s="38" t="s">
        <v>22</v>
      </c>
      <c r="D17" s="38" t="s">
        <v>23</v>
      </c>
      <c r="E17" s="37" t="s">
        <v>279</v>
      </c>
      <c r="F17" s="86">
        <v>0</v>
      </c>
      <c r="G17" s="86">
        <v>0</v>
      </c>
      <c r="H17" s="86">
        <v>0</v>
      </c>
      <c r="I17" s="86">
        <v>0</v>
      </c>
      <c r="J17" s="86">
        <v>0</v>
      </c>
      <c r="K17" s="86">
        <v>0</v>
      </c>
      <c r="L17" s="86">
        <v>0</v>
      </c>
      <c r="M17" s="86">
        <f t="shared" si="0"/>
        <v>0</v>
      </c>
    </row>
    <row r="18" spans="1:13" x14ac:dyDescent="0.25">
      <c r="A18" s="53">
        <v>16</v>
      </c>
      <c r="B18" s="53">
        <v>10018</v>
      </c>
      <c r="C18" s="38" t="s">
        <v>24</v>
      </c>
      <c r="D18" s="38" t="s">
        <v>432</v>
      </c>
      <c r="E18" s="37" t="s">
        <v>279</v>
      </c>
      <c r="F18" s="86">
        <v>83.685499999999976</v>
      </c>
      <c r="G18" s="86">
        <v>208.82422727272723</v>
      </c>
      <c r="H18" s="86">
        <v>250.47422727272723</v>
      </c>
      <c r="I18" s="86">
        <v>303.86311616161601</v>
      </c>
      <c r="J18" s="86">
        <v>405.55061616161601</v>
      </c>
      <c r="K18" s="86">
        <v>500.02204473304499</v>
      </c>
      <c r="L18" s="86">
        <v>623</v>
      </c>
      <c r="M18" s="86">
        <f t="shared" si="0"/>
        <v>2375.4197316017317</v>
      </c>
    </row>
    <row r="19" spans="1:13" x14ac:dyDescent="0.25">
      <c r="A19" s="53">
        <v>17</v>
      </c>
      <c r="B19" s="53">
        <v>10019</v>
      </c>
      <c r="C19" s="38" t="s">
        <v>25</v>
      </c>
      <c r="D19" s="38" t="s">
        <v>432</v>
      </c>
      <c r="E19" s="37" t="s">
        <v>279</v>
      </c>
      <c r="F19" s="86">
        <v>110.2200416666667</v>
      </c>
      <c r="G19" s="86">
        <v>280.61008712121219</v>
      </c>
      <c r="H19" s="86">
        <v>366.98608712121222</v>
      </c>
      <c r="I19" s="86">
        <v>467.04275378787901</v>
      </c>
      <c r="J19" s="86">
        <v>1350.80650378788</v>
      </c>
      <c r="K19" s="86">
        <v>2969.6607895021698</v>
      </c>
      <c r="L19" s="86">
        <v>4851</v>
      </c>
      <c r="M19" s="86">
        <f t="shared" si="0"/>
        <v>10396.326262987021</v>
      </c>
    </row>
    <row r="20" spans="1:13" x14ac:dyDescent="0.25">
      <c r="A20" s="53">
        <v>18</v>
      </c>
      <c r="B20" s="53">
        <v>10498</v>
      </c>
      <c r="C20" s="38" t="s">
        <v>26</v>
      </c>
      <c r="D20" s="38" t="s">
        <v>337</v>
      </c>
      <c r="E20" s="37" t="s">
        <v>379</v>
      </c>
      <c r="F20" s="86">
        <v>0</v>
      </c>
      <c r="G20" s="86">
        <v>0</v>
      </c>
      <c r="H20" s="86">
        <v>0</v>
      </c>
      <c r="I20" s="86">
        <v>0</v>
      </c>
      <c r="J20" s="86">
        <v>0</v>
      </c>
      <c r="K20" s="86">
        <v>10.9691666666667</v>
      </c>
      <c r="L20" s="86">
        <v>31.0567361111111</v>
      </c>
      <c r="M20" s="86">
        <f t="shared" si="0"/>
        <v>42.025902777777802</v>
      </c>
    </row>
    <row r="21" spans="1:13" x14ac:dyDescent="0.25">
      <c r="A21" s="53">
        <v>19</v>
      </c>
      <c r="B21" s="53">
        <v>10020</v>
      </c>
      <c r="C21" s="38" t="s">
        <v>27</v>
      </c>
      <c r="D21" s="38" t="s">
        <v>28</v>
      </c>
      <c r="E21" s="37" t="s">
        <v>279</v>
      </c>
      <c r="F21" s="86">
        <v>0</v>
      </c>
      <c r="G21" s="86">
        <v>5.4457090909091166</v>
      </c>
      <c r="H21" s="86">
        <v>9</v>
      </c>
      <c r="I21" s="86">
        <v>9.5457090909091207</v>
      </c>
      <c r="J21" s="86">
        <v>9.5457090909091207</v>
      </c>
      <c r="K21" s="86">
        <v>15.795709090909099</v>
      </c>
      <c r="L21" s="86">
        <v>15.795709090909099</v>
      </c>
      <c r="M21" s="86">
        <f t="shared" si="0"/>
        <v>65.128545454545559</v>
      </c>
    </row>
    <row r="22" spans="1:13" x14ac:dyDescent="0.25">
      <c r="A22" s="53">
        <v>20</v>
      </c>
      <c r="B22" s="53">
        <v>10021</v>
      </c>
      <c r="C22" s="38" t="s">
        <v>29</v>
      </c>
      <c r="D22" s="38" t="s">
        <v>30</v>
      </c>
      <c r="E22" s="37" t="s">
        <v>281</v>
      </c>
      <c r="F22" s="86">
        <v>12.956624999999962</v>
      </c>
      <c r="G22" s="86">
        <v>105.62930681818172</v>
      </c>
      <c r="H22" s="86">
        <v>235.21330681818176</v>
      </c>
      <c r="I22" s="86">
        <v>390.37441792929297</v>
      </c>
      <c r="J22" s="86">
        <v>498.91316792929302</v>
      </c>
      <c r="K22" s="86">
        <v>574.14459650072104</v>
      </c>
      <c r="L22" s="86">
        <v>681.83626316738798</v>
      </c>
      <c r="M22" s="86">
        <f t="shared" si="0"/>
        <v>2499.0676841630584</v>
      </c>
    </row>
    <row r="23" spans="1:13" x14ac:dyDescent="0.25">
      <c r="A23" s="53">
        <v>21</v>
      </c>
      <c r="B23" s="53">
        <v>10023</v>
      </c>
      <c r="C23" s="38" t="s">
        <v>31</v>
      </c>
      <c r="D23" s="38" t="s">
        <v>32</v>
      </c>
      <c r="E23" s="37" t="s">
        <v>279</v>
      </c>
      <c r="F23" s="86">
        <v>0</v>
      </c>
      <c r="G23" s="86">
        <v>0</v>
      </c>
      <c r="H23" s="86">
        <v>0</v>
      </c>
      <c r="I23" s="86">
        <v>0</v>
      </c>
      <c r="J23" s="86">
        <v>0</v>
      </c>
      <c r="K23" s="86">
        <v>0</v>
      </c>
      <c r="L23" s="86">
        <v>0</v>
      </c>
      <c r="M23" s="86">
        <f t="shared" si="0"/>
        <v>0</v>
      </c>
    </row>
    <row r="24" spans="1:13" x14ac:dyDescent="0.25">
      <c r="A24" s="53">
        <v>22</v>
      </c>
      <c r="B24" s="53">
        <v>10533</v>
      </c>
      <c r="C24" s="38" t="s">
        <v>314</v>
      </c>
      <c r="D24" s="38" t="s">
        <v>23</v>
      </c>
      <c r="E24" s="37" t="s">
        <v>279</v>
      </c>
      <c r="F24" s="86">
        <v>0</v>
      </c>
      <c r="G24" s="86">
        <v>0</v>
      </c>
      <c r="H24" s="86">
        <v>0</v>
      </c>
      <c r="I24" s="86">
        <v>0</v>
      </c>
      <c r="J24" s="86">
        <v>0</v>
      </c>
      <c r="K24" s="86">
        <v>0</v>
      </c>
      <c r="L24" s="86">
        <v>0</v>
      </c>
      <c r="M24" s="86">
        <f t="shared" si="0"/>
        <v>0</v>
      </c>
    </row>
    <row r="25" spans="1:13" x14ac:dyDescent="0.25">
      <c r="A25" s="53">
        <v>23</v>
      </c>
      <c r="B25" s="53">
        <v>10473</v>
      </c>
      <c r="C25" s="38" t="s">
        <v>33</v>
      </c>
      <c r="D25" s="38" t="s">
        <v>23</v>
      </c>
      <c r="E25" s="37" t="s">
        <v>279</v>
      </c>
      <c r="F25" s="86">
        <v>0</v>
      </c>
      <c r="G25" s="86">
        <v>0</v>
      </c>
      <c r="H25" s="86">
        <v>0</v>
      </c>
      <c r="I25" s="86">
        <v>0</v>
      </c>
      <c r="J25" s="86">
        <v>0</v>
      </c>
      <c r="K25" s="86">
        <v>0</v>
      </c>
      <c r="L25" s="86">
        <v>0</v>
      </c>
      <c r="M25" s="86">
        <f t="shared" si="0"/>
        <v>0</v>
      </c>
    </row>
    <row r="26" spans="1:13" x14ac:dyDescent="0.25">
      <c r="A26" s="53">
        <v>24</v>
      </c>
      <c r="B26" s="53">
        <v>10511</v>
      </c>
      <c r="C26" s="38" t="s">
        <v>34</v>
      </c>
      <c r="D26" s="38" t="s">
        <v>23</v>
      </c>
      <c r="E26" s="37" t="s">
        <v>279</v>
      </c>
      <c r="F26" s="86">
        <v>0</v>
      </c>
      <c r="G26" s="86">
        <v>0</v>
      </c>
      <c r="H26" s="86">
        <v>0</v>
      </c>
      <c r="I26" s="86">
        <v>0</v>
      </c>
      <c r="J26" s="86">
        <v>0</v>
      </c>
      <c r="K26" s="86">
        <v>0</v>
      </c>
      <c r="L26" s="86">
        <v>0</v>
      </c>
      <c r="M26" s="86">
        <f t="shared" si="0"/>
        <v>0</v>
      </c>
    </row>
    <row r="27" spans="1:13" x14ac:dyDescent="0.25">
      <c r="A27" s="53">
        <v>25</v>
      </c>
      <c r="B27" s="53">
        <v>10512</v>
      </c>
      <c r="C27" s="38" t="s">
        <v>35</v>
      </c>
      <c r="D27" s="38" t="s">
        <v>23</v>
      </c>
      <c r="E27" s="37" t="s">
        <v>279</v>
      </c>
      <c r="F27" s="86">
        <v>0</v>
      </c>
      <c r="G27" s="86">
        <v>0</v>
      </c>
      <c r="H27" s="86">
        <v>0</v>
      </c>
      <c r="I27" s="86">
        <v>0</v>
      </c>
      <c r="J27" s="86">
        <v>0</v>
      </c>
      <c r="K27" s="86">
        <v>0</v>
      </c>
      <c r="L27" s="86">
        <v>0</v>
      </c>
      <c r="M27" s="86">
        <f t="shared" si="0"/>
        <v>0</v>
      </c>
    </row>
    <row r="28" spans="1:13" x14ac:dyDescent="0.25">
      <c r="A28" s="53">
        <v>26</v>
      </c>
      <c r="B28" s="53">
        <v>10489</v>
      </c>
      <c r="C28" s="38" t="s">
        <v>36</v>
      </c>
      <c r="D28" s="38" t="s">
        <v>23</v>
      </c>
      <c r="E28" s="37" t="s">
        <v>279</v>
      </c>
      <c r="F28" s="86">
        <v>0</v>
      </c>
      <c r="G28" s="86">
        <v>0</v>
      </c>
      <c r="H28" s="86">
        <v>0</v>
      </c>
      <c r="I28" s="86">
        <v>0</v>
      </c>
      <c r="J28" s="86">
        <v>0</v>
      </c>
      <c r="K28" s="86">
        <v>0</v>
      </c>
      <c r="L28" s="86">
        <v>0</v>
      </c>
      <c r="M28" s="86">
        <f t="shared" si="0"/>
        <v>0</v>
      </c>
    </row>
    <row r="29" spans="1:13" x14ac:dyDescent="0.25">
      <c r="A29" s="53">
        <v>27</v>
      </c>
      <c r="B29" s="53">
        <v>10437</v>
      </c>
      <c r="C29" s="38" t="s">
        <v>37</v>
      </c>
      <c r="D29" s="38" t="s">
        <v>23</v>
      </c>
      <c r="E29" s="37" t="s">
        <v>279</v>
      </c>
      <c r="F29" s="86">
        <v>0</v>
      </c>
      <c r="G29" s="86">
        <v>0</v>
      </c>
      <c r="H29" s="86">
        <v>0</v>
      </c>
      <c r="I29" s="86">
        <v>0</v>
      </c>
      <c r="J29" s="86">
        <v>0</v>
      </c>
      <c r="K29" s="86">
        <v>0</v>
      </c>
      <c r="L29" s="86">
        <v>0</v>
      </c>
      <c r="M29" s="86">
        <f t="shared" si="0"/>
        <v>0</v>
      </c>
    </row>
    <row r="30" spans="1:13" x14ac:dyDescent="0.25">
      <c r="A30" s="53">
        <v>28</v>
      </c>
      <c r="B30" s="53">
        <v>10288</v>
      </c>
      <c r="C30" s="38" t="s">
        <v>38</v>
      </c>
      <c r="D30" s="38" t="s">
        <v>39</v>
      </c>
      <c r="E30" s="37" t="s">
        <v>282</v>
      </c>
      <c r="F30" s="86">
        <v>8658.3333333333339</v>
      </c>
      <c r="G30" s="86">
        <v>9158.3333333333339</v>
      </c>
      <c r="H30" s="86">
        <v>9158.3333333333321</v>
      </c>
      <c r="I30" s="86">
        <v>9158.3333333333303</v>
      </c>
      <c r="J30" s="86">
        <v>9158.3333333333303</v>
      </c>
      <c r="K30" s="86">
        <v>9158.3333333333303</v>
      </c>
      <c r="L30" s="86">
        <v>9158.3333333333394</v>
      </c>
      <c r="M30" s="86">
        <f t="shared" si="0"/>
        <v>63608.333333333328</v>
      </c>
    </row>
    <row r="31" spans="1:13" x14ac:dyDescent="0.25">
      <c r="A31" s="53">
        <v>29</v>
      </c>
      <c r="B31" s="53">
        <v>10467</v>
      </c>
      <c r="C31" s="38" t="s">
        <v>40</v>
      </c>
      <c r="D31" s="38" t="s">
        <v>433</v>
      </c>
      <c r="E31" s="37" t="s">
        <v>282</v>
      </c>
      <c r="F31" s="86">
        <v>92.083333333333329</v>
      </c>
      <c r="G31" s="86">
        <v>99.810606060606062</v>
      </c>
      <c r="H31" s="86">
        <v>99.810606060606062</v>
      </c>
      <c r="I31" s="86">
        <v>0</v>
      </c>
      <c r="J31" s="86">
        <v>0</v>
      </c>
      <c r="K31" s="86">
        <v>0</v>
      </c>
      <c r="L31" s="86">
        <v>0</v>
      </c>
      <c r="M31" s="86">
        <f t="shared" si="0"/>
        <v>291.70454545454544</v>
      </c>
    </row>
    <row r="32" spans="1:13" x14ac:dyDescent="0.25">
      <c r="A32" s="53">
        <v>30</v>
      </c>
      <c r="B32" s="53">
        <v>10028</v>
      </c>
      <c r="C32" s="38" t="s">
        <v>42</v>
      </c>
      <c r="D32" s="38" t="s">
        <v>434</v>
      </c>
      <c r="E32" s="37" t="s">
        <v>283</v>
      </c>
      <c r="F32" s="86">
        <v>89011.183333333334</v>
      </c>
      <c r="G32" s="86">
        <v>95333.965151515149</v>
      </c>
      <c r="H32" s="86">
        <v>98593.44515151516</v>
      </c>
      <c r="I32" s="86">
        <v>98593.445151515203</v>
      </c>
      <c r="J32" s="86">
        <v>102490.12640151499</v>
      </c>
      <c r="K32" s="86">
        <v>102490.12640151499</v>
      </c>
      <c r="L32" s="86">
        <v>102490.12640151499</v>
      </c>
      <c r="M32" s="86">
        <f t="shared" si="0"/>
        <v>689002.41799242375</v>
      </c>
    </row>
    <row r="33" spans="1:13" x14ac:dyDescent="0.25">
      <c r="A33" s="53">
        <v>31</v>
      </c>
      <c r="B33" s="53">
        <v>10030</v>
      </c>
      <c r="C33" s="38" t="s">
        <v>43</v>
      </c>
      <c r="D33" s="38" t="s">
        <v>435</v>
      </c>
      <c r="E33" s="37" t="s">
        <v>283</v>
      </c>
      <c r="F33" s="86">
        <v>3545.6433333333334</v>
      </c>
      <c r="G33" s="86">
        <v>4910.7033333333329</v>
      </c>
      <c r="H33" s="86">
        <v>7527.9333333333343</v>
      </c>
      <c r="I33" s="86">
        <v>7646.9288888888896</v>
      </c>
      <c r="J33" s="86">
        <v>10384.911388888901</v>
      </c>
      <c r="K33" s="86">
        <v>15269.097103174599</v>
      </c>
      <c r="L33" s="86">
        <v>15484.2621031746</v>
      </c>
      <c r="M33" s="86">
        <f t="shared" si="0"/>
        <v>64769.479484126998</v>
      </c>
    </row>
    <row r="34" spans="1:13" x14ac:dyDescent="0.25">
      <c r="A34" s="53">
        <v>32</v>
      </c>
      <c r="B34" s="53">
        <v>10031</v>
      </c>
      <c r="C34" s="38" t="s">
        <v>45</v>
      </c>
      <c r="D34" s="38" t="s">
        <v>44</v>
      </c>
      <c r="E34" s="37" t="s">
        <v>283</v>
      </c>
      <c r="F34" s="86">
        <v>256.40000000000003</v>
      </c>
      <c r="G34" s="86">
        <v>256.40000000000003</v>
      </c>
      <c r="H34" s="86">
        <v>526.92499999999995</v>
      </c>
      <c r="I34" s="86">
        <v>773.64722222222201</v>
      </c>
      <c r="J34" s="86">
        <v>1494.1472222222201</v>
      </c>
      <c r="K34" s="86">
        <v>2123</v>
      </c>
      <c r="L34" s="86">
        <v>2182.2184259259302</v>
      </c>
      <c r="M34" s="86">
        <f t="shared" si="0"/>
        <v>7612.7378703703725</v>
      </c>
    </row>
    <row r="35" spans="1:13" x14ac:dyDescent="0.25">
      <c r="A35" s="53">
        <v>33</v>
      </c>
      <c r="B35" s="53">
        <v>10032</v>
      </c>
      <c r="C35" s="38" t="s">
        <v>46</v>
      </c>
      <c r="D35" s="38" t="s">
        <v>144</v>
      </c>
      <c r="E35" s="37" t="s">
        <v>283</v>
      </c>
      <c r="F35" s="86">
        <v>273.01333333333332</v>
      </c>
      <c r="G35" s="86">
        <v>298.08151515151513</v>
      </c>
      <c r="H35" s="86">
        <v>306.45651515151513</v>
      </c>
      <c r="I35" s="86">
        <v>311.25095959596001</v>
      </c>
      <c r="J35" s="86">
        <v>316.03595959595998</v>
      </c>
      <c r="K35" s="86">
        <v>321.25310245310197</v>
      </c>
      <c r="L35" s="86">
        <v>330.64810245310201</v>
      </c>
      <c r="M35" s="86">
        <f t="shared" si="0"/>
        <v>2156.7394877344873</v>
      </c>
    </row>
    <row r="36" spans="1:13" x14ac:dyDescent="0.25">
      <c r="A36" s="53">
        <v>34</v>
      </c>
      <c r="B36" s="53">
        <v>10034</v>
      </c>
      <c r="C36" s="38" t="s">
        <v>48</v>
      </c>
      <c r="D36" s="38" t="s">
        <v>47</v>
      </c>
      <c r="E36" s="37" t="s">
        <v>283</v>
      </c>
      <c r="F36" s="86">
        <v>242.55666666666664</v>
      </c>
      <c r="G36" s="86">
        <v>269.54303030303032</v>
      </c>
      <c r="H36" s="86">
        <v>280.95303030303029</v>
      </c>
      <c r="I36" s="86">
        <v>281.786363636364</v>
      </c>
      <c r="J36" s="86">
        <v>300.973863636364</v>
      </c>
      <c r="K36" s="86">
        <v>304.18814935064898</v>
      </c>
      <c r="L36" s="86">
        <v>304.18814935064898</v>
      </c>
      <c r="M36" s="86">
        <f t="shared" si="0"/>
        <v>1984.1892532467532</v>
      </c>
    </row>
    <row r="37" spans="1:13" x14ac:dyDescent="0.25">
      <c r="A37" s="53">
        <v>35</v>
      </c>
      <c r="B37" s="53">
        <v>10543</v>
      </c>
      <c r="C37" s="38" t="s">
        <v>412</v>
      </c>
      <c r="D37" s="38" t="s">
        <v>49</v>
      </c>
      <c r="E37" s="37" t="s">
        <v>283</v>
      </c>
      <c r="F37" s="86">
        <v>0</v>
      </c>
      <c r="G37" s="86">
        <v>0</v>
      </c>
      <c r="H37" s="86">
        <v>0</v>
      </c>
      <c r="I37" s="86">
        <v>0</v>
      </c>
      <c r="J37" s="86">
        <v>0</v>
      </c>
      <c r="K37" s="86">
        <v>0</v>
      </c>
      <c r="L37" s="86">
        <v>0</v>
      </c>
      <c r="M37" s="86">
        <f t="shared" si="0"/>
        <v>0</v>
      </c>
    </row>
    <row r="38" spans="1:13" x14ac:dyDescent="0.25">
      <c r="A38" s="53">
        <v>36</v>
      </c>
      <c r="B38" s="53">
        <v>10544</v>
      </c>
      <c r="C38" s="38" t="s">
        <v>323</v>
      </c>
      <c r="D38" s="38" t="s">
        <v>436</v>
      </c>
      <c r="E38" s="37" t="s">
        <v>283</v>
      </c>
      <c r="F38" s="86">
        <v>0</v>
      </c>
      <c r="G38" s="86">
        <v>0</v>
      </c>
      <c r="H38" s="86">
        <v>0</v>
      </c>
      <c r="I38" s="86">
        <v>0</v>
      </c>
      <c r="J38" s="86">
        <v>0</v>
      </c>
      <c r="K38" s="86">
        <v>0</v>
      </c>
      <c r="L38" s="86">
        <v>0</v>
      </c>
      <c r="M38" s="86">
        <f t="shared" si="0"/>
        <v>0</v>
      </c>
    </row>
    <row r="39" spans="1:13" x14ac:dyDescent="0.25">
      <c r="A39" s="53">
        <v>37</v>
      </c>
      <c r="B39" s="53">
        <v>10035</v>
      </c>
      <c r="C39" s="38" t="s">
        <v>50</v>
      </c>
      <c r="D39" s="38" t="s">
        <v>51</v>
      </c>
      <c r="E39" s="37" t="s">
        <v>275</v>
      </c>
      <c r="F39" s="86">
        <v>0</v>
      </c>
      <c r="G39" s="86">
        <v>0</v>
      </c>
      <c r="H39" s="86">
        <v>0</v>
      </c>
      <c r="I39" s="86">
        <v>0</v>
      </c>
      <c r="J39" s="86">
        <v>0</v>
      </c>
      <c r="K39" s="86">
        <v>0</v>
      </c>
      <c r="L39" s="86">
        <v>0</v>
      </c>
      <c r="M39" s="86">
        <f t="shared" si="0"/>
        <v>0</v>
      </c>
    </row>
    <row r="40" spans="1:13" x14ac:dyDescent="0.25">
      <c r="A40" s="53">
        <v>38</v>
      </c>
      <c r="B40" s="53">
        <v>10037</v>
      </c>
      <c r="C40" s="38" t="s">
        <v>52</v>
      </c>
      <c r="D40" s="38" t="s">
        <v>53</v>
      </c>
      <c r="E40" s="37" t="s">
        <v>275</v>
      </c>
      <c r="F40" s="86">
        <v>147.30333333333334</v>
      </c>
      <c r="G40" s="86">
        <v>156.39424242424244</v>
      </c>
      <c r="H40" s="86">
        <v>156.39424242424244</v>
      </c>
      <c r="I40" s="86">
        <v>156.39424242424201</v>
      </c>
      <c r="J40" s="86">
        <v>156.39424242424201</v>
      </c>
      <c r="K40" s="86">
        <v>156.394242424243</v>
      </c>
      <c r="L40" s="86">
        <v>156.39424242424201</v>
      </c>
      <c r="M40" s="86">
        <f t="shared" si="0"/>
        <v>1085.6687878787873</v>
      </c>
    </row>
    <row r="41" spans="1:13" x14ac:dyDescent="0.25">
      <c r="A41" s="53">
        <v>39</v>
      </c>
      <c r="B41" s="53">
        <v>10038</v>
      </c>
      <c r="C41" s="38" t="s">
        <v>54</v>
      </c>
      <c r="D41" s="38" t="s">
        <v>55</v>
      </c>
      <c r="E41" s="37" t="s">
        <v>275</v>
      </c>
      <c r="F41" s="86">
        <v>103.28666666666668</v>
      </c>
      <c r="G41" s="86">
        <v>110.55939393939394</v>
      </c>
      <c r="H41" s="86">
        <v>110.55939393939393</v>
      </c>
      <c r="I41" s="86">
        <v>110.559393939394</v>
      </c>
      <c r="J41" s="86">
        <v>110.559393939394</v>
      </c>
      <c r="K41" s="86">
        <v>110.559393939394</v>
      </c>
      <c r="L41" s="86">
        <v>110.559393939394</v>
      </c>
      <c r="M41" s="86">
        <f t="shared" si="0"/>
        <v>766.64303030303063</v>
      </c>
    </row>
    <row r="42" spans="1:13" x14ac:dyDescent="0.25">
      <c r="A42" s="53">
        <v>40</v>
      </c>
      <c r="B42" s="53">
        <v>10039</v>
      </c>
      <c r="C42" s="38" t="s">
        <v>56</v>
      </c>
      <c r="D42" s="38" t="s">
        <v>53</v>
      </c>
      <c r="E42" s="37" t="s">
        <v>275</v>
      </c>
      <c r="F42" s="86">
        <v>46.896666666666761</v>
      </c>
      <c r="G42" s="86">
        <v>54.169393939394034</v>
      </c>
      <c r="H42" s="86">
        <v>54.169393939394034</v>
      </c>
      <c r="I42" s="86">
        <v>54.169393939393998</v>
      </c>
      <c r="J42" s="86">
        <v>54.169393939393998</v>
      </c>
      <c r="K42" s="86">
        <v>54.169393939393998</v>
      </c>
      <c r="L42" s="86">
        <v>54.169393939393998</v>
      </c>
      <c r="M42" s="86">
        <f t="shared" si="0"/>
        <v>371.91303030303089</v>
      </c>
    </row>
    <row r="43" spans="1:13" x14ac:dyDescent="0.25">
      <c r="A43" s="53">
        <v>41</v>
      </c>
      <c r="B43" s="53">
        <v>10299</v>
      </c>
      <c r="C43" s="38" t="s">
        <v>57</v>
      </c>
      <c r="D43" s="38" t="s">
        <v>55</v>
      </c>
      <c r="E43" s="37" t="s">
        <v>275</v>
      </c>
      <c r="F43" s="86">
        <v>0</v>
      </c>
      <c r="G43" s="86">
        <v>0</v>
      </c>
      <c r="H43" s="86">
        <v>0</v>
      </c>
      <c r="I43" s="86">
        <v>0</v>
      </c>
      <c r="J43" s="86">
        <v>0</v>
      </c>
      <c r="K43" s="86">
        <v>0</v>
      </c>
      <c r="L43" s="86">
        <v>0</v>
      </c>
      <c r="M43" s="86">
        <f t="shared" si="0"/>
        <v>0</v>
      </c>
    </row>
    <row r="44" spans="1:13" x14ac:dyDescent="0.25">
      <c r="A44" s="53">
        <v>42</v>
      </c>
      <c r="B44" s="53">
        <v>10300</v>
      </c>
      <c r="C44" s="38" t="s">
        <v>58</v>
      </c>
      <c r="D44" s="38" t="s">
        <v>55</v>
      </c>
      <c r="E44" s="37" t="s">
        <v>275</v>
      </c>
      <c r="F44" s="86">
        <v>0</v>
      </c>
      <c r="G44" s="86">
        <v>0</v>
      </c>
      <c r="H44" s="86">
        <v>0</v>
      </c>
      <c r="I44" s="86">
        <v>0</v>
      </c>
      <c r="J44" s="86">
        <v>0</v>
      </c>
      <c r="K44" s="86">
        <v>0</v>
      </c>
      <c r="L44" s="86">
        <v>0</v>
      </c>
      <c r="M44" s="86">
        <f t="shared" si="0"/>
        <v>0</v>
      </c>
    </row>
    <row r="45" spans="1:13" x14ac:dyDescent="0.25">
      <c r="A45" s="53">
        <v>43</v>
      </c>
      <c r="B45" s="53">
        <v>10042</v>
      </c>
      <c r="C45" s="38" t="s">
        <v>59</v>
      </c>
      <c r="D45" s="38" t="s">
        <v>55</v>
      </c>
      <c r="E45" s="37" t="s">
        <v>275</v>
      </c>
      <c r="F45" s="86">
        <v>0</v>
      </c>
      <c r="G45" s="86">
        <v>0</v>
      </c>
      <c r="H45" s="86">
        <v>0</v>
      </c>
      <c r="I45" s="86">
        <v>0</v>
      </c>
      <c r="J45" s="86">
        <v>0</v>
      </c>
      <c r="K45" s="86">
        <v>0</v>
      </c>
      <c r="L45" s="86">
        <v>0</v>
      </c>
      <c r="M45" s="86">
        <f t="shared" si="0"/>
        <v>0</v>
      </c>
    </row>
    <row r="46" spans="1:13" x14ac:dyDescent="0.25">
      <c r="A46" s="53">
        <v>44</v>
      </c>
      <c r="B46" s="53">
        <v>10308</v>
      </c>
      <c r="C46" s="38" t="s">
        <v>60</v>
      </c>
      <c r="D46" s="38" t="s">
        <v>55</v>
      </c>
      <c r="E46" s="37" t="s">
        <v>275</v>
      </c>
      <c r="F46" s="86">
        <v>0</v>
      </c>
      <c r="G46" s="86">
        <v>0</v>
      </c>
      <c r="H46" s="86">
        <v>0</v>
      </c>
      <c r="I46" s="86">
        <v>0</v>
      </c>
      <c r="J46" s="86">
        <v>0</v>
      </c>
      <c r="K46" s="86">
        <v>0</v>
      </c>
      <c r="L46" s="86">
        <v>0</v>
      </c>
      <c r="M46" s="86">
        <f t="shared" si="0"/>
        <v>0</v>
      </c>
    </row>
    <row r="47" spans="1:13" x14ac:dyDescent="0.25">
      <c r="A47" s="53">
        <v>45</v>
      </c>
      <c r="B47" s="53">
        <v>10043</v>
      </c>
      <c r="C47" s="38" t="s">
        <v>61</v>
      </c>
      <c r="D47" s="38" t="s">
        <v>62</v>
      </c>
      <c r="E47" s="37" t="s">
        <v>284</v>
      </c>
      <c r="F47" s="86">
        <v>85.430000000000106</v>
      </c>
      <c r="G47" s="86">
        <v>85.430000000000106</v>
      </c>
      <c r="H47" s="86">
        <v>88.180000000000092</v>
      </c>
      <c r="I47" s="86">
        <v>88.180000000000106</v>
      </c>
      <c r="J47" s="86">
        <v>0</v>
      </c>
      <c r="K47" s="86">
        <v>0</v>
      </c>
      <c r="L47" s="86">
        <v>0</v>
      </c>
      <c r="M47" s="86">
        <f t="shared" si="0"/>
        <v>347.22000000000043</v>
      </c>
    </row>
    <row r="48" spans="1:13" x14ac:dyDescent="0.25">
      <c r="A48" s="53">
        <v>46</v>
      </c>
      <c r="B48" s="53">
        <v>20015</v>
      </c>
      <c r="C48" s="38" t="s">
        <v>63</v>
      </c>
      <c r="D48" s="38" t="s">
        <v>55</v>
      </c>
      <c r="E48" s="37" t="s">
        <v>275</v>
      </c>
      <c r="F48" s="86">
        <v>0</v>
      </c>
      <c r="G48" s="86">
        <v>0</v>
      </c>
      <c r="H48" s="86">
        <v>0</v>
      </c>
      <c r="I48" s="86">
        <v>0</v>
      </c>
      <c r="J48" s="86">
        <v>0</v>
      </c>
      <c r="K48" s="86">
        <v>0</v>
      </c>
      <c r="L48" s="86">
        <v>0</v>
      </c>
      <c r="M48" s="86">
        <f t="shared" si="0"/>
        <v>0</v>
      </c>
    </row>
    <row r="49" spans="1:13" x14ac:dyDescent="0.25">
      <c r="A49" s="53">
        <v>47</v>
      </c>
      <c r="B49" s="53">
        <v>20033</v>
      </c>
      <c r="C49" s="38" t="s">
        <v>64</v>
      </c>
      <c r="D49" s="38" t="s">
        <v>53</v>
      </c>
      <c r="E49" s="37" t="s">
        <v>275</v>
      </c>
      <c r="F49" s="86">
        <v>0</v>
      </c>
      <c r="G49" s="86">
        <v>0</v>
      </c>
      <c r="H49" s="86">
        <v>0</v>
      </c>
      <c r="I49" s="86">
        <v>0</v>
      </c>
      <c r="J49" s="86">
        <v>0</v>
      </c>
      <c r="K49" s="86">
        <v>0</v>
      </c>
      <c r="L49" s="86">
        <v>0</v>
      </c>
      <c r="M49" s="86">
        <f t="shared" si="0"/>
        <v>0</v>
      </c>
    </row>
    <row r="50" spans="1:13" x14ac:dyDescent="0.25">
      <c r="A50" s="53">
        <v>48</v>
      </c>
      <c r="B50" s="53">
        <v>40017</v>
      </c>
      <c r="C50" s="38" t="s">
        <v>65</v>
      </c>
      <c r="D50" s="38" t="s">
        <v>53</v>
      </c>
      <c r="E50" s="37" t="s">
        <v>275</v>
      </c>
      <c r="F50" s="86">
        <v>0</v>
      </c>
      <c r="G50" s="86">
        <v>0</v>
      </c>
      <c r="H50" s="86">
        <v>0</v>
      </c>
      <c r="I50" s="86">
        <v>0</v>
      </c>
      <c r="J50" s="86">
        <v>0</v>
      </c>
      <c r="K50" s="86">
        <v>0</v>
      </c>
      <c r="L50" s="86">
        <v>0</v>
      </c>
      <c r="M50" s="86">
        <f t="shared" si="0"/>
        <v>0</v>
      </c>
    </row>
    <row r="51" spans="1:13" x14ac:dyDescent="0.25">
      <c r="A51" s="53">
        <v>49</v>
      </c>
      <c r="B51" s="53">
        <v>10500</v>
      </c>
      <c r="C51" s="38" t="s">
        <v>66</v>
      </c>
      <c r="D51" s="38" t="s">
        <v>55</v>
      </c>
      <c r="E51" s="37" t="s">
        <v>275</v>
      </c>
      <c r="F51" s="86">
        <v>0</v>
      </c>
      <c r="G51" s="86">
        <v>0</v>
      </c>
      <c r="H51" s="86">
        <v>0</v>
      </c>
      <c r="I51" s="86">
        <v>0</v>
      </c>
      <c r="J51" s="86">
        <v>0</v>
      </c>
      <c r="K51" s="86">
        <v>0</v>
      </c>
      <c r="L51" s="86">
        <v>0</v>
      </c>
      <c r="M51" s="86">
        <f t="shared" si="0"/>
        <v>0</v>
      </c>
    </row>
    <row r="52" spans="1:13" x14ac:dyDescent="0.25">
      <c r="A52" s="53">
        <v>50</v>
      </c>
      <c r="B52" s="53">
        <v>20055</v>
      </c>
      <c r="C52" s="38" t="s">
        <v>67</v>
      </c>
      <c r="D52" s="38" t="s">
        <v>23</v>
      </c>
      <c r="E52" s="37" t="s">
        <v>279</v>
      </c>
      <c r="F52" s="86">
        <v>0</v>
      </c>
      <c r="G52" s="86">
        <v>0</v>
      </c>
      <c r="H52" s="86">
        <v>0</v>
      </c>
      <c r="I52" s="86">
        <v>0</v>
      </c>
      <c r="J52" s="86">
        <v>0</v>
      </c>
      <c r="K52" s="86">
        <v>0</v>
      </c>
      <c r="L52" s="86">
        <v>0</v>
      </c>
      <c r="M52" s="86">
        <f t="shared" si="0"/>
        <v>0</v>
      </c>
    </row>
    <row r="53" spans="1:13" x14ac:dyDescent="0.25">
      <c r="A53" s="53">
        <v>51</v>
      </c>
      <c r="B53" s="54">
        <v>10044</v>
      </c>
      <c r="C53" s="64" t="s">
        <v>68</v>
      </c>
      <c r="D53" s="64" t="s">
        <v>69</v>
      </c>
      <c r="E53" s="57" t="s">
        <v>284</v>
      </c>
      <c r="F53" s="86">
        <v>0</v>
      </c>
      <c r="G53" s="86">
        <v>0</v>
      </c>
      <c r="H53" s="86">
        <v>0</v>
      </c>
      <c r="I53" s="86">
        <v>0</v>
      </c>
      <c r="J53" s="86">
        <v>0</v>
      </c>
      <c r="K53" s="86">
        <v>0</v>
      </c>
      <c r="L53" s="86">
        <v>0</v>
      </c>
      <c r="M53" s="86">
        <f t="shared" si="0"/>
        <v>0</v>
      </c>
    </row>
    <row r="54" spans="1:13" x14ac:dyDescent="0.25">
      <c r="A54" s="53">
        <v>52</v>
      </c>
      <c r="B54" s="53">
        <v>10045</v>
      </c>
      <c r="C54" s="38" t="s">
        <v>70</v>
      </c>
      <c r="D54" s="38" t="s">
        <v>69</v>
      </c>
      <c r="E54" s="37" t="s">
        <v>284</v>
      </c>
      <c r="F54" s="86">
        <v>0</v>
      </c>
      <c r="G54" s="86">
        <v>0</v>
      </c>
      <c r="H54" s="86">
        <v>0</v>
      </c>
      <c r="I54" s="86">
        <v>0</v>
      </c>
      <c r="J54" s="86">
        <v>0</v>
      </c>
      <c r="K54" s="86">
        <v>0</v>
      </c>
      <c r="L54" s="86">
        <v>0</v>
      </c>
      <c r="M54" s="86">
        <f t="shared" si="0"/>
        <v>0</v>
      </c>
    </row>
    <row r="55" spans="1:13" x14ac:dyDescent="0.25">
      <c r="A55" s="53">
        <v>53</v>
      </c>
      <c r="B55" s="53">
        <v>20013</v>
      </c>
      <c r="C55" s="38" t="s">
        <v>71</v>
      </c>
      <c r="D55" s="38" t="s">
        <v>69</v>
      </c>
      <c r="E55" s="37" t="s">
        <v>284</v>
      </c>
      <c r="F55" s="86">
        <v>0</v>
      </c>
      <c r="G55" s="86">
        <v>0</v>
      </c>
      <c r="H55" s="86">
        <v>0</v>
      </c>
      <c r="I55" s="86">
        <v>0</v>
      </c>
      <c r="J55" s="86">
        <v>0</v>
      </c>
      <c r="K55" s="86">
        <v>0</v>
      </c>
      <c r="L55" s="86">
        <v>0</v>
      </c>
      <c r="M55" s="86">
        <f t="shared" si="0"/>
        <v>0</v>
      </c>
    </row>
    <row r="56" spans="1:13" x14ac:dyDescent="0.25">
      <c r="A56" s="53">
        <v>54</v>
      </c>
      <c r="B56" s="53">
        <v>10047</v>
      </c>
      <c r="C56" s="38" t="s">
        <v>72</v>
      </c>
      <c r="D56" s="38" t="s">
        <v>69</v>
      </c>
      <c r="E56" s="37" t="s">
        <v>284</v>
      </c>
      <c r="F56" s="86">
        <v>0</v>
      </c>
      <c r="G56" s="86">
        <v>9.2599090909090069</v>
      </c>
      <c r="H56" s="86">
        <v>14</v>
      </c>
      <c r="I56" s="86">
        <v>16.139909090909001</v>
      </c>
      <c r="J56" s="86">
        <v>50.339909090909003</v>
      </c>
      <c r="K56" s="86">
        <v>107.03990909090901</v>
      </c>
      <c r="L56" s="86">
        <v>132.31133766233799</v>
      </c>
      <c r="M56" s="86">
        <f t="shared" si="0"/>
        <v>329.09097402597399</v>
      </c>
    </row>
    <row r="57" spans="1:13" x14ac:dyDescent="0.25">
      <c r="A57" s="53">
        <v>55</v>
      </c>
      <c r="B57" s="53">
        <v>10048</v>
      </c>
      <c r="C57" s="38" t="s">
        <v>73</v>
      </c>
      <c r="D57" s="38" t="s">
        <v>69</v>
      </c>
      <c r="E57" s="37" t="s">
        <v>284</v>
      </c>
      <c r="F57" s="86">
        <v>0</v>
      </c>
      <c r="G57" s="86">
        <v>0</v>
      </c>
      <c r="H57" s="86">
        <v>0</v>
      </c>
      <c r="I57" s="86">
        <v>0</v>
      </c>
      <c r="J57" s="86">
        <v>0</v>
      </c>
      <c r="K57" s="86">
        <v>0</v>
      </c>
      <c r="L57" s="86">
        <v>0</v>
      </c>
      <c r="M57" s="86">
        <f t="shared" si="0"/>
        <v>0</v>
      </c>
    </row>
    <row r="58" spans="1:13" x14ac:dyDescent="0.25">
      <c r="A58" s="53">
        <v>56</v>
      </c>
      <c r="B58" s="53">
        <v>10049</v>
      </c>
      <c r="C58" s="38" t="s">
        <v>74</v>
      </c>
      <c r="D58" s="38" t="s">
        <v>75</v>
      </c>
      <c r="E58" s="37" t="s">
        <v>285</v>
      </c>
      <c r="F58" s="86">
        <v>36.433375000000041</v>
      </c>
      <c r="G58" s="86">
        <v>43.920693181818258</v>
      </c>
      <c r="H58" s="86">
        <v>43.920693181818265</v>
      </c>
      <c r="I58" s="86">
        <v>43.920693181818301</v>
      </c>
      <c r="J58" s="86">
        <v>43.920693181818301</v>
      </c>
      <c r="K58" s="86">
        <v>43.920693181818301</v>
      </c>
      <c r="L58" s="86">
        <v>43.920693181818301</v>
      </c>
      <c r="M58" s="86">
        <f t="shared" si="0"/>
        <v>299.95753409090975</v>
      </c>
    </row>
    <row r="59" spans="1:13" x14ac:dyDescent="0.25">
      <c r="A59" s="53">
        <v>57</v>
      </c>
      <c r="B59" s="53">
        <v>20014</v>
      </c>
      <c r="C59" s="38" t="s">
        <v>76</v>
      </c>
      <c r="D59" s="38" t="s">
        <v>77</v>
      </c>
      <c r="E59" s="37" t="s">
        <v>285</v>
      </c>
      <c r="F59" s="86">
        <v>0</v>
      </c>
      <c r="G59" s="86">
        <v>0</v>
      </c>
      <c r="H59" s="86">
        <v>0</v>
      </c>
      <c r="I59" s="86">
        <v>0</v>
      </c>
      <c r="J59" s="86">
        <v>0</v>
      </c>
      <c r="K59" s="86">
        <v>0</v>
      </c>
      <c r="L59" s="86">
        <v>0</v>
      </c>
      <c r="M59" s="86">
        <f t="shared" si="0"/>
        <v>0</v>
      </c>
    </row>
    <row r="60" spans="1:13" x14ac:dyDescent="0.25">
      <c r="A60" s="53">
        <v>58</v>
      </c>
      <c r="B60" s="53">
        <v>10412</v>
      </c>
      <c r="C60" s="38" t="s">
        <v>78</v>
      </c>
      <c r="D60" s="38" t="s">
        <v>69</v>
      </c>
      <c r="E60" s="37" t="s">
        <v>284</v>
      </c>
      <c r="F60" s="86">
        <v>0</v>
      </c>
      <c r="G60" s="86">
        <v>0</v>
      </c>
      <c r="H60" s="86">
        <v>0</v>
      </c>
      <c r="I60" s="86">
        <v>0</v>
      </c>
      <c r="J60" s="86">
        <v>0</v>
      </c>
      <c r="K60" s="86">
        <v>0</v>
      </c>
      <c r="L60" s="86">
        <v>0</v>
      </c>
      <c r="M60" s="86">
        <f t="shared" si="0"/>
        <v>0</v>
      </c>
    </row>
    <row r="61" spans="1:13" x14ac:dyDescent="0.25">
      <c r="A61" s="53">
        <v>59</v>
      </c>
      <c r="B61" s="53">
        <v>10413</v>
      </c>
      <c r="C61" s="38" t="s">
        <v>79</v>
      </c>
      <c r="D61" s="38" t="s">
        <v>69</v>
      </c>
      <c r="E61" s="37" t="s">
        <v>284</v>
      </c>
      <c r="F61" s="86">
        <v>0</v>
      </c>
      <c r="G61" s="86">
        <v>0</v>
      </c>
      <c r="H61" s="86">
        <v>0</v>
      </c>
      <c r="I61" s="86">
        <v>0</v>
      </c>
      <c r="J61" s="86">
        <v>0</v>
      </c>
      <c r="K61" s="86">
        <v>0</v>
      </c>
      <c r="L61" s="86">
        <v>0</v>
      </c>
      <c r="M61" s="86">
        <f t="shared" si="0"/>
        <v>0</v>
      </c>
    </row>
    <row r="62" spans="1:13" x14ac:dyDescent="0.25">
      <c r="A62" s="53">
        <v>60</v>
      </c>
      <c r="B62" s="53">
        <v>10054</v>
      </c>
      <c r="C62" s="38" t="s">
        <v>80</v>
      </c>
      <c r="D62" s="38" t="s">
        <v>49</v>
      </c>
      <c r="E62" s="37" t="s">
        <v>283</v>
      </c>
      <c r="F62" s="86">
        <v>0</v>
      </c>
      <c r="G62" s="86">
        <v>0</v>
      </c>
      <c r="H62" s="86">
        <v>0</v>
      </c>
      <c r="I62" s="86">
        <v>0</v>
      </c>
      <c r="J62" s="86">
        <v>0</v>
      </c>
      <c r="K62" s="86">
        <v>0</v>
      </c>
      <c r="L62" s="86">
        <v>0</v>
      </c>
      <c r="M62" s="86">
        <f t="shared" si="0"/>
        <v>0</v>
      </c>
    </row>
    <row r="63" spans="1:13" x14ac:dyDescent="0.25">
      <c r="A63" s="53">
        <v>61</v>
      </c>
      <c r="B63" s="53">
        <v>10056</v>
      </c>
      <c r="C63" s="38" t="s">
        <v>81</v>
      </c>
      <c r="D63" s="38" t="s">
        <v>82</v>
      </c>
      <c r="E63" s="37" t="s">
        <v>280</v>
      </c>
      <c r="F63" s="86">
        <v>40.117625000000018</v>
      </c>
      <c r="G63" s="86">
        <v>46.758670454545502</v>
      </c>
      <c r="H63" s="86">
        <v>46.758670454545502</v>
      </c>
      <c r="I63" s="86">
        <v>46.758670454545502</v>
      </c>
      <c r="J63" s="86">
        <v>46.758670454545502</v>
      </c>
      <c r="K63" s="86">
        <v>46.758670454545502</v>
      </c>
      <c r="L63" s="86">
        <v>46.758670454545502</v>
      </c>
      <c r="M63" s="86">
        <f t="shared" si="0"/>
        <v>320.669647727273</v>
      </c>
    </row>
    <row r="64" spans="1:13" x14ac:dyDescent="0.25">
      <c r="A64" s="53">
        <v>62</v>
      </c>
      <c r="B64" s="53">
        <v>10058</v>
      </c>
      <c r="C64" s="38" t="s">
        <v>83</v>
      </c>
      <c r="D64" s="38" t="s">
        <v>84</v>
      </c>
      <c r="E64" s="37" t="s">
        <v>280</v>
      </c>
      <c r="F64" s="86">
        <v>0</v>
      </c>
      <c r="G64" s="86">
        <v>0</v>
      </c>
      <c r="H64" s="86">
        <v>0</v>
      </c>
      <c r="I64" s="86">
        <v>0</v>
      </c>
      <c r="J64" s="86">
        <v>0</v>
      </c>
      <c r="K64" s="86">
        <v>0</v>
      </c>
      <c r="L64" s="86">
        <v>0</v>
      </c>
      <c r="M64" s="86">
        <f t="shared" si="0"/>
        <v>0</v>
      </c>
    </row>
    <row r="65" spans="1:13" x14ac:dyDescent="0.25">
      <c r="A65" s="53">
        <v>63</v>
      </c>
      <c r="B65" s="53">
        <v>10059</v>
      </c>
      <c r="C65" s="38" t="s">
        <v>85</v>
      </c>
      <c r="D65" s="38" t="s">
        <v>84</v>
      </c>
      <c r="E65" s="37" t="s">
        <v>280</v>
      </c>
      <c r="F65" s="86">
        <v>0</v>
      </c>
      <c r="G65" s="86">
        <v>0</v>
      </c>
      <c r="H65" s="86">
        <v>0</v>
      </c>
      <c r="I65" s="86">
        <v>0</v>
      </c>
      <c r="J65" s="86">
        <v>0</v>
      </c>
      <c r="K65" s="86">
        <v>0</v>
      </c>
      <c r="L65" s="86">
        <v>0</v>
      </c>
      <c r="M65" s="86">
        <f t="shared" si="0"/>
        <v>0</v>
      </c>
    </row>
    <row r="66" spans="1:13" x14ac:dyDescent="0.25">
      <c r="A66" s="53">
        <v>64</v>
      </c>
      <c r="B66" s="53">
        <v>10522</v>
      </c>
      <c r="C66" s="38" t="s">
        <v>86</v>
      </c>
      <c r="D66" s="38" t="s">
        <v>87</v>
      </c>
      <c r="E66" s="37" t="s">
        <v>280</v>
      </c>
      <c r="F66" s="86">
        <v>0</v>
      </c>
      <c r="G66" s="86">
        <v>0</v>
      </c>
      <c r="H66" s="86">
        <v>0</v>
      </c>
      <c r="I66" s="86">
        <v>0</v>
      </c>
      <c r="J66" s="86">
        <v>0</v>
      </c>
      <c r="K66" s="86">
        <v>0</v>
      </c>
      <c r="L66" s="86">
        <v>0</v>
      </c>
      <c r="M66" s="86">
        <f t="shared" si="0"/>
        <v>0</v>
      </c>
    </row>
    <row r="67" spans="1:13" x14ac:dyDescent="0.25">
      <c r="A67" s="53">
        <v>65</v>
      </c>
      <c r="B67" s="53">
        <v>10523</v>
      </c>
      <c r="C67" s="38" t="s">
        <v>88</v>
      </c>
      <c r="D67" s="38" t="s">
        <v>89</v>
      </c>
      <c r="E67" s="37" t="s">
        <v>280</v>
      </c>
      <c r="F67" s="86">
        <v>0</v>
      </c>
      <c r="G67" s="86">
        <v>0</v>
      </c>
      <c r="H67" s="86">
        <v>0</v>
      </c>
      <c r="I67" s="86">
        <v>0</v>
      </c>
      <c r="J67" s="86">
        <v>0</v>
      </c>
      <c r="K67" s="86">
        <v>0</v>
      </c>
      <c r="L67" s="86">
        <v>0</v>
      </c>
      <c r="M67" s="86">
        <f t="shared" si="0"/>
        <v>0</v>
      </c>
    </row>
    <row r="68" spans="1:13" x14ac:dyDescent="0.25">
      <c r="A68" s="53">
        <v>66</v>
      </c>
      <c r="B68" s="53">
        <v>10131</v>
      </c>
      <c r="C68" s="38" t="s">
        <v>90</v>
      </c>
      <c r="D68" s="38" t="s">
        <v>91</v>
      </c>
      <c r="E68" s="37" t="s">
        <v>283</v>
      </c>
      <c r="F68" s="86">
        <v>20039.513333333332</v>
      </c>
      <c r="G68" s="86">
        <v>24084.376969696976</v>
      </c>
      <c r="H68" s="86">
        <v>26363.469969696966</v>
      </c>
      <c r="I68" s="86">
        <v>26363.469969696998</v>
      </c>
      <c r="J68" s="86">
        <v>29720.291219696999</v>
      </c>
      <c r="K68" s="86">
        <v>29720.291219696999</v>
      </c>
      <c r="L68" s="86">
        <v>29720.291219696999</v>
      </c>
      <c r="M68" s="86">
        <f t="shared" ref="M68:M131" si="1">SUM(F68:L68)</f>
        <v>186011.70390151528</v>
      </c>
    </row>
    <row r="69" spans="1:13" x14ac:dyDescent="0.25">
      <c r="A69" s="53">
        <v>67</v>
      </c>
      <c r="B69" s="53">
        <v>10140</v>
      </c>
      <c r="C69" s="38" t="s">
        <v>92</v>
      </c>
      <c r="D69" s="38" t="s">
        <v>437</v>
      </c>
      <c r="E69" s="37" t="s">
        <v>277</v>
      </c>
      <c r="F69" s="86">
        <v>3462.2633333333338</v>
      </c>
      <c r="G69" s="86">
        <v>3692.2633333333333</v>
      </c>
      <c r="H69" s="86">
        <v>3692.2633333333338</v>
      </c>
      <c r="I69" s="86">
        <v>3692.2633333333301</v>
      </c>
      <c r="J69" s="86">
        <v>3692.2633333333301</v>
      </c>
      <c r="K69" s="86">
        <v>3692.2633333333301</v>
      </c>
      <c r="L69" s="86">
        <v>3692.2633333333401</v>
      </c>
      <c r="M69" s="86">
        <f t="shared" si="1"/>
        <v>25615.843333333331</v>
      </c>
    </row>
    <row r="70" spans="1:13" x14ac:dyDescent="0.25">
      <c r="A70" s="53">
        <v>68</v>
      </c>
      <c r="B70" s="53">
        <v>40007</v>
      </c>
      <c r="C70" s="38" t="s">
        <v>93</v>
      </c>
      <c r="D70" s="38" t="s">
        <v>437</v>
      </c>
      <c r="E70" s="37" t="s">
        <v>277</v>
      </c>
      <c r="F70" s="86">
        <v>3080.0866666666666</v>
      </c>
      <c r="G70" s="86">
        <v>3270.0866666666666</v>
      </c>
      <c r="H70" s="86">
        <v>3270.086666666667</v>
      </c>
      <c r="I70" s="86">
        <v>3270.0866666666702</v>
      </c>
      <c r="J70" s="86">
        <v>3270.0866666666702</v>
      </c>
      <c r="K70" s="86">
        <v>3270.0866666666702</v>
      </c>
      <c r="L70" s="86">
        <v>3270.0866666666602</v>
      </c>
      <c r="M70" s="86">
        <f t="shared" si="1"/>
        <v>22700.60666666667</v>
      </c>
    </row>
    <row r="71" spans="1:13" x14ac:dyDescent="0.25">
      <c r="A71" s="53">
        <v>69</v>
      </c>
      <c r="B71" s="53">
        <v>10323</v>
      </c>
      <c r="C71" s="38" t="s">
        <v>94</v>
      </c>
      <c r="D71" s="38" t="s">
        <v>438</v>
      </c>
      <c r="E71" s="37" t="s">
        <v>277</v>
      </c>
      <c r="F71" s="86">
        <v>77.662500000000009</v>
      </c>
      <c r="G71" s="86">
        <v>84.767045454545453</v>
      </c>
      <c r="H71" s="86">
        <v>84.767045454545453</v>
      </c>
      <c r="I71" s="86">
        <v>84.767045454545496</v>
      </c>
      <c r="J71" s="86">
        <v>84.767045454545496</v>
      </c>
      <c r="K71" s="86">
        <v>84.767045454545496</v>
      </c>
      <c r="L71" s="86">
        <v>84.767045454545396</v>
      </c>
      <c r="M71" s="86">
        <f t="shared" si="1"/>
        <v>586.26477272727277</v>
      </c>
    </row>
    <row r="72" spans="1:13" x14ac:dyDescent="0.25">
      <c r="A72" s="53">
        <v>70</v>
      </c>
      <c r="B72" s="53">
        <v>20026</v>
      </c>
      <c r="C72" s="38" t="s">
        <v>95</v>
      </c>
      <c r="D72" s="38" t="s">
        <v>439</v>
      </c>
      <c r="E72" s="37" t="s">
        <v>277</v>
      </c>
      <c r="F72" s="86">
        <v>177.40666666666667</v>
      </c>
      <c r="G72" s="86">
        <v>187.40666666666667</v>
      </c>
      <c r="H72" s="86">
        <v>187.40666666666669</v>
      </c>
      <c r="I72" s="86">
        <v>187.40666666666701</v>
      </c>
      <c r="J72" s="86">
        <v>187.40666666666701</v>
      </c>
      <c r="K72" s="86">
        <v>187.40666666666701</v>
      </c>
      <c r="L72" s="86">
        <v>187.40666666666701</v>
      </c>
      <c r="M72" s="86">
        <f t="shared" si="1"/>
        <v>1301.8466666666679</v>
      </c>
    </row>
    <row r="73" spans="1:13" x14ac:dyDescent="0.25">
      <c r="A73" s="53">
        <v>71</v>
      </c>
      <c r="B73" s="53">
        <v>10534</v>
      </c>
      <c r="C73" s="38" t="s">
        <v>315</v>
      </c>
      <c r="D73" s="38" t="s">
        <v>96</v>
      </c>
      <c r="E73" s="37" t="s">
        <v>277</v>
      </c>
      <c r="F73" s="86">
        <v>50</v>
      </c>
      <c r="G73" s="86">
        <v>50</v>
      </c>
      <c r="H73" s="86">
        <v>50</v>
      </c>
      <c r="I73" s="86">
        <v>50</v>
      </c>
      <c r="J73" s="86">
        <v>50</v>
      </c>
      <c r="K73" s="86">
        <v>50</v>
      </c>
      <c r="L73" s="86">
        <v>0</v>
      </c>
      <c r="M73" s="86">
        <f t="shared" si="1"/>
        <v>300</v>
      </c>
    </row>
    <row r="74" spans="1:13" x14ac:dyDescent="0.25">
      <c r="A74" s="53">
        <v>72</v>
      </c>
      <c r="B74" s="53">
        <v>10537</v>
      </c>
      <c r="C74" s="38" t="s">
        <v>318</v>
      </c>
      <c r="D74" s="38" t="s">
        <v>96</v>
      </c>
      <c r="E74" s="37" t="s">
        <v>277</v>
      </c>
      <c r="F74" s="86">
        <v>50</v>
      </c>
      <c r="G74" s="86">
        <v>50</v>
      </c>
      <c r="H74" s="86">
        <v>50</v>
      </c>
      <c r="I74" s="86">
        <v>50</v>
      </c>
      <c r="J74" s="86">
        <v>50</v>
      </c>
      <c r="K74" s="86">
        <v>50</v>
      </c>
      <c r="L74" s="86">
        <v>50</v>
      </c>
      <c r="M74" s="86">
        <f t="shared" si="1"/>
        <v>350</v>
      </c>
    </row>
    <row r="75" spans="1:13" x14ac:dyDescent="0.25">
      <c r="A75" s="53">
        <v>73</v>
      </c>
      <c r="B75" s="53">
        <v>10441</v>
      </c>
      <c r="C75" s="38" t="s">
        <v>97</v>
      </c>
      <c r="D75" s="38" t="s">
        <v>96</v>
      </c>
      <c r="E75" s="37" t="s">
        <v>277</v>
      </c>
      <c r="F75" s="86">
        <v>50</v>
      </c>
      <c r="G75" s="86">
        <v>50</v>
      </c>
      <c r="H75" s="86">
        <v>50</v>
      </c>
      <c r="I75" s="86">
        <v>50</v>
      </c>
      <c r="J75" s="86">
        <v>50</v>
      </c>
      <c r="K75" s="86">
        <v>50</v>
      </c>
      <c r="L75" s="86">
        <v>50</v>
      </c>
      <c r="M75" s="86">
        <f t="shared" si="1"/>
        <v>350</v>
      </c>
    </row>
    <row r="76" spans="1:13" x14ac:dyDescent="0.25">
      <c r="A76" s="53">
        <v>74</v>
      </c>
      <c r="B76" s="53">
        <v>10142</v>
      </c>
      <c r="C76" s="38" t="s">
        <v>98</v>
      </c>
      <c r="D76" s="38" t="s">
        <v>99</v>
      </c>
      <c r="E76" s="37" t="s">
        <v>278</v>
      </c>
      <c r="F76" s="86">
        <v>0</v>
      </c>
      <c r="G76" s="86">
        <v>0</v>
      </c>
      <c r="H76" s="86">
        <v>0</v>
      </c>
      <c r="I76" s="86">
        <v>0</v>
      </c>
      <c r="J76" s="86">
        <v>0</v>
      </c>
      <c r="K76" s="86">
        <v>0</v>
      </c>
      <c r="L76" s="86">
        <v>0</v>
      </c>
      <c r="M76" s="86">
        <f t="shared" si="1"/>
        <v>0</v>
      </c>
    </row>
    <row r="77" spans="1:13" x14ac:dyDescent="0.25">
      <c r="A77" s="53">
        <v>75</v>
      </c>
      <c r="B77" s="53">
        <v>10434</v>
      </c>
      <c r="C77" s="38" t="s">
        <v>100</v>
      </c>
      <c r="D77" s="38" t="s">
        <v>69</v>
      </c>
      <c r="E77" s="37" t="s">
        <v>284</v>
      </c>
      <c r="F77" s="86">
        <v>0</v>
      </c>
      <c r="G77" s="86">
        <v>0</v>
      </c>
      <c r="H77" s="86">
        <v>0</v>
      </c>
      <c r="I77" s="86">
        <v>0</v>
      </c>
      <c r="J77" s="86">
        <v>0</v>
      </c>
      <c r="K77" s="86">
        <v>0</v>
      </c>
      <c r="L77" s="86">
        <v>0</v>
      </c>
      <c r="M77" s="86">
        <f t="shared" si="1"/>
        <v>0</v>
      </c>
    </row>
    <row r="78" spans="1:13" x14ac:dyDescent="0.25">
      <c r="A78" s="53">
        <v>76</v>
      </c>
      <c r="B78" s="53">
        <v>10147</v>
      </c>
      <c r="C78" s="38" t="s">
        <v>101</v>
      </c>
      <c r="D78" s="38" t="s">
        <v>440</v>
      </c>
      <c r="E78" s="37" t="s">
        <v>285</v>
      </c>
      <c r="F78" s="86">
        <v>3706.4633333333331</v>
      </c>
      <c r="G78" s="86">
        <v>3906.4633333333331</v>
      </c>
      <c r="H78" s="86">
        <v>3906.4633333333331</v>
      </c>
      <c r="I78" s="86">
        <v>3906.46333333333</v>
      </c>
      <c r="J78" s="86">
        <v>3906.46333333333</v>
      </c>
      <c r="K78" s="86">
        <v>3906.46333333333</v>
      </c>
      <c r="L78" s="86">
        <v>3906.46333333333</v>
      </c>
      <c r="M78" s="86">
        <f t="shared" si="1"/>
        <v>27145.243333333317</v>
      </c>
    </row>
    <row r="79" spans="1:13" x14ac:dyDescent="0.25">
      <c r="A79" s="53">
        <v>77</v>
      </c>
      <c r="B79" s="53">
        <v>10486</v>
      </c>
      <c r="C79" s="38" t="s">
        <v>103</v>
      </c>
      <c r="D79" s="38" t="s">
        <v>102</v>
      </c>
      <c r="E79" s="37" t="s">
        <v>286</v>
      </c>
      <c r="F79" s="86">
        <v>0</v>
      </c>
      <c r="G79" s="86">
        <v>0</v>
      </c>
      <c r="H79" s="86">
        <v>0</v>
      </c>
      <c r="I79" s="86">
        <v>0</v>
      </c>
      <c r="J79" s="86">
        <v>0</v>
      </c>
      <c r="K79" s="86">
        <v>0</v>
      </c>
      <c r="L79" s="86">
        <v>0</v>
      </c>
      <c r="M79" s="86">
        <f t="shared" si="1"/>
        <v>0</v>
      </c>
    </row>
    <row r="80" spans="1:13" x14ac:dyDescent="0.25">
      <c r="A80" s="53">
        <v>78</v>
      </c>
      <c r="B80" s="53">
        <v>10507</v>
      </c>
      <c r="C80" s="38" t="s">
        <v>104</v>
      </c>
      <c r="D80" s="38" t="s">
        <v>132</v>
      </c>
      <c r="E80" s="37" t="s">
        <v>278</v>
      </c>
      <c r="F80" s="86">
        <v>0</v>
      </c>
      <c r="G80" s="86">
        <v>0</v>
      </c>
      <c r="H80" s="86">
        <v>0</v>
      </c>
      <c r="I80" s="86">
        <v>0</v>
      </c>
      <c r="J80" s="86">
        <v>0</v>
      </c>
      <c r="K80" s="86">
        <v>0</v>
      </c>
      <c r="L80" s="86">
        <v>0</v>
      </c>
      <c r="M80" s="86">
        <f t="shared" si="1"/>
        <v>0</v>
      </c>
    </row>
    <row r="81" spans="1:13" x14ac:dyDescent="0.25">
      <c r="A81" s="53">
        <v>79</v>
      </c>
      <c r="B81" s="53">
        <v>10160</v>
      </c>
      <c r="C81" s="38" t="s">
        <v>105</v>
      </c>
      <c r="D81" s="38" t="s">
        <v>106</v>
      </c>
      <c r="E81" s="37" t="s">
        <v>277</v>
      </c>
      <c r="F81" s="86">
        <v>0</v>
      </c>
      <c r="G81" s="86">
        <v>0</v>
      </c>
      <c r="H81" s="86">
        <v>0</v>
      </c>
      <c r="I81" s="86">
        <v>0</v>
      </c>
      <c r="J81" s="86">
        <v>0</v>
      </c>
      <c r="K81" s="86">
        <v>0</v>
      </c>
      <c r="L81" s="86">
        <v>0</v>
      </c>
      <c r="M81" s="86">
        <f t="shared" si="1"/>
        <v>0</v>
      </c>
    </row>
    <row r="82" spans="1:13" x14ac:dyDescent="0.25">
      <c r="A82" s="53">
        <v>80</v>
      </c>
      <c r="B82" s="53">
        <v>10256</v>
      </c>
      <c r="C82" s="38" t="s">
        <v>107</v>
      </c>
      <c r="D82" s="38" t="s">
        <v>106</v>
      </c>
      <c r="E82" s="37" t="s">
        <v>277</v>
      </c>
      <c r="F82" s="86">
        <v>0</v>
      </c>
      <c r="G82" s="86">
        <v>0</v>
      </c>
      <c r="H82" s="86">
        <v>0</v>
      </c>
      <c r="I82" s="86">
        <v>0</v>
      </c>
      <c r="J82" s="86">
        <v>0</v>
      </c>
      <c r="K82" s="86">
        <v>0</v>
      </c>
      <c r="L82" s="86">
        <v>0</v>
      </c>
      <c r="M82" s="86">
        <f t="shared" si="1"/>
        <v>0</v>
      </c>
    </row>
    <row r="83" spans="1:13" x14ac:dyDescent="0.25">
      <c r="A83" s="53">
        <v>81</v>
      </c>
      <c r="B83" s="53">
        <v>10163</v>
      </c>
      <c r="C83" s="38" t="s">
        <v>108</v>
      </c>
      <c r="D83" s="38" t="s">
        <v>441</v>
      </c>
      <c r="E83" s="37" t="s">
        <v>281</v>
      </c>
      <c r="F83" s="86">
        <v>0</v>
      </c>
      <c r="G83" s="86">
        <v>0</v>
      </c>
      <c r="H83" s="86">
        <v>0</v>
      </c>
      <c r="I83" s="86">
        <v>41.502416666666697</v>
      </c>
      <c r="J83" s="86">
        <v>93.568780303030294</v>
      </c>
      <c r="K83" s="86">
        <v>125.05878030303001</v>
      </c>
      <c r="L83" s="86">
        <v>156.661002525253</v>
      </c>
      <c r="M83" s="86">
        <f t="shared" si="1"/>
        <v>416.79097979797996</v>
      </c>
    </row>
    <row r="84" spans="1:13" x14ac:dyDescent="0.25">
      <c r="A84" s="53">
        <v>82</v>
      </c>
      <c r="B84" s="53">
        <v>10370</v>
      </c>
      <c r="C84" s="38" t="s">
        <v>110</v>
      </c>
      <c r="D84" s="38" t="s">
        <v>23</v>
      </c>
      <c r="E84" s="37" t="s">
        <v>279</v>
      </c>
      <c r="F84" s="86">
        <v>0</v>
      </c>
      <c r="G84" s="86">
        <v>0</v>
      </c>
      <c r="H84" s="86">
        <v>0</v>
      </c>
      <c r="I84" s="86">
        <v>0</v>
      </c>
      <c r="J84" s="86">
        <v>0</v>
      </c>
      <c r="K84" s="86">
        <v>0</v>
      </c>
      <c r="L84" s="86">
        <v>0</v>
      </c>
      <c r="M84" s="86">
        <f t="shared" si="1"/>
        <v>0</v>
      </c>
    </row>
    <row r="85" spans="1:13" x14ac:dyDescent="0.25">
      <c r="A85" s="53">
        <v>83</v>
      </c>
      <c r="B85" s="53">
        <v>10430</v>
      </c>
      <c r="C85" s="38" t="s">
        <v>111</v>
      </c>
      <c r="D85" s="38" t="s">
        <v>23</v>
      </c>
      <c r="E85" s="37" t="s">
        <v>279</v>
      </c>
      <c r="F85" s="86">
        <v>0</v>
      </c>
      <c r="G85" s="86">
        <v>0</v>
      </c>
      <c r="H85" s="86">
        <v>0</v>
      </c>
      <c r="I85" s="86">
        <v>0</v>
      </c>
      <c r="J85" s="86">
        <v>0</v>
      </c>
      <c r="K85" s="86">
        <v>0</v>
      </c>
      <c r="L85" s="86">
        <v>0</v>
      </c>
      <c r="M85" s="86">
        <f t="shared" si="1"/>
        <v>0</v>
      </c>
    </row>
    <row r="86" spans="1:13" x14ac:dyDescent="0.25">
      <c r="A86" s="53">
        <v>84</v>
      </c>
      <c r="B86" s="53">
        <v>10431</v>
      </c>
      <c r="C86" s="38" t="s">
        <v>112</v>
      </c>
      <c r="D86" s="38" t="s">
        <v>113</v>
      </c>
      <c r="E86" s="37" t="s">
        <v>281</v>
      </c>
      <c r="F86" s="86">
        <v>0</v>
      </c>
      <c r="G86" s="86">
        <v>0</v>
      </c>
      <c r="H86" s="86">
        <v>0</v>
      </c>
      <c r="I86" s="86">
        <v>0</v>
      </c>
      <c r="J86" s="86">
        <v>0</v>
      </c>
      <c r="K86" s="86">
        <v>0</v>
      </c>
      <c r="L86" s="86">
        <v>0</v>
      </c>
      <c r="M86" s="86">
        <f t="shared" si="1"/>
        <v>0</v>
      </c>
    </row>
    <row r="87" spans="1:13" x14ac:dyDescent="0.25">
      <c r="A87" s="53">
        <v>85</v>
      </c>
      <c r="B87" s="53">
        <v>10495</v>
      </c>
      <c r="C87" s="38" t="s">
        <v>114</v>
      </c>
      <c r="D87" s="38" t="s">
        <v>23</v>
      </c>
      <c r="E87" s="37" t="s">
        <v>279</v>
      </c>
      <c r="F87" s="86">
        <v>0</v>
      </c>
      <c r="G87" s="86">
        <v>0</v>
      </c>
      <c r="H87" s="86">
        <v>0</v>
      </c>
      <c r="I87" s="86">
        <v>0</v>
      </c>
      <c r="J87" s="86">
        <v>0</v>
      </c>
      <c r="K87" s="86">
        <v>0</v>
      </c>
      <c r="L87" s="86">
        <v>0</v>
      </c>
      <c r="M87" s="86">
        <f t="shared" si="1"/>
        <v>0</v>
      </c>
    </row>
    <row r="88" spans="1:13" x14ac:dyDescent="0.25">
      <c r="A88" s="53">
        <v>86</v>
      </c>
      <c r="B88" s="53">
        <v>10180</v>
      </c>
      <c r="C88" s="38" t="s">
        <v>115</v>
      </c>
      <c r="D88" s="38" t="s">
        <v>69</v>
      </c>
      <c r="E88" s="37" t="s">
        <v>284</v>
      </c>
      <c r="F88" s="86">
        <v>0</v>
      </c>
      <c r="G88" s="86">
        <v>0</v>
      </c>
      <c r="H88" s="86">
        <v>0</v>
      </c>
      <c r="I88" s="86">
        <v>0</v>
      </c>
      <c r="J88" s="86">
        <v>0</v>
      </c>
      <c r="K88" s="86">
        <v>0</v>
      </c>
      <c r="L88" s="86">
        <v>0</v>
      </c>
      <c r="M88" s="86">
        <f t="shared" si="1"/>
        <v>0</v>
      </c>
    </row>
    <row r="89" spans="1:13" x14ac:dyDescent="0.25">
      <c r="A89" s="53">
        <v>87</v>
      </c>
      <c r="B89" s="53">
        <v>10496</v>
      </c>
      <c r="C89" s="38" t="s">
        <v>116</v>
      </c>
      <c r="D89" s="38" t="s">
        <v>69</v>
      </c>
      <c r="E89" s="37" t="s">
        <v>284</v>
      </c>
      <c r="F89" s="86">
        <v>0</v>
      </c>
      <c r="G89" s="86">
        <v>0</v>
      </c>
      <c r="H89" s="86">
        <v>0</v>
      </c>
      <c r="I89" s="86">
        <v>0</v>
      </c>
      <c r="J89" s="86">
        <v>0</v>
      </c>
      <c r="K89" s="86">
        <v>0</v>
      </c>
      <c r="L89" s="86">
        <v>0</v>
      </c>
      <c r="M89" s="86">
        <f t="shared" si="1"/>
        <v>0</v>
      </c>
    </row>
    <row r="90" spans="1:13" x14ac:dyDescent="0.25">
      <c r="A90" s="53">
        <v>88</v>
      </c>
      <c r="B90" s="53">
        <v>10547</v>
      </c>
      <c r="C90" s="38" t="s">
        <v>101</v>
      </c>
      <c r="D90" s="38" t="s">
        <v>69</v>
      </c>
      <c r="E90" s="37" t="s">
        <v>284</v>
      </c>
      <c r="F90" s="86">
        <v>0</v>
      </c>
      <c r="G90" s="86">
        <v>0</v>
      </c>
      <c r="H90" s="86">
        <v>0</v>
      </c>
      <c r="I90" s="86">
        <v>0</v>
      </c>
      <c r="J90" s="86">
        <v>0</v>
      </c>
      <c r="K90" s="86">
        <v>0</v>
      </c>
      <c r="L90" s="86">
        <v>0</v>
      </c>
      <c r="M90" s="86">
        <f t="shared" si="1"/>
        <v>0</v>
      </c>
    </row>
    <row r="91" spans="1:13" x14ac:dyDescent="0.25">
      <c r="A91" s="53">
        <v>89</v>
      </c>
      <c r="B91" s="53">
        <v>10374</v>
      </c>
      <c r="C91" s="38" t="s">
        <v>117</v>
      </c>
      <c r="D91" s="38" t="s">
        <v>69</v>
      </c>
      <c r="E91" s="37" t="s">
        <v>284</v>
      </c>
      <c r="F91" s="86">
        <v>0</v>
      </c>
      <c r="G91" s="86">
        <v>0</v>
      </c>
      <c r="H91" s="86">
        <v>0</v>
      </c>
      <c r="I91" s="86">
        <v>0</v>
      </c>
      <c r="J91" s="86">
        <v>0</v>
      </c>
      <c r="K91" s="86">
        <v>0</v>
      </c>
      <c r="L91" s="86">
        <v>0</v>
      </c>
      <c r="M91" s="86">
        <f t="shared" si="1"/>
        <v>0</v>
      </c>
    </row>
    <row r="92" spans="1:13" x14ac:dyDescent="0.25">
      <c r="A92" s="53">
        <v>90</v>
      </c>
      <c r="B92" s="53">
        <v>10435</v>
      </c>
      <c r="C92" s="38" t="s">
        <v>118</v>
      </c>
      <c r="D92" s="38" t="s">
        <v>442</v>
      </c>
      <c r="E92" s="37" t="s">
        <v>276</v>
      </c>
      <c r="F92" s="86">
        <v>110.83333333333333</v>
      </c>
      <c r="G92" s="86">
        <v>122.65151515151516</v>
      </c>
      <c r="H92" s="86">
        <v>122.65151515151516</v>
      </c>
      <c r="I92" s="86">
        <v>122.651515151515</v>
      </c>
      <c r="J92" s="86">
        <v>122.651515151515</v>
      </c>
      <c r="K92" s="86">
        <v>122.651515151515</v>
      </c>
      <c r="L92" s="86">
        <v>122.651515151515</v>
      </c>
      <c r="M92" s="86">
        <f t="shared" si="1"/>
        <v>846.74242424242368</v>
      </c>
    </row>
    <row r="93" spans="1:13" x14ac:dyDescent="0.25">
      <c r="A93" s="53">
        <v>91</v>
      </c>
      <c r="B93" s="53">
        <v>10189</v>
      </c>
      <c r="C93" s="38" t="s">
        <v>119</v>
      </c>
      <c r="D93" s="38" t="s">
        <v>19</v>
      </c>
      <c r="E93" s="37" t="s">
        <v>278</v>
      </c>
      <c r="F93" s="86">
        <v>0</v>
      </c>
      <c r="G93" s="86">
        <v>0</v>
      </c>
      <c r="H93" s="86">
        <v>0</v>
      </c>
      <c r="I93" s="86">
        <v>0</v>
      </c>
      <c r="J93" s="86">
        <v>0</v>
      </c>
      <c r="K93" s="86">
        <v>0</v>
      </c>
      <c r="L93" s="86">
        <v>0</v>
      </c>
      <c r="M93" s="86">
        <f t="shared" si="1"/>
        <v>0</v>
      </c>
    </row>
    <row r="94" spans="1:13" x14ac:dyDescent="0.25">
      <c r="A94" s="53">
        <v>92</v>
      </c>
      <c r="B94" s="53">
        <v>20010</v>
      </c>
      <c r="C94" s="38" t="s">
        <v>120</v>
      </c>
      <c r="D94" s="38" t="s">
        <v>69</v>
      </c>
      <c r="E94" s="37" t="s">
        <v>284</v>
      </c>
      <c r="F94" s="86">
        <v>24.855499999999981</v>
      </c>
      <c r="G94" s="86">
        <v>32.846954545454508</v>
      </c>
      <c r="H94" s="86">
        <v>44.646954545454506</v>
      </c>
      <c r="I94" s="86">
        <v>44.646954545454498</v>
      </c>
      <c r="J94" s="86">
        <v>47.084454545454498</v>
      </c>
      <c r="K94" s="86">
        <v>52.098740259740197</v>
      </c>
      <c r="L94" s="86">
        <v>72.648740259740194</v>
      </c>
      <c r="M94" s="86">
        <f t="shared" si="1"/>
        <v>318.82829870129837</v>
      </c>
    </row>
    <row r="95" spans="1:13" x14ac:dyDescent="0.25">
      <c r="A95" s="53">
        <v>93</v>
      </c>
      <c r="B95" s="53">
        <v>10199</v>
      </c>
      <c r="C95" s="38" t="s">
        <v>121</v>
      </c>
      <c r="D95" s="38" t="s">
        <v>443</v>
      </c>
      <c r="E95" s="37" t="s">
        <v>286</v>
      </c>
      <c r="F95" s="86">
        <v>0</v>
      </c>
      <c r="G95" s="86">
        <v>0</v>
      </c>
      <c r="H95" s="86">
        <v>0</v>
      </c>
      <c r="I95" s="86">
        <v>20.1264166666666</v>
      </c>
      <c r="J95" s="86">
        <v>45.770962121212101</v>
      </c>
      <c r="K95" s="86">
        <v>45.770962121212101</v>
      </c>
      <c r="L95" s="86">
        <v>74.309851010100999</v>
      </c>
      <c r="M95" s="86">
        <f t="shared" si="1"/>
        <v>185.9781919191918</v>
      </c>
    </row>
    <row r="96" spans="1:13" x14ac:dyDescent="0.25">
      <c r="A96" s="53">
        <v>94</v>
      </c>
      <c r="B96" s="53">
        <v>10407</v>
      </c>
      <c r="C96" s="38" t="s">
        <v>122</v>
      </c>
      <c r="D96" s="38" t="s">
        <v>441</v>
      </c>
      <c r="E96" s="37" t="s">
        <v>281</v>
      </c>
      <c r="F96" s="86">
        <v>0</v>
      </c>
      <c r="G96" s="86">
        <v>49.327272727272728</v>
      </c>
      <c r="H96" s="86">
        <v>134</v>
      </c>
      <c r="I96" s="86">
        <v>268.40027272727298</v>
      </c>
      <c r="J96" s="86">
        <v>425.77249494949501</v>
      </c>
      <c r="K96" s="86">
        <v>605.44124494949494</v>
      </c>
      <c r="L96" s="86">
        <v>1181.11981637807</v>
      </c>
      <c r="M96" s="86">
        <f t="shared" si="1"/>
        <v>2664.0611017316055</v>
      </c>
    </row>
    <row r="97" spans="1:13" x14ac:dyDescent="0.25">
      <c r="A97" s="53">
        <v>95</v>
      </c>
      <c r="B97" s="53">
        <v>10364</v>
      </c>
      <c r="C97" s="38" t="s">
        <v>124</v>
      </c>
      <c r="D97" s="38" t="s">
        <v>444</v>
      </c>
      <c r="E97" s="37" t="s">
        <v>279</v>
      </c>
      <c r="F97" s="86">
        <v>0</v>
      </c>
      <c r="G97" s="86">
        <v>0</v>
      </c>
      <c r="H97" s="86">
        <v>0</v>
      </c>
      <c r="I97" s="86">
        <v>0</v>
      </c>
      <c r="J97" s="86">
        <v>0</v>
      </c>
      <c r="K97" s="86">
        <v>0</v>
      </c>
      <c r="L97" s="86">
        <v>0</v>
      </c>
      <c r="M97" s="86">
        <f t="shared" si="1"/>
        <v>0</v>
      </c>
    </row>
    <row r="98" spans="1:13" x14ac:dyDescent="0.25">
      <c r="A98" s="53">
        <v>96</v>
      </c>
      <c r="B98" s="53">
        <v>10365</v>
      </c>
      <c r="C98" s="38" t="s">
        <v>125</v>
      </c>
      <c r="D98" s="38" t="s">
        <v>337</v>
      </c>
      <c r="E98" s="37" t="s">
        <v>281</v>
      </c>
      <c r="F98" s="86">
        <v>0</v>
      </c>
      <c r="G98" s="86">
        <v>0</v>
      </c>
      <c r="H98" s="86">
        <v>0</v>
      </c>
      <c r="I98" s="86">
        <v>0</v>
      </c>
      <c r="J98" s="86">
        <v>4.5816666666666697</v>
      </c>
      <c r="K98" s="86">
        <v>29.663484848484799</v>
      </c>
      <c r="L98" s="86">
        <v>54.915484848484802</v>
      </c>
      <c r="M98" s="86">
        <f t="shared" si="1"/>
        <v>89.160636363636272</v>
      </c>
    </row>
    <row r="99" spans="1:13" x14ac:dyDescent="0.25">
      <c r="A99" s="53">
        <v>97</v>
      </c>
      <c r="B99" s="53">
        <v>10326</v>
      </c>
      <c r="C99" s="38" t="s">
        <v>126</v>
      </c>
      <c r="D99" s="38" t="s">
        <v>113</v>
      </c>
      <c r="E99" s="37" t="s">
        <v>281</v>
      </c>
      <c r="F99" s="86">
        <v>0</v>
      </c>
      <c r="G99" s="86">
        <v>0</v>
      </c>
      <c r="H99" s="86">
        <v>23.192</v>
      </c>
      <c r="I99" s="86">
        <v>129.57755555555599</v>
      </c>
      <c r="J99" s="86">
        <v>197.06005555555501</v>
      </c>
      <c r="K99" s="86">
        <v>270.38719841269801</v>
      </c>
      <c r="L99" s="86">
        <v>366.31053174603198</v>
      </c>
      <c r="M99" s="86">
        <f t="shared" si="1"/>
        <v>986.52734126984103</v>
      </c>
    </row>
    <row r="100" spans="1:13" x14ac:dyDescent="0.25">
      <c r="A100" s="53">
        <v>98</v>
      </c>
      <c r="B100" s="53">
        <v>10328</v>
      </c>
      <c r="C100" s="38" t="s">
        <v>127</v>
      </c>
      <c r="D100" s="38" t="s">
        <v>444</v>
      </c>
      <c r="E100" s="37" t="s">
        <v>279</v>
      </c>
      <c r="F100" s="86">
        <v>0</v>
      </c>
      <c r="G100" s="86">
        <v>0</v>
      </c>
      <c r="H100" s="86">
        <v>0</v>
      </c>
      <c r="I100" s="86">
        <v>0</v>
      </c>
      <c r="J100" s="86">
        <v>0</v>
      </c>
      <c r="K100" s="86">
        <v>0</v>
      </c>
      <c r="L100" s="86">
        <v>0</v>
      </c>
      <c r="M100" s="86">
        <f t="shared" si="1"/>
        <v>0</v>
      </c>
    </row>
    <row r="101" spans="1:13" x14ac:dyDescent="0.25">
      <c r="A101" s="53">
        <v>99</v>
      </c>
      <c r="B101" s="53">
        <v>10216</v>
      </c>
      <c r="C101" s="38" t="s">
        <v>128</v>
      </c>
      <c r="D101" s="38" t="s">
        <v>62</v>
      </c>
      <c r="E101" s="37" t="s">
        <v>284</v>
      </c>
      <c r="F101" s="86">
        <v>0.76000000000000012</v>
      </c>
      <c r="G101" s="86">
        <v>7.5781818181818181</v>
      </c>
      <c r="H101" s="86">
        <v>7.5781818181818181</v>
      </c>
      <c r="I101" s="86">
        <v>7.5781818181818199</v>
      </c>
      <c r="J101" s="86">
        <v>7.5781818181818199</v>
      </c>
      <c r="K101" s="86">
        <v>7.5781818181818199</v>
      </c>
      <c r="L101" s="86">
        <v>7.5781818181818199</v>
      </c>
      <c r="M101" s="86">
        <f t="shared" si="1"/>
        <v>46.229090909090914</v>
      </c>
    </row>
    <row r="102" spans="1:13" x14ac:dyDescent="0.25">
      <c r="A102" s="53">
        <v>100</v>
      </c>
      <c r="B102" s="53">
        <v>10469</v>
      </c>
      <c r="C102" s="38" t="s">
        <v>130</v>
      </c>
      <c r="D102" s="38" t="s">
        <v>102</v>
      </c>
      <c r="E102" s="37" t="s">
        <v>286</v>
      </c>
      <c r="F102" s="86">
        <v>0</v>
      </c>
      <c r="G102" s="86">
        <v>0</v>
      </c>
      <c r="H102" s="86">
        <v>0</v>
      </c>
      <c r="I102" s="86">
        <v>0</v>
      </c>
      <c r="J102" s="86">
        <v>0</v>
      </c>
      <c r="K102" s="86">
        <v>0</v>
      </c>
      <c r="L102" s="86">
        <v>0</v>
      </c>
      <c r="M102" s="86">
        <f t="shared" si="1"/>
        <v>0</v>
      </c>
    </row>
    <row r="103" spans="1:13" x14ac:dyDescent="0.25">
      <c r="A103" s="53">
        <v>101</v>
      </c>
      <c r="B103" s="53">
        <v>10466</v>
      </c>
      <c r="C103" s="38" t="s">
        <v>131</v>
      </c>
      <c r="D103" s="38" t="s">
        <v>132</v>
      </c>
      <c r="E103" s="37" t="s">
        <v>286</v>
      </c>
      <c r="F103" s="86">
        <v>0</v>
      </c>
      <c r="G103" s="86">
        <v>0</v>
      </c>
      <c r="H103" s="86">
        <v>0</v>
      </c>
      <c r="I103" s="86">
        <v>0</v>
      </c>
      <c r="J103" s="86">
        <v>0</v>
      </c>
      <c r="K103" s="86">
        <v>0</v>
      </c>
      <c r="L103" s="86">
        <v>0</v>
      </c>
      <c r="M103" s="86">
        <f t="shared" si="1"/>
        <v>0</v>
      </c>
    </row>
    <row r="104" spans="1:13" x14ac:dyDescent="0.25">
      <c r="A104" s="53">
        <v>102</v>
      </c>
      <c r="B104" s="53">
        <v>10539</v>
      </c>
      <c r="C104" s="38" t="s">
        <v>185</v>
      </c>
      <c r="D104" s="38" t="s">
        <v>132</v>
      </c>
      <c r="E104" s="37" t="s">
        <v>278</v>
      </c>
      <c r="F104" s="86">
        <v>0</v>
      </c>
      <c r="G104" s="86">
        <v>0</v>
      </c>
      <c r="H104" s="86">
        <v>0</v>
      </c>
      <c r="I104" s="86">
        <v>0</v>
      </c>
      <c r="J104" s="86">
        <v>0</v>
      </c>
      <c r="K104" s="86">
        <v>0</v>
      </c>
      <c r="L104" s="86">
        <v>0</v>
      </c>
      <c r="M104" s="86">
        <f t="shared" si="1"/>
        <v>0</v>
      </c>
    </row>
    <row r="105" spans="1:13" x14ac:dyDescent="0.25">
      <c r="A105" s="53">
        <v>103</v>
      </c>
      <c r="B105" s="53">
        <v>10284</v>
      </c>
      <c r="C105" s="38" t="s">
        <v>133</v>
      </c>
      <c r="D105" s="38" t="s">
        <v>444</v>
      </c>
      <c r="E105" s="37" t="s">
        <v>279</v>
      </c>
      <c r="F105" s="86">
        <v>0</v>
      </c>
      <c r="G105" s="86">
        <v>0</v>
      </c>
      <c r="H105" s="86">
        <v>0</v>
      </c>
      <c r="I105" s="86">
        <v>0</v>
      </c>
      <c r="J105" s="86">
        <v>0</v>
      </c>
      <c r="K105" s="86">
        <v>0</v>
      </c>
      <c r="L105" s="86">
        <v>0</v>
      </c>
      <c r="M105" s="86">
        <f t="shared" si="1"/>
        <v>0</v>
      </c>
    </row>
    <row r="106" spans="1:13" x14ac:dyDescent="0.25">
      <c r="A106" s="53">
        <v>104</v>
      </c>
      <c r="B106" s="53">
        <v>10400</v>
      </c>
      <c r="C106" s="38" t="s">
        <v>134</v>
      </c>
      <c r="D106" s="38" t="s">
        <v>23</v>
      </c>
      <c r="E106" s="37" t="s">
        <v>279</v>
      </c>
      <c r="F106" s="86">
        <v>0</v>
      </c>
      <c r="G106" s="86">
        <v>0</v>
      </c>
      <c r="H106" s="86">
        <v>0</v>
      </c>
      <c r="I106" s="86">
        <v>0</v>
      </c>
      <c r="J106" s="86">
        <v>0</v>
      </c>
      <c r="K106" s="86">
        <v>0</v>
      </c>
      <c r="L106" s="86">
        <v>0</v>
      </c>
      <c r="M106" s="86">
        <f t="shared" si="1"/>
        <v>0</v>
      </c>
    </row>
    <row r="107" spans="1:13" x14ac:dyDescent="0.25">
      <c r="A107" s="53">
        <v>105</v>
      </c>
      <c r="B107" s="53">
        <v>10135</v>
      </c>
      <c r="C107" s="38" t="s">
        <v>135</v>
      </c>
      <c r="D107" s="38" t="s">
        <v>23</v>
      </c>
      <c r="E107" s="37" t="s">
        <v>279</v>
      </c>
      <c r="F107" s="86">
        <v>0</v>
      </c>
      <c r="G107" s="86">
        <v>0</v>
      </c>
      <c r="H107" s="86">
        <v>0</v>
      </c>
      <c r="I107" s="86">
        <v>0</v>
      </c>
      <c r="J107" s="86">
        <v>0</v>
      </c>
      <c r="K107" s="86">
        <v>0</v>
      </c>
      <c r="L107" s="86">
        <v>0</v>
      </c>
      <c r="M107" s="86">
        <f t="shared" si="1"/>
        <v>0</v>
      </c>
    </row>
    <row r="108" spans="1:13" x14ac:dyDescent="0.25">
      <c r="A108" s="53">
        <v>106</v>
      </c>
      <c r="B108" s="53">
        <v>10465</v>
      </c>
      <c r="C108" s="38" t="s">
        <v>136</v>
      </c>
      <c r="D108" s="38" t="s">
        <v>23</v>
      </c>
      <c r="E108" s="37" t="s">
        <v>279</v>
      </c>
      <c r="F108" s="86">
        <v>0</v>
      </c>
      <c r="G108" s="86">
        <v>0</v>
      </c>
      <c r="H108" s="86">
        <v>0</v>
      </c>
      <c r="I108" s="86">
        <v>0</v>
      </c>
      <c r="J108" s="86">
        <v>65.350833333333298</v>
      </c>
      <c r="K108" s="86">
        <v>116.90901515151501</v>
      </c>
      <c r="L108" s="86">
        <v>167.009015151515</v>
      </c>
      <c r="M108" s="86">
        <f t="shared" si="1"/>
        <v>349.26886363636333</v>
      </c>
    </row>
    <row r="109" spans="1:13" x14ac:dyDescent="0.25">
      <c r="A109" s="53">
        <v>107</v>
      </c>
      <c r="B109" s="53">
        <v>10460</v>
      </c>
      <c r="C109" s="38" t="s">
        <v>137</v>
      </c>
      <c r="D109" s="38" t="s">
        <v>23</v>
      </c>
      <c r="E109" s="37" t="s">
        <v>279</v>
      </c>
      <c r="F109" s="86">
        <v>0</v>
      </c>
      <c r="G109" s="86">
        <v>0</v>
      </c>
      <c r="H109" s="86">
        <v>0</v>
      </c>
      <c r="I109" s="86">
        <v>0</v>
      </c>
      <c r="J109" s="86">
        <v>0</v>
      </c>
      <c r="K109" s="86">
        <v>0</v>
      </c>
      <c r="L109" s="86">
        <v>0</v>
      </c>
      <c r="M109" s="86">
        <f t="shared" si="1"/>
        <v>0</v>
      </c>
    </row>
    <row r="110" spans="1:13" x14ac:dyDescent="0.25">
      <c r="A110" s="53">
        <v>108</v>
      </c>
      <c r="B110" s="53">
        <v>10519</v>
      </c>
      <c r="C110" s="38" t="s">
        <v>138</v>
      </c>
      <c r="D110" s="38" t="s">
        <v>23</v>
      </c>
      <c r="E110" s="37" t="s">
        <v>279</v>
      </c>
      <c r="F110" s="86">
        <v>0</v>
      </c>
      <c r="G110" s="86">
        <v>0</v>
      </c>
      <c r="H110" s="86">
        <v>0</v>
      </c>
      <c r="I110" s="86">
        <v>0</v>
      </c>
      <c r="J110" s="86">
        <v>0</v>
      </c>
      <c r="K110" s="86">
        <v>0</v>
      </c>
      <c r="L110" s="86">
        <v>0</v>
      </c>
      <c r="M110" s="86">
        <f t="shared" si="1"/>
        <v>0</v>
      </c>
    </row>
    <row r="111" spans="1:13" x14ac:dyDescent="0.25">
      <c r="A111" s="53">
        <v>109</v>
      </c>
      <c r="B111" s="53">
        <v>10226</v>
      </c>
      <c r="C111" s="38" t="s">
        <v>139</v>
      </c>
      <c r="D111" s="38" t="s">
        <v>69</v>
      </c>
      <c r="E111" s="37" t="s">
        <v>284</v>
      </c>
      <c r="F111" s="86">
        <v>0</v>
      </c>
      <c r="G111" s="86">
        <v>0</v>
      </c>
      <c r="H111" s="86">
        <v>0</v>
      </c>
      <c r="I111" s="86">
        <v>0</v>
      </c>
      <c r="J111" s="86">
        <v>0</v>
      </c>
      <c r="K111" s="86">
        <v>0</v>
      </c>
      <c r="L111" s="86">
        <v>0</v>
      </c>
      <c r="M111" s="86">
        <f t="shared" si="1"/>
        <v>0</v>
      </c>
    </row>
    <row r="112" spans="1:13" x14ac:dyDescent="0.25">
      <c r="A112" s="53">
        <v>110</v>
      </c>
      <c r="B112" s="53">
        <v>10393</v>
      </c>
      <c r="C112" s="38" t="s">
        <v>140</v>
      </c>
      <c r="D112" s="38" t="s">
        <v>69</v>
      </c>
      <c r="E112" s="37" t="s">
        <v>284</v>
      </c>
      <c r="F112" s="86">
        <v>0</v>
      </c>
      <c r="G112" s="86">
        <v>0</v>
      </c>
      <c r="H112" s="86">
        <v>0</v>
      </c>
      <c r="I112" s="86">
        <v>0</v>
      </c>
      <c r="J112" s="86">
        <v>0</v>
      </c>
      <c r="K112" s="86">
        <v>0</v>
      </c>
      <c r="L112" s="86">
        <v>0</v>
      </c>
      <c r="M112" s="86">
        <f t="shared" si="1"/>
        <v>0</v>
      </c>
    </row>
    <row r="113" spans="1:13" x14ac:dyDescent="0.25">
      <c r="A113" s="53">
        <v>111</v>
      </c>
      <c r="B113" s="53">
        <v>10394</v>
      </c>
      <c r="C113" s="38" t="s">
        <v>141</v>
      </c>
      <c r="D113" s="38" t="s">
        <v>69</v>
      </c>
      <c r="E113" s="37" t="s">
        <v>284</v>
      </c>
      <c r="F113" s="86">
        <v>0</v>
      </c>
      <c r="G113" s="86">
        <v>0</v>
      </c>
      <c r="H113" s="86">
        <v>0</v>
      </c>
      <c r="I113" s="86">
        <v>0</v>
      </c>
      <c r="J113" s="86">
        <v>0</v>
      </c>
      <c r="K113" s="86">
        <v>0</v>
      </c>
      <c r="L113" s="86">
        <v>0</v>
      </c>
      <c r="M113" s="86">
        <f t="shared" si="1"/>
        <v>0</v>
      </c>
    </row>
    <row r="114" spans="1:13" x14ac:dyDescent="0.25">
      <c r="A114" s="53">
        <v>112</v>
      </c>
      <c r="B114" s="53">
        <v>10330</v>
      </c>
      <c r="C114" s="38" t="s">
        <v>142</v>
      </c>
      <c r="D114" s="38" t="s">
        <v>109</v>
      </c>
      <c r="E114" s="37" t="s">
        <v>281</v>
      </c>
      <c r="F114" s="86">
        <v>0</v>
      </c>
      <c r="G114" s="86">
        <v>0</v>
      </c>
      <c r="H114" s="86">
        <v>0</v>
      </c>
      <c r="I114" s="86">
        <v>0</v>
      </c>
      <c r="J114" s="86">
        <v>0</v>
      </c>
      <c r="K114" s="86">
        <v>0</v>
      </c>
      <c r="L114" s="86">
        <v>0</v>
      </c>
      <c r="M114" s="86">
        <f t="shared" si="1"/>
        <v>0</v>
      </c>
    </row>
    <row r="115" spans="1:13" x14ac:dyDescent="0.25">
      <c r="A115" s="53">
        <v>113</v>
      </c>
      <c r="B115" s="53">
        <v>10526</v>
      </c>
      <c r="C115" s="38" t="s">
        <v>143</v>
      </c>
      <c r="D115" s="38" t="s">
        <v>99</v>
      </c>
      <c r="E115" s="37" t="s">
        <v>278</v>
      </c>
      <c r="F115" s="86">
        <v>0</v>
      </c>
      <c r="G115" s="86">
        <v>0</v>
      </c>
      <c r="H115" s="86">
        <v>0</v>
      </c>
      <c r="I115" s="86">
        <v>0</v>
      </c>
      <c r="J115" s="86">
        <v>0</v>
      </c>
      <c r="K115" s="86">
        <v>0</v>
      </c>
      <c r="L115" s="86">
        <v>0</v>
      </c>
      <c r="M115" s="86">
        <f t="shared" si="1"/>
        <v>0</v>
      </c>
    </row>
    <row r="116" spans="1:13" x14ac:dyDescent="0.25">
      <c r="A116" s="53">
        <v>114</v>
      </c>
      <c r="B116" s="53">
        <v>10289</v>
      </c>
      <c r="C116" s="38" t="s">
        <v>145</v>
      </c>
      <c r="D116" s="38" t="s">
        <v>146</v>
      </c>
      <c r="E116" s="37" t="s">
        <v>280</v>
      </c>
      <c r="F116" s="86">
        <v>0</v>
      </c>
      <c r="G116" s="86">
        <v>0</v>
      </c>
      <c r="H116" s="86">
        <v>0</v>
      </c>
      <c r="I116" s="86">
        <v>0</v>
      </c>
      <c r="J116" s="86">
        <v>0</v>
      </c>
      <c r="K116" s="86">
        <v>0</v>
      </c>
      <c r="L116" s="86">
        <v>0</v>
      </c>
      <c r="M116" s="86">
        <f t="shared" si="1"/>
        <v>0</v>
      </c>
    </row>
    <row r="117" spans="1:13" x14ac:dyDescent="0.25">
      <c r="A117" s="53">
        <v>115</v>
      </c>
      <c r="B117" s="53">
        <v>10352</v>
      </c>
      <c r="C117" s="38" t="s">
        <v>147</v>
      </c>
      <c r="D117" s="38" t="s">
        <v>148</v>
      </c>
      <c r="E117" s="37" t="s">
        <v>280</v>
      </c>
      <c r="F117" s="86">
        <v>0</v>
      </c>
      <c r="G117" s="86">
        <v>0</v>
      </c>
      <c r="H117" s="86">
        <v>0</v>
      </c>
      <c r="I117" s="86">
        <v>0</v>
      </c>
      <c r="J117" s="86">
        <v>0</v>
      </c>
      <c r="K117" s="86">
        <v>0</v>
      </c>
      <c r="L117" s="86">
        <v>0</v>
      </c>
      <c r="M117" s="86">
        <f t="shared" si="1"/>
        <v>0</v>
      </c>
    </row>
    <row r="118" spans="1:13" x14ac:dyDescent="0.25">
      <c r="A118" s="53">
        <v>116</v>
      </c>
      <c r="B118" s="53">
        <v>10290</v>
      </c>
      <c r="C118" s="38" t="s">
        <v>151</v>
      </c>
      <c r="D118" s="38" t="s">
        <v>152</v>
      </c>
      <c r="E118" s="37" t="s">
        <v>283</v>
      </c>
      <c r="F118" s="86">
        <v>71.719166666666666</v>
      </c>
      <c r="G118" s="86">
        <v>163.76462121212123</v>
      </c>
      <c r="H118" s="86">
        <v>303.60762121212122</v>
      </c>
      <c r="I118" s="86">
        <v>307.24317676767703</v>
      </c>
      <c r="J118" s="86">
        <v>312.43692676767699</v>
      </c>
      <c r="K118" s="86">
        <v>422.23121248196202</v>
      </c>
      <c r="L118" s="86">
        <v>688.11954581529596</v>
      </c>
      <c r="M118" s="86">
        <f t="shared" si="1"/>
        <v>2269.1222709235212</v>
      </c>
    </row>
    <row r="119" spans="1:13" x14ac:dyDescent="0.25">
      <c r="A119" s="53">
        <v>117</v>
      </c>
      <c r="B119" s="53">
        <v>10291</v>
      </c>
      <c r="C119" s="38" t="s">
        <v>153</v>
      </c>
      <c r="D119" s="38" t="s">
        <v>51</v>
      </c>
      <c r="E119" s="37" t="s">
        <v>288</v>
      </c>
      <c r="F119" s="86">
        <v>262.60000000000002</v>
      </c>
      <c r="G119" s="86">
        <v>271.54545454545456</v>
      </c>
      <c r="H119" s="86">
        <v>271.5454545454545</v>
      </c>
      <c r="I119" s="86">
        <v>271.54545454545502</v>
      </c>
      <c r="J119" s="86">
        <v>271.54545454545502</v>
      </c>
      <c r="K119" s="86">
        <v>271.54545454545399</v>
      </c>
      <c r="L119" s="86">
        <v>271.54545454545399</v>
      </c>
      <c r="M119" s="86">
        <f t="shared" si="1"/>
        <v>1891.8727272727272</v>
      </c>
    </row>
    <row r="120" spans="1:13" x14ac:dyDescent="0.25">
      <c r="A120" s="53">
        <v>118</v>
      </c>
      <c r="B120" s="53">
        <v>10389</v>
      </c>
      <c r="C120" s="38" t="s">
        <v>154</v>
      </c>
      <c r="D120" s="38" t="s">
        <v>51</v>
      </c>
      <c r="E120" s="37" t="s">
        <v>288</v>
      </c>
      <c r="F120" s="86">
        <v>0</v>
      </c>
      <c r="G120" s="86">
        <v>0</v>
      </c>
      <c r="H120" s="86">
        <v>0</v>
      </c>
      <c r="I120" s="86">
        <v>0</v>
      </c>
      <c r="J120" s="86">
        <v>0</v>
      </c>
      <c r="K120" s="86">
        <v>0</v>
      </c>
      <c r="L120" s="86">
        <v>0</v>
      </c>
      <c r="M120" s="86">
        <f t="shared" si="1"/>
        <v>0</v>
      </c>
    </row>
    <row r="121" spans="1:13" x14ac:dyDescent="0.25">
      <c r="A121" s="53">
        <v>119</v>
      </c>
      <c r="B121" s="53">
        <v>10482</v>
      </c>
      <c r="C121" s="38" t="s">
        <v>155</v>
      </c>
      <c r="D121" s="38" t="s">
        <v>156</v>
      </c>
      <c r="E121" s="37" t="s">
        <v>288</v>
      </c>
      <c r="F121" s="86">
        <v>1903.875</v>
      </c>
      <c r="G121" s="86">
        <v>2049.375</v>
      </c>
      <c r="H121" s="86">
        <v>2049.375</v>
      </c>
      <c r="I121" s="86">
        <v>2049.375</v>
      </c>
      <c r="J121" s="86">
        <v>2049.375</v>
      </c>
      <c r="K121" s="86">
        <v>2049.375</v>
      </c>
      <c r="L121" s="86">
        <v>2049.375</v>
      </c>
      <c r="M121" s="86">
        <f t="shared" si="1"/>
        <v>14200.125</v>
      </c>
    </row>
    <row r="122" spans="1:13" x14ac:dyDescent="0.25">
      <c r="A122" s="53">
        <v>120</v>
      </c>
      <c r="B122" s="53">
        <v>20005</v>
      </c>
      <c r="C122" s="38" t="s">
        <v>157</v>
      </c>
      <c r="D122" s="38" t="s">
        <v>158</v>
      </c>
      <c r="E122" s="37" t="s">
        <v>289</v>
      </c>
      <c r="F122" s="86">
        <v>3921.2566666666667</v>
      </c>
      <c r="G122" s="86">
        <v>4021.2566666666667</v>
      </c>
      <c r="H122" s="86">
        <v>4021.2566666666667</v>
      </c>
      <c r="I122" s="86">
        <v>4021.2566666666698</v>
      </c>
      <c r="J122" s="86">
        <v>4021.2566666666698</v>
      </c>
      <c r="K122" s="86">
        <v>4021.2566666666698</v>
      </c>
      <c r="L122" s="86">
        <v>4021.2566666666698</v>
      </c>
      <c r="M122" s="86">
        <f t="shared" si="1"/>
        <v>28048.796666666676</v>
      </c>
    </row>
    <row r="123" spans="1:13" x14ac:dyDescent="0.25">
      <c r="A123" s="53">
        <v>121</v>
      </c>
      <c r="B123" s="53">
        <v>20062</v>
      </c>
      <c r="C123" s="38" t="s">
        <v>159</v>
      </c>
      <c r="D123" s="38" t="s">
        <v>445</v>
      </c>
      <c r="E123" s="37" t="s">
        <v>291</v>
      </c>
      <c r="F123" s="86">
        <v>9.1666666666666661</v>
      </c>
      <c r="G123" s="86">
        <v>13.712121212121213</v>
      </c>
      <c r="H123" s="86">
        <v>13.712121212121213</v>
      </c>
      <c r="I123" s="86">
        <v>124.82323232323201</v>
      </c>
      <c r="J123" s="86">
        <v>124.82323232323201</v>
      </c>
      <c r="K123" s="86">
        <v>124.82323232323201</v>
      </c>
      <c r="L123" s="86">
        <v>124.82323232323201</v>
      </c>
      <c r="M123" s="86">
        <f t="shared" si="1"/>
        <v>535.88383838383709</v>
      </c>
    </row>
    <row r="124" spans="1:13" x14ac:dyDescent="0.25">
      <c r="A124" s="53">
        <v>122</v>
      </c>
      <c r="B124" s="53">
        <v>20007</v>
      </c>
      <c r="C124" s="38" t="s">
        <v>160</v>
      </c>
      <c r="D124" s="38" t="s">
        <v>446</v>
      </c>
      <c r="E124" s="37" t="s">
        <v>290</v>
      </c>
      <c r="F124" s="86">
        <v>8036.0266666666676</v>
      </c>
      <c r="G124" s="86">
        <v>8286.0266666666666</v>
      </c>
      <c r="H124" s="86">
        <v>8286.0266666666685</v>
      </c>
      <c r="I124" s="86">
        <v>8286.0266666666703</v>
      </c>
      <c r="J124" s="86">
        <v>8286.0266666666703</v>
      </c>
      <c r="K124" s="86">
        <v>8286.0266666666703</v>
      </c>
      <c r="L124" s="86">
        <v>8286.0266666666594</v>
      </c>
      <c r="M124" s="86">
        <f t="shared" si="1"/>
        <v>57752.186666666676</v>
      </c>
    </row>
    <row r="125" spans="1:13" x14ac:dyDescent="0.25">
      <c r="A125" s="53">
        <v>123</v>
      </c>
      <c r="B125" s="53">
        <v>20066</v>
      </c>
      <c r="C125" s="38" t="s">
        <v>161</v>
      </c>
      <c r="D125" s="38" t="s">
        <v>162</v>
      </c>
      <c r="E125" s="37" t="s">
        <v>290</v>
      </c>
      <c r="F125" s="86">
        <v>64.352345833333288</v>
      </c>
      <c r="G125" s="86">
        <v>69.394904924242326</v>
      </c>
      <c r="H125" s="86">
        <v>459.66490492424236</v>
      </c>
      <c r="I125" s="86">
        <v>459.66490492424202</v>
      </c>
      <c r="J125" s="86">
        <v>459.66490492424202</v>
      </c>
      <c r="K125" s="86">
        <v>459.66490492424202</v>
      </c>
      <c r="L125" s="86">
        <v>459.66490492424299</v>
      </c>
      <c r="M125" s="86">
        <f t="shared" si="1"/>
        <v>2432.0717753787867</v>
      </c>
    </row>
    <row r="126" spans="1:13" x14ac:dyDescent="0.25">
      <c r="A126" s="53">
        <v>124</v>
      </c>
      <c r="B126" s="53">
        <v>20011</v>
      </c>
      <c r="C126" s="38" t="s">
        <v>163</v>
      </c>
      <c r="D126" s="38" t="s">
        <v>164</v>
      </c>
      <c r="E126" s="37" t="s">
        <v>290</v>
      </c>
      <c r="F126" s="86">
        <v>33.731666666666669</v>
      </c>
      <c r="G126" s="86">
        <v>38.500757575757575</v>
      </c>
      <c r="H126" s="86">
        <v>38.500757575757575</v>
      </c>
      <c r="I126" s="86">
        <v>38.500757575757603</v>
      </c>
      <c r="J126" s="86">
        <v>38.500757575757603</v>
      </c>
      <c r="K126" s="86">
        <v>38.500757575757603</v>
      </c>
      <c r="L126" s="86">
        <v>38.500757575757603</v>
      </c>
      <c r="M126" s="86">
        <f t="shared" si="1"/>
        <v>264.73621212121225</v>
      </c>
    </row>
    <row r="127" spans="1:13" x14ac:dyDescent="0.25">
      <c r="A127" s="53">
        <v>125</v>
      </c>
      <c r="B127" s="53">
        <v>10401</v>
      </c>
      <c r="C127" s="38" t="s">
        <v>165</v>
      </c>
      <c r="D127" s="38" t="s">
        <v>166</v>
      </c>
      <c r="E127" s="37" t="s">
        <v>291</v>
      </c>
      <c r="F127" s="86">
        <v>22700</v>
      </c>
      <c r="G127" s="86">
        <v>22700</v>
      </c>
      <c r="H127" s="86">
        <v>35460</v>
      </c>
      <c r="I127" s="86">
        <v>35460</v>
      </c>
      <c r="J127" s="86">
        <v>35460</v>
      </c>
      <c r="K127" s="86">
        <v>35460</v>
      </c>
      <c r="L127" s="86">
        <v>35460</v>
      </c>
      <c r="M127" s="86">
        <f t="shared" si="1"/>
        <v>222700</v>
      </c>
    </row>
    <row r="128" spans="1:13" x14ac:dyDescent="0.25">
      <c r="A128" s="53">
        <v>126</v>
      </c>
      <c r="B128" s="53">
        <v>20060</v>
      </c>
      <c r="C128" s="38" t="s">
        <v>167</v>
      </c>
      <c r="D128" s="38" t="s">
        <v>170</v>
      </c>
      <c r="E128" s="37" t="s">
        <v>291</v>
      </c>
      <c r="F128" s="86">
        <v>2700</v>
      </c>
      <c r="G128" s="86">
        <v>4900</v>
      </c>
      <c r="H128" s="86">
        <v>4880</v>
      </c>
      <c r="I128" s="86">
        <v>4902.2222222222199</v>
      </c>
      <c r="J128" s="86">
        <v>4902.2222222222199</v>
      </c>
      <c r="K128" s="86">
        <v>4902.2222222222199</v>
      </c>
      <c r="L128" s="86">
        <v>4902.2222222222199</v>
      </c>
      <c r="M128" s="86">
        <f t="shared" si="1"/>
        <v>32088.888888888876</v>
      </c>
    </row>
    <row r="129" spans="1:13" x14ac:dyDescent="0.25">
      <c r="A129" s="53">
        <v>127</v>
      </c>
      <c r="B129" s="53">
        <v>10382</v>
      </c>
      <c r="C129" s="38" t="s">
        <v>169</v>
      </c>
      <c r="D129" s="38" t="s">
        <v>658</v>
      </c>
      <c r="E129" s="37" t="s">
        <v>291</v>
      </c>
      <c r="F129" s="86">
        <v>9300</v>
      </c>
      <c r="G129" s="86">
        <v>14613.6363636364</v>
      </c>
      <c r="H129" s="86">
        <v>14561.363636363636</v>
      </c>
      <c r="I129" s="86">
        <v>14619.4444444444</v>
      </c>
      <c r="J129" s="86">
        <v>14619.4444444444</v>
      </c>
      <c r="K129" s="86">
        <v>14619.4444444445</v>
      </c>
      <c r="L129" s="86">
        <v>14619.4444444444</v>
      </c>
      <c r="M129" s="86">
        <f t="shared" si="1"/>
        <v>96952.777777777723</v>
      </c>
    </row>
    <row r="130" spans="1:13" x14ac:dyDescent="0.25">
      <c r="A130" s="53">
        <v>128</v>
      </c>
      <c r="B130" s="53">
        <v>20064</v>
      </c>
      <c r="C130" s="38" t="s">
        <v>171</v>
      </c>
      <c r="D130" s="38" t="s">
        <v>170</v>
      </c>
      <c r="E130" s="37" t="s">
        <v>291</v>
      </c>
      <c r="F130" s="86">
        <v>2700</v>
      </c>
      <c r="G130" s="86">
        <v>4900</v>
      </c>
      <c r="H130" s="86">
        <v>4880</v>
      </c>
      <c r="I130" s="86">
        <v>4902.2222222222199</v>
      </c>
      <c r="J130" s="86">
        <v>4902.2222222222199</v>
      </c>
      <c r="K130" s="86">
        <v>4902.2222222222199</v>
      </c>
      <c r="L130" s="86">
        <v>4902.2222222222199</v>
      </c>
      <c r="M130" s="86">
        <f t="shared" si="1"/>
        <v>32088.888888888876</v>
      </c>
    </row>
    <row r="131" spans="1:13" x14ac:dyDescent="0.25">
      <c r="A131" s="53">
        <v>129</v>
      </c>
      <c r="B131" s="53">
        <v>20057</v>
      </c>
      <c r="C131" s="38" t="s">
        <v>172</v>
      </c>
      <c r="D131" s="38" t="s">
        <v>658</v>
      </c>
      <c r="E131" s="37" t="s">
        <v>291</v>
      </c>
      <c r="F131" s="86">
        <v>9300</v>
      </c>
      <c r="G131" s="86">
        <v>14613.6363636364</v>
      </c>
      <c r="H131" s="86">
        <v>14561.363636363636</v>
      </c>
      <c r="I131" s="86">
        <v>14619.4444444444</v>
      </c>
      <c r="J131" s="86">
        <v>14619.4444444444</v>
      </c>
      <c r="K131" s="86">
        <v>14619.4444444445</v>
      </c>
      <c r="L131" s="86">
        <v>14619.4444444444</v>
      </c>
      <c r="M131" s="86">
        <f t="shared" si="1"/>
        <v>96952.777777777723</v>
      </c>
    </row>
    <row r="132" spans="1:13" x14ac:dyDescent="0.25">
      <c r="A132" s="53">
        <v>130</v>
      </c>
      <c r="B132" s="53">
        <v>10506</v>
      </c>
      <c r="C132" s="38" t="s">
        <v>173</v>
      </c>
      <c r="D132" s="38" t="s">
        <v>170</v>
      </c>
      <c r="E132" s="37" t="s">
        <v>291</v>
      </c>
      <c r="F132" s="86">
        <v>2150</v>
      </c>
      <c r="G132" s="86">
        <v>4350</v>
      </c>
      <c r="H132" s="86">
        <v>4330</v>
      </c>
      <c r="I132" s="86">
        <v>4352.2222222222199</v>
      </c>
      <c r="J132" s="86">
        <v>4352.2222222222199</v>
      </c>
      <c r="K132" s="86">
        <v>4352.2222222222199</v>
      </c>
      <c r="L132" s="86">
        <v>4352.2222222222199</v>
      </c>
      <c r="M132" s="86">
        <f t="shared" ref="M132:M195" si="2">SUM(F132:L132)</f>
        <v>28238.888888888876</v>
      </c>
    </row>
    <row r="133" spans="1:13" x14ac:dyDescent="0.25">
      <c r="A133" s="53">
        <v>131</v>
      </c>
      <c r="B133" s="53">
        <v>10508</v>
      </c>
      <c r="C133" s="38" t="s">
        <v>174</v>
      </c>
      <c r="D133" s="38" t="s">
        <v>168</v>
      </c>
      <c r="E133" s="37" t="s">
        <v>291</v>
      </c>
      <c r="F133" s="86">
        <v>0</v>
      </c>
      <c r="G133" s="86">
        <v>183.333333333333</v>
      </c>
      <c r="H133" s="86">
        <v>230</v>
      </c>
      <c r="I133" s="86">
        <v>233.666666666667</v>
      </c>
      <c r="J133" s="86">
        <v>233.666666666667</v>
      </c>
      <c r="K133" s="86">
        <v>233.666666666667</v>
      </c>
      <c r="L133" s="86">
        <v>233.666666666667</v>
      </c>
      <c r="M133" s="86">
        <f t="shared" si="2"/>
        <v>1348.0000000000009</v>
      </c>
    </row>
    <row r="134" spans="1:13" x14ac:dyDescent="0.25">
      <c r="A134" s="53">
        <v>132</v>
      </c>
      <c r="B134" s="53">
        <v>10454</v>
      </c>
      <c r="C134" s="38" t="s">
        <v>176</v>
      </c>
      <c r="D134" s="38" t="s">
        <v>69</v>
      </c>
      <c r="E134" s="37" t="s">
        <v>284</v>
      </c>
      <c r="F134" s="86">
        <v>0</v>
      </c>
      <c r="G134" s="86">
        <v>0</v>
      </c>
      <c r="H134" s="86">
        <v>0</v>
      </c>
      <c r="I134" s="86">
        <v>0</v>
      </c>
      <c r="J134" s="86">
        <v>0</v>
      </c>
      <c r="K134" s="86">
        <v>0</v>
      </c>
      <c r="L134" s="86">
        <v>0</v>
      </c>
      <c r="M134" s="86">
        <f t="shared" si="2"/>
        <v>0</v>
      </c>
    </row>
    <row r="135" spans="1:13" x14ac:dyDescent="0.25">
      <c r="A135" s="53">
        <v>133</v>
      </c>
      <c r="B135" s="53">
        <v>10461</v>
      </c>
      <c r="C135" s="38" t="s">
        <v>177</v>
      </c>
      <c r="D135" s="38" t="s">
        <v>69</v>
      </c>
      <c r="E135" s="37" t="s">
        <v>284</v>
      </c>
      <c r="F135" s="86">
        <v>0</v>
      </c>
      <c r="G135" s="86">
        <v>0</v>
      </c>
      <c r="H135" s="86">
        <v>0</v>
      </c>
      <c r="I135" s="86">
        <v>0</v>
      </c>
      <c r="J135" s="86">
        <v>0</v>
      </c>
      <c r="K135" s="86">
        <v>0</v>
      </c>
      <c r="L135" s="86">
        <v>0</v>
      </c>
      <c r="M135" s="86">
        <f t="shared" si="2"/>
        <v>0</v>
      </c>
    </row>
    <row r="136" spans="1:13" x14ac:dyDescent="0.25">
      <c r="A136" s="53">
        <v>134</v>
      </c>
      <c r="B136" s="53">
        <v>10366</v>
      </c>
      <c r="C136" s="38" t="s">
        <v>178</v>
      </c>
      <c r="D136" s="38" t="s">
        <v>69</v>
      </c>
      <c r="E136" s="37" t="s">
        <v>284</v>
      </c>
      <c r="F136" s="86">
        <v>0</v>
      </c>
      <c r="G136" s="86">
        <v>0</v>
      </c>
      <c r="H136" s="86">
        <v>0</v>
      </c>
      <c r="I136" s="86">
        <v>0</v>
      </c>
      <c r="J136" s="86">
        <v>0</v>
      </c>
      <c r="K136" s="86">
        <v>45.885666666666701</v>
      </c>
      <c r="L136" s="86">
        <v>84.585666666666697</v>
      </c>
      <c r="M136" s="86">
        <f t="shared" si="2"/>
        <v>130.4713333333334</v>
      </c>
    </row>
    <row r="137" spans="1:13" x14ac:dyDescent="0.25">
      <c r="A137" s="53">
        <v>135</v>
      </c>
      <c r="B137" s="53">
        <v>10386</v>
      </c>
      <c r="C137" s="38" t="s">
        <v>179</v>
      </c>
      <c r="D137" s="38" t="s">
        <v>69</v>
      </c>
      <c r="E137" s="37" t="s">
        <v>284</v>
      </c>
      <c r="F137" s="86">
        <v>0</v>
      </c>
      <c r="G137" s="86">
        <v>0</v>
      </c>
      <c r="H137" s="86">
        <v>0</v>
      </c>
      <c r="I137" s="86">
        <v>0</v>
      </c>
      <c r="J137" s="86">
        <v>0</v>
      </c>
      <c r="K137" s="86">
        <v>0</v>
      </c>
      <c r="L137" s="86">
        <v>0</v>
      </c>
      <c r="M137" s="86">
        <f t="shared" si="2"/>
        <v>0</v>
      </c>
    </row>
    <row r="138" spans="1:13" x14ac:dyDescent="0.25">
      <c r="A138" s="53">
        <v>136</v>
      </c>
      <c r="B138" s="53">
        <v>20031</v>
      </c>
      <c r="C138" s="38" t="s">
        <v>180</v>
      </c>
      <c r="D138" s="38" t="s">
        <v>181</v>
      </c>
      <c r="E138" s="37" t="s">
        <v>284</v>
      </c>
      <c r="F138" s="86">
        <v>0</v>
      </c>
      <c r="G138" s="86">
        <v>0</v>
      </c>
      <c r="H138" s="86">
        <v>0</v>
      </c>
      <c r="I138" s="86">
        <v>0</v>
      </c>
      <c r="J138" s="86">
        <v>0</v>
      </c>
      <c r="K138" s="86">
        <v>0</v>
      </c>
      <c r="L138" s="86">
        <v>0</v>
      </c>
      <c r="M138" s="86">
        <f t="shared" si="2"/>
        <v>0</v>
      </c>
    </row>
    <row r="139" spans="1:13" x14ac:dyDescent="0.25">
      <c r="A139" s="53">
        <v>137</v>
      </c>
      <c r="B139" s="53">
        <v>50004</v>
      </c>
      <c r="C139" s="38" t="s">
        <v>182</v>
      </c>
      <c r="D139" s="38" t="s">
        <v>53</v>
      </c>
      <c r="E139" s="37" t="s">
        <v>275</v>
      </c>
      <c r="F139" s="86">
        <v>0</v>
      </c>
      <c r="G139" s="86">
        <v>0</v>
      </c>
      <c r="H139" s="86">
        <v>0</v>
      </c>
      <c r="I139" s="86">
        <v>0</v>
      </c>
      <c r="J139" s="86">
        <v>0</v>
      </c>
      <c r="K139" s="86">
        <v>0</v>
      </c>
      <c r="L139" s="86">
        <v>0</v>
      </c>
      <c r="M139" s="86">
        <f t="shared" si="2"/>
        <v>0</v>
      </c>
    </row>
    <row r="140" spans="1:13" x14ac:dyDescent="0.25">
      <c r="A140" s="53">
        <v>138</v>
      </c>
      <c r="B140" s="53">
        <v>10205</v>
      </c>
      <c r="C140" s="38" t="s">
        <v>183</v>
      </c>
      <c r="D140" s="38" t="s">
        <v>184</v>
      </c>
      <c r="E140" s="37" t="s">
        <v>287</v>
      </c>
      <c r="F140" s="86">
        <v>2947.5</v>
      </c>
      <c r="G140" s="86">
        <v>3097.5</v>
      </c>
      <c r="H140" s="86">
        <v>3097.5</v>
      </c>
      <c r="I140" s="86">
        <v>3097.5</v>
      </c>
      <c r="J140" s="86">
        <v>3097.5</v>
      </c>
      <c r="K140" s="86">
        <v>3097.5</v>
      </c>
      <c r="L140" s="86">
        <v>3097.5</v>
      </c>
      <c r="M140" s="86">
        <f t="shared" si="2"/>
        <v>21532.5</v>
      </c>
    </row>
    <row r="141" spans="1:13" x14ac:dyDescent="0.25">
      <c r="A141" s="53">
        <v>139</v>
      </c>
      <c r="B141" s="53">
        <v>10524</v>
      </c>
      <c r="C141" s="38" t="s">
        <v>186</v>
      </c>
      <c r="D141" s="38" t="s">
        <v>447</v>
      </c>
      <c r="E141" s="37" t="s">
        <v>287</v>
      </c>
      <c r="F141" s="86">
        <v>0</v>
      </c>
      <c r="G141" s="86">
        <v>0</v>
      </c>
      <c r="H141" s="86">
        <v>0</v>
      </c>
      <c r="I141" s="86">
        <v>0</v>
      </c>
      <c r="J141" s="86">
        <v>0</v>
      </c>
      <c r="K141" s="86">
        <v>0</v>
      </c>
      <c r="L141" s="86">
        <v>0</v>
      </c>
      <c r="M141" s="86">
        <f t="shared" si="2"/>
        <v>0</v>
      </c>
    </row>
    <row r="142" spans="1:13" x14ac:dyDescent="0.25">
      <c r="A142" s="53">
        <v>140</v>
      </c>
      <c r="B142" s="53">
        <v>10505</v>
      </c>
      <c r="C142" s="38" t="s">
        <v>187</v>
      </c>
      <c r="D142" s="38" t="s">
        <v>188</v>
      </c>
      <c r="E142" s="37" t="s">
        <v>287</v>
      </c>
      <c r="F142" s="86">
        <v>0</v>
      </c>
      <c r="G142" s="86">
        <v>0</v>
      </c>
      <c r="H142" s="86">
        <v>0</v>
      </c>
      <c r="I142" s="86">
        <v>0</v>
      </c>
      <c r="J142" s="86">
        <v>0.64333333333333298</v>
      </c>
      <c r="K142" s="86">
        <v>70.143333333333302</v>
      </c>
      <c r="L142" s="86">
        <v>139.66833333333301</v>
      </c>
      <c r="M142" s="86">
        <f t="shared" si="2"/>
        <v>210.45499999999964</v>
      </c>
    </row>
    <row r="143" spans="1:13" x14ac:dyDescent="0.25">
      <c r="A143" s="53">
        <v>141</v>
      </c>
      <c r="B143" s="53">
        <v>10419</v>
      </c>
      <c r="C143" s="38" t="s">
        <v>189</v>
      </c>
      <c r="D143" s="38" t="s">
        <v>190</v>
      </c>
      <c r="E143" s="37" t="s">
        <v>287</v>
      </c>
      <c r="F143" s="86">
        <v>220.41</v>
      </c>
      <c r="G143" s="86">
        <v>331.86181818181819</v>
      </c>
      <c r="H143" s="86">
        <v>437.19681818181817</v>
      </c>
      <c r="I143" s="86">
        <v>544.76459595959602</v>
      </c>
      <c r="J143" s="86">
        <v>1760.3283459596</v>
      </c>
      <c r="K143" s="86">
        <v>5123.3897745310196</v>
      </c>
      <c r="L143" s="86">
        <v>7328.7431078643604</v>
      </c>
      <c r="M143" s="86">
        <f t="shared" si="2"/>
        <v>15746.694460678213</v>
      </c>
    </row>
    <row r="144" spans="1:13" x14ac:dyDescent="0.25">
      <c r="A144" s="53">
        <v>142</v>
      </c>
      <c r="B144" s="53">
        <v>10551</v>
      </c>
      <c r="C144" s="38" t="s">
        <v>325</v>
      </c>
      <c r="D144" s="38" t="s">
        <v>448</v>
      </c>
      <c r="E144" s="37" t="s">
        <v>291</v>
      </c>
      <c r="F144" s="86">
        <v>0</v>
      </c>
      <c r="G144" s="86">
        <v>0</v>
      </c>
      <c r="H144" s="86">
        <v>0</v>
      </c>
      <c r="I144" s="86">
        <v>0</v>
      </c>
      <c r="J144" s="86">
        <v>0</v>
      </c>
      <c r="K144" s="86">
        <v>0</v>
      </c>
      <c r="L144" s="86">
        <v>0</v>
      </c>
      <c r="M144" s="86">
        <f t="shared" si="2"/>
        <v>0</v>
      </c>
    </row>
    <row r="145" spans="1:13" x14ac:dyDescent="0.25">
      <c r="A145" s="53">
        <v>143</v>
      </c>
      <c r="B145" s="53">
        <v>10553</v>
      </c>
      <c r="C145" s="38" t="s">
        <v>326</v>
      </c>
      <c r="D145" s="38" t="s">
        <v>23</v>
      </c>
      <c r="E145" s="37" t="s">
        <v>279</v>
      </c>
      <c r="F145" s="86">
        <v>0</v>
      </c>
      <c r="G145" s="86">
        <v>0</v>
      </c>
      <c r="H145" s="86">
        <v>0</v>
      </c>
      <c r="I145" s="86">
        <v>0</v>
      </c>
      <c r="J145" s="86">
        <v>0</v>
      </c>
      <c r="K145" s="86">
        <v>0</v>
      </c>
      <c r="L145" s="86">
        <v>0</v>
      </c>
      <c r="M145" s="86">
        <f t="shared" si="2"/>
        <v>0</v>
      </c>
    </row>
    <row r="146" spans="1:13" x14ac:dyDescent="0.25">
      <c r="A146" s="53">
        <v>144</v>
      </c>
      <c r="B146" s="53">
        <v>10554</v>
      </c>
      <c r="C146" s="38" t="s">
        <v>327</v>
      </c>
      <c r="D146" s="38" t="s">
        <v>23</v>
      </c>
      <c r="E146" s="37" t="s">
        <v>279</v>
      </c>
      <c r="F146" s="86">
        <v>0</v>
      </c>
      <c r="G146" s="86">
        <v>0</v>
      </c>
      <c r="H146" s="86">
        <v>0</v>
      </c>
      <c r="I146" s="86">
        <v>0</v>
      </c>
      <c r="J146" s="86">
        <v>0</v>
      </c>
      <c r="K146" s="86">
        <v>0</v>
      </c>
      <c r="L146" s="86">
        <v>0</v>
      </c>
      <c r="M146" s="86">
        <f t="shared" si="2"/>
        <v>0</v>
      </c>
    </row>
    <row r="147" spans="1:13" x14ac:dyDescent="0.25">
      <c r="A147" s="53">
        <v>145</v>
      </c>
      <c r="B147" s="53">
        <v>10558</v>
      </c>
      <c r="C147" s="38" t="s">
        <v>355</v>
      </c>
      <c r="D147" s="38" t="s">
        <v>331</v>
      </c>
      <c r="E147" s="37" t="s">
        <v>332</v>
      </c>
      <c r="F147" s="86">
        <v>9300</v>
      </c>
      <c r="G147" s="86">
        <v>9300</v>
      </c>
      <c r="H147" s="86">
        <v>9627.14</v>
      </c>
      <c r="I147" s="86">
        <v>9666.4222222222197</v>
      </c>
      <c r="J147" s="86">
        <v>10049.482222222199</v>
      </c>
      <c r="K147" s="86">
        <v>10049.482222222199</v>
      </c>
      <c r="L147" s="86">
        <v>10177.6688888889</v>
      </c>
      <c r="M147" s="86">
        <f t="shared" si="2"/>
        <v>68170.195555555518</v>
      </c>
    </row>
    <row r="148" spans="1:13" x14ac:dyDescent="0.25">
      <c r="A148" s="53">
        <v>146</v>
      </c>
      <c r="B148" s="53">
        <v>10561</v>
      </c>
      <c r="C148" s="38" t="s">
        <v>335</v>
      </c>
      <c r="D148" s="38" t="s">
        <v>320</v>
      </c>
      <c r="E148" s="37" t="s">
        <v>278</v>
      </c>
      <c r="F148" s="86">
        <v>0</v>
      </c>
      <c r="G148" s="86">
        <v>0</v>
      </c>
      <c r="H148" s="86">
        <v>0</v>
      </c>
      <c r="I148" s="86">
        <v>0</v>
      </c>
      <c r="J148" s="86">
        <v>0</v>
      </c>
      <c r="K148" s="86">
        <v>0</v>
      </c>
      <c r="L148" s="86">
        <v>0</v>
      </c>
      <c r="M148" s="86">
        <f t="shared" si="2"/>
        <v>0</v>
      </c>
    </row>
    <row r="149" spans="1:13" x14ac:dyDescent="0.25">
      <c r="A149" s="53">
        <v>147</v>
      </c>
      <c r="B149" s="53">
        <v>10562</v>
      </c>
      <c r="C149" s="38" t="s">
        <v>394</v>
      </c>
      <c r="D149" s="38" t="s">
        <v>102</v>
      </c>
      <c r="E149" s="37" t="s">
        <v>286</v>
      </c>
      <c r="F149" s="86">
        <v>0</v>
      </c>
      <c r="G149" s="86">
        <v>0</v>
      </c>
      <c r="H149" s="86">
        <v>0</v>
      </c>
      <c r="I149" s="86">
        <v>9.8991666666666696</v>
      </c>
      <c r="J149" s="86">
        <v>60.432803030302999</v>
      </c>
      <c r="K149" s="86">
        <v>89.100803030302998</v>
      </c>
      <c r="L149" s="86">
        <v>122.830803030303</v>
      </c>
      <c r="M149" s="86">
        <f t="shared" si="2"/>
        <v>282.26357575757567</v>
      </c>
    </row>
    <row r="150" spans="1:13" x14ac:dyDescent="0.25">
      <c r="A150" s="53">
        <v>148</v>
      </c>
      <c r="B150" s="53">
        <v>10567</v>
      </c>
      <c r="C150" s="38" t="s">
        <v>336</v>
      </c>
      <c r="D150" s="38" t="s">
        <v>337</v>
      </c>
      <c r="E150" s="37" t="s">
        <v>281</v>
      </c>
      <c r="F150" s="86">
        <v>0</v>
      </c>
      <c r="G150" s="86">
        <v>0</v>
      </c>
      <c r="H150" s="86">
        <v>0</v>
      </c>
      <c r="I150" s="86">
        <v>0</v>
      </c>
      <c r="J150" s="86">
        <v>4.7324999999999999</v>
      </c>
      <c r="K150" s="86">
        <v>28.751590909090901</v>
      </c>
      <c r="L150" s="86">
        <v>85.960590909090897</v>
      </c>
      <c r="M150" s="86">
        <f t="shared" si="2"/>
        <v>119.44468181818181</v>
      </c>
    </row>
    <row r="151" spans="1:13" x14ac:dyDescent="0.25">
      <c r="A151" s="53">
        <v>149</v>
      </c>
      <c r="B151" s="53">
        <v>10569</v>
      </c>
      <c r="C151" s="38" t="s">
        <v>339</v>
      </c>
      <c r="D151" s="38" t="s">
        <v>337</v>
      </c>
      <c r="E151" s="37" t="s">
        <v>281</v>
      </c>
      <c r="F151" s="86">
        <v>0</v>
      </c>
      <c r="G151" s="86">
        <v>0</v>
      </c>
      <c r="H151" s="86">
        <v>0</v>
      </c>
      <c r="I151" s="86">
        <v>0</v>
      </c>
      <c r="J151" s="86">
        <v>40.7441666666667</v>
      </c>
      <c r="K151" s="86">
        <v>88.163257575757598</v>
      </c>
      <c r="L151" s="86">
        <v>112.79325757575801</v>
      </c>
      <c r="M151" s="86">
        <f t="shared" si="2"/>
        <v>241.70068181818232</v>
      </c>
    </row>
    <row r="152" spans="1:13" x14ac:dyDescent="0.25">
      <c r="A152" s="53">
        <v>150</v>
      </c>
      <c r="B152" s="53">
        <v>10570</v>
      </c>
      <c r="C152" s="38" t="s">
        <v>340</v>
      </c>
      <c r="D152" s="38" t="s">
        <v>150</v>
      </c>
      <c r="E152" s="37" t="s">
        <v>280</v>
      </c>
      <c r="F152" s="86">
        <v>0</v>
      </c>
      <c r="G152" s="86">
        <v>0</v>
      </c>
      <c r="H152" s="86">
        <v>0</v>
      </c>
      <c r="I152" s="86">
        <v>0</v>
      </c>
      <c r="J152" s="86">
        <v>0</v>
      </c>
      <c r="K152" s="86">
        <v>0</v>
      </c>
      <c r="L152" s="86">
        <v>0</v>
      </c>
      <c r="M152" s="86">
        <f t="shared" si="2"/>
        <v>0</v>
      </c>
    </row>
    <row r="153" spans="1:13" x14ac:dyDescent="0.25">
      <c r="A153" s="53">
        <v>151</v>
      </c>
      <c r="B153" s="53">
        <v>10571</v>
      </c>
      <c r="C153" s="38" t="s">
        <v>185</v>
      </c>
      <c r="D153" s="38" t="s">
        <v>337</v>
      </c>
      <c r="E153" s="37" t="s">
        <v>281</v>
      </c>
      <c r="F153" s="86">
        <v>0</v>
      </c>
      <c r="G153" s="86">
        <v>0</v>
      </c>
      <c r="H153" s="86">
        <v>0</v>
      </c>
      <c r="I153" s="86">
        <v>9.5066666666666695</v>
      </c>
      <c r="J153" s="86">
        <v>35.683939393939397</v>
      </c>
      <c r="K153" s="86">
        <v>64.342939393939403</v>
      </c>
      <c r="L153" s="86">
        <v>122.057383838384</v>
      </c>
      <c r="M153" s="86">
        <f t="shared" si="2"/>
        <v>231.59092929292947</v>
      </c>
    </row>
    <row r="154" spans="1:13" x14ac:dyDescent="0.25">
      <c r="A154" s="53">
        <v>152</v>
      </c>
      <c r="B154" s="53">
        <v>10572</v>
      </c>
      <c r="C154" s="38" t="s">
        <v>413</v>
      </c>
      <c r="D154" s="38" t="s">
        <v>23</v>
      </c>
      <c r="E154" s="37" t="s">
        <v>279</v>
      </c>
      <c r="F154" s="86">
        <v>0</v>
      </c>
      <c r="G154" s="86">
        <v>0</v>
      </c>
      <c r="H154" s="86">
        <v>0</v>
      </c>
      <c r="I154" s="86">
        <v>0</v>
      </c>
      <c r="J154" s="86">
        <v>0</v>
      </c>
      <c r="K154" s="86">
        <v>0</v>
      </c>
      <c r="L154" s="86">
        <v>0</v>
      </c>
      <c r="M154" s="86">
        <f t="shared" si="2"/>
        <v>0</v>
      </c>
    </row>
    <row r="155" spans="1:13" x14ac:dyDescent="0.25">
      <c r="A155" s="53">
        <v>153</v>
      </c>
      <c r="B155" s="53">
        <v>10573</v>
      </c>
      <c r="C155" s="38" t="s">
        <v>341</v>
      </c>
      <c r="D155" s="38" t="s">
        <v>342</v>
      </c>
      <c r="E155" s="37" t="s">
        <v>287</v>
      </c>
      <c r="F155" s="86">
        <v>0</v>
      </c>
      <c r="G155" s="86">
        <v>0</v>
      </c>
      <c r="H155" s="86">
        <v>0</v>
      </c>
      <c r="I155" s="86">
        <v>0</v>
      </c>
      <c r="J155" s="86">
        <v>0</v>
      </c>
      <c r="K155" s="86">
        <v>0</v>
      </c>
      <c r="L155" s="86">
        <v>3.7949999999999999</v>
      </c>
      <c r="M155" s="86">
        <f t="shared" si="2"/>
        <v>3.7949999999999999</v>
      </c>
    </row>
    <row r="156" spans="1:13" x14ac:dyDescent="0.25">
      <c r="A156" s="53">
        <v>154</v>
      </c>
      <c r="B156" s="53">
        <v>10574</v>
      </c>
      <c r="C156" s="38" t="s">
        <v>414</v>
      </c>
      <c r="D156" s="38" t="s">
        <v>23</v>
      </c>
      <c r="E156" s="37" t="s">
        <v>279</v>
      </c>
      <c r="F156" s="86">
        <v>0</v>
      </c>
      <c r="G156" s="86">
        <v>0</v>
      </c>
      <c r="H156" s="86">
        <v>0</v>
      </c>
      <c r="I156" s="86">
        <v>0</v>
      </c>
      <c r="J156" s="86">
        <v>0</v>
      </c>
      <c r="K156" s="86">
        <v>0</v>
      </c>
      <c r="L156" s="86">
        <v>0</v>
      </c>
      <c r="M156" s="86">
        <f t="shared" si="2"/>
        <v>0</v>
      </c>
    </row>
    <row r="157" spans="1:13" x14ac:dyDescent="0.25">
      <c r="A157" s="53">
        <v>155</v>
      </c>
      <c r="B157" s="53">
        <v>10576</v>
      </c>
      <c r="C157" s="38" t="s">
        <v>344</v>
      </c>
      <c r="D157" s="38" t="s">
        <v>347</v>
      </c>
      <c r="E157" s="37" t="s">
        <v>284</v>
      </c>
      <c r="F157" s="86">
        <v>0</v>
      </c>
      <c r="G157" s="86">
        <v>0</v>
      </c>
      <c r="H157" s="86">
        <v>0</v>
      </c>
      <c r="I157" s="86">
        <v>0</v>
      </c>
      <c r="J157" s="86">
        <v>0</v>
      </c>
      <c r="K157" s="86">
        <v>0</v>
      </c>
      <c r="L157" s="86">
        <v>0</v>
      </c>
      <c r="M157" s="86">
        <f t="shared" si="2"/>
        <v>0</v>
      </c>
    </row>
    <row r="158" spans="1:13" x14ac:dyDescent="0.25">
      <c r="A158" s="53">
        <v>156</v>
      </c>
      <c r="B158" s="53">
        <v>10577</v>
      </c>
      <c r="C158" s="38" t="s">
        <v>345</v>
      </c>
      <c r="D158" s="38" t="s">
        <v>69</v>
      </c>
      <c r="E158" s="37" t="s">
        <v>284</v>
      </c>
      <c r="F158" s="86">
        <v>0</v>
      </c>
      <c r="G158" s="86">
        <v>0</v>
      </c>
      <c r="H158" s="86">
        <v>0</v>
      </c>
      <c r="I158" s="86">
        <v>0</v>
      </c>
      <c r="J158" s="86">
        <v>0</v>
      </c>
      <c r="K158" s="86">
        <v>0</v>
      </c>
      <c r="L158" s="86">
        <v>0</v>
      </c>
      <c r="M158" s="86">
        <f t="shared" si="2"/>
        <v>0</v>
      </c>
    </row>
    <row r="159" spans="1:13" x14ac:dyDescent="0.25">
      <c r="A159" s="53">
        <v>157</v>
      </c>
      <c r="B159" s="53">
        <v>10583</v>
      </c>
      <c r="C159" s="38" t="s">
        <v>346</v>
      </c>
      <c r="D159" s="38" t="s">
        <v>23</v>
      </c>
      <c r="E159" s="37" t="s">
        <v>279</v>
      </c>
      <c r="F159" s="86">
        <v>0</v>
      </c>
      <c r="G159" s="86">
        <v>0</v>
      </c>
      <c r="H159" s="86">
        <v>0</v>
      </c>
      <c r="I159" s="86">
        <v>0</v>
      </c>
      <c r="J159" s="86">
        <v>0</v>
      </c>
      <c r="K159" s="86">
        <v>0</v>
      </c>
      <c r="L159" s="86">
        <v>0</v>
      </c>
      <c r="M159" s="86">
        <f t="shared" si="2"/>
        <v>0</v>
      </c>
    </row>
    <row r="160" spans="1:13" x14ac:dyDescent="0.25">
      <c r="A160" s="53">
        <v>158</v>
      </c>
      <c r="B160" s="53">
        <v>10585</v>
      </c>
      <c r="C160" s="38" t="s">
        <v>367</v>
      </c>
      <c r="D160" s="38" t="s">
        <v>69</v>
      </c>
      <c r="E160" s="37" t="s">
        <v>284</v>
      </c>
      <c r="F160" s="86">
        <v>0</v>
      </c>
      <c r="G160" s="86">
        <v>0</v>
      </c>
      <c r="H160" s="86">
        <v>0</v>
      </c>
      <c r="I160" s="86">
        <v>0</v>
      </c>
      <c r="J160" s="86">
        <v>0</v>
      </c>
      <c r="K160" s="86">
        <v>0</v>
      </c>
      <c r="L160" s="86">
        <v>0</v>
      </c>
      <c r="M160" s="86">
        <f t="shared" si="2"/>
        <v>0</v>
      </c>
    </row>
    <row r="161" spans="1:13" x14ac:dyDescent="0.25">
      <c r="A161" s="53">
        <v>159</v>
      </c>
      <c r="B161" s="53">
        <v>10587</v>
      </c>
      <c r="C161" s="38" t="s">
        <v>368</v>
      </c>
      <c r="D161" s="38" t="s">
        <v>369</v>
      </c>
      <c r="E161" s="37" t="s">
        <v>287</v>
      </c>
      <c r="F161" s="86">
        <v>0</v>
      </c>
      <c r="G161" s="86">
        <v>0</v>
      </c>
      <c r="H161" s="86">
        <v>0</v>
      </c>
      <c r="I161" s="86">
        <v>0</v>
      </c>
      <c r="J161" s="86">
        <v>22.358333333333299</v>
      </c>
      <c r="K161" s="86">
        <v>72.949242424242399</v>
      </c>
      <c r="L161" s="86">
        <v>147.226242424242</v>
      </c>
      <c r="M161" s="86">
        <f t="shared" si="2"/>
        <v>242.53381818181771</v>
      </c>
    </row>
    <row r="162" spans="1:13" x14ac:dyDescent="0.25">
      <c r="A162" s="53">
        <v>160</v>
      </c>
      <c r="B162" s="53">
        <v>10590</v>
      </c>
      <c r="C162" s="38" t="s">
        <v>372</v>
      </c>
      <c r="D162" s="38" t="s">
        <v>337</v>
      </c>
      <c r="E162" s="37" t="s">
        <v>286</v>
      </c>
      <c r="F162" s="86">
        <v>0</v>
      </c>
      <c r="G162" s="86">
        <v>0</v>
      </c>
      <c r="H162" s="86">
        <v>0</v>
      </c>
      <c r="I162" s="86">
        <v>0</v>
      </c>
      <c r="J162" s="86">
        <v>0</v>
      </c>
      <c r="K162" s="86">
        <v>0</v>
      </c>
      <c r="L162" s="86">
        <v>0</v>
      </c>
      <c r="M162" s="86">
        <f t="shared" si="2"/>
        <v>0</v>
      </c>
    </row>
    <row r="163" spans="1:13" x14ac:dyDescent="0.25">
      <c r="A163" s="53">
        <v>161</v>
      </c>
      <c r="B163" s="53">
        <v>10591</v>
      </c>
      <c r="C163" s="38" t="s">
        <v>140</v>
      </c>
      <c r="D163" s="38" t="s">
        <v>69</v>
      </c>
      <c r="E163" s="37" t="s">
        <v>284</v>
      </c>
      <c r="F163" s="86">
        <v>0</v>
      </c>
      <c r="G163" s="86">
        <v>0</v>
      </c>
      <c r="H163" s="86">
        <v>0</v>
      </c>
      <c r="I163" s="86">
        <v>0</v>
      </c>
      <c r="J163" s="86">
        <v>0</v>
      </c>
      <c r="K163" s="86">
        <v>0</v>
      </c>
      <c r="L163" s="86">
        <v>0</v>
      </c>
      <c r="M163" s="86">
        <f t="shared" si="2"/>
        <v>0</v>
      </c>
    </row>
    <row r="164" spans="1:13" x14ac:dyDescent="0.25">
      <c r="A164" s="53">
        <v>162</v>
      </c>
      <c r="B164" s="53">
        <v>10597</v>
      </c>
      <c r="C164" s="38" t="s">
        <v>373</v>
      </c>
      <c r="D164" s="38" t="s">
        <v>342</v>
      </c>
      <c r="E164" s="37" t="s">
        <v>287</v>
      </c>
      <c r="F164" s="86">
        <v>0</v>
      </c>
      <c r="G164" s="86">
        <v>0</v>
      </c>
      <c r="H164" s="86">
        <v>0</v>
      </c>
      <c r="I164" s="86">
        <v>0</v>
      </c>
      <c r="J164" s="86">
        <v>0</v>
      </c>
      <c r="K164" s="86">
        <v>0</v>
      </c>
      <c r="L164" s="86">
        <v>0</v>
      </c>
      <c r="M164" s="86">
        <f t="shared" si="2"/>
        <v>0</v>
      </c>
    </row>
    <row r="165" spans="1:13" x14ac:dyDescent="0.25">
      <c r="A165" s="53">
        <v>163</v>
      </c>
      <c r="B165" s="53">
        <v>10598</v>
      </c>
      <c r="C165" s="38" t="s">
        <v>374</v>
      </c>
      <c r="D165" s="38" t="s">
        <v>337</v>
      </c>
      <c r="E165" s="37" t="s">
        <v>286</v>
      </c>
      <c r="F165" s="86">
        <v>0</v>
      </c>
      <c r="G165" s="86">
        <v>0</v>
      </c>
      <c r="H165" s="86">
        <v>0</v>
      </c>
      <c r="I165" s="86">
        <v>0</v>
      </c>
      <c r="J165" s="86">
        <v>0</v>
      </c>
      <c r="K165" s="86">
        <v>0</v>
      </c>
      <c r="L165" s="86">
        <v>0</v>
      </c>
      <c r="M165" s="86">
        <f t="shared" si="2"/>
        <v>0</v>
      </c>
    </row>
    <row r="166" spans="1:13" x14ac:dyDescent="0.25">
      <c r="A166" s="53">
        <v>164</v>
      </c>
      <c r="B166" s="53">
        <v>10599</v>
      </c>
      <c r="C166" s="38" t="s">
        <v>375</v>
      </c>
      <c r="D166" s="38" t="s">
        <v>23</v>
      </c>
      <c r="E166" s="37" t="s">
        <v>279</v>
      </c>
      <c r="F166" s="86">
        <v>0</v>
      </c>
      <c r="G166" s="86">
        <v>0</v>
      </c>
      <c r="H166" s="86">
        <v>0</v>
      </c>
      <c r="I166" s="86">
        <v>0</v>
      </c>
      <c r="J166" s="86">
        <v>0</v>
      </c>
      <c r="K166" s="86">
        <v>0</v>
      </c>
      <c r="L166" s="86">
        <v>0</v>
      </c>
      <c r="M166" s="86">
        <f t="shared" si="2"/>
        <v>0</v>
      </c>
    </row>
    <row r="167" spans="1:13" x14ac:dyDescent="0.25">
      <c r="A167" s="53">
        <v>165</v>
      </c>
      <c r="B167" s="53">
        <v>10602</v>
      </c>
      <c r="C167" s="38" t="s">
        <v>415</v>
      </c>
      <c r="D167" s="38" t="s">
        <v>337</v>
      </c>
      <c r="E167" s="37" t="s">
        <v>281</v>
      </c>
      <c r="F167" s="86">
        <v>0</v>
      </c>
      <c r="G167" s="86">
        <v>14.9758333333333</v>
      </c>
      <c r="H167" s="86">
        <v>67</v>
      </c>
      <c r="I167" s="86">
        <v>147.44741666666701</v>
      </c>
      <c r="J167" s="86">
        <v>180.501861111111</v>
      </c>
      <c r="K167" s="86">
        <v>214.659361111111</v>
      </c>
      <c r="L167" s="86">
        <v>250.236503968254</v>
      </c>
      <c r="M167" s="86">
        <f t="shared" si="2"/>
        <v>874.82097619047636</v>
      </c>
    </row>
    <row r="168" spans="1:13" x14ac:dyDescent="0.25">
      <c r="A168" s="53">
        <v>166</v>
      </c>
      <c r="B168" s="53">
        <v>10603</v>
      </c>
      <c r="C168" s="38" t="s">
        <v>354</v>
      </c>
      <c r="D168" s="38" t="s">
        <v>381</v>
      </c>
      <c r="E168" s="37" t="s">
        <v>290</v>
      </c>
      <c r="F168" s="86">
        <v>50</v>
      </c>
      <c r="G168" s="86">
        <v>50</v>
      </c>
      <c r="H168" s="86">
        <v>50</v>
      </c>
      <c r="I168" s="86">
        <v>50</v>
      </c>
      <c r="J168" s="86">
        <v>50</v>
      </c>
      <c r="K168" s="86">
        <v>50</v>
      </c>
      <c r="L168" s="86">
        <v>50</v>
      </c>
      <c r="M168" s="86">
        <f t="shared" si="2"/>
        <v>350</v>
      </c>
    </row>
    <row r="169" spans="1:13" x14ac:dyDescent="0.25">
      <c r="A169" s="53">
        <v>167</v>
      </c>
      <c r="B169" s="53">
        <v>10604</v>
      </c>
      <c r="C169" s="38" t="s">
        <v>380</v>
      </c>
      <c r="D169" s="38" t="s">
        <v>23</v>
      </c>
      <c r="E169" s="37" t="s">
        <v>279</v>
      </c>
      <c r="F169" s="86">
        <v>0</v>
      </c>
      <c r="G169" s="86">
        <v>0</v>
      </c>
      <c r="H169" s="86">
        <v>0</v>
      </c>
      <c r="I169" s="86">
        <v>0</v>
      </c>
      <c r="J169" s="86">
        <v>0</v>
      </c>
      <c r="K169" s="86">
        <v>0</v>
      </c>
      <c r="L169" s="86">
        <v>0</v>
      </c>
      <c r="M169" s="86">
        <f t="shared" si="2"/>
        <v>0</v>
      </c>
    </row>
    <row r="170" spans="1:13" x14ac:dyDescent="0.25">
      <c r="A170" s="53">
        <v>168</v>
      </c>
      <c r="B170" s="55">
        <v>10605</v>
      </c>
      <c r="C170" s="65" t="s">
        <v>382</v>
      </c>
      <c r="D170" s="65" t="s">
        <v>342</v>
      </c>
      <c r="E170" s="58" t="s">
        <v>287</v>
      </c>
      <c r="F170" s="86">
        <v>0</v>
      </c>
      <c r="G170" s="86">
        <v>0</v>
      </c>
      <c r="H170" s="86">
        <v>0</v>
      </c>
      <c r="I170" s="86">
        <v>0</v>
      </c>
      <c r="J170" s="86">
        <v>0</v>
      </c>
      <c r="K170" s="86">
        <v>0</v>
      </c>
      <c r="L170" s="86">
        <v>0</v>
      </c>
      <c r="M170" s="86">
        <f t="shared" si="2"/>
        <v>0</v>
      </c>
    </row>
    <row r="171" spans="1:13" x14ac:dyDescent="0.25">
      <c r="A171" s="53">
        <v>169</v>
      </c>
      <c r="B171" s="53">
        <v>10606</v>
      </c>
      <c r="C171" s="38" t="s">
        <v>383</v>
      </c>
      <c r="D171" s="38" t="s">
        <v>337</v>
      </c>
      <c r="E171" s="37" t="s">
        <v>286</v>
      </c>
      <c r="F171" s="86">
        <v>0</v>
      </c>
      <c r="G171" s="86">
        <v>41</v>
      </c>
      <c r="H171" s="86">
        <v>125</v>
      </c>
      <c r="I171" s="86">
        <v>151.26499999999999</v>
      </c>
      <c r="J171" s="86">
        <v>257.78277777777799</v>
      </c>
      <c r="K171" s="86">
        <v>330.25402777777799</v>
      </c>
      <c r="L171" s="86">
        <v>459.21974206349199</v>
      </c>
      <c r="M171" s="86">
        <f t="shared" si="2"/>
        <v>1364.5215476190481</v>
      </c>
    </row>
    <row r="172" spans="1:13" x14ac:dyDescent="0.25">
      <c r="A172" s="53">
        <v>170</v>
      </c>
      <c r="B172" s="53">
        <v>10607</v>
      </c>
      <c r="C172" s="38" t="s">
        <v>384</v>
      </c>
      <c r="D172" s="38" t="s">
        <v>347</v>
      </c>
      <c r="E172" s="37" t="s">
        <v>278</v>
      </c>
      <c r="F172" s="86">
        <v>0</v>
      </c>
      <c r="G172" s="86">
        <v>0</v>
      </c>
      <c r="H172" s="86">
        <v>0</v>
      </c>
      <c r="I172" s="86">
        <v>0</v>
      </c>
      <c r="J172" s="86">
        <v>0</v>
      </c>
      <c r="K172" s="86">
        <v>0</v>
      </c>
      <c r="L172" s="86">
        <v>0</v>
      </c>
      <c r="M172" s="86">
        <f t="shared" si="2"/>
        <v>0</v>
      </c>
    </row>
    <row r="173" spans="1:13" x14ac:dyDescent="0.25">
      <c r="A173" s="53">
        <v>171</v>
      </c>
      <c r="B173" s="53">
        <v>10608</v>
      </c>
      <c r="C173" s="38" t="s">
        <v>385</v>
      </c>
      <c r="D173" s="38" t="s">
        <v>392</v>
      </c>
      <c r="E173" s="37" t="s">
        <v>282</v>
      </c>
      <c r="F173" s="86">
        <v>0</v>
      </c>
      <c r="G173" s="86">
        <v>0</v>
      </c>
      <c r="H173" s="86">
        <v>0</v>
      </c>
      <c r="I173" s="86">
        <v>0</v>
      </c>
      <c r="J173" s="86">
        <v>0</v>
      </c>
      <c r="K173" s="86">
        <v>0</v>
      </c>
      <c r="L173" s="86">
        <v>0</v>
      </c>
      <c r="M173" s="86">
        <f t="shared" si="2"/>
        <v>0</v>
      </c>
    </row>
    <row r="174" spans="1:13" x14ac:dyDescent="0.25">
      <c r="A174" s="53">
        <v>172</v>
      </c>
      <c r="B174" s="53">
        <v>10609</v>
      </c>
      <c r="C174" s="38" t="s">
        <v>386</v>
      </c>
      <c r="D174" s="38" t="s">
        <v>393</v>
      </c>
      <c r="E174" s="37" t="s">
        <v>287</v>
      </c>
      <c r="F174" s="86">
        <v>0</v>
      </c>
      <c r="G174" s="86">
        <v>0</v>
      </c>
      <c r="H174" s="86">
        <v>0</v>
      </c>
      <c r="I174" s="86">
        <v>75</v>
      </c>
      <c r="J174" s="86">
        <v>75</v>
      </c>
      <c r="K174" s="86">
        <v>75</v>
      </c>
      <c r="L174" s="86">
        <v>75</v>
      </c>
      <c r="M174" s="86">
        <f t="shared" si="2"/>
        <v>300</v>
      </c>
    </row>
    <row r="175" spans="1:13" x14ac:dyDescent="0.25">
      <c r="A175" s="53">
        <v>173</v>
      </c>
      <c r="B175" s="53">
        <v>10610</v>
      </c>
      <c r="C175" s="38" t="s">
        <v>161</v>
      </c>
      <c r="D175" s="38" t="s">
        <v>370</v>
      </c>
      <c r="E175" s="37" t="s">
        <v>276</v>
      </c>
      <c r="F175" s="86">
        <v>0</v>
      </c>
      <c r="G175" s="86">
        <v>0</v>
      </c>
      <c r="H175" s="86">
        <v>0</v>
      </c>
      <c r="I175" s="86">
        <v>0</v>
      </c>
      <c r="J175" s="86">
        <v>0</v>
      </c>
      <c r="K175" s="86">
        <v>0</v>
      </c>
      <c r="L175" s="86">
        <v>0</v>
      </c>
      <c r="M175" s="86">
        <f t="shared" si="2"/>
        <v>0</v>
      </c>
    </row>
    <row r="176" spans="1:13" x14ac:dyDescent="0.25">
      <c r="A176" s="53">
        <v>174</v>
      </c>
      <c r="B176" s="53">
        <v>10612</v>
      </c>
      <c r="C176" s="38" t="s">
        <v>388</v>
      </c>
      <c r="D176" s="38" t="s">
        <v>53</v>
      </c>
      <c r="E176" s="37" t="s">
        <v>275</v>
      </c>
      <c r="F176" s="86">
        <v>0</v>
      </c>
      <c r="G176" s="86">
        <v>0</v>
      </c>
      <c r="H176" s="86">
        <v>0</v>
      </c>
      <c r="I176" s="86">
        <v>0</v>
      </c>
      <c r="J176" s="86">
        <v>0</v>
      </c>
      <c r="K176" s="86">
        <v>0</v>
      </c>
      <c r="L176" s="86">
        <v>0</v>
      </c>
      <c r="M176" s="86">
        <f t="shared" si="2"/>
        <v>0</v>
      </c>
    </row>
    <row r="177" spans="1:13" x14ac:dyDescent="0.25">
      <c r="A177" s="53">
        <v>175</v>
      </c>
      <c r="B177" s="53">
        <v>10617</v>
      </c>
      <c r="C177" s="38" t="s">
        <v>390</v>
      </c>
      <c r="D177" s="38" t="s">
        <v>348</v>
      </c>
      <c r="E177" s="37" t="s">
        <v>391</v>
      </c>
      <c r="F177" s="86">
        <v>0</v>
      </c>
      <c r="G177" s="86">
        <v>0</v>
      </c>
      <c r="H177" s="86">
        <v>0</v>
      </c>
      <c r="I177" s="86">
        <v>0</v>
      </c>
      <c r="J177" s="86">
        <v>0</v>
      </c>
      <c r="K177" s="86">
        <v>0</v>
      </c>
      <c r="L177" s="86">
        <v>0</v>
      </c>
      <c r="M177" s="86">
        <f t="shared" si="2"/>
        <v>0</v>
      </c>
    </row>
    <row r="178" spans="1:13" x14ac:dyDescent="0.25">
      <c r="A178" s="53">
        <v>176</v>
      </c>
      <c r="B178" s="53">
        <v>10618</v>
      </c>
      <c r="C178" s="38" t="s">
        <v>416</v>
      </c>
      <c r="D178" s="38" t="s">
        <v>41</v>
      </c>
      <c r="E178" s="37" t="s">
        <v>282</v>
      </c>
      <c r="F178" s="86">
        <v>0</v>
      </c>
      <c r="G178" s="86">
        <v>0</v>
      </c>
      <c r="H178" s="86">
        <v>0</v>
      </c>
      <c r="I178" s="86">
        <v>0</v>
      </c>
      <c r="J178" s="86">
        <v>0</v>
      </c>
      <c r="K178" s="86">
        <v>0</v>
      </c>
      <c r="L178" s="86">
        <v>0</v>
      </c>
      <c r="M178" s="86">
        <f t="shared" si="2"/>
        <v>0</v>
      </c>
    </row>
    <row r="179" spans="1:13" x14ac:dyDescent="0.25">
      <c r="A179" s="53">
        <v>177</v>
      </c>
      <c r="B179" s="53">
        <v>10619</v>
      </c>
      <c r="C179" s="38" t="s">
        <v>396</v>
      </c>
      <c r="D179" s="38" t="s">
        <v>449</v>
      </c>
      <c r="E179" s="37" t="s">
        <v>409</v>
      </c>
      <c r="F179" s="86">
        <v>0</v>
      </c>
      <c r="G179" s="86">
        <v>0</v>
      </c>
      <c r="H179" s="86">
        <v>0</v>
      </c>
      <c r="I179" s="86">
        <v>0</v>
      </c>
      <c r="J179" s="86">
        <v>0</v>
      </c>
      <c r="K179" s="86">
        <v>0</v>
      </c>
      <c r="L179" s="86">
        <v>0</v>
      </c>
      <c r="M179" s="86">
        <f t="shared" si="2"/>
        <v>0</v>
      </c>
    </row>
    <row r="180" spans="1:13" x14ac:dyDescent="0.25">
      <c r="A180" s="53">
        <v>178</v>
      </c>
      <c r="B180" s="53">
        <v>10620</v>
      </c>
      <c r="C180" s="38" t="s">
        <v>123</v>
      </c>
      <c r="D180" s="38" t="s">
        <v>23</v>
      </c>
      <c r="E180" s="37" t="s">
        <v>279</v>
      </c>
      <c r="F180" s="86">
        <v>0</v>
      </c>
      <c r="G180" s="86">
        <v>0</v>
      </c>
      <c r="H180" s="86">
        <v>0</v>
      </c>
      <c r="I180" s="86">
        <v>0</v>
      </c>
      <c r="J180" s="86">
        <v>0</v>
      </c>
      <c r="K180" s="86">
        <v>0</v>
      </c>
      <c r="L180" s="86">
        <v>0</v>
      </c>
      <c r="M180" s="86">
        <f t="shared" si="2"/>
        <v>0</v>
      </c>
    </row>
    <row r="181" spans="1:13" x14ac:dyDescent="0.25">
      <c r="A181" s="53">
        <v>179</v>
      </c>
      <c r="B181" s="53">
        <v>10621</v>
      </c>
      <c r="C181" s="38" t="s">
        <v>417</v>
      </c>
      <c r="D181" s="38" t="s">
        <v>55</v>
      </c>
      <c r="E181" s="37" t="s">
        <v>410</v>
      </c>
      <c r="F181" s="86">
        <v>0</v>
      </c>
      <c r="G181" s="86">
        <v>0</v>
      </c>
      <c r="H181" s="86">
        <v>0</v>
      </c>
      <c r="I181" s="86">
        <v>0</v>
      </c>
      <c r="J181" s="86">
        <v>0</v>
      </c>
      <c r="K181" s="86">
        <v>0</v>
      </c>
      <c r="L181" s="86">
        <v>0</v>
      </c>
      <c r="M181" s="86">
        <f t="shared" si="2"/>
        <v>0</v>
      </c>
    </row>
    <row r="182" spans="1:13" x14ac:dyDescent="0.25">
      <c r="A182" s="53">
        <v>180</v>
      </c>
      <c r="B182" s="53">
        <v>10622</v>
      </c>
      <c r="C182" s="38" t="s">
        <v>397</v>
      </c>
      <c r="D182" s="38" t="s">
        <v>55</v>
      </c>
      <c r="E182" s="37" t="s">
        <v>275</v>
      </c>
      <c r="F182" s="86">
        <v>0</v>
      </c>
      <c r="G182" s="86">
        <v>0</v>
      </c>
      <c r="H182" s="86">
        <v>0</v>
      </c>
      <c r="I182" s="86">
        <v>0</v>
      </c>
      <c r="J182" s="86">
        <v>0</v>
      </c>
      <c r="K182" s="86">
        <v>0</v>
      </c>
      <c r="L182" s="86">
        <v>0</v>
      </c>
      <c r="M182" s="86">
        <f t="shared" si="2"/>
        <v>0</v>
      </c>
    </row>
    <row r="183" spans="1:13" x14ac:dyDescent="0.25">
      <c r="A183" s="53">
        <v>181</v>
      </c>
      <c r="B183" s="53">
        <v>10623</v>
      </c>
      <c r="C183" s="38" t="s">
        <v>418</v>
      </c>
      <c r="D183" s="38" t="s">
        <v>398</v>
      </c>
      <c r="E183" s="37" t="s">
        <v>280</v>
      </c>
      <c r="F183" s="86">
        <v>0</v>
      </c>
      <c r="G183" s="86">
        <v>0</v>
      </c>
      <c r="H183" s="86">
        <v>0</v>
      </c>
      <c r="I183" s="86">
        <v>0</v>
      </c>
      <c r="J183" s="86">
        <v>0</v>
      </c>
      <c r="K183" s="86">
        <v>0</v>
      </c>
      <c r="L183" s="86">
        <v>0</v>
      </c>
      <c r="M183" s="86">
        <f t="shared" si="2"/>
        <v>0</v>
      </c>
    </row>
    <row r="184" spans="1:13" x14ac:dyDescent="0.25">
      <c r="A184" s="53">
        <v>182</v>
      </c>
      <c r="B184" s="53">
        <v>10626</v>
      </c>
      <c r="C184" s="38" t="s">
        <v>238</v>
      </c>
      <c r="D184" s="38" t="s">
        <v>23</v>
      </c>
      <c r="E184" s="37" t="s">
        <v>279</v>
      </c>
      <c r="F184" s="86">
        <v>0</v>
      </c>
      <c r="G184" s="86">
        <v>0</v>
      </c>
      <c r="H184" s="86">
        <v>0</v>
      </c>
      <c r="I184" s="86">
        <v>0</v>
      </c>
      <c r="J184" s="86">
        <v>0</v>
      </c>
      <c r="K184" s="86">
        <v>0</v>
      </c>
      <c r="L184" s="86">
        <v>0</v>
      </c>
      <c r="M184" s="86">
        <f t="shared" si="2"/>
        <v>0</v>
      </c>
    </row>
    <row r="185" spans="1:13" x14ac:dyDescent="0.25">
      <c r="A185" s="53">
        <v>183</v>
      </c>
      <c r="B185" s="53">
        <v>10627</v>
      </c>
      <c r="C185" s="38" t="s">
        <v>419</v>
      </c>
      <c r="D185" s="38" t="s">
        <v>23</v>
      </c>
      <c r="E185" s="37" t="s">
        <v>279</v>
      </c>
      <c r="F185" s="86">
        <v>0</v>
      </c>
      <c r="G185" s="86">
        <v>0</v>
      </c>
      <c r="H185" s="86">
        <v>0</v>
      </c>
      <c r="I185" s="86">
        <v>0</v>
      </c>
      <c r="J185" s="86">
        <v>0</v>
      </c>
      <c r="K185" s="86">
        <v>0</v>
      </c>
      <c r="L185" s="86">
        <v>0</v>
      </c>
      <c r="M185" s="86">
        <f t="shared" si="2"/>
        <v>0</v>
      </c>
    </row>
    <row r="186" spans="1:13" x14ac:dyDescent="0.25">
      <c r="A186" s="53">
        <v>184</v>
      </c>
      <c r="B186" s="53">
        <v>10629</v>
      </c>
      <c r="C186" s="38" t="s">
        <v>420</v>
      </c>
      <c r="D186" s="38" t="s">
        <v>319</v>
      </c>
      <c r="E186" s="37" t="s">
        <v>277</v>
      </c>
      <c r="F186" s="86">
        <v>0</v>
      </c>
      <c r="G186" s="86">
        <v>0</v>
      </c>
      <c r="H186" s="86">
        <v>0</v>
      </c>
      <c r="I186" s="86">
        <v>33.3333333333333</v>
      </c>
      <c r="J186" s="86">
        <v>33.3333333333333</v>
      </c>
      <c r="K186" s="86">
        <v>33.3333333333333</v>
      </c>
      <c r="L186" s="86">
        <v>33.3333333333333</v>
      </c>
      <c r="M186" s="86">
        <f t="shared" si="2"/>
        <v>133.3333333333332</v>
      </c>
    </row>
    <row r="187" spans="1:13" x14ac:dyDescent="0.25">
      <c r="A187" s="53">
        <v>185</v>
      </c>
      <c r="B187" s="53">
        <v>10630</v>
      </c>
      <c r="C187" s="38" t="s">
        <v>399</v>
      </c>
      <c r="D187" s="38" t="s">
        <v>23</v>
      </c>
      <c r="E187" s="37" t="s">
        <v>279</v>
      </c>
      <c r="F187" s="86">
        <v>0</v>
      </c>
      <c r="G187" s="86">
        <v>0</v>
      </c>
      <c r="H187" s="86">
        <v>0</v>
      </c>
      <c r="I187" s="86">
        <v>0</v>
      </c>
      <c r="J187" s="86">
        <v>0</v>
      </c>
      <c r="K187" s="86">
        <v>0</v>
      </c>
      <c r="L187" s="86">
        <v>0</v>
      </c>
      <c r="M187" s="86">
        <f t="shared" si="2"/>
        <v>0</v>
      </c>
    </row>
    <row r="188" spans="1:13" x14ac:dyDescent="0.25">
      <c r="A188" s="53">
        <v>186</v>
      </c>
      <c r="B188" s="56">
        <v>10631</v>
      </c>
      <c r="C188" s="66" t="s">
        <v>421</v>
      </c>
      <c r="D188" s="66" t="s">
        <v>69</v>
      </c>
      <c r="E188" s="59" t="s">
        <v>284</v>
      </c>
      <c r="F188" s="86">
        <v>0</v>
      </c>
      <c r="G188" s="86">
        <v>0</v>
      </c>
      <c r="H188" s="86">
        <v>0</v>
      </c>
      <c r="I188" s="86">
        <v>0</v>
      </c>
      <c r="J188" s="86">
        <v>11.983333333333301</v>
      </c>
      <c r="K188" s="86">
        <v>62.369696969697003</v>
      </c>
      <c r="L188" s="86">
        <v>112.969696969697</v>
      </c>
      <c r="M188" s="86">
        <f t="shared" si="2"/>
        <v>187.32272727272732</v>
      </c>
    </row>
    <row r="189" spans="1:13" x14ac:dyDescent="0.25">
      <c r="A189" s="53">
        <v>187</v>
      </c>
      <c r="B189" s="56">
        <v>10633</v>
      </c>
      <c r="C189" s="66" t="s">
        <v>401</v>
      </c>
      <c r="D189" s="66" t="s">
        <v>23</v>
      </c>
      <c r="E189" s="59" t="s">
        <v>279</v>
      </c>
      <c r="F189" s="86">
        <v>0</v>
      </c>
      <c r="G189" s="86">
        <v>0</v>
      </c>
      <c r="H189" s="86">
        <v>0</v>
      </c>
      <c r="I189" s="86">
        <v>0</v>
      </c>
      <c r="J189" s="86">
        <v>0</v>
      </c>
      <c r="K189" s="86">
        <v>0</v>
      </c>
      <c r="L189" s="86">
        <v>0</v>
      </c>
      <c r="M189" s="86">
        <f t="shared" si="2"/>
        <v>0</v>
      </c>
    </row>
    <row r="190" spans="1:13" x14ac:dyDescent="0.25">
      <c r="A190" s="53">
        <v>188</v>
      </c>
      <c r="B190" s="56">
        <v>10634</v>
      </c>
      <c r="C190" s="66" t="s">
        <v>402</v>
      </c>
      <c r="D190" s="66" t="s">
        <v>23</v>
      </c>
      <c r="E190" s="59" t="s">
        <v>279</v>
      </c>
      <c r="F190" s="86">
        <v>0</v>
      </c>
      <c r="G190" s="86">
        <v>0</v>
      </c>
      <c r="H190" s="86">
        <v>0</v>
      </c>
      <c r="I190" s="86">
        <v>0</v>
      </c>
      <c r="J190" s="86">
        <v>0</v>
      </c>
      <c r="K190" s="86">
        <v>0</v>
      </c>
      <c r="L190" s="86">
        <v>0</v>
      </c>
      <c r="M190" s="86">
        <f t="shared" si="2"/>
        <v>0</v>
      </c>
    </row>
    <row r="191" spans="1:13" x14ac:dyDescent="0.25">
      <c r="A191" s="53">
        <v>189</v>
      </c>
      <c r="B191" s="56">
        <v>10635</v>
      </c>
      <c r="C191" s="66" t="s">
        <v>403</v>
      </c>
      <c r="D191" s="66" t="s">
        <v>23</v>
      </c>
      <c r="E191" s="59" t="s">
        <v>279</v>
      </c>
      <c r="F191" s="86">
        <v>0</v>
      </c>
      <c r="G191" s="86">
        <v>0</v>
      </c>
      <c r="H191" s="86">
        <v>0</v>
      </c>
      <c r="I191" s="86">
        <v>0</v>
      </c>
      <c r="J191" s="86">
        <v>0</v>
      </c>
      <c r="K191" s="86">
        <v>0</v>
      </c>
      <c r="L191" s="86">
        <v>0</v>
      </c>
      <c r="M191" s="86">
        <f t="shared" si="2"/>
        <v>0</v>
      </c>
    </row>
    <row r="192" spans="1:13" x14ac:dyDescent="0.25">
      <c r="A192" s="53">
        <v>190</v>
      </c>
      <c r="B192" s="56">
        <v>10636</v>
      </c>
      <c r="C192" s="66" t="s">
        <v>422</v>
      </c>
      <c r="D192" s="66" t="s">
        <v>450</v>
      </c>
      <c r="E192" s="59" t="s">
        <v>287</v>
      </c>
      <c r="F192" s="86">
        <v>8963.0516666666663</v>
      </c>
      <c r="G192" s="86">
        <v>9314.0916666666672</v>
      </c>
      <c r="H192" s="86">
        <v>9670.8216666666667</v>
      </c>
      <c r="I192" s="86">
        <v>10518.256111111101</v>
      </c>
      <c r="J192" s="86">
        <v>11658.5386111111</v>
      </c>
      <c r="K192" s="86">
        <v>13727.5200396825</v>
      </c>
      <c r="L192" s="86">
        <v>15514.5817063492</v>
      </c>
      <c r="M192" s="86">
        <f t="shared" si="2"/>
        <v>79366.861468253905</v>
      </c>
    </row>
    <row r="193" spans="1:13" x14ac:dyDescent="0.25">
      <c r="A193" s="53">
        <v>191</v>
      </c>
      <c r="B193" s="56">
        <v>10637</v>
      </c>
      <c r="C193" s="66" t="s">
        <v>404</v>
      </c>
      <c r="D193" s="66" t="s">
        <v>23</v>
      </c>
      <c r="E193" s="59" t="s">
        <v>279</v>
      </c>
      <c r="F193" s="86">
        <v>0</v>
      </c>
      <c r="G193" s="86">
        <v>0</v>
      </c>
      <c r="H193" s="86">
        <v>0</v>
      </c>
      <c r="I193" s="86">
        <v>0</v>
      </c>
      <c r="J193" s="86">
        <v>0</v>
      </c>
      <c r="K193" s="86">
        <v>0</v>
      </c>
      <c r="L193" s="86">
        <v>0</v>
      </c>
      <c r="M193" s="86">
        <f t="shared" si="2"/>
        <v>0</v>
      </c>
    </row>
    <row r="194" spans="1:13" x14ac:dyDescent="0.25">
      <c r="A194" s="53">
        <v>192</v>
      </c>
      <c r="B194" s="56">
        <v>10638</v>
      </c>
      <c r="C194" s="66" t="s">
        <v>405</v>
      </c>
      <c r="D194" s="66" t="s">
        <v>23</v>
      </c>
      <c r="E194" s="59" t="s">
        <v>279</v>
      </c>
      <c r="F194" s="86">
        <v>0</v>
      </c>
      <c r="G194" s="86">
        <v>0</v>
      </c>
      <c r="H194" s="86">
        <v>0</v>
      </c>
      <c r="I194" s="86">
        <v>0</v>
      </c>
      <c r="J194" s="86">
        <v>0</v>
      </c>
      <c r="K194" s="86">
        <v>0</v>
      </c>
      <c r="L194" s="86">
        <v>0</v>
      </c>
      <c r="M194" s="86">
        <f t="shared" si="2"/>
        <v>0</v>
      </c>
    </row>
    <row r="195" spans="1:13" x14ac:dyDescent="0.25">
      <c r="A195" s="53">
        <v>193</v>
      </c>
      <c r="B195" s="56">
        <v>10639</v>
      </c>
      <c r="C195" s="66" t="s">
        <v>406</v>
      </c>
      <c r="D195" s="66" t="s">
        <v>23</v>
      </c>
      <c r="E195" s="59" t="s">
        <v>279</v>
      </c>
      <c r="F195" s="86">
        <v>0</v>
      </c>
      <c r="G195" s="86">
        <v>0</v>
      </c>
      <c r="H195" s="86">
        <v>0</v>
      </c>
      <c r="I195" s="86">
        <v>0</v>
      </c>
      <c r="J195" s="86">
        <v>0</v>
      </c>
      <c r="K195" s="86">
        <v>0</v>
      </c>
      <c r="L195" s="86">
        <v>0</v>
      </c>
      <c r="M195" s="86">
        <f t="shared" si="2"/>
        <v>0</v>
      </c>
    </row>
    <row r="196" spans="1:13" x14ac:dyDescent="0.25">
      <c r="A196" s="53">
        <v>194</v>
      </c>
      <c r="B196" s="56">
        <v>10640</v>
      </c>
      <c r="C196" s="66" t="s">
        <v>407</v>
      </c>
      <c r="D196" s="66" t="s">
        <v>149</v>
      </c>
      <c r="E196" s="59" t="s">
        <v>280</v>
      </c>
      <c r="F196" s="86">
        <v>0</v>
      </c>
      <c r="G196" s="86">
        <v>0</v>
      </c>
      <c r="H196" s="86">
        <v>0</v>
      </c>
      <c r="I196" s="86">
        <v>0</v>
      </c>
      <c r="J196" s="86">
        <v>0</v>
      </c>
      <c r="K196" s="86">
        <v>0</v>
      </c>
      <c r="L196" s="86">
        <v>0</v>
      </c>
      <c r="M196" s="86">
        <f t="shared" ref="M196:M259" si="3">SUM(F196:L196)</f>
        <v>0</v>
      </c>
    </row>
    <row r="197" spans="1:13" x14ac:dyDescent="0.25">
      <c r="A197" s="53">
        <v>195</v>
      </c>
      <c r="B197" s="56">
        <v>10641</v>
      </c>
      <c r="C197" s="66" t="s">
        <v>408</v>
      </c>
      <c r="D197" s="66" t="s">
        <v>149</v>
      </c>
      <c r="E197" s="59" t="s">
        <v>280</v>
      </c>
      <c r="F197" s="86">
        <v>0</v>
      </c>
      <c r="G197" s="86">
        <v>0</v>
      </c>
      <c r="H197" s="86">
        <v>0</v>
      </c>
      <c r="I197" s="86">
        <v>0</v>
      </c>
      <c r="J197" s="86">
        <v>0</v>
      </c>
      <c r="K197" s="86">
        <v>0</v>
      </c>
      <c r="L197" s="86">
        <v>0</v>
      </c>
      <c r="M197" s="86">
        <f t="shared" si="3"/>
        <v>0</v>
      </c>
    </row>
    <row r="198" spans="1:13" x14ac:dyDescent="0.25">
      <c r="A198" s="53">
        <v>196</v>
      </c>
      <c r="B198" s="53">
        <v>10294</v>
      </c>
      <c r="C198" s="38" t="s">
        <v>191</v>
      </c>
      <c r="D198" s="38" t="s">
        <v>69</v>
      </c>
      <c r="E198" s="37" t="s">
        <v>284</v>
      </c>
      <c r="F198" s="86">
        <v>0</v>
      </c>
      <c r="G198" s="86">
        <v>0</v>
      </c>
      <c r="H198" s="86">
        <v>0</v>
      </c>
      <c r="I198" s="86">
        <v>0</v>
      </c>
      <c r="J198" s="86">
        <v>0</v>
      </c>
      <c r="K198" s="86">
        <v>0</v>
      </c>
      <c r="L198" s="86">
        <v>0</v>
      </c>
      <c r="M198" s="86">
        <f t="shared" si="3"/>
        <v>0</v>
      </c>
    </row>
    <row r="199" spans="1:13" x14ac:dyDescent="0.25">
      <c r="A199" s="53">
        <v>197</v>
      </c>
      <c r="B199" s="53">
        <v>10295</v>
      </c>
      <c r="C199" s="38" t="s">
        <v>192</v>
      </c>
      <c r="D199" s="38" t="s">
        <v>69</v>
      </c>
      <c r="E199" s="37" t="s">
        <v>284</v>
      </c>
      <c r="F199" s="86">
        <v>0</v>
      </c>
      <c r="G199" s="86">
        <v>0</v>
      </c>
      <c r="H199" s="86">
        <v>0</v>
      </c>
      <c r="I199" s="86">
        <v>0</v>
      </c>
      <c r="J199" s="86">
        <v>0</v>
      </c>
      <c r="K199" s="86">
        <v>0</v>
      </c>
      <c r="L199" s="86">
        <v>0</v>
      </c>
      <c r="M199" s="86">
        <f t="shared" si="3"/>
        <v>0</v>
      </c>
    </row>
    <row r="200" spans="1:13" x14ac:dyDescent="0.25">
      <c r="A200" s="53">
        <v>198</v>
      </c>
      <c r="B200" s="53">
        <v>10063</v>
      </c>
      <c r="C200" s="38" t="s">
        <v>193</v>
      </c>
      <c r="D200" s="38" t="s">
        <v>378</v>
      </c>
      <c r="E200" s="37" t="s">
        <v>283</v>
      </c>
      <c r="F200" s="86">
        <v>409.15499999999997</v>
      </c>
      <c r="G200" s="86">
        <v>1126.0686363636362</v>
      </c>
      <c r="H200" s="86">
        <v>2558.2026363636364</v>
      </c>
      <c r="I200" s="86">
        <v>2598.5481919191898</v>
      </c>
      <c r="J200" s="86">
        <v>3208.0856919191901</v>
      </c>
      <c r="K200" s="86">
        <v>3760.4742633477599</v>
      </c>
      <c r="L200" s="86">
        <v>3810.8359300144298</v>
      </c>
      <c r="M200" s="86">
        <f t="shared" si="3"/>
        <v>17471.370349927842</v>
      </c>
    </row>
    <row r="201" spans="1:13" x14ac:dyDescent="0.25">
      <c r="A201" s="53">
        <v>199</v>
      </c>
      <c r="B201" s="53">
        <v>10387</v>
      </c>
      <c r="C201" s="38" t="s">
        <v>101</v>
      </c>
      <c r="D201" s="38" t="s">
        <v>129</v>
      </c>
      <c r="E201" s="37" t="s">
        <v>284</v>
      </c>
      <c r="F201" s="86">
        <v>0</v>
      </c>
      <c r="G201" s="86">
        <v>0</v>
      </c>
      <c r="H201" s="86">
        <v>0</v>
      </c>
      <c r="I201" s="86">
        <v>0</v>
      </c>
      <c r="J201" s="86">
        <v>0</v>
      </c>
      <c r="K201" s="86">
        <v>0</v>
      </c>
      <c r="L201" s="86">
        <v>0</v>
      </c>
      <c r="M201" s="86">
        <f t="shared" si="3"/>
        <v>0</v>
      </c>
    </row>
    <row r="202" spans="1:13" x14ac:dyDescent="0.25">
      <c r="A202" s="53">
        <v>200</v>
      </c>
      <c r="B202" s="53">
        <v>10067</v>
      </c>
      <c r="C202" s="38" t="s">
        <v>194</v>
      </c>
      <c r="D202" s="38" t="s">
        <v>69</v>
      </c>
      <c r="E202" s="37" t="s">
        <v>284</v>
      </c>
      <c r="F202" s="86">
        <v>0</v>
      </c>
      <c r="G202" s="86">
        <v>0</v>
      </c>
      <c r="H202" s="86">
        <v>0</v>
      </c>
      <c r="I202" s="86">
        <v>0</v>
      </c>
      <c r="J202" s="86">
        <v>0</v>
      </c>
      <c r="K202" s="86">
        <v>0</v>
      </c>
      <c r="L202" s="86">
        <v>0</v>
      </c>
      <c r="M202" s="86">
        <f t="shared" si="3"/>
        <v>0</v>
      </c>
    </row>
    <row r="203" spans="1:13" x14ac:dyDescent="0.25">
      <c r="A203" s="53">
        <v>201</v>
      </c>
      <c r="B203" s="53">
        <v>10411</v>
      </c>
      <c r="C203" s="38" t="s">
        <v>195</v>
      </c>
      <c r="D203" s="38" t="s">
        <v>69</v>
      </c>
      <c r="E203" s="37" t="s">
        <v>284</v>
      </c>
      <c r="F203" s="86">
        <v>0</v>
      </c>
      <c r="G203" s="86">
        <v>0</v>
      </c>
      <c r="H203" s="86">
        <v>0</v>
      </c>
      <c r="I203" s="86">
        <v>0</v>
      </c>
      <c r="J203" s="86">
        <v>0</v>
      </c>
      <c r="K203" s="86">
        <v>0</v>
      </c>
      <c r="L203" s="86">
        <v>0</v>
      </c>
      <c r="M203" s="86">
        <f t="shared" si="3"/>
        <v>0</v>
      </c>
    </row>
    <row r="204" spans="1:13" x14ac:dyDescent="0.25">
      <c r="A204" s="53">
        <v>202</v>
      </c>
      <c r="B204" s="53">
        <v>10075</v>
      </c>
      <c r="C204" s="38" t="s">
        <v>196</v>
      </c>
      <c r="D204" s="38" t="s">
        <v>197</v>
      </c>
      <c r="E204" s="37" t="s">
        <v>275</v>
      </c>
      <c r="F204" s="86">
        <v>0</v>
      </c>
      <c r="G204" s="86">
        <v>0</v>
      </c>
      <c r="H204" s="86">
        <v>0</v>
      </c>
      <c r="I204" s="86">
        <v>0</v>
      </c>
      <c r="J204" s="86">
        <v>0</v>
      </c>
      <c r="K204" s="86">
        <v>0</v>
      </c>
      <c r="L204" s="86">
        <v>0</v>
      </c>
      <c r="M204" s="86">
        <f t="shared" si="3"/>
        <v>0</v>
      </c>
    </row>
    <row r="205" spans="1:13" x14ac:dyDescent="0.25">
      <c r="A205" s="53">
        <v>203</v>
      </c>
      <c r="B205" s="53">
        <v>10301</v>
      </c>
      <c r="C205" s="38" t="s">
        <v>198</v>
      </c>
      <c r="D205" s="38" t="s">
        <v>106</v>
      </c>
      <c r="E205" s="37" t="s">
        <v>275</v>
      </c>
      <c r="F205" s="86">
        <v>0</v>
      </c>
      <c r="G205" s="86">
        <v>0</v>
      </c>
      <c r="H205" s="86">
        <v>0</v>
      </c>
      <c r="I205" s="86">
        <v>0</v>
      </c>
      <c r="J205" s="86">
        <v>0</v>
      </c>
      <c r="K205" s="86">
        <v>0</v>
      </c>
      <c r="L205" s="86">
        <v>0</v>
      </c>
      <c r="M205" s="86">
        <f t="shared" si="3"/>
        <v>0</v>
      </c>
    </row>
    <row r="206" spans="1:13" x14ac:dyDescent="0.25">
      <c r="A206" s="53">
        <v>204</v>
      </c>
      <c r="B206" s="53">
        <v>10076</v>
      </c>
      <c r="C206" s="38" t="s">
        <v>199</v>
      </c>
      <c r="D206" s="38" t="s">
        <v>199</v>
      </c>
      <c r="E206" s="37" t="s">
        <v>275</v>
      </c>
      <c r="F206" s="86">
        <v>0</v>
      </c>
      <c r="G206" s="86">
        <v>0</v>
      </c>
      <c r="H206" s="86">
        <v>0</v>
      </c>
      <c r="I206" s="86">
        <v>0</v>
      </c>
      <c r="J206" s="86">
        <v>0</v>
      </c>
      <c r="K206" s="86">
        <v>0</v>
      </c>
      <c r="L206" s="86">
        <v>0</v>
      </c>
      <c r="M206" s="86">
        <f t="shared" si="3"/>
        <v>0</v>
      </c>
    </row>
    <row r="207" spans="1:13" x14ac:dyDescent="0.25">
      <c r="A207" s="53">
        <v>205</v>
      </c>
      <c r="B207" s="53">
        <v>10156</v>
      </c>
      <c r="C207" s="38" t="s">
        <v>200</v>
      </c>
      <c r="D207" s="38" t="s">
        <v>69</v>
      </c>
      <c r="E207" s="37" t="s">
        <v>284</v>
      </c>
      <c r="F207" s="86">
        <v>0</v>
      </c>
      <c r="G207" s="86">
        <v>0</v>
      </c>
      <c r="H207" s="86">
        <v>0</v>
      </c>
      <c r="I207" s="86">
        <v>0</v>
      </c>
      <c r="J207" s="86">
        <v>0</v>
      </c>
      <c r="K207" s="86">
        <v>0</v>
      </c>
      <c r="L207" s="86">
        <v>0</v>
      </c>
      <c r="M207" s="86">
        <f t="shared" si="3"/>
        <v>0</v>
      </c>
    </row>
    <row r="208" spans="1:13" x14ac:dyDescent="0.25">
      <c r="A208" s="53">
        <v>206</v>
      </c>
      <c r="B208" s="53">
        <v>10181</v>
      </c>
      <c r="C208" s="38" t="s">
        <v>116</v>
      </c>
      <c r="D208" s="38" t="s">
        <v>69</v>
      </c>
      <c r="E208" s="37" t="s">
        <v>284</v>
      </c>
      <c r="F208" s="86">
        <v>0</v>
      </c>
      <c r="G208" s="86">
        <v>0</v>
      </c>
      <c r="H208" s="86">
        <v>0</v>
      </c>
      <c r="I208" s="86">
        <v>0</v>
      </c>
      <c r="J208" s="86">
        <v>0</v>
      </c>
      <c r="K208" s="86">
        <v>0</v>
      </c>
      <c r="L208" s="86">
        <v>0</v>
      </c>
      <c r="M208" s="86">
        <f t="shared" si="3"/>
        <v>0</v>
      </c>
    </row>
    <row r="209" spans="1:13" x14ac:dyDescent="0.25">
      <c r="A209" s="53">
        <v>207</v>
      </c>
      <c r="B209" s="53">
        <v>10192</v>
      </c>
      <c r="C209" s="38" t="s">
        <v>201</v>
      </c>
      <c r="D209" s="38" t="s">
        <v>69</v>
      </c>
      <c r="E209" s="37" t="s">
        <v>284</v>
      </c>
      <c r="F209" s="86">
        <v>0</v>
      </c>
      <c r="G209" s="86">
        <v>0</v>
      </c>
      <c r="H209" s="86">
        <v>0</v>
      </c>
      <c r="I209" s="86">
        <v>0</v>
      </c>
      <c r="J209" s="86">
        <v>0</v>
      </c>
      <c r="K209" s="86">
        <v>0</v>
      </c>
      <c r="L209" s="86">
        <v>0</v>
      </c>
      <c r="M209" s="86">
        <f t="shared" si="3"/>
        <v>0</v>
      </c>
    </row>
    <row r="210" spans="1:13" x14ac:dyDescent="0.25">
      <c r="A210" s="53">
        <v>208</v>
      </c>
      <c r="B210" s="53">
        <v>10193</v>
      </c>
      <c r="C210" s="38" t="s">
        <v>202</v>
      </c>
      <c r="D210" s="38" t="s">
        <v>69</v>
      </c>
      <c r="E210" s="37" t="s">
        <v>284</v>
      </c>
      <c r="F210" s="86">
        <v>0</v>
      </c>
      <c r="G210" s="86">
        <v>0</v>
      </c>
      <c r="H210" s="86">
        <v>0</v>
      </c>
      <c r="I210" s="86">
        <v>0</v>
      </c>
      <c r="J210" s="86">
        <v>0</v>
      </c>
      <c r="K210" s="86">
        <v>0</v>
      </c>
      <c r="L210" s="86">
        <v>0</v>
      </c>
      <c r="M210" s="86">
        <f t="shared" si="3"/>
        <v>0</v>
      </c>
    </row>
    <row r="211" spans="1:13" x14ac:dyDescent="0.25">
      <c r="A211" s="53">
        <v>209</v>
      </c>
      <c r="B211" s="53">
        <v>10194</v>
      </c>
      <c r="C211" s="38" t="s">
        <v>203</v>
      </c>
      <c r="D211" s="38" t="s">
        <v>69</v>
      </c>
      <c r="E211" s="37" t="s">
        <v>284</v>
      </c>
      <c r="F211" s="86">
        <v>0</v>
      </c>
      <c r="G211" s="86">
        <v>0</v>
      </c>
      <c r="H211" s="86">
        <v>0</v>
      </c>
      <c r="I211" s="86">
        <v>0</v>
      </c>
      <c r="J211" s="86">
        <v>0</v>
      </c>
      <c r="K211" s="86">
        <v>0</v>
      </c>
      <c r="L211" s="86">
        <v>0</v>
      </c>
      <c r="M211" s="86">
        <f t="shared" si="3"/>
        <v>0</v>
      </c>
    </row>
    <row r="212" spans="1:13" x14ac:dyDescent="0.25">
      <c r="A212" s="53">
        <v>210</v>
      </c>
      <c r="B212" s="53">
        <v>10200</v>
      </c>
      <c r="C212" s="38" t="s">
        <v>204</v>
      </c>
      <c r="D212" s="38" t="s">
        <v>205</v>
      </c>
      <c r="E212" s="37" t="s">
        <v>275</v>
      </c>
      <c r="F212" s="86">
        <v>0</v>
      </c>
      <c r="G212" s="86">
        <v>0</v>
      </c>
      <c r="H212" s="86">
        <v>0</v>
      </c>
      <c r="I212" s="86">
        <v>0</v>
      </c>
      <c r="J212" s="86">
        <v>0</v>
      </c>
      <c r="K212" s="86">
        <v>0</v>
      </c>
      <c r="L212" s="86">
        <v>0</v>
      </c>
      <c r="M212" s="86">
        <f t="shared" si="3"/>
        <v>0</v>
      </c>
    </row>
    <row r="213" spans="1:13" x14ac:dyDescent="0.25">
      <c r="A213" s="53">
        <v>211</v>
      </c>
      <c r="B213" s="53">
        <v>10278</v>
      </c>
      <c r="C213" s="38" t="s">
        <v>206</v>
      </c>
      <c r="D213" s="38" t="s">
        <v>205</v>
      </c>
      <c r="E213" s="37" t="s">
        <v>275</v>
      </c>
      <c r="F213" s="86">
        <v>0</v>
      </c>
      <c r="G213" s="86">
        <v>0</v>
      </c>
      <c r="H213" s="86">
        <v>0</v>
      </c>
      <c r="I213" s="86">
        <v>0</v>
      </c>
      <c r="J213" s="86">
        <v>0</v>
      </c>
      <c r="K213" s="86">
        <v>0</v>
      </c>
      <c r="L213" s="86">
        <v>0</v>
      </c>
      <c r="M213" s="86">
        <f t="shared" si="3"/>
        <v>0</v>
      </c>
    </row>
    <row r="214" spans="1:13" x14ac:dyDescent="0.25">
      <c r="A214" s="53">
        <v>212</v>
      </c>
      <c r="B214" s="53">
        <v>10229</v>
      </c>
      <c r="C214" s="38" t="s">
        <v>207</v>
      </c>
      <c r="D214" s="38" t="s">
        <v>208</v>
      </c>
      <c r="E214" s="37" t="s">
        <v>284</v>
      </c>
      <c r="F214" s="86">
        <v>0</v>
      </c>
      <c r="G214" s="86">
        <v>3.0139090909091335</v>
      </c>
      <c r="H214" s="86">
        <v>3.0139090909091335</v>
      </c>
      <c r="I214" s="86">
        <v>2.7125181818182198</v>
      </c>
      <c r="J214" s="86">
        <v>2.7125181818182198</v>
      </c>
      <c r="K214" s="86">
        <v>2.7125181818182198</v>
      </c>
      <c r="L214" s="86">
        <v>2.7125181818182198</v>
      </c>
      <c r="M214" s="86">
        <f t="shared" si="3"/>
        <v>16.877890909091146</v>
      </c>
    </row>
    <row r="215" spans="1:13" x14ac:dyDescent="0.25">
      <c r="A215" s="53">
        <v>213</v>
      </c>
      <c r="B215" s="53">
        <v>10347</v>
      </c>
      <c r="C215" s="38" t="s">
        <v>209</v>
      </c>
      <c r="D215" s="38" t="s">
        <v>69</v>
      </c>
      <c r="E215" s="37" t="s">
        <v>284</v>
      </c>
      <c r="F215" s="86">
        <v>0</v>
      </c>
      <c r="G215" s="86">
        <v>0</v>
      </c>
      <c r="H215" s="86">
        <v>0</v>
      </c>
      <c r="I215" s="86">
        <v>0</v>
      </c>
      <c r="J215" s="86">
        <v>0</v>
      </c>
      <c r="K215" s="86">
        <v>0</v>
      </c>
      <c r="L215" s="86">
        <v>0</v>
      </c>
      <c r="M215" s="86">
        <f t="shared" si="3"/>
        <v>0</v>
      </c>
    </row>
    <row r="216" spans="1:13" x14ac:dyDescent="0.25">
      <c r="A216" s="53">
        <v>214</v>
      </c>
      <c r="B216" s="53">
        <v>10286</v>
      </c>
      <c r="C216" s="38" t="s">
        <v>210</v>
      </c>
      <c r="D216" s="38" t="s">
        <v>69</v>
      </c>
      <c r="E216" s="37" t="s">
        <v>284</v>
      </c>
      <c r="F216" s="86">
        <v>0</v>
      </c>
      <c r="G216" s="86">
        <v>0</v>
      </c>
      <c r="H216" s="86">
        <v>0</v>
      </c>
      <c r="I216" s="86">
        <v>0</v>
      </c>
      <c r="J216" s="86">
        <v>0</v>
      </c>
      <c r="K216" s="86">
        <v>0</v>
      </c>
      <c r="L216" s="86">
        <v>0</v>
      </c>
      <c r="M216" s="86">
        <f t="shared" si="3"/>
        <v>0</v>
      </c>
    </row>
    <row r="217" spans="1:13" x14ac:dyDescent="0.25">
      <c r="A217" s="53">
        <v>215</v>
      </c>
      <c r="B217" s="53">
        <v>10396</v>
      </c>
      <c r="C217" s="38" t="s">
        <v>211</v>
      </c>
      <c r="D217" s="38" t="s">
        <v>69</v>
      </c>
      <c r="E217" s="37" t="s">
        <v>284</v>
      </c>
      <c r="F217" s="86">
        <v>0</v>
      </c>
      <c r="G217" s="86">
        <v>0</v>
      </c>
      <c r="H217" s="86">
        <v>0</v>
      </c>
      <c r="I217" s="86">
        <v>0</v>
      </c>
      <c r="J217" s="86">
        <v>0</v>
      </c>
      <c r="K217" s="86">
        <v>0</v>
      </c>
      <c r="L217" s="86">
        <v>0</v>
      </c>
      <c r="M217" s="86">
        <f t="shared" si="3"/>
        <v>0</v>
      </c>
    </row>
    <row r="218" spans="1:13" x14ac:dyDescent="0.25">
      <c r="A218" s="53">
        <v>216</v>
      </c>
      <c r="B218" s="53">
        <v>10403</v>
      </c>
      <c r="C218" s="38" t="s">
        <v>212</v>
      </c>
      <c r="D218" s="38" t="s">
        <v>69</v>
      </c>
      <c r="E218" s="37" t="s">
        <v>284</v>
      </c>
      <c r="F218" s="86">
        <v>0</v>
      </c>
      <c r="G218" s="86">
        <v>0</v>
      </c>
      <c r="H218" s="86">
        <v>0</v>
      </c>
      <c r="I218" s="86">
        <v>0</v>
      </c>
      <c r="J218" s="86">
        <v>0</v>
      </c>
      <c r="K218" s="86">
        <v>0</v>
      </c>
      <c r="L218" s="86">
        <v>0</v>
      </c>
      <c r="M218" s="86">
        <f t="shared" si="3"/>
        <v>0</v>
      </c>
    </row>
    <row r="219" spans="1:13" x14ac:dyDescent="0.25">
      <c r="A219" s="53">
        <v>217</v>
      </c>
      <c r="B219" s="53">
        <v>10516</v>
      </c>
      <c r="C219" s="38" t="s">
        <v>68</v>
      </c>
      <c r="D219" s="38" t="s">
        <v>69</v>
      </c>
      <c r="E219" s="37" t="s">
        <v>284</v>
      </c>
      <c r="F219" s="86">
        <v>0</v>
      </c>
      <c r="G219" s="86">
        <v>0</v>
      </c>
      <c r="H219" s="86">
        <v>0</v>
      </c>
      <c r="I219" s="86">
        <v>0</v>
      </c>
      <c r="J219" s="86">
        <v>0</v>
      </c>
      <c r="K219" s="86">
        <v>0</v>
      </c>
      <c r="L219" s="86">
        <v>0</v>
      </c>
      <c r="M219" s="86">
        <f t="shared" si="3"/>
        <v>0</v>
      </c>
    </row>
    <row r="220" spans="1:13" x14ac:dyDescent="0.25">
      <c r="A220" s="53">
        <v>218</v>
      </c>
      <c r="B220" s="53">
        <v>10536</v>
      </c>
      <c r="C220" s="38" t="s">
        <v>317</v>
      </c>
      <c r="D220" s="38" t="s">
        <v>69</v>
      </c>
      <c r="E220" s="37" t="s">
        <v>284</v>
      </c>
      <c r="F220" s="86">
        <v>0</v>
      </c>
      <c r="G220" s="86">
        <v>0</v>
      </c>
      <c r="H220" s="86">
        <v>0</v>
      </c>
      <c r="I220" s="86">
        <v>0</v>
      </c>
      <c r="J220" s="86">
        <v>0</v>
      </c>
      <c r="K220" s="86">
        <v>0</v>
      </c>
      <c r="L220" s="86">
        <v>0</v>
      </c>
      <c r="M220" s="86">
        <f t="shared" si="3"/>
        <v>0</v>
      </c>
    </row>
    <row r="221" spans="1:13" x14ac:dyDescent="0.25">
      <c r="A221" s="53">
        <v>219</v>
      </c>
      <c r="B221" s="53">
        <v>10404</v>
      </c>
      <c r="C221" s="38" t="s">
        <v>213</v>
      </c>
      <c r="D221" s="38" t="s">
        <v>69</v>
      </c>
      <c r="E221" s="37" t="s">
        <v>284</v>
      </c>
      <c r="F221" s="86">
        <v>0</v>
      </c>
      <c r="G221" s="86">
        <v>0</v>
      </c>
      <c r="H221" s="86">
        <v>0</v>
      </c>
      <c r="I221" s="86">
        <v>0</v>
      </c>
      <c r="J221" s="86">
        <v>0</v>
      </c>
      <c r="K221" s="86">
        <v>0</v>
      </c>
      <c r="L221" s="86">
        <v>0</v>
      </c>
      <c r="M221" s="86">
        <f t="shared" si="3"/>
        <v>0</v>
      </c>
    </row>
    <row r="222" spans="1:13" x14ac:dyDescent="0.25">
      <c r="A222" s="53">
        <v>220</v>
      </c>
      <c r="B222" s="53">
        <v>10588</v>
      </c>
      <c r="C222" s="38" t="s">
        <v>371</v>
      </c>
      <c r="D222" s="38" t="s">
        <v>69</v>
      </c>
      <c r="E222" s="37" t="s">
        <v>284</v>
      </c>
      <c r="F222" s="86">
        <v>0</v>
      </c>
      <c r="G222" s="86">
        <v>0</v>
      </c>
      <c r="H222" s="86">
        <v>0</v>
      </c>
      <c r="I222" s="86">
        <v>0</v>
      </c>
      <c r="J222" s="86">
        <v>0</v>
      </c>
      <c r="K222" s="86">
        <v>0</v>
      </c>
      <c r="L222" s="86">
        <v>0</v>
      </c>
      <c r="M222" s="86">
        <f t="shared" si="3"/>
        <v>0</v>
      </c>
    </row>
    <row r="223" spans="1:13" x14ac:dyDescent="0.25">
      <c r="A223" s="53">
        <v>221</v>
      </c>
      <c r="B223" s="53">
        <v>10601</v>
      </c>
      <c r="C223" s="38" t="s">
        <v>223</v>
      </c>
      <c r="D223" s="38" t="s">
        <v>378</v>
      </c>
      <c r="E223" s="37" t="s">
        <v>283</v>
      </c>
      <c r="F223" s="86">
        <v>300</v>
      </c>
      <c r="G223" s="86">
        <v>326.31363636363636</v>
      </c>
      <c r="H223" s="86">
        <v>346.20363636363635</v>
      </c>
      <c r="I223" s="86">
        <v>346.20363636363601</v>
      </c>
      <c r="J223" s="86">
        <v>0</v>
      </c>
      <c r="K223" s="86">
        <v>0</v>
      </c>
      <c r="L223" s="86">
        <v>0</v>
      </c>
      <c r="M223" s="86">
        <f t="shared" si="3"/>
        <v>1318.7209090909087</v>
      </c>
    </row>
    <row r="224" spans="1:13" x14ac:dyDescent="0.25">
      <c r="A224" s="53">
        <v>222</v>
      </c>
      <c r="B224" s="53">
        <v>10169</v>
      </c>
      <c r="C224" s="38" t="s">
        <v>214</v>
      </c>
      <c r="D224" s="38" t="s">
        <v>69</v>
      </c>
      <c r="E224" s="37" t="s">
        <v>284</v>
      </c>
      <c r="F224" s="86">
        <v>0</v>
      </c>
      <c r="G224" s="86">
        <v>0</v>
      </c>
      <c r="H224" s="86">
        <v>0</v>
      </c>
      <c r="I224" s="86">
        <v>0</v>
      </c>
      <c r="J224" s="86">
        <v>0</v>
      </c>
      <c r="K224" s="86">
        <v>0</v>
      </c>
      <c r="L224" s="86">
        <v>0</v>
      </c>
      <c r="M224" s="86">
        <f t="shared" si="3"/>
        <v>0</v>
      </c>
    </row>
    <row r="225" spans="1:13" x14ac:dyDescent="0.25">
      <c r="A225" s="53">
        <v>223</v>
      </c>
      <c r="B225" s="53">
        <v>10173</v>
      </c>
      <c r="C225" s="38" t="s">
        <v>215</v>
      </c>
      <c r="D225" s="38" t="s">
        <v>69</v>
      </c>
      <c r="E225" s="37" t="s">
        <v>284</v>
      </c>
      <c r="F225" s="86">
        <v>0</v>
      </c>
      <c r="G225" s="86">
        <v>0</v>
      </c>
      <c r="H225" s="86">
        <v>0</v>
      </c>
      <c r="I225" s="86">
        <v>0</v>
      </c>
      <c r="J225" s="86">
        <v>0</v>
      </c>
      <c r="K225" s="86">
        <v>0</v>
      </c>
      <c r="L225" s="86">
        <v>0</v>
      </c>
      <c r="M225" s="86">
        <f t="shared" si="3"/>
        <v>0</v>
      </c>
    </row>
    <row r="226" spans="1:13" x14ac:dyDescent="0.25">
      <c r="A226" s="53">
        <v>224</v>
      </c>
      <c r="B226" s="53">
        <v>10406</v>
      </c>
      <c r="C226" s="38" t="s">
        <v>216</v>
      </c>
      <c r="D226" s="38" t="s">
        <v>69</v>
      </c>
      <c r="E226" s="37" t="s">
        <v>284</v>
      </c>
      <c r="F226" s="86">
        <v>0</v>
      </c>
      <c r="G226" s="86">
        <v>0</v>
      </c>
      <c r="H226" s="86">
        <v>0</v>
      </c>
      <c r="I226" s="86">
        <v>0</v>
      </c>
      <c r="J226" s="86">
        <v>0</v>
      </c>
      <c r="K226" s="86">
        <v>0</v>
      </c>
      <c r="L226" s="86">
        <v>0</v>
      </c>
      <c r="M226" s="86">
        <f t="shared" si="3"/>
        <v>0</v>
      </c>
    </row>
    <row r="227" spans="1:13" x14ac:dyDescent="0.25">
      <c r="A227" s="53">
        <v>225</v>
      </c>
      <c r="B227" s="53">
        <v>10077</v>
      </c>
      <c r="C227" s="38" t="s">
        <v>217</v>
      </c>
      <c r="D227" s="38" t="s">
        <v>69</v>
      </c>
      <c r="E227" s="37" t="s">
        <v>284</v>
      </c>
      <c r="F227" s="86">
        <v>0</v>
      </c>
      <c r="G227" s="86">
        <v>0</v>
      </c>
      <c r="H227" s="86">
        <v>0</v>
      </c>
      <c r="I227" s="86">
        <v>0</v>
      </c>
      <c r="J227" s="86">
        <v>0</v>
      </c>
      <c r="K227" s="86">
        <v>0</v>
      </c>
      <c r="L227" s="86">
        <v>0</v>
      </c>
      <c r="M227" s="86">
        <f t="shared" si="3"/>
        <v>0</v>
      </c>
    </row>
    <row r="228" spans="1:13" x14ac:dyDescent="0.25">
      <c r="A228" s="53">
        <v>226</v>
      </c>
      <c r="B228" s="53">
        <v>10593</v>
      </c>
      <c r="C228" s="38" t="s">
        <v>376</v>
      </c>
      <c r="D228" s="38" t="s">
        <v>69</v>
      </c>
      <c r="E228" s="37" t="s">
        <v>284</v>
      </c>
      <c r="F228" s="86">
        <v>0</v>
      </c>
      <c r="G228" s="86">
        <v>0</v>
      </c>
      <c r="H228" s="86">
        <v>0</v>
      </c>
      <c r="I228" s="86">
        <v>0</v>
      </c>
      <c r="J228" s="86">
        <v>0</v>
      </c>
      <c r="K228" s="86">
        <v>0</v>
      </c>
      <c r="L228" s="86">
        <v>0</v>
      </c>
      <c r="M228" s="86">
        <f t="shared" si="3"/>
        <v>0</v>
      </c>
    </row>
    <row r="229" spans="1:13" x14ac:dyDescent="0.25">
      <c r="A229" s="53">
        <v>227</v>
      </c>
      <c r="B229" s="53">
        <v>10351</v>
      </c>
      <c r="C229" s="38" t="s">
        <v>218</v>
      </c>
      <c r="D229" s="38" t="s">
        <v>219</v>
      </c>
      <c r="E229" s="37" t="s">
        <v>284</v>
      </c>
      <c r="F229" s="86">
        <v>0</v>
      </c>
      <c r="G229" s="86">
        <v>2.431636363636406</v>
      </c>
      <c r="H229" s="86">
        <v>2.431636363636406</v>
      </c>
      <c r="I229" s="86">
        <v>2.18847272727277</v>
      </c>
      <c r="J229" s="86">
        <v>2.18847272727277</v>
      </c>
      <c r="K229" s="86">
        <v>2.1884727272727602</v>
      </c>
      <c r="L229" s="86">
        <v>2.1884727272727602</v>
      </c>
      <c r="M229" s="86">
        <f t="shared" si="3"/>
        <v>13.617163636363873</v>
      </c>
    </row>
    <row r="230" spans="1:13" x14ac:dyDescent="0.25">
      <c r="A230" s="53">
        <v>228</v>
      </c>
      <c r="B230" s="53">
        <v>10344</v>
      </c>
      <c r="C230" s="38" t="s">
        <v>220</v>
      </c>
      <c r="D230" s="38" t="s">
        <v>69</v>
      </c>
      <c r="E230" s="37" t="s">
        <v>284</v>
      </c>
      <c r="F230" s="86">
        <v>0</v>
      </c>
      <c r="G230" s="86">
        <v>0</v>
      </c>
      <c r="H230" s="86">
        <v>0</v>
      </c>
      <c r="I230" s="86">
        <v>0</v>
      </c>
      <c r="J230" s="86">
        <v>0</v>
      </c>
      <c r="K230" s="86">
        <v>0</v>
      </c>
      <c r="L230" s="86">
        <v>0</v>
      </c>
      <c r="M230" s="86">
        <f t="shared" si="3"/>
        <v>0</v>
      </c>
    </row>
    <row r="231" spans="1:13" x14ac:dyDescent="0.25">
      <c r="A231" s="53">
        <v>229</v>
      </c>
      <c r="B231" s="53">
        <v>10082</v>
      </c>
      <c r="C231" s="38" t="s">
        <v>221</v>
      </c>
      <c r="D231" s="38" t="s">
        <v>69</v>
      </c>
      <c r="E231" s="37" t="s">
        <v>284</v>
      </c>
      <c r="F231" s="86">
        <v>0</v>
      </c>
      <c r="G231" s="86">
        <v>0</v>
      </c>
      <c r="H231" s="86">
        <v>0</v>
      </c>
      <c r="I231" s="86">
        <v>0</v>
      </c>
      <c r="J231" s="86">
        <v>0</v>
      </c>
      <c r="K231" s="86">
        <v>0</v>
      </c>
      <c r="L231" s="86">
        <v>0</v>
      </c>
      <c r="M231" s="86">
        <f t="shared" si="3"/>
        <v>0</v>
      </c>
    </row>
    <row r="232" spans="1:13" x14ac:dyDescent="0.25">
      <c r="A232" s="53">
        <v>230</v>
      </c>
      <c r="B232" s="53">
        <v>10510</v>
      </c>
      <c r="C232" s="38" t="s">
        <v>222</v>
      </c>
      <c r="D232" s="38" t="s">
        <v>69</v>
      </c>
      <c r="E232" s="37" t="s">
        <v>284</v>
      </c>
      <c r="F232" s="86">
        <v>0</v>
      </c>
      <c r="G232" s="86">
        <v>0</v>
      </c>
      <c r="H232" s="86">
        <v>0</v>
      </c>
      <c r="I232" s="86">
        <v>0</v>
      </c>
      <c r="J232" s="86">
        <v>0</v>
      </c>
      <c r="K232" s="86">
        <v>0</v>
      </c>
      <c r="L232" s="86">
        <v>0</v>
      </c>
      <c r="M232" s="86">
        <f t="shared" si="3"/>
        <v>0</v>
      </c>
    </row>
    <row r="233" spans="1:13" x14ac:dyDescent="0.25">
      <c r="A233" s="53">
        <v>231</v>
      </c>
      <c r="B233" s="53">
        <v>10527</v>
      </c>
      <c r="C233" s="38" t="s">
        <v>224</v>
      </c>
      <c r="D233" s="38" t="s">
        <v>47</v>
      </c>
      <c r="E233" s="37" t="s">
        <v>283</v>
      </c>
      <c r="F233" s="86">
        <v>0</v>
      </c>
      <c r="G233" s="86">
        <v>0</v>
      </c>
      <c r="H233" s="86">
        <v>5</v>
      </c>
      <c r="I233" s="86">
        <v>7.5909090909090899</v>
      </c>
      <c r="J233" s="86">
        <v>18.265909090909101</v>
      </c>
      <c r="K233" s="86">
        <v>52.390353535353498</v>
      </c>
      <c r="L233" s="86">
        <v>52.390353535353498</v>
      </c>
      <c r="M233" s="86">
        <f t="shared" si="3"/>
        <v>135.63752525252517</v>
      </c>
    </row>
    <row r="234" spans="1:13" x14ac:dyDescent="0.25">
      <c r="A234" s="53">
        <v>232</v>
      </c>
      <c r="B234" s="53">
        <v>10088</v>
      </c>
      <c r="C234" s="38" t="s">
        <v>225</v>
      </c>
      <c r="D234" s="38" t="s">
        <v>226</v>
      </c>
      <c r="E234" s="37" t="s">
        <v>275</v>
      </c>
      <c r="F234" s="86">
        <v>0</v>
      </c>
      <c r="G234" s="86">
        <v>0</v>
      </c>
      <c r="H234" s="86">
        <v>0</v>
      </c>
      <c r="I234" s="86">
        <v>0</v>
      </c>
      <c r="J234" s="86">
        <v>0</v>
      </c>
      <c r="K234" s="86">
        <v>0</v>
      </c>
      <c r="L234" s="86">
        <v>0</v>
      </c>
      <c r="M234" s="86">
        <f t="shared" si="3"/>
        <v>0</v>
      </c>
    </row>
    <row r="235" spans="1:13" x14ac:dyDescent="0.25">
      <c r="A235" s="53">
        <v>233</v>
      </c>
      <c r="B235" s="53">
        <v>10183</v>
      </c>
      <c r="C235" s="38" t="s">
        <v>227</v>
      </c>
      <c r="D235" s="38" t="s">
        <v>228</v>
      </c>
      <c r="E235" s="37" t="s">
        <v>275</v>
      </c>
      <c r="F235" s="86">
        <v>0</v>
      </c>
      <c r="G235" s="86">
        <v>0</v>
      </c>
      <c r="H235" s="86">
        <v>0</v>
      </c>
      <c r="I235" s="86">
        <v>0</v>
      </c>
      <c r="J235" s="86">
        <v>0</v>
      </c>
      <c r="K235" s="86">
        <v>0</v>
      </c>
      <c r="L235" s="86">
        <v>0</v>
      </c>
      <c r="M235" s="86">
        <f t="shared" si="3"/>
        <v>0</v>
      </c>
    </row>
    <row r="236" spans="1:13" x14ac:dyDescent="0.25">
      <c r="A236" s="53">
        <v>234</v>
      </c>
      <c r="B236" s="53">
        <v>10592</v>
      </c>
      <c r="C236" s="38" t="s">
        <v>377</v>
      </c>
      <c r="D236" s="38" t="s">
        <v>378</v>
      </c>
      <c r="E236" s="37" t="s">
        <v>283</v>
      </c>
      <c r="F236" s="86">
        <v>270</v>
      </c>
      <c r="G236" s="86">
        <v>300.22727272727275</v>
      </c>
      <c r="H236" s="86">
        <v>312.37727272727273</v>
      </c>
      <c r="I236" s="86">
        <v>312.37727272727301</v>
      </c>
      <c r="J236" s="86">
        <v>312.37727272727301</v>
      </c>
      <c r="K236" s="86">
        <v>317.83441558441598</v>
      </c>
      <c r="L236" s="86">
        <v>317.83441558441501</v>
      </c>
      <c r="M236" s="86">
        <f t="shared" si="3"/>
        <v>2143.0279220779225</v>
      </c>
    </row>
    <row r="237" spans="1:13" x14ac:dyDescent="0.25">
      <c r="A237" s="53">
        <v>235</v>
      </c>
      <c r="B237" s="53">
        <v>10346</v>
      </c>
      <c r="C237" s="38" t="s">
        <v>229</v>
      </c>
      <c r="D237" s="38" t="s">
        <v>219</v>
      </c>
      <c r="E237" s="37" t="s">
        <v>284</v>
      </c>
      <c r="F237" s="86">
        <v>0</v>
      </c>
      <c r="G237" s="86">
        <v>0</v>
      </c>
      <c r="H237" s="86">
        <v>0</v>
      </c>
      <c r="I237" s="86">
        <v>0</v>
      </c>
      <c r="J237" s="86">
        <v>0</v>
      </c>
      <c r="K237" s="86">
        <v>0</v>
      </c>
      <c r="L237" s="86">
        <v>0</v>
      </c>
      <c r="M237" s="86">
        <f t="shared" si="3"/>
        <v>0</v>
      </c>
    </row>
    <row r="238" spans="1:13" x14ac:dyDescent="0.25">
      <c r="A238" s="53">
        <v>236</v>
      </c>
      <c r="B238" s="53">
        <v>10322</v>
      </c>
      <c r="C238" s="38" t="s">
        <v>230</v>
      </c>
      <c r="D238" s="38" t="s">
        <v>69</v>
      </c>
      <c r="E238" s="37" t="s">
        <v>284</v>
      </c>
      <c r="F238" s="86">
        <v>0</v>
      </c>
      <c r="G238" s="86">
        <v>0</v>
      </c>
      <c r="H238" s="86">
        <v>0</v>
      </c>
      <c r="I238" s="86">
        <v>0</v>
      </c>
      <c r="J238" s="86">
        <v>0</v>
      </c>
      <c r="K238" s="86">
        <v>0</v>
      </c>
      <c r="L238" s="86">
        <v>0</v>
      </c>
      <c r="M238" s="86">
        <f t="shared" si="3"/>
        <v>0</v>
      </c>
    </row>
    <row r="239" spans="1:13" x14ac:dyDescent="0.25">
      <c r="A239" s="53">
        <v>237</v>
      </c>
      <c r="B239" s="53">
        <v>10488</v>
      </c>
      <c r="C239" s="38" t="s">
        <v>231</v>
      </c>
      <c r="D239" s="38" t="s">
        <v>228</v>
      </c>
      <c r="E239" s="37" t="s">
        <v>275</v>
      </c>
      <c r="F239" s="86">
        <v>0</v>
      </c>
      <c r="G239" s="86">
        <v>0</v>
      </c>
      <c r="H239" s="86">
        <v>0</v>
      </c>
      <c r="I239" s="86">
        <v>0</v>
      </c>
      <c r="J239" s="86">
        <v>0</v>
      </c>
      <c r="K239" s="86">
        <v>0</v>
      </c>
      <c r="L239" s="86">
        <v>0</v>
      </c>
      <c r="M239" s="86">
        <f t="shared" si="3"/>
        <v>0</v>
      </c>
    </row>
    <row r="240" spans="1:13" x14ac:dyDescent="0.25">
      <c r="A240" s="53">
        <v>238</v>
      </c>
      <c r="B240" s="53">
        <v>10398</v>
      </c>
      <c r="C240" s="38" t="s">
        <v>232</v>
      </c>
      <c r="D240" s="38" t="s">
        <v>69</v>
      </c>
      <c r="E240" s="37" t="s">
        <v>284</v>
      </c>
      <c r="F240" s="86">
        <v>0</v>
      </c>
      <c r="G240" s="86">
        <v>0</v>
      </c>
      <c r="H240" s="86">
        <v>0</v>
      </c>
      <c r="I240" s="86">
        <v>0</v>
      </c>
      <c r="J240" s="86">
        <v>0</v>
      </c>
      <c r="K240" s="86">
        <v>0</v>
      </c>
      <c r="L240" s="86">
        <v>0</v>
      </c>
      <c r="M240" s="86">
        <f t="shared" si="3"/>
        <v>0</v>
      </c>
    </row>
    <row r="241" spans="1:13" x14ac:dyDescent="0.25">
      <c r="A241" s="53">
        <v>239</v>
      </c>
      <c r="B241" s="53">
        <v>10340</v>
      </c>
      <c r="C241" s="38" t="s">
        <v>233</v>
      </c>
      <c r="D241" s="38" t="s">
        <v>69</v>
      </c>
      <c r="E241" s="37" t="s">
        <v>284</v>
      </c>
      <c r="F241" s="86">
        <v>0</v>
      </c>
      <c r="G241" s="86">
        <v>0</v>
      </c>
      <c r="H241" s="86">
        <v>0</v>
      </c>
      <c r="I241" s="86">
        <v>0</v>
      </c>
      <c r="J241" s="86">
        <v>0</v>
      </c>
      <c r="K241" s="86">
        <v>0</v>
      </c>
      <c r="L241" s="86">
        <v>0</v>
      </c>
      <c r="M241" s="86">
        <f t="shared" si="3"/>
        <v>0</v>
      </c>
    </row>
    <row r="242" spans="1:13" x14ac:dyDescent="0.25">
      <c r="A242" s="53">
        <v>240</v>
      </c>
      <c r="B242" s="53">
        <v>10153</v>
      </c>
      <c r="C242" s="38" t="s">
        <v>234</v>
      </c>
      <c r="D242" s="38" t="s">
        <v>205</v>
      </c>
      <c r="E242" s="37" t="s">
        <v>275</v>
      </c>
      <c r="F242" s="86">
        <v>0</v>
      </c>
      <c r="G242" s="86">
        <v>0</v>
      </c>
      <c r="H242" s="86">
        <v>0</v>
      </c>
      <c r="I242" s="86">
        <v>0</v>
      </c>
      <c r="J242" s="86">
        <v>0</v>
      </c>
      <c r="K242" s="86">
        <v>0</v>
      </c>
      <c r="L242" s="86">
        <v>0</v>
      </c>
      <c r="M242" s="86">
        <f t="shared" si="3"/>
        <v>0</v>
      </c>
    </row>
    <row r="243" spans="1:13" x14ac:dyDescent="0.25">
      <c r="A243" s="53">
        <v>241</v>
      </c>
      <c r="B243" s="53">
        <v>10532</v>
      </c>
      <c r="C243" s="38" t="s">
        <v>312</v>
      </c>
      <c r="D243" s="38" t="s">
        <v>69</v>
      </c>
      <c r="E243" s="37" t="s">
        <v>284</v>
      </c>
      <c r="F243" s="86">
        <v>0</v>
      </c>
      <c r="G243" s="86">
        <v>0</v>
      </c>
      <c r="H243" s="86">
        <v>0</v>
      </c>
      <c r="I243" s="86">
        <v>0</v>
      </c>
      <c r="J243" s="86">
        <v>0</v>
      </c>
      <c r="K243" s="86">
        <v>0</v>
      </c>
      <c r="L243" s="86">
        <v>0</v>
      </c>
      <c r="M243" s="86">
        <f t="shared" si="3"/>
        <v>0</v>
      </c>
    </row>
    <row r="244" spans="1:13" x14ac:dyDescent="0.25">
      <c r="A244" s="53">
        <v>242</v>
      </c>
      <c r="B244" s="53">
        <v>10462</v>
      </c>
      <c r="C244" s="38" t="s">
        <v>236</v>
      </c>
      <c r="D244" s="38" t="s">
        <v>69</v>
      </c>
      <c r="E244" s="37" t="s">
        <v>284</v>
      </c>
      <c r="F244" s="86">
        <v>0</v>
      </c>
      <c r="G244" s="86">
        <v>0</v>
      </c>
      <c r="H244" s="86">
        <v>0</v>
      </c>
      <c r="I244" s="86">
        <v>0</v>
      </c>
      <c r="J244" s="86">
        <v>0</v>
      </c>
      <c r="K244" s="86">
        <v>0</v>
      </c>
      <c r="L244" s="86">
        <v>0</v>
      </c>
      <c r="M244" s="86">
        <f t="shared" si="3"/>
        <v>0</v>
      </c>
    </row>
    <row r="245" spans="1:13" x14ac:dyDescent="0.25">
      <c r="A245" s="53">
        <v>243</v>
      </c>
      <c r="B245" s="53">
        <v>10470</v>
      </c>
      <c r="C245" s="38" t="s">
        <v>237</v>
      </c>
      <c r="D245" s="38" t="s">
        <v>69</v>
      </c>
      <c r="E245" s="37" t="s">
        <v>284</v>
      </c>
      <c r="F245" s="86">
        <v>0</v>
      </c>
      <c r="G245" s="86">
        <v>0</v>
      </c>
      <c r="H245" s="86">
        <v>0</v>
      </c>
      <c r="I245" s="86">
        <v>0</v>
      </c>
      <c r="J245" s="86">
        <v>0</v>
      </c>
      <c r="K245" s="86">
        <v>0</v>
      </c>
      <c r="L245" s="86">
        <v>0</v>
      </c>
      <c r="M245" s="86">
        <f t="shared" si="3"/>
        <v>0</v>
      </c>
    </row>
    <row r="246" spans="1:13" x14ac:dyDescent="0.25">
      <c r="A246" s="53">
        <v>244</v>
      </c>
      <c r="B246" s="53">
        <v>10535</v>
      </c>
      <c r="C246" s="38" t="s">
        <v>316</v>
      </c>
      <c r="D246" s="38" t="s">
        <v>69</v>
      </c>
      <c r="E246" s="37" t="s">
        <v>284</v>
      </c>
      <c r="F246" s="86">
        <v>0</v>
      </c>
      <c r="G246" s="86">
        <v>0</v>
      </c>
      <c r="H246" s="86">
        <v>0</v>
      </c>
      <c r="I246" s="86">
        <v>0</v>
      </c>
      <c r="J246" s="86">
        <v>0</v>
      </c>
      <c r="K246" s="86">
        <v>0</v>
      </c>
      <c r="L246" s="86">
        <v>0</v>
      </c>
      <c r="M246" s="86">
        <f t="shared" si="3"/>
        <v>0</v>
      </c>
    </row>
    <row r="247" spans="1:13" x14ac:dyDescent="0.25">
      <c r="A247" s="53">
        <v>245</v>
      </c>
      <c r="B247" s="53">
        <v>10600</v>
      </c>
      <c r="C247" s="38" t="s">
        <v>235</v>
      </c>
      <c r="D247" s="38" t="s">
        <v>69</v>
      </c>
      <c r="E247" s="37" t="s">
        <v>284</v>
      </c>
      <c r="F247" s="86">
        <v>0</v>
      </c>
      <c r="G247" s="86">
        <v>0</v>
      </c>
      <c r="H247" s="86">
        <v>0</v>
      </c>
      <c r="I247" s="86">
        <v>0</v>
      </c>
      <c r="J247" s="86">
        <v>0</v>
      </c>
      <c r="K247" s="86">
        <v>0</v>
      </c>
      <c r="L247" s="86">
        <v>0</v>
      </c>
      <c r="M247" s="86">
        <f t="shared" si="3"/>
        <v>0</v>
      </c>
    </row>
    <row r="248" spans="1:13" x14ac:dyDescent="0.25">
      <c r="A248" s="53">
        <v>246</v>
      </c>
      <c r="B248" s="53">
        <v>10624</v>
      </c>
      <c r="C248" s="38" t="s">
        <v>423</v>
      </c>
      <c r="D248" s="38" t="s">
        <v>69</v>
      </c>
      <c r="E248" s="37" t="s">
        <v>284</v>
      </c>
      <c r="F248" s="86">
        <v>0</v>
      </c>
      <c r="G248" s="86">
        <v>0</v>
      </c>
      <c r="H248" s="86">
        <v>0</v>
      </c>
      <c r="I248" s="86">
        <v>0</v>
      </c>
      <c r="J248" s="86">
        <v>0</v>
      </c>
      <c r="K248" s="86">
        <v>0</v>
      </c>
      <c r="L248" s="86">
        <v>0</v>
      </c>
      <c r="M248" s="86">
        <f t="shared" si="3"/>
        <v>0</v>
      </c>
    </row>
    <row r="249" spans="1:13" x14ac:dyDescent="0.25">
      <c r="A249" s="53">
        <v>247</v>
      </c>
      <c r="B249" s="53">
        <v>10274</v>
      </c>
      <c r="C249" s="38" t="s">
        <v>238</v>
      </c>
      <c r="D249" s="38" t="s">
        <v>69</v>
      </c>
      <c r="E249" s="37" t="s">
        <v>284</v>
      </c>
      <c r="F249" s="86">
        <v>0</v>
      </c>
      <c r="G249" s="86">
        <v>0</v>
      </c>
      <c r="H249" s="86">
        <v>0</v>
      </c>
      <c r="I249" s="86">
        <v>0</v>
      </c>
      <c r="J249" s="86">
        <v>0</v>
      </c>
      <c r="K249" s="86">
        <v>0</v>
      </c>
      <c r="L249" s="86">
        <v>0</v>
      </c>
      <c r="M249" s="86">
        <f t="shared" si="3"/>
        <v>0</v>
      </c>
    </row>
    <row r="250" spans="1:13" x14ac:dyDescent="0.25">
      <c r="A250" s="53">
        <v>248</v>
      </c>
      <c r="B250" s="53">
        <v>10611</v>
      </c>
      <c r="C250" s="38" t="s">
        <v>387</v>
      </c>
      <c r="D250" s="38" t="s">
        <v>69</v>
      </c>
      <c r="E250" s="37" t="s">
        <v>284</v>
      </c>
      <c r="F250" s="86">
        <v>0</v>
      </c>
      <c r="G250" s="86">
        <v>0</v>
      </c>
      <c r="H250" s="86">
        <v>0</v>
      </c>
      <c r="I250" s="86">
        <v>0</v>
      </c>
      <c r="J250" s="86">
        <v>0</v>
      </c>
      <c r="K250" s="86">
        <v>0</v>
      </c>
      <c r="L250" s="86">
        <v>0</v>
      </c>
      <c r="M250" s="86">
        <f t="shared" si="3"/>
        <v>0</v>
      </c>
    </row>
    <row r="251" spans="1:13" x14ac:dyDescent="0.25">
      <c r="A251" s="53">
        <v>249</v>
      </c>
      <c r="B251" s="53">
        <v>10101</v>
      </c>
      <c r="C251" s="38" t="s">
        <v>239</v>
      </c>
      <c r="D251" s="38" t="s">
        <v>240</v>
      </c>
      <c r="E251" s="37" t="s">
        <v>283</v>
      </c>
      <c r="F251" s="86">
        <v>46821.233333333337</v>
      </c>
      <c r="G251" s="86">
        <v>51422.660606060599</v>
      </c>
      <c r="H251" s="86">
        <v>54126.490606060615</v>
      </c>
      <c r="I251" s="86">
        <v>54126.490606060601</v>
      </c>
      <c r="J251" s="86">
        <v>57295.828106060602</v>
      </c>
      <c r="K251" s="86">
        <v>60106.478106060596</v>
      </c>
      <c r="L251" s="86">
        <v>60106.478106060596</v>
      </c>
      <c r="M251" s="86">
        <f t="shared" si="3"/>
        <v>384005.65946969693</v>
      </c>
    </row>
    <row r="252" spans="1:13" x14ac:dyDescent="0.25">
      <c r="A252" s="53">
        <v>250</v>
      </c>
      <c r="B252" s="53">
        <v>10432</v>
      </c>
      <c r="C252" s="38" t="s">
        <v>241</v>
      </c>
      <c r="D252" s="38" t="s">
        <v>242</v>
      </c>
      <c r="E252" s="37" t="s">
        <v>283</v>
      </c>
      <c r="F252" s="86">
        <v>215.09666666666666</v>
      </c>
      <c r="G252" s="86">
        <v>264.43757575757576</v>
      </c>
      <c r="H252" s="86">
        <v>280.4375757575757</v>
      </c>
      <c r="I252" s="86">
        <v>280.43757575757598</v>
      </c>
      <c r="J252" s="86">
        <v>292.25007575757598</v>
      </c>
      <c r="K252" s="86">
        <v>309.45007575757597</v>
      </c>
      <c r="L252" s="86">
        <v>311.31674242424202</v>
      </c>
      <c r="M252" s="86">
        <f t="shared" si="3"/>
        <v>1953.4262878787881</v>
      </c>
    </row>
    <row r="253" spans="1:13" x14ac:dyDescent="0.25">
      <c r="A253" s="53">
        <v>251</v>
      </c>
      <c r="B253" s="53">
        <v>10391</v>
      </c>
      <c r="C253" s="38" t="s">
        <v>243</v>
      </c>
      <c r="D253" s="38" t="s">
        <v>242</v>
      </c>
      <c r="E253" s="37" t="s">
        <v>283</v>
      </c>
      <c r="F253" s="86">
        <v>362.78500000000003</v>
      </c>
      <c r="G253" s="86">
        <v>438.96681818181821</v>
      </c>
      <c r="H253" s="86">
        <v>2907.2758181818181</v>
      </c>
      <c r="I253" s="86">
        <v>2946.2035959596001</v>
      </c>
      <c r="J253" s="86">
        <v>6089.1235959595997</v>
      </c>
      <c r="K253" s="86">
        <v>7257.9678816738797</v>
      </c>
      <c r="L253" s="86">
        <v>10892.1478816738</v>
      </c>
      <c r="M253" s="86">
        <f t="shared" si="3"/>
        <v>30894.470591630517</v>
      </c>
    </row>
    <row r="254" spans="1:13" x14ac:dyDescent="0.25">
      <c r="A254" s="53">
        <v>252</v>
      </c>
      <c r="B254" s="53">
        <v>10102</v>
      </c>
      <c r="C254" s="38" t="s">
        <v>244</v>
      </c>
      <c r="D254" s="38" t="s">
        <v>205</v>
      </c>
      <c r="E254" s="37" t="s">
        <v>275</v>
      </c>
      <c r="F254" s="86">
        <v>0</v>
      </c>
      <c r="G254" s="86">
        <v>0</v>
      </c>
      <c r="H254" s="86">
        <v>0</v>
      </c>
      <c r="I254" s="86">
        <v>0</v>
      </c>
      <c r="J254" s="86">
        <v>0</v>
      </c>
      <c r="K254" s="86">
        <v>0</v>
      </c>
      <c r="L254" s="86">
        <v>0</v>
      </c>
      <c r="M254" s="86">
        <f t="shared" si="3"/>
        <v>0</v>
      </c>
    </row>
    <row r="255" spans="1:13" x14ac:dyDescent="0.25">
      <c r="A255" s="53">
        <v>253</v>
      </c>
      <c r="B255" s="53">
        <v>10103</v>
      </c>
      <c r="C255" s="38" t="s">
        <v>245</v>
      </c>
      <c r="D255" s="38" t="s">
        <v>208</v>
      </c>
      <c r="E255" s="37" t="s">
        <v>284</v>
      </c>
      <c r="F255" s="86">
        <v>10.048041666666686</v>
      </c>
      <c r="G255" s="86">
        <v>15.696814393939436</v>
      </c>
      <c r="H255" s="86">
        <v>15.696814393939437</v>
      </c>
      <c r="I255" s="86">
        <v>15.6968143939394</v>
      </c>
      <c r="J255" s="86">
        <v>15.6968143939394</v>
      </c>
      <c r="K255" s="86">
        <v>15.6968143939394</v>
      </c>
      <c r="L255" s="86">
        <v>15.6968143939395</v>
      </c>
      <c r="M255" s="86">
        <f t="shared" si="3"/>
        <v>104.22892803030327</v>
      </c>
    </row>
    <row r="256" spans="1:13" x14ac:dyDescent="0.25">
      <c r="A256" s="53">
        <v>254</v>
      </c>
      <c r="B256" s="53">
        <v>10104</v>
      </c>
      <c r="C256" s="38" t="s">
        <v>246</v>
      </c>
      <c r="D256" s="38" t="s">
        <v>69</v>
      </c>
      <c r="E256" s="37" t="s">
        <v>284</v>
      </c>
      <c r="F256" s="86">
        <v>0</v>
      </c>
      <c r="G256" s="86">
        <v>0</v>
      </c>
      <c r="H256" s="86">
        <v>0</v>
      </c>
      <c r="I256" s="86">
        <v>0</v>
      </c>
      <c r="J256" s="86">
        <v>0</v>
      </c>
      <c r="K256" s="86">
        <v>0</v>
      </c>
      <c r="L256" s="86">
        <v>0</v>
      </c>
      <c r="M256" s="86">
        <f t="shared" si="3"/>
        <v>0</v>
      </c>
    </row>
    <row r="257" spans="1:13" x14ac:dyDescent="0.25">
      <c r="A257" s="53">
        <v>255</v>
      </c>
      <c r="B257" s="53">
        <v>10107</v>
      </c>
      <c r="C257" s="38" t="s">
        <v>247</v>
      </c>
      <c r="D257" s="38" t="s">
        <v>69</v>
      </c>
      <c r="E257" s="37" t="s">
        <v>284</v>
      </c>
      <c r="F257" s="86">
        <v>0</v>
      </c>
      <c r="G257" s="86">
        <v>0</v>
      </c>
      <c r="H257" s="86">
        <v>0</v>
      </c>
      <c r="I257" s="86">
        <v>0</v>
      </c>
      <c r="J257" s="86">
        <v>0</v>
      </c>
      <c r="K257" s="86">
        <v>0</v>
      </c>
      <c r="L257" s="86">
        <v>0</v>
      </c>
      <c r="M257" s="86">
        <f t="shared" si="3"/>
        <v>0</v>
      </c>
    </row>
    <row r="258" spans="1:13" x14ac:dyDescent="0.25">
      <c r="A258" s="53">
        <v>256</v>
      </c>
      <c r="B258" s="53">
        <v>10345</v>
      </c>
      <c r="C258" s="38" t="s">
        <v>248</v>
      </c>
      <c r="D258" s="38" t="s">
        <v>69</v>
      </c>
      <c r="E258" s="37" t="s">
        <v>284</v>
      </c>
      <c r="F258" s="86">
        <v>0</v>
      </c>
      <c r="G258" s="86">
        <v>0</v>
      </c>
      <c r="H258" s="86">
        <v>0</v>
      </c>
      <c r="I258" s="86">
        <v>0</v>
      </c>
      <c r="J258" s="86">
        <v>0</v>
      </c>
      <c r="K258" s="86">
        <v>0</v>
      </c>
      <c r="L258" s="86">
        <v>0</v>
      </c>
      <c r="M258" s="86">
        <f t="shared" si="3"/>
        <v>0</v>
      </c>
    </row>
    <row r="259" spans="1:13" x14ac:dyDescent="0.25">
      <c r="A259" s="53">
        <v>257</v>
      </c>
      <c r="B259" s="53">
        <v>10292</v>
      </c>
      <c r="C259" s="38" t="s">
        <v>249</v>
      </c>
      <c r="D259" s="38" t="s">
        <v>69</v>
      </c>
      <c r="E259" s="37" t="s">
        <v>284</v>
      </c>
      <c r="F259" s="86">
        <v>0</v>
      </c>
      <c r="G259" s="86">
        <v>0</v>
      </c>
      <c r="H259" s="86">
        <v>0</v>
      </c>
      <c r="I259" s="86">
        <v>0</v>
      </c>
      <c r="J259" s="86">
        <v>0</v>
      </c>
      <c r="K259" s="86">
        <v>0</v>
      </c>
      <c r="L259" s="86">
        <v>0</v>
      </c>
      <c r="M259" s="86">
        <f t="shared" si="3"/>
        <v>0</v>
      </c>
    </row>
    <row r="260" spans="1:13" x14ac:dyDescent="0.25">
      <c r="A260" s="53">
        <v>258</v>
      </c>
      <c r="B260" s="53">
        <v>10402</v>
      </c>
      <c r="C260" s="38" t="s">
        <v>250</v>
      </c>
      <c r="D260" s="38" t="s">
        <v>69</v>
      </c>
      <c r="E260" s="37" t="s">
        <v>284</v>
      </c>
      <c r="F260" s="86">
        <v>0</v>
      </c>
      <c r="G260" s="86">
        <v>0</v>
      </c>
      <c r="H260" s="86">
        <v>0</v>
      </c>
      <c r="I260" s="86">
        <v>0</v>
      </c>
      <c r="J260" s="86">
        <v>0</v>
      </c>
      <c r="K260" s="86">
        <v>0</v>
      </c>
      <c r="L260" s="86">
        <v>0</v>
      </c>
      <c r="M260" s="86">
        <f t="shared" ref="M260:M323" si="4">SUM(F260:L260)</f>
        <v>0</v>
      </c>
    </row>
    <row r="261" spans="1:13" x14ac:dyDescent="0.25">
      <c r="A261" s="53">
        <v>259</v>
      </c>
      <c r="B261" s="53">
        <v>10493</v>
      </c>
      <c r="C261" s="38" t="s">
        <v>251</v>
      </c>
      <c r="D261" s="38" t="s">
        <v>69</v>
      </c>
      <c r="E261" s="37" t="s">
        <v>284</v>
      </c>
      <c r="F261" s="86">
        <v>0</v>
      </c>
      <c r="G261" s="86">
        <v>0</v>
      </c>
      <c r="H261" s="86">
        <v>0</v>
      </c>
      <c r="I261" s="86">
        <v>0</v>
      </c>
      <c r="J261" s="86">
        <v>0</v>
      </c>
      <c r="K261" s="86">
        <v>0</v>
      </c>
      <c r="L261" s="86">
        <v>0</v>
      </c>
      <c r="M261" s="86">
        <f t="shared" si="4"/>
        <v>0</v>
      </c>
    </row>
    <row r="262" spans="1:13" x14ac:dyDescent="0.25">
      <c r="A262" s="53">
        <v>260</v>
      </c>
      <c r="B262" s="53">
        <v>10426</v>
      </c>
      <c r="C262" s="38" t="s">
        <v>252</v>
      </c>
      <c r="D262" s="38" t="s">
        <v>69</v>
      </c>
      <c r="E262" s="37" t="s">
        <v>284</v>
      </c>
      <c r="F262" s="86">
        <v>0</v>
      </c>
      <c r="G262" s="86">
        <v>0</v>
      </c>
      <c r="H262" s="86">
        <v>0</v>
      </c>
      <c r="I262" s="86">
        <v>0</v>
      </c>
      <c r="J262" s="86">
        <v>0</v>
      </c>
      <c r="K262" s="86">
        <v>0</v>
      </c>
      <c r="L262" s="86">
        <v>0</v>
      </c>
      <c r="M262" s="86">
        <f t="shared" si="4"/>
        <v>0</v>
      </c>
    </row>
    <row r="263" spans="1:13" x14ac:dyDescent="0.25">
      <c r="A263" s="53">
        <v>261</v>
      </c>
      <c r="B263" s="53">
        <v>10455</v>
      </c>
      <c r="C263" s="38" t="s">
        <v>253</v>
      </c>
      <c r="D263" s="38" t="s">
        <v>69</v>
      </c>
      <c r="E263" s="37" t="s">
        <v>284</v>
      </c>
      <c r="F263" s="86">
        <v>0</v>
      </c>
      <c r="G263" s="86">
        <v>0</v>
      </c>
      <c r="H263" s="86">
        <v>0</v>
      </c>
      <c r="I263" s="86">
        <v>0</v>
      </c>
      <c r="J263" s="86">
        <v>0</v>
      </c>
      <c r="K263" s="86">
        <v>0</v>
      </c>
      <c r="L263" s="86">
        <v>0</v>
      </c>
      <c r="M263" s="86">
        <f t="shared" si="4"/>
        <v>0</v>
      </c>
    </row>
    <row r="264" spans="1:13" x14ac:dyDescent="0.25">
      <c r="A264" s="53">
        <v>262</v>
      </c>
      <c r="B264" s="56">
        <v>10642</v>
      </c>
      <c r="C264" s="66" t="s">
        <v>424</v>
      </c>
      <c r="D264" s="66" t="s">
        <v>69</v>
      </c>
      <c r="E264" s="59" t="s">
        <v>284</v>
      </c>
      <c r="F264" s="86">
        <v>0</v>
      </c>
      <c r="G264" s="86">
        <v>0</v>
      </c>
      <c r="H264" s="86">
        <v>0</v>
      </c>
      <c r="I264" s="86">
        <v>0</v>
      </c>
      <c r="J264" s="86">
        <v>0</v>
      </c>
      <c r="K264" s="86">
        <v>0</v>
      </c>
      <c r="L264" s="86">
        <v>0</v>
      </c>
      <c r="M264" s="86">
        <f t="shared" si="4"/>
        <v>0</v>
      </c>
    </row>
    <row r="265" spans="1:13" x14ac:dyDescent="0.25">
      <c r="A265" s="53">
        <v>263</v>
      </c>
      <c r="B265" s="53">
        <v>10556</v>
      </c>
      <c r="C265" s="38" t="s">
        <v>329</v>
      </c>
      <c r="D265" s="38" t="s">
        <v>69</v>
      </c>
      <c r="E265" s="37" t="s">
        <v>284</v>
      </c>
      <c r="F265" s="86">
        <v>0</v>
      </c>
      <c r="G265" s="86">
        <v>0</v>
      </c>
      <c r="H265" s="86">
        <v>0</v>
      </c>
      <c r="I265" s="86">
        <v>0</v>
      </c>
      <c r="J265" s="86">
        <v>0</v>
      </c>
      <c r="K265" s="86">
        <v>0</v>
      </c>
      <c r="L265" s="86">
        <v>0</v>
      </c>
      <c r="M265" s="86">
        <f t="shared" si="4"/>
        <v>0</v>
      </c>
    </row>
    <row r="266" spans="1:13" x14ac:dyDescent="0.25">
      <c r="A266" s="53">
        <v>264</v>
      </c>
      <c r="B266" s="56">
        <v>10632</v>
      </c>
      <c r="C266" s="66" t="s">
        <v>400</v>
      </c>
      <c r="D266" s="66" t="s">
        <v>69</v>
      </c>
      <c r="E266" s="59" t="s">
        <v>284</v>
      </c>
      <c r="F266" s="86">
        <v>0</v>
      </c>
      <c r="G266" s="86">
        <v>0</v>
      </c>
      <c r="H266" s="86">
        <v>0</v>
      </c>
      <c r="I266" s="86">
        <v>0</v>
      </c>
      <c r="J266" s="86">
        <v>0</v>
      </c>
      <c r="K266" s="86">
        <v>0</v>
      </c>
      <c r="L266" s="86">
        <v>0</v>
      </c>
      <c r="M266" s="86">
        <f t="shared" si="4"/>
        <v>0</v>
      </c>
    </row>
    <row r="267" spans="1:13" x14ac:dyDescent="0.25">
      <c r="A267" s="53">
        <v>265</v>
      </c>
      <c r="B267" s="53">
        <v>10420</v>
      </c>
      <c r="C267" s="38" t="s">
        <v>254</v>
      </c>
      <c r="D267" s="38" t="s">
        <v>69</v>
      </c>
      <c r="E267" s="37" t="s">
        <v>284</v>
      </c>
      <c r="F267" s="86">
        <v>0</v>
      </c>
      <c r="G267" s="86">
        <v>0</v>
      </c>
      <c r="H267" s="86">
        <v>0</v>
      </c>
      <c r="I267" s="86">
        <v>0</v>
      </c>
      <c r="J267" s="86">
        <v>0</v>
      </c>
      <c r="K267" s="86">
        <v>0</v>
      </c>
      <c r="L267" s="86">
        <v>0</v>
      </c>
      <c r="M267" s="86">
        <f t="shared" si="4"/>
        <v>0</v>
      </c>
    </row>
    <row r="268" spans="1:13" x14ac:dyDescent="0.25">
      <c r="A268" s="53">
        <v>266</v>
      </c>
      <c r="B268" s="53">
        <v>10112</v>
      </c>
      <c r="C268" s="38" t="s">
        <v>255</v>
      </c>
      <c r="D268" s="38" t="s">
        <v>451</v>
      </c>
      <c r="E268" s="37" t="s">
        <v>284</v>
      </c>
      <c r="F268" s="86">
        <v>0</v>
      </c>
      <c r="G268" s="86">
        <v>0</v>
      </c>
      <c r="H268" s="86">
        <v>0</v>
      </c>
      <c r="I268" s="86">
        <v>0</v>
      </c>
      <c r="J268" s="86">
        <v>0</v>
      </c>
      <c r="K268" s="86">
        <v>0</v>
      </c>
      <c r="L268" s="86">
        <v>0</v>
      </c>
      <c r="M268" s="86">
        <f t="shared" si="4"/>
        <v>0</v>
      </c>
    </row>
    <row r="269" spans="1:13" x14ac:dyDescent="0.25">
      <c r="A269" s="53">
        <v>267</v>
      </c>
      <c r="B269" s="53">
        <v>10549</v>
      </c>
      <c r="C269" s="38" t="s">
        <v>333</v>
      </c>
      <c r="D269" s="38" t="s">
        <v>69</v>
      </c>
      <c r="E269" s="37" t="s">
        <v>284</v>
      </c>
      <c r="F269" s="86">
        <v>0</v>
      </c>
      <c r="G269" s="86">
        <v>0</v>
      </c>
      <c r="H269" s="86">
        <v>0</v>
      </c>
      <c r="I269" s="86">
        <v>0</v>
      </c>
      <c r="J269" s="86">
        <v>0</v>
      </c>
      <c r="K269" s="86">
        <v>0</v>
      </c>
      <c r="L269" s="86">
        <v>0</v>
      </c>
      <c r="M269" s="86">
        <f t="shared" si="4"/>
        <v>0</v>
      </c>
    </row>
    <row r="270" spans="1:13" x14ac:dyDescent="0.25">
      <c r="A270" s="53">
        <v>268</v>
      </c>
      <c r="B270" s="53">
        <v>10113</v>
      </c>
      <c r="C270" s="38" t="s">
        <v>256</v>
      </c>
      <c r="D270" s="38" t="s">
        <v>69</v>
      </c>
      <c r="E270" s="37" t="s">
        <v>284</v>
      </c>
      <c r="F270" s="86">
        <v>0</v>
      </c>
      <c r="G270" s="86">
        <v>0</v>
      </c>
      <c r="H270" s="86">
        <v>0</v>
      </c>
      <c r="I270" s="86">
        <v>0</v>
      </c>
      <c r="J270" s="86">
        <v>0</v>
      </c>
      <c r="K270" s="86">
        <v>0</v>
      </c>
      <c r="L270" s="86">
        <v>0</v>
      </c>
      <c r="M270" s="86">
        <f t="shared" si="4"/>
        <v>0</v>
      </c>
    </row>
    <row r="271" spans="1:13" x14ac:dyDescent="0.25">
      <c r="A271" s="53">
        <v>269</v>
      </c>
      <c r="B271" s="53">
        <v>10568</v>
      </c>
      <c r="C271" s="38" t="s">
        <v>338</v>
      </c>
      <c r="D271" s="38" t="s">
        <v>47</v>
      </c>
      <c r="E271" s="37" t="s">
        <v>411</v>
      </c>
      <c r="F271" s="86">
        <v>0</v>
      </c>
      <c r="G271" s="86">
        <v>0</v>
      </c>
      <c r="H271" s="86">
        <v>0</v>
      </c>
      <c r="I271" s="86">
        <v>0</v>
      </c>
      <c r="J271" s="86">
        <v>0</v>
      </c>
      <c r="K271" s="86">
        <v>0</v>
      </c>
      <c r="L271" s="86">
        <v>0</v>
      </c>
      <c r="M271" s="86">
        <f t="shared" si="4"/>
        <v>0</v>
      </c>
    </row>
    <row r="272" spans="1:13" x14ac:dyDescent="0.25">
      <c r="A272" s="53">
        <v>270</v>
      </c>
      <c r="B272" s="53">
        <v>10613</v>
      </c>
      <c r="C272" s="38" t="s">
        <v>389</v>
      </c>
      <c r="D272" s="38" t="s">
        <v>69</v>
      </c>
      <c r="E272" s="37" t="s">
        <v>284</v>
      </c>
      <c r="F272" s="86">
        <v>0</v>
      </c>
      <c r="G272" s="86">
        <v>0</v>
      </c>
      <c r="H272" s="86">
        <v>0</v>
      </c>
      <c r="I272" s="86">
        <v>0</v>
      </c>
      <c r="J272" s="86">
        <v>0</v>
      </c>
      <c r="K272" s="86">
        <v>0</v>
      </c>
      <c r="L272" s="86">
        <v>0</v>
      </c>
      <c r="M272" s="86">
        <f t="shared" si="4"/>
        <v>0</v>
      </c>
    </row>
    <row r="273" spans="1:13" x14ac:dyDescent="0.25">
      <c r="A273" s="53">
        <v>271</v>
      </c>
      <c r="B273" s="53">
        <v>10114</v>
      </c>
      <c r="C273" s="38" t="s">
        <v>257</v>
      </c>
      <c r="D273" s="38" t="s">
        <v>69</v>
      </c>
      <c r="E273" s="37" t="s">
        <v>284</v>
      </c>
      <c r="F273" s="86">
        <v>0</v>
      </c>
      <c r="G273" s="86">
        <v>0</v>
      </c>
      <c r="H273" s="86">
        <v>0</v>
      </c>
      <c r="I273" s="86">
        <v>0</v>
      </c>
      <c r="J273" s="86">
        <v>0</v>
      </c>
      <c r="K273" s="86">
        <v>0</v>
      </c>
      <c r="L273" s="86">
        <v>0</v>
      </c>
      <c r="M273" s="86">
        <f t="shared" si="4"/>
        <v>0</v>
      </c>
    </row>
    <row r="274" spans="1:13" x14ac:dyDescent="0.25">
      <c r="A274" s="53">
        <v>272</v>
      </c>
      <c r="B274" s="53">
        <v>10136</v>
      </c>
      <c r="C274" s="38" t="s">
        <v>258</v>
      </c>
      <c r="D274" s="38" t="s">
        <v>69</v>
      </c>
      <c r="E274" s="37" t="s">
        <v>284</v>
      </c>
      <c r="F274" s="86">
        <v>0</v>
      </c>
      <c r="G274" s="86">
        <v>0</v>
      </c>
      <c r="H274" s="86">
        <v>0</v>
      </c>
      <c r="I274" s="86">
        <v>0</v>
      </c>
      <c r="J274" s="86">
        <v>0</v>
      </c>
      <c r="K274" s="86">
        <v>0</v>
      </c>
      <c r="L274" s="86">
        <v>0</v>
      </c>
      <c r="M274" s="86">
        <f t="shared" si="4"/>
        <v>0</v>
      </c>
    </row>
    <row r="275" spans="1:13" x14ac:dyDescent="0.25">
      <c r="A275" s="53">
        <v>273</v>
      </c>
      <c r="B275" s="53">
        <v>10285</v>
      </c>
      <c r="C275" s="38" t="s">
        <v>259</v>
      </c>
      <c r="D275" s="38" t="s">
        <v>69</v>
      </c>
      <c r="E275" s="37" t="s">
        <v>284</v>
      </c>
      <c r="F275" s="86">
        <v>0</v>
      </c>
      <c r="G275" s="86">
        <v>0</v>
      </c>
      <c r="H275" s="86">
        <v>0</v>
      </c>
      <c r="I275" s="86">
        <v>0</v>
      </c>
      <c r="J275" s="86">
        <v>0</v>
      </c>
      <c r="K275" s="86">
        <v>0</v>
      </c>
      <c r="L275" s="86">
        <v>0</v>
      </c>
      <c r="M275" s="86">
        <f t="shared" si="4"/>
        <v>0</v>
      </c>
    </row>
    <row r="276" spans="1:13" x14ac:dyDescent="0.25">
      <c r="A276" s="53">
        <v>274</v>
      </c>
      <c r="B276" s="53">
        <v>10456</v>
      </c>
      <c r="C276" s="38" t="s">
        <v>260</v>
      </c>
      <c r="D276" s="38" t="s">
        <v>69</v>
      </c>
      <c r="E276" s="37" t="s">
        <v>284</v>
      </c>
      <c r="F276" s="86">
        <v>0</v>
      </c>
      <c r="G276" s="86">
        <v>0</v>
      </c>
      <c r="H276" s="86">
        <v>0</v>
      </c>
      <c r="I276" s="86">
        <v>0</v>
      </c>
      <c r="J276" s="86">
        <v>0</v>
      </c>
      <c r="K276" s="86">
        <v>0</v>
      </c>
      <c r="L276" s="86">
        <v>0</v>
      </c>
      <c r="M276" s="86">
        <f t="shared" si="4"/>
        <v>0</v>
      </c>
    </row>
    <row r="277" spans="1:13" x14ac:dyDescent="0.25">
      <c r="A277" s="53">
        <v>275</v>
      </c>
      <c r="B277" s="53">
        <v>10117</v>
      </c>
      <c r="C277" s="38" t="s">
        <v>261</v>
      </c>
      <c r="D277" s="38" t="s">
        <v>69</v>
      </c>
      <c r="E277" s="37" t="s">
        <v>284</v>
      </c>
      <c r="F277" s="86">
        <v>0</v>
      </c>
      <c r="G277" s="86">
        <v>0</v>
      </c>
      <c r="H277" s="86">
        <v>0</v>
      </c>
      <c r="I277" s="86">
        <v>0</v>
      </c>
      <c r="J277" s="86">
        <v>0</v>
      </c>
      <c r="K277" s="86">
        <v>0</v>
      </c>
      <c r="L277" s="86">
        <v>0</v>
      </c>
      <c r="M277" s="86">
        <f t="shared" si="4"/>
        <v>0</v>
      </c>
    </row>
    <row r="278" spans="1:13" x14ac:dyDescent="0.25">
      <c r="A278" s="53">
        <v>276</v>
      </c>
      <c r="B278" s="53">
        <v>10452</v>
      </c>
      <c r="C278" s="38" t="s">
        <v>262</v>
      </c>
      <c r="D278" s="38" t="s">
        <v>69</v>
      </c>
      <c r="E278" s="37" t="s">
        <v>284</v>
      </c>
      <c r="F278" s="86">
        <v>0</v>
      </c>
      <c r="G278" s="86">
        <v>0</v>
      </c>
      <c r="H278" s="86">
        <v>0</v>
      </c>
      <c r="I278" s="86">
        <v>0</v>
      </c>
      <c r="J278" s="86">
        <v>0</v>
      </c>
      <c r="K278" s="86">
        <v>0</v>
      </c>
      <c r="L278" s="86">
        <v>0</v>
      </c>
      <c r="M278" s="86">
        <f t="shared" si="4"/>
        <v>0</v>
      </c>
    </row>
    <row r="279" spans="1:13" x14ac:dyDescent="0.25">
      <c r="A279" s="53">
        <v>277</v>
      </c>
      <c r="B279" s="53">
        <v>10118</v>
      </c>
      <c r="C279" s="38" t="s">
        <v>263</v>
      </c>
      <c r="D279" s="38" t="s">
        <v>69</v>
      </c>
      <c r="E279" s="37" t="s">
        <v>284</v>
      </c>
      <c r="F279" s="86">
        <v>0</v>
      </c>
      <c r="G279" s="86">
        <v>0</v>
      </c>
      <c r="H279" s="86">
        <v>0</v>
      </c>
      <c r="I279" s="86">
        <v>0</v>
      </c>
      <c r="J279" s="86">
        <v>0</v>
      </c>
      <c r="K279" s="86">
        <v>0</v>
      </c>
      <c r="L279" s="86">
        <v>0</v>
      </c>
      <c r="M279" s="86">
        <f t="shared" si="4"/>
        <v>0</v>
      </c>
    </row>
    <row r="280" spans="1:13" x14ac:dyDescent="0.25">
      <c r="A280" s="53">
        <v>278</v>
      </c>
      <c r="B280" s="53">
        <v>10119</v>
      </c>
      <c r="C280" s="38" t="s">
        <v>264</v>
      </c>
      <c r="D280" s="38" t="s">
        <v>69</v>
      </c>
      <c r="E280" s="37" t="s">
        <v>284</v>
      </c>
      <c r="F280" s="86">
        <v>0</v>
      </c>
      <c r="G280" s="86">
        <v>0</v>
      </c>
      <c r="H280" s="86">
        <v>0</v>
      </c>
      <c r="I280" s="86">
        <v>0</v>
      </c>
      <c r="J280" s="86">
        <v>0</v>
      </c>
      <c r="K280" s="86">
        <v>0</v>
      </c>
      <c r="L280" s="86">
        <v>0</v>
      </c>
      <c r="M280" s="86">
        <f t="shared" si="4"/>
        <v>0</v>
      </c>
    </row>
    <row r="281" spans="1:13" x14ac:dyDescent="0.25">
      <c r="A281" s="53">
        <v>279</v>
      </c>
      <c r="B281" s="53">
        <v>10120</v>
      </c>
      <c r="C281" s="38" t="s">
        <v>265</v>
      </c>
      <c r="D281" s="38" t="s">
        <v>69</v>
      </c>
      <c r="E281" s="37" t="s">
        <v>284</v>
      </c>
      <c r="F281" s="86">
        <v>0</v>
      </c>
      <c r="G281" s="86">
        <v>0</v>
      </c>
      <c r="H281" s="86">
        <v>0</v>
      </c>
      <c r="I281" s="86">
        <v>0</v>
      </c>
      <c r="J281" s="86">
        <v>0</v>
      </c>
      <c r="K281" s="86">
        <v>0</v>
      </c>
      <c r="L281" s="86">
        <v>0</v>
      </c>
      <c r="M281" s="86">
        <f t="shared" si="4"/>
        <v>0</v>
      </c>
    </row>
    <row r="282" spans="1:13" x14ac:dyDescent="0.25">
      <c r="A282" s="53">
        <v>280</v>
      </c>
      <c r="B282" s="53">
        <v>10557</v>
      </c>
      <c r="C282" s="38" t="s">
        <v>330</v>
      </c>
      <c r="D282" s="38" t="s">
        <v>69</v>
      </c>
      <c r="E282" s="37" t="s">
        <v>284</v>
      </c>
      <c r="F282" s="86">
        <v>0</v>
      </c>
      <c r="G282" s="86">
        <v>0</v>
      </c>
      <c r="H282" s="86">
        <v>0</v>
      </c>
      <c r="I282" s="86">
        <v>0</v>
      </c>
      <c r="J282" s="86">
        <v>0</v>
      </c>
      <c r="K282" s="86">
        <v>0</v>
      </c>
      <c r="L282" s="86">
        <v>0</v>
      </c>
      <c r="M282" s="86">
        <f t="shared" si="4"/>
        <v>0</v>
      </c>
    </row>
    <row r="283" spans="1:13" x14ac:dyDescent="0.25">
      <c r="A283" s="53">
        <v>281</v>
      </c>
      <c r="B283" s="53">
        <v>10122</v>
      </c>
      <c r="C283" s="38" t="s">
        <v>266</v>
      </c>
      <c r="D283" s="38" t="s">
        <v>69</v>
      </c>
      <c r="E283" s="37" t="s">
        <v>284</v>
      </c>
      <c r="F283" s="86">
        <v>0</v>
      </c>
      <c r="G283" s="86">
        <v>0</v>
      </c>
      <c r="H283" s="86">
        <v>0</v>
      </c>
      <c r="I283" s="86">
        <v>0</v>
      </c>
      <c r="J283" s="86">
        <v>0</v>
      </c>
      <c r="K283" s="86">
        <v>0</v>
      </c>
      <c r="L283" s="86">
        <v>0</v>
      </c>
      <c r="M283" s="86">
        <f t="shared" si="4"/>
        <v>0</v>
      </c>
    </row>
    <row r="284" spans="1:13" x14ac:dyDescent="0.25">
      <c r="A284" s="53">
        <v>282</v>
      </c>
      <c r="B284" s="53">
        <v>10124</v>
      </c>
      <c r="C284" s="38" t="s">
        <v>267</v>
      </c>
      <c r="D284" s="38" t="s">
        <v>69</v>
      </c>
      <c r="E284" s="37" t="s">
        <v>284</v>
      </c>
      <c r="F284" s="86">
        <v>0</v>
      </c>
      <c r="G284" s="86">
        <v>0</v>
      </c>
      <c r="H284" s="86">
        <v>0</v>
      </c>
      <c r="I284" s="86">
        <v>0</v>
      </c>
      <c r="J284" s="86">
        <v>0</v>
      </c>
      <c r="K284" s="86">
        <v>0</v>
      </c>
      <c r="L284" s="86">
        <v>0</v>
      </c>
      <c r="M284" s="86">
        <f t="shared" si="4"/>
        <v>0</v>
      </c>
    </row>
    <row r="285" spans="1:13" x14ac:dyDescent="0.25">
      <c r="A285" s="53">
        <v>283</v>
      </c>
      <c r="B285" s="53">
        <v>10427</v>
      </c>
      <c r="C285" s="38" t="s">
        <v>268</v>
      </c>
      <c r="D285" s="38" t="s">
        <v>69</v>
      </c>
      <c r="E285" s="37" t="s">
        <v>284</v>
      </c>
      <c r="F285" s="86">
        <v>0</v>
      </c>
      <c r="G285" s="86">
        <v>0</v>
      </c>
      <c r="H285" s="86">
        <v>0</v>
      </c>
      <c r="I285" s="86">
        <v>0</v>
      </c>
      <c r="J285" s="86">
        <v>0</v>
      </c>
      <c r="K285" s="86">
        <v>0</v>
      </c>
      <c r="L285" s="86">
        <v>0</v>
      </c>
      <c r="M285" s="86">
        <f t="shared" si="4"/>
        <v>0</v>
      </c>
    </row>
    <row r="286" spans="1:13" x14ac:dyDescent="0.25">
      <c r="A286" s="53">
        <v>284</v>
      </c>
      <c r="B286" s="53">
        <v>10126</v>
      </c>
      <c r="C286" s="38" t="s">
        <v>269</v>
      </c>
      <c r="D286" s="38" t="s">
        <v>69</v>
      </c>
      <c r="E286" s="37" t="s">
        <v>284</v>
      </c>
      <c r="F286" s="86">
        <v>0</v>
      </c>
      <c r="G286" s="86">
        <v>0</v>
      </c>
      <c r="H286" s="86">
        <v>0</v>
      </c>
      <c r="I286" s="86">
        <v>0</v>
      </c>
      <c r="J286" s="86">
        <v>0</v>
      </c>
      <c r="K286" s="86">
        <v>0</v>
      </c>
      <c r="L286" s="86">
        <v>0</v>
      </c>
      <c r="M286" s="86">
        <f t="shared" si="4"/>
        <v>0</v>
      </c>
    </row>
    <row r="287" spans="1:13" x14ac:dyDescent="0.25">
      <c r="A287" s="53">
        <v>285</v>
      </c>
      <c r="B287" s="53">
        <v>10155</v>
      </c>
      <c r="C287" s="38" t="s">
        <v>270</v>
      </c>
      <c r="D287" s="38" t="s">
        <v>69</v>
      </c>
      <c r="E287" s="37" t="s">
        <v>284</v>
      </c>
      <c r="F287" s="86">
        <v>0</v>
      </c>
      <c r="G287" s="86">
        <v>0</v>
      </c>
      <c r="H287" s="86">
        <v>0</v>
      </c>
      <c r="I287" s="86">
        <v>0</v>
      </c>
      <c r="J287" s="86">
        <v>0</v>
      </c>
      <c r="K287" s="86">
        <v>0</v>
      </c>
      <c r="L287" s="86">
        <v>0</v>
      </c>
      <c r="M287" s="86">
        <f t="shared" si="4"/>
        <v>0</v>
      </c>
    </row>
    <row r="288" spans="1:13" x14ac:dyDescent="0.25">
      <c r="A288" s="53">
        <v>286</v>
      </c>
      <c r="B288" s="53">
        <v>10128</v>
      </c>
      <c r="C288" s="38" t="s">
        <v>271</v>
      </c>
      <c r="D288" s="38" t="s">
        <v>69</v>
      </c>
      <c r="E288" s="37" t="s">
        <v>284</v>
      </c>
      <c r="F288" s="86">
        <v>0</v>
      </c>
      <c r="G288" s="86">
        <v>0</v>
      </c>
      <c r="H288" s="86">
        <v>0</v>
      </c>
      <c r="I288" s="86">
        <v>0</v>
      </c>
      <c r="J288" s="86">
        <v>0</v>
      </c>
      <c r="K288" s="86">
        <v>0</v>
      </c>
      <c r="L288" s="86">
        <v>0</v>
      </c>
      <c r="M288" s="86">
        <f t="shared" si="4"/>
        <v>0</v>
      </c>
    </row>
    <row r="289" spans="1:13" x14ac:dyDescent="0.25">
      <c r="A289" s="53">
        <v>287</v>
      </c>
      <c r="B289" s="53">
        <v>10129</v>
      </c>
      <c r="C289" s="38" t="s">
        <v>272</v>
      </c>
      <c r="D289" s="38" t="s">
        <v>69</v>
      </c>
      <c r="E289" s="37" t="s">
        <v>284</v>
      </c>
      <c r="F289" s="86">
        <v>0</v>
      </c>
      <c r="G289" s="86">
        <v>0</v>
      </c>
      <c r="H289" s="86">
        <v>0</v>
      </c>
      <c r="I289" s="86">
        <v>0</v>
      </c>
      <c r="J289" s="86">
        <v>0</v>
      </c>
      <c r="K289" s="86">
        <v>0</v>
      </c>
      <c r="L289" s="86">
        <v>0</v>
      </c>
      <c r="M289" s="86">
        <f t="shared" si="4"/>
        <v>0</v>
      </c>
    </row>
    <row r="290" spans="1:13" x14ac:dyDescent="0.25">
      <c r="A290" s="53">
        <v>288</v>
      </c>
      <c r="B290" s="53">
        <v>10643</v>
      </c>
      <c r="C290" s="38" t="s">
        <v>394</v>
      </c>
      <c r="D290" s="38" t="s">
        <v>553</v>
      </c>
      <c r="E290" s="37" t="s">
        <v>283</v>
      </c>
      <c r="F290" s="86">
        <v>0</v>
      </c>
      <c r="G290" s="86">
        <v>0</v>
      </c>
      <c r="H290" s="86">
        <v>0</v>
      </c>
      <c r="I290" s="86">
        <v>0</v>
      </c>
      <c r="J290" s="86">
        <v>0</v>
      </c>
      <c r="K290" s="86">
        <v>0</v>
      </c>
      <c r="L290" s="86">
        <v>0</v>
      </c>
      <c r="M290" s="86">
        <f t="shared" si="4"/>
        <v>0</v>
      </c>
    </row>
    <row r="291" spans="1:13" x14ac:dyDescent="0.25">
      <c r="A291" s="53">
        <v>289</v>
      </c>
      <c r="B291" s="53">
        <v>10645</v>
      </c>
      <c r="C291" s="38" t="s">
        <v>550</v>
      </c>
      <c r="D291" s="38" t="s">
        <v>69</v>
      </c>
      <c r="E291" s="37" t="s">
        <v>284</v>
      </c>
      <c r="F291" s="86">
        <v>0</v>
      </c>
      <c r="G291" s="86">
        <v>0</v>
      </c>
      <c r="H291" s="86">
        <v>0</v>
      </c>
      <c r="I291" s="86">
        <v>0</v>
      </c>
      <c r="J291" s="86">
        <v>0</v>
      </c>
      <c r="K291" s="86">
        <v>0</v>
      </c>
      <c r="L291" s="86">
        <v>0</v>
      </c>
      <c r="M291" s="86">
        <f t="shared" si="4"/>
        <v>0</v>
      </c>
    </row>
    <row r="292" spans="1:13" x14ac:dyDescent="0.25">
      <c r="A292" s="53">
        <v>290</v>
      </c>
      <c r="B292" s="53">
        <v>10646</v>
      </c>
      <c r="C292" s="38" t="s">
        <v>551</v>
      </c>
      <c r="D292" s="38" t="s">
        <v>554</v>
      </c>
      <c r="E292" s="37" t="s">
        <v>290</v>
      </c>
      <c r="F292" s="86">
        <v>151.35</v>
      </c>
      <c r="G292" s="86">
        <v>149.87727272727273</v>
      </c>
      <c r="H292" s="86">
        <v>149.87727272727273</v>
      </c>
      <c r="I292" s="86">
        <v>149.87727272727301</v>
      </c>
      <c r="J292" s="86">
        <v>149.87727272727301</v>
      </c>
      <c r="K292" s="86">
        <v>149.87727272727301</v>
      </c>
      <c r="L292" s="86">
        <v>149.87727272727301</v>
      </c>
      <c r="M292" s="86">
        <f t="shared" si="4"/>
        <v>1050.6136363636376</v>
      </c>
    </row>
    <row r="293" spans="1:13" x14ac:dyDescent="0.25">
      <c r="A293" s="53">
        <v>291</v>
      </c>
      <c r="B293" s="53">
        <v>10647</v>
      </c>
      <c r="C293" s="38" t="s">
        <v>552</v>
      </c>
      <c r="D293" s="38" t="s">
        <v>149</v>
      </c>
      <c r="E293" s="37" t="s">
        <v>280</v>
      </c>
      <c r="F293" s="86">
        <v>0</v>
      </c>
      <c r="G293" s="86">
        <v>0</v>
      </c>
      <c r="H293" s="86">
        <v>0</v>
      </c>
      <c r="I293" s="86">
        <v>0</v>
      </c>
      <c r="J293" s="86">
        <v>0</v>
      </c>
      <c r="K293" s="86">
        <v>0</v>
      </c>
      <c r="L293" s="86">
        <v>0</v>
      </c>
      <c r="M293" s="86">
        <f t="shared" si="4"/>
        <v>0</v>
      </c>
    </row>
    <row r="294" spans="1:13" x14ac:dyDescent="0.25">
      <c r="A294" s="53">
        <v>292</v>
      </c>
      <c r="B294" s="53">
        <v>10644</v>
      </c>
      <c r="C294" s="38" t="s">
        <v>555</v>
      </c>
      <c r="D294" s="38" t="s">
        <v>451</v>
      </c>
      <c r="E294" s="37" t="s">
        <v>284</v>
      </c>
      <c r="F294" s="86">
        <v>0</v>
      </c>
      <c r="G294" s="86">
        <v>0</v>
      </c>
      <c r="H294" s="86">
        <v>0</v>
      </c>
      <c r="I294" s="86">
        <v>0</v>
      </c>
      <c r="J294" s="86">
        <v>0</v>
      </c>
      <c r="K294" s="86">
        <v>0</v>
      </c>
      <c r="L294" s="86">
        <v>0</v>
      </c>
      <c r="M294" s="86">
        <f t="shared" si="4"/>
        <v>0</v>
      </c>
    </row>
    <row r="295" spans="1:13" x14ac:dyDescent="0.25">
      <c r="A295" s="53">
        <v>293</v>
      </c>
      <c r="B295" s="85">
        <v>10390</v>
      </c>
      <c r="C295" s="38" t="s">
        <v>556</v>
      </c>
      <c r="D295" s="38" t="s">
        <v>557</v>
      </c>
      <c r="E295" s="37" t="s">
        <v>291</v>
      </c>
      <c r="F295" s="86">
        <v>0</v>
      </c>
      <c r="G295" s="86">
        <v>218.18181818181819</v>
      </c>
      <c r="H295" s="86">
        <v>0</v>
      </c>
      <c r="I295" s="86">
        <v>0</v>
      </c>
      <c r="J295" s="86">
        <v>0</v>
      </c>
      <c r="K295" s="86">
        <v>0</v>
      </c>
      <c r="L295" s="86">
        <v>0</v>
      </c>
      <c r="M295" s="86">
        <f t="shared" si="4"/>
        <v>218.18181818181819</v>
      </c>
    </row>
    <row r="296" spans="1:13" x14ac:dyDescent="0.25">
      <c r="A296" s="53">
        <v>294</v>
      </c>
      <c r="B296" s="53">
        <v>10648</v>
      </c>
      <c r="C296" s="38" t="s">
        <v>558</v>
      </c>
      <c r="D296" s="38" t="s">
        <v>69</v>
      </c>
      <c r="E296" s="37" t="s">
        <v>284</v>
      </c>
      <c r="F296" s="86">
        <v>0</v>
      </c>
      <c r="G296" s="86">
        <v>0</v>
      </c>
      <c r="H296" s="86">
        <v>0</v>
      </c>
      <c r="I296" s="86">
        <v>0</v>
      </c>
      <c r="J296" s="86">
        <v>0</v>
      </c>
      <c r="K296" s="86">
        <v>0</v>
      </c>
      <c r="L296" s="86">
        <v>0</v>
      </c>
      <c r="M296" s="86">
        <f t="shared" si="4"/>
        <v>0</v>
      </c>
    </row>
    <row r="297" spans="1:13" x14ac:dyDescent="0.25">
      <c r="A297" s="53">
        <v>295</v>
      </c>
      <c r="B297" s="14">
        <v>10649</v>
      </c>
      <c r="C297" s="15" t="s">
        <v>559</v>
      </c>
      <c r="D297" s="15" t="s">
        <v>560</v>
      </c>
      <c r="E297" s="14" t="s">
        <v>572</v>
      </c>
      <c r="F297" s="86">
        <v>0</v>
      </c>
      <c r="G297" s="86">
        <v>54.545454545454547</v>
      </c>
      <c r="H297" s="86">
        <v>50</v>
      </c>
      <c r="I297" s="86">
        <v>49.545454545454497</v>
      </c>
      <c r="J297" s="86">
        <v>138.43434343434299</v>
      </c>
      <c r="K297" s="86">
        <v>138.43434343434399</v>
      </c>
      <c r="L297" s="86">
        <v>138.43434343434299</v>
      </c>
      <c r="M297" s="86">
        <f t="shared" si="4"/>
        <v>569.39393939393904</v>
      </c>
    </row>
    <row r="298" spans="1:13" x14ac:dyDescent="0.25">
      <c r="A298" s="53">
        <v>296</v>
      </c>
      <c r="B298" s="17">
        <v>10650</v>
      </c>
      <c r="C298" s="19" t="s">
        <v>561</v>
      </c>
      <c r="D298" s="19" t="s">
        <v>337</v>
      </c>
      <c r="E298" s="17" t="s">
        <v>573</v>
      </c>
      <c r="F298" s="86">
        <v>0</v>
      </c>
      <c r="G298" s="86">
        <v>0</v>
      </c>
      <c r="H298" s="86">
        <v>0</v>
      </c>
      <c r="I298" s="86">
        <v>0</v>
      </c>
      <c r="J298" s="86">
        <v>0</v>
      </c>
      <c r="K298" s="86">
        <v>0</v>
      </c>
      <c r="L298" s="86">
        <v>0</v>
      </c>
      <c r="M298" s="86">
        <f t="shared" si="4"/>
        <v>0</v>
      </c>
    </row>
    <row r="299" spans="1:13" x14ac:dyDescent="0.25">
      <c r="A299" s="53">
        <v>297</v>
      </c>
      <c r="B299" s="14">
        <v>10651</v>
      </c>
      <c r="C299" s="15" t="s">
        <v>562</v>
      </c>
      <c r="D299" s="15" t="s">
        <v>337</v>
      </c>
      <c r="E299" s="14" t="s">
        <v>573</v>
      </c>
      <c r="F299" s="86">
        <v>0</v>
      </c>
      <c r="G299" s="86">
        <v>0</v>
      </c>
      <c r="H299" s="86">
        <v>0</v>
      </c>
      <c r="I299" s="86">
        <v>0</v>
      </c>
      <c r="J299" s="86">
        <v>0</v>
      </c>
      <c r="K299" s="86">
        <v>0</v>
      </c>
      <c r="L299" s="86">
        <v>0</v>
      </c>
      <c r="M299" s="86">
        <f t="shared" si="4"/>
        <v>0</v>
      </c>
    </row>
    <row r="300" spans="1:13" x14ac:dyDescent="0.25">
      <c r="A300" s="53">
        <v>298</v>
      </c>
      <c r="B300" s="14">
        <v>10652</v>
      </c>
      <c r="C300" s="15" t="s">
        <v>563</v>
      </c>
      <c r="D300" s="15" t="s">
        <v>23</v>
      </c>
      <c r="E300" s="14" t="s">
        <v>574</v>
      </c>
      <c r="F300" s="86">
        <v>0</v>
      </c>
      <c r="G300" s="86">
        <v>0</v>
      </c>
      <c r="H300" s="86">
        <v>0</v>
      </c>
      <c r="I300" s="86">
        <v>0</v>
      </c>
      <c r="J300" s="86">
        <v>0</v>
      </c>
      <c r="K300" s="86">
        <v>0</v>
      </c>
      <c r="L300" s="86">
        <v>0</v>
      </c>
      <c r="M300" s="86">
        <f t="shared" si="4"/>
        <v>0</v>
      </c>
    </row>
    <row r="301" spans="1:13" x14ac:dyDescent="0.25">
      <c r="A301" s="53">
        <v>299</v>
      </c>
      <c r="B301" s="17">
        <v>10653</v>
      </c>
      <c r="C301" s="19" t="s">
        <v>564</v>
      </c>
      <c r="D301" s="19" t="s">
        <v>23</v>
      </c>
      <c r="E301" s="17" t="s">
        <v>574</v>
      </c>
      <c r="F301" s="86">
        <v>0</v>
      </c>
      <c r="G301" s="86">
        <v>0</v>
      </c>
      <c r="H301" s="86">
        <v>0</v>
      </c>
      <c r="I301" s="86">
        <v>0</v>
      </c>
      <c r="J301" s="86">
        <v>0</v>
      </c>
      <c r="K301" s="86">
        <v>0</v>
      </c>
      <c r="L301" s="86">
        <v>0</v>
      </c>
      <c r="M301" s="86">
        <f t="shared" si="4"/>
        <v>0</v>
      </c>
    </row>
    <row r="302" spans="1:13" x14ac:dyDescent="0.25">
      <c r="A302" s="53">
        <v>300</v>
      </c>
      <c r="B302" s="14">
        <v>10654</v>
      </c>
      <c r="C302" s="15" t="s">
        <v>565</v>
      </c>
      <c r="D302" s="15" t="s">
        <v>23</v>
      </c>
      <c r="E302" s="14" t="s">
        <v>574</v>
      </c>
      <c r="F302" s="86">
        <v>0</v>
      </c>
      <c r="G302" s="86">
        <v>0</v>
      </c>
      <c r="H302" s="86">
        <v>0</v>
      </c>
      <c r="I302" s="86">
        <v>0</v>
      </c>
      <c r="J302" s="86">
        <v>0</v>
      </c>
      <c r="K302" s="86">
        <v>0</v>
      </c>
      <c r="L302" s="86">
        <v>0</v>
      </c>
      <c r="M302" s="86">
        <f t="shared" si="4"/>
        <v>0</v>
      </c>
    </row>
    <row r="303" spans="1:13" x14ac:dyDescent="0.25">
      <c r="A303" s="53">
        <v>301</v>
      </c>
      <c r="B303" s="17">
        <v>10655</v>
      </c>
      <c r="C303" s="19" t="s">
        <v>566</v>
      </c>
      <c r="D303" s="19" t="s">
        <v>337</v>
      </c>
      <c r="E303" s="17" t="s">
        <v>575</v>
      </c>
      <c r="F303" s="86">
        <v>0</v>
      </c>
      <c r="G303" s="86">
        <v>0</v>
      </c>
      <c r="H303" s="86">
        <v>0</v>
      </c>
      <c r="I303" s="86">
        <v>0</v>
      </c>
      <c r="J303" s="86">
        <v>0</v>
      </c>
      <c r="K303" s="86">
        <v>0</v>
      </c>
      <c r="L303" s="86">
        <v>0</v>
      </c>
      <c r="M303" s="86">
        <f t="shared" si="4"/>
        <v>0</v>
      </c>
    </row>
    <row r="304" spans="1:13" x14ac:dyDescent="0.25">
      <c r="A304" s="53">
        <v>302</v>
      </c>
      <c r="B304" s="14">
        <v>10656</v>
      </c>
      <c r="C304" s="15" t="s">
        <v>567</v>
      </c>
      <c r="D304" s="15" t="s">
        <v>23</v>
      </c>
      <c r="E304" s="14" t="s">
        <v>574</v>
      </c>
      <c r="F304" s="86">
        <v>0</v>
      </c>
      <c r="G304" s="86">
        <v>0</v>
      </c>
      <c r="H304" s="86">
        <v>0</v>
      </c>
      <c r="I304" s="86">
        <v>0</v>
      </c>
      <c r="J304" s="86">
        <v>0</v>
      </c>
      <c r="K304" s="86">
        <v>0</v>
      </c>
      <c r="L304" s="86">
        <v>0</v>
      </c>
      <c r="M304" s="86">
        <f t="shared" si="4"/>
        <v>0</v>
      </c>
    </row>
    <row r="305" spans="1:13" x14ac:dyDescent="0.25">
      <c r="A305" s="53">
        <v>303</v>
      </c>
      <c r="B305" s="14">
        <v>10657</v>
      </c>
      <c r="C305" s="15" t="s">
        <v>568</v>
      </c>
      <c r="D305" s="15" t="s">
        <v>69</v>
      </c>
      <c r="E305" s="14" t="s">
        <v>284</v>
      </c>
      <c r="F305" s="86">
        <v>0</v>
      </c>
      <c r="G305" s="86">
        <v>0</v>
      </c>
      <c r="H305" s="86">
        <v>0</v>
      </c>
      <c r="I305" s="86">
        <v>0</v>
      </c>
      <c r="J305" s="86">
        <v>0</v>
      </c>
      <c r="K305" s="86">
        <v>0</v>
      </c>
      <c r="L305" s="86">
        <v>0</v>
      </c>
      <c r="M305" s="86">
        <f t="shared" si="4"/>
        <v>0</v>
      </c>
    </row>
    <row r="306" spans="1:13" x14ac:dyDescent="0.25">
      <c r="A306" s="53">
        <v>304</v>
      </c>
      <c r="B306" s="14">
        <v>10658</v>
      </c>
      <c r="C306" s="15" t="s">
        <v>569</v>
      </c>
      <c r="D306" s="15" t="s">
        <v>69</v>
      </c>
      <c r="E306" s="14" t="s">
        <v>284</v>
      </c>
      <c r="F306" s="86">
        <v>0</v>
      </c>
      <c r="G306" s="86">
        <v>0</v>
      </c>
      <c r="H306" s="86">
        <v>0</v>
      </c>
      <c r="I306" s="86">
        <v>0</v>
      </c>
      <c r="J306" s="86">
        <v>0</v>
      </c>
      <c r="K306" s="86">
        <v>0</v>
      </c>
      <c r="L306" s="86">
        <v>0</v>
      </c>
      <c r="M306" s="86">
        <f t="shared" si="4"/>
        <v>0</v>
      </c>
    </row>
    <row r="307" spans="1:13" x14ac:dyDescent="0.25">
      <c r="A307" s="53">
        <v>305</v>
      </c>
      <c r="B307" s="14">
        <v>10659</v>
      </c>
      <c r="C307" s="15" t="s">
        <v>570</v>
      </c>
      <c r="D307" s="15" t="s">
        <v>571</v>
      </c>
      <c r="E307" s="14" t="s">
        <v>290</v>
      </c>
      <c r="F307" s="86">
        <v>0</v>
      </c>
      <c r="G307" s="86">
        <v>500</v>
      </c>
      <c r="H307" s="86">
        <v>500</v>
      </c>
      <c r="I307" s="86">
        <v>500</v>
      </c>
      <c r="J307" s="86">
        <v>500</v>
      </c>
      <c r="K307" s="86">
        <v>500</v>
      </c>
      <c r="L307" s="86">
        <v>500</v>
      </c>
      <c r="M307" s="86">
        <f t="shared" si="4"/>
        <v>3000</v>
      </c>
    </row>
    <row r="308" spans="1:13" x14ac:dyDescent="0.25">
      <c r="A308" s="53">
        <v>306</v>
      </c>
      <c r="B308" s="14">
        <v>10660</v>
      </c>
      <c r="C308" s="38" t="s">
        <v>660</v>
      </c>
      <c r="D308" s="38" t="s">
        <v>347</v>
      </c>
      <c r="E308" s="14" t="s">
        <v>283</v>
      </c>
      <c r="F308" s="86">
        <v>0</v>
      </c>
      <c r="G308" s="86">
        <v>0</v>
      </c>
      <c r="H308" s="86">
        <v>0</v>
      </c>
      <c r="I308" s="86">
        <v>0</v>
      </c>
      <c r="J308" s="86">
        <v>0</v>
      </c>
      <c r="K308" s="86">
        <v>0</v>
      </c>
      <c r="L308" s="86">
        <v>0</v>
      </c>
      <c r="M308" s="86">
        <f t="shared" si="4"/>
        <v>0</v>
      </c>
    </row>
    <row r="309" spans="1:13" x14ac:dyDescent="0.25">
      <c r="A309" s="53">
        <v>307</v>
      </c>
      <c r="B309" s="14">
        <v>10661</v>
      </c>
      <c r="C309" s="38" t="s">
        <v>661</v>
      </c>
      <c r="D309" s="38" t="s">
        <v>23</v>
      </c>
      <c r="E309" s="14" t="s">
        <v>279</v>
      </c>
      <c r="F309" s="86">
        <v>0</v>
      </c>
      <c r="G309" s="86">
        <v>0</v>
      </c>
      <c r="H309" s="86">
        <v>0</v>
      </c>
      <c r="I309" s="86">
        <v>0</v>
      </c>
      <c r="J309" s="86">
        <v>0</v>
      </c>
      <c r="K309" s="86">
        <v>0</v>
      </c>
      <c r="L309" s="86">
        <v>0</v>
      </c>
      <c r="M309" s="86">
        <f t="shared" si="4"/>
        <v>0</v>
      </c>
    </row>
    <row r="310" spans="1:13" x14ac:dyDescent="0.25">
      <c r="A310" s="53">
        <v>308</v>
      </c>
      <c r="B310" s="14">
        <v>10662</v>
      </c>
      <c r="C310" s="38" t="s">
        <v>662</v>
      </c>
      <c r="D310" s="38" t="s">
        <v>23</v>
      </c>
      <c r="E310" s="14" t="s">
        <v>279</v>
      </c>
      <c r="F310" s="86">
        <v>0</v>
      </c>
      <c r="G310" s="86">
        <v>0</v>
      </c>
      <c r="H310" s="86">
        <v>0</v>
      </c>
      <c r="I310" s="86">
        <v>0</v>
      </c>
      <c r="J310" s="86">
        <v>0</v>
      </c>
      <c r="K310" s="86">
        <v>0</v>
      </c>
      <c r="L310" s="86">
        <v>0</v>
      </c>
      <c r="M310" s="86">
        <f t="shared" si="4"/>
        <v>0</v>
      </c>
    </row>
    <row r="311" spans="1:13" x14ac:dyDescent="0.25">
      <c r="A311" s="53">
        <v>309</v>
      </c>
      <c r="B311" s="14">
        <v>10663</v>
      </c>
      <c r="C311" s="15" t="s">
        <v>775</v>
      </c>
      <c r="D311" s="15" t="s">
        <v>776</v>
      </c>
      <c r="E311" s="14" t="s">
        <v>283</v>
      </c>
      <c r="F311" s="86">
        <v>0</v>
      </c>
      <c r="G311" s="86">
        <v>0</v>
      </c>
      <c r="H311" s="86">
        <v>50</v>
      </c>
      <c r="I311" s="86">
        <v>50</v>
      </c>
      <c r="J311" s="86">
        <v>50</v>
      </c>
      <c r="K311" s="86">
        <v>59.5555555555556</v>
      </c>
      <c r="L311" s="86">
        <v>59.5555555555556</v>
      </c>
      <c r="M311" s="86">
        <f t="shared" si="4"/>
        <v>269.1111111111112</v>
      </c>
    </row>
    <row r="312" spans="1:13" x14ac:dyDescent="0.25">
      <c r="A312" s="53">
        <v>310</v>
      </c>
      <c r="B312" s="14">
        <v>10664</v>
      </c>
      <c r="C312" s="15" t="s">
        <v>777</v>
      </c>
      <c r="D312" s="15" t="s">
        <v>23</v>
      </c>
      <c r="E312" s="14" t="s">
        <v>279</v>
      </c>
      <c r="F312" s="86">
        <v>0</v>
      </c>
      <c r="G312" s="86">
        <v>0</v>
      </c>
      <c r="H312" s="86">
        <v>0</v>
      </c>
      <c r="I312" s="86">
        <v>0</v>
      </c>
      <c r="J312" s="86">
        <v>0</v>
      </c>
      <c r="K312" s="86">
        <v>0</v>
      </c>
      <c r="L312" s="86">
        <v>0</v>
      </c>
      <c r="M312" s="86">
        <f t="shared" si="4"/>
        <v>0</v>
      </c>
    </row>
    <row r="313" spans="1:13" x14ac:dyDescent="0.25">
      <c r="A313" s="53">
        <v>311</v>
      </c>
      <c r="B313" s="14">
        <v>10665</v>
      </c>
      <c r="C313" s="15" t="s">
        <v>778</v>
      </c>
      <c r="D313" s="15" t="s">
        <v>23</v>
      </c>
      <c r="E313" s="14" t="s">
        <v>279</v>
      </c>
      <c r="F313" s="86">
        <v>0</v>
      </c>
      <c r="G313" s="86">
        <v>0</v>
      </c>
      <c r="H313" s="86">
        <v>0</v>
      </c>
      <c r="I313" s="86">
        <v>0</v>
      </c>
      <c r="J313" s="86">
        <v>0</v>
      </c>
      <c r="K313" s="86">
        <v>0</v>
      </c>
      <c r="L313" s="86">
        <v>0</v>
      </c>
      <c r="M313" s="86">
        <f t="shared" si="4"/>
        <v>0</v>
      </c>
    </row>
    <row r="314" spans="1:13" x14ac:dyDescent="0.25">
      <c r="A314" s="53">
        <v>312</v>
      </c>
      <c r="B314" s="14">
        <v>10666</v>
      </c>
      <c r="C314" s="15" t="s">
        <v>779</v>
      </c>
      <c r="D314" s="15" t="s">
        <v>23</v>
      </c>
      <c r="E314" s="14" t="s">
        <v>279</v>
      </c>
      <c r="F314" s="86">
        <v>0</v>
      </c>
      <c r="G314" s="86">
        <v>0</v>
      </c>
      <c r="H314" s="86">
        <v>0</v>
      </c>
      <c r="I314" s="86">
        <v>0</v>
      </c>
      <c r="J314" s="86">
        <v>0</v>
      </c>
      <c r="K314" s="86">
        <v>0</v>
      </c>
      <c r="L314" s="86">
        <v>0</v>
      </c>
      <c r="M314" s="86">
        <f t="shared" si="4"/>
        <v>0</v>
      </c>
    </row>
    <row r="315" spans="1:13" x14ac:dyDescent="0.25">
      <c r="A315" s="53">
        <v>313</v>
      </c>
      <c r="B315" s="14">
        <v>10667</v>
      </c>
      <c r="C315" s="15" t="s">
        <v>201</v>
      </c>
      <c r="D315" s="15" t="s">
        <v>23</v>
      </c>
      <c r="E315" s="14" t="s">
        <v>279</v>
      </c>
      <c r="F315" s="86">
        <v>0</v>
      </c>
      <c r="G315" s="86">
        <v>0</v>
      </c>
      <c r="H315" s="86">
        <v>0</v>
      </c>
      <c r="I315" s="86">
        <v>0</v>
      </c>
      <c r="J315" s="86">
        <v>0</v>
      </c>
      <c r="K315" s="86">
        <v>0</v>
      </c>
      <c r="L315" s="86">
        <v>0</v>
      </c>
      <c r="M315" s="86">
        <f t="shared" si="4"/>
        <v>0</v>
      </c>
    </row>
    <row r="316" spans="1:13" x14ac:dyDescent="0.25">
      <c r="A316" s="53">
        <v>314</v>
      </c>
      <c r="B316" s="14">
        <v>10668</v>
      </c>
      <c r="C316" s="15" t="s">
        <v>780</v>
      </c>
      <c r="D316" s="15" t="s">
        <v>781</v>
      </c>
      <c r="E316" s="14" t="s">
        <v>282</v>
      </c>
      <c r="F316" s="86">
        <v>0</v>
      </c>
      <c r="G316" s="86">
        <v>0</v>
      </c>
      <c r="H316" s="86">
        <v>0</v>
      </c>
      <c r="I316" s="86">
        <v>0</v>
      </c>
      <c r="J316" s="86">
        <v>0</v>
      </c>
      <c r="K316" s="86">
        <v>0</v>
      </c>
      <c r="L316" s="86">
        <v>0</v>
      </c>
      <c r="M316" s="86">
        <f t="shared" si="4"/>
        <v>0</v>
      </c>
    </row>
    <row r="317" spans="1:13" x14ac:dyDescent="0.25">
      <c r="A317" s="53">
        <v>315</v>
      </c>
      <c r="B317" s="14">
        <v>10670</v>
      </c>
      <c r="C317" s="15" t="s">
        <v>782</v>
      </c>
      <c r="D317" s="15" t="s">
        <v>783</v>
      </c>
      <c r="E317" s="14" t="s">
        <v>288</v>
      </c>
      <c r="F317" s="86">
        <v>0</v>
      </c>
      <c r="G317" s="86">
        <v>0</v>
      </c>
      <c r="H317" s="86">
        <v>0</v>
      </c>
      <c r="I317" s="86">
        <v>0</v>
      </c>
      <c r="J317" s="86">
        <v>0</v>
      </c>
      <c r="K317" s="86">
        <v>0</v>
      </c>
      <c r="L317" s="86">
        <v>0</v>
      </c>
      <c r="M317" s="86">
        <f t="shared" si="4"/>
        <v>0</v>
      </c>
    </row>
    <row r="318" spans="1:13" x14ac:dyDescent="0.25">
      <c r="A318" s="53">
        <v>316</v>
      </c>
      <c r="B318" s="14">
        <v>10671</v>
      </c>
      <c r="C318" s="15" t="s">
        <v>784</v>
      </c>
      <c r="D318" s="15" t="s">
        <v>69</v>
      </c>
      <c r="E318" s="14" t="s">
        <v>284</v>
      </c>
      <c r="F318" s="86">
        <v>0</v>
      </c>
      <c r="G318" s="86">
        <v>0</v>
      </c>
      <c r="H318" s="86">
        <v>0</v>
      </c>
      <c r="I318" s="86">
        <v>0</v>
      </c>
      <c r="J318" s="86">
        <v>0</v>
      </c>
      <c r="K318" s="86">
        <v>0</v>
      </c>
      <c r="L318" s="86">
        <v>0</v>
      </c>
      <c r="M318" s="86">
        <f t="shared" si="4"/>
        <v>0</v>
      </c>
    </row>
    <row r="319" spans="1:13" x14ac:dyDescent="0.25">
      <c r="A319" s="53">
        <v>317</v>
      </c>
      <c r="B319" s="14">
        <v>10672</v>
      </c>
      <c r="C319" s="15" t="s">
        <v>785</v>
      </c>
      <c r="D319" s="15" t="s">
        <v>69</v>
      </c>
      <c r="E319" s="14" t="s">
        <v>284</v>
      </c>
      <c r="F319" s="86">
        <v>0</v>
      </c>
      <c r="G319" s="86">
        <v>0</v>
      </c>
      <c r="H319" s="86">
        <v>0</v>
      </c>
      <c r="I319" s="86">
        <v>0</v>
      </c>
      <c r="J319" s="86">
        <v>0</v>
      </c>
      <c r="K319" s="86">
        <v>0</v>
      </c>
      <c r="L319" s="86">
        <v>0</v>
      </c>
      <c r="M319" s="86">
        <f t="shared" si="4"/>
        <v>0</v>
      </c>
    </row>
    <row r="320" spans="1:13" x14ac:dyDescent="0.25">
      <c r="A320" s="53">
        <v>318</v>
      </c>
      <c r="B320" s="14">
        <v>10673</v>
      </c>
      <c r="C320" s="15" t="s">
        <v>786</v>
      </c>
      <c r="D320" s="15" t="s">
        <v>69</v>
      </c>
      <c r="E320" s="14" t="s">
        <v>284</v>
      </c>
      <c r="F320" s="86">
        <v>0</v>
      </c>
      <c r="G320" s="86">
        <v>0</v>
      </c>
      <c r="H320" s="86">
        <v>0</v>
      </c>
      <c r="I320" s="86">
        <v>0</v>
      </c>
      <c r="J320" s="86">
        <v>0</v>
      </c>
      <c r="K320" s="86">
        <v>0</v>
      </c>
      <c r="L320" s="86">
        <v>0</v>
      </c>
      <c r="M320" s="86">
        <f t="shared" si="4"/>
        <v>0</v>
      </c>
    </row>
    <row r="321" spans="1:13" x14ac:dyDescent="0.25">
      <c r="A321" s="53">
        <v>319</v>
      </c>
      <c r="B321" s="14">
        <v>10674</v>
      </c>
      <c r="C321" s="15" t="s">
        <v>787</v>
      </c>
      <c r="D321" s="15" t="s">
        <v>69</v>
      </c>
      <c r="E321" s="14" t="s">
        <v>284</v>
      </c>
      <c r="F321" s="86">
        <v>0</v>
      </c>
      <c r="G321" s="86">
        <v>0</v>
      </c>
      <c r="H321" s="86">
        <v>0</v>
      </c>
      <c r="I321" s="86">
        <v>0</v>
      </c>
      <c r="J321" s="86">
        <v>0</v>
      </c>
      <c r="K321" s="86">
        <v>0</v>
      </c>
      <c r="L321" s="86">
        <v>0</v>
      </c>
      <c r="M321" s="86">
        <f t="shared" si="4"/>
        <v>0</v>
      </c>
    </row>
    <row r="322" spans="1:13" x14ac:dyDescent="0.25">
      <c r="A322" s="53">
        <v>320</v>
      </c>
      <c r="B322" s="14">
        <v>10669</v>
      </c>
      <c r="C322" s="15" t="s">
        <v>788</v>
      </c>
      <c r="D322" s="15" t="s">
        <v>69</v>
      </c>
      <c r="E322" s="14" t="s">
        <v>284</v>
      </c>
      <c r="F322" s="86">
        <v>0</v>
      </c>
      <c r="G322" s="86">
        <v>0</v>
      </c>
      <c r="H322" s="86">
        <v>0</v>
      </c>
      <c r="I322" s="86">
        <v>0</v>
      </c>
      <c r="J322" s="86">
        <v>0</v>
      </c>
      <c r="K322" s="86">
        <v>0</v>
      </c>
      <c r="L322" s="86">
        <v>0</v>
      </c>
      <c r="M322" s="86">
        <f t="shared" si="4"/>
        <v>0</v>
      </c>
    </row>
    <row r="323" spans="1:13" x14ac:dyDescent="0.25">
      <c r="A323" s="90">
        <v>321</v>
      </c>
      <c r="B323" s="14">
        <v>10675</v>
      </c>
      <c r="C323" s="15" t="s">
        <v>792</v>
      </c>
      <c r="D323" s="15" t="s">
        <v>69</v>
      </c>
      <c r="E323" s="14" t="s">
        <v>284</v>
      </c>
      <c r="F323" s="86">
        <v>0</v>
      </c>
      <c r="G323" s="86">
        <v>0</v>
      </c>
      <c r="H323" s="86">
        <v>0</v>
      </c>
      <c r="I323" s="86">
        <v>0</v>
      </c>
      <c r="J323" s="86">
        <v>0</v>
      </c>
      <c r="K323" s="86">
        <v>0</v>
      </c>
      <c r="L323" s="86">
        <v>0</v>
      </c>
      <c r="M323" s="86">
        <f t="shared" si="4"/>
        <v>0</v>
      </c>
    </row>
    <row r="324" spans="1:13" x14ac:dyDescent="0.25">
      <c r="A324" s="53">
        <v>322</v>
      </c>
      <c r="B324" s="14">
        <v>10676</v>
      </c>
      <c r="C324" s="15" t="s">
        <v>855</v>
      </c>
      <c r="D324" s="15" t="s">
        <v>69</v>
      </c>
      <c r="E324" s="14" t="s">
        <v>284</v>
      </c>
      <c r="F324" s="86">
        <v>0</v>
      </c>
      <c r="G324" s="86">
        <v>0</v>
      </c>
      <c r="H324" s="86">
        <v>0</v>
      </c>
      <c r="I324" s="86">
        <v>0</v>
      </c>
      <c r="J324" s="86">
        <v>0</v>
      </c>
      <c r="K324" s="86">
        <v>0</v>
      </c>
      <c r="L324" s="86">
        <v>0</v>
      </c>
      <c r="M324" s="86">
        <f t="shared" ref="M324:M378" si="5">SUM(F324:L324)</f>
        <v>0</v>
      </c>
    </row>
    <row r="325" spans="1:13" x14ac:dyDescent="0.25">
      <c r="A325" s="90">
        <v>323</v>
      </c>
      <c r="B325" s="14">
        <v>10677</v>
      </c>
      <c r="C325" s="15" t="s">
        <v>856</v>
      </c>
      <c r="D325" s="15" t="s">
        <v>69</v>
      </c>
      <c r="E325" s="14" t="s">
        <v>284</v>
      </c>
      <c r="F325" s="86">
        <v>0</v>
      </c>
      <c r="G325" s="86">
        <v>0</v>
      </c>
      <c r="H325" s="86">
        <v>0</v>
      </c>
      <c r="I325" s="86">
        <v>0</v>
      </c>
      <c r="J325" s="86">
        <v>0</v>
      </c>
      <c r="K325" s="86">
        <v>0</v>
      </c>
      <c r="L325" s="86">
        <v>0</v>
      </c>
      <c r="M325" s="86">
        <f t="shared" si="5"/>
        <v>0</v>
      </c>
    </row>
    <row r="326" spans="1:13" x14ac:dyDescent="0.25">
      <c r="A326" s="53">
        <v>324</v>
      </c>
      <c r="B326" s="14">
        <v>10678</v>
      </c>
      <c r="C326" s="15" t="s">
        <v>857</v>
      </c>
      <c r="D326" s="15" t="s">
        <v>337</v>
      </c>
      <c r="E326" s="14" t="s">
        <v>573</v>
      </c>
      <c r="F326" s="86">
        <v>0</v>
      </c>
      <c r="G326" s="86">
        <v>0</v>
      </c>
      <c r="H326" s="86">
        <v>0</v>
      </c>
      <c r="I326" s="86">
        <v>0</v>
      </c>
      <c r="J326" s="86">
        <v>0</v>
      </c>
      <c r="K326" s="86">
        <v>0</v>
      </c>
      <c r="L326" s="86">
        <v>0</v>
      </c>
      <c r="M326" s="86">
        <f t="shared" si="5"/>
        <v>0</v>
      </c>
    </row>
    <row r="327" spans="1:13" x14ac:dyDescent="0.25">
      <c r="A327" s="90">
        <v>325</v>
      </c>
      <c r="B327" s="14">
        <v>10679</v>
      </c>
      <c r="C327" s="15" t="s">
        <v>858</v>
      </c>
      <c r="D327" s="15" t="s">
        <v>342</v>
      </c>
      <c r="E327" s="14" t="s">
        <v>287</v>
      </c>
      <c r="F327" s="86">
        <v>0</v>
      </c>
      <c r="G327" s="86">
        <v>0</v>
      </c>
      <c r="H327" s="86">
        <v>0</v>
      </c>
      <c r="I327" s="86">
        <v>0</v>
      </c>
      <c r="J327" s="86">
        <v>0</v>
      </c>
      <c r="K327" s="86">
        <v>0</v>
      </c>
      <c r="L327" s="86">
        <v>0</v>
      </c>
      <c r="M327" s="86">
        <f t="shared" si="5"/>
        <v>0</v>
      </c>
    </row>
    <row r="328" spans="1:13" x14ac:dyDescent="0.25">
      <c r="A328" s="53">
        <v>326</v>
      </c>
      <c r="B328" s="14">
        <v>10680</v>
      </c>
      <c r="C328" s="15" t="s">
        <v>859</v>
      </c>
      <c r="D328" s="15" t="s">
        <v>23</v>
      </c>
      <c r="E328" s="14" t="s">
        <v>279</v>
      </c>
      <c r="F328" s="86">
        <v>0</v>
      </c>
      <c r="G328" s="86">
        <v>0</v>
      </c>
      <c r="H328" s="86">
        <v>0</v>
      </c>
      <c r="I328" s="86">
        <v>0</v>
      </c>
      <c r="J328" s="86">
        <v>0</v>
      </c>
      <c r="K328" s="86">
        <v>0</v>
      </c>
      <c r="L328" s="86">
        <v>0</v>
      </c>
      <c r="M328" s="86">
        <f t="shared" si="5"/>
        <v>0</v>
      </c>
    </row>
    <row r="329" spans="1:13" x14ac:dyDescent="0.25">
      <c r="A329" s="90">
        <v>327</v>
      </c>
      <c r="B329" s="14">
        <v>10681</v>
      </c>
      <c r="C329" s="15" t="s">
        <v>860</v>
      </c>
      <c r="D329" s="15" t="s">
        <v>69</v>
      </c>
      <c r="E329" s="14" t="s">
        <v>284</v>
      </c>
      <c r="F329" s="86">
        <v>0</v>
      </c>
      <c r="G329" s="86">
        <v>0</v>
      </c>
      <c r="H329" s="86">
        <v>0</v>
      </c>
      <c r="I329" s="86">
        <v>0</v>
      </c>
      <c r="J329" s="86">
        <v>0</v>
      </c>
      <c r="K329" s="86">
        <v>0</v>
      </c>
      <c r="L329" s="86">
        <v>0</v>
      </c>
      <c r="M329" s="86">
        <f t="shared" si="5"/>
        <v>0</v>
      </c>
    </row>
    <row r="330" spans="1:13" x14ac:dyDescent="0.25">
      <c r="A330" s="53">
        <v>328</v>
      </c>
      <c r="B330" s="14">
        <v>10682</v>
      </c>
      <c r="C330" s="15" t="s">
        <v>861</v>
      </c>
      <c r="D330" s="15" t="s">
        <v>69</v>
      </c>
      <c r="E330" s="14" t="s">
        <v>284</v>
      </c>
      <c r="F330" s="86">
        <v>0</v>
      </c>
      <c r="G330" s="86">
        <v>0</v>
      </c>
      <c r="H330" s="86">
        <v>0</v>
      </c>
      <c r="I330" s="86">
        <v>0</v>
      </c>
      <c r="J330" s="86">
        <v>0</v>
      </c>
      <c r="K330" s="86">
        <v>0</v>
      </c>
      <c r="L330" s="86">
        <v>0</v>
      </c>
      <c r="M330" s="86">
        <f t="shared" si="5"/>
        <v>0</v>
      </c>
    </row>
    <row r="331" spans="1:13" x14ac:dyDescent="0.25">
      <c r="A331" s="90">
        <v>329</v>
      </c>
      <c r="B331" s="14">
        <v>10683</v>
      </c>
      <c r="C331" s="15" t="s">
        <v>862</v>
      </c>
      <c r="D331" s="15" t="s">
        <v>55</v>
      </c>
      <c r="E331" s="14" t="s">
        <v>572</v>
      </c>
      <c r="F331" s="86">
        <v>0</v>
      </c>
      <c r="G331" s="86">
        <v>0</v>
      </c>
      <c r="H331" s="86">
        <v>0</v>
      </c>
      <c r="I331" s="86">
        <v>0</v>
      </c>
      <c r="J331" s="86">
        <v>0</v>
      </c>
      <c r="K331" s="86">
        <v>0</v>
      </c>
      <c r="L331" s="86">
        <v>0</v>
      </c>
      <c r="M331" s="86">
        <f t="shared" si="5"/>
        <v>0</v>
      </c>
    </row>
    <row r="332" spans="1:13" x14ac:dyDescent="0.25">
      <c r="A332" s="90">
        <v>330</v>
      </c>
      <c r="B332" s="14">
        <v>10684</v>
      </c>
      <c r="C332" s="15" t="s">
        <v>972</v>
      </c>
      <c r="D332" s="15" t="s">
        <v>337</v>
      </c>
      <c r="E332" s="14" t="s">
        <v>573</v>
      </c>
      <c r="F332" s="86">
        <v>0</v>
      </c>
      <c r="G332" s="86">
        <v>0</v>
      </c>
      <c r="H332" s="86">
        <v>0</v>
      </c>
      <c r="I332" s="86">
        <v>0</v>
      </c>
      <c r="J332" s="86">
        <v>0</v>
      </c>
      <c r="K332" s="86">
        <v>0</v>
      </c>
      <c r="L332" s="86">
        <v>0</v>
      </c>
      <c r="M332" s="86">
        <f t="shared" si="5"/>
        <v>0</v>
      </c>
    </row>
    <row r="333" spans="1:13" x14ac:dyDescent="0.25">
      <c r="A333" s="53">
        <v>331</v>
      </c>
      <c r="B333" s="14">
        <v>10685</v>
      </c>
      <c r="C333" s="15" t="s">
        <v>973</v>
      </c>
      <c r="D333" s="15" t="s">
        <v>149</v>
      </c>
      <c r="E333" s="14" t="s">
        <v>280</v>
      </c>
      <c r="F333" s="86">
        <v>0</v>
      </c>
      <c r="G333" s="86">
        <v>0</v>
      </c>
      <c r="H333" s="86">
        <v>0</v>
      </c>
      <c r="I333" s="86">
        <v>0</v>
      </c>
      <c r="J333" s="86">
        <v>0</v>
      </c>
      <c r="K333" s="86">
        <v>0</v>
      </c>
      <c r="L333" s="86">
        <v>0</v>
      </c>
      <c r="M333" s="86">
        <f t="shared" si="5"/>
        <v>0</v>
      </c>
    </row>
    <row r="334" spans="1:13" x14ac:dyDescent="0.25">
      <c r="A334" s="90">
        <v>332</v>
      </c>
      <c r="B334" s="14">
        <v>10686</v>
      </c>
      <c r="C334" s="15" t="s">
        <v>974</v>
      </c>
      <c r="D334" s="15" t="s">
        <v>347</v>
      </c>
      <c r="E334" s="14" t="s">
        <v>284</v>
      </c>
      <c r="F334" s="86">
        <v>0</v>
      </c>
      <c r="G334" s="86">
        <v>0</v>
      </c>
      <c r="H334" s="86">
        <v>0</v>
      </c>
      <c r="I334" s="86">
        <v>0</v>
      </c>
      <c r="J334" s="86">
        <v>0</v>
      </c>
      <c r="K334" s="86">
        <v>0</v>
      </c>
      <c r="L334" s="86">
        <v>0</v>
      </c>
      <c r="M334" s="86">
        <f t="shared" si="5"/>
        <v>0</v>
      </c>
    </row>
    <row r="335" spans="1:13" x14ac:dyDescent="0.25">
      <c r="A335" s="90">
        <v>333</v>
      </c>
      <c r="B335" s="14">
        <v>10689</v>
      </c>
      <c r="C335" s="15" t="s">
        <v>975</v>
      </c>
      <c r="D335" s="15" t="s">
        <v>69</v>
      </c>
      <c r="E335" s="14" t="s">
        <v>284</v>
      </c>
      <c r="F335" s="86">
        <v>0</v>
      </c>
      <c r="G335" s="86">
        <v>0</v>
      </c>
      <c r="H335" s="86">
        <v>0</v>
      </c>
      <c r="I335" s="86">
        <v>0</v>
      </c>
      <c r="J335" s="86">
        <v>0</v>
      </c>
      <c r="K335" s="86">
        <v>0</v>
      </c>
      <c r="L335" s="86">
        <v>0</v>
      </c>
      <c r="M335" s="86">
        <f t="shared" si="5"/>
        <v>0</v>
      </c>
    </row>
    <row r="336" spans="1:13" x14ac:dyDescent="0.25">
      <c r="A336" s="53">
        <v>334</v>
      </c>
      <c r="B336" s="14">
        <v>10690</v>
      </c>
      <c r="C336" s="15" t="s">
        <v>976</v>
      </c>
      <c r="D336" s="15" t="s">
        <v>23</v>
      </c>
      <c r="E336" s="14" t="s">
        <v>279</v>
      </c>
      <c r="F336" s="86">
        <v>0</v>
      </c>
      <c r="G336" s="86">
        <v>0</v>
      </c>
      <c r="H336" s="86">
        <v>0</v>
      </c>
      <c r="I336" s="86">
        <v>0</v>
      </c>
      <c r="J336" s="86">
        <v>0</v>
      </c>
      <c r="K336" s="86">
        <v>0</v>
      </c>
      <c r="L336" s="86">
        <v>0</v>
      </c>
      <c r="M336" s="86">
        <f t="shared" si="5"/>
        <v>0</v>
      </c>
    </row>
    <row r="337" spans="1:13" x14ac:dyDescent="0.25">
      <c r="A337" s="90">
        <v>335</v>
      </c>
      <c r="B337" s="14">
        <v>10691</v>
      </c>
      <c r="C337" s="15" t="s">
        <v>977</v>
      </c>
      <c r="D337" s="15" t="s">
        <v>23</v>
      </c>
      <c r="E337" s="14" t="s">
        <v>279</v>
      </c>
      <c r="F337" s="86">
        <v>0</v>
      </c>
      <c r="G337" s="86">
        <v>0</v>
      </c>
      <c r="H337" s="86">
        <v>0</v>
      </c>
      <c r="I337" s="86">
        <v>0</v>
      </c>
      <c r="J337" s="86">
        <v>0</v>
      </c>
      <c r="K337" s="86">
        <v>0</v>
      </c>
      <c r="L337" s="86">
        <v>0</v>
      </c>
      <c r="M337" s="86">
        <f t="shared" si="5"/>
        <v>0</v>
      </c>
    </row>
    <row r="338" spans="1:13" x14ac:dyDescent="0.25">
      <c r="A338" s="90">
        <v>336</v>
      </c>
      <c r="B338" s="14">
        <v>10692</v>
      </c>
      <c r="C338" s="15" t="s">
        <v>978</v>
      </c>
      <c r="D338" s="15" t="s">
        <v>337</v>
      </c>
      <c r="E338" s="14" t="s">
        <v>575</v>
      </c>
      <c r="F338" s="86">
        <v>0</v>
      </c>
      <c r="G338" s="86">
        <v>0</v>
      </c>
      <c r="H338" s="86">
        <v>0</v>
      </c>
      <c r="I338" s="86">
        <v>0</v>
      </c>
      <c r="J338" s="86">
        <v>0</v>
      </c>
      <c r="K338" s="86">
        <v>0</v>
      </c>
      <c r="L338" s="86">
        <v>0</v>
      </c>
      <c r="M338" s="86">
        <f t="shared" si="5"/>
        <v>0</v>
      </c>
    </row>
    <row r="339" spans="1:13" x14ac:dyDescent="0.25">
      <c r="A339" s="53">
        <v>337</v>
      </c>
      <c r="B339" s="14">
        <v>10693</v>
      </c>
      <c r="C339" s="15" t="s">
        <v>979</v>
      </c>
      <c r="D339" s="15" t="s">
        <v>23</v>
      </c>
      <c r="E339" s="14" t="s">
        <v>279</v>
      </c>
      <c r="F339" s="86">
        <v>0</v>
      </c>
      <c r="G339" s="86">
        <v>0</v>
      </c>
      <c r="H339" s="86">
        <v>0</v>
      </c>
      <c r="I339" s="86">
        <v>0</v>
      </c>
      <c r="J339" s="86">
        <v>0</v>
      </c>
      <c r="K339" s="86">
        <v>0</v>
      </c>
      <c r="L339" s="86">
        <v>0</v>
      </c>
      <c r="M339" s="86">
        <f t="shared" si="5"/>
        <v>0</v>
      </c>
    </row>
    <row r="340" spans="1:13" x14ac:dyDescent="0.25">
      <c r="A340" s="90">
        <v>338</v>
      </c>
      <c r="B340" s="14">
        <v>10694</v>
      </c>
      <c r="C340" s="15" t="s">
        <v>139</v>
      </c>
      <c r="D340" s="15" t="s">
        <v>23</v>
      </c>
      <c r="E340" s="14" t="s">
        <v>279</v>
      </c>
      <c r="F340" s="86">
        <v>0</v>
      </c>
      <c r="G340" s="86">
        <v>0</v>
      </c>
      <c r="H340" s="86">
        <v>0</v>
      </c>
      <c r="I340" s="86">
        <v>0</v>
      </c>
      <c r="J340" s="86">
        <v>0</v>
      </c>
      <c r="K340" s="86">
        <v>0</v>
      </c>
      <c r="L340" s="86">
        <v>0</v>
      </c>
      <c r="M340" s="86">
        <f t="shared" si="5"/>
        <v>0</v>
      </c>
    </row>
    <row r="341" spans="1:13" x14ac:dyDescent="0.25">
      <c r="A341" s="90">
        <v>339</v>
      </c>
      <c r="B341" s="14">
        <v>10695</v>
      </c>
      <c r="C341" s="15" t="s">
        <v>980</v>
      </c>
      <c r="D341" s="15" t="s">
        <v>69</v>
      </c>
      <c r="E341" s="14" t="s">
        <v>284</v>
      </c>
      <c r="F341" s="86">
        <v>0</v>
      </c>
      <c r="G341" s="86">
        <v>0</v>
      </c>
      <c r="H341" s="86">
        <v>0</v>
      </c>
      <c r="I341" s="86">
        <v>0</v>
      </c>
      <c r="J341" s="86">
        <v>0</v>
      </c>
      <c r="K341" s="86">
        <v>0</v>
      </c>
      <c r="L341" s="86">
        <v>0</v>
      </c>
      <c r="M341" s="86">
        <f t="shared" si="5"/>
        <v>0</v>
      </c>
    </row>
    <row r="342" spans="1:13" x14ac:dyDescent="0.25">
      <c r="A342" s="90">
        <v>340</v>
      </c>
      <c r="B342" s="14">
        <v>10696</v>
      </c>
      <c r="C342" s="15" t="s">
        <v>1091</v>
      </c>
      <c r="D342" s="15" t="s">
        <v>23</v>
      </c>
      <c r="E342" s="14" t="s">
        <v>1099</v>
      </c>
      <c r="J342" s="86">
        <v>0</v>
      </c>
      <c r="K342" s="86">
        <v>0</v>
      </c>
      <c r="L342" s="86">
        <v>0</v>
      </c>
      <c r="M342" s="86">
        <f t="shared" si="5"/>
        <v>0</v>
      </c>
    </row>
    <row r="343" spans="1:13" x14ac:dyDescent="0.25">
      <c r="A343" s="90">
        <v>341</v>
      </c>
      <c r="B343" s="14">
        <v>10697</v>
      </c>
      <c r="C343" s="15" t="s">
        <v>1092</v>
      </c>
      <c r="D343" s="15" t="s">
        <v>87</v>
      </c>
      <c r="E343" s="14" t="s">
        <v>280</v>
      </c>
      <c r="J343" s="86">
        <v>0</v>
      </c>
      <c r="K343" s="86">
        <v>0</v>
      </c>
      <c r="L343" s="86">
        <v>0</v>
      </c>
      <c r="M343" s="86">
        <f t="shared" si="5"/>
        <v>0</v>
      </c>
    </row>
    <row r="344" spans="1:13" x14ac:dyDescent="0.25">
      <c r="A344" s="90">
        <v>342</v>
      </c>
      <c r="B344" s="14">
        <v>10698</v>
      </c>
      <c r="C344" s="15" t="s">
        <v>1093</v>
      </c>
      <c r="D344" s="15" t="s">
        <v>69</v>
      </c>
      <c r="E344" s="14" t="s">
        <v>284</v>
      </c>
      <c r="J344" s="86">
        <v>0</v>
      </c>
      <c r="K344" s="86">
        <v>0</v>
      </c>
      <c r="L344" s="86">
        <v>0</v>
      </c>
      <c r="M344" s="86">
        <f t="shared" si="5"/>
        <v>0</v>
      </c>
    </row>
    <row r="345" spans="1:13" x14ac:dyDescent="0.25">
      <c r="A345" s="90">
        <v>343</v>
      </c>
      <c r="B345" s="14">
        <v>10699</v>
      </c>
      <c r="C345" s="15" t="s">
        <v>1094</v>
      </c>
      <c r="D345" s="15" t="s">
        <v>23</v>
      </c>
      <c r="E345" s="14" t="s">
        <v>1099</v>
      </c>
      <c r="J345" s="86">
        <v>0</v>
      </c>
      <c r="K345" s="86">
        <v>0</v>
      </c>
      <c r="L345" s="86">
        <v>0</v>
      </c>
      <c r="M345" s="86">
        <f t="shared" si="5"/>
        <v>0</v>
      </c>
    </row>
    <row r="346" spans="1:13" x14ac:dyDescent="0.25">
      <c r="A346" s="90">
        <v>344</v>
      </c>
      <c r="B346" s="14">
        <v>10700</v>
      </c>
      <c r="C346" s="15" t="s">
        <v>1095</v>
      </c>
      <c r="D346" s="15" t="s">
        <v>23</v>
      </c>
      <c r="E346" s="14" t="s">
        <v>1099</v>
      </c>
      <c r="J346" s="86">
        <v>0</v>
      </c>
      <c r="K346" s="86">
        <v>0</v>
      </c>
      <c r="L346" s="86">
        <v>0</v>
      </c>
      <c r="M346" s="86">
        <f t="shared" si="5"/>
        <v>0</v>
      </c>
    </row>
    <row r="347" spans="1:13" x14ac:dyDescent="0.25">
      <c r="A347" s="90">
        <v>345</v>
      </c>
      <c r="B347" s="14">
        <v>10701</v>
      </c>
      <c r="C347" s="15" t="s">
        <v>1096</v>
      </c>
      <c r="D347" s="15" t="s">
        <v>347</v>
      </c>
      <c r="E347" s="14" t="s">
        <v>284</v>
      </c>
      <c r="J347" s="86">
        <v>0</v>
      </c>
      <c r="K347" s="86">
        <v>0</v>
      </c>
      <c r="L347" s="86">
        <v>0</v>
      </c>
      <c r="M347" s="86">
        <f t="shared" si="5"/>
        <v>0</v>
      </c>
    </row>
    <row r="348" spans="1:13" x14ac:dyDescent="0.25">
      <c r="A348" s="90">
        <v>346</v>
      </c>
      <c r="B348" s="14">
        <v>10702</v>
      </c>
      <c r="C348" s="15" t="s">
        <v>1097</v>
      </c>
      <c r="D348" s="15" t="s">
        <v>69</v>
      </c>
      <c r="E348" s="14" t="s">
        <v>284</v>
      </c>
      <c r="J348" s="86">
        <v>0</v>
      </c>
      <c r="K348" s="86">
        <v>0</v>
      </c>
      <c r="L348" s="86">
        <v>0</v>
      </c>
      <c r="M348" s="86">
        <f t="shared" si="5"/>
        <v>0</v>
      </c>
    </row>
    <row r="349" spans="1:13" s="13" customFormat="1" x14ac:dyDescent="0.25">
      <c r="A349" s="90">
        <v>347</v>
      </c>
      <c r="B349" s="14">
        <v>10703</v>
      </c>
      <c r="C349" s="15" t="s">
        <v>1098</v>
      </c>
      <c r="D349" s="15" t="s">
        <v>337</v>
      </c>
      <c r="E349" s="14" t="s">
        <v>281</v>
      </c>
      <c r="J349" s="86">
        <v>0</v>
      </c>
      <c r="K349" s="86">
        <v>0</v>
      </c>
      <c r="L349" s="86">
        <v>0</v>
      </c>
      <c r="M349" s="86">
        <f t="shared" si="5"/>
        <v>0</v>
      </c>
    </row>
    <row r="350" spans="1:13" s="13" customFormat="1" x14ac:dyDescent="0.25">
      <c r="A350" s="90">
        <v>348</v>
      </c>
      <c r="B350" s="14">
        <v>10704</v>
      </c>
      <c r="C350" s="15" t="s">
        <v>1182</v>
      </c>
      <c r="D350" s="15" t="s">
        <v>337</v>
      </c>
      <c r="E350" s="14" t="s">
        <v>281</v>
      </c>
      <c r="J350" s="86">
        <v>0</v>
      </c>
      <c r="K350" s="86">
        <v>0</v>
      </c>
      <c r="L350" s="86">
        <v>0</v>
      </c>
      <c r="M350" s="86">
        <f t="shared" si="5"/>
        <v>0</v>
      </c>
    </row>
    <row r="351" spans="1:13" x14ac:dyDescent="0.25">
      <c r="A351" s="90">
        <v>349</v>
      </c>
      <c r="B351" s="14">
        <v>10705</v>
      </c>
      <c r="C351" s="15" t="s">
        <v>1103</v>
      </c>
      <c r="D351" s="15" t="s">
        <v>69</v>
      </c>
      <c r="E351" s="14" t="s">
        <v>284</v>
      </c>
      <c r="K351" s="86">
        <v>0</v>
      </c>
      <c r="L351" s="86">
        <v>0</v>
      </c>
      <c r="M351" s="86">
        <f t="shared" si="5"/>
        <v>0</v>
      </c>
    </row>
    <row r="352" spans="1:13" x14ac:dyDescent="0.25">
      <c r="A352" s="90">
        <v>350</v>
      </c>
      <c r="B352" s="14">
        <v>10708</v>
      </c>
      <c r="C352" s="15" t="s">
        <v>1104</v>
      </c>
      <c r="D352" s="15" t="s">
        <v>23</v>
      </c>
      <c r="E352" s="14" t="s">
        <v>1099</v>
      </c>
      <c r="K352" s="86">
        <v>0</v>
      </c>
      <c r="L352" s="86">
        <v>0</v>
      </c>
      <c r="M352" s="86">
        <f t="shared" si="5"/>
        <v>0</v>
      </c>
    </row>
    <row r="353" spans="1:13" x14ac:dyDescent="0.25">
      <c r="A353" s="90">
        <v>351</v>
      </c>
      <c r="B353" s="14">
        <v>10706</v>
      </c>
      <c r="C353" s="15" t="s">
        <v>1106</v>
      </c>
      <c r="D353" s="15" t="s">
        <v>69</v>
      </c>
      <c r="E353" s="14" t="s">
        <v>284</v>
      </c>
      <c r="K353" s="86">
        <v>0</v>
      </c>
      <c r="L353" s="86">
        <v>0</v>
      </c>
      <c r="M353" s="86">
        <f t="shared" si="5"/>
        <v>0</v>
      </c>
    </row>
    <row r="354" spans="1:13" x14ac:dyDescent="0.25">
      <c r="A354" s="90">
        <v>352</v>
      </c>
      <c r="B354" s="14">
        <v>10707</v>
      </c>
      <c r="C354" s="15" t="s">
        <v>1107</v>
      </c>
      <c r="D354" s="15" t="s">
        <v>378</v>
      </c>
      <c r="E354" s="14" t="s">
        <v>283</v>
      </c>
      <c r="K354" s="86">
        <v>0</v>
      </c>
      <c r="L354" s="86">
        <v>500</v>
      </c>
      <c r="M354" s="86">
        <f t="shared" si="5"/>
        <v>500</v>
      </c>
    </row>
    <row r="355" spans="1:13" x14ac:dyDescent="0.25">
      <c r="A355" s="90">
        <v>353</v>
      </c>
      <c r="B355" s="14">
        <v>10709</v>
      </c>
      <c r="C355" s="15" t="s">
        <v>1108</v>
      </c>
      <c r="D355" s="15" t="s">
        <v>23</v>
      </c>
      <c r="E355" s="14" t="s">
        <v>1099</v>
      </c>
      <c r="K355" s="86">
        <v>0</v>
      </c>
      <c r="L355" s="86">
        <v>0</v>
      </c>
      <c r="M355" s="86">
        <f t="shared" si="5"/>
        <v>0</v>
      </c>
    </row>
    <row r="356" spans="1:13" x14ac:dyDescent="0.25">
      <c r="A356" s="90">
        <v>354</v>
      </c>
      <c r="B356" s="14">
        <v>10710</v>
      </c>
      <c r="C356" s="15" t="s">
        <v>1109</v>
      </c>
      <c r="D356" s="15" t="s">
        <v>23</v>
      </c>
      <c r="E356" s="14" t="s">
        <v>1099</v>
      </c>
      <c r="K356" s="86">
        <v>0</v>
      </c>
      <c r="L356" s="86">
        <v>0</v>
      </c>
      <c r="M356" s="86">
        <f t="shared" si="5"/>
        <v>0</v>
      </c>
    </row>
    <row r="357" spans="1:13" x14ac:dyDescent="0.25">
      <c r="A357" s="90">
        <v>355</v>
      </c>
      <c r="B357" s="14">
        <v>10711</v>
      </c>
      <c r="C357" s="15" t="s">
        <v>1110</v>
      </c>
      <c r="D357" s="15" t="s">
        <v>69</v>
      </c>
      <c r="E357" s="14" t="s">
        <v>284</v>
      </c>
      <c r="K357" s="86">
        <v>0</v>
      </c>
      <c r="L357" s="86">
        <v>0</v>
      </c>
      <c r="M357" s="86">
        <f t="shared" si="5"/>
        <v>0</v>
      </c>
    </row>
    <row r="358" spans="1:13" x14ac:dyDescent="0.25">
      <c r="A358" s="90">
        <v>356</v>
      </c>
      <c r="B358" s="14">
        <v>10712</v>
      </c>
      <c r="C358" s="15" t="s">
        <v>1111</v>
      </c>
      <c r="D358" s="15" t="s">
        <v>1112</v>
      </c>
      <c r="E358" s="14" t="s">
        <v>287</v>
      </c>
      <c r="K358" s="86">
        <v>0</v>
      </c>
      <c r="L358" s="86">
        <v>0</v>
      </c>
      <c r="M358" s="86">
        <f t="shared" si="5"/>
        <v>0</v>
      </c>
    </row>
    <row r="359" spans="1:13" x14ac:dyDescent="0.25">
      <c r="A359" s="90">
        <v>357</v>
      </c>
      <c r="B359" s="14">
        <v>10713</v>
      </c>
      <c r="C359" s="15" t="s">
        <v>1172</v>
      </c>
      <c r="D359" s="15" t="s">
        <v>319</v>
      </c>
      <c r="E359" s="14" t="s">
        <v>1178</v>
      </c>
      <c r="K359" s="86">
        <v>0</v>
      </c>
      <c r="L359" s="86">
        <v>0</v>
      </c>
      <c r="M359" s="86">
        <f t="shared" si="5"/>
        <v>0</v>
      </c>
    </row>
    <row r="360" spans="1:13" x14ac:dyDescent="0.25">
      <c r="A360" s="90">
        <v>358</v>
      </c>
      <c r="B360" s="14">
        <v>10714</v>
      </c>
      <c r="C360" s="15" t="s">
        <v>1173</v>
      </c>
      <c r="D360" s="15" t="s">
        <v>342</v>
      </c>
      <c r="E360" s="14" t="s">
        <v>287</v>
      </c>
      <c r="K360" s="86">
        <v>0</v>
      </c>
      <c r="L360" s="86">
        <v>0</v>
      </c>
      <c r="M360" s="86">
        <f t="shared" si="5"/>
        <v>0</v>
      </c>
    </row>
    <row r="361" spans="1:13" x14ac:dyDescent="0.25">
      <c r="A361" s="90">
        <v>359</v>
      </c>
      <c r="B361" s="14">
        <v>10715</v>
      </c>
      <c r="C361" s="15" t="s">
        <v>1174</v>
      </c>
      <c r="D361" s="15" t="s">
        <v>23</v>
      </c>
      <c r="E361" s="14" t="s">
        <v>1099</v>
      </c>
      <c r="K361" s="86">
        <v>0</v>
      </c>
      <c r="L361" s="86">
        <v>0</v>
      </c>
      <c r="M361" s="86">
        <f t="shared" si="5"/>
        <v>0</v>
      </c>
    </row>
    <row r="362" spans="1:13" x14ac:dyDescent="0.25">
      <c r="A362" s="90">
        <v>360</v>
      </c>
      <c r="B362" s="14">
        <v>10716</v>
      </c>
      <c r="C362" s="15" t="s">
        <v>1175</v>
      </c>
      <c r="D362" s="15" t="s">
        <v>23</v>
      </c>
      <c r="E362" s="14" t="s">
        <v>1099</v>
      </c>
      <c r="K362" s="86">
        <v>0</v>
      </c>
      <c r="L362" s="86">
        <v>0</v>
      </c>
      <c r="M362" s="86">
        <f t="shared" si="5"/>
        <v>0</v>
      </c>
    </row>
    <row r="363" spans="1:13" x14ac:dyDescent="0.25">
      <c r="A363" s="90">
        <v>361</v>
      </c>
      <c r="B363" s="14">
        <v>10717</v>
      </c>
      <c r="C363" s="15" t="s">
        <v>1176</v>
      </c>
      <c r="D363" s="15" t="s">
        <v>149</v>
      </c>
      <c r="E363" s="14" t="s">
        <v>280</v>
      </c>
      <c r="K363" s="86">
        <v>0</v>
      </c>
      <c r="L363" s="86">
        <v>0</v>
      </c>
      <c r="M363" s="86">
        <f t="shared" si="5"/>
        <v>0</v>
      </c>
    </row>
    <row r="364" spans="1:13" x14ac:dyDescent="0.25">
      <c r="A364" s="90">
        <v>362</v>
      </c>
      <c r="B364" s="14">
        <v>10718</v>
      </c>
      <c r="C364" s="15" t="s">
        <v>1177</v>
      </c>
      <c r="D364" s="15" t="s">
        <v>69</v>
      </c>
      <c r="E364" s="14" t="s">
        <v>284</v>
      </c>
      <c r="K364" s="86">
        <v>0</v>
      </c>
      <c r="L364" s="86">
        <v>0</v>
      </c>
      <c r="M364" s="86">
        <f t="shared" si="5"/>
        <v>0</v>
      </c>
    </row>
    <row r="365" spans="1:13" x14ac:dyDescent="0.25">
      <c r="A365" s="90">
        <v>363</v>
      </c>
      <c r="B365" s="14">
        <v>10719</v>
      </c>
      <c r="C365" s="15" t="s">
        <v>1187</v>
      </c>
      <c r="D365" s="15" t="s">
        <v>23</v>
      </c>
      <c r="E365" s="14" t="s">
        <v>1191</v>
      </c>
      <c r="K365" s="86">
        <v>0</v>
      </c>
      <c r="L365" s="86">
        <v>0</v>
      </c>
      <c r="M365" s="86">
        <f t="shared" si="5"/>
        <v>0</v>
      </c>
    </row>
    <row r="366" spans="1:13" x14ac:dyDescent="0.25">
      <c r="A366" s="90">
        <v>364</v>
      </c>
      <c r="B366" s="14">
        <v>10720</v>
      </c>
      <c r="C366" s="15" t="s">
        <v>1188</v>
      </c>
      <c r="D366" s="15" t="s">
        <v>23</v>
      </c>
      <c r="E366" s="14" t="s">
        <v>1191</v>
      </c>
      <c r="L366" s="86">
        <v>0</v>
      </c>
      <c r="M366" s="86">
        <f t="shared" si="5"/>
        <v>0</v>
      </c>
    </row>
    <row r="367" spans="1:13" x14ac:dyDescent="0.25">
      <c r="A367" s="90">
        <v>365</v>
      </c>
      <c r="B367" s="14">
        <v>10721</v>
      </c>
      <c r="C367" s="15" t="s">
        <v>1189</v>
      </c>
      <c r="D367" s="15" t="s">
        <v>1190</v>
      </c>
      <c r="E367" s="14" t="s">
        <v>290</v>
      </c>
      <c r="L367" s="86">
        <v>0</v>
      </c>
      <c r="M367" s="86">
        <f t="shared" si="5"/>
        <v>0</v>
      </c>
    </row>
    <row r="368" spans="1:13" x14ac:dyDescent="0.25">
      <c r="A368" s="90">
        <v>366</v>
      </c>
      <c r="B368" s="14">
        <v>10722</v>
      </c>
      <c r="C368" s="15" t="s">
        <v>1308</v>
      </c>
      <c r="D368" s="15" t="s">
        <v>342</v>
      </c>
      <c r="E368" s="14" t="s">
        <v>287</v>
      </c>
      <c r="L368" s="86">
        <v>0</v>
      </c>
      <c r="M368" s="86">
        <f t="shared" si="5"/>
        <v>0</v>
      </c>
    </row>
    <row r="369" spans="1:13" x14ac:dyDescent="0.25">
      <c r="A369" s="90">
        <v>367</v>
      </c>
      <c r="B369" s="14">
        <v>10723</v>
      </c>
      <c r="C369" s="15" t="s">
        <v>1309</v>
      </c>
      <c r="D369" s="15" t="s">
        <v>69</v>
      </c>
      <c r="E369" s="14" t="s">
        <v>284</v>
      </c>
      <c r="L369" s="86">
        <v>0</v>
      </c>
      <c r="M369" s="86">
        <f t="shared" si="5"/>
        <v>0</v>
      </c>
    </row>
    <row r="370" spans="1:13" x14ac:dyDescent="0.25">
      <c r="A370" s="90">
        <v>368</v>
      </c>
      <c r="B370" s="14">
        <v>10724</v>
      </c>
      <c r="C370" s="15" t="s">
        <v>1310</v>
      </c>
      <c r="D370" s="15" t="s">
        <v>23</v>
      </c>
      <c r="E370" s="14" t="s">
        <v>1191</v>
      </c>
      <c r="L370" s="86">
        <v>0</v>
      </c>
      <c r="M370" s="86">
        <f t="shared" si="5"/>
        <v>0</v>
      </c>
    </row>
    <row r="371" spans="1:13" x14ac:dyDescent="0.25">
      <c r="A371" s="90">
        <v>369</v>
      </c>
      <c r="B371" s="14">
        <v>10725</v>
      </c>
      <c r="C371" s="15" t="s">
        <v>1311</v>
      </c>
      <c r="D371" s="15" t="s">
        <v>337</v>
      </c>
      <c r="E371" s="14" t="s">
        <v>1320</v>
      </c>
      <c r="L371" s="86">
        <v>0</v>
      </c>
      <c r="M371" s="86">
        <f t="shared" si="5"/>
        <v>0</v>
      </c>
    </row>
    <row r="372" spans="1:13" x14ac:dyDescent="0.25">
      <c r="A372" s="90">
        <v>370</v>
      </c>
      <c r="B372" s="14">
        <v>10726</v>
      </c>
      <c r="C372" s="15" t="s">
        <v>1312</v>
      </c>
      <c r="D372" s="15" t="s">
        <v>170</v>
      </c>
      <c r="E372" s="14" t="s">
        <v>291</v>
      </c>
      <c r="L372" s="86">
        <v>0</v>
      </c>
      <c r="M372" s="86">
        <f t="shared" si="5"/>
        <v>0</v>
      </c>
    </row>
    <row r="373" spans="1:13" x14ac:dyDescent="0.25">
      <c r="A373" s="90">
        <v>371</v>
      </c>
      <c r="B373" s="14">
        <v>10728</v>
      </c>
      <c r="C373" s="15" t="s">
        <v>1313</v>
      </c>
      <c r="D373" s="15" t="s">
        <v>337</v>
      </c>
      <c r="E373" s="14" t="s">
        <v>379</v>
      </c>
      <c r="L373" s="86">
        <v>0</v>
      </c>
      <c r="M373" s="86">
        <f t="shared" si="5"/>
        <v>0</v>
      </c>
    </row>
    <row r="374" spans="1:13" x14ac:dyDescent="0.25">
      <c r="A374" s="90">
        <v>372</v>
      </c>
      <c r="B374" s="14">
        <v>10729</v>
      </c>
      <c r="C374" s="15" t="s">
        <v>1314</v>
      </c>
      <c r="D374" s="15" t="s">
        <v>1315</v>
      </c>
      <c r="E374" s="14" t="s">
        <v>278</v>
      </c>
      <c r="L374" s="86">
        <v>0</v>
      </c>
      <c r="M374" s="86">
        <f t="shared" si="5"/>
        <v>0</v>
      </c>
    </row>
    <row r="375" spans="1:13" x14ac:dyDescent="0.25">
      <c r="A375" s="90">
        <v>373</v>
      </c>
      <c r="B375" s="14">
        <v>10730</v>
      </c>
      <c r="C375" s="15" t="s">
        <v>1316</v>
      </c>
      <c r="D375" s="15" t="s">
        <v>337</v>
      </c>
      <c r="E375" s="14" t="s">
        <v>1320</v>
      </c>
      <c r="L375" s="86">
        <v>0</v>
      </c>
      <c r="M375" s="86">
        <f t="shared" si="5"/>
        <v>0</v>
      </c>
    </row>
    <row r="376" spans="1:13" x14ac:dyDescent="0.25">
      <c r="A376" s="90">
        <v>374</v>
      </c>
      <c r="B376" s="14">
        <v>10731</v>
      </c>
      <c r="C376" s="15" t="s">
        <v>1317</v>
      </c>
      <c r="D376" s="15" t="s">
        <v>87</v>
      </c>
      <c r="E376" s="14" t="s">
        <v>280</v>
      </c>
      <c r="L376" s="86">
        <v>0</v>
      </c>
      <c r="M376" s="86">
        <f t="shared" si="5"/>
        <v>0</v>
      </c>
    </row>
    <row r="377" spans="1:13" x14ac:dyDescent="0.25">
      <c r="A377" s="90">
        <v>375</v>
      </c>
      <c r="B377" s="14">
        <v>10732</v>
      </c>
      <c r="C377" s="15" t="s">
        <v>1318</v>
      </c>
      <c r="D377" s="15" t="s">
        <v>337</v>
      </c>
      <c r="E377" s="14" t="s">
        <v>379</v>
      </c>
      <c r="L377" s="86">
        <v>0</v>
      </c>
      <c r="M377" s="86">
        <f t="shared" si="5"/>
        <v>0</v>
      </c>
    </row>
    <row r="378" spans="1:13" x14ac:dyDescent="0.25">
      <c r="A378" s="90">
        <v>376</v>
      </c>
      <c r="B378" s="14">
        <v>10733</v>
      </c>
      <c r="C378" s="15" t="s">
        <v>1319</v>
      </c>
      <c r="D378" s="15" t="s">
        <v>150</v>
      </c>
      <c r="E378" s="14" t="s">
        <v>280</v>
      </c>
      <c r="L378" s="86">
        <v>0</v>
      </c>
      <c r="M378" s="86">
        <f t="shared" si="5"/>
        <v>0</v>
      </c>
    </row>
    <row r="385" spans="40:40" x14ac:dyDescent="0.25">
      <c r="AN385" s="13"/>
    </row>
    <row r="386" spans="40:40" x14ac:dyDescent="0.25">
      <c r="AN386" s="13"/>
    </row>
    <row r="387" spans="40:40" x14ac:dyDescent="0.25">
      <c r="AN387" s="13"/>
    </row>
    <row r="388" spans="40:40" x14ac:dyDescent="0.25">
      <c r="AN388" s="13"/>
    </row>
    <row r="389" spans="40:40" x14ac:dyDescent="0.25">
      <c r="AN389" s="13"/>
    </row>
    <row r="390" spans="40:40" x14ac:dyDescent="0.25">
      <c r="AN390" s="13"/>
    </row>
    <row r="391" spans="40:40" x14ac:dyDescent="0.25">
      <c r="AN391" s="13"/>
    </row>
    <row r="392" spans="40:40" x14ac:dyDescent="0.25">
      <c r="AN392" s="13"/>
    </row>
    <row r="393" spans="40:40" x14ac:dyDescent="0.25">
      <c r="AN393" s="13"/>
    </row>
    <row r="394" spans="40:40" x14ac:dyDescent="0.25">
      <c r="AN394" s="13"/>
    </row>
    <row r="395" spans="40:40" x14ac:dyDescent="0.25">
      <c r="AN395" s="13"/>
    </row>
    <row r="396" spans="40:40" x14ac:dyDescent="0.25">
      <c r="AN396" s="13"/>
    </row>
    <row r="397" spans="40:40" x14ac:dyDescent="0.25">
      <c r="AN397" s="13"/>
    </row>
    <row r="398" spans="40:40" x14ac:dyDescent="0.25">
      <c r="AN398" s="13"/>
    </row>
    <row r="399" spans="40:40" x14ac:dyDescent="0.25">
      <c r="AN399" s="13"/>
    </row>
    <row r="400" spans="40:40" x14ac:dyDescent="0.25">
      <c r="AN400" s="13"/>
    </row>
    <row r="401" spans="40:40" x14ac:dyDescent="0.25">
      <c r="AN401" s="13"/>
    </row>
  </sheetData>
  <conditionalFormatting sqref="A2">
    <cfRule type="duplicateValues" dxfId="229" priority="60"/>
    <cfRule type="duplicateValues" dxfId="228" priority="61"/>
    <cfRule type="duplicateValues" dxfId="227" priority="62"/>
    <cfRule type="duplicateValues" dxfId="226" priority="63"/>
  </conditionalFormatting>
  <conditionalFormatting sqref="A3 A6 A9 A12 A15 A18 A21 A24 A27 A30 A33 A36 A39 A42 A45 A48 A51 A54 A57 A60 A63 A66 A69 A72 A75 A78 A81 A84 A87 A90 A93 A96 A99 A102 A105 A108 A111 A114 A117 A120 A123 A126 A129 A132 A135 A138 A141 A144 A147 A150 A153 A156 A159 A162 A165 A168 A171 A174 A177 A180 A183 A186 A189 A192 A195 A198 A201 A204 A207 A210 A213 A216 A219 A222 A225 A228 A231 A234 A237 A240 A243 A246 A249 A252 A255 A258 A261 A264 A267 A270 A273 A276 A279 A282 A285 A288 A291 A294 A297 A300 A303 A306 A309 A312 A315 A318 A321">
    <cfRule type="duplicateValues" dxfId="225" priority="43"/>
    <cfRule type="duplicateValues" dxfId="224" priority="44"/>
    <cfRule type="duplicateValues" dxfId="223" priority="45"/>
    <cfRule type="duplicateValues" dxfId="222" priority="46"/>
  </conditionalFormatting>
  <conditionalFormatting sqref="A4:A5 A7:A8 A10:A11 A13:A14 A16:A17 A19:A20 A22:A23 A25:A26 A28:A29 A31:A32 A34:A35 A37:A38 A40:A41 A43:A44 A46:A47 A49:A50 A52:A53 A55:A56 A58:A59 A61:A62 A64:A65 A67:A68 A70:A71 A73:A74 A76:A77 A79:A80 A82:A83 A85:A86 A88:A89 A91:A92 A94:A95 A97:A98 A100:A101 A103:A104 A106:A107 A109:A110 A112:A113 A115:A116 A118:A119 A121:A122 A124:A125 A127:A128 A130:A131 A133:A134 A136:A137 A139:A140 A142:A143 A145:A146 A148:A149 A151:A152 A154:A155 A157:A158 A160:A161 A163:A164 A166:A167 A169:A170 A172:A173 A175:A176 A178:A179 A181:A182 A184:A185 A187:A188 A190:A191 A193:A194 A196:A197 A199:A200 A202:A203 A205:A206 A208:A209 A211:A212 A214:A215 A217:A218 A220:A221 A223:A224 A226:A227 A229:A230 A232:A233 A235:A236 A238:A239 A241:A242 A244:A245 A247:A248 A250:A251 A253:A254 A256:A257 A259:A260 A262:A263 A265:A266 A268:A269 A271:A272 A274:A275 A277:A278 A280:A281 A283:A284 A286:A287 A289:A290 A292:A293 A295:A296 A298:A299 A301:A302 A304:A305 A307:A308 A310:A311 A313:A314 A316:A317 A319:A320 A322:A348 A350 A352 A354 A356 A358 A360 A362 A364 A366 A368 A370 A372 A374 A376 A378">
    <cfRule type="duplicateValues" dxfId="221" priority="47"/>
  </conditionalFormatting>
  <conditionalFormatting sqref="A349 A351 A353 A355 A357 A359 A361 A363 A365 A367 A369 A371 A373 A375 A377">
    <cfRule type="duplicateValues" dxfId="220" priority="25"/>
  </conditionalFormatting>
  <conditionalFormatting sqref="B2">
    <cfRule type="duplicateValues" dxfId="219" priority="82"/>
    <cfRule type="duplicateValues" dxfId="218" priority="83"/>
    <cfRule type="duplicateValues" dxfId="217" priority="84"/>
    <cfRule type="duplicateValues" dxfId="216" priority="85"/>
  </conditionalFormatting>
  <conditionalFormatting sqref="B3">
    <cfRule type="duplicateValues" dxfId="215" priority="65"/>
    <cfRule type="duplicateValues" dxfId="214" priority="66"/>
    <cfRule type="duplicateValues" dxfId="213" priority="67"/>
    <cfRule type="duplicateValues" dxfId="212" priority="68"/>
  </conditionalFormatting>
  <conditionalFormatting sqref="B4:B289">
    <cfRule type="duplicateValues" dxfId="211" priority="69"/>
  </conditionalFormatting>
  <conditionalFormatting sqref="B290:B296">
    <cfRule type="duplicateValues" dxfId="210" priority="64"/>
  </conditionalFormatting>
  <conditionalFormatting sqref="B297">
    <cfRule type="duplicateValues" dxfId="209" priority="78"/>
    <cfRule type="duplicateValues" dxfId="208" priority="79"/>
    <cfRule type="duplicateValues" dxfId="207" priority="80"/>
    <cfRule type="duplicateValues" dxfId="206" priority="81"/>
  </conditionalFormatting>
  <conditionalFormatting sqref="B298:B303">
    <cfRule type="duplicateValues" dxfId="205" priority="74"/>
    <cfRule type="duplicateValues" dxfId="204" priority="75"/>
    <cfRule type="duplicateValues" dxfId="203" priority="76"/>
    <cfRule type="duplicateValues" dxfId="202" priority="77"/>
  </conditionalFormatting>
  <conditionalFormatting sqref="B304:B310">
    <cfRule type="duplicateValues" dxfId="201" priority="70"/>
    <cfRule type="duplicateValues" dxfId="200" priority="71"/>
    <cfRule type="duplicateValues" dxfId="199" priority="72"/>
    <cfRule type="duplicateValues" dxfId="198" priority="73"/>
  </conditionalFormatting>
  <conditionalFormatting sqref="B311:B323">
    <cfRule type="duplicateValues" dxfId="197" priority="38"/>
    <cfRule type="duplicateValues" dxfId="196" priority="39"/>
    <cfRule type="duplicateValues" dxfId="195" priority="40"/>
    <cfRule type="duplicateValues" dxfId="194" priority="41"/>
  </conditionalFormatting>
  <conditionalFormatting sqref="B324:B341">
    <cfRule type="duplicateValues" dxfId="193" priority="30"/>
    <cfRule type="duplicateValues" dxfId="192" priority="31"/>
    <cfRule type="duplicateValues" dxfId="191" priority="32"/>
    <cfRule type="duplicateValues" dxfId="190" priority="33"/>
  </conditionalFormatting>
  <conditionalFormatting sqref="B342:B348">
    <cfRule type="duplicateValues" dxfId="189" priority="26"/>
    <cfRule type="duplicateValues" dxfId="188" priority="27"/>
    <cfRule type="duplicateValues" dxfId="187" priority="28"/>
    <cfRule type="duplicateValues" dxfId="186" priority="29"/>
  </conditionalFormatting>
  <conditionalFormatting sqref="B349:B350">
    <cfRule type="duplicateValues" dxfId="185" priority="21"/>
    <cfRule type="duplicateValues" dxfId="184" priority="22"/>
    <cfRule type="duplicateValues" dxfId="183" priority="23"/>
    <cfRule type="duplicateValues" dxfId="182" priority="24"/>
  </conditionalFormatting>
  <conditionalFormatting sqref="B351:B358">
    <cfRule type="duplicateValues" dxfId="181" priority="13"/>
    <cfRule type="duplicateValues" dxfId="180" priority="14"/>
    <cfRule type="duplicateValues" dxfId="179" priority="15"/>
    <cfRule type="duplicateValues" dxfId="178" priority="16"/>
  </conditionalFormatting>
  <conditionalFormatting sqref="B359:B364">
    <cfRule type="duplicateValues" dxfId="177" priority="17"/>
    <cfRule type="duplicateValues" dxfId="176" priority="18"/>
    <cfRule type="duplicateValues" dxfId="175" priority="19"/>
    <cfRule type="duplicateValues" dxfId="174" priority="20"/>
  </conditionalFormatting>
  <conditionalFormatting sqref="B365:B367">
    <cfRule type="duplicateValues" dxfId="173" priority="9"/>
    <cfRule type="duplicateValues" dxfId="172" priority="10"/>
    <cfRule type="duplicateValues" dxfId="171" priority="11"/>
    <cfRule type="duplicateValues" dxfId="170" priority="12"/>
  </conditionalFormatting>
  <conditionalFormatting sqref="B368:B374">
    <cfRule type="duplicateValues" dxfId="169" priority="5"/>
    <cfRule type="duplicateValues" dxfId="168" priority="6"/>
    <cfRule type="duplicateValues" dxfId="167" priority="7"/>
    <cfRule type="duplicateValues" dxfId="166" priority="8"/>
  </conditionalFormatting>
  <conditionalFormatting sqref="B375:B378">
    <cfRule type="duplicateValues" dxfId="165" priority="1"/>
    <cfRule type="duplicateValues" dxfId="164" priority="2"/>
    <cfRule type="duplicateValues" dxfId="163" priority="3"/>
    <cfRule type="duplicateValues" dxfId="162" priority="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7"/>
  <sheetViews>
    <sheetView topLeftCell="A325" workbookViewId="0">
      <selection activeCell="A343" sqref="A343"/>
    </sheetView>
  </sheetViews>
  <sheetFormatPr defaultRowHeight="15" x14ac:dyDescent="0.25"/>
  <cols>
    <col min="1" max="1" width="8.7109375" style="13" bestFit="1" customWidth="1"/>
    <col min="2" max="2" width="30.42578125" style="13" bestFit="1" customWidth="1"/>
    <col min="3" max="3" width="34.42578125" style="13" customWidth="1"/>
    <col min="4" max="4" width="20.85546875" style="13" customWidth="1"/>
    <col min="5" max="5" width="17.5703125" bestFit="1" customWidth="1"/>
    <col min="6" max="12" width="17.5703125" style="13" bestFit="1" customWidth="1"/>
  </cols>
  <sheetData>
    <row r="1" spans="1:12" ht="25.5" x14ac:dyDescent="0.25">
      <c r="A1" s="1" t="s">
        <v>0</v>
      </c>
      <c r="B1" s="1" t="s">
        <v>1</v>
      </c>
      <c r="C1" s="1" t="s">
        <v>2</v>
      </c>
      <c r="D1" s="3" t="s">
        <v>273</v>
      </c>
      <c r="E1" s="87">
        <v>45839</v>
      </c>
      <c r="F1" s="87">
        <v>45870</v>
      </c>
      <c r="G1" s="87">
        <v>45901</v>
      </c>
      <c r="H1" s="87">
        <v>45931</v>
      </c>
      <c r="I1" s="87">
        <v>45962</v>
      </c>
      <c r="J1" s="87">
        <v>45992</v>
      </c>
      <c r="K1" s="87">
        <v>46048</v>
      </c>
      <c r="L1" s="87">
        <v>46076</v>
      </c>
    </row>
    <row r="2" spans="1:12" x14ac:dyDescent="0.25">
      <c r="A2" s="53">
        <v>10001</v>
      </c>
      <c r="B2" s="38" t="s">
        <v>3</v>
      </c>
      <c r="C2" s="38" t="s">
        <v>4</v>
      </c>
      <c r="D2" s="37" t="s">
        <v>274</v>
      </c>
      <c r="E2" s="71">
        <v>0</v>
      </c>
      <c r="F2" s="71">
        <v>0</v>
      </c>
      <c r="G2" s="71">
        <v>0</v>
      </c>
      <c r="H2" s="71">
        <v>0</v>
      </c>
      <c r="I2" s="71">
        <v>0</v>
      </c>
      <c r="J2" s="71">
        <v>0</v>
      </c>
      <c r="K2" s="71">
        <v>0</v>
      </c>
      <c r="L2" s="71">
        <v>0</v>
      </c>
    </row>
    <row r="3" spans="1:12" x14ac:dyDescent="0.25">
      <c r="A3" s="53">
        <v>20001</v>
      </c>
      <c r="B3" s="38" t="s">
        <v>334</v>
      </c>
      <c r="C3" s="38" t="s">
        <v>343</v>
      </c>
      <c r="D3" s="37" t="s">
        <v>274</v>
      </c>
      <c r="E3" s="71">
        <v>0</v>
      </c>
      <c r="F3" s="71">
        <v>0</v>
      </c>
      <c r="G3" s="71">
        <v>0</v>
      </c>
      <c r="H3" s="71">
        <v>0</v>
      </c>
      <c r="I3" s="71">
        <v>0</v>
      </c>
      <c r="J3" s="71">
        <v>0</v>
      </c>
      <c r="K3" s="71">
        <v>0</v>
      </c>
      <c r="L3" s="71">
        <v>0</v>
      </c>
    </row>
    <row r="4" spans="1:12" x14ac:dyDescent="0.25">
      <c r="A4" s="53">
        <v>10520</v>
      </c>
      <c r="B4" s="38" t="s">
        <v>5</v>
      </c>
      <c r="C4" s="38" t="s">
        <v>6</v>
      </c>
      <c r="D4" s="37" t="s">
        <v>274</v>
      </c>
      <c r="E4" s="71">
        <v>0</v>
      </c>
      <c r="F4" s="71">
        <v>0</v>
      </c>
      <c r="G4" s="71">
        <v>0</v>
      </c>
      <c r="H4" s="71">
        <v>0</v>
      </c>
      <c r="I4" s="71">
        <v>0</v>
      </c>
      <c r="J4" s="71">
        <v>0</v>
      </c>
      <c r="K4" s="71">
        <v>0</v>
      </c>
      <c r="L4" s="71">
        <v>0</v>
      </c>
    </row>
    <row r="5" spans="1:12" x14ac:dyDescent="0.25">
      <c r="A5" s="53">
        <v>10002</v>
      </c>
      <c r="B5" s="38" t="s">
        <v>7</v>
      </c>
      <c r="C5" s="38" t="s">
        <v>425</v>
      </c>
      <c r="D5" s="37" t="s">
        <v>275</v>
      </c>
      <c r="E5" s="71">
        <v>0</v>
      </c>
      <c r="F5" s="71">
        <v>0</v>
      </c>
      <c r="G5" s="71">
        <v>0</v>
      </c>
      <c r="H5" s="71">
        <v>0</v>
      </c>
      <c r="I5" s="71">
        <v>0</v>
      </c>
      <c r="J5" s="71">
        <v>0</v>
      </c>
      <c r="K5" s="71">
        <v>0</v>
      </c>
      <c r="L5" s="71">
        <v>0</v>
      </c>
    </row>
    <row r="6" spans="1:12" x14ac:dyDescent="0.25">
      <c r="A6" s="53">
        <v>10003</v>
      </c>
      <c r="B6" s="38" t="s">
        <v>8</v>
      </c>
      <c r="C6" s="38" t="s">
        <v>9</v>
      </c>
      <c r="D6" s="37" t="s">
        <v>275</v>
      </c>
      <c r="E6" s="71">
        <v>0</v>
      </c>
      <c r="F6" s="71">
        <v>0</v>
      </c>
      <c r="G6" s="71">
        <v>0</v>
      </c>
      <c r="H6" s="71">
        <v>0</v>
      </c>
      <c r="I6" s="71">
        <v>0</v>
      </c>
      <c r="J6" s="71">
        <v>0</v>
      </c>
      <c r="K6" s="71">
        <v>0</v>
      </c>
      <c r="L6" s="71">
        <v>0</v>
      </c>
    </row>
    <row r="7" spans="1:12" x14ac:dyDescent="0.25">
      <c r="A7" s="53">
        <v>10418</v>
      </c>
      <c r="B7" s="38" t="s">
        <v>10</v>
      </c>
      <c r="C7" s="38" t="s">
        <v>11</v>
      </c>
      <c r="D7" s="37" t="s">
        <v>275</v>
      </c>
      <c r="E7" s="71">
        <v>0</v>
      </c>
      <c r="F7" s="71">
        <v>0</v>
      </c>
      <c r="G7" s="71">
        <v>0</v>
      </c>
      <c r="H7" s="71">
        <v>0</v>
      </c>
      <c r="I7" s="71">
        <v>0</v>
      </c>
      <c r="J7" s="71">
        <v>0</v>
      </c>
      <c r="K7" s="71">
        <v>0</v>
      </c>
      <c r="L7" s="71">
        <v>0</v>
      </c>
    </row>
    <row r="8" spans="1:12" x14ac:dyDescent="0.25">
      <c r="A8" s="53">
        <v>10006</v>
      </c>
      <c r="B8" s="38" t="s">
        <v>12</v>
      </c>
      <c r="C8" s="38" t="s">
        <v>426</v>
      </c>
      <c r="D8" s="37" t="s">
        <v>276</v>
      </c>
      <c r="E8" s="71">
        <v>0</v>
      </c>
      <c r="F8" s="71">
        <v>0</v>
      </c>
      <c r="G8" s="71">
        <v>0</v>
      </c>
      <c r="H8" s="71">
        <v>0</v>
      </c>
      <c r="I8" s="71">
        <v>0</v>
      </c>
      <c r="J8" s="71">
        <v>0</v>
      </c>
      <c r="K8" s="71">
        <v>0</v>
      </c>
      <c r="L8" s="71">
        <v>0</v>
      </c>
    </row>
    <row r="9" spans="1:12" x14ac:dyDescent="0.25">
      <c r="A9" s="53">
        <v>10008</v>
      </c>
      <c r="B9" s="38" t="s">
        <v>13</v>
      </c>
      <c r="C9" s="38" t="s">
        <v>427</v>
      </c>
      <c r="D9" s="37" t="s">
        <v>277</v>
      </c>
      <c r="E9" s="71">
        <v>0</v>
      </c>
      <c r="F9" s="71">
        <v>0</v>
      </c>
      <c r="G9" s="71">
        <v>0</v>
      </c>
      <c r="H9" s="71">
        <v>0</v>
      </c>
      <c r="I9" s="71">
        <v>0</v>
      </c>
      <c r="J9" s="71">
        <v>0</v>
      </c>
      <c r="K9" s="71">
        <v>0</v>
      </c>
      <c r="L9" s="71">
        <v>0</v>
      </c>
    </row>
    <row r="10" spans="1:12" x14ac:dyDescent="0.25">
      <c r="A10" s="53">
        <v>10009</v>
      </c>
      <c r="B10" s="38" t="s">
        <v>14</v>
      </c>
      <c r="C10" s="38" t="s">
        <v>428</v>
      </c>
      <c r="D10" s="37" t="s">
        <v>277</v>
      </c>
      <c r="E10" s="71">
        <v>0</v>
      </c>
      <c r="F10" s="71">
        <v>0</v>
      </c>
      <c r="G10" s="71">
        <v>0</v>
      </c>
      <c r="H10" s="71">
        <v>0</v>
      </c>
      <c r="I10" s="71">
        <v>0</v>
      </c>
      <c r="J10" s="71">
        <v>0</v>
      </c>
      <c r="K10" s="71">
        <v>0</v>
      </c>
      <c r="L10" s="71">
        <v>0</v>
      </c>
    </row>
    <row r="11" spans="1:12" x14ac:dyDescent="0.25">
      <c r="A11" s="53">
        <v>10010</v>
      </c>
      <c r="B11" s="38" t="s">
        <v>15</v>
      </c>
      <c r="C11" s="38" t="s">
        <v>16</v>
      </c>
      <c r="D11" s="37" t="s">
        <v>278</v>
      </c>
      <c r="E11" s="71">
        <v>19310</v>
      </c>
      <c r="F11" s="71">
        <v>44796</v>
      </c>
      <c r="G11" s="71">
        <v>21587</v>
      </c>
      <c r="H11" s="71">
        <v>21284</v>
      </c>
      <c r="I11" s="71">
        <v>25915</v>
      </c>
      <c r="J11" s="71">
        <v>18486</v>
      </c>
      <c r="K11" s="71">
        <v>25544</v>
      </c>
      <c r="L11" s="71">
        <v>35743</v>
      </c>
    </row>
    <row r="12" spans="1:12" x14ac:dyDescent="0.25">
      <c r="A12" s="53">
        <v>10011</v>
      </c>
      <c r="B12" s="38" t="s">
        <v>17</v>
      </c>
      <c r="C12" s="38" t="s">
        <v>429</v>
      </c>
      <c r="D12" s="37" t="s">
        <v>278</v>
      </c>
      <c r="E12" s="71">
        <v>0</v>
      </c>
      <c r="F12" s="71">
        <v>0</v>
      </c>
      <c r="G12" s="71">
        <v>0</v>
      </c>
      <c r="H12" s="71">
        <v>0</v>
      </c>
      <c r="I12" s="71">
        <v>0</v>
      </c>
      <c r="J12" s="71">
        <v>0</v>
      </c>
      <c r="K12" s="71">
        <v>0</v>
      </c>
      <c r="L12" s="71">
        <v>0</v>
      </c>
    </row>
    <row r="13" spans="1:12" x14ac:dyDescent="0.25">
      <c r="A13" s="53">
        <v>10494</v>
      </c>
      <c r="B13" s="38" t="s">
        <v>18</v>
      </c>
      <c r="C13" s="38" t="s">
        <v>19</v>
      </c>
      <c r="D13" s="37" t="s">
        <v>278</v>
      </c>
      <c r="E13" s="71">
        <v>0</v>
      </c>
      <c r="F13" s="71">
        <v>3000</v>
      </c>
      <c r="G13" s="71">
        <v>4000</v>
      </c>
      <c r="H13" s="71">
        <v>0</v>
      </c>
      <c r="I13" s="71">
        <v>0</v>
      </c>
      <c r="J13" s="71">
        <v>0</v>
      </c>
      <c r="K13" s="71">
        <v>0</v>
      </c>
      <c r="L13" s="71">
        <v>0</v>
      </c>
    </row>
    <row r="14" spans="1:12" x14ac:dyDescent="0.25">
      <c r="A14" s="53">
        <v>10015</v>
      </c>
      <c r="B14" s="38" t="s">
        <v>20</v>
      </c>
      <c r="C14" s="38" t="s">
        <v>430</v>
      </c>
      <c r="D14" s="37" t="s">
        <v>279</v>
      </c>
      <c r="E14" s="71">
        <v>118022</v>
      </c>
      <c r="F14" s="71">
        <v>197878</v>
      </c>
      <c r="G14" s="71">
        <v>138381</v>
      </c>
      <c r="H14" s="71">
        <v>171051</v>
      </c>
      <c r="I14" s="71">
        <v>202235</v>
      </c>
      <c r="J14" s="71">
        <v>149431</v>
      </c>
      <c r="K14" s="71">
        <v>150134</v>
      </c>
      <c r="L14" s="71">
        <v>114069</v>
      </c>
    </row>
    <row r="15" spans="1:12" x14ac:dyDescent="0.25">
      <c r="A15" s="53">
        <v>10016</v>
      </c>
      <c r="B15" s="38" t="s">
        <v>21</v>
      </c>
      <c r="C15" s="38" t="s">
        <v>431</v>
      </c>
      <c r="D15" s="37" t="s">
        <v>280</v>
      </c>
      <c r="E15" s="71">
        <v>0</v>
      </c>
      <c r="F15" s="71">
        <v>0</v>
      </c>
      <c r="G15" s="71">
        <v>0</v>
      </c>
      <c r="H15" s="71">
        <v>0</v>
      </c>
      <c r="I15" s="71">
        <v>0</v>
      </c>
      <c r="J15" s="71">
        <v>0</v>
      </c>
      <c r="K15" s="71">
        <v>0</v>
      </c>
      <c r="L15" s="71">
        <v>0</v>
      </c>
    </row>
    <row r="16" spans="1:12" x14ac:dyDescent="0.25">
      <c r="A16" s="53">
        <v>10239</v>
      </c>
      <c r="B16" s="38" t="s">
        <v>22</v>
      </c>
      <c r="C16" s="38" t="s">
        <v>23</v>
      </c>
      <c r="D16" s="37" t="s">
        <v>279</v>
      </c>
      <c r="E16" s="71">
        <v>2000</v>
      </c>
      <c r="F16" s="71">
        <v>0</v>
      </c>
      <c r="G16" s="71">
        <v>1000</v>
      </c>
      <c r="H16" s="71">
        <v>5000</v>
      </c>
      <c r="I16" s="71">
        <v>0</v>
      </c>
      <c r="J16" s="71">
        <v>1000</v>
      </c>
      <c r="K16" s="71">
        <v>0</v>
      </c>
      <c r="L16" s="71">
        <v>0</v>
      </c>
    </row>
    <row r="17" spans="1:12" x14ac:dyDescent="0.25">
      <c r="A17" s="53">
        <v>10018</v>
      </c>
      <c r="B17" s="38" t="s">
        <v>24</v>
      </c>
      <c r="C17" s="38" t="s">
        <v>432</v>
      </c>
      <c r="D17" s="37" t="s">
        <v>279</v>
      </c>
      <c r="E17" s="71">
        <v>61300</v>
      </c>
      <c r="F17" s="71">
        <v>130390</v>
      </c>
      <c r="G17" s="71">
        <v>41650</v>
      </c>
      <c r="H17" s="71">
        <v>48050</v>
      </c>
      <c r="I17" s="71">
        <v>81350</v>
      </c>
      <c r="J17" s="71">
        <v>66130</v>
      </c>
      <c r="K17" s="71">
        <v>73504</v>
      </c>
      <c r="L17" s="71">
        <v>0</v>
      </c>
    </row>
    <row r="18" spans="1:12" x14ac:dyDescent="0.25">
      <c r="A18" s="53">
        <v>10019</v>
      </c>
      <c r="B18" s="38" t="s">
        <v>25</v>
      </c>
      <c r="C18" s="38" t="s">
        <v>432</v>
      </c>
      <c r="D18" s="37" t="s">
        <v>279</v>
      </c>
      <c r="E18" s="71">
        <v>91891</v>
      </c>
      <c r="F18" s="71">
        <v>180152</v>
      </c>
      <c r="G18" s="71">
        <v>86376</v>
      </c>
      <c r="H18" s="71">
        <v>90051</v>
      </c>
      <c r="I18" s="71">
        <v>158710</v>
      </c>
      <c r="J18" s="71">
        <v>103018</v>
      </c>
      <c r="K18" s="71">
        <v>102636</v>
      </c>
      <c r="L18" s="71">
        <v>1286</v>
      </c>
    </row>
    <row r="19" spans="1:12" x14ac:dyDescent="0.25">
      <c r="A19" s="53">
        <v>10498</v>
      </c>
      <c r="B19" s="38" t="s">
        <v>26</v>
      </c>
      <c r="C19" s="38" t="s">
        <v>337</v>
      </c>
      <c r="D19" s="37" t="s">
        <v>379</v>
      </c>
      <c r="E19" s="71">
        <v>23512</v>
      </c>
      <c r="F19" s="71">
        <v>29223</v>
      </c>
      <c r="G19" s="71">
        <v>23783</v>
      </c>
      <c r="H19" s="71">
        <v>57050</v>
      </c>
      <c r="I19" s="71">
        <v>27590</v>
      </c>
      <c r="J19" s="71">
        <v>24885</v>
      </c>
      <c r="K19" s="71">
        <v>25202</v>
      </c>
      <c r="L19" s="71">
        <v>26049</v>
      </c>
    </row>
    <row r="20" spans="1:12" x14ac:dyDescent="0.25">
      <c r="A20" s="53">
        <v>10020</v>
      </c>
      <c r="B20" s="38" t="s">
        <v>27</v>
      </c>
      <c r="C20" s="38" t="s">
        <v>28</v>
      </c>
      <c r="D20" s="37" t="s">
        <v>279</v>
      </c>
      <c r="E20" s="71">
        <v>0</v>
      </c>
      <c r="F20" s="71">
        <v>5000</v>
      </c>
      <c r="G20" s="71">
        <v>5000</v>
      </c>
      <c r="H20" s="71">
        <v>0</v>
      </c>
      <c r="I20" s="71">
        <v>0</v>
      </c>
      <c r="J20" s="71">
        <v>5000</v>
      </c>
      <c r="K20" s="71">
        <v>0</v>
      </c>
      <c r="L20" s="71">
        <v>0</v>
      </c>
    </row>
    <row r="21" spans="1:12" x14ac:dyDescent="0.25">
      <c r="A21" s="53">
        <v>10021</v>
      </c>
      <c r="B21" s="38" t="s">
        <v>29</v>
      </c>
      <c r="C21" s="38" t="s">
        <v>30</v>
      </c>
      <c r="D21" s="37" t="s">
        <v>281</v>
      </c>
      <c r="E21" s="71">
        <v>57009</v>
      </c>
      <c r="F21" s="71">
        <v>95593</v>
      </c>
      <c r="G21" s="71">
        <v>129584</v>
      </c>
      <c r="H21" s="71">
        <v>139645</v>
      </c>
      <c r="I21" s="71">
        <v>86831</v>
      </c>
      <c r="J21" s="71">
        <v>52662</v>
      </c>
      <c r="K21" s="71">
        <v>64615</v>
      </c>
      <c r="L21" s="71">
        <v>87421</v>
      </c>
    </row>
    <row r="22" spans="1:12" x14ac:dyDescent="0.25">
      <c r="A22" s="53">
        <v>10023</v>
      </c>
      <c r="B22" s="38" t="s">
        <v>31</v>
      </c>
      <c r="C22" s="38" t="s">
        <v>32</v>
      </c>
      <c r="D22" s="37" t="s">
        <v>279</v>
      </c>
      <c r="E22" s="71">
        <v>0</v>
      </c>
      <c r="F22" s="71">
        <v>0</v>
      </c>
      <c r="G22" s="71">
        <v>0</v>
      </c>
      <c r="H22" s="71">
        <v>0</v>
      </c>
      <c r="I22" s="71">
        <v>0</v>
      </c>
      <c r="J22" s="71">
        <v>0</v>
      </c>
      <c r="K22" s="71">
        <v>5000</v>
      </c>
      <c r="L22" s="71">
        <v>0</v>
      </c>
    </row>
    <row r="23" spans="1:12" x14ac:dyDescent="0.25">
      <c r="A23" s="53">
        <v>10533</v>
      </c>
      <c r="B23" s="38" t="s">
        <v>314</v>
      </c>
      <c r="C23" s="38" t="s">
        <v>23</v>
      </c>
      <c r="D23" s="37" t="s">
        <v>279</v>
      </c>
      <c r="E23" s="71">
        <v>4000</v>
      </c>
      <c r="F23" s="71">
        <v>0</v>
      </c>
      <c r="G23" s="71">
        <v>0</v>
      </c>
      <c r="H23" s="71">
        <v>4000</v>
      </c>
      <c r="I23" s="71">
        <v>0</v>
      </c>
      <c r="J23" s="71">
        <v>4000</v>
      </c>
      <c r="K23" s="71">
        <v>0</v>
      </c>
      <c r="L23" s="71">
        <v>0</v>
      </c>
    </row>
    <row r="24" spans="1:12" x14ac:dyDescent="0.25">
      <c r="A24" s="53">
        <v>10473</v>
      </c>
      <c r="B24" s="38" t="s">
        <v>33</v>
      </c>
      <c r="C24" s="38" t="s">
        <v>23</v>
      </c>
      <c r="D24" s="37" t="s">
        <v>279</v>
      </c>
      <c r="E24" s="71">
        <v>0</v>
      </c>
      <c r="F24" s="71">
        <v>0</v>
      </c>
      <c r="G24" s="71">
        <v>0</v>
      </c>
      <c r="H24" s="71">
        <v>0</v>
      </c>
      <c r="I24" s="71">
        <v>0</v>
      </c>
      <c r="J24" s="71">
        <v>0</v>
      </c>
      <c r="K24" s="71">
        <v>0</v>
      </c>
      <c r="L24" s="71">
        <v>0</v>
      </c>
    </row>
    <row r="25" spans="1:12" x14ac:dyDescent="0.25">
      <c r="A25" s="53">
        <v>10511</v>
      </c>
      <c r="B25" s="38" t="s">
        <v>34</v>
      </c>
      <c r="C25" s="38" t="s">
        <v>23</v>
      </c>
      <c r="D25" s="37" t="s">
        <v>279</v>
      </c>
      <c r="E25" s="71">
        <v>0</v>
      </c>
      <c r="F25" s="71">
        <v>0</v>
      </c>
      <c r="G25" s="71">
        <v>0</v>
      </c>
      <c r="H25" s="71">
        <v>0</v>
      </c>
      <c r="I25" s="71">
        <v>3000</v>
      </c>
      <c r="J25" s="71">
        <v>0</v>
      </c>
      <c r="K25" s="71">
        <v>0</v>
      </c>
      <c r="L25" s="71">
        <v>0</v>
      </c>
    </row>
    <row r="26" spans="1:12" x14ac:dyDescent="0.25">
      <c r="A26" s="53">
        <v>10512</v>
      </c>
      <c r="B26" s="38" t="s">
        <v>35</v>
      </c>
      <c r="C26" s="38" t="s">
        <v>23</v>
      </c>
      <c r="D26" s="37" t="s">
        <v>279</v>
      </c>
      <c r="E26" s="71">
        <v>0</v>
      </c>
      <c r="F26" s="71">
        <v>5000</v>
      </c>
      <c r="G26" s="71">
        <v>0</v>
      </c>
      <c r="H26" s="71">
        <v>0</v>
      </c>
      <c r="I26" s="71">
        <v>0</v>
      </c>
      <c r="J26" s="71">
        <v>0</v>
      </c>
      <c r="K26" s="71">
        <v>1000</v>
      </c>
      <c r="L26" s="71">
        <v>0</v>
      </c>
    </row>
    <row r="27" spans="1:12" x14ac:dyDescent="0.25">
      <c r="A27" s="53">
        <v>10489</v>
      </c>
      <c r="B27" s="38" t="s">
        <v>36</v>
      </c>
      <c r="C27" s="38" t="s">
        <v>23</v>
      </c>
      <c r="D27" s="37" t="s">
        <v>279</v>
      </c>
      <c r="E27" s="71">
        <v>0</v>
      </c>
      <c r="F27" s="71">
        <v>0</v>
      </c>
      <c r="G27" s="71">
        <v>0</v>
      </c>
      <c r="H27" s="71">
        <v>0</v>
      </c>
      <c r="I27" s="71">
        <v>1000</v>
      </c>
      <c r="J27" s="71">
        <v>0</v>
      </c>
      <c r="K27" s="71">
        <v>0</v>
      </c>
      <c r="L27" s="71">
        <v>0</v>
      </c>
    </row>
    <row r="28" spans="1:12" x14ac:dyDescent="0.25">
      <c r="A28" s="53">
        <v>10437</v>
      </c>
      <c r="B28" s="38" t="s">
        <v>37</v>
      </c>
      <c r="C28" s="38" t="s">
        <v>23</v>
      </c>
      <c r="D28" s="37" t="s">
        <v>279</v>
      </c>
      <c r="E28" s="71">
        <v>0</v>
      </c>
      <c r="F28" s="71">
        <v>1000</v>
      </c>
      <c r="G28" s="71">
        <v>3000</v>
      </c>
      <c r="H28" s="71">
        <v>0</v>
      </c>
      <c r="I28" s="71">
        <v>0</v>
      </c>
      <c r="J28" s="71">
        <v>3000</v>
      </c>
      <c r="K28" s="71">
        <v>3000</v>
      </c>
      <c r="L28" s="71">
        <v>0</v>
      </c>
    </row>
    <row r="29" spans="1:12" x14ac:dyDescent="0.25">
      <c r="A29" s="53">
        <v>10288</v>
      </c>
      <c r="B29" s="38" t="s">
        <v>38</v>
      </c>
      <c r="C29" s="38" t="s">
        <v>39</v>
      </c>
      <c r="D29" s="37" t="s">
        <v>282</v>
      </c>
      <c r="E29" s="71">
        <v>0</v>
      </c>
      <c r="F29" s="71">
        <v>0</v>
      </c>
      <c r="G29" s="71">
        <v>0</v>
      </c>
      <c r="H29" s="71">
        <v>0</v>
      </c>
      <c r="I29" s="71">
        <v>0</v>
      </c>
      <c r="J29" s="71">
        <v>0</v>
      </c>
      <c r="K29" s="71">
        <v>0</v>
      </c>
      <c r="L29" s="71">
        <v>0</v>
      </c>
    </row>
    <row r="30" spans="1:12" x14ac:dyDescent="0.25">
      <c r="A30" s="53">
        <v>10467</v>
      </c>
      <c r="B30" s="38" t="s">
        <v>40</v>
      </c>
      <c r="C30" s="38" t="s">
        <v>433</v>
      </c>
      <c r="D30" s="37" t="s">
        <v>282</v>
      </c>
      <c r="E30" s="71">
        <v>0</v>
      </c>
      <c r="F30" s="71">
        <v>0</v>
      </c>
      <c r="G30" s="71">
        <v>0</v>
      </c>
      <c r="H30" s="71">
        <v>0</v>
      </c>
      <c r="I30" s="71">
        <v>0</v>
      </c>
      <c r="J30" s="71">
        <v>0</v>
      </c>
      <c r="K30" s="71">
        <v>0</v>
      </c>
      <c r="L30" s="71">
        <v>0</v>
      </c>
    </row>
    <row r="31" spans="1:12" x14ac:dyDescent="0.25">
      <c r="A31" s="53">
        <v>10028</v>
      </c>
      <c r="B31" s="38" t="s">
        <v>42</v>
      </c>
      <c r="C31" s="38" t="s">
        <v>434</v>
      </c>
      <c r="D31" s="37" t="s">
        <v>283</v>
      </c>
      <c r="E31" s="71">
        <v>0</v>
      </c>
      <c r="F31" s="71">
        <v>118716</v>
      </c>
      <c r="G31" s="71">
        <v>93128</v>
      </c>
      <c r="H31" s="71">
        <v>0</v>
      </c>
      <c r="I31" s="71">
        <v>89067</v>
      </c>
      <c r="J31" s="71">
        <v>0</v>
      </c>
      <c r="K31" s="71">
        <v>0</v>
      </c>
      <c r="L31" s="71">
        <v>0</v>
      </c>
    </row>
    <row r="32" spans="1:12" x14ac:dyDescent="0.25">
      <c r="A32" s="53">
        <v>10030</v>
      </c>
      <c r="B32" s="38" t="s">
        <v>43</v>
      </c>
      <c r="C32" s="38" t="s">
        <v>435</v>
      </c>
      <c r="D32" s="37" t="s">
        <v>283</v>
      </c>
      <c r="E32" s="71">
        <v>8884</v>
      </c>
      <c r="F32" s="71">
        <v>96506</v>
      </c>
      <c r="G32" s="71">
        <v>237930</v>
      </c>
      <c r="H32" s="71">
        <v>9736</v>
      </c>
      <c r="I32" s="71">
        <v>199126</v>
      </c>
      <c r="J32" s="71">
        <v>192710</v>
      </c>
      <c r="K32" s="71">
        <v>5613</v>
      </c>
      <c r="L32" s="71">
        <v>3375</v>
      </c>
    </row>
    <row r="33" spans="1:12" x14ac:dyDescent="0.25">
      <c r="A33" s="53">
        <v>10031</v>
      </c>
      <c r="B33" s="38" t="s">
        <v>45</v>
      </c>
      <c r="C33" s="38" t="s">
        <v>44</v>
      </c>
      <c r="D33" s="37" t="s">
        <v>283</v>
      </c>
      <c r="E33" s="71">
        <v>0</v>
      </c>
      <c r="F33" s="71">
        <v>0</v>
      </c>
      <c r="G33" s="71">
        <v>30525</v>
      </c>
      <c r="H33" s="71">
        <v>0</v>
      </c>
      <c r="I33" s="71">
        <v>12400</v>
      </c>
      <c r="J33" s="71">
        <v>0</v>
      </c>
      <c r="K33" s="71">
        <v>3248</v>
      </c>
      <c r="L33" s="71">
        <v>1416</v>
      </c>
    </row>
    <row r="34" spans="1:12" x14ac:dyDescent="0.25">
      <c r="A34" s="53">
        <v>10032</v>
      </c>
      <c r="B34" s="38" t="s">
        <v>46</v>
      </c>
      <c r="C34" s="38" t="s">
        <v>144</v>
      </c>
      <c r="D34" s="37" t="s">
        <v>283</v>
      </c>
      <c r="E34" s="71">
        <v>0</v>
      </c>
      <c r="F34" s="71">
        <v>10075</v>
      </c>
      <c r="G34" s="71">
        <v>8375</v>
      </c>
      <c r="H34" s="71">
        <v>4315</v>
      </c>
      <c r="I34" s="71">
        <v>3828</v>
      </c>
      <c r="J34" s="71">
        <v>3652</v>
      </c>
      <c r="K34" s="71">
        <v>5637</v>
      </c>
      <c r="L34" s="71">
        <v>2219</v>
      </c>
    </row>
    <row r="35" spans="1:12" x14ac:dyDescent="0.25">
      <c r="A35" s="53">
        <v>10034</v>
      </c>
      <c r="B35" s="38" t="s">
        <v>48</v>
      </c>
      <c r="C35" s="38" t="s">
        <v>47</v>
      </c>
      <c r="D35" s="37" t="s">
        <v>283</v>
      </c>
      <c r="E35" s="71">
        <v>5000</v>
      </c>
      <c r="F35" s="71">
        <v>14685</v>
      </c>
      <c r="G35" s="71">
        <v>11410</v>
      </c>
      <c r="H35" s="71">
        <v>750</v>
      </c>
      <c r="I35" s="71">
        <v>15350</v>
      </c>
      <c r="J35" s="71">
        <v>2250</v>
      </c>
      <c r="K35" s="71">
        <v>0</v>
      </c>
      <c r="L35" s="71">
        <v>4204</v>
      </c>
    </row>
    <row r="36" spans="1:12" x14ac:dyDescent="0.25">
      <c r="A36" s="53">
        <v>10543</v>
      </c>
      <c r="B36" s="38" t="s">
        <v>412</v>
      </c>
      <c r="C36" s="38" t="s">
        <v>49</v>
      </c>
      <c r="D36" s="37" t="s">
        <v>283</v>
      </c>
      <c r="E36" s="71">
        <v>0</v>
      </c>
      <c r="F36" s="71">
        <v>0</v>
      </c>
      <c r="G36" s="71">
        <v>0</v>
      </c>
      <c r="H36" s="71">
        <v>0</v>
      </c>
      <c r="I36" s="71">
        <v>0</v>
      </c>
      <c r="J36" s="71">
        <v>0</v>
      </c>
      <c r="K36" s="71">
        <v>0</v>
      </c>
      <c r="L36" s="71">
        <v>0</v>
      </c>
    </row>
    <row r="37" spans="1:12" x14ac:dyDescent="0.25">
      <c r="A37" s="53">
        <v>10544</v>
      </c>
      <c r="B37" s="38" t="s">
        <v>323</v>
      </c>
      <c r="C37" s="38" t="s">
        <v>436</v>
      </c>
      <c r="D37" s="37" t="s">
        <v>283</v>
      </c>
      <c r="E37" s="71">
        <v>0</v>
      </c>
      <c r="F37" s="71">
        <v>0</v>
      </c>
      <c r="G37" s="71">
        <v>0</v>
      </c>
      <c r="H37" s="71">
        <v>0</v>
      </c>
      <c r="I37" s="71">
        <v>0</v>
      </c>
      <c r="J37" s="71">
        <v>0</v>
      </c>
      <c r="K37" s="71">
        <v>0</v>
      </c>
      <c r="L37" s="71">
        <v>0</v>
      </c>
    </row>
    <row r="38" spans="1:12" x14ac:dyDescent="0.25">
      <c r="A38" s="53">
        <v>10035</v>
      </c>
      <c r="B38" s="38" t="s">
        <v>50</v>
      </c>
      <c r="C38" s="38" t="s">
        <v>51</v>
      </c>
      <c r="D38" s="37" t="s">
        <v>275</v>
      </c>
      <c r="E38" s="71">
        <v>0</v>
      </c>
      <c r="F38" s="71">
        <v>0</v>
      </c>
      <c r="G38" s="71">
        <v>0</v>
      </c>
      <c r="H38" s="71">
        <v>0</v>
      </c>
      <c r="I38" s="71">
        <v>0</v>
      </c>
      <c r="J38" s="71">
        <v>0</v>
      </c>
      <c r="K38" s="71">
        <v>0</v>
      </c>
      <c r="L38" s="71">
        <v>0</v>
      </c>
    </row>
    <row r="39" spans="1:12" x14ac:dyDescent="0.25">
      <c r="A39" s="53">
        <v>10037</v>
      </c>
      <c r="B39" s="38" t="s">
        <v>52</v>
      </c>
      <c r="C39" s="38" t="s">
        <v>53</v>
      </c>
      <c r="D39" s="37" t="s">
        <v>275</v>
      </c>
      <c r="E39" s="71">
        <v>0</v>
      </c>
      <c r="F39" s="71">
        <v>0</v>
      </c>
      <c r="G39" s="71">
        <v>0</v>
      </c>
      <c r="H39" s="71">
        <v>0</v>
      </c>
      <c r="I39" s="71">
        <v>0</v>
      </c>
      <c r="J39" s="71">
        <v>0</v>
      </c>
      <c r="K39" s="71">
        <v>0</v>
      </c>
      <c r="L39" s="71">
        <v>0</v>
      </c>
    </row>
    <row r="40" spans="1:12" x14ac:dyDescent="0.25">
      <c r="A40" s="53">
        <v>10038</v>
      </c>
      <c r="B40" s="38" t="s">
        <v>54</v>
      </c>
      <c r="C40" s="38" t="s">
        <v>55</v>
      </c>
      <c r="D40" s="37" t="s">
        <v>275</v>
      </c>
      <c r="E40" s="71">
        <v>0</v>
      </c>
      <c r="F40" s="71">
        <v>0</v>
      </c>
      <c r="G40" s="71">
        <v>0</v>
      </c>
      <c r="H40" s="71">
        <v>0</v>
      </c>
      <c r="I40" s="71">
        <v>0</v>
      </c>
      <c r="J40" s="71">
        <v>0</v>
      </c>
      <c r="K40" s="71">
        <v>0</v>
      </c>
      <c r="L40" s="71">
        <v>0</v>
      </c>
    </row>
    <row r="41" spans="1:12" x14ac:dyDescent="0.25">
      <c r="A41" s="53">
        <v>10039</v>
      </c>
      <c r="B41" s="38" t="s">
        <v>56</v>
      </c>
      <c r="C41" s="38" t="s">
        <v>53</v>
      </c>
      <c r="D41" s="37" t="s">
        <v>275</v>
      </c>
      <c r="E41" s="71">
        <v>0</v>
      </c>
      <c r="F41" s="71">
        <v>0</v>
      </c>
      <c r="G41" s="71">
        <v>0</v>
      </c>
      <c r="H41" s="71">
        <v>0</v>
      </c>
      <c r="I41" s="71">
        <v>0</v>
      </c>
      <c r="J41" s="71">
        <v>0</v>
      </c>
      <c r="K41" s="71">
        <v>0</v>
      </c>
      <c r="L41" s="71">
        <v>0</v>
      </c>
    </row>
    <row r="42" spans="1:12" x14ac:dyDescent="0.25">
      <c r="A42" s="53">
        <v>10299</v>
      </c>
      <c r="B42" s="38" t="s">
        <v>57</v>
      </c>
      <c r="C42" s="38" t="s">
        <v>55</v>
      </c>
      <c r="D42" s="37" t="s">
        <v>275</v>
      </c>
      <c r="E42" s="71">
        <v>0</v>
      </c>
      <c r="F42" s="71">
        <v>0</v>
      </c>
      <c r="G42" s="71">
        <v>0</v>
      </c>
      <c r="H42" s="71">
        <v>0</v>
      </c>
      <c r="I42" s="71">
        <v>0</v>
      </c>
      <c r="J42" s="71">
        <v>0</v>
      </c>
      <c r="K42" s="71">
        <v>0</v>
      </c>
      <c r="L42" s="71">
        <v>0</v>
      </c>
    </row>
    <row r="43" spans="1:12" x14ac:dyDescent="0.25">
      <c r="A43" s="53">
        <v>10300</v>
      </c>
      <c r="B43" s="38" t="s">
        <v>58</v>
      </c>
      <c r="C43" s="38" t="s">
        <v>55</v>
      </c>
      <c r="D43" s="37" t="s">
        <v>275</v>
      </c>
      <c r="E43" s="71">
        <v>0</v>
      </c>
      <c r="F43" s="71">
        <v>0</v>
      </c>
      <c r="G43" s="71">
        <v>0</v>
      </c>
      <c r="H43" s="71">
        <v>0</v>
      </c>
      <c r="I43" s="71">
        <v>0</v>
      </c>
      <c r="J43" s="71">
        <v>0</v>
      </c>
      <c r="K43" s="71">
        <v>0</v>
      </c>
      <c r="L43" s="71">
        <v>0</v>
      </c>
    </row>
    <row r="44" spans="1:12" x14ac:dyDescent="0.25">
      <c r="A44" s="53">
        <v>10042</v>
      </c>
      <c r="B44" s="38" t="s">
        <v>59</v>
      </c>
      <c r="C44" s="38" t="s">
        <v>55</v>
      </c>
      <c r="D44" s="37" t="s">
        <v>275</v>
      </c>
      <c r="E44" s="71">
        <v>0</v>
      </c>
      <c r="F44" s="71">
        <v>0</v>
      </c>
      <c r="G44" s="71">
        <v>0</v>
      </c>
      <c r="H44" s="71">
        <v>0</v>
      </c>
      <c r="I44" s="71">
        <v>0</v>
      </c>
      <c r="J44" s="71">
        <v>0</v>
      </c>
      <c r="K44" s="71">
        <v>0</v>
      </c>
      <c r="L44" s="71">
        <v>0</v>
      </c>
    </row>
    <row r="45" spans="1:12" x14ac:dyDescent="0.25">
      <c r="A45" s="53">
        <v>10308</v>
      </c>
      <c r="B45" s="38" t="s">
        <v>60</v>
      </c>
      <c r="C45" s="38" t="s">
        <v>55</v>
      </c>
      <c r="D45" s="37" t="s">
        <v>275</v>
      </c>
      <c r="E45" s="71">
        <v>0</v>
      </c>
      <c r="F45" s="71">
        <v>0</v>
      </c>
      <c r="G45" s="71">
        <v>0</v>
      </c>
      <c r="H45" s="71">
        <v>0</v>
      </c>
      <c r="I45" s="71">
        <v>0</v>
      </c>
      <c r="J45" s="71">
        <v>0</v>
      </c>
      <c r="K45" s="71">
        <v>0</v>
      </c>
      <c r="L45" s="71">
        <v>0</v>
      </c>
    </row>
    <row r="46" spans="1:12" x14ac:dyDescent="0.25">
      <c r="A46" s="53">
        <v>10043</v>
      </c>
      <c r="B46" s="38" t="s">
        <v>61</v>
      </c>
      <c r="C46" s="38" t="s">
        <v>62</v>
      </c>
      <c r="D46" s="37" t="s">
        <v>284</v>
      </c>
      <c r="E46" s="71">
        <v>0</v>
      </c>
      <c r="F46" s="71">
        <v>0</v>
      </c>
      <c r="G46" s="71">
        <v>2750</v>
      </c>
      <c r="H46" s="71">
        <v>0</v>
      </c>
      <c r="I46" s="71">
        <v>0</v>
      </c>
      <c r="J46" s="71">
        <v>0</v>
      </c>
      <c r="K46" s="71">
        <v>0</v>
      </c>
      <c r="L46" s="71">
        <v>0</v>
      </c>
    </row>
    <row r="47" spans="1:12" x14ac:dyDescent="0.25">
      <c r="A47" s="53">
        <v>20015</v>
      </c>
      <c r="B47" s="38" t="s">
        <v>63</v>
      </c>
      <c r="C47" s="38" t="s">
        <v>55</v>
      </c>
      <c r="D47" s="37" t="s">
        <v>275</v>
      </c>
      <c r="E47" s="71">
        <v>0</v>
      </c>
      <c r="F47" s="71">
        <v>0</v>
      </c>
      <c r="G47" s="71">
        <v>0</v>
      </c>
      <c r="H47" s="71">
        <v>0</v>
      </c>
      <c r="I47" s="71">
        <v>0</v>
      </c>
      <c r="J47" s="71">
        <v>0</v>
      </c>
      <c r="K47" s="71">
        <v>0</v>
      </c>
      <c r="L47" s="71">
        <v>0</v>
      </c>
    </row>
    <row r="48" spans="1:12" x14ac:dyDescent="0.25">
      <c r="A48" s="53">
        <v>20033</v>
      </c>
      <c r="B48" s="38" t="s">
        <v>64</v>
      </c>
      <c r="C48" s="38" t="s">
        <v>53</v>
      </c>
      <c r="D48" s="37" t="s">
        <v>275</v>
      </c>
      <c r="E48" s="71">
        <v>0</v>
      </c>
      <c r="F48" s="71">
        <v>0</v>
      </c>
      <c r="G48" s="71">
        <v>0</v>
      </c>
      <c r="H48" s="71">
        <v>0</v>
      </c>
      <c r="I48" s="71">
        <v>0</v>
      </c>
      <c r="J48" s="71">
        <v>0</v>
      </c>
      <c r="K48" s="71">
        <v>0</v>
      </c>
      <c r="L48" s="71">
        <v>0</v>
      </c>
    </row>
    <row r="49" spans="1:12" x14ac:dyDescent="0.25">
      <c r="A49" s="53">
        <v>40017</v>
      </c>
      <c r="B49" s="38" t="s">
        <v>65</v>
      </c>
      <c r="C49" s="38" t="s">
        <v>53</v>
      </c>
      <c r="D49" s="37" t="s">
        <v>275</v>
      </c>
      <c r="E49" s="71">
        <v>0</v>
      </c>
      <c r="F49" s="71">
        <v>0</v>
      </c>
      <c r="G49" s="71">
        <v>0</v>
      </c>
      <c r="H49" s="71">
        <v>0</v>
      </c>
      <c r="I49" s="71">
        <v>0</v>
      </c>
      <c r="J49" s="71">
        <v>0</v>
      </c>
      <c r="K49" s="71">
        <v>0</v>
      </c>
      <c r="L49" s="71">
        <v>0</v>
      </c>
    </row>
    <row r="50" spans="1:12" x14ac:dyDescent="0.25">
      <c r="A50" s="53">
        <v>10500</v>
      </c>
      <c r="B50" s="38" t="s">
        <v>66</v>
      </c>
      <c r="C50" s="38" t="s">
        <v>55</v>
      </c>
      <c r="D50" s="37" t="s">
        <v>275</v>
      </c>
      <c r="E50" s="71">
        <v>0</v>
      </c>
      <c r="F50" s="71">
        <v>0</v>
      </c>
      <c r="G50" s="71">
        <v>0</v>
      </c>
      <c r="H50" s="71">
        <v>0</v>
      </c>
      <c r="I50" s="71">
        <v>0</v>
      </c>
      <c r="J50" s="71">
        <v>0</v>
      </c>
      <c r="K50" s="71">
        <v>0</v>
      </c>
      <c r="L50" s="71">
        <v>0</v>
      </c>
    </row>
    <row r="51" spans="1:12" x14ac:dyDescent="0.25">
      <c r="A51" s="53">
        <v>20055</v>
      </c>
      <c r="B51" s="38" t="s">
        <v>67</v>
      </c>
      <c r="C51" s="38" t="s">
        <v>23</v>
      </c>
      <c r="D51" s="37" t="s">
        <v>279</v>
      </c>
      <c r="E51" s="71">
        <v>0</v>
      </c>
      <c r="F51" s="71">
        <v>0</v>
      </c>
      <c r="G51" s="71">
        <v>0</v>
      </c>
      <c r="H51" s="71">
        <v>0</v>
      </c>
      <c r="I51" s="71">
        <v>0</v>
      </c>
      <c r="J51" s="71">
        <v>0</v>
      </c>
      <c r="K51" s="71">
        <v>0</v>
      </c>
      <c r="L51" s="71">
        <v>0</v>
      </c>
    </row>
    <row r="52" spans="1:12" x14ac:dyDescent="0.25">
      <c r="A52" s="54">
        <v>10044</v>
      </c>
      <c r="B52" s="64" t="s">
        <v>68</v>
      </c>
      <c r="C52" s="64" t="s">
        <v>69</v>
      </c>
      <c r="D52" s="57" t="s">
        <v>284</v>
      </c>
      <c r="E52" s="71">
        <v>0</v>
      </c>
      <c r="F52" s="71">
        <v>0</v>
      </c>
      <c r="G52" s="71">
        <v>0</v>
      </c>
      <c r="H52" s="71">
        <v>0</v>
      </c>
      <c r="I52" s="71">
        <v>0</v>
      </c>
      <c r="J52" s="71">
        <v>0</v>
      </c>
      <c r="K52" s="71">
        <v>0</v>
      </c>
      <c r="L52" s="71">
        <v>0</v>
      </c>
    </row>
    <row r="53" spans="1:12" x14ac:dyDescent="0.25">
      <c r="A53" s="53">
        <v>10045</v>
      </c>
      <c r="B53" s="38" t="s">
        <v>70</v>
      </c>
      <c r="C53" s="38" t="s">
        <v>69</v>
      </c>
      <c r="D53" s="37" t="s">
        <v>284</v>
      </c>
      <c r="E53" s="71">
        <v>0</v>
      </c>
      <c r="F53" s="71">
        <v>0</v>
      </c>
      <c r="G53" s="71">
        <v>0</v>
      </c>
      <c r="H53" s="71">
        <v>0</v>
      </c>
      <c r="I53" s="71">
        <v>0</v>
      </c>
      <c r="J53" s="71">
        <v>0</v>
      </c>
      <c r="K53" s="71">
        <v>0</v>
      </c>
      <c r="L53" s="71">
        <v>0</v>
      </c>
    </row>
    <row r="54" spans="1:12" x14ac:dyDescent="0.25">
      <c r="A54" s="53">
        <v>20013</v>
      </c>
      <c r="B54" s="38" t="s">
        <v>71</v>
      </c>
      <c r="C54" s="38" t="s">
        <v>69</v>
      </c>
      <c r="D54" s="37" t="s">
        <v>284</v>
      </c>
      <c r="E54" s="71">
        <v>0</v>
      </c>
      <c r="F54" s="71">
        <v>0</v>
      </c>
      <c r="G54" s="71">
        <v>0</v>
      </c>
      <c r="H54" s="71">
        <v>0</v>
      </c>
      <c r="I54" s="71">
        <v>0</v>
      </c>
      <c r="J54" s="71">
        <v>0</v>
      </c>
      <c r="K54" s="71">
        <v>0</v>
      </c>
      <c r="L54" s="71">
        <v>0</v>
      </c>
    </row>
    <row r="55" spans="1:12" x14ac:dyDescent="0.25">
      <c r="A55" s="53">
        <v>10047</v>
      </c>
      <c r="B55" s="38" t="s">
        <v>72</v>
      </c>
      <c r="C55" s="38" t="s">
        <v>69</v>
      </c>
      <c r="D55" s="37" t="s">
        <v>284</v>
      </c>
      <c r="E55" s="71">
        <v>0</v>
      </c>
      <c r="F55" s="71">
        <v>0</v>
      </c>
      <c r="G55" s="71">
        <v>0</v>
      </c>
      <c r="H55" s="71">
        <v>0</v>
      </c>
      <c r="I55" s="71">
        <v>0</v>
      </c>
      <c r="J55" s="71">
        <v>15000</v>
      </c>
      <c r="K55" s="71">
        <v>0</v>
      </c>
      <c r="L55" s="71">
        <v>0</v>
      </c>
    </row>
    <row r="56" spans="1:12" x14ac:dyDescent="0.25">
      <c r="A56" s="53">
        <v>10048</v>
      </c>
      <c r="B56" s="38" t="s">
        <v>73</v>
      </c>
      <c r="C56" s="38" t="s">
        <v>69</v>
      </c>
      <c r="D56" s="37" t="s">
        <v>284</v>
      </c>
      <c r="E56" s="71">
        <v>0</v>
      </c>
      <c r="F56" s="71">
        <v>0</v>
      </c>
      <c r="G56" s="71">
        <v>0</v>
      </c>
      <c r="H56" s="71">
        <v>0</v>
      </c>
      <c r="I56" s="71">
        <v>0</v>
      </c>
      <c r="J56" s="71">
        <v>0</v>
      </c>
      <c r="K56" s="71">
        <v>0</v>
      </c>
      <c r="L56" s="71">
        <v>0</v>
      </c>
    </row>
    <row r="57" spans="1:12" x14ac:dyDescent="0.25">
      <c r="A57" s="53">
        <v>10049</v>
      </c>
      <c r="B57" s="38" t="s">
        <v>74</v>
      </c>
      <c r="C57" s="38" t="s">
        <v>75</v>
      </c>
      <c r="D57" s="37" t="s">
        <v>285</v>
      </c>
      <c r="E57" s="71">
        <v>0</v>
      </c>
      <c r="F57" s="71">
        <v>0</v>
      </c>
      <c r="G57" s="71">
        <v>0</v>
      </c>
      <c r="H57" s="71">
        <v>0</v>
      </c>
      <c r="I57" s="71">
        <v>0</v>
      </c>
      <c r="J57" s="71">
        <v>0</v>
      </c>
      <c r="K57" s="71">
        <v>0</v>
      </c>
      <c r="L57" s="71">
        <v>0</v>
      </c>
    </row>
    <row r="58" spans="1:12" x14ac:dyDescent="0.25">
      <c r="A58" s="53">
        <v>20014</v>
      </c>
      <c r="B58" s="38" t="s">
        <v>76</v>
      </c>
      <c r="C58" s="38" t="s">
        <v>77</v>
      </c>
      <c r="D58" s="37" t="s">
        <v>285</v>
      </c>
      <c r="E58" s="71">
        <v>0</v>
      </c>
      <c r="F58" s="71">
        <v>0</v>
      </c>
      <c r="G58" s="71">
        <v>0</v>
      </c>
      <c r="H58" s="71">
        <v>0</v>
      </c>
      <c r="I58" s="71">
        <v>0</v>
      </c>
      <c r="J58" s="71">
        <v>0</v>
      </c>
      <c r="K58" s="71">
        <v>0</v>
      </c>
      <c r="L58" s="71">
        <v>0</v>
      </c>
    </row>
    <row r="59" spans="1:12" x14ac:dyDescent="0.25">
      <c r="A59" s="53">
        <v>10412</v>
      </c>
      <c r="B59" s="38" t="s">
        <v>78</v>
      </c>
      <c r="C59" s="38" t="s">
        <v>69</v>
      </c>
      <c r="D59" s="37" t="s">
        <v>284</v>
      </c>
      <c r="E59" s="71">
        <v>0</v>
      </c>
      <c r="F59" s="71">
        <v>0</v>
      </c>
      <c r="G59" s="71">
        <v>0</v>
      </c>
      <c r="H59" s="71">
        <v>0</v>
      </c>
      <c r="I59" s="71">
        <v>0</v>
      </c>
      <c r="J59" s="71">
        <v>0</v>
      </c>
      <c r="K59" s="71">
        <v>0</v>
      </c>
      <c r="L59" s="71">
        <v>0</v>
      </c>
    </row>
    <row r="60" spans="1:12" x14ac:dyDescent="0.25">
      <c r="A60" s="53">
        <v>10413</v>
      </c>
      <c r="B60" s="38" t="s">
        <v>79</v>
      </c>
      <c r="C60" s="38" t="s">
        <v>69</v>
      </c>
      <c r="D60" s="37" t="s">
        <v>284</v>
      </c>
      <c r="E60" s="71">
        <v>0</v>
      </c>
      <c r="F60" s="71">
        <v>0</v>
      </c>
      <c r="G60" s="71">
        <v>0</v>
      </c>
      <c r="H60" s="71">
        <v>0</v>
      </c>
      <c r="I60" s="71">
        <v>0</v>
      </c>
      <c r="J60" s="71">
        <v>0</v>
      </c>
      <c r="K60" s="71">
        <v>0</v>
      </c>
      <c r="L60" s="71">
        <v>0</v>
      </c>
    </row>
    <row r="61" spans="1:12" x14ac:dyDescent="0.25">
      <c r="A61" s="53">
        <v>10054</v>
      </c>
      <c r="B61" s="38" t="s">
        <v>80</v>
      </c>
      <c r="C61" s="38" t="s">
        <v>49</v>
      </c>
      <c r="D61" s="37" t="s">
        <v>283</v>
      </c>
      <c r="E61" s="71">
        <v>0</v>
      </c>
      <c r="F61" s="71">
        <v>0</v>
      </c>
      <c r="G61" s="71">
        <v>0</v>
      </c>
      <c r="H61" s="71">
        <v>0</v>
      </c>
      <c r="I61" s="71">
        <v>0</v>
      </c>
      <c r="J61" s="71">
        <v>0</v>
      </c>
      <c r="K61" s="71">
        <v>0</v>
      </c>
      <c r="L61" s="71">
        <v>0</v>
      </c>
    </row>
    <row r="62" spans="1:12" x14ac:dyDescent="0.25">
      <c r="A62" s="53">
        <v>10056</v>
      </c>
      <c r="B62" s="38" t="s">
        <v>81</v>
      </c>
      <c r="C62" s="38" t="s">
        <v>82</v>
      </c>
      <c r="D62" s="37" t="s">
        <v>280</v>
      </c>
      <c r="E62" s="71">
        <v>0</v>
      </c>
      <c r="F62" s="71">
        <v>0</v>
      </c>
      <c r="G62" s="71">
        <v>0</v>
      </c>
      <c r="H62" s="71">
        <v>0</v>
      </c>
      <c r="I62" s="71">
        <v>0</v>
      </c>
      <c r="J62" s="71">
        <v>0</v>
      </c>
      <c r="K62" s="71">
        <v>0</v>
      </c>
      <c r="L62" s="71">
        <v>0</v>
      </c>
    </row>
    <row r="63" spans="1:12" x14ac:dyDescent="0.25">
      <c r="A63" s="53">
        <v>10058</v>
      </c>
      <c r="B63" s="38" t="s">
        <v>83</v>
      </c>
      <c r="C63" s="38" t="s">
        <v>84</v>
      </c>
      <c r="D63" s="37" t="s">
        <v>280</v>
      </c>
      <c r="E63" s="71">
        <v>0</v>
      </c>
      <c r="F63" s="71">
        <v>0</v>
      </c>
      <c r="G63" s="71">
        <v>0</v>
      </c>
      <c r="H63" s="71">
        <v>0</v>
      </c>
      <c r="I63" s="71">
        <v>0</v>
      </c>
      <c r="J63" s="71">
        <v>0</v>
      </c>
      <c r="K63" s="71">
        <v>0</v>
      </c>
      <c r="L63" s="71">
        <v>0</v>
      </c>
    </row>
    <row r="64" spans="1:12" x14ac:dyDescent="0.25">
      <c r="A64" s="53">
        <v>10059</v>
      </c>
      <c r="B64" s="38" t="s">
        <v>85</v>
      </c>
      <c r="C64" s="38" t="s">
        <v>84</v>
      </c>
      <c r="D64" s="37" t="s">
        <v>280</v>
      </c>
      <c r="E64" s="71">
        <v>0</v>
      </c>
      <c r="F64" s="71">
        <v>0</v>
      </c>
      <c r="G64" s="71">
        <v>0</v>
      </c>
      <c r="H64" s="71">
        <v>0</v>
      </c>
      <c r="I64" s="71">
        <v>0</v>
      </c>
      <c r="J64" s="71">
        <v>0</v>
      </c>
      <c r="K64" s="71">
        <v>0</v>
      </c>
      <c r="L64" s="71">
        <v>0</v>
      </c>
    </row>
    <row r="65" spans="1:12" x14ac:dyDescent="0.25">
      <c r="A65" s="53">
        <v>10522</v>
      </c>
      <c r="B65" s="38" t="s">
        <v>86</v>
      </c>
      <c r="C65" s="38" t="s">
        <v>87</v>
      </c>
      <c r="D65" s="37" t="s">
        <v>280</v>
      </c>
      <c r="E65" s="71">
        <v>0</v>
      </c>
      <c r="F65" s="71">
        <v>0</v>
      </c>
      <c r="G65" s="71">
        <v>0</v>
      </c>
      <c r="H65" s="71">
        <v>0</v>
      </c>
      <c r="I65" s="71">
        <v>0</v>
      </c>
      <c r="J65" s="71">
        <v>0</v>
      </c>
      <c r="K65" s="71">
        <v>0</v>
      </c>
      <c r="L65" s="71">
        <v>0</v>
      </c>
    </row>
    <row r="66" spans="1:12" x14ac:dyDescent="0.25">
      <c r="A66" s="53">
        <v>10523</v>
      </c>
      <c r="B66" s="38" t="s">
        <v>88</v>
      </c>
      <c r="C66" s="38" t="s">
        <v>89</v>
      </c>
      <c r="D66" s="37" t="s">
        <v>280</v>
      </c>
      <c r="E66" s="71">
        <v>0</v>
      </c>
      <c r="F66" s="71">
        <v>0</v>
      </c>
      <c r="G66" s="71">
        <v>0</v>
      </c>
      <c r="H66" s="71">
        <v>0</v>
      </c>
      <c r="I66" s="71">
        <v>0</v>
      </c>
      <c r="J66" s="71">
        <v>0</v>
      </c>
      <c r="K66" s="71">
        <v>0</v>
      </c>
      <c r="L66" s="71">
        <v>0</v>
      </c>
    </row>
    <row r="67" spans="1:12" x14ac:dyDescent="0.25">
      <c r="A67" s="53">
        <v>10131</v>
      </c>
      <c r="B67" s="38" t="s">
        <v>90</v>
      </c>
      <c r="C67" s="38" t="s">
        <v>91</v>
      </c>
      <c r="D67" s="37" t="s">
        <v>283</v>
      </c>
      <c r="E67" s="71">
        <v>0</v>
      </c>
      <c r="F67" s="71">
        <v>143450</v>
      </c>
      <c r="G67" s="71">
        <v>99091</v>
      </c>
      <c r="H67" s="71">
        <v>0</v>
      </c>
      <c r="I67" s="71">
        <v>116759</v>
      </c>
      <c r="J67" s="71">
        <v>0</v>
      </c>
      <c r="K67" s="71">
        <v>0</v>
      </c>
      <c r="L67" s="71">
        <v>0</v>
      </c>
    </row>
    <row r="68" spans="1:12" x14ac:dyDescent="0.25">
      <c r="A68" s="53">
        <v>10140</v>
      </c>
      <c r="B68" s="38" t="s">
        <v>92</v>
      </c>
      <c r="C68" s="38" t="s">
        <v>437</v>
      </c>
      <c r="D68" s="37" t="s">
        <v>277</v>
      </c>
      <c r="E68" s="71">
        <v>0</v>
      </c>
      <c r="F68" s="71">
        <v>0</v>
      </c>
      <c r="G68" s="71">
        <v>0</v>
      </c>
      <c r="H68" s="71">
        <v>0</v>
      </c>
      <c r="I68" s="71">
        <v>0</v>
      </c>
      <c r="J68" s="71">
        <v>0</v>
      </c>
      <c r="K68" s="71">
        <v>0</v>
      </c>
      <c r="L68" s="71">
        <v>0</v>
      </c>
    </row>
    <row r="69" spans="1:12" x14ac:dyDescent="0.25">
      <c r="A69" s="53">
        <v>40007</v>
      </c>
      <c r="B69" s="38" t="s">
        <v>93</v>
      </c>
      <c r="C69" s="38" t="s">
        <v>437</v>
      </c>
      <c r="D69" s="37" t="s">
        <v>277</v>
      </c>
      <c r="E69" s="71">
        <v>0</v>
      </c>
      <c r="F69" s="71">
        <v>0</v>
      </c>
      <c r="G69" s="71">
        <v>0</v>
      </c>
      <c r="H69" s="71">
        <v>0</v>
      </c>
      <c r="I69" s="71">
        <v>0</v>
      </c>
      <c r="J69" s="71">
        <v>0</v>
      </c>
      <c r="K69" s="71">
        <v>0</v>
      </c>
      <c r="L69" s="71">
        <v>0</v>
      </c>
    </row>
    <row r="70" spans="1:12" x14ac:dyDescent="0.25">
      <c r="A70" s="53">
        <v>10323</v>
      </c>
      <c r="B70" s="38" t="s">
        <v>94</v>
      </c>
      <c r="C70" s="38" t="s">
        <v>438</v>
      </c>
      <c r="D70" s="37" t="s">
        <v>277</v>
      </c>
      <c r="E70" s="71">
        <v>0</v>
      </c>
      <c r="F70" s="71">
        <v>0</v>
      </c>
      <c r="G70" s="71">
        <v>0</v>
      </c>
      <c r="H70" s="71">
        <v>0</v>
      </c>
      <c r="I70" s="71">
        <v>0</v>
      </c>
      <c r="J70" s="71">
        <v>0</v>
      </c>
      <c r="K70" s="71">
        <v>0</v>
      </c>
      <c r="L70" s="71">
        <v>0</v>
      </c>
    </row>
    <row r="71" spans="1:12" x14ac:dyDescent="0.25">
      <c r="A71" s="53">
        <v>20026</v>
      </c>
      <c r="B71" s="38" t="s">
        <v>95</v>
      </c>
      <c r="C71" s="38" t="s">
        <v>439</v>
      </c>
      <c r="D71" s="37" t="s">
        <v>277</v>
      </c>
      <c r="E71" s="71">
        <v>0</v>
      </c>
      <c r="F71" s="71">
        <v>0</v>
      </c>
      <c r="G71" s="71">
        <v>0</v>
      </c>
      <c r="H71" s="71">
        <v>0</v>
      </c>
      <c r="I71" s="71">
        <v>0</v>
      </c>
      <c r="J71" s="71">
        <v>0</v>
      </c>
      <c r="K71" s="71">
        <v>0</v>
      </c>
      <c r="L71" s="71">
        <v>0</v>
      </c>
    </row>
    <row r="72" spans="1:12" x14ac:dyDescent="0.25">
      <c r="A72" s="53">
        <v>10534</v>
      </c>
      <c r="B72" s="38" t="s">
        <v>315</v>
      </c>
      <c r="C72" s="38" t="s">
        <v>96</v>
      </c>
      <c r="D72" s="37" t="s">
        <v>277</v>
      </c>
      <c r="E72" s="71">
        <v>0</v>
      </c>
      <c r="F72" s="71">
        <v>0</v>
      </c>
      <c r="G72" s="71">
        <v>0</v>
      </c>
      <c r="H72" s="71">
        <v>0</v>
      </c>
      <c r="I72" s="71">
        <v>0</v>
      </c>
      <c r="J72" s="71">
        <v>0</v>
      </c>
      <c r="K72" s="71">
        <v>0</v>
      </c>
      <c r="L72" s="71">
        <v>0</v>
      </c>
    </row>
    <row r="73" spans="1:12" x14ac:dyDescent="0.25">
      <c r="A73" s="53">
        <v>10537</v>
      </c>
      <c r="B73" s="38" t="s">
        <v>318</v>
      </c>
      <c r="C73" s="38" t="s">
        <v>96</v>
      </c>
      <c r="D73" s="37" t="s">
        <v>277</v>
      </c>
      <c r="E73" s="71">
        <v>0</v>
      </c>
      <c r="F73" s="71">
        <v>0</v>
      </c>
      <c r="G73" s="71">
        <v>0</v>
      </c>
      <c r="H73" s="71">
        <v>0</v>
      </c>
      <c r="I73" s="71">
        <v>0</v>
      </c>
      <c r="J73" s="71">
        <v>0</v>
      </c>
      <c r="K73" s="71">
        <v>0</v>
      </c>
      <c r="L73" s="71">
        <v>0</v>
      </c>
    </row>
    <row r="74" spans="1:12" x14ac:dyDescent="0.25">
      <c r="A74" s="53">
        <v>10441</v>
      </c>
      <c r="B74" s="38" t="s">
        <v>97</v>
      </c>
      <c r="C74" s="38" t="s">
        <v>96</v>
      </c>
      <c r="D74" s="37" t="s">
        <v>277</v>
      </c>
      <c r="E74" s="71">
        <v>0</v>
      </c>
      <c r="F74" s="71">
        <v>0</v>
      </c>
      <c r="G74" s="71">
        <v>0</v>
      </c>
      <c r="H74" s="71">
        <v>0</v>
      </c>
      <c r="I74" s="71">
        <v>0</v>
      </c>
      <c r="J74" s="71">
        <v>0</v>
      </c>
      <c r="K74" s="71">
        <v>0</v>
      </c>
      <c r="L74" s="71">
        <v>0</v>
      </c>
    </row>
    <row r="75" spans="1:12" x14ac:dyDescent="0.25">
      <c r="A75" s="53">
        <v>10142</v>
      </c>
      <c r="B75" s="38" t="s">
        <v>98</v>
      </c>
      <c r="C75" s="38" t="s">
        <v>99</v>
      </c>
      <c r="D75" s="37" t="s">
        <v>278</v>
      </c>
      <c r="E75" s="71">
        <v>0</v>
      </c>
      <c r="F75" s="71">
        <v>0</v>
      </c>
      <c r="G75" s="71">
        <v>0</v>
      </c>
      <c r="H75" s="71">
        <v>0</v>
      </c>
      <c r="I75" s="71">
        <v>0</v>
      </c>
      <c r="J75" s="71">
        <v>0</v>
      </c>
      <c r="K75" s="71">
        <v>0</v>
      </c>
      <c r="L75" s="71">
        <v>0</v>
      </c>
    </row>
    <row r="76" spans="1:12" x14ac:dyDescent="0.25">
      <c r="A76" s="53">
        <v>10434</v>
      </c>
      <c r="B76" s="38" t="s">
        <v>100</v>
      </c>
      <c r="C76" s="38" t="s">
        <v>69</v>
      </c>
      <c r="D76" s="37" t="s">
        <v>284</v>
      </c>
      <c r="E76" s="71">
        <v>0</v>
      </c>
      <c r="F76" s="71">
        <v>0</v>
      </c>
      <c r="G76" s="71">
        <v>0</v>
      </c>
      <c r="H76" s="71">
        <v>0</v>
      </c>
      <c r="I76" s="71">
        <v>0</v>
      </c>
      <c r="J76" s="71">
        <v>5000</v>
      </c>
      <c r="K76" s="71">
        <v>0</v>
      </c>
      <c r="L76" s="71">
        <v>0</v>
      </c>
    </row>
    <row r="77" spans="1:12" x14ac:dyDescent="0.25">
      <c r="A77" s="53">
        <v>10147</v>
      </c>
      <c r="B77" s="38" t="s">
        <v>101</v>
      </c>
      <c r="C77" s="38" t="s">
        <v>440</v>
      </c>
      <c r="D77" s="37" t="s">
        <v>285</v>
      </c>
      <c r="E77" s="71">
        <v>0</v>
      </c>
      <c r="F77" s="71">
        <v>0</v>
      </c>
      <c r="G77" s="71">
        <v>0</v>
      </c>
      <c r="H77" s="71">
        <v>0</v>
      </c>
      <c r="I77" s="71">
        <v>0</v>
      </c>
      <c r="J77" s="71">
        <v>0</v>
      </c>
      <c r="K77" s="71">
        <v>0</v>
      </c>
      <c r="L77" s="71">
        <v>0</v>
      </c>
    </row>
    <row r="78" spans="1:12" x14ac:dyDescent="0.25">
      <c r="A78" s="53">
        <v>10486</v>
      </c>
      <c r="B78" s="38" t="s">
        <v>103</v>
      </c>
      <c r="C78" s="38" t="s">
        <v>102</v>
      </c>
      <c r="D78" s="37" t="s">
        <v>286</v>
      </c>
      <c r="E78" s="71">
        <v>0</v>
      </c>
      <c r="F78" s="71">
        <v>1250</v>
      </c>
      <c r="G78" s="71">
        <v>0</v>
      </c>
      <c r="H78" s="71">
        <v>0</v>
      </c>
      <c r="I78" s="71">
        <v>0</v>
      </c>
      <c r="J78" s="71">
        <v>0</v>
      </c>
      <c r="K78" s="71">
        <v>0</v>
      </c>
      <c r="L78" s="71">
        <v>0</v>
      </c>
    </row>
    <row r="79" spans="1:12" x14ac:dyDescent="0.25">
      <c r="A79" s="53">
        <v>10507</v>
      </c>
      <c r="B79" s="38" t="s">
        <v>104</v>
      </c>
      <c r="C79" s="38" t="s">
        <v>132</v>
      </c>
      <c r="D79" s="37" t="s">
        <v>278</v>
      </c>
      <c r="E79" s="71">
        <v>0</v>
      </c>
      <c r="F79" s="71">
        <v>0</v>
      </c>
      <c r="G79" s="71">
        <v>0</v>
      </c>
      <c r="H79" s="71">
        <v>0</v>
      </c>
      <c r="I79" s="71">
        <v>0</v>
      </c>
      <c r="J79" s="71">
        <v>0</v>
      </c>
      <c r="K79" s="71">
        <v>0</v>
      </c>
      <c r="L79" s="71">
        <v>0</v>
      </c>
    </row>
    <row r="80" spans="1:12" x14ac:dyDescent="0.25">
      <c r="A80" s="53">
        <v>10160</v>
      </c>
      <c r="B80" s="38" t="s">
        <v>105</v>
      </c>
      <c r="C80" s="38" t="s">
        <v>106</v>
      </c>
      <c r="D80" s="37" t="s">
        <v>277</v>
      </c>
      <c r="E80" s="71">
        <v>0</v>
      </c>
      <c r="F80" s="71">
        <v>0</v>
      </c>
      <c r="G80" s="71">
        <v>0</v>
      </c>
      <c r="H80" s="71">
        <v>0</v>
      </c>
      <c r="I80" s="71">
        <v>0</v>
      </c>
      <c r="J80" s="71">
        <v>0</v>
      </c>
      <c r="K80" s="71">
        <v>0</v>
      </c>
      <c r="L80" s="71">
        <v>0</v>
      </c>
    </row>
    <row r="81" spans="1:12" x14ac:dyDescent="0.25">
      <c r="A81" s="53">
        <v>10256</v>
      </c>
      <c r="B81" s="38" t="s">
        <v>107</v>
      </c>
      <c r="C81" s="38" t="s">
        <v>106</v>
      </c>
      <c r="D81" s="37" t="s">
        <v>277</v>
      </c>
      <c r="E81" s="71">
        <v>0</v>
      </c>
      <c r="F81" s="71">
        <v>0</v>
      </c>
      <c r="G81" s="71">
        <v>0</v>
      </c>
      <c r="H81" s="71">
        <v>0</v>
      </c>
      <c r="I81" s="71">
        <v>0</v>
      </c>
      <c r="J81" s="71">
        <v>0</v>
      </c>
      <c r="K81" s="71">
        <v>0</v>
      </c>
      <c r="L81" s="71">
        <v>0</v>
      </c>
    </row>
    <row r="82" spans="1:12" x14ac:dyDescent="0.25">
      <c r="A82" s="53">
        <v>10163</v>
      </c>
      <c r="B82" s="38" t="s">
        <v>108</v>
      </c>
      <c r="C82" s="38" t="s">
        <v>441</v>
      </c>
      <c r="D82" s="37" t="s">
        <v>281</v>
      </c>
      <c r="E82" s="71">
        <v>34251</v>
      </c>
      <c r="F82" s="71">
        <v>32851</v>
      </c>
      <c r="G82" s="71">
        <v>28574</v>
      </c>
      <c r="H82" s="71">
        <v>90883</v>
      </c>
      <c r="I82" s="71">
        <v>57273</v>
      </c>
      <c r="J82" s="71">
        <v>31490</v>
      </c>
      <c r="K82" s="71">
        <v>28442</v>
      </c>
      <c r="L82" s="71">
        <v>27791</v>
      </c>
    </row>
    <row r="83" spans="1:12" x14ac:dyDescent="0.25">
      <c r="A83" s="53">
        <v>10370</v>
      </c>
      <c r="B83" s="38" t="s">
        <v>110</v>
      </c>
      <c r="C83" s="38" t="s">
        <v>23</v>
      </c>
      <c r="D83" s="37" t="s">
        <v>279</v>
      </c>
      <c r="E83" s="71">
        <v>0</v>
      </c>
      <c r="F83" s="71">
        <v>0</v>
      </c>
      <c r="G83" s="71">
        <v>0</v>
      </c>
      <c r="H83" s="71">
        <v>0</v>
      </c>
      <c r="I83" s="71">
        <v>0</v>
      </c>
      <c r="J83" s="71">
        <v>0</v>
      </c>
      <c r="K83" s="71">
        <v>0</v>
      </c>
      <c r="L83" s="71">
        <v>0</v>
      </c>
    </row>
    <row r="84" spans="1:12" x14ac:dyDescent="0.25">
      <c r="A84" s="53">
        <v>10430</v>
      </c>
      <c r="B84" s="38" t="s">
        <v>111</v>
      </c>
      <c r="C84" s="38" t="s">
        <v>23</v>
      </c>
      <c r="D84" s="37" t="s">
        <v>279</v>
      </c>
      <c r="E84" s="71">
        <v>1000</v>
      </c>
      <c r="F84" s="71">
        <v>0</v>
      </c>
      <c r="G84" s="71">
        <v>0</v>
      </c>
      <c r="H84" s="71">
        <v>0</v>
      </c>
      <c r="I84" s="71">
        <v>4000</v>
      </c>
      <c r="J84" s="71">
        <v>0</v>
      </c>
      <c r="K84" s="71">
        <v>2000</v>
      </c>
      <c r="L84" s="71">
        <v>0</v>
      </c>
    </row>
    <row r="85" spans="1:12" x14ac:dyDescent="0.25">
      <c r="A85" s="53">
        <v>10431</v>
      </c>
      <c r="B85" s="38" t="s">
        <v>112</v>
      </c>
      <c r="C85" s="38" t="s">
        <v>113</v>
      </c>
      <c r="D85" s="37" t="s">
        <v>281</v>
      </c>
      <c r="E85" s="71">
        <v>26622</v>
      </c>
      <c r="F85" s="71">
        <v>25732</v>
      </c>
      <c r="G85" s="71">
        <v>29735</v>
      </c>
      <c r="H85" s="71">
        <v>0</v>
      </c>
      <c r="I85" s="71">
        <v>25344</v>
      </c>
      <c r="J85" s="71">
        <v>25294</v>
      </c>
      <c r="K85" s="71">
        <v>30409</v>
      </c>
      <c r="L85" s="71">
        <v>52065</v>
      </c>
    </row>
    <row r="86" spans="1:12" x14ac:dyDescent="0.25">
      <c r="A86" s="53">
        <v>10495</v>
      </c>
      <c r="B86" s="38" t="s">
        <v>114</v>
      </c>
      <c r="C86" s="38" t="s">
        <v>23</v>
      </c>
      <c r="D86" s="37" t="s">
        <v>279</v>
      </c>
      <c r="E86" s="71">
        <v>0</v>
      </c>
      <c r="F86" s="71">
        <v>0</v>
      </c>
      <c r="G86" s="71">
        <v>0</v>
      </c>
      <c r="H86" s="71">
        <v>0</v>
      </c>
      <c r="I86" s="71">
        <v>0</v>
      </c>
      <c r="J86" s="71">
        <v>0</v>
      </c>
      <c r="K86" s="71">
        <v>0</v>
      </c>
      <c r="L86" s="71">
        <v>0</v>
      </c>
    </row>
    <row r="87" spans="1:12" x14ac:dyDescent="0.25">
      <c r="A87" s="53">
        <v>10180</v>
      </c>
      <c r="B87" s="38" t="s">
        <v>115</v>
      </c>
      <c r="C87" s="38" t="s">
        <v>69</v>
      </c>
      <c r="D87" s="37" t="s">
        <v>284</v>
      </c>
      <c r="E87" s="71">
        <v>0</v>
      </c>
      <c r="F87" s="71">
        <v>0</v>
      </c>
      <c r="G87" s="71">
        <v>0</v>
      </c>
      <c r="H87" s="71">
        <v>0</v>
      </c>
      <c r="I87" s="71">
        <v>0</v>
      </c>
      <c r="J87" s="71">
        <v>0</v>
      </c>
      <c r="K87" s="71">
        <v>0</v>
      </c>
      <c r="L87" s="71">
        <v>0</v>
      </c>
    </row>
    <row r="88" spans="1:12" x14ac:dyDescent="0.25">
      <c r="A88" s="53">
        <v>10496</v>
      </c>
      <c r="B88" s="38" t="s">
        <v>116</v>
      </c>
      <c r="C88" s="38" t="s">
        <v>69</v>
      </c>
      <c r="D88" s="37" t="s">
        <v>284</v>
      </c>
      <c r="E88" s="71">
        <v>0</v>
      </c>
      <c r="F88" s="71">
        <v>0</v>
      </c>
      <c r="G88" s="71">
        <v>0</v>
      </c>
      <c r="H88" s="71">
        <v>0</v>
      </c>
      <c r="I88" s="71">
        <v>0</v>
      </c>
      <c r="J88" s="71">
        <v>0</v>
      </c>
      <c r="K88" s="71">
        <v>0</v>
      </c>
      <c r="L88" s="71">
        <v>0</v>
      </c>
    </row>
    <row r="89" spans="1:12" x14ac:dyDescent="0.25">
      <c r="A89" s="53">
        <v>10547</v>
      </c>
      <c r="B89" s="38" t="s">
        <v>101</v>
      </c>
      <c r="C89" s="38" t="s">
        <v>69</v>
      </c>
      <c r="D89" s="37" t="s">
        <v>284</v>
      </c>
      <c r="E89" s="71">
        <v>0</v>
      </c>
      <c r="F89" s="71">
        <v>0</v>
      </c>
      <c r="G89" s="71">
        <v>0</v>
      </c>
      <c r="H89" s="71">
        <v>0</v>
      </c>
      <c r="I89" s="71">
        <v>0</v>
      </c>
      <c r="J89" s="71">
        <v>0</v>
      </c>
      <c r="K89" s="71">
        <v>0</v>
      </c>
      <c r="L89" s="71">
        <v>0</v>
      </c>
    </row>
    <row r="90" spans="1:12" x14ac:dyDescent="0.25">
      <c r="A90" s="53">
        <v>10374</v>
      </c>
      <c r="B90" s="38" t="s">
        <v>117</v>
      </c>
      <c r="C90" s="38" t="s">
        <v>69</v>
      </c>
      <c r="D90" s="37" t="s">
        <v>284</v>
      </c>
      <c r="E90" s="71">
        <v>0</v>
      </c>
      <c r="F90" s="71">
        <v>0</v>
      </c>
      <c r="G90" s="71">
        <v>0</v>
      </c>
      <c r="H90" s="71">
        <v>0</v>
      </c>
      <c r="I90" s="71">
        <v>0</v>
      </c>
      <c r="J90" s="71">
        <v>0</v>
      </c>
      <c r="K90" s="71">
        <v>0</v>
      </c>
      <c r="L90" s="71">
        <v>0</v>
      </c>
    </row>
    <row r="91" spans="1:12" x14ac:dyDescent="0.25">
      <c r="A91" s="53">
        <v>10435</v>
      </c>
      <c r="B91" s="38" t="s">
        <v>118</v>
      </c>
      <c r="C91" s="38" t="s">
        <v>442</v>
      </c>
      <c r="D91" s="37" t="s">
        <v>276</v>
      </c>
      <c r="E91" s="71">
        <v>0</v>
      </c>
      <c r="F91" s="71">
        <v>0</v>
      </c>
      <c r="G91" s="71">
        <v>0</v>
      </c>
      <c r="H91" s="71">
        <v>0</v>
      </c>
      <c r="I91" s="71">
        <v>0</v>
      </c>
      <c r="J91" s="71">
        <v>0</v>
      </c>
      <c r="K91" s="71">
        <v>0</v>
      </c>
      <c r="L91" s="71">
        <v>0</v>
      </c>
    </row>
    <row r="92" spans="1:12" x14ac:dyDescent="0.25">
      <c r="A92" s="53">
        <v>10189</v>
      </c>
      <c r="B92" s="38" t="s">
        <v>119</v>
      </c>
      <c r="C92" s="38" t="s">
        <v>19</v>
      </c>
      <c r="D92" s="37" t="s">
        <v>278</v>
      </c>
      <c r="E92" s="71">
        <v>0</v>
      </c>
      <c r="F92" s="71">
        <v>0</v>
      </c>
      <c r="G92" s="71">
        <v>0</v>
      </c>
      <c r="H92" s="71">
        <v>0</v>
      </c>
      <c r="I92" s="71">
        <v>0</v>
      </c>
      <c r="J92" s="71">
        <v>0</v>
      </c>
      <c r="K92" s="71">
        <v>0</v>
      </c>
      <c r="L92" s="71">
        <v>0</v>
      </c>
    </row>
    <row r="93" spans="1:12" x14ac:dyDescent="0.25">
      <c r="A93" s="53">
        <v>20010</v>
      </c>
      <c r="B93" s="38" t="s">
        <v>120</v>
      </c>
      <c r="C93" s="38" t="s">
        <v>69</v>
      </c>
      <c r="D93" s="37" t="s">
        <v>284</v>
      </c>
      <c r="E93" s="71">
        <v>0</v>
      </c>
      <c r="F93" s="71">
        <v>0</v>
      </c>
      <c r="G93" s="71">
        <v>5500</v>
      </c>
      <c r="H93" s="71">
        <v>0</v>
      </c>
      <c r="I93" s="71">
        <v>0</v>
      </c>
      <c r="J93" s="71">
        <v>0</v>
      </c>
      <c r="K93" s="71">
        <v>0</v>
      </c>
      <c r="L93" s="71">
        <v>0</v>
      </c>
    </row>
    <row r="94" spans="1:12" x14ac:dyDescent="0.25">
      <c r="A94" s="53">
        <v>10199</v>
      </c>
      <c r="B94" s="38" t="s">
        <v>121</v>
      </c>
      <c r="C94" s="38" t="s">
        <v>443</v>
      </c>
      <c r="D94" s="37" t="s">
        <v>286</v>
      </c>
      <c r="E94" s="71">
        <v>24000</v>
      </c>
      <c r="F94" s="71">
        <v>27413</v>
      </c>
      <c r="G94" s="71">
        <v>26464</v>
      </c>
      <c r="H94" s="71">
        <v>26743</v>
      </c>
      <c r="I94" s="71">
        <v>28209</v>
      </c>
      <c r="J94" s="71">
        <v>0</v>
      </c>
      <c r="K94" s="71">
        <v>25685</v>
      </c>
      <c r="L94" s="71">
        <v>29278</v>
      </c>
    </row>
    <row r="95" spans="1:12" x14ac:dyDescent="0.25">
      <c r="A95" s="53">
        <v>10407</v>
      </c>
      <c r="B95" s="38" t="s">
        <v>122</v>
      </c>
      <c r="C95" s="38" t="s">
        <v>441</v>
      </c>
      <c r="D95" s="37" t="s">
        <v>281</v>
      </c>
      <c r="E95" s="71">
        <v>91898</v>
      </c>
      <c r="F95" s="71">
        <v>97062</v>
      </c>
      <c r="G95" s="71">
        <v>98609</v>
      </c>
      <c r="H95" s="71">
        <v>133864</v>
      </c>
      <c r="I95" s="71">
        <v>141635</v>
      </c>
      <c r="J95" s="71">
        <v>143735</v>
      </c>
      <c r="K95" s="71">
        <v>61995</v>
      </c>
      <c r="L95" s="71">
        <v>91976</v>
      </c>
    </row>
    <row r="96" spans="1:12" x14ac:dyDescent="0.25">
      <c r="A96" s="53">
        <v>10364</v>
      </c>
      <c r="B96" s="38" t="s">
        <v>124</v>
      </c>
      <c r="C96" s="38" t="s">
        <v>444</v>
      </c>
      <c r="D96" s="37" t="s">
        <v>279</v>
      </c>
      <c r="E96" s="71">
        <v>0</v>
      </c>
      <c r="F96" s="71">
        <v>0</v>
      </c>
      <c r="G96" s="71">
        <v>0</v>
      </c>
      <c r="H96" s="71">
        <v>0</v>
      </c>
      <c r="I96" s="71">
        <v>5000</v>
      </c>
      <c r="J96" s="71">
        <v>0</v>
      </c>
      <c r="K96" s="71">
        <v>0</v>
      </c>
      <c r="L96" s="71">
        <v>5000</v>
      </c>
    </row>
    <row r="97" spans="1:12" x14ac:dyDescent="0.25">
      <c r="A97" s="53">
        <v>10365</v>
      </c>
      <c r="B97" s="38" t="s">
        <v>125</v>
      </c>
      <c r="C97" s="38" t="s">
        <v>337</v>
      </c>
      <c r="D97" s="37" t="s">
        <v>281</v>
      </c>
      <c r="E97" s="71">
        <v>22640</v>
      </c>
      <c r="F97" s="71">
        <v>64288</v>
      </c>
      <c r="G97" s="71">
        <v>26947</v>
      </c>
      <c r="H97" s="71">
        <v>28184</v>
      </c>
      <c r="I97" s="71">
        <v>30679</v>
      </c>
      <c r="J97" s="71">
        <v>27590</v>
      </c>
      <c r="K97" s="71">
        <v>25252</v>
      </c>
      <c r="L97" s="71">
        <v>26329</v>
      </c>
    </row>
    <row r="98" spans="1:12" x14ac:dyDescent="0.25">
      <c r="A98" s="53">
        <v>10326</v>
      </c>
      <c r="B98" s="38" t="s">
        <v>126</v>
      </c>
      <c r="C98" s="38" t="s">
        <v>113</v>
      </c>
      <c r="D98" s="37" t="s">
        <v>281</v>
      </c>
      <c r="E98" s="71">
        <v>50131</v>
      </c>
      <c r="F98" s="71">
        <v>52396</v>
      </c>
      <c r="G98" s="71">
        <v>87905</v>
      </c>
      <c r="H98" s="71">
        <v>95747</v>
      </c>
      <c r="I98" s="71">
        <v>53986</v>
      </c>
      <c r="J98" s="71">
        <v>51329</v>
      </c>
      <c r="K98" s="71">
        <v>57554</v>
      </c>
      <c r="L98" s="71">
        <v>25571</v>
      </c>
    </row>
    <row r="99" spans="1:12" x14ac:dyDescent="0.25">
      <c r="A99" s="53">
        <v>10328</v>
      </c>
      <c r="B99" s="38" t="s">
        <v>127</v>
      </c>
      <c r="C99" s="38" t="s">
        <v>444</v>
      </c>
      <c r="D99" s="37" t="s">
        <v>279</v>
      </c>
      <c r="E99" s="71">
        <v>5000</v>
      </c>
      <c r="F99" s="71">
        <v>0</v>
      </c>
      <c r="G99" s="71">
        <v>0</v>
      </c>
      <c r="H99" s="71">
        <v>5000</v>
      </c>
      <c r="I99" s="71">
        <v>0</v>
      </c>
      <c r="J99" s="71">
        <v>0</v>
      </c>
      <c r="K99" s="71">
        <v>0</v>
      </c>
      <c r="L99" s="71">
        <v>0</v>
      </c>
    </row>
    <row r="100" spans="1:12" x14ac:dyDescent="0.25">
      <c r="A100" s="53">
        <v>10216</v>
      </c>
      <c r="B100" s="38" t="s">
        <v>128</v>
      </c>
      <c r="C100" s="38" t="s">
        <v>62</v>
      </c>
      <c r="D100" s="37" t="s">
        <v>284</v>
      </c>
      <c r="E100" s="71">
        <v>0</v>
      </c>
      <c r="F100" s="71">
        <v>0</v>
      </c>
      <c r="G100" s="71">
        <v>0</v>
      </c>
      <c r="H100" s="71">
        <v>0</v>
      </c>
      <c r="I100" s="71">
        <v>0</v>
      </c>
      <c r="J100" s="71">
        <v>0</v>
      </c>
      <c r="K100" s="71">
        <v>0</v>
      </c>
      <c r="L100" s="71">
        <v>0</v>
      </c>
    </row>
    <row r="101" spans="1:12" x14ac:dyDescent="0.25">
      <c r="A101" s="53">
        <v>10469</v>
      </c>
      <c r="B101" s="38" t="s">
        <v>130</v>
      </c>
      <c r="C101" s="38" t="s">
        <v>102</v>
      </c>
      <c r="D101" s="37" t="s">
        <v>286</v>
      </c>
      <c r="E101" s="71">
        <v>0</v>
      </c>
      <c r="F101" s="71">
        <v>46312</v>
      </c>
      <c r="G101" s="71">
        <v>0</v>
      </c>
      <c r="H101" s="71">
        <v>0</v>
      </c>
      <c r="I101" s="71">
        <v>0</v>
      </c>
      <c r="J101" s="71">
        <v>0</v>
      </c>
      <c r="K101" s="71">
        <v>0</v>
      </c>
      <c r="L101" s="71">
        <v>0</v>
      </c>
    </row>
    <row r="102" spans="1:12" x14ac:dyDescent="0.25">
      <c r="A102" s="53">
        <v>10466</v>
      </c>
      <c r="B102" s="38" t="s">
        <v>131</v>
      </c>
      <c r="C102" s="38" t="s">
        <v>132</v>
      </c>
      <c r="D102" s="37" t="s">
        <v>286</v>
      </c>
      <c r="E102" s="71">
        <v>0</v>
      </c>
      <c r="F102" s="71">
        <v>0</v>
      </c>
      <c r="G102" s="71">
        <v>0</v>
      </c>
      <c r="H102" s="71">
        <v>0</v>
      </c>
      <c r="I102" s="71">
        <v>0</v>
      </c>
      <c r="J102" s="71">
        <v>0</v>
      </c>
      <c r="K102" s="71">
        <v>0</v>
      </c>
      <c r="L102" s="71">
        <v>0</v>
      </c>
    </row>
    <row r="103" spans="1:12" x14ac:dyDescent="0.25">
      <c r="A103" s="53">
        <v>10539</v>
      </c>
      <c r="B103" s="38" t="s">
        <v>185</v>
      </c>
      <c r="C103" s="38" t="s">
        <v>132</v>
      </c>
      <c r="D103" s="37" t="s">
        <v>278</v>
      </c>
      <c r="E103" s="71">
        <v>0</v>
      </c>
      <c r="F103" s="71">
        <v>0</v>
      </c>
      <c r="G103" s="71">
        <v>0</v>
      </c>
      <c r="H103" s="71">
        <v>0</v>
      </c>
      <c r="I103" s="71">
        <v>0</v>
      </c>
      <c r="J103" s="71">
        <v>0</v>
      </c>
      <c r="K103" s="71">
        <v>0</v>
      </c>
      <c r="L103" s="71">
        <v>0</v>
      </c>
    </row>
    <row r="104" spans="1:12" x14ac:dyDescent="0.25">
      <c r="A104" s="53">
        <v>10284</v>
      </c>
      <c r="B104" s="38" t="s">
        <v>133</v>
      </c>
      <c r="C104" s="38" t="s">
        <v>444</v>
      </c>
      <c r="D104" s="37" t="s">
        <v>279</v>
      </c>
      <c r="E104" s="71">
        <v>0</v>
      </c>
      <c r="F104" s="71">
        <v>0</v>
      </c>
      <c r="G104" s="71">
        <v>0</v>
      </c>
      <c r="H104" s="71">
        <v>0</v>
      </c>
      <c r="I104" s="71">
        <v>0</v>
      </c>
      <c r="J104" s="71">
        <v>0</v>
      </c>
      <c r="K104" s="71">
        <v>0</v>
      </c>
      <c r="L104" s="71">
        <v>0</v>
      </c>
    </row>
    <row r="105" spans="1:12" x14ac:dyDescent="0.25">
      <c r="A105" s="53">
        <v>10400</v>
      </c>
      <c r="B105" s="38" t="s">
        <v>134</v>
      </c>
      <c r="C105" s="38" t="s">
        <v>23</v>
      </c>
      <c r="D105" s="37" t="s">
        <v>279</v>
      </c>
      <c r="E105" s="71">
        <v>0</v>
      </c>
      <c r="F105" s="71">
        <v>0</v>
      </c>
      <c r="G105" s="71">
        <v>0</v>
      </c>
      <c r="H105" s="71">
        <v>0</v>
      </c>
      <c r="I105" s="71">
        <v>2000</v>
      </c>
      <c r="J105" s="71">
        <v>0</v>
      </c>
      <c r="K105" s="71">
        <v>0</v>
      </c>
      <c r="L105" s="71">
        <v>0</v>
      </c>
    </row>
    <row r="106" spans="1:12" x14ac:dyDescent="0.25">
      <c r="A106" s="53">
        <v>10135</v>
      </c>
      <c r="B106" s="38" t="s">
        <v>135</v>
      </c>
      <c r="C106" s="38" t="s">
        <v>23</v>
      </c>
      <c r="D106" s="37" t="s">
        <v>279</v>
      </c>
      <c r="E106" s="71">
        <v>3000</v>
      </c>
      <c r="F106" s="71">
        <v>4000</v>
      </c>
      <c r="G106" s="71">
        <v>0</v>
      </c>
      <c r="H106" s="71">
        <v>3000</v>
      </c>
      <c r="I106" s="71">
        <v>0</v>
      </c>
      <c r="J106" s="71">
        <v>0</v>
      </c>
      <c r="K106" s="71">
        <v>5000</v>
      </c>
      <c r="L106" s="71">
        <v>0</v>
      </c>
    </row>
    <row r="107" spans="1:12" x14ac:dyDescent="0.25">
      <c r="A107" s="53">
        <v>10465</v>
      </c>
      <c r="B107" s="38" t="s">
        <v>136</v>
      </c>
      <c r="C107" s="38" t="s">
        <v>23</v>
      </c>
      <c r="D107" s="37" t="s">
        <v>279</v>
      </c>
      <c r="E107" s="71">
        <v>0</v>
      </c>
      <c r="F107" s="71">
        <v>0</v>
      </c>
      <c r="G107" s="71">
        <v>0</v>
      </c>
      <c r="H107" s="71">
        <v>28356</v>
      </c>
      <c r="I107" s="71">
        <v>131815</v>
      </c>
      <c r="J107" s="71">
        <v>56714</v>
      </c>
      <c r="K107" s="71">
        <v>50100</v>
      </c>
      <c r="L107" s="71">
        <v>25796</v>
      </c>
    </row>
    <row r="108" spans="1:12" x14ac:dyDescent="0.25">
      <c r="A108" s="53">
        <v>10460</v>
      </c>
      <c r="B108" s="38" t="s">
        <v>137</v>
      </c>
      <c r="C108" s="38" t="s">
        <v>23</v>
      </c>
      <c r="D108" s="37" t="s">
        <v>279</v>
      </c>
      <c r="E108" s="71">
        <v>0</v>
      </c>
      <c r="F108" s="71">
        <v>0</v>
      </c>
      <c r="G108" s="71">
        <v>2000</v>
      </c>
      <c r="H108" s="71">
        <v>0</v>
      </c>
      <c r="I108" s="71">
        <v>0</v>
      </c>
      <c r="J108" s="71">
        <v>2000</v>
      </c>
      <c r="K108" s="71">
        <v>0</v>
      </c>
      <c r="L108" s="71">
        <v>0</v>
      </c>
    </row>
    <row r="109" spans="1:12" x14ac:dyDescent="0.25">
      <c r="A109" s="53">
        <v>10519</v>
      </c>
      <c r="B109" s="38" t="s">
        <v>138</v>
      </c>
      <c r="C109" s="38" t="s">
        <v>23</v>
      </c>
      <c r="D109" s="37" t="s">
        <v>279</v>
      </c>
      <c r="E109" s="71">
        <v>0</v>
      </c>
      <c r="F109" s="71">
        <v>0</v>
      </c>
      <c r="G109" s="71">
        <v>0</v>
      </c>
      <c r="H109" s="71">
        <v>0</v>
      </c>
      <c r="I109" s="71">
        <v>0</v>
      </c>
      <c r="J109" s="71">
        <v>0</v>
      </c>
      <c r="K109" s="71">
        <v>0</v>
      </c>
      <c r="L109" s="71">
        <v>0</v>
      </c>
    </row>
    <row r="110" spans="1:12" x14ac:dyDescent="0.25">
      <c r="A110" s="53">
        <v>10226</v>
      </c>
      <c r="B110" s="38" t="s">
        <v>139</v>
      </c>
      <c r="C110" s="38" t="s">
        <v>69</v>
      </c>
      <c r="D110" s="37" t="s">
        <v>284</v>
      </c>
      <c r="E110" s="71">
        <v>0</v>
      </c>
      <c r="F110" s="71">
        <v>0</v>
      </c>
      <c r="G110" s="71">
        <v>0</v>
      </c>
      <c r="H110" s="71">
        <v>0</v>
      </c>
      <c r="I110" s="71">
        <v>0</v>
      </c>
      <c r="J110" s="71">
        <v>0</v>
      </c>
      <c r="K110" s="71">
        <v>0</v>
      </c>
      <c r="L110" s="71">
        <v>0</v>
      </c>
    </row>
    <row r="111" spans="1:12" x14ac:dyDescent="0.25">
      <c r="A111" s="53">
        <v>10393</v>
      </c>
      <c r="B111" s="38" t="s">
        <v>140</v>
      </c>
      <c r="C111" s="38" t="s">
        <v>69</v>
      </c>
      <c r="D111" s="37" t="s">
        <v>284</v>
      </c>
      <c r="E111" s="71">
        <v>0</v>
      </c>
      <c r="F111" s="71">
        <v>0</v>
      </c>
      <c r="G111" s="71">
        <v>0</v>
      </c>
      <c r="H111" s="71">
        <v>0</v>
      </c>
      <c r="I111" s="71">
        <v>0</v>
      </c>
      <c r="J111" s="71">
        <v>0</v>
      </c>
      <c r="K111" s="71">
        <v>0</v>
      </c>
      <c r="L111" s="71">
        <v>0</v>
      </c>
    </row>
    <row r="112" spans="1:12" x14ac:dyDescent="0.25">
      <c r="A112" s="53">
        <v>10394</v>
      </c>
      <c r="B112" s="38" t="s">
        <v>141</v>
      </c>
      <c r="C112" s="38" t="s">
        <v>69</v>
      </c>
      <c r="D112" s="37" t="s">
        <v>284</v>
      </c>
      <c r="E112" s="71">
        <v>0</v>
      </c>
      <c r="F112" s="71">
        <v>0</v>
      </c>
      <c r="G112" s="71">
        <v>0</v>
      </c>
      <c r="H112" s="71">
        <v>0</v>
      </c>
      <c r="I112" s="71">
        <v>0</v>
      </c>
      <c r="J112" s="71">
        <v>0</v>
      </c>
      <c r="K112" s="71">
        <v>0</v>
      </c>
      <c r="L112" s="71">
        <v>0</v>
      </c>
    </row>
    <row r="113" spans="1:12" x14ac:dyDescent="0.25">
      <c r="A113" s="53">
        <v>10330</v>
      </c>
      <c r="B113" s="38" t="s">
        <v>142</v>
      </c>
      <c r="C113" s="38" t="s">
        <v>109</v>
      </c>
      <c r="D113" s="37" t="s">
        <v>281</v>
      </c>
      <c r="E113" s="71">
        <v>0</v>
      </c>
      <c r="F113" s="71">
        <v>0</v>
      </c>
      <c r="G113" s="71">
        <v>0</v>
      </c>
      <c r="H113" s="71">
        <v>0</v>
      </c>
      <c r="I113" s="71">
        <v>0</v>
      </c>
      <c r="J113" s="71">
        <v>0</v>
      </c>
      <c r="K113" s="71">
        <v>0</v>
      </c>
      <c r="L113" s="71">
        <v>0</v>
      </c>
    </row>
    <row r="114" spans="1:12" x14ac:dyDescent="0.25">
      <c r="A114" s="53">
        <v>10526</v>
      </c>
      <c r="B114" s="38" t="s">
        <v>143</v>
      </c>
      <c r="C114" s="38" t="s">
        <v>99</v>
      </c>
      <c r="D114" s="37" t="s">
        <v>278</v>
      </c>
      <c r="E114" s="71">
        <v>0</v>
      </c>
      <c r="F114" s="71">
        <v>0</v>
      </c>
      <c r="G114" s="71">
        <v>0</v>
      </c>
      <c r="H114" s="71">
        <v>0</v>
      </c>
      <c r="I114" s="71">
        <v>0</v>
      </c>
      <c r="J114" s="71">
        <v>0</v>
      </c>
      <c r="K114" s="71">
        <v>0</v>
      </c>
      <c r="L114" s="71">
        <v>0</v>
      </c>
    </row>
    <row r="115" spans="1:12" x14ac:dyDescent="0.25">
      <c r="A115" s="53">
        <v>10289</v>
      </c>
      <c r="B115" s="38" t="s">
        <v>145</v>
      </c>
      <c r="C115" s="38" t="s">
        <v>146</v>
      </c>
      <c r="D115" s="37" t="s">
        <v>280</v>
      </c>
      <c r="E115" s="71">
        <v>0</v>
      </c>
      <c r="F115" s="71">
        <v>0</v>
      </c>
      <c r="G115" s="71">
        <v>0</v>
      </c>
      <c r="H115" s="71">
        <v>0</v>
      </c>
      <c r="I115" s="71">
        <v>0</v>
      </c>
      <c r="J115" s="71">
        <v>0</v>
      </c>
      <c r="K115" s="71">
        <v>0</v>
      </c>
      <c r="L115" s="71">
        <v>0</v>
      </c>
    </row>
    <row r="116" spans="1:12" x14ac:dyDescent="0.25">
      <c r="A116" s="53">
        <v>10352</v>
      </c>
      <c r="B116" s="38" t="s">
        <v>147</v>
      </c>
      <c r="C116" s="38" t="s">
        <v>148</v>
      </c>
      <c r="D116" s="37" t="s">
        <v>280</v>
      </c>
      <c r="E116" s="71">
        <v>0</v>
      </c>
      <c r="F116" s="71">
        <v>0</v>
      </c>
      <c r="G116" s="71">
        <v>0</v>
      </c>
      <c r="H116" s="71">
        <v>0</v>
      </c>
      <c r="I116" s="71">
        <v>0</v>
      </c>
      <c r="J116" s="71">
        <v>0</v>
      </c>
      <c r="K116" s="71">
        <v>0</v>
      </c>
      <c r="L116" s="71">
        <v>0</v>
      </c>
    </row>
    <row r="117" spans="1:12" x14ac:dyDescent="0.25">
      <c r="A117" s="53">
        <v>10290</v>
      </c>
      <c r="B117" s="38" t="s">
        <v>151</v>
      </c>
      <c r="C117" s="38" t="s">
        <v>152</v>
      </c>
      <c r="D117" s="37" t="s">
        <v>283</v>
      </c>
      <c r="E117" s="71">
        <v>5063</v>
      </c>
      <c r="F117" s="71">
        <v>86250</v>
      </c>
      <c r="G117" s="71">
        <v>139843</v>
      </c>
      <c r="H117" s="71">
        <v>3272</v>
      </c>
      <c r="I117" s="71">
        <v>4155</v>
      </c>
      <c r="J117" s="71">
        <v>76856</v>
      </c>
      <c r="K117" s="71">
        <f>2508+157025</f>
        <v>159533</v>
      </c>
      <c r="L117" s="71">
        <v>1900</v>
      </c>
    </row>
    <row r="118" spans="1:12" x14ac:dyDescent="0.25">
      <c r="A118" s="53">
        <v>10291</v>
      </c>
      <c r="B118" s="38" t="s">
        <v>153</v>
      </c>
      <c r="C118" s="38" t="s">
        <v>51</v>
      </c>
      <c r="D118" s="37" t="s">
        <v>288</v>
      </c>
      <c r="E118" s="71">
        <v>0</v>
      </c>
      <c r="F118" s="71">
        <v>0</v>
      </c>
      <c r="G118" s="71">
        <v>0</v>
      </c>
      <c r="H118" s="71">
        <v>0</v>
      </c>
      <c r="I118" s="71">
        <v>0</v>
      </c>
      <c r="J118" s="71">
        <v>0</v>
      </c>
      <c r="K118" s="71">
        <v>0</v>
      </c>
      <c r="L118" s="71">
        <v>0</v>
      </c>
    </row>
    <row r="119" spans="1:12" x14ac:dyDescent="0.25">
      <c r="A119" s="53">
        <v>10389</v>
      </c>
      <c r="B119" s="38" t="s">
        <v>154</v>
      </c>
      <c r="C119" s="38" t="s">
        <v>51</v>
      </c>
      <c r="D119" s="37" t="s">
        <v>288</v>
      </c>
      <c r="E119" s="71">
        <v>0</v>
      </c>
      <c r="F119" s="71">
        <v>0</v>
      </c>
      <c r="G119" s="71">
        <v>0</v>
      </c>
      <c r="H119" s="71">
        <v>0</v>
      </c>
      <c r="I119" s="71">
        <v>0</v>
      </c>
      <c r="J119" s="71">
        <v>0</v>
      </c>
      <c r="K119" s="71">
        <v>0</v>
      </c>
      <c r="L119" s="71">
        <v>0</v>
      </c>
    </row>
    <row r="120" spans="1:12" x14ac:dyDescent="0.25">
      <c r="A120" s="53">
        <v>10482</v>
      </c>
      <c r="B120" s="38" t="s">
        <v>155</v>
      </c>
      <c r="C120" s="38" t="s">
        <v>156</v>
      </c>
      <c r="D120" s="37" t="s">
        <v>288</v>
      </c>
      <c r="E120" s="71">
        <v>0</v>
      </c>
      <c r="F120" s="71">
        <v>0</v>
      </c>
      <c r="G120" s="71">
        <v>0</v>
      </c>
      <c r="H120" s="71">
        <v>0</v>
      </c>
      <c r="I120" s="71">
        <v>0</v>
      </c>
      <c r="J120" s="71">
        <v>0</v>
      </c>
      <c r="K120" s="71">
        <v>0</v>
      </c>
      <c r="L120" s="71">
        <v>0</v>
      </c>
    </row>
    <row r="121" spans="1:12" x14ac:dyDescent="0.25">
      <c r="A121" s="53">
        <v>20005</v>
      </c>
      <c r="B121" s="38" t="s">
        <v>157</v>
      </c>
      <c r="C121" s="38" t="s">
        <v>158</v>
      </c>
      <c r="D121" s="37" t="s">
        <v>289</v>
      </c>
      <c r="E121" s="71">
        <v>0</v>
      </c>
      <c r="F121" s="71">
        <v>0</v>
      </c>
      <c r="G121" s="71">
        <v>0</v>
      </c>
      <c r="H121" s="71">
        <v>0</v>
      </c>
      <c r="I121" s="71">
        <v>0</v>
      </c>
      <c r="J121" s="71">
        <v>0</v>
      </c>
      <c r="K121" s="71">
        <v>0</v>
      </c>
      <c r="L121" s="71">
        <v>0</v>
      </c>
    </row>
    <row r="122" spans="1:12" x14ac:dyDescent="0.25">
      <c r="A122" s="53">
        <v>20062</v>
      </c>
      <c r="B122" s="38" t="s">
        <v>159</v>
      </c>
      <c r="C122" s="38" t="s">
        <v>445</v>
      </c>
      <c r="D122" s="37" t="s">
        <v>291</v>
      </c>
      <c r="E122" s="71">
        <v>0</v>
      </c>
      <c r="F122" s="71">
        <v>0</v>
      </c>
      <c r="G122" s="71">
        <v>0</v>
      </c>
      <c r="H122" s="71">
        <v>0</v>
      </c>
      <c r="I122" s="71">
        <v>0</v>
      </c>
      <c r="J122" s="71">
        <v>0</v>
      </c>
      <c r="K122" s="71">
        <v>0</v>
      </c>
      <c r="L122" s="71">
        <v>0</v>
      </c>
    </row>
    <row r="123" spans="1:12" x14ac:dyDescent="0.25">
      <c r="A123" s="53">
        <v>20007</v>
      </c>
      <c r="B123" s="38" t="s">
        <v>160</v>
      </c>
      <c r="C123" s="38" t="s">
        <v>446</v>
      </c>
      <c r="D123" s="37" t="s">
        <v>290</v>
      </c>
      <c r="E123" s="71">
        <v>0</v>
      </c>
      <c r="F123" s="71">
        <v>0</v>
      </c>
      <c r="G123" s="71">
        <v>0</v>
      </c>
      <c r="H123" s="71">
        <v>0</v>
      </c>
      <c r="I123" s="71">
        <v>0</v>
      </c>
      <c r="J123" s="71">
        <v>0</v>
      </c>
      <c r="K123" s="71">
        <v>0</v>
      </c>
      <c r="L123" s="71">
        <v>0</v>
      </c>
    </row>
    <row r="124" spans="1:12" x14ac:dyDescent="0.25">
      <c r="A124" s="53">
        <v>20066</v>
      </c>
      <c r="B124" s="38" t="s">
        <v>161</v>
      </c>
      <c r="C124" s="38" t="s">
        <v>162</v>
      </c>
      <c r="D124" s="37" t="s">
        <v>290</v>
      </c>
      <c r="E124" s="71">
        <v>0</v>
      </c>
      <c r="F124" s="71">
        <v>0</v>
      </c>
      <c r="G124" s="71">
        <v>0</v>
      </c>
      <c r="H124" s="71">
        <v>0</v>
      </c>
      <c r="I124" s="71">
        <v>0</v>
      </c>
      <c r="J124" s="71">
        <v>0</v>
      </c>
      <c r="K124" s="71">
        <v>0</v>
      </c>
      <c r="L124" s="71">
        <v>0</v>
      </c>
    </row>
    <row r="125" spans="1:12" x14ac:dyDescent="0.25">
      <c r="A125" s="53">
        <v>20011</v>
      </c>
      <c r="B125" s="38" t="s">
        <v>163</v>
      </c>
      <c r="C125" s="38" t="s">
        <v>164</v>
      </c>
      <c r="D125" s="37" t="s">
        <v>290</v>
      </c>
      <c r="E125" s="71">
        <v>0</v>
      </c>
      <c r="F125" s="71">
        <v>0</v>
      </c>
      <c r="G125" s="71">
        <v>0</v>
      </c>
      <c r="H125" s="71">
        <v>0</v>
      </c>
      <c r="I125" s="71">
        <v>0</v>
      </c>
      <c r="J125" s="71">
        <v>0</v>
      </c>
      <c r="K125" s="71">
        <v>0</v>
      </c>
      <c r="L125" s="71">
        <v>0</v>
      </c>
    </row>
    <row r="126" spans="1:12" x14ac:dyDescent="0.25">
      <c r="A126" s="53">
        <v>10401</v>
      </c>
      <c r="B126" s="38" t="s">
        <v>165</v>
      </c>
      <c r="C126" s="38" t="s">
        <v>166</v>
      </c>
      <c r="D126" s="37" t="s">
        <v>291</v>
      </c>
      <c r="E126" s="71">
        <v>0</v>
      </c>
      <c r="F126" s="71">
        <v>0</v>
      </c>
      <c r="G126" s="71">
        <v>0</v>
      </c>
      <c r="H126" s="71">
        <v>0</v>
      </c>
      <c r="I126" s="71">
        <v>0</v>
      </c>
      <c r="J126" s="71">
        <v>0</v>
      </c>
      <c r="K126" s="71">
        <v>0</v>
      </c>
      <c r="L126" s="71">
        <v>0</v>
      </c>
    </row>
    <row r="127" spans="1:12" x14ac:dyDescent="0.25">
      <c r="A127" s="53">
        <v>20060</v>
      </c>
      <c r="B127" s="38" t="s">
        <v>167</v>
      </c>
      <c r="C127" s="38" t="s">
        <v>170</v>
      </c>
      <c r="D127" s="37" t="s">
        <v>291</v>
      </c>
      <c r="E127" s="71">
        <v>0</v>
      </c>
      <c r="F127" s="71">
        <v>0</v>
      </c>
      <c r="G127" s="71">
        <v>0</v>
      </c>
      <c r="H127" s="71">
        <v>0</v>
      </c>
      <c r="I127" s="71">
        <v>0</v>
      </c>
      <c r="J127" s="71">
        <v>0</v>
      </c>
      <c r="K127" s="71">
        <v>0</v>
      </c>
      <c r="L127" s="71">
        <v>0</v>
      </c>
    </row>
    <row r="128" spans="1:12" x14ac:dyDescent="0.25">
      <c r="A128" s="53">
        <v>10382</v>
      </c>
      <c r="B128" s="38" t="s">
        <v>169</v>
      </c>
      <c r="C128" s="38" t="s">
        <v>658</v>
      </c>
      <c r="D128" s="37" t="s">
        <v>291</v>
      </c>
      <c r="E128" s="71">
        <v>0</v>
      </c>
      <c r="F128" s="71">
        <v>0</v>
      </c>
      <c r="G128" s="71">
        <v>0</v>
      </c>
      <c r="H128" s="71">
        <v>0</v>
      </c>
      <c r="I128" s="71">
        <v>0</v>
      </c>
      <c r="J128" s="71">
        <v>0</v>
      </c>
      <c r="K128" s="71">
        <v>0</v>
      </c>
      <c r="L128" s="71">
        <v>0</v>
      </c>
    </row>
    <row r="129" spans="1:12" x14ac:dyDescent="0.25">
      <c r="A129" s="53">
        <v>20064</v>
      </c>
      <c r="B129" s="38" t="s">
        <v>171</v>
      </c>
      <c r="C129" s="38" t="s">
        <v>170</v>
      </c>
      <c r="D129" s="37" t="s">
        <v>291</v>
      </c>
      <c r="E129" s="71">
        <v>0</v>
      </c>
      <c r="F129" s="71">
        <v>0</v>
      </c>
      <c r="G129" s="71">
        <v>0</v>
      </c>
      <c r="H129" s="71">
        <v>0</v>
      </c>
      <c r="I129" s="71">
        <v>0</v>
      </c>
      <c r="J129" s="71">
        <v>0</v>
      </c>
      <c r="K129" s="71">
        <v>0</v>
      </c>
      <c r="L129" s="71">
        <v>0</v>
      </c>
    </row>
    <row r="130" spans="1:12" x14ac:dyDescent="0.25">
      <c r="A130" s="53">
        <v>20057</v>
      </c>
      <c r="B130" s="38" t="s">
        <v>172</v>
      </c>
      <c r="C130" s="38" t="s">
        <v>658</v>
      </c>
      <c r="D130" s="37" t="s">
        <v>291</v>
      </c>
      <c r="E130" s="71">
        <v>0</v>
      </c>
      <c r="F130" s="71">
        <v>0</v>
      </c>
      <c r="G130" s="71">
        <v>0</v>
      </c>
      <c r="H130" s="71">
        <v>0</v>
      </c>
      <c r="I130" s="71">
        <v>0</v>
      </c>
      <c r="J130" s="71">
        <v>0</v>
      </c>
      <c r="K130" s="71">
        <v>0</v>
      </c>
      <c r="L130" s="71">
        <v>0</v>
      </c>
    </row>
    <row r="131" spans="1:12" x14ac:dyDescent="0.25">
      <c r="A131" s="53">
        <v>10506</v>
      </c>
      <c r="B131" s="38" t="s">
        <v>173</v>
      </c>
      <c r="C131" s="38" t="s">
        <v>170</v>
      </c>
      <c r="D131" s="37" t="s">
        <v>291</v>
      </c>
      <c r="E131" s="71">
        <v>0</v>
      </c>
      <c r="F131" s="71">
        <v>0</v>
      </c>
      <c r="G131" s="71">
        <v>0</v>
      </c>
      <c r="H131" s="71">
        <v>0</v>
      </c>
      <c r="I131" s="71">
        <v>0</v>
      </c>
      <c r="J131" s="71">
        <v>0</v>
      </c>
      <c r="K131" s="71">
        <v>0</v>
      </c>
      <c r="L131" s="71">
        <v>0</v>
      </c>
    </row>
    <row r="132" spans="1:12" x14ac:dyDescent="0.25">
      <c r="A132" s="53">
        <v>10508</v>
      </c>
      <c r="B132" s="38" t="s">
        <v>174</v>
      </c>
      <c r="C132" s="38" t="s">
        <v>168</v>
      </c>
      <c r="D132" s="37" t="s">
        <v>291</v>
      </c>
      <c r="E132" s="71">
        <v>0</v>
      </c>
      <c r="F132" s="71">
        <v>0</v>
      </c>
      <c r="G132" s="71">
        <v>0</v>
      </c>
      <c r="H132" s="71">
        <v>0</v>
      </c>
      <c r="I132" s="71">
        <v>0</v>
      </c>
      <c r="J132" s="71">
        <v>0</v>
      </c>
      <c r="K132" s="71">
        <v>0</v>
      </c>
      <c r="L132" s="71">
        <v>0</v>
      </c>
    </row>
    <row r="133" spans="1:12" x14ac:dyDescent="0.25">
      <c r="A133" s="53">
        <v>10454</v>
      </c>
      <c r="B133" s="38" t="s">
        <v>176</v>
      </c>
      <c r="C133" s="38" t="s">
        <v>69</v>
      </c>
      <c r="D133" s="37" t="s">
        <v>284</v>
      </c>
      <c r="E133" s="71">
        <v>0</v>
      </c>
      <c r="F133" s="71">
        <v>0</v>
      </c>
      <c r="G133" s="71">
        <v>0</v>
      </c>
      <c r="H133" s="71">
        <v>0</v>
      </c>
      <c r="I133" s="71">
        <v>0</v>
      </c>
      <c r="J133" s="71">
        <v>0</v>
      </c>
      <c r="K133" s="71">
        <v>0</v>
      </c>
      <c r="L133" s="71">
        <v>0</v>
      </c>
    </row>
    <row r="134" spans="1:12" x14ac:dyDescent="0.25">
      <c r="A134" s="53">
        <v>10461</v>
      </c>
      <c r="B134" s="38" t="s">
        <v>177</v>
      </c>
      <c r="C134" s="38" t="s">
        <v>69</v>
      </c>
      <c r="D134" s="37" t="s">
        <v>284</v>
      </c>
      <c r="E134" s="71">
        <v>0</v>
      </c>
      <c r="F134" s="71">
        <v>0</v>
      </c>
      <c r="G134" s="71">
        <v>0</v>
      </c>
      <c r="H134" s="71">
        <v>0</v>
      </c>
      <c r="I134" s="71">
        <v>0</v>
      </c>
      <c r="J134" s="71">
        <v>0</v>
      </c>
      <c r="K134" s="71">
        <v>0</v>
      </c>
      <c r="L134" s="71">
        <v>0</v>
      </c>
    </row>
    <row r="135" spans="1:12" x14ac:dyDescent="0.25">
      <c r="A135" s="53">
        <v>10366</v>
      </c>
      <c r="B135" s="38" t="s">
        <v>178</v>
      </c>
      <c r="C135" s="38" t="s">
        <v>69</v>
      </c>
      <c r="D135" s="37" t="s">
        <v>284</v>
      </c>
      <c r="E135" s="71">
        <v>0</v>
      </c>
      <c r="F135" s="71">
        <v>0</v>
      </c>
      <c r="G135" s="71">
        <v>0</v>
      </c>
      <c r="H135" s="71">
        <v>0</v>
      </c>
      <c r="I135" s="71">
        <v>0</v>
      </c>
      <c r="J135" s="71">
        <v>25000</v>
      </c>
      <c r="K135" s="71">
        <v>5000</v>
      </c>
      <c r="L135" s="71">
        <v>10000</v>
      </c>
    </row>
    <row r="136" spans="1:12" x14ac:dyDescent="0.25">
      <c r="A136" s="53">
        <v>10386</v>
      </c>
      <c r="B136" s="38" t="s">
        <v>179</v>
      </c>
      <c r="C136" s="38" t="s">
        <v>69</v>
      </c>
      <c r="D136" s="37" t="s">
        <v>284</v>
      </c>
      <c r="E136" s="71">
        <v>0</v>
      </c>
      <c r="F136" s="71">
        <v>0</v>
      </c>
      <c r="G136" s="71">
        <v>0</v>
      </c>
      <c r="H136" s="71">
        <v>0</v>
      </c>
      <c r="I136" s="71">
        <v>0</v>
      </c>
      <c r="J136" s="71">
        <v>0</v>
      </c>
      <c r="K136" s="71">
        <v>0</v>
      </c>
      <c r="L136" s="71">
        <v>0</v>
      </c>
    </row>
    <row r="137" spans="1:12" x14ac:dyDescent="0.25">
      <c r="A137" s="53">
        <v>20031</v>
      </c>
      <c r="B137" s="38" t="s">
        <v>180</v>
      </c>
      <c r="C137" s="38" t="s">
        <v>181</v>
      </c>
      <c r="D137" s="37" t="s">
        <v>284</v>
      </c>
      <c r="E137" s="71">
        <v>0</v>
      </c>
      <c r="F137" s="71">
        <v>0</v>
      </c>
      <c r="G137" s="71">
        <v>0</v>
      </c>
      <c r="H137" s="71">
        <v>0</v>
      </c>
      <c r="I137" s="71">
        <v>0</v>
      </c>
      <c r="J137" s="71">
        <v>0</v>
      </c>
      <c r="K137" s="71">
        <v>0</v>
      </c>
      <c r="L137" s="71">
        <v>0</v>
      </c>
    </row>
    <row r="138" spans="1:12" x14ac:dyDescent="0.25">
      <c r="A138" s="53">
        <v>50004</v>
      </c>
      <c r="B138" s="38" t="s">
        <v>182</v>
      </c>
      <c r="C138" s="38" t="s">
        <v>53</v>
      </c>
      <c r="D138" s="37" t="s">
        <v>275</v>
      </c>
      <c r="E138" s="71">
        <v>0</v>
      </c>
      <c r="F138" s="71">
        <v>0</v>
      </c>
      <c r="G138" s="71">
        <v>0</v>
      </c>
      <c r="H138" s="71">
        <v>0</v>
      </c>
      <c r="I138" s="71">
        <v>0</v>
      </c>
      <c r="J138" s="71">
        <v>0</v>
      </c>
      <c r="K138" s="71">
        <v>0</v>
      </c>
      <c r="L138" s="71">
        <v>0</v>
      </c>
    </row>
    <row r="139" spans="1:12" x14ac:dyDescent="0.25">
      <c r="A139" s="53">
        <v>10205</v>
      </c>
      <c r="B139" s="38" t="s">
        <v>183</v>
      </c>
      <c r="C139" s="38" t="s">
        <v>184</v>
      </c>
      <c r="D139" s="37" t="s">
        <v>287</v>
      </c>
      <c r="E139" s="71">
        <v>0</v>
      </c>
      <c r="F139" s="71">
        <v>0</v>
      </c>
      <c r="G139" s="71">
        <v>0</v>
      </c>
      <c r="H139" s="71">
        <v>0</v>
      </c>
      <c r="I139" s="71">
        <v>0</v>
      </c>
      <c r="J139" s="71">
        <v>0</v>
      </c>
      <c r="K139" s="71">
        <v>0</v>
      </c>
      <c r="L139" s="71">
        <v>0</v>
      </c>
    </row>
    <row r="140" spans="1:12" x14ac:dyDescent="0.25">
      <c r="A140" s="53">
        <v>10524</v>
      </c>
      <c r="B140" s="38" t="s">
        <v>186</v>
      </c>
      <c r="C140" s="38" t="s">
        <v>447</v>
      </c>
      <c r="D140" s="37" t="s">
        <v>287</v>
      </c>
      <c r="E140" s="71">
        <v>0</v>
      </c>
      <c r="F140" s="71">
        <v>0</v>
      </c>
      <c r="G140" s="71">
        <v>0</v>
      </c>
      <c r="H140" s="71">
        <v>0</v>
      </c>
      <c r="I140" s="71">
        <v>0</v>
      </c>
      <c r="J140" s="71">
        <v>0</v>
      </c>
      <c r="K140" s="71">
        <v>0</v>
      </c>
      <c r="L140" s="71">
        <v>0</v>
      </c>
    </row>
    <row r="141" spans="1:12" x14ac:dyDescent="0.25">
      <c r="A141" s="53">
        <v>10505</v>
      </c>
      <c r="B141" s="38" t="s">
        <v>187</v>
      </c>
      <c r="C141" s="38" t="s">
        <v>188</v>
      </c>
      <c r="D141" s="37" t="s">
        <v>287</v>
      </c>
      <c r="E141" s="71">
        <v>24166</v>
      </c>
      <c r="F141" s="71">
        <v>30166</v>
      </c>
      <c r="G141" s="71">
        <v>34166</v>
      </c>
      <c r="H141" s="71">
        <v>43999</v>
      </c>
      <c r="I141" s="71">
        <v>48275</v>
      </c>
      <c r="J141" s="71">
        <v>76450</v>
      </c>
      <c r="K141" s="71">
        <v>69525</v>
      </c>
      <c r="L141" s="71">
        <v>86150</v>
      </c>
    </row>
    <row r="142" spans="1:12" x14ac:dyDescent="0.25">
      <c r="A142" s="53">
        <v>10419</v>
      </c>
      <c r="B142" s="38" t="s">
        <v>189</v>
      </c>
      <c r="C142" s="38" t="s">
        <v>190</v>
      </c>
      <c r="D142" s="37" t="s">
        <v>287</v>
      </c>
      <c r="E142" s="71">
        <v>64492</v>
      </c>
      <c r="F142" s="71">
        <v>102597</v>
      </c>
      <c r="G142" s="71">
        <v>105335</v>
      </c>
      <c r="H142" s="71">
        <v>96811</v>
      </c>
      <c r="I142" s="71">
        <v>98191</v>
      </c>
      <c r="J142" s="71">
        <v>214013</v>
      </c>
      <c r="K142" s="71">
        <v>120292</v>
      </c>
      <c r="L142" s="71">
        <v>158489</v>
      </c>
    </row>
    <row r="143" spans="1:12" x14ac:dyDescent="0.25">
      <c r="A143" s="53">
        <v>10551</v>
      </c>
      <c r="B143" s="38" t="s">
        <v>325</v>
      </c>
      <c r="C143" s="38" t="s">
        <v>448</v>
      </c>
      <c r="D143" s="37" t="s">
        <v>291</v>
      </c>
      <c r="E143" s="71">
        <v>0</v>
      </c>
      <c r="F143" s="71">
        <v>0</v>
      </c>
      <c r="G143" s="71">
        <v>0</v>
      </c>
      <c r="H143" s="71">
        <v>0</v>
      </c>
      <c r="I143" s="71">
        <v>0</v>
      </c>
      <c r="J143" s="71">
        <v>0</v>
      </c>
      <c r="K143" s="71">
        <v>0</v>
      </c>
      <c r="L143" s="71">
        <v>0</v>
      </c>
    </row>
    <row r="144" spans="1:12" x14ac:dyDescent="0.25">
      <c r="A144" s="53">
        <v>10553</v>
      </c>
      <c r="B144" s="38" t="s">
        <v>326</v>
      </c>
      <c r="C144" s="38" t="s">
        <v>23</v>
      </c>
      <c r="D144" s="37" t="s">
        <v>279</v>
      </c>
      <c r="E144" s="71">
        <v>0</v>
      </c>
      <c r="F144" s="71">
        <v>0</v>
      </c>
      <c r="G144" s="71">
        <v>0</v>
      </c>
      <c r="H144" s="71">
        <v>2000</v>
      </c>
      <c r="I144" s="71">
        <v>0</v>
      </c>
      <c r="J144" s="71">
        <v>0</v>
      </c>
      <c r="K144" s="71">
        <v>0</v>
      </c>
      <c r="L144" s="71">
        <v>0</v>
      </c>
    </row>
    <row r="145" spans="1:12" x14ac:dyDescent="0.25">
      <c r="A145" s="53">
        <v>10554</v>
      </c>
      <c r="B145" s="38" t="s">
        <v>327</v>
      </c>
      <c r="C145" s="38" t="s">
        <v>23</v>
      </c>
      <c r="D145" s="37" t="s">
        <v>279</v>
      </c>
      <c r="E145" s="71">
        <v>5000</v>
      </c>
      <c r="F145" s="71">
        <v>2000</v>
      </c>
      <c r="G145" s="71">
        <v>5000</v>
      </c>
      <c r="H145" s="71">
        <v>0</v>
      </c>
      <c r="I145" s="71">
        <v>5000</v>
      </c>
      <c r="J145" s="71">
        <v>5000</v>
      </c>
      <c r="K145" s="71">
        <v>0</v>
      </c>
      <c r="L145" s="71">
        <v>0</v>
      </c>
    </row>
    <row r="146" spans="1:12" x14ac:dyDescent="0.25">
      <c r="A146" s="53">
        <v>10558</v>
      </c>
      <c r="B146" s="38" t="s">
        <v>355</v>
      </c>
      <c r="C146" s="38" t="s">
        <v>331</v>
      </c>
      <c r="D146" s="37" t="s">
        <v>332</v>
      </c>
      <c r="E146" s="71">
        <v>0</v>
      </c>
      <c r="F146" s="71">
        <v>0</v>
      </c>
      <c r="G146" s="71">
        <v>29740</v>
      </c>
      <c r="H146" s="71">
        <v>3214</v>
      </c>
      <c r="I146" s="71">
        <v>17000</v>
      </c>
      <c r="J146" s="71">
        <v>0</v>
      </c>
      <c r="K146" s="71">
        <v>3344</v>
      </c>
      <c r="L146" s="71">
        <v>0</v>
      </c>
    </row>
    <row r="147" spans="1:12" x14ac:dyDescent="0.25">
      <c r="A147" s="53">
        <v>10561</v>
      </c>
      <c r="B147" s="38" t="s">
        <v>335</v>
      </c>
      <c r="C147" s="38" t="s">
        <v>320</v>
      </c>
      <c r="D147" s="37" t="s">
        <v>278</v>
      </c>
      <c r="E147" s="71">
        <v>0</v>
      </c>
      <c r="F147" s="71">
        <v>0</v>
      </c>
      <c r="G147" s="71">
        <v>0</v>
      </c>
      <c r="H147" s="71">
        <v>0</v>
      </c>
      <c r="I147" s="71">
        <v>0</v>
      </c>
      <c r="J147" s="71">
        <v>0</v>
      </c>
      <c r="K147" s="71">
        <v>0</v>
      </c>
      <c r="L147" s="71">
        <v>0</v>
      </c>
    </row>
    <row r="148" spans="1:12" x14ac:dyDescent="0.25">
      <c r="A148" s="53">
        <v>10562</v>
      </c>
      <c r="B148" s="38" t="s">
        <v>394</v>
      </c>
      <c r="C148" s="38" t="s">
        <v>102</v>
      </c>
      <c r="D148" s="37" t="s">
        <v>286</v>
      </c>
      <c r="E148" s="71">
        <v>25947</v>
      </c>
      <c r="F148" s="71">
        <v>24221</v>
      </c>
      <c r="G148" s="71">
        <v>54688</v>
      </c>
      <c r="H148" s="71">
        <v>57023</v>
      </c>
      <c r="I148" s="71">
        <v>55587</v>
      </c>
      <c r="J148" s="71">
        <v>28668</v>
      </c>
      <c r="K148" s="71">
        <v>30357</v>
      </c>
      <c r="L148" s="71">
        <v>27814</v>
      </c>
    </row>
    <row r="149" spans="1:12" x14ac:dyDescent="0.25">
      <c r="A149" s="53">
        <v>10567</v>
      </c>
      <c r="B149" s="38" t="s">
        <v>336</v>
      </c>
      <c r="C149" s="38" t="s">
        <v>337</v>
      </c>
      <c r="D149" s="37" t="s">
        <v>281</v>
      </c>
      <c r="E149" s="71">
        <v>23428</v>
      </c>
      <c r="F149" s="71">
        <v>25482</v>
      </c>
      <c r="G149" s="71">
        <v>25210</v>
      </c>
      <c r="H149" s="71">
        <v>26417</v>
      </c>
      <c r="I149" s="71">
        <v>25142</v>
      </c>
      <c r="J149" s="71">
        <v>26421</v>
      </c>
      <c r="K149" s="71">
        <v>27209</v>
      </c>
      <c r="L149" s="71">
        <v>26841</v>
      </c>
    </row>
    <row r="150" spans="1:12" x14ac:dyDescent="0.25">
      <c r="A150" s="53">
        <v>10569</v>
      </c>
      <c r="B150" s="38" t="s">
        <v>339</v>
      </c>
      <c r="C150" s="38" t="s">
        <v>337</v>
      </c>
      <c r="D150" s="37" t="s">
        <v>281</v>
      </c>
      <c r="E150" s="71">
        <v>27090</v>
      </c>
      <c r="F150" s="71">
        <v>25104</v>
      </c>
      <c r="G150" s="71">
        <v>25934</v>
      </c>
      <c r="H150" s="71">
        <v>52878</v>
      </c>
      <c r="I150" s="71">
        <v>52887</v>
      </c>
      <c r="J150" s="71">
        <v>52161</v>
      </c>
      <c r="K150" s="71">
        <v>24630</v>
      </c>
      <c r="L150" s="71">
        <v>0</v>
      </c>
    </row>
    <row r="151" spans="1:12" x14ac:dyDescent="0.25">
      <c r="A151" s="53">
        <v>10570</v>
      </c>
      <c r="B151" s="38" t="s">
        <v>340</v>
      </c>
      <c r="C151" s="38" t="s">
        <v>150</v>
      </c>
      <c r="D151" s="37" t="s">
        <v>280</v>
      </c>
      <c r="E151" s="71">
        <v>0</v>
      </c>
      <c r="F151" s="71">
        <v>0</v>
      </c>
      <c r="G151" s="71">
        <v>0</v>
      </c>
      <c r="H151" s="71">
        <v>0</v>
      </c>
      <c r="I151" s="71">
        <v>0</v>
      </c>
      <c r="J151" s="71">
        <v>0</v>
      </c>
      <c r="K151" s="71">
        <v>0</v>
      </c>
      <c r="L151" s="71">
        <v>0</v>
      </c>
    </row>
    <row r="152" spans="1:12" x14ac:dyDescent="0.25">
      <c r="A152" s="53">
        <v>10571</v>
      </c>
      <c r="B152" s="38" t="s">
        <v>185</v>
      </c>
      <c r="C152" s="38" t="s">
        <v>337</v>
      </c>
      <c r="D152" s="37" t="s">
        <v>281</v>
      </c>
      <c r="E152" s="71">
        <v>26243</v>
      </c>
      <c r="F152" s="71">
        <v>31424</v>
      </c>
      <c r="G152" s="71">
        <v>56293</v>
      </c>
      <c r="H152" s="71">
        <v>32448</v>
      </c>
      <c r="I152" s="71">
        <v>28795</v>
      </c>
      <c r="J152" s="71">
        <v>28659</v>
      </c>
      <c r="K152" s="71">
        <v>51943</v>
      </c>
      <c r="L152" s="71">
        <v>30500</v>
      </c>
    </row>
    <row r="153" spans="1:12" x14ac:dyDescent="0.25">
      <c r="A153" s="53">
        <v>10572</v>
      </c>
      <c r="B153" s="38" t="s">
        <v>413</v>
      </c>
      <c r="C153" s="38" t="s">
        <v>23</v>
      </c>
      <c r="D153" s="37" t="s">
        <v>279</v>
      </c>
      <c r="E153" s="71">
        <v>0</v>
      </c>
      <c r="F153" s="71">
        <v>0</v>
      </c>
      <c r="G153" s="71">
        <v>0</v>
      </c>
      <c r="H153" s="71">
        <v>0</v>
      </c>
      <c r="I153" s="71">
        <v>0</v>
      </c>
      <c r="J153" s="71">
        <v>0</v>
      </c>
      <c r="K153" s="71">
        <v>0</v>
      </c>
      <c r="L153" s="71">
        <v>0</v>
      </c>
    </row>
    <row r="154" spans="1:12" x14ac:dyDescent="0.25">
      <c r="A154" s="53">
        <v>10573</v>
      </c>
      <c r="B154" s="38" t="s">
        <v>341</v>
      </c>
      <c r="C154" s="38" t="s">
        <v>342</v>
      </c>
      <c r="D154" s="37" t="s">
        <v>287</v>
      </c>
      <c r="E154" s="71">
        <v>26332</v>
      </c>
      <c r="F154" s="71">
        <v>27332</v>
      </c>
      <c r="G154" s="71">
        <v>22000</v>
      </c>
      <c r="H154" s="71">
        <v>27165</v>
      </c>
      <c r="I154" s="71">
        <v>26570</v>
      </c>
      <c r="J154" s="71">
        <v>41900</v>
      </c>
      <c r="K154" s="71">
        <v>23255</v>
      </c>
      <c r="L154" s="71">
        <v>29700</v>
      </c>
    </row>
    <row r="155" spans="1:12" x14ac:dyDescent="0.25">
      <c r="A155" s="53">
        <v>10574</v>
      </c>
      <c r="B155" s="38" t="s">
        <v>414</v>
      </c>
      <c r="C155" s="38" t="s">
        <v>23</v>
      </c>
      <c r="D155" s="37" t="s">
        <v>279</v>
      </c>
      <c r="E155" s="71">
        <v>0</v>
      </c>
      <c r="F155" s="71">
        <v>0</v>
      </c>
      <c r="G155" s="71">
        <v>0</v>
      </c>
      <c r="H155" s="71">
        <v>0</v>
      </c>
      <c r="I155" s="71">
        <v>0</v>
      </c>
      <c r="J155" s="71">
        <v>0</v>
      </c>
      <c r="K155" s="71">
        <v>0</v>
      </c>
      <c r="L155" s="71">
        <v>0</v>
      </c>
    </row>
    <row r="156" spans="1:12" x14ac:dyDescent="0.25">
      <c r="A156" s="53">
        <v>10576</v>
      </c>
      <c r="B156" s="38" t="s">
        <v>344</v>
      </c>
      <c r="C156" s="38" t="s">
        <v>347</v>
      </c>
      <c r="D156" s="37" t="s">
        <v>284</v>
      </c>
      <c r="E156" s="71">
        <v>0</v>
      </c>
      <c r="F156" s="71">
        <v>0</v>
      </c>
      <c r="G156" s="71">
        <v>0</v>
      </c>
      <c r="H156" s="71">
        <v>0</v>
      </c>
      <c r="I156" s="71">
        <v>0</v>
      </c>
      <c r="J156" s="71">
        <v>0</v>
      </c>
      <c r="K156" s="71">
        <v>0</v>
      </c>
      <c r="L156" s="71">
        <v>0</v>
      </c>
    </row>
    <row r="157" spans="1:12" x14ac:dyDescent="0.25">
      <c r="A157" s="53">
        <v>10577</v>
      </c>
      <c r="B157" s="38" t="s">
        <v>345</v>
      </c>
      <c r="C157" s="38" t="s">
        <v>69</v>
      </c>
      <c r="D157" s="37" t="s">
        <v>284</v>
      </c>
      <c r="E157" s="71">
        <v>0</v>
      </c>
      <c r="F157" s="71">
        <v>0</v>
      </c>
      <c r="G157" s="71">
        <v>0</v>
      </c>
      <c r="H157" s="71">
        <v>0</v>
      </c>
      <c r="I157" s="71">
        <v>0</v>
      </c>
      <c r="J157" s="71">
        <v>0</v>
      </c>
      <c r="K157" s="71">
        <v>0</v>
      </c>
      <c r="L157" s="71">
        <v>0</v>
      </c>
    </row>
    <row r="158" spans="1:12" x14ac:dyDescent="0.25">
      <c r="A158" s="53">
        <v>10583</v>
      </c>
      <c r="B158" s="38" t="s">
        <v>346</v>
      </c>
      <c r="C158" s="38" t="s">
        <v>23</v>
      </c>
      <c r="D158" s="37" t="s">
        <v>279</v>
      </c>
      <c r="E158" s="71">
        <v>0</v>
      </c>
      <c r="F158" s="71">
        <v>0</v>
      </c>
      <c r="G158" s="71">
        <v>0</v>
      </c>
      <c r="H158" s="71">
        <v>0</v>
      </c>
      <c r="I158" s="71">
        <v>0</v>
      </c>
      <c r="J158" s="71">
        <v>0</v>
      </c>
      <c r="K158" s="71">
        <v>0</v>
      </c>
      <c r="L158" s="71">
        <v>0</v>
      </c>
    </row>
    <row r="159" spans="1:12" x14ac:dyDescent="0.25">
      <c r="A159" s="53">
        <v>10585</v>
      </c>
      <c r="B159" s="38" t="s">
        <v>367</v>
      </c>
      <c r="C159" s="38" t="s">
        <v>69</v>
      </c>
      <c r="D159" s="37" t="s">
        <v>284</v>
      </c>
      <c r="E159" s="71">
        <v>0</v>
      </c>
      <c r="F159" s="71">
        <v>0</v>
      </c>
      <c r="G159" s="71">
        <v>0</v>
      </c>
      <c r="H159" s="71">
        <v>0</v>
      </c>
      <c r="I159" s="71">
        <v>0</v>
      </c>
      <c r="J159" s="71">
        <v>0</v>
      </c>
      <c r="K159" s="71">
        <v>0</v>
      </c>
      <c r="L159" s="71">
        <v>0</v>
      </c>
    </row>
    <row r="160" spans="1:12" x14ac:dyDescent="0.25">
      <c r="A160" s="53">
        <v>10587</v>
      </c>
      <c r="B160" s="38" t="s">
        <v>368</v>
      </c>
      <c r="C160" s="38" t="s">
        <v>369</v>
      </c>
      <c r="D160" s="37" t="s">
        <v>287</v>
      </c>
      <c r="E160" s="71">
        <v>21167</v>
      </c>
      <c r="F160" s="71">
        <v>44665</v>
      </c>
      <c r="G160" s="71">
        <v>38499</v>
      </c>
      <c r="H160" s="71">
        <v>47499</v>
      </c>
      <c r="I160" s="71">
        <v>65000</v>
      </c>
      <c r="J160" s="71">
        <v>55650</v>
      </c>
      <c r="K160" s="71">
        <v>74277</v>
      </c>
      <c r="L160" s="71">
        <v>140400</v>
      </c>
    </row>
    <row r="161" spans="1:12" x14ac:dyDescent="0.25">
      <c r="A161" s="53">
        <v>10590</v>
      </c>
      <c r="B161" s="38" t="s">
        <v>372</v>
      </c>
      <c r="C161" s="38" t="s">
        <v>337</v>
      </c>
      <c r="D161" s="37" t="s">
        <v>286</v>
      </c>
      <c r="E161" s="71">
        <v>0</v>
      </c>
      <c r="F161" s="71">
        <v>24270</v>
      </c>
      <c r="G161" s="71">
        <v>27441</v>
      </c>
      <c r="H161" s="71">
        <v>25606</v>
      </c>
      <c r="I161" s="71">
        <v>26000</v>
      </c>
      <c r="J161" s="71">
        <v>26704</v>
      </c>
      <c r="K161" s="71">
        <v>0</v>
      </c>
      <c r="L161" s="71">
        <v>24785</v>
      </c>
    </row>
    <row r="162" spans="1:12" x14ac:dyDescent="0.25">
      <c r="A162" s="53">
        <v>10591</v>
      </c>
      <c r="B162" s="38" t="s">
        <v>140</v>
      </c>
      <c r="C162" s="38" t="s">
        <v>69</v>
      </c>
      <c r="D162" s="37" t="s">
        <v>284</v>
      </c>
      <c r="E162" s="71">
        <v>0</v>
      </c>
      <c r="F162" s="71">
        <v>0</v>
      </c>
      <c r="G162" s="71">
        <v>0</v>
      </c>
      <c r="H162" s="71">
        <v>0</v>
      </c>
      <c r="I162" s="71">
        <v>0</v>
      </c>
      <c r="J162" s="71">
        <v>0</v>
      </c>
      <c r="K162" s="71">
        <v>0</v>
      </c>
      <c r="L162" s="71">
        <v>0</v>
      </c>
    </row>
    <row r="163" spans="1:12" x14ac:dyDescent="0.25">
      <c r="A163" s="53">
        <v>10597</v>
      </c>
      <c r="B163" s="38" t="s">
        <v>373</v>
      </c>
      <c r="C163" s="38" t="s">
        <v>342</v>
      </c>
      <c r="D163" s="37" t="s">
        <v>287</v>
      </c>
      <c r="E163" s="71">
        <v>22500</v>
      </c>
      <c r="F163" s="71">
        <v>28999</v>
      </c>
      <c r="G163" s="71">
        <v>14700</v>
      </c>
      <c r="H163" s="71">
        <v>30166</v>
      </c>
      <c r="I163" s="71">
        <v>23775</v>
      </c>
      <c r="J163" s="71">
        <v>23945</v>
      </c>
      <c r="K163" s="71">
        <v>24325</v>
      </c>
      <c r="L163" s="71">
        <v>17780</v>
      </c>
    </row>
    <row r="164" spans="1:12" x14ac:dyDescent="0.25">
      <c r="A164" s="53">
        <v>10598</v>
      </c>
      <c r="B164" s="38" t="s">
        <v>374</v>
      </c>
      <c r="C164" s="38" t="s">
        <v>337</v>
      </c>
      <c r="D164" s="37" t="s">
        <v>286</v>
      </c>
      <c r="E164" s="71">
        <v>27216</v>
      </c>
      <c r="F164" s="71">
        <v>0</v>
      </c>
      <c r="G164" s="71">
        <v>26375</v>
      </c>
      <c r="H164" s="71">
        <v>27093</v>
      </c>
      <c r="I164" s="71">
        <v>0</v>
      </c>
      <c r="J164" s="71">
        <v>0</v>
      </c>
      <c r="K164" s="71">
        <v>0</v>
      </c>
      <c r="L164" s="71">
        <v>0</v>
      </c>
    </row>
    <row r="165" spans="1:12" x14ac:dyDescent="0.25">
      <c r="A165" s="53">
        <v>10599</v>
      </c>
      <c r="B165" s="38" t="s">
        <v>375</v>
      </c>
      <c r="C165" s="38" t="s">
        <v>23</v>
      </c>
      <c r="D165" s="37" t="s">
        <v>279</v>
      </c>
      <c r="E165" s="71">
        <v>0</v>
      </c>
      <c r="F165" s="71">
        <v>0</v>
      </c>
      <c r="G165" s="71">
        <v>0</v>
      </c>
      <c r="H165" s="71">
        <v>0</v>
      </c>
      <c r="I165" s="71">
        <v>0</v>
      </c>
      <c r="J165" s="71">
        <v>0</v>
      </c>
      <c r="K165" s="71">
        <v>0</v>
      </c>
      <c r="L165" s="71">
        <v>0</v>
      </c>
    </row>
    <row r="166" spans="1:12" x14ac:dyDescent="0.25">
      <c r="A166" s="53">
        <v>10602</v>
      </c>
      <c r="B166" s="38" t="s">
        <v>415</v>
      </c>
      <c r="C166" s="38" t="s">
        <v>337</v>
      </c>
      <c r="D166" s="37" t="s">
        <v>281</v>
      </c>
      <c r="E166" s="71">
        <v>52028</v>
      </c>
      <c r="F166" s="71">
        <v>85943</v>
      </c>
      <c r="G166" s="71">
        <v>57258</v>
      </c>
      <c r="H166" s="71">
        <v>35416</v>
      </c>
      <c r="I166" s="71">
        <v>29749</v>
      </c>
      <c r="J166" s="71">
        <v>27326</v>
      </c>
      <c r="K166" s="71">
        <v>24904</v>
      </c>
      <c r="L166" s="71">
        <v>24845</v>
      </c>
    </row>
    <row r="167" spans="1:12" x14ac:dyDescent="0.25">
      <c r="A167" s="53">
        <v>10603</v>
      </c>
      <c r="B167" s="38" t="s">
        <v>354</v>
      </c>
      <c r="C167" s="38" t="s">
        <v>381</v>
      </c>
      <c r="D167" s="37" t="s">
        <v>290</v>
      </c>
      <c r="E167" s="71">
        <v>0</v>
      </c>
      <c r="F167" s="71">
        <v>0</v>
      </c>
      <c r="G167" s="71">
        <v>0</v>
      </c>
      <c r="H167" s="71">
        <v>0</v>
      </c>
      <c r="I167" s="71">
        <v>0</v>
      </c>
      <c r="J167" s="71">
        <v>0</v>
      </c>
      <c r="K167" s="71">
        <v>0</v>
      </c>
      <c r="L167" s="71">
        <v>0</v>
      </c>
    </row>
    <row r="168" spans="1:12" x14ac:dyDescent="0.25">
      <c r="A168" s="53">
        <v>10604</v>
      </c>
      <c r="B168" s="38" t="s">
        <v>380</v>
      </c>
      <c r="C168" s="38" t="s">
        <v>23</v>
      </c>
      <c r="D168" s="37" t="s">
        <v>279</v>
      </c>
      <c r="E168" s="71">
        <v>0</v>
      </c>
      <c r="F168" s="71">
        <v>0</v>
      </c>
      <c r="G168" s="71">
        <v>0</v>
      </c>
      <c r="H168" s="71">
        <v>0</v>
      </c>
      <c r="I168" s="71">
        <v>0</v>
      </c>
      <c r="J168" s="71">
        <v>0</v>
      </c>
      <c r="K168" s="71">
        <v>0</v>
      </c>
      <c r="L168" s="71">
        <v>0</v>
      </c>
    </row>
    <row r="169" spans="1:12" x14ac:dyDescent="0.25">
      <c r="A169" s="55">
        <v>10605</v>
      </c>
      <c r="B169" s="65" t="s">
        <v>382</v>
      </c>
      <c r="C169" s="65" t="s">
        <v>342</v>
      </c>
      <c r="D169" s="58" t="s">
        <v>287</v>
      </c>
      <c r="E169" s="71">
        <v>11783</v>
      </c>
      <c r="F169" s="71">
        <v>23666</v>
      </c>
      <c r="G169" s="71">
        <v>26499</v>
      </c>
      <c r="H169" s="71">
        <v>32832</v>
      </c>
      <c r="I169" s="71">
        <v>29040</v>
      </c>
      <c r="J169" s="71">
        <v>41700</v>
      </c>
      <c r="K169" s="71">
        <v>30200</v>
      </c>
      <c r="L169" s="71">
        <v>36900</v>
      </c>
    </row>
    <row r="170" spans="1:12" x14ac:dyDescent="0.25">
      <c r="A170" s="53">
        <v>10606</v>
      </c>
      <c r="B170" s="38" t="s">
        <v>383</v>
      </c>
      <c r="C170" s="38" t="s">
        <v>337</v>
      </c>
      <c r="D170" s="37" t="s">
        <v>286</v>
      </c>
      <c r="E170" s="71">
        <v>96625</v>
      </c>
      <c r="F170" s="71">
        <v>132378</v>
      </c>
      <c r="G170" s="71">
        <v>59314</v>
      </c>
      <c r="H170" s="71">
        <v>26548</v>
      </c>
      <c r="I170" s="71">
        <v>95866</v>
      </c>
      <c r="J170" s="71">
        <v>57977</v>
      </c>
      <c r="K170" s="71">
        <v>90276</v>
      </c>
      <c r="L170" s="71">
        <v>58291</v>
      </c>
    </row>
    <row r="171" spans="1:12" x14ac:dyDescent="0.25">
      <c r="A171" s="53">
        <v>10607</v>
      </c>
      <c r="B171" s="38" t="s">
        <v>384</v>
      </c>
      <c r="C171" s="38" t="s">
        <v>347</v>
      </c>
      <c r="D171" s="37" t="s">
        <v>278</v>
      </c>
      <c r="E171" s="71">
        <v>0</v>
      </c>
      <c r="F171" s="71">
        <v>0</v>
      </c>
      <c r="G171" s="71">
        <v>0</v>
      </c>
      <c r="H171" s="71">
        <v>0</v>
      </c>
      <c r="I171" s="71">
        <v>0</v>
      </c>
      <c r="J171" s="71">
        <v>0</v>
      </c>
      <c r="K171" s="71">
        <v>0</v>
      </c>
      <c r="L171" s="71">
        <v>0</v>
      </c>
    </row>
    <row r="172" spans="1:12" x14ac:dyDescent="0.25">
      <c r="A172" s="53">
        <v>10608</v>
      </c>
      <c r="B172" s="38" t="s">
        <v>385</v>
      </c>
      <c r="C172" s="38" t="s">
        <v>392</v>
      </c>
      <c r="D172" s="37" t="s">
        <v>282</v>
      </c>
      <c r="E172" s="71">
        <v>0</v>
      </c>
      <c r="F172" s="71">
        <v>0</v>
      </c>
      <c r="G172" s="71">
        <v>0</v>
      </c>
      <c r="H172" s="71">
        <v>0</v>
      </c>
      <c r="I172" s="71">
        <v>0</v>
      </c>
      <c r="J172" s="71">
        <v>0</v>
      </c>
      <c r="K172" s="71">
        <v>0</v>
      </c>
      <c r="L172" s="71">
        <v>0</v>
      </c>
    </row>
    <row r="173" spans="1:12" x14ac:dyDescent="0.25">
      <c r="A173" s="53">
        <v>10609</v>
      </c>
      <c r="B173" s="38" t="s">
        <v>386</v>
      </c>
      <c r="C173" s="38" t="s">
        <v>393</v>
      </c>
      <c r="D173" s="37" t="s">
        <v>287</v>
      </c>
      <c r="E173" s="71">
        <v>0</v>
      </c>
      <c r="F173" s="71">
        <v>0</v>
      </c>
      <c r="G173" s="71">
        <v>0</v>
      </c>
      <c r="H173" s="71">
        <v>0</v>
      </c>
      <c r="I173" s="71">
        <v>0</v>
      </c>
      <c r="J173" s="71">
        <v>0</v>
      </c>
      <c r="K173" s="71">
        <v>0</v>
      </c>
      <c r="L173" s="71">
        <v>0</v>
      </c>
    </row>
    <row r="174" spans="1:12" x14ac:dyDescent="0.25">
      <c r="A174" s="53">
        <v>10610</v>
      </c>
      <c r="B174" s="38" t="s">
        <v>161</v>
      </c>
      <c r="C174" s="38" t="s">
        <v>370</v>
      </c>
      <c r="D174" s="37" t="s">
        <v>276</v>
      </c>
      <c r="E174" s="71">
        <v>0</v>
      </c>
      <c r="F174" s="71">
        <v>0</v>
      </c>
      <c r="G174" s="71">
        <v>0</v>
      </c>
      <c r="H174" s="71">
        <v>0</v>
      </c>
      <c r="I174" s="71">
        <v>0</v>
      </c>
      <c r="J174" s="71">
        <v>0</v>
      </c>
      <c r="K174" s="71">
        <v>0</v>
      </c>
      <c r="L174" s="71">
        <v>0</v>
      </c>
    </row>
    <row r="175" spans="1:12" x14ac:dyDescent="0.25">
      <c r="A175" s="53">
        <v>10612</v>
      </c>
      <c r="B175" s="38" t="s">
        <v>388</v>
      </c>
      <c r="C175" s="38" t="s">
        <v>53</v>
      </c>
      <c r="D175" s="37" t="s">
        <v>275</v>
      </c>
      <c r="E175" s="71">
        <v>0</v>
      </c>
      <c r="F175" s="71">
        <v>0</v>
      </c>
      <c r="G175" s="71">
        <v>0</v>
      </c>
      <c r="H175" s="71">
        <v>0</v>
      </c>
      <c r="I175" s="71">
        <v>0</v>
      </c>
      <c r="J175" s="71">
        <v>0</v>
      </c>
      <c r="K175" s="71">
        <v>0</v>
      </c>
      <c r="L175" s="71">
        <v>0</v>
      </c>
    </row>
    <row r="176" spans="1:12" x14ac:dyDescent="0.25">
      <c r="A176" s="53">
        <v>10617</v>
      </c>
      <c r="B176" s="38" t="s">
        <v>390</v>
      </c>
      <c r="C176" s="38" t="s">
        <v>348</v>
      </c>
      <c r="D176" s="37" t="s">
        <v>391</v>
      </c>
      <c r="E176" s="71">
        <v>0</v>
      </c>
      <c r="F176" s="71">
        <v>0</v>
      </c>
      <c r="G176" s="71">
        <v>0</v>
      </c>
      <c r="H176" s="71">
        <v>0</v>
      </c>
      <c r="I176" s="71">
        <v>0</v>
      </c>
      <c r="J176" s="71">
        <v>0</v>
      </c>
      <c r="K176" s="71">
        <v>0</v>
      </c>
      <c r="L176" s="71">
        <v>0</v>
      </c>
    </row>
    <row r="177" spans="1:12" x14ac:dyDescent="0.25">
      <c r="A177" s="53">
        <v>10618</v>
      </c>
      <c r="B177" s="38" t="s">
        <v>416</v>
      </c>
      <c r="C177" s="38" t="s">
        <v>41</v>
      </c>
      <c r="D177" s="37" t="s">
        <v>282</v>
      </c>
      <c r="E177" s="71">
        <v>0</v>
      </c>
      <c r="F177" s="71">
        <v>0</v>
      </c>
      <c r="G177" s="71">
        <v>0</v>
      </c>
      <c r="H177" s="71">
        <v>0</v>
      </c>
      <c r="I177" s="71">
        <v>0</v>
      </c>
      <c r="J177" s="71">
        <v>0</v>
      </c>
      <c r="K177" s="71">
        <v>0</v>
      </c>
      <c r="L177" s="71">
        <v>0</v>
      </c>
    </row>
    <row r="178" spans="1:12" x14ac:dyDescent="0.25">
      <c r="A178" s="53">
        <v>10619</v>
      </c>
      <c r="B178" s="38" t="s">
        <v>396</v>
      </c>
      <c r="C178" s="38" t="s">
        <v>449</v>
      </c>
      <c r="D178" s="37" t="s">
        <v>409</v>
      </c>
      <c r="E178" s="71">
        <v>0</v>
      </c>
      <c r="F178" s="71">
        <v>0</v>
      </c>
      <c r="G178" s="71">
        <v>0</v>
      </c>
      <c r="H178" s="71">
        <v>0</v>
      </c>
      <c r="I178" s="71">
        <v>0</v>
      </c>
      <c r="J178" s="71">
        <v>0</v>
      </c>
      <c r="K178" s="71">
        <v>0</v>
      </c>
      <c r="L178" s="71">
        <v>0</v>
      </c>
    </row>
    <row r="179" spans="1:12" x14ac:dyDescent="0.25">
      <c r="A179" s="53">
        <v>10620</v>
      </c>
      <c r="B179" s="38" t="s">
        <v>123</v>
      </c>
      <c r="C179" s="38" t="s">
        <v>23</v>
      </c>
      <c r="D179" s="37" t="s">
        <v>279</v>
      </c>
      <c r="E179" s="71">
        <v>0</v>
      </c>
      <c r="F179" s="71">
        <v>0</v>
      </c>
      <c r="G179" s="71">
        <v>0</v>
      </c>
      <c r="H179" s="71">
        <v>0</v>
      </c>
      <c r="I179" s="71">
        <v>0</v>
      </c>
      <c r="J179" s="71">
        <v>0</v>
      </c>
      <c r="K179" s="71">
        <v>0</v>
      </c>
      <c r="L179" s="71">
        <v>0</v>
      </c>
    </row>
    <row r="180" spans="1:12" x14ac:dyDescent="0.25">
      <c r="A180" s="53">
        <v>10621</v>
      </c>
      <c r="B180" s="38" t="s">
        <v>417</v>
      </c>
      <c r="C180" s="38" t="s">
        <v>55</v>
      </c>
      <c r="D180" s="37" t="s">
        <v>410</v>
      </c>
      <c r="E180" s="71">
        <v>0</v>
      </c>
      <c r="F180" s="71">
        <v>0</v>
      </c>
      <c r="G180" s="71">
        <v>0</v>
      </c>
      <c r="H180" s="71">
        <v>0</v>
      </c>
      <c r="I180" s="71">
        <v>0</v>
      </c>
      <c r="J180" s="71">
        <v>0</v>
      </c>
      <c r="K180" s="71">
        <v>0</v>
      </c>
      <c r="L180" s="71">
        <v>0</v>
      </c>
    </row>
    <row r="181" spans="1:12" x14ac:dyDescent="0.25">
      <c r="A181" s="53">
        <v>10622</v>
      </c>
      <c r="B181" s="38" t="s">
        <v>397</v>
      </c>
      <c r="C181" s="38" t="s">
        <v>55</v>
      </c>
      <c r="D181" s="37" t="s">
        <v>275</v>
      </c>
      <c r="E181" s="71">
        <v>0</v>
      </c>
      <c r="F181" s="71">
        <v>0</v>
      </c>
      <c r="G181" s="71">
        <v>0</v>
      </c>
      <c r="H181" s="71">
        <v>0</v>
      </c>
      <c r="I181" s="71">
        <v>0</v>
      </c>
      <c r="J181" s="71">
        <v>0</v>
      </c>
      <c r="K181" s="71">
        <v>0</v>
      </c>
      <c r="L181" s="71">
        <v>0</v>
      </c>
    </row>
    <row r="182" spans="1:12" x14ac:dyDescent="0.25">
      <c r="A182" s="53">
        <v>10623</v>
      </c>
      <c r="B182" s="38" t="s">
        <v>418</v>
      </c>
      <c r="C182" s="38" t="s">
        <v>398</v>
      </c>
      <c r="D182" s="37" t="s">
        <v>280</v>
      </c>
      <c r="E182" s="71">
        <v>0</v>
      </c>
      <c r="F182" s="71">
        <v>0</v>
      </c>
      <c r="G182" s="71">
        <v>0</v>
      </c>
      <c r="H182" s="71">
        <v>0</v>
      </c>
      <c r="I182" s="71">
        <v>0</v>
      </c>
      <c r="J182" s="71">
        <v>0</v>
      </c>
      <c r="K182" s="71">
        <v>0</v>
      </c>
      <c r="L182" s="71">
        <v>0</v>
      </c>
    </row>
    <row r="183" spans="1:12" x14ac:dyDescent="0.25">
      <c r="A183" s="53">
        <v>10626</v>
      </c>
      <c r="B183" s="38" t="s">
        <v>238</v>
      </c>
      <c r="C183" s="38" t="s">
        <v>23</v>
      </c>
      <c r="D183" s="37" t="s">
        <v>279</v>
      </c>
      <c r="E183" s="71">
        <v>0</v>
      </c>
      <c r="F183" s="71">
        <v>0</v>
      </c>
      <c r="G183" s="71">
        <v>0</v>
      </c>
      <c r="H183" s="71">
        <v>0</v>
      </c>
      <c r="I183" s="71">
        <v>0</v>
      </c>
      <c r="J183" s="71">
        <v>0</v>
      </c>
      <c r="K183" s="71">
        <v>4000</v>
      </c>
      <c r="L183" s="71">
        <v>3000</v>
      </c>
    </row>
    <row r="184" spans="1:12" x14ac:dyDescent="0.25">
      <c r="A184" s="53">
        <v>10627</v>
      </c>
      <c r="B184" s="38" t="s">
        <v>419</v>
      </c>
      <c r="C184" s="38" t="s">
        <v>23</v>
      </c>
      <c r="D184" s="37" t="s">
        <v>279</v>
      </c>
      <c r="E184" s="71">
        <v>0</v>
      </c>
      <c r="F184" s="71">
        <v>0</v>
      </c>
      <c r="G184" s="71">
        <v>0</v>
      </c>
      <c r="H184" s="71">
        <v>1000</v>
      </c>
      <c r="I184" s="71">
        <v>0</v>
      </c>
      <c r="J184" s="71">
        <v>0</v>
      </c>
      <c r="K184" s="71">
        <v>0</v>
      </c>
      <c r="L184" s="71">
        <v>0</v>
      </c>
    </row>
    <row r="185" spans="1:12" x14ac:dyDescent="0.25">
      <c r="A185" s="53">
        <v>10629</v>
      </c>
      <c r="B185" s="38" t="s">
        <v>420</v>
      </c>
      <c r="C185" s="38" t="s">
        <v>319</v>
      </c>
      <c r="D185" s="37" t="s">
        <v>277</v>
      </c>
      <c r="E185" s="71">
        <v>0</v>
      </c>
      <c r="F185" s="71">
        <v>0</v>
      </c>
      <c r="G185" s="71">
        <v>0</v>
      </c>
      <c r="H185" s="71">
        <v>0</v>
      </c>
      <c r="I185" s="71">
        <v>0</v>
      </c>
      <c r="J185" s="71">
        <v>0</v>
      </c>
      <c r="K185" s="71">
        <v>0</v>
      </c>
      <c r="L185" s="71">
        <v>0</v>
      </c>
    </row>
    <row r="186" spans="1:12" x14ac:dyDescent="0.25">
      <c r="A186" s="53">
        <v>10630</v>
      </c>
      <c r="B186" s="38" t="s">
        <v>399</v>
      </c>
      <c r="C186" s="38" t="s">
        <v>23</v>
      </c>
      <c r="D186" s="37" t="s">
        <v>279</v>
      </c>
      <c r="E186" s="71">
        <v>0</v>
      </c>
      <c r="F186" s="71">
        <v>0</v>
      </c>
      <c r="G186" s="71">
        <v>0</v>
      </c>
      <c r="H186" s="71">
        <v>0</v>
      </c>
      <c r="I186" s="71">
        <v>0</v>
      </c>
      <c r="J186" s="71">
        <v>0</v>
      </c>
      <c r="K186" s="71">
        <v>0</v>
      </c>
      <c r="L186" s="71">
        <v>0</v>
      </c>
    </row>
    <row r="187" spans="1:12" x14ac:dyDescent="0.25">
      <c r="A187" s="56">
        <v>10631</v>
      </c>
      <c r="B187" s="66" t="s">
        <v>421</v>
      </c>
      <c r="C187" s="66" t="s">
        <v>69</v>
      </c>
      <c r="D187" s="59" t="s">
        <v>284</v>
      </c>
      <c r="E187" s="71">
        <v>0</v>
      </c>
      <c r="F187" s="71">
        <v>0</v>
      </c>
      <c r="G187" s="71">
        <v>0</v>
      </c>
      <c r="H187" s="71">
        <v>0</v>
      </c>
      <c r="I187" s="71">
        <v>0</v>
      </c>
      <c r="J187" s="71">
        <v>15000</v>
      </c>
      <c r="K187" s="71">
        <v>10000</v>
      </c>
      <c r="L187" s="71">
        <v>5000</v>
      </c>
    </row>
    <row r="188" spans="1:12" x14ac:dyDescent="0.25">
      <c r="A188" s="56">
        <v>10633</v>
      </c>
      <c r="B188" s="66" t="s">
        <v>401</v>
      </c>
      <c r="C188" s="66" t="s">
        <v>23</v>
      </c>
      <c r="D188" s="59" t="s">
        <v>279</v>
      </c>
      <c r="E188" s="71">
        <v>0</v>
      </c>
      <c r="F188" s="71">
        <v>0</v>
      </c>
      <c r="G188" s="71">
        <v>0</v>
      </c>
      <c r="H188" s="71">
        <v>0</v>
      </c>
      <c r="I188" s="71">
        <v>0</v>
      </c>
      <c r="J188" s="71">
        <v>0</v>
      </c>
      <c r="K188" s="71">
        <v>0</v>
      </c>
      <c r="L188" s="71">
        <v>0</v>
      </c>
    </row>
    <row r="189" spans="1:12" x14ac:dyDescent="0.25">
      <c r="A189" s="56">
        <v>10634</v>
      </c>
      <c r="B189" s="66" t="s">
        <v>402</v>
      </c>
      <c r="C189" s="66" t="s">
        <v>23</v>
      </c>
      <c r="D189" s="59" t="s">
        <v>279</v>
      </c>
      <c r="E189" s="71">
        <v>0</v>
      </c>
      <c r="F189" s="71">
        <v>0</v>
      </c>
      <c r="G189" s="71">
        <v>0</v>
      </c>
      <c r="H189" s="71">
        <v>0</v>
      </c>
      <c r="I189" s="71">
        <v>0</v>
      </c>
      <c r="J189" s="71">
        <v>0</v>
      </c>
      <c r="K189" s="71">
        <v>0</v>
      </c>
      <c r="L189" s="71">
        <v>0</v>
      </c>
    </row>
    <row r="190" spans="1:12" x14ac:dyDescent="0.25">
      <c r="A190" s="56">
        <v>10635</v>
      </c>
      <c r="B190" s="66" t="s">
        <v>403</v>
      </c>
      <c r="C190" s="66" t="s">
        <v>23</v>
      </c>
      <c r="D190" s="59" t="s">
        <v>279</v>
      </c>
      <c r="E190" s="71">
        <v>0</v>
      </c>
      <c r="F190" s="71">
        <v>0</v>
      </c>
      <c r="G190" s="71">
        <v>0</v>
      </c>
      <c r="H190" s="71">
        <v>0</v>
      </c>
      <c r="I190" s="71">
        <v>0</v>
      </c>
      <c r="J190" s="71">
        <v>0</v>
      </c>
      <c r="K190" s="71">
        <v>0</v>
      </c>
      <c r="L190" s="71">
        <v>0</v>
      </c>
    </row>
    <row r="191" spans="1:12" x14ac:dyDescent="0.25">
      <c r="A191" s="56">
        <v>10636</v>
      </c>
      <c r="B191" s="66" t="s">
        <v>422</v>
      </c>
      <c r="C191" s="66" t="s">
        <v>450</v>
      </c>
      <c r="D191" s="59" t="s">
        <v>287</v>
      </c>
      <c r="E191" s="71">
        <v>23242</v>
      </c>
      <c r="F191" s="71">
        <v>35104</v>
      </c>
      <c r="G191" s="71">
        <v>32430</v>
      </c>
      <c r="H191" s="71">
        <v>37973</v>
      </c>
      <c r="I191" s="71">
        <v>39662</v>
      </c>
      <c r="J191" s="71">
        <v>62969</v>
      </c>
      <c r="K191" s="71">
        <v>46619</v>
      </c>
      <c r="L191" s="71">
        <v>60680</v>
      </c>
    </row>
    <row r="192" spans="1:12" x14ac:dyDescent="0.25">
      <c r="A192" s="56">
        <v>10637</v>
      </c>
      <c r="B192" s="66" t="s">
        <v>404</v>
      </c>
      <c r="C192" s="66" t="s">
        <v>23</v>
      </c>
      <c r="D192" s="59" t="s">
        <v>279</v>
      </c>
      <c r="E192" s="71">
        <v>0</v>
      </c>
      <c r="F192" s="71">
        <v>0</v>
      </c>
      <c r="G192" s="71">
        <v>0</v>
      </c>
      <c r="H192" s="71">
        <v>0</v>
      </c>
      <c r="I192" s="71">
        <v>0</v>
      </c>
      <c r="J192" s="71">
        <v>0</v>
      </c>
      <c r="K192" s="71">
        <v>0</v>
      </c>
      <c r="L192" s="71">
        <v>0</v>
      </c>
    </row>
    <row r="193" spans="1:12" x14ac:dyDescent="0.25">
      <c r="A193" s="56">
        <v>10638</v>
      </c>
      <c r="B193" s="66" t="s">
        <v>405</v>
      </c>
      <c r="C193" s="66" t="s">
        <v>23</v>
      </c>
      <c r="D193" s="59" t="s">
        <v>279</v>
      </c>
      <c r="E193" s="71">
        <v>0</v>
      </c>
      <c r="F193" s="71">
        <v>0</v>
      </c>
      <c r="G193" s="71">
        <v>0</v>
      </c>
      <c r="H193" s="71">
        <v>0</v>
      </c>
      <c r="I193" s="71">
        <v>0</v>
      </c>
      <c r="J193" s="71">
        <v>0</v>
      </c>
      <c r="K193" s="71">
        <v>0</v>
      </c>
      <c r="L193" s="71">
        <v>0</v>
      </c>
    </row>
    <row r="194" spans="1:12" x14ac:dyDescent="0.25">
      <c r="A194" s="56">
        <v>10639</v>
      </c>
      <c r="B194" s="66" t="s">
        <v>406</v>
      </c>
      <c r="C194" s="66" t="s">
        <v>23</v>
      </c>
      <c r="D194" s="59" t="s">
        <v>279</v>
      </c>
      <c r="E194" s="71">
        <v>0</v>
      </c>
      <c r="F194" s="71">
        <v>0</v>
      </c>
      <c r="G194" s="71">
        <v>0</v>
      </c>
      <c r="H194" s="71">
        <v>0</v>
      </c>
      <c r="I194" s="71">
        <v>0</v>
      </c>
      <c r="J194" s="71">
        <v>0</v>
      </c>
      <c r="K194" s="71">
        <v>0</v>
      </c>
      <c r="L194" s="71">
        <v>0</v>
      </c>
    </row>
    <row r="195" spans="1:12" x14ac:dyDescent="0.25">
      <c r="A195" s="56">
        <v>10640</v>
      </c>
      <c r="B195" s="66" t="s">
        <v>407</v>
      </c>
      <c r="C195" s="66" t="s">
        <v>149</v>
      </c>
      <c r="D195" s="59" t="s">
        <v>280</v>
      </c>
      <c r="E195" s="71">
        <v>0</v>
      </c>
      <c r="F195" s="71">
        <v>0</v>
      </c>
      <c r="G195" s="71">
        <v>0</v>
      </c>
      <c r="H195" s="71">
        <v>0</v>
      </c>
      <c r="I195" s="71">
        <v>0</v>
      </c>
      <c r="J195" s="71">
        <v>0</v>
      </c>
      <c r="K195" s="71">
        <v>0</v>
      </c>
      <c r="L195" s="71">
        <v>0</v>
      </c>
    </row>
    <row r="196" spans="1:12" x14ac:dyDescent="0.25">
      <c r="A196" s="56">
        <v>10641</v>
      </c>
      <c r="B196" s="66" t="s">
        <v>408</v>
      </c>
      <c r="C196" s="66" t="s">
        <v>149</v>
      </c>
      <c r="D196" s="59" t="s">
        <v>280</v>
      </c>
      <c r="E196" s="71">
        <v>0</v>
      </c>
      <c r="F196" s="71">
        <v>0</v>
      </c>
      <c r="G196" s="71">
        <v>0</v>
      </c>
      <c r="H196" s="71">
        <v>0</v>
      </c>
      <c r="I196" s="71">
        <v>0</v>
      </c>
      <c r="J196" s="71">
        <v>0</v>
      </c>
      <c r="K196" s="71">
        <v>0</v>
      </c>
      <c r="L196" s="71">
        <v>0</v>
      </c>
    </row>
    <row r="197" spans="1:12" x14ac:dyDescent="0.25">
      <c r="A197" s="53">
        <v>10294</v>
      </c>
      <c r="B197" s="38" t="s">
        <v>191</v>
      </c>
      <c r="C197" s="38" t="s">
        <v>69</v>
      </c>
      <c r="D197" s="37" t="s">
        <v>284</v>
      </c>
      <c r="E197" s="71">
        <v>1250</v>
      </c>
      <c r="F197" s="71">
        <v>0</v>
      </c>
      <c r="G197" s="71">
        <v>0</v>
      </c>
      <c r="H197" s="71">
        <v>0</v>
      </c>
      <c r="I197" s="71">
        <v>0</v>
      </c>
      <c r="J197" s="71">
        <v>0</v>
      </c>
      <c r="K197" s="71">
        <v>0</v>
      </c>
      <c r="L197" s="71">
        <v>0</v>
      </c>
    </row>
    <row r="198" spans="1:12" x14ac:dyDescent="0.25">
      <c r="A198" s="53">
        <v>10295</v>
      </c>
      <c r="B198" s="38" t="s">
        <v>192</v>
      </c>
      <c r="C198" s="38" t="s">
        <v>69</v>
      </c>
      <c r="D198" s="37" t="s">
        <v>284</v>
      </c>
      <c r="E198" s="71">
        <v>0</v>
      </c>
      <c r="F198" s="71">
        <v>0</v>
      </c>
      <c r="G198" s="71">
        <v>0</v>
      </c>
      <c r="H198" s="71">
        <v>0</v>
      </c>
      <c r="I198" s="71">
        <v>0</v>
      </c>
      <c r="J198" s="71">
        <v>0</v>
      </c>
      <c r="K198" s="71">
        <v>0</v>
      </c>
      <c r="L198" s="71">
        <v>0</v>
      </c>
    </row>
    <row r="199" spans="1:12" x14ac:dyDescent="0.25">
      <c r="A199" s="53">
        <v>10063</v>
      </c>
      <c r="B199" s="38" t="s">
        <v>193</v>
      </c>
      <c r="C199" s="38" t="s">
        <v>378</v>
      </c>
      <c r="D199" s="37" t="s">
        <v>283</v>
      </c>
      <c r="E199" s="71">
        <v>4810</v>
      </c>
      <c r="F199" s="71">
        <v>150795</v>
      </c>
      <c r="G199" s="71">
        <v>130194</v>
      </c>
      <c r="H199" s="71">
        <v>3301</v>
      </c>
      <c r="I199" s="71">
        <v>44330</v>
      </c>
      <c r="J199" s="71">
        <v>35152</v>
      </c>
      <c r="K199" s="71">
        <v>2747</v>
      </c>
      <c r="L199" s="71">
        <v>1900</v>
      </c>
    </row>
    <row r="200" spans="1:12" x14ac:dyDescent="0.25">
      <c r="A200" s="53">
        <v>10387</v>
      </c>
      <c r="B200" s="38" t="s">
        <v>101</v>
      </c>
      <c r="C200" s="38" t="s">
        <v>129</v>
      </c>
      <c r="D200" s="37" t="s">
        <v>284</v>
      </c>
      <c r="E200" s="71">
        <v>0</v>
      </c>
      <c r="F200" s="71">
        <v>0</v>
      </c>
      <c r="G200" s="71">
        <v>0</v>
      </c>
      <c r="H200" s="71">
        <v>0</v>
      </c>
      <c r="I200" s="71">
        <v>0</v>
      </c>
      <c r="J200" s="71">
        <v>0</v>
      </c>
      <c r="K200" s="71">
        <v>0</v>
      </c>
      <c r="L200" s="71">
        <v>0</v>
      </c>
    </row>
    <row r="201" spans="1:12" x14ac:dyDescent="0.25">
      <c r="A201" s="53">
        <v>10067</v>
      </c>
      <c r="B201" s="38" t="s">
        <v>194</v>
      </c>
      <c r="C201" s="38" t="s">
        <v>69</v>
      </c>
      <c r="D201" s="37" t="s">
        <v>284</v>
      </c>
      <c r="E201" s="71">
        <v>0</v>
      </c>
      <c r="F201" s="71">
        <v>0</v>
      </c>
      <c r="G201" s="71">
        <v>0</v>
      </c>
      <c r="H201" s="71">
        <v>0</v>
      </c>
      <c r="I201" s="71">
        <v>0</v>
      </c>
      <c r="J201" s="71">
        <v>0</v>
      </c>
      <c r="K201" s="71">
        <v>0</v>
      </c>
      <c r="L201" s="71">
        <v>0</v>
      </c>
    </row>
    <row r="202" spans="1:12" x14ac:dyDescent="0.25">
      <c r="A202" s="53">
        <v>10411</v>
      </c>
      <c r="B202" s="38" t="s">
        <v>195</v>
      </c>
      <c r="C202" s="38" t="s">
        <v>69</v>
      </c>
      <c r="D202" s="37" t="s">
        <v>284</v>
      </c>
      <c r="E202" s="71">
        <v>0</v>
      </c>
      <c r="F202" s="71">
        <v>0</v>
      </c>
      <c r="G202" s="71">
        <v>0</v>
      </c>
      <c r="H202" s="71">
        <v>0</v>
      </c>
      <c r="I202" s="71">
        <v>0</v>
      </c>
      <c r="J202" s="71">
        <v>0</v>
      </c>
      <c r="K202" s="71">
        <v>0</v>
      </c>
      <c r="L202" s="71">
        <v>0</v>
      </c>
    </row>
    <row r="203" spans="1:12" x14ac:dyDescent="0.25">
      <c r="A203" s="53">
        <v>10075</v>
      </c>
      <c r="B203" s="38" t="s">
        <v>196</v>
      </c>
      <c r="C203" s="38" t="s">
        <v>197</v>
      </c>
      <c r="D203" s="37" t="s">
        <v>275</v>
      </c>
      <c r="E203" s="71">
        <v>0</v>
      </c>
      <c r="F203" s="71">
        <v>0</v>
      </c>
      <c r="G203" s="71">
        <v>0</v>
      </c>
      <c r="H203" s="71">
        <v>0</v>
      </c>
      <c r="I203" s="71">
        <v>0</v>
      </c>
      <c r="J203" s="71">
        <v>0</v>
      </c>
      <c r="K203" s="71">
        <v>0</v>
      </c>
      <c r="L203" s="71">
        <v>0</v>
      </c>
    </row>
    <row r="204" spans="1:12" x14ac:dyDescent="0.25">
      <c r="A204" s="53">
        <v>10301</v>
      </c>
      <c r="B204" s="38" t="s">
        <v>198</v>
      </c>
      <c r="C204" s="38" t="s">
        <v>106</v>
      </c>
      <c r="D204" s="37" t="s">
        <v>275</v>
      </c>
      <c r="E204" s="71">
        <v>0</v>
      </c>
      <c r="F204" s="71">
        <v>0</v>
      </c>
      <c r="G204" s="71">
        <v>0</v>
      </c>
      <c r="H204" s="71">
        <v>0</v>
      </c>
      <c r="I204" s="71">
        <v>0</v>
      </c>
      <c r="J204" s="71">
        <v>0</v>
      </c>
      <c r="K204" s="71">
        <v>0</v>
      </c>
      <c r="L204" s="71">
        <v>0</v>
      </c>
    </row>
    <row r="205" spans="1:12" x14ac:dyDescent="0.25">
      <c r="A205" s="53">
        <v>10076</v>
      </c>
      <c r="B205" s="38" t="s">
        <v>199</v>
      </c>
      <c r="C205" s="38" t="s">
        <v>199</v>
      </c>
      <c r="D205" s="37" t="s">
        <v>275</v>
      </c>
      <c r="E205" s="71">
        <v>0</v>
      </c>
      <c r="F205" s="71">
        <v>0</v>
      </c>
      <c r="G205" s="71">
        <v>0</v>
      </c>
      <c r="H205" s="71">
        <v>0</v>
      </c>
      <c r="I205" s="71">
        <v>0</v>
      </c>
      <c r="J205" s="71">
        <v>0</v>
      </c>
      <c r="K205" s="71">
        <v>0</v>
      </c>
      <c r="L205" s="71">
        <v>0</v>
      </c>
    </row>
    <row r="206" spans="1:12" x14ac:dyDescent="0.25">
      <c r="A206" s="53">
        <v>10156</v>
      </c>
      <c r="B206" s="38" t="s">
        <v>200</v>
      </c>
      <c r="C206" s="38" t="s">
        <v>69</v>
      </c>
      <c r="D206" s="37" t="s">
        <v>284</v>
      </c>
      <c r="E206" s="71">
        <v>0</v>
      </c>
      <c r="F206" s="71">
        <v>0</v>
      </c>
      <c r="G206" s="71">
        <v>0</v>
      </c>
      <c r="H206" s="71">
        <v>0</v>
      </c>
      <c r="I206" s="71">
        <v>0</v>
      </c>
      <c r="J206" s="71">
        <v>0</v>
      </c>
      <c r="K206" s="71">
        <v>0</v>
      </c>
      <c r="L206" s="71">
        <v>0</v>
      </c>
    </row>
    <row r="207" spans="1:12" x14ac:dyDescent="0.25">
      <c r="A207" s="53">
        <v>10181</v>
      </c>
      <c r="B207" s="38" t="s">
        <v>116</v>
      </c>
      <c r="C207" s="38" t="s">
        <v>69</v>
      </c>
      <c r="D207" s="37" t="s">
        <v>284</v>
      </c>
      <c r="E207" s="71">
        <v>0</v>
      </c>
      <c r="F207" s="71">
        <v>0</v>
      </c>
      <c r="G207" s="71">
        <v>0</v>
      </c>
      <c r="H207" s="71">
        <v>0</v>
      </c>
      <c r="I207" s="71">
        <v>0</v>
      </c>
      <c r="J207" s="71">
        <v>0</v>
      </c>
      <c r="K207" s="71">
        <v>0</v>
      </c>
      <c r="L207" s="71">
        <v>0</v>
      </c>
    </row>
    <row r="208" spans="1:12" x14ac:dyDescent="0.25">
      <c r="A208" s="53">
        <v>10192</v>
      </c>
      <c r="B208" s="38" t="s">
        <v>201</v>
      </c>
      <c r="C208" s="38" t="s">
        <v>69</v>
      </c>
      <c r="D208" s="37" t="s">
        <v>284</v>
      </c>
      <c r="E208" s="71">
        <v>0</v>
      </c>
      <c r="F208" s="71">
        <v>0</v>
      </c>
      <c r="G208" s="71">
        <v>0</v>
      </c>
      <c r="H208" s="71">
        <v>0</v>
      </c>
      <c r="I208" s="71">
        <v>0</v>
      </c>
      <c r="J208" s="71">
        <v>0</v>
      </c>
      <c r="K208" s="71">
        <v>0</v>
      </c>
      <c r="L208" s="71">
        <v>5000</v>
      </c>
    </row>
    <row r="209" spans="1:12" x14ac:dyDescent="0.25">
      <c r="A209" s="53">
        <v>10193</v>
      </c>
      <c r="B209" s="38" t="s">
        <v>202</v>
      </c>
      <c r="C209" s="38" t="s">
        <v>69</v>
      </c>
      <c r="D209" s="37" t="s">
        <v>284</v>
      </c>
      <c r="E209" s="71">
        <v>0</v>
      </c>
      <c r="F209" s="71">
        <v>0</v>
      </c>
      <c r="G209" s="71">
        <v>0</v>
      </c>
      <c r="H209" s="71">
        <v>0</v>
      </c>
      <c r="I209" s="71">
        <v>0</v>
      </c>
      <c r="J209" s="71">
        <v>0</v>
      </c>
      <c r="K209" s="71">
        <v>0</v>
      </c>
      <c r="L209" s="71">
        <v>0</v>
      </c>
    </row>
    <row r="210" spans="1:12" x14ac:dyDescent="0.25">
      <c r="A210" s="53">
        <v>10194</v>
      </c>
      <c r="B210" s="38" t="s">
        <v>203</v>
      </c>
      <c r="C210" s="38" t="s">
        <v>69</v>
      </c>
      <c r="D210" s="37" t="s">
        <v>284</v>
      </c>
      <c r="E210" s="71">
        <v>0</v>
      </c>
      <c r="F210" s="71">
        <v>0</v>
      </c>
      <c r="G210" s="71">
        <v>0</v>
      </c>
      <c r="H210" s="71">
        <v>0</v>
      </c>
      <c r="I210" s="71">
        <v>0</v>
      </c>
      <c r="J210" s="71">
        <v>0</v>
      </c>
      <c r="K210" s="71">
        <v>0</v>
      </c>
      <c r="L210" s="71">
        <v>0</v>
      </c>
    </row>
    <row r="211" spans="1:12" x14ac:dyDescent="0.25">
      <c r="A211" s="53">
        <v>10200</v>
      </c>
      <c r="B211" s="38" t="s">
        <v>204</v>
      </c>
      <c r="C211" s="38" t="s">
        <v>205</v>
      </c>
      <c r="D211" s="37" t="s">
        <v>275</v>
      </c>
      <c r="E211" s="71">
        <v>0</v>
      </c>
      <c r="F211" s="71">
        <v>0</v>
      </c>
      <c r="G211" s="71">
        <v>0</v>
      </c>
      <c r="H211" s="71">
        <v>0</v>
      </c>
      <c r="I211" s="71">
        <v>0</v>
      </c>
      <c r="J211" s="71">
        <v>0</v>
      </c>
      <c r="K211" s="71">
        <v>0</v>
      </c>
      <c r="L211" s="71">
        <v>0</v>
      </c>
    </row>
    <row r="212" spans="1:12" x14ac:dyDescent="0.25">
      <c r="A212" s="53">
        <v>10278</v>
      </c>
      <c r="B212" s="38" t="s">
        <v>206</v>
      </c>
      <c r="C212" s="38" t="s">
        <v>205</v>
      </c>
      <c r="D212" s="37" t="s">
        <v>275</v>
      </c>
      <c r="E212" s="71">
        <v>0</v>
      </c>
      <c r="F212" s="71">
        <v>0</v>
      </c>
      <c r="G212" s="71">
        <v>0</v>
      </c>
      <c r="H212" s="71">
        <v>0</v>
      </c>
      <c r="I212" s="71">
        <v>0</v>
      </c>
      <c r="J212" s="71">
        <v>0</v>
      </c>
      <c r="K212" s="71">
        <v>0</v>
      </c>
      <c r="L212" s="71">
        <v>0</v>
      </c>
    </row>
    <row r="213" spans="1:12" x14ac:dyDescent="0.25">
      <c r="A213" s="53">
        <v>10229</v>
      </c>
      <c r="B213" s="38" t="s">
        <v>207</v>
      </c>
      <c r="C213" s="38" t="s">
        <v>208</v>
      </c>
      <c r="D213" s="37" t="s">
        <v>284</v>
      </c>
      <c r="E213" s="71">
        <v>0</v>
      </c>
      <c r="F213" s="71">
        <v>0</v>
      </c>
      <c r="G213" s="71">
        <v>0</v>
      </c>
      <c r="H213" s="71">
        <v>0</v>
      </c>
      <c r="I213" s="71">
        <v>0</v>
      </c>
      <c r="J213" s="71">
        <v>0</v>
      </c>
      <c r="K213" s="71">
        <v>0</v>
      </c>
      <c r="L213" s="71">
        <v>0</v>
      </c>
    </row>
    <row r="214" spans="1:12" x14ac:dyDescent="0.25">
      <c r="A214" s="53">
        <v>10347</v>
      </c>
      <c r="B214" s="38" t="s">
        <v>209</v>
      </c>
      <c r="C214" s="38" t="s">
        <v>69</v>
      </c>
      <c r="D214" s="37" t="s">
        <v>284</v>
      </c>
      <c r="E214" s="71">
        <v>0</v>
      </c>
      <c r="F214" s="71">
        <v>0</v>
      </c>
      <c r="G214" s="71">
        <v>0</v>
      </c>
      <c r="H214" s="71">
        <v>0</v>
      </c>
      <c r="I214" s="71">
        <v>0</v>
      </c>
      <c r="J214" s="71">
        <v>0</v>
      </c>
      <c r="K214" s="71">
        <v>0</v>
      </c>
      <c r="L214" s="71">
        <v>0</v>
      </c>
    </row>
    <row r="215" spans="1:12" x14ac:dyDescent="0.25">
      <c r="A215" s="53">
        <v>10286</v>
      </c>
      <c r="B215" s="38" t="s">
        <v>210</v>
      </c>
      <c r="C215" s="38" t="s">
        <v>69</v>
      </c>
      <c r="D215" s="37" t="s">
        <v>284</v>
      </c>
      <c r="E215" s="71">
        <v>0</v>
      </c>
      <c r="F215" s="71">
        <v>0</v>
      </c>
      <c r="G215" s="71">
        <v>0</v>
      </c>
      <c r="H215" s="71">
        <v>0</v>
      </c>
      <c r="I215" s="71">
        <v>0</v>
      </c>
      <c r="J215" s="71">
        <v>0</v>
      </c>
      <c r="K215" s="71">
        <v>0</v>
      </c>
      <c r="L215" s="71">
        <v>0</v>
      </c>
    </row>
    <row r="216" spans="1:12" x14ac:dyDescent="0.25">
      <c r="A216" s="53">
        <v>10396</v>
      </c>
      <c r="B216" s="38" t="s">
        <v>211</v>
      </c>
      <c r="C216" s="38" t="s">
        <v>69</v>
      </c>
      <c r="D216" s="37" t="s">
        <v>284</v>
      </c>
      <c r="E216" s="71">
        <v>0</v>
      </c>
      <c r="F216" s="71">
        <v>0</v>
      </c>
      <c r="G216" s="71">
        <v>0</v>
      </c>
      <c r="H216" s="71">
        <v>0</v>
      </c>
      <c r="I216" s="71">
        <v>0</v>
      </c>
      <c r="J216" s="71">
        <v>0</v>
      </c>
      <c r="K216" s="71">
        <v>0</v>
      </c>
      <c r="L216" s="71">
        <v>0</v>
      </c>
    </row>
    <row r="217" spans="1:12" x14ac:dyDescent="0.25">
      <c r="A217" s="53">
        <v>10403</v>
      </c>
      <c r="B217" s="38" t="s">
        <v>212</v>
      </c>
      <c r="C217" s="38" t="s">
        <v>69</v>
      </c>
      <c r="D217" s="37" t="s">
        <v>284</v>
      </c>
      <c r="E217" s="71">
        <v>0</v>
      </c>
      <c r="F217" s="71">
        <v>0</v>
      </c>
      <c r="G217" s="71">
        <v>0</v>
      </c>
      <c r="H217" s="71">
        <v>0</v>
      </c>
      <c r="I217" s="71">
        <v>0</v>
      </c>
      <c r="J217" s="71">
        <v>250</v>
      </c>
      <c r="K217" s="71">
        <v>0</v>
      </c>
      <c r="L217" s="71">
        <v>0</v>
      </c>
    </row>
    <row r="218" spans="1:12" x14ac:dyDescent="0.25">
      <c r="A218" s="53">
        <v>10516</v>
      </c>
      <c r="B218" s="38" t="s">
        <v>68</v>
      </c>
      <c r="C218" s="38" t="s">
        <v>69</v>
      </c>
      <c r="D218" s="37" t="s">
        <v>284</v>
      </c>
      <c r="E218" s="71">
        <v>0</v>
      </c>
      <c r="F218" s="71">
        <v>0</v>
      </c>
      <c r="G218" s="71">
        <v>0</v>
      </c>
      <c r="H218" s="71">
        <v>0</v>
      </c>
      <c r="I218" s="71">
        <v>0</v>
      </c>
      <c r="J218" s="71">
        <v>0</v>
      </c>
      <c r="K218" s="71">
        <v>0</v>
      </c>
      <c r="L218" s="71">
        <v>0</v>
      </c>
    </row>
    <row r="219" spans="1:12" x14ac:dyDescent="0.25">
      <c r="A219" s="53">
        <v>10536</v>
      </c>
      <c r="B219" s="38" t="s">
        <v>317</v>
      </c>
      <c r="C219" s="38" t="s">
        <v>69</v>
      </c>
      <c r="D219" s="37" t="s">
        <v>284</v>
      </c>
      <c r="E219" s="71">
        <v>0</v>
      </c>
      <c r="F219" s="71">
        <v>0</v>
      </c>
      <c r="G219" s="71">
        <v>0</v>
      </c>
      <c r="H219" s="71">
        <v>0</v>
      </c>
      <c r="I219" s="71">
        <v>0</v>
      </c>
      <c r="J219" s="71">
        <v>0</v>
      </c>
      <c r="K219" s="71">
        <v>0</v>
      </c>
      <c r="L219" s="71">
        <v>0</v>
      </c>
    </row>
    <row r="220" spans="1:12" x14ac:dyDescent="0.25">
      <c r="A220" s="53">
        <v>10404</v>
      </c>
      <c r="B220" s="38" t="s">
        <v>213</v>
      </c>
      <c r="C220" s="38" t="s">
        <v>69</v>
      </c>
      <c r="D220" s="37" t="s">
        <v>284</v>
      </c>
      <c r="E220" s="71">
        <v>0</v>
      </c>
      <c r="F220" s="71">
        <v>0</v>
      </c>
      <c r="G220" s="71">
        <v>0</v>
      </c>
      <c r="H220" s="71">
        <v>0</v>
      </c>
      <c r="I220" s="71">
        <v>0</v>
      </c>
      <c r="J220" s="71">
        <v>0</v>
      </c>
      <c r="K220" s="71">
        <v>0</v>
      </c>
      <c r="L220" s="71">
        <v>0</v>
      </c>
    </row>
    <row r="221" spans="1:12" x14ac:dyDescent="0.25">
      <c r="A221" s="53">
        <v>10588</v>
      </c>
      <c r="B221" s="38" t="s">
        <v>371</v>
      </c>
      <c r="C221" s="38" t="s">
        <v>69</v>
      </c>
      <c r="D221" s="37" t="s">
        <v>284</v>
      </c>
      <c r="E221" s="71">
        <v>0</v>
      </c>
      <c r="F221" s="71">
        <v>0</v>
      </c>
      <c r="G221" s="71">
        <v>0</v>
      </c>
      <c r="H221" s="71">
        <v>0</v>
      </c>
      <c r="I221" s="71">
        <v>0</v>
      </c>
      <c r="J221" s="71">
        <v>0</v>
      </c>
      <c r="K221" s="71">
        <v>0</v>
      </c>
      <c r="L221" s="71">
        <v>0</v>
      </c>
    </row>
    <row r="222" spans="1:12" x14ac:dyDescent="0.25">
      <c r="A222" s="53">
        <v>10601</v>
      </c>
      <c r="B222" s="38" t="s">
        <v>223</v>
      </c>
      <c r="C222" s="38" t="s">
        <v>378</v>
      </c>
      <c r="D222" s="37" t="s">
        <v>283</v>
      </c>
      <c r="E222" s="71">
        <v>0</v>
      </c>
      <c r="F222" s="71">
        <v>28945</v>
      </c>
      <c r="G222" s="71">
        <v>19890</v>
      </c>
      <c r="H222" s="71">
        <v>0</v>
      </c>
      <c r="I222" s="71">
        <v>0</v>
      </c>
      <c r="J222" s="71">
        <v>0</v>
      </c>
      <c r="K222" s="71">
        <v>0</v>
      </c>
      <c r="L222" s="71">
        <v>0</v>
      </c>
    </row>
    <row r="223" spans="1:12" x14ac:dyDescent="0.25">
      <c r="A223" s="53">
        <v>10169</v>
      </c>
      <c r="B223" s="38" t="s">
        <v>214</v>
      </c>
      <c r="C223" s="38" t="s">
        <v>69</v>
      </c>
      <c r="D223" s="37" t="s">
        <v>284</v>
      </c>
      <c r="E223" s="71">
        <v>0</v>
      </c>
      <c r="F223" s="71">
        <v>0</v>
      </c>
      <c r="G223" s="71">
        <v>0</v>
      </c>
      <c r="H223" s="71">
        <v>0</v>
      </c>
      <c r="I223" s="71">
        <v>0</v>
      </c>
      <c r="J223" s="71">
        <v>0</v>
      </c>
      <c r="K223" s="71">
        <v>0</v>
      </c>
      <c r="L223" s="71">
        <v>1250</v>
      </c>
    </row>
    <row r="224" spans="1:12" x14ac:dyDescent="0.25">
      <c r="A224" s="53">
        <v>10173</v>
      </c>
      <c r="B224" s="38" t="s">
        <v>215</v>
      </c>
      <c r="C224" s="38" t="s">
        <v>69</v>
      </c>
      <c r="D224" s="37" t="s">
        <v>284</v>
      </c>
      <c r="E224" s="71">
        <v>0</v>
      </c>
      <c r="F224" s="71">
        <v>0</v>
      </c>
      <c r="G224" s="71">
        <v>0</v>
      </c>
      <c r="H224" s="71">
        <v>0</v>
      </c>
      <c r="I224" s="71">
        <v>0</v>
      </c>
      <c r="J224" s="71">
        <v>0</v>
      </c>
      <c r="K224" s="71">
        <v>0</v>
      </c>
      <c r="L224" s="71">
        <v>0</v>
      </c>
    </row>
    <row r="225" spans="1:12" x14ac:dyDescent="0.25">
      <c r="A225" s="53">
        <v>10406</v>
      </c>
      <c r="B225" s="38" t="s">
        <v>216</v>
      </c>
      <c r="C225" s="38" t="s">
        <v>69</v>
      </c>
      <c r="D225" s="37" t="s">
        <v>284</v>
      </c>
      <c r="E225" s="71">
        <v>0</v>
      </c>
      <c r="F225" s="71">
        <v>0</v>
      </c>
      <c r="G225" s="71">
        <v>0</v>
      </c>
      <c r="H225" s="71">
        <v>0</v>
      </c>
      <c r="I225" s="71">
        <v>1250</v>
      </c>
      <c r="J225" s="71">
        <v>0</v>
      </c>
      <c r="K225" s="71">
        <v>0</v>
      </c>
      <c r="L225" s="71">
        <v>0</v>
      </c>
    </row>
    <row r="226" spans="1:12" x14ac:dyDescent="0.25">
      <c r="A226" s="53">
        <v>10077</v>
      </c>
      <c r="B226" s="38" t="s">
        <v>217</v>
      </c>
      <c r="C226" s="38" t="s">
        <v>69</v>
      </c>
      <c r="D226" s="37" t="s">
        <v>284</v>
      </c>
      <c r="E226" s="71">
        <v>0</v>
      </c>
      <c r="F226" s="71">
        <v>0</v>
      </c>
      <c r="G226" s="71">
        <v>0</v>
      </c>
      <c r="H226" s="71">
        <v>0</v>
      </c>
      <c r="I226" s="71">
        <v>0</v>
      </c>
      <c r="J226" s="71">
        <v>0</v>
      </c>
      <c r="K226" s="71">
        <v>0</v>
      </c>
      <c r="L226" s="71">
        <v>0</v>
      </c>
    </row>
    <row r="227" spans="1:12" x14ac:dyDescent="0.25">
      <c r="A227" s="53">
        <v>10593</v>
      </c>
      <c r="B227" s="38" t="s">
        <v>376</v>
      </c>
      <c r="C227" s="38" t="s">
        <v>69</v>
      </c>
      <c r="D227" s="37" t="s">
        <v>284</v>
      </c>
      <c r="E227" s="71">
        <v>0</v>
      </c>
      <c r="F227" s="71">
        <v>0</v>
      </c>
      <c r="G227" s="71">
        <v>0</v>
      </c>
      <c r="H227" s="71">
        <v>0</v>
      </c>
      <c r="I227" s="71">
        <v>0</v>
      </c>
      <c r="J227" s="71">
        <v>0</v>
      </c>
      <c r="K227" s="71">
        <v>0</v>
      </c>
      <c r="L227" s="71">
        <v>0</v>
      </c>
    </row>
    <row r="228" spans="1:12" x14ac:dyDescent="0.25">
      <c r="A228" s="53">
        <v>10351</v>
      </c>
      <c r="B228" s="38" t="s">
        <v>218</v>
      </c>
      <c r="C228" s="38" t="s">
        <v>219</v>
      </c>
      <c r="D228" s="37" t="s">
        <v>284</v>
      </c>
      <c r="E228" s="71">
        <v>0</v>
      </c>
      <c r="F228" s="71">
        <v>0</v>
      </c>
      <c r="G228" s="71">
        <v>0</v>
      </c>
      <c r="H228" s="71">
        <v>0</v>
      </c>
      <c r="I228" s="71">
        <v>0</v>
      </c>
      <c r="J228" s="71">
        <v>0</v>
      </c>
      <c r="K228" s="71">
        <v>0</v>
      </c>
      <c r="L228" s="71">
        <v>0</v>
      </c>
    </row>
    <row r="229" spans="1:12" x14ac:dyDescent="0.25">
      <c r="A229" s="53">
        <v>10344</v>
      </c>
      <c r="B229" s="38" t="s">
        <v>220</v>
      </c>
      <c r="C229" s="38" t="s">
        <v>69</v>
      </c>
      <c r="D229" s="37" t="s">
        <v>284</v>
      </c>
      <c r="E229" s="71">
        <v>0</v>
      </c>
      <c r="F229" s="71">
        <v>0</v>
      </c>
      <c r="G229" s="71">
        <v>0</v>
      </c>
      <c r="H229" s="71">
        <v>0</v>
      </c>
      <c r="I229" s="71">
        <v>0</v>
      </c>
      <c r="J229" s="71">
        <v>0</v>
      </c>
      <c r="K229" s="71">
        <v>0</v>
      </c>
      <c r="L229" s="71">
        <v>0</v>
      </c>
    </row>
    <row r="230" spans="1:12" x14ac:dyDescent="0.25">
      <c r="A230" s="53">
        <v>10082</v>
      </c>
      <c r="B230" s="38" t="s">
        <v>221</v>
      </c>
      <c r="C230" s="38" t="s">
        <v>69</v>
      </c>
      <c r="D230" s="37" t="s">
        <v>284</v>
      </c>
      <c r="E230" s="71">
        <v>0</v>
      </c>
      <c r="F230" s="71">
        <v>0</v>
      </c>
      <c r="G230" s="71">
        <v>0</v>
      </c>
      <c r="H230" s="71">
        <v>0</v>
      </c>
      <c r="I230" s="71">
        <v>0</v>
      </c>
      <c r="J230" s="71">
        <v>0</v>
      </c>
      <c r="K230" s="71">
        <v>0</v>
      </c>
      <c r="L230" s="71">
        <v>0</v>
      </c>
    </row>
    <row r="231" spans="1:12" x14ac:dyDescent="0.25">
      <c r="A231" s="53">
        <v>10510</v>
      </c>
      <c r="B231" s="38" t="s">
        <v>222</v>
      </c>
      <c r="C231" s="38" t="s">
        <v>69</v>
      </c>
      <c r="D231" s="37" t="s">
        <v>284</v>
      </c>
      <c r="E231" s="71">
        <v>0</v>
      </c>
      <c r="F231" s="71">
        <v>0</v>
      </c>
      <c r="G231" s="71">
        <v>0</v>
      </c>
      <c r="H231" s="71">
        <v>0</v>
      </c>
      <c r="I231" s="71">
        <v>0</v>
      </c>
      <c r="J231" s="71">
        <v>0</v>
      </c>
      <c r="K231" s="71">
        <v>0</v>
      </c>
      <c r="L231" s="71">
        <v>0</v>
      </c>
    </row>
    <row r="232" spans="1:12" x14ac:dyDescent="0.25">
      <c r="A232" s="53">
        <v>10527</v>
      </c>
      <c r="B232" s="38" t="s">
        <v>224</v>
      </c>
      <c r="C232" s="38" t="s">
        <v>47</v>
      </c>
      <c r="D232" s="37" t="s">
        <v>283</v>
      </c>
      <c r="E232" s="71">
        <v>0</v>
      </c>
      <c r="F232" s="71">
        <v>75850</v>
      </c>
      <c r="G232" s="71">
        <v>10075</v>
      </c>
      <c r="H232" s="71">
        <v>2925</v>
      </c>
      <c r="I232" s="71">
        <v>10675</v>
      </c>
      <c r="J232" s="71">
        <v>30712</v>
      </c>
      <c r="K232" s="71">
        <v>0</v>
      </c>
      <c r="L232" s="71">
        <v>1239</v>
      </c>
    </row>
    <row r="233" spans="1:12" x14ac:dyDescent="0.25">
      <c r="A233" s="53">
        <v>10088</v>
      </c>
      <c r="B233" s="38" t="s">
        <v>225</v>
      </c>
      <c r="C233" s="38" t="s">
        <v>226</v>
      </c>
      <c r="D233" s="37" t="s">
        <v>275</v>
      </c>
      <c r="E233" s="71">
        <v>0</v>
      </c>
      <c r="F233" s="71">
        <v>0</v>
      </c>
      <c r="G233" s="71">
        <v>0</v>
      </c>
      <c r="H233" s="71">
        <v>0</v>
      </c>
      <c r="I233" s="71">
        <v>0</v>
      </c>
      <c r="J233" s="71">
        <v>0</v>
      </c>
      <c r="K233" s="71">
        <v>0</v>
      </c>
      <c r="L233" s="71">
        <v>0</v>
      </c>
    </row>
    <row r="234" spans="1:12" x14ac:dyDescent="0.25">
      <c r="A234" s="53">
        <v>10183</v>
      </c>
      <c r="B234" s="38" t="s">
        <v>227</v>
      </c>
      <c r="C234" s="38" t="s">
        <v>228</v>
      </c>
      <c r="D234" s="37" t="s">
        <v>275</v>
      </c>
      <c r="E234" s="71">
        <v>0</v>
      </c>
      <c r="F234" s="71">
        <v>0</v>
      </c>
      <c r="G234" s="71">
        <v>0</v>
      </c>
      <c r="H234" s="71">
        <v>0</v>
      </c>
      <c r="I234" s="71">
        <v>0</v>
      </c>
      <c r="J234" s="71">
        <v>0</v>
      </c>
      <c r="K234" s="71">
        <v>0</v>
      </c>
      <c r="L234" s="71">
        <v>0</v>
      </c>
    </row>
    <row r="235" spans="1:12" x14ac:dyDescent="0.25">
      <c r="A235" s="53">
        <v>10592</v>
      </c>
      <c r="B235" s="38" t="s">
        <v>377</v>
      </c>
      <c r="C235" s="38" t="s">
        <v>378</v>
      </c>
      <c r="D235" s="37" t="s">
        <v>283</v>
      </c>
      <c r="E235" s="71">
        <v>0</v>
      </c>
      <c r="F235" s="71">
        <v>33250</v>
      </c>
      <c r="G235" s="71">
        <v>12150</v>
      </c>
      <c r="H235" s="71">
        <v>0</v>
      </c>
      <c r="I235" s="71">
        <v>0</v>
      </c>
      <c r="J235" s="71">
        <v>3820</v>
      </c>
      <c r="K235" s="71">
        <v>0</v>
      </c>
      <c r="L235" s="71">
        <v>0</v>
      </c>
    </row>
    <row r="236" spans="1:12" x14ac:dyDescent="0.25">
      <c r="A236" s="53">
        <v>10346</v>
      </c>
      <c r="B236" s="38" t="s">
        <v>229</v>
      </c>
      <c r="C236" s="38" t="s">
        <v>219</v>
      </c>
      <c r="D236" s="37" t="s">
        <v>284</v>
      </c>
      <c r="E236" s="71">
        <v>0</v>
      </c>
      <c r="F236" s="71">
        <v>0</v>
      </c>
      <c r="G236" s="71">
        <v>0</v>
      </c>
      <c r="H236" s="71">
        <v>0</v>
      </c>
      <c r="I236" s="71">
        <v>0</v>
      </c>
      <c r="J236" s="71">
        <v>0</v>
      </c>
      <c r="K236" s="71">
        <v>0</v>
      </c>
      <c r="L236" s="71">
        <v>0</v>
      </c>
    </row>
    <row r="237" spans="1:12" x14ac:dyDescent="0.25">
      <c r="A237" s="53">
        <v>10322</v>
      </c>
      <c r="B237" s="38" t="s">
        <v>230</v>
      </c>
      <c r="C237" s="38" t="s">
        <v>69</v>
      </c>
      <c r="D237" s="37" t="s">
        <v>284</v>
      </c>
      <c r="E237" s="71">
        <v>0</v>
      </c>
      <c r="F237" s="71">
        <v>0</v>
      </c>
      <c r="G237" s="71">
        <v>0</v>
      </c>
      <c r="H237" s="71">
        <v>0</v>
      </c>
      <c r="I237" s="71">
        <v>0</v>
      </c>
      <c r="J237" s="71">
        <v>0</v>
      </c>
      <c r="K237" s="71">
        <v>0</v>
      </c>
      <c r="L237" s="71">
        <v>0</v>
      </c>
    </row>
    <row r="238" spans="1:12" x14ac:dyDescent="0.25">
      <c r="A238" s="53">
        <v>10488</v>
      </c>
      <c r="B238" s="38" t="s">
        <v>231</v>
      </c>
      <c r="C238" s="38" t="s">
        <v>228</v>
      </c>
      <c r="D238" s="37" t="s">
        <v>275</v>
      </c>
      <c r="E238" s="71">
        <v>0</v>
      </c>
      <c r="F238" s="71">
        <v>0</v>
      </c>
      <c r="G238" s="71">
        <v>0</v>
      </c>
      <c r="H238" s="71">
        <v>0</v>
      </c>
      <c r="I238" s="71">
        <v>0</v>
      </c>
      <c r="J238" s="71">
        <v>0</v>
      </c>
      <c r="K238" s="71">
        <v>0</v>
      </c>
      <c r="L238" s="71">
        <v>0</v>
      </c>
    </row>
    <row r="239" spans="1:12" x14ac:dyDescent="0.25">
      <c r="A239" s="53">
        <v>10398</v>
      </c>
      <c r="B239" s="38" t="s">
        <v>232</v>
      </c>
      <c r="C239" s="38" t="s">
        <v>69</v>
      </c>
      <c r="D239" s="37" t="s">
        <v>284</v>
      </c>
      <c r="E239" s="71">
        <v>0</v>
      </c>
      <c r="F239" s="71">
        <v>0</v>
      </c>
      <c r="G239" s="71">
        <v>0</v>
      </c>
      <c r="H239" s="71">
        <v>0</v>
      </c>
      <c r="I239" s="71">
        <v>0</v>
      </c>
      <c r="J239" s="71">
        <v>0</v>
      </c>
      <c r="K239" s="71">
        <v>0</v>
      </c>
      <c r="L239" s="71">
        <v>0</v>
      </c>
    </row>
    <row r="240" spans="1:12" x14ac:dyDescent="0.25">
      <c r="A240" s="53">
        <v>10340</v>
      </c>
      <c r="B240" s="38" t="s">
        <v>233</v>
      </c>
      <c r="C240" s="38" t="s">
        <v>69</v>
      </c>
      <c r="D240" s="37" t="s">
        <v>284</v>
      </c>
      <c r="E240" s="71">
        <v>0</v>
      </c>
      <c r="F240" s="71">
        <v>0</v>
      </c>
      <c r="G240" s="71">
        <v>0</v>
      </c>
      <c r="H240" s="71">
        <v>0</v>
      </c>
      <c r="I240" s="71">
        <v>0</v>
      </c>
      <c r="J240" s="71">
        <v>0</v>
      </c>
      <c r="K240" s="71">
        <v>0</v>
      </c>
      <c r="L240" s="71">
        <v>0</v>
      </c>
    </row>
    <row r="241" spans="1:12" x14ac:dyDescent="0.25">
      <c r="A241" s="53">
        <v>10153</v>
      </c>
      <c r="B241" s="38" t="s">
        <v>234</v>
      </c>
      <c r="C241" s="38" t="s">
        <v>205</v>
      </c>
      <c r="D241" s="37" t="s">
        <v>275</v>
      </c>
      <c r="E241" s="71">
        <v>0</v>
      </c>
      <c r="F241" s="71">
        <v>0</v>
      </c>
      <c r="G241" s="71">
        <v>0</v>
      </c>
      <c r="H241" s="71">
        <v>0</v>
      </c>
      <c r="I241" s="71">
        <v>0</v>
      </c>
      <c r="J241" s="71">
        <v>0</v>
      </c>
      <c r="K241" s="71">
        <v>0</v>
      </c>
      <c r="L241" s="71">
        <v>0</v>
      </c>
    </row>
    <row r="242" spans="1:12" x14ac:dyDescent="0.25">
      <c r="A242" s="53">
        <v>10532</v>
      </c>
      <c r="B242" s="38" t="s">
        <v>312</v>
      </c>
      <c r="C242" s="38" t="s">
        <v>69</v>
      </c>
      <c r="D242" s="37" t="s">
        <v>284</v>
      </c>
      <c r="E242" s="71">
        <v>0</v>
      </c>
      <c r="F242" s="71">
        <v>0</v>
      </c>
      <c r="G242" s="71">
        <v>0</v>
      </c>
      <c r="H242" s="71">
        <v>0</v>
      </c>
      <c r="I242" s="71">
        <v>0</v>
      </c>
      <c r="J242" s="71">
        <v>0</v>
      </c>
      <c r="K242" s="71">
        <v>0</v>
      </c>
      <c r="L242" s="71">
        <v>0</v>
      </c>
    </row>
    <row r="243" spans="1:12" x14ac:dyDescent="0.25">
      <c r="A243" s="53">
        <v>10462</v>
      </c>
      <c r="B243" s="38" t="s">
        <v>236</v>
      </c>
      <c r="C243" s="38" t="s">
        <v>69</v>
      </c>
      <c r="D243" s="37" t="s">
        <v>284</v>
      </c>
      <c r="E243" s="71">
        <v>0</v>
      </c>
      <c r="F243" s="71">
        <v>0</v>
      </c>
      <c r="G243" s="71">
        <v>0</v>
      </c>
      <c r="H243" s="71">
        <v>0</v>
      </c>
      <c r="I243" s="71">
        <v>0</v>
      </c>
      <c r="J243" s="71">
        <v>0</v>
      </c>
      <c r="K243" s="71">
        <v>0</v>
      </c>
      <c r="L243" s="71">
        <v>0</v>
      </c>
    </row>
    <row r="244" spans="1:12" x14ac:dyDescent="0.25">
      <c r="A244" s="53">
        <v>10470</v>
      </c>
      <c r="B244" s="38" t="s">
        <v>237</v>
      </c>
      <c r="C244" s="38" t="s">
        <v>69</v>
      </c>
      <c r="D244" s="37" t="s">
        <v>284</v>
      </c>
      <c r="E244" s="71">
        <v>0</v>
      </c>
      <c r="F244" s="71">
        <v>1750</v>
      </c>
      <c r="G244" s="71">
        <v>0</v>
      </c>
      <c r="H244" s="71">
        <v>0</v>
      </c>
      <c r="I244" s="71">
        <v>250</v>
      </c>
      <c r="J244" s="71">
        <v>0</v>
      </c>
      <c r="K244" s="71">
        <v>0</v>
      </c>
      <c r="L244" s="71">
        <v>0</v>
      </c>
    </row>
    <row r="245" spans="1:12" x14ac:dyDescent="0.25">
      <c r="A245" s="53">
        <v>10535</v>
      </c>
      <c r="B245" s="38" t="s">
        <v>316</v>
      </c>
      <c r="C245" s="38" t="s">
        <v>69</v>
      </c>
      <c r="D245" s="37" t="s">
        <v>284</v>
      </c>
      <c r="E245" s="71">
        <v>0</v>
      </c>
      <c r="F245" s="71">
        <v>0</v>
      </c>
      <c r="G245" s="71">
        <v>0</v>
      </c>
      <c r="H245" s="71">
        <v>0</v>
      </c>
      <c r="I245" s="71">
        <v>0</v>
      </c>
      <c r="J245" s="71">
        <v>0</v>
      </c>
      <c r="K245" s="71">
        <v>0</v>
      </c>
      <c r="L245" s="71">
        <v>0</v>
      </c>
    </row>
    <row r="246" spans="1:12" x14ac:dyDescent="0.25">
      <c r="A246" s="53">
        <v>10600</v>
      </c>
      <c r="B246" s="38" t="s">
        <v>235</v>
      </c>
      <c r="C246" s="38" t="s">
        <v>69</v>
      </c>
      <c r="D246" s="37" t="s">
        <v>284</v>
      </c>
      <c r="E246" s="71">
        <v>0</v>
      </c>
      <c r="F246" s="71">
        <v>0</v>
      </c>
      <c r="G246" s="71">
        <v>0</v>
      </c>
      <c r="H246" s="71">
        <v>0</v>
      </c>
      <c r="I246" s="71">
        <v>0</v>
      </c>
      <c r="J246" s="71">
        <v>0</v>
      </c>
      <c r="K246" s="71">
        <v>0</v>
      </c>
      <c r="L246" s="71">
        <v>0</v>
      </c>
    </row>
    <row r="247" spans="1:12" x14ac:dyDescent="0.25">
      <c r="A247" s="53">
        <v>10624</v>
      </c>
      <c r="B247" s="38" t="s">
        <v>423</v>
      </c>
      <c r="C247" s="38" t="s">
        <v>69</v>
      </c>
      <c r="D247" s="37" t="s">
        <v>284</v>
      </c>
      <c r="E247" s="71">
        <v>0</v>
      </c>
      <c r="F247" s="71">
        <v>0</v>
      </c>
      <c r="G247" s="71">
        <v>0</v>
      </c>
      <c r="H247" s="71">
        <v>0</v>
      </c>
      <c r="I247" s="71">
        <v>0</v>
      </c>
      <c r="J247" s="71">
        <v>0</v>
      </c>
      <c r="K247" s="71">
        <v>0</v>
      </c>
      <c r="L247" s="71">
        <v>0</v>
      </c>
    </row>
    <row r="248" spans="1:12" x14ac:dyDescent="0.25">
      <c r="A248" s="53">
        <v>10274</v>
      </c>
      <c r="B248" s="38" t="s">
        <v>238</v>
      </c>
      <c r="C248" s="38" t="s">
        <v>69</v>
      </c>
      <c r="D248" s="37" t="s">
        <v>284</v>
      </c>
      <c r="E248" s="71">
        <v>2000</v>
      </c>
      <c r="F248" s="71">
        <v>0</v>
      </c>
      <c r="G248" s="71">
        <v>0</v>
      </c>
      <c r="H248" s="71">
        <v>0</v>
      </c>
      <c r="I248" s="71">
        <v>0</v>
      </c>
      <c r="J248" s="71">
        <v>0</v>
      </c>
      <c r="K248" s="71">
        <v>0</v>
      </c>
      <c r="L248" s="71">
        <v>0</v>
      </c>
    </row>
    <row r="249" spans="1:12" x14ac:dyDescent="0.25">
      <c r="A249" s="53">
        <v>10611</v>
      </c>
      <c r="B249" s="38" t="s">
        <v>387</v>
      </c>
      <c r="C249" s="38" t="s">
        <v>69</v>
      </c>
      <c r="D249" s="37" t="s">
        <v>284</v>
      </c>
      <c r="E249" s="71">
        <v>0</v>
      </c>
      <c r="F249" s="71">
        <v>0</v>
      </c>
      <c r="G249" s="71">
        <v>0</v>
      </c>
      <c r="H249" s="71">
        <v>0</v>
      </c>
      <c r="I249" s="71">
        <v>0</v>
      </c>
      <c r="J249" s="71">
        <v>0</v>
      </c>
      <c r="K249" s="71">
        <v>0</v>
      </c>
      <c r="L249" s="71">
        <v>0</v>
      </c>
    </row>
    <row r="250" spans="1:12" x14ac:dyDescent="0.25">
      <c r="A250" s="53">
        <v>10101</v>
      </c>
      <c r="B250" s="38" t="s">
        <v>239</v>
      </c>
      <c r="C250" s="38" t="s">
        <v>240</v>
      </c>
      <c r="D250" s="37" t="s">
        <v>283</v>
      </c>
      <c r="E250" s="71">
        <v>0</v>
      </c>
      <c r="F250" s="71">
        <v>98719</v>
      </c>
      <c r="G250" s="71">
        <v>78933</v>
      </c>
      <c r="H250" s="71">
        <v>0</v>
      </c>
      <c r="I250" s="71">
        <v>72442</v>
      </c>
      <c r="J250" s="71">
        <v>56213</v>
      </c>
      <c r="K250" s="71">
        <v>0</v>
      </c>
      <c r="L250" s="71">
        <v>0</v>
      </c>
    </row>
    <row r="251" spans="1:12" x14ac:dyDescent="0.25">
      <c r="A251" s="53">
        <v>10432</v>
      </c>
      <c r="B251" s="38" t="s">
        <v>241</v>
      </c>
      <c r="C251" s="38" t="s">
        <v>242</v>
      </c>
      <c r="D251" s="37" t="s">
        <v>283</v>
      </c>
      <c r="E251" s="71">
        <v>0</v>
      </c>
      <c r="F251" s="71">
        <v>41775</v>
      </c>
      <c r="G251" s="71">
        <v>16000</v>
      </c>
      <c r="H251" s="71">
        <v>0</v>
      </c>
      <c r="I251" s="71">
        <v>9450</v>
      </c>
      <c r="J251" s="71">
        <v>12040</v>
      </c>
      <c r="K251" s="71">
        <v>1120</v>
      </c>
      <c r="L251" s="71">
        <v>0</v>
      </c>
    </row>
    <row r="252" spans="1:12" x14ac:dyDescent="0.25">
      <c r="A252" s="53">
        <v>10391</v>
      </c>
      <c r="B252" s="38" t="s">
        <v>243</v>
      </c>
      <c r="C252" s="38" t="s">
        <v>242</v>
      </c>
      <c r="D252" s="37" t="s">
        <v>283</v>
      </c>
      <c r="E252" s="71">
        <v>7342</v>
      </c>
      <c r="F252" s="71">
        <v>63800</v>
      </c>
      <c r="G252" s="71">
        <v>297899</v>
      </c>
      <c r="H252" s="71">
        <v>3185</v>
      </c>
      <c r="I252" s="71">
        <v>228576</v>
      </c>
      <c r="J252" s="71">
        <v>74381</v>
      </c>
      <c r="K252" s="71">
        <f>3153+195075</f>
        <v>198228</v>
      </c>
      <c r="L252" s="71">
        <v>2679</v>
      </c>
    </row>
    <row r="253" spans="1:12" x14ac:dyDescent="0.25">
      <c r="A253" s="53">
        <v>10102</v>
      </c>
      <c r="B253" s="38" t="s">
        <v>244</v>
      </c>
      <c r="C253" s="38" t="s">
        <v>205</v>
      </c>
      <c r="D253" s="37" t="s">
        <v>275</v>
      </c>
      <c r="E253" s="71">
        <v>0</v>
      </c>
      <c r="F253" s="71">
        <v>0</v>
      </c>
      <c r="G253" s="71">
        <v>0</v>
      </c>
      <c r="H253" s="71">
        <v>0</v>
      </c>
      <c r="I253" s="71">
        <v>0</v>
      </c>
      <c r="J253" s="71">
        <v>0</v>
      </c>
      <c r="K253" s="71">
        <v>0</v>
      </c>
      <c r="L253" s="71">
        <v>0</v>
      </c>
    </row>
    <row r="254" spans="1:12" x14ac:dyDescent="0.25">
      <c r="A254" s="53">
        <v>10103</v>
      </c>
      <c r="B254" s="38" t="s">
        <v>245</v>
      </c>
      <c r="C254" s="38" t="s">
        <v>208</v>
      </c>
      <c r="D254" s="37" t="s">
        <v>284</v>
      </c>
      <c r="E254" s="71">
        <v>0</v>
      </c>
      <c r="F254" s="71">
        <v>0</v>
      </c>
      <c r="G254" s="71">
        <v>0</v>
      </c>
      <c r="H254" s="71">
        <v>0</v>
      </c>
      <c r="I254" s="71">
        <v>0</v>
      </c>
      <c r="J254" s="71">
        <v>0</v>
      </c>
      <c r="K254" s="71">
        <v>0</v>
      </c>
      <c r="L254" s="71">
        <v>0</v>
      </c>
    </row>
    <row r="255" spans="1:12" x14ac:dyDescent="0.25">
      <c r="A255" s="53">
        <v>10104</v>
      </c>
      <c r="B255" s="38" t="s">
        <v>246</v>
      </c>
      <c r="C255" s="38" t="s">
        <v>69</v>
      </c>
      <c r="D255" s="37" t="s">
        <v>284</v>
      </c>
      <c r="E255" s="71">
        <v>0</v>
      </c>
      <c r="F255" s="71">
        <v>0</v>
      </c>
      <c r="G255" s="71">
        <v>0</v>
      </c>
      <c r="H255" s="71">
        <v>0</v>
      </c>
      <c r="I255" s="71">
        <v>0</v>
      </c>
      <c r="J255" s="71">
        <v>0</v>
      </c>
      <c r="K255" s="71">
        <v>0</v>
      </c>
      <c r="L255" s="71">
        <v>0</v>
      </c>
    </row>
    <row r="256" spans="1:12" x14ac:dyDescent="0.25">
      <c r="A256" s="53">
        <v>10107</v>
      </c>
      <c r="B256" s="38" t="s">
        <v>247</v>
      </c>
      <c r="C256" s="38" t="s">
        <v>69</v>
      </c>
      <c r="D256" s="37" t="s">
        <v>284</v>
      </c>
      <c r="E256" s="71">
        <v>0</v>
      </c>
      <c r="F256" s="71">
        <v>0</v>
      </c>
      <c r="G256" s="71">
        <v>0</v>
      </c>
      <c r="H256" s="71">
        <v>0</v>
      </c>
      <c r="I256" s="71">
        <v>0</v>
      </c>
      <c r="J256" s="71">
        <v>0</v>
      </c>
      <c r="K256" s="71">
        <v>0</v>
      </c>
      <c r="L256" s="71">
        <v>0</v>
      </c>
    </row>
    <row r="257" spans="1:12" x14ac:dyDescent="0.25">
      <c r="A257" s="53">
        <v>10345</v>
      </c>
      <c r="B257" s="38" t="s">
        <v>248</v>
      </c>
      <c r="C257" s="38" t="s">
        <v>69</v>
      </c>
      <c r="D257" s="37" t="s">
        <v>284</v>
      </c>
      <c r="E257" s="71">
        <v>0</v>
      </c>
      <c r="F257" s="71">
        <v>0</v>
      </c>
      <c r="G257" s="71">
        <v>0</v>
      </c>
      <c r="H257" s="71">
        <v>0</v>
      </c>
      <c r="I257" s="71">
        <v>0</v>
      </c>
      <c r="J257" s="71">
        <v>0</v>
      </c>
      <c r="K257" s="71">
        <v>0</v>
      </c>
      <c r="L257" s="71">
        <v>0</v>
      </c>
    </row>
    <row r="258" spans="1:12" x14ac:dyDescent="0.25">
      <c r="A258" s="53">
        <v>10292</v>
      </c>
      <c r="B258" s="38" t="s">
        <v>249</v>
      </c>
      <c r="C258" s="38" t="s">
        <v>69</v>
      </c>
      <c r="D258" s="37" t="s">
        <v>284</v>
      </c>
      <c r="E258" s="71">
        <v>0</v>
      </c>
      <c r="F258" s="71">
        <v>0</v>
      </c>
      <c r="G258" s="71">
        <v>0</v>
      </c>
      <c r="H258" s="71">
        <v>0</v>
      </c>
      <c r="I258" s="71">
        <v>0</v>
      </c>
      <c r="J258" s="71">
        <v>0</v>
      </c>
      <c r="K258" s="71">
        <v>0</v>
      </c>
      <c r="L258" s="71">
        <v>0</v>
      </c>
    </row>
    <row r="259" spans="1:12" x14ac:dyDescent="0.25">
      <c r="A259" s="53">
        <v>10402</v>
      </c>
      <c r="B259" s="38" t="s">
        <v>250</v>
      </c>
      <c r="C259" s="38" t="s">
        <v>69</v>
      </c>
      <c r="D259" s="37" t="s">
        <v>284</v>
      </c>
      <c r="E259" s="71">
        <v>0</v>
      </c>
      <c r="F259" s="71">
        <v>0</v>
      </c>
      <c r="G259" s="71">
        <v>0</v>
      </c>
      <c r="H259" s="71">
        <v>0</v>
      </c>
      <c r="I259" s="71">
        <v>0</v>
      </c>
      <c r="J259" s="71">
        <v>0</v>
      </c>
      <c r="K259" s="71">
        <v>0</v>
      </c>
      <c r="L259" s="71">
        <v>0</v>
      </c>
    </row>
    <row r="260" spans="1:12" x14ac:dyDescent="0.25">
      <c r="A260" s="53">
        <v>10493</v>
      </c>
      <c r="B260" s="38" t="s">
        <v>251</v>
      </c>
      <c r="C260" s="38" t="s">
        <v>69</v>
      </c>
      <c r="D260" s="37" t="s">
        <v>284</v>
      </c>
      <c r="E260" s="71">
        <v>0</v>
      </c>
      <c r="F260" s="71">
        <v>0</v>
      </c>
      <c r="G260" s="71">
        <v>0</v>
      </c>
      <c r="H260" s="71">
        <v>0</v>
      </c>
      <c r="I260" s="71">
        <v>0</v>
      </c>
      <c r="J260" s="71">
        <v>0</v>
      </c>
      <c r="K260" s="71">
        <v>0</v>
      </c>
      <c r="L260" s="71">
        <v>0</v>
      </c>
    </row>
    <row r="261" spans="1:12" x14ac:dyDescent="0.25">
      <c r="A261" s="53">
        <v>10426</v>
      </c>
      <c r="B261" s="38" t="s">
        <v>252</v>
      </c>
      <c r="C261" s="38" t="s">
        <v>69</v>
      </c>
      <c r="D261" s="37" t="s">
        <v>284</v>
      </c>
      <c r="E261" s="71">
        <v>0</v>
      </c>
      <c r="F261" s="71">
        <v>0</v>
      </c>
      <c r="G261" s="71">
        <v>0</v>
      </c>
      <c r="H261" s="71">
        <v>0</v>
      </c>
      <c r="I261" s="71">
        <v>0</v>
      </c>
      <c r="J261" s="71">
        <v>0</v>
      </c>
      <c r="K261" s="71">
        <v>0</v>
      </c>
      <c r="L261" s="71">
        <v>0</v>
      </c>
    </row>
    <row r="262" spans="1:12" x14ac:dyDescent="0.25">
      <c r="A262" s="53">
        <v>10455</v>
      </c>
      <c r="B262" s="38" t="s">
        <v>253</v>
      </c>
      <c r="C262" s="38" t="s">
        <v>69</v>
      </c>
      <c r="D262" s="37" t="s">
        <v>284</v>
      </c>
      <c r="E262" s="71">
        <v>0</v>
      </c>
      <c r="F262" s="71">
        <v>0</v>
      </c>
      <c r="G262" s="71">
        <v>0</v>
      </c>
      <c r="H262" s="71">
        <v>0</v>
      </c>
      <c r="I262" s="71">
        <v>0</v>
      </c>
      <c r="J262" s="71">
        <v>0</v>
      </c>
      <c r="K262" s="71">
        <v>0</v>
      </c>
      <c r="L262" s="71">
        <v>0</v>
      </c>
    </row>
    <row r="263" spans="1:12" x14ac:dyDescent="0.25">
      <c r="A263" s="56">
        <v>10642</v>
      </c>
      <c r="B263" s="66" t="s">
        <v>424</v>
      </c>
      <c r="C263" s="66" t="s">
        <v>69</v>
      </c>
      <c r="D263" s="59" t="s">
        <v>284</v>
      </c>
      <c r="E263" s="71">
        <v>0</v>
      </c>
      <c r="F263" s="71">
        <v>0</v>
      </c>
      <c r="G263" s="71">
        <v>0</v>
      </c>
      <c r="H263" s="71">
        <v>0</v>
      </c>
      <c r="I263" s="71">
        <v>0</v>
      </c>
      <c r="J263" s="71">
        <v>0</v>
      </c>
      <c r="K263" s="71">
        <v>0</v>
      </c>
      <c r="L263" s="71">
        <v>0</v>
      </c>
    </row>
    <row r="264" spans="1:12" x14ac:dyDescent="0.25">
      <c r="A264" s="53">
        <v>10556</v>
      </c>
      <c r="B264" s="38" t="s">
        <v>329</v>
      </c>
      <c r="C264" s="38" t="s">
        <v>69</v>
      </c>
      <c r="D264" s="37" t="s">
        <v>284</v>
      </c>
      <c r="E264" s="71">
        <v>0</v>
      </c>
      <c r="F264" s="71">
        <v>0</v>
      </c>
      <c r="G264" s="71">
        <v>0</v>
      </c>
      <c r="H264" s="71">
        <v>0</v>
      </c>
      <c r="I264" s="71">
        <v>0</v>
      </c>
      <c r="J264" s="71">
        <v>0</v>
      </c>
      <c r="K264" s="71">
        <v>0</v>
      </c>
      <c r="L264" s="71">
        <v>0</v>
      </c>
    </row>
    <row r="265" spans="1:12" x14ac:dyDescent="0.25">
      <c r="A265" s="56">
        <v>10632</v>
      </c>
      <c r="B265" s="66" t="s">
        <v>400</v>
      </c>
      <c r="C265" s="66" t="s">
        <v>69</v>
      </c>
      <c r="D265" s="59" t="s">
        <v>284</v>
      </c>
      <c r="E265" s="71">
        <v>0</v>
      </c>
      <c r="F265" s="71">
        <v>0</v>
      </c>
      <c r="G265" s="71">
        <v>0</v>
      </c>
      <c r="H265" s="71">
        <v>0</v>
      </c>
      <c r="I265" s="71">
        <v>0</v>
      </c>
      <c r="J265" s="71">
        <v>0</v>
      </c>
      <c r="K265" s="71">
        <v>0</v>
      </c>
      <c r="L265" s="71">
        <v>0</v>
      </c>
    </row>
    <row r="266" spans="1:12" x14ac:dyDescent="0.25">
      <c r="A266" s="53">
        <v>10420</v>
      </c>
      <c r="B266" s="38" t="s">
        <v>254</v>
      </c>
      <c r="C266" s="38" t="s">
        <v>69</v>
      </c>
      <c r="D266" s="37" t="s">
        <v>284</v>
      </c>
      <c r="E266" s="71">
        <v>0</v>
      </c>
      <c r="F266" s="71">
        <v>0</v>
      </c>
      <c r="G266" s="71">
        <v>0</v>
      </c>
      <c r="H266" s="71">
        <v>0</v>
      </c>
      <c r="I266" s="71">
        <v>0</v>
      </c>
      <c r="J266" s="71">
        <v>0</v>
      </c>
      <c r="K266" s="71">
        <v>0</v>
      </c>
      <c r="L266" s="71">
        <v>0</v>
      </c>
    </row>
    <row r="267" spans="1:12" x14ac:dyDescent="0.25">
      <c r="A267" s="53">
        <v>10112</v>
      </c>
      <c r="B267" s="38" t="s">
        <v>255</v>
      </c>
      <c r="C267" s="38" t="s">
        <v>451</v>
      </c>
      <c r="D267" s="37" t="s">
        <v>284</v>
      </c>
      <c r="E267" s="71">
        <v>0</v>
      </c>
      <c r="F267" s="71">
        <v>0</v>
      </c>
      <c r="G267" s="71">
        <v>0</v>
      </c>
      <c r="H267" s="71">
        <v>0</v>
      </c>
      <c r="I267" s="71">
        <v>0</v>
      </c>
      <c r="J267" s="71">
        <v>0</v>
      </c>
      <c r="K267" s="71">
        <v>0</v>
      </c>
      <c r="L267" s="71">
        <v>0</v>
      </c>
    </row>
    <row r="268" spans="1:12" x14ac:dyDescent="0.25">
      <c r="A268" s="53">
        <v>10549</v>
      </c>
      <c r="B268" s="38" t="s">
        <v>333</v>
      </c>
      <c r="C268" s="38" t="s">
        <v>69</v>
      </c>
      <c r="D268" s="37" t="s">
        <v>284</v>
      </c>
      <c r="E268" s="71">
        <v>0</v>
      </c>
      <c r="F268" s="71">
        <v>0</v>
      </c>
      <c r="G268" s="71">
        <v>0</v>
      </c>
      <c r="H268" s="71">
        <v>0</v>
      </c>
      <c r="I268" s="71">
        <v>0</v>
      </c>
      <c r="J268" s="71">
        <v>0</v>
      </c>
      <c r="K268" s="71">
        <v>0</v>
      </c>
      <c r="L268" s="71">
        <v>0</v>
      </c>
    </row>
    <row r="269" spans="1:12" x14ac:dyDescent="0.25">
      <c r="A269" s="53">
        <v>10113</v>
      </c>
      <c r="B269" s="38" t="s">
        <v>256</v>
      </c>
      <c r="C269" s="38" t="s">
        <v>69</v>
      </c>
      <c r="D269" s="37" t="s">
        <v>284</v>
      </c>
      <c r="E269" s="71">
        <v>0</v>
      </c>
      <c r="F269" s="71">
        <v>0</v>
      </c>
      <c r="G269" s="71">
        <v>0</v>
      </c>
      <c r="H269" s="71">
        <v>0</v>
      </c>
      <c r="I269" s="71">
        <v>0</v>
      </c>
      <c r="J269" s="71">
        <v>0</v>
      </c>
      <c r="K269" s="71">
        <v>0</v>
      </c>
      <c r="L269" s="71">
        <v>0</v>
      </c>
    </row>
    <row r="270" spans="1:12" x14ac:dyDescent="0.25">
      <c r="A270" s="53">
        <v>10568</v>
      </c>
      <c r="B270" s="38" t="s">
        <v>338</v>
      </c>
      <c r="C270" s="38" t="s">
        <v>47</v>
      </c>
      <c r="D270" s="37" t="s">
        <v>411</v>
      </c>
      <c r="E270" s="71">
        <v>0</v>
      </c>
      <c r="F270" s="71">
        <v>22440</v>
      </c>
      <c r="G270" s="71">
        <v>0</v>
      </c>
      <c r="H270" s="71">
        <v>0</v>
      </c>
      <c r="I270" s="71">
        <v>0</v>
      </c>
      <c r="J270" s="71">
        <v>25425</v>
      </c>
      <c r="K270" s="71">
        <v>0</v>
      </c>
      <c r="L270" s="71">
        <v>0</v>
      </c>
    </row>
    <row r="271" spans="1:12" x14ac:dyDescent="0.25">
      <c r="A271" s="53">
        <v>10613</v>
      </c>
      <c r="B271" s="38" t="s">
        <v>389</v>
      </c>
      <c r="C271" s="38" t="s">
        <v>69</v>
      </c>
      <c r="D271" s="37" t="s">
        <v>284</v>
      </c>
      <c r="E271" s="71">
        <v>0</v>
      </c>
      <c r="F271" s="71">
        <v>0</v>
      </c>
      <c r="G271" s="71">
        <v>0</v>
      </c>
      <c r="H271" s="71">
        <v>0</v>
      </c>
      <c r="I271" s="71">
        <v>0</v>
      </c>
      <c r="J271" s="71">
        <v>0</v>
      </c>
      <c r="K271" s="71">
        <v>0</v>
      </c>
      <c r="L271" s="71">
        <v>0</v>
      </c>
    </row>
    <row r="272" spans="1:12" x14ac:dyDescent="0.25">
      <c r="A272" s="53">
        <v>10114</v>
      </c>
      <c r="B272" s="38" t="s">
        <v>257</v>
      </c>
      <c r="C272" s="38" t="s">
        <v>69</v>
      </c>
      <c r="D272" s="37" t="s">
        <v>284</v>
      </c>
      <c r="E272" s="71">
        <v>0</v>
      </c>
      <c r="F272" s="71">
        <v>0</v>
      </c>
      <c r="G272" s="71">
        <v>0</v>
      </c>
      <c r="H272" s="71">
        <v>0</v>
      </c>
      <c r="I272" s="71">
        <v>0</v>
      </c>
      <c r="J272" s="71">
        <v>0</v>
      </c>
      <c r="K272" s="71">
        <v>0</v>
      </c>
      <c r="L272" s="71">
        <v>0</v>
      </c>
    </row>
    <row r="273" spans="1:12" x14ac:dyDescent="0.25">
      <c r="A273" s="53">
        <v>10136</v>
      </c>
      <c r="B273" s="38" t="s">
        <v>258</v>
      </c>
      <c r="C273" s="38" t="s">
        <v>69</v>
      </c>
      <c r="D273" s="37" t="s">
        <v>284</v>
      </c>
      <c r="E273" s="71">
        <v>0</v>
      </c>
      <c r="F273" s="71">
        <v>0</v>
      </c>
      <c r="G273" s="71">
        <v>0</v>
      </c>
      <c r="H273" s="71">
        <v>0</v>
      </c>
      <c r="I273" s="71">
        <v>0</v>
      </c>
      <c r="J273" s="71">
        <v>0</v>
      </c>
      <c r="K273" s="71">
        <v>0</v>
      </c>
      <c r="L273" s="71">
        <v>0</v>
      </c>
    </row>
    <row r="274" spans="1:12" x14ac:dyDescent="0.25">
      <c r="A274" s="53">
        <v>10285</v>
      </c>
      <c r="B274" s="38" t="s">
        <v>259</v>
      </c>
      <c r="C274" s="38" t="s">
        <v>69</v>
      </c>
      <c r="D274" s="37" t="s">
        <v>284</v>
      </c>
      <c r="E274" s="71">
        <v>0</v>
      </c>
      <c r="F274" s="71">
        <v>0</v>
      </c>
      <c r="G274" s="71">
        <v>0</v>
      </c>
      <c r="H274" s="71">
        <v>0</v>
      </c>
      <c r="I274" s="71">
        <v>0</v>
      </c>
      <c r="J274" s="71">
        <v>0</v>
      </c>
      <c r="K274" s="71">
        <v>0</v>
      </c>
      <c r="L274" s="71">
        <v>0</v>
      </c>
    </row>
    <row r="275" spans="1:12" x14ac:dyDescent="0.25">
      <c r="A275" s="53">
        <v>10456</v>
      </c>
      <c r="B275" s="38" t="s">
        <v>260</v>
      </c>
      <c r="C275" s="38" t="s">
        <v>69</v>
      </c>
      <c r="D275" s="37" t="s">
        <v>284</v>
      </c>
      <c r="E275" s="71">
        <v>0</v>
      </c>
      <c r="F275" s="71">
        <v>0</v>
      </c>
      <c r="G275" s="71">
        <v>0</v>
      </c>
      <c r="H275" s="71">
        <v>0</v>
      </c>
      <c r="I275" s="71">
        <v>0</v>
      </c>
      <c r="J275" s="71">
        <v>0</v>
      </c>
      <c r="K275" s="71">
        <v>0</v>
      </c>
      <c r="L275" s="71">
        <v>0</v>
      </c>
    </row>
    <row r="276" spans="1:12" x14ac:dyDescent="0.25">
      <c r="A276" s="53">
        <v>10117</v>
      </c>
      <c r="B276" s="38" t="s">
        <v>261</v>
      </c>
      <c r="C276" s="38" t="s">
        <v>69</v>
      </c>
      <c r="D276" s="37" t="s">
        <v>284</v>
      </c>
      <c r="E276" s="71">
        <v>0</v>
      </c>
      <c r="F276" s="71">
        <v>0</v>
      </c>
      <c r="G276" s="71">
        <v>0</v>
      </c>
      <c r="H276" s="71">
        <v>0</v>
      </c>
      <c r="I276" s="71">
        <v>0</v>
      </c>
      <c r="J276" s="71">
        <v>0</v>
      </c>
      <c r="K276" s="71">
        <v>0</v>
      </c>
      <c r="L276" s="71">
        <v>0</v>
      </c>
    </row>
    <row r="277" spans="1:12" x14ac:dyDescent="0.25">
      <c r="A277" s="53">
        <v>10452</v>
      </c>
      <c r="B277" s="38" t="s">
        <v>262</v>
      </c>
      <c r="C277" s="38" t="s">
        <v>69</v>
      </c>
      <c r="D277" s="37" t="s">
        <v>284</v>
      </c>
      <c r="E277" s="71">
        <v>0</v>
      </c>
      <c r="F277" s="71">
        <v>0</v>
      </c>
      <c r="G277" s="71">
        <v>0</v>
      </c>
      <c r="H277" s="71">
        <v>0</v>
      </c>
      <c r="I277" s="71">
        <v>0</v>
      </c>
      <c r="J277" s="71">
        <v>0</v>
      </c>
      <c r="K277" s="71">
        <v>0</v>
      </c>
      <c r="L277" s="71">
        <v>0</v>
      </c>
    </row>
    <row r="278" spans="1:12" x14ac:dyDescent="0.25">
      <c r="A278" s="53">
        <v>10118</v>
      </c>
      <c r="B278" s="38" t="s">
        <v>263</v>
      </c>
      <c r="C278" s="38" t="s">
        <v>69</v>
      </c>
      <c r="D278" s="37" t="s">
        <v>284</v>
      </c>
      <c r="E278" s="71">
        <v>0</v>
      </c>
      <c r="F278" s="71">
        <v>0</v>
      </c>
      <c r="G278" s="71">
        <v>0</v>
      </c>
      <c r="H278" s="71">
        <v>0</v>
      </c>
      <c r="I278" s="71">
        <v>0</v>
      </c>
      <c r="J278" s="71">
        <v>0</v>
      </c>
      <c r="K278" s="71">
        <v>0</v>
      </c>
      <c r="L278" s="71">
        <v>0</v>
      </c>
    </row>
    <row r="279" spans="1:12" x14ac:dyDescent="0.25">
      <c r="A279" s="53">
        <v>10119</v>
      </c>
      <c r="B279" s="38" t="s">
        <v>264</v>
      </c>
      <c r="C279" s="38" t="s">
        <v>69</v>
      </c>
      <c r="D279" s="37" t="s">
        <v>284</v>
      </c>
      <c r="E279" s="71">
        <v>0</v>
      </c>
      <c r="F279" s="71">
        <v>2750</v>
      </c>
      <c r="G279" s="71">
        <v>0</v>
      </c>
      <c r="H279" s="71">
        <v>0</v>
      </c>
      <c r="I279" s="71">
        <v>0</v>
      </c>
      <c r="J279" s="71">
        <v>0</v>
      </c>
      <c r="K279" s="71">
        <v>0</v>
      </c>
      <c r="L279" s="71">
        <v>0</v>
      </c>
    </row>
    <row r="280" spans="1:12" x14ac:dyDescent="0.25">
      <c r="A280" s="53">
        <v>10120</v>
      </c>
      <c r="B280" s="38" t="s">
        <v>265</v>
      </c>
      <c r="C280" s="38" t="s">
        <v>69</v>
      </c>
      <c r="D280" s="37" t="s">
        <v>284</v>
      </c>
      <c r="E280" s="71">
        <v>0</v>
      </c>
      <c r="F280" s="71">
        <v>0</v>
      </c>
      <c r="G280" s="71">
        <v>0</v>
      </c>
      <c r="H280" s="71">
        <v>0</v>
      </c>
      <c r="I280" s="71">
        <v>0</v>
      </c>
      <c r="J280" s="71">
        <v>0</v>
      </c>
      <c r="K280" s="71">
        <v>0</v>
      </c>
      <c r="L280" s="71">
        <v>0</v>
      </c>
    </row>
    <row r="281" spans="1:12" x14ac:dyDescent="0.25">
      <c r="A281" s="53">
        <v>10557</v>
      </c>
      <c r="B281" s="38" t="s">
        <v>330</v>
      </c>
      <c r="C281" s="38" t="s">
        <v>69</v>
      </c>
      <c r="D281" s="37" t="s">
        <v>284</v>
      </c>
      <c r="E281" s="71">
        <v>0</v>
      </c>
      <c r="F281" s="71">
        <v>0</v>
      </c>
      <c r="G281" s="71">
        <v>0</v>
      </c>
      <c r="H281" s="71">
        <v>0</v>
      </c>
      <c r="I281" s="71">
        <v>0</v>
      </c>
      <c r="J281" s="71">
        <v>0</v>
      </c>
      <c r="K281" s="71">
        <v>0</v>
      </c>
      <c r="L281" s="71">
        <v>0</v>
      </c>
    </row>
    <row r="282" spans="1:12" x14ac:dyDescent="0.25">
      <c r="A282" s="53">
        <v>10122</v>
      </c>
      <c r="B282" s="38" t="s">
        <v>266</v>
      </c>
      <c r="C282" s="38" t="s">
        <v>69</v>
      </c>
      <c r="D282" s="37" t="s">
        <v>284</v>
      </c>
      <c r="E282" s="71">
        <v>0</v>
      </c>
      <c r="F282" s="71">
        <v>0</v>
      </c>
      <c r="G282" s="71">
        <v>0</v>
      </c>
      <c r="H282" s="71">
        <v>0</v>
      </c>
      <c r="I282" s="71">
        <v>0</v>
      </c>
      <c r="J282" s="71">
        <v>0</v>
      </c>
      <c r="K282" s="71">
        <v>0</v>
      </c>
      <c r="L282" s="71">
        <v>0</v>
      </c>
    </row>
    <row r="283" spans="1:12" x14ac:dyDescent="0.25">
      <c r="A283" s="53">
        <v>10124</v>
      </c>
      <c r="B283" s="38" t="s">
        <v>267</v>
      </c>
      <c r="C283" s="38" t="s">
        <v>69</v>
      </c>
      <c r="D283" s="37" t="s">
        <v>284</v>
      </c>
      <c r="E283" s="71">
        <v>0</v>
      </c>
      <c r="F283" s="71">
        <v>0</v>
      </c>
      <c r="G283" s="71">
        <v>0</v>
      </c>
      <c r="H283" s="71">
        <v>0</v>
      </c>
      <c r="I283" s="71">
        <v>0</v>
      </c>
      <c r="J283" s="71">
        <v>0</v>
      </c>
      <c r="K283" s="71">
        <v>0</v>
      </c>
      <c r="L283" s="71">
        <v>0</v>
      </c>
    </row>
    <row r="284" spans="1:12" x14ac:dyDescent="0.25">
      <c r="A284" s="53">
        <v>10427</v>
      </c>
      <c r="B284" s="38" t="s">
        <v>268</v>
      </c>
      <c r="C284" s="38" t="s">
        <v>69</v>
      </c>
      <c r="D284" s="37" t="s">
        <v>284</v>
      </c>
      <c r="E284" s="71">
        <v>0</v>
      </c>
      <c r="F284" s="71">
        <v>0</v>
      </c>
      <c r="G284" s="71">
        <v>0</v>
      </c>
      <c r="H284" s="71">
        <v>0</v>
      </c>
      <c r="I284" s="71">
        <v>0</v>
      </c>
      <c r="J284" s="71">
        <v>0</v>
      </c>
      <c r="K284" s="71">
        <v>0</v>
      </c>
      <c r="L284" s="71">
        <v>0</v>
      </c>
    </row>
    <row r="285" spans="1:12" x14ac:dyDescent="0.25">
      <c r="A285" s="53">
        <v>10126</v>
      </c>
      <c r="B285" s="38" t="s">
        <v>269</v>
      </c>
      <c r="C285" s="38" t="s">
        <v>69</v>
      </c>
      <c r="D285" s="37" t="s">
        <v>284</v>
      </c>
      <c r="E285" s="71">
        <v>0</v>
      </c>
      <c r="F285" s="71">
        <v>0</v>
      </c>
      <c r="G285" s="71">
        <v>0</v>
      </c>
      <c r="H285" s="71">
        <v>0</v>
      </c>
      <c r="I285" s="71">
        <v>0</v>
      </c>
      <c r="J285" s="71">
        <v>0</v>
      </c>
      <c r="K285" s="71">
        <v>0</v>
      </c>
      <c r="L285" s="71">
        <v>0</v>
      </c>
    </row>
    <row r="286" spans="1:12" x14ac:dyDescent="0.25">
      <c r="A286" s="53">
        <v>10155</v>
      </c>
      <c r="B286" s="38" t="s">
        <v>270</v>
      </c>
      <c r="C286" s="38" t="s">
        <v>69</v>
      </c>
      <c r="D286" s="37" t="s">
        <v>284</v>
      </c>
      <c r="E286" s="71">
        <v>0</v>
      </c>
      <c r="F286" s="71">
        <v>0</v>
      </c>
      <c r="G286" s="71">
        <v>0</v>
      </c>
      <c r="H286" s="71">
        <v>0</v>
      </c>
      <c r="I286" s="71">
        <v>0</v>
      </c>
      <c r="J286" s="71">
        <v>0</v>
      </c>
      <c r="K286" s="71">
        <v>0</v>
      </c>
      <c r="L286" s="71">
        <v>0</v>
      </c>
    </row>
    <row r="287" spans="1:12" x14ac:dyDescent="0.25">
      <c r="A287" s="53">
        <v>10128</v>
      </c>
      <c r="B287" s="38" t="s">
        <v>271</v>
      </c>
      <c r="C287" s="38" t="s">
        <v>69</v>
      </c>
      <c r="D287" s="37" t="s">
        <v>284</v>
      </c>
      <c r="E287" s="71">
        <v>0</v>
      </c>
      <c r="F287" s="71">
        <v>0</v>
      </c>
      <c r="G287" s="71">
        <v>0</v>
      </c>
      <c r="H287" s="71">
        <v>0</v>
      </c>
      <c r="I287" s="71">
        <v>0</v>
      </c>
      <c r="J287" s="71">
        <v>0</v>
      </c>
      <c r="K287" s="71">
        <v>0</v>
      </c>
      <c r="L287" s="71">
        <v>0</v>
      </c>
    </row>
    <row r="288" spans="1:12" x14ac:dyDescent="0.25">
      <c r="A288" s="53">
        <v>10129</v>
      </c>
      <c r="B288" s="38" t="s">
        <v>272</v>
      </c>
      <c r="C288" s="38" t="s">
        <v>69</v>
      </c>
      <c r="D288" s="37" t="s">
        <v>284</v>
      </c>
      <c r="E288" s="71">
        <v>0</v>
      </c>
      <c r="F288" s="71">
        <v>0</v>
      </c>
      <c r="G288" s="71">
        <v>0</v>
      </c>
      <c r="H288" s="71">
        <v>0</v>
      </c>
      <c r="I288" s="71">
        <v>0</v>
      </c>
      <c r="J288" s="71">
        <v>0</v>
      </c>
      <c r="K288" s="71">
        <v>0</v>
      </c>
      <c r="L288" s="71">
        <v>0</v>
      </c>
    </row>
    <row r="289" spans="1:12" x14ac:dyDescent="0.25">
      <c r="A289" s="53">
        <v>10643</v>
      </c>
      <c r="B289" s="38" t="s">
        <v>394</v>
      </c>
      <c r="C289" s="38" t="s">
        <v>553</v>
      </c>
      <c r="D289" s="37" t="s">
        <v>283</v>
      </c>
      <c r="E289" s="71">
        <v>0</v>
      </c>
      <c r="F289" s="71">
        <v>0</v>
      </c>
      <c r="G289" s="71">
        <v>0</v>
      </c>
      <c r="H289" s="71">
        <v>0</v>
      </c>
      <c r="I289" s="71">
        <v>0</v>
      </c>
      <c r="J289" s="71">
        <v>0</v>
      </c>
      <c r="K289" s="71">
        <v>0</v>
      </c>
      <c r="L289" s="71">
        <v>0</v>
      </c>
    </row>
    <row r="290" spans="1:12" x14ac:dyDescent="0.25">
      <c r="A290" s="53">
        <v>10645</v>
      </c>
      <c r="B290" s="38" t="s">
        <v>550</v>
      </c>
      <c r="C290" s="38" t="s">
        <v>69</v>
      </c>
      <c r="D290" s="37" t="s">
        <v>284</v>
      </c>
      <c r="E290" s="71">
        <v>0</v>
      </c>
      <c r="F290" s="71">
        <v>0</v>
      </c>
      <c r="G290" s="71">
        <v>0</v>
      </c>
      <c r="H290" s="71">
        <v>0</v>
      </c>
      <c r="I290" s="71">
        <v>0</v>
      </c>
      <c r="J290" s="71">
        <v>0</v>
      </c>
      <c r="K290" s="71">
        <v>15000</v>
      </c>
      <c r="L290" s="71">
        <v>15000</v>
      </c>
    </row>
    <row r="291" spans="1:12" x14ac:dyDescent="0.25">
      <c r="A291" s="53">
        <v>10646</v>
      </c>
      <c r="B291" s="38" t="s">
        <v>551</v>
      </c>
      <c r="C291" s="38" t="s">
        <v>554</v>
      </c>
      <c r="D291" s="37" t="s">
        <v>290</v>
      </c>
      <c r="E291" s="71">
        <v>0</v>
      </c>
      <c r="F291" s="71">
        <v>0</v>
      </c>
      <c r="G291" s="71">
        <v>0</v>
      </c>
      <c r="H291" s="71">
        <v>0</v>
      </c>
      <c r="I291" s="71">
        <v>0</v>
      </c>
      <c r="J291" s="71">
        <v>0</v>
      </c>
      <c r="K291" s="71">
        <v>0</v>
      </c>
      <c r="L291" s="71">
        <v>0</v>
      </c>
    </row>
    <row r="292" spans="1:12" x14ac:dyDescent="0.25">
      <c r="A292" s="53">
        <v>10647</v>
      </c>
      <c r="B292" s="38" t="s">
        <v>552</v>
      </c>
      <c r="C292" s="38" t="s">
        <v>149</v>
      </c>
      <c r="D292" s="37" t="s">
        <v>280</v>
      </c>
      <c r="E292" s="71">
        <v>0</v>
      </c>
      <c r="F292" s="71">
        <v>0</v>
      </c>
      <c r="G292" s="71">
        <v>0</v>
      </c>
      <c r="H292" s="71">
        <v>0</v>
      </c>
      <c r="I292" s="71">
        <v>0</v>
      </c>
      <c r="J292" s="71">
        <v>0</v>
      </c>
      <c r="K292" s="71">
        <v>0</v>
      </c>
      <c r="L292" s="71">
        <v>0</v>
      </c>
    </row>
    <row r="293" spans="1:12" x14ac:dyDescent="0.25">
      <c r="A293" s="53">
        <v>10644</v>
      </c>
      <c r="B293" s="38" t="s">
        <v>555</v>
      </c>
      <c r="C293" s="38" t="s">
        <v>451</v>
      </c>
      <c r="D293" s="37" t="s">
        <v>284</v>
      </c>
      <c r="E293" s="71">
        <v>0</v>
      </c>
      <c r="F293" s="71">
        <v>1750</v>
      </c>
      <c r="G293" s="71">
        <v>0</v>
      </c>
      <c r="H293" s="71">
        <v>0</v>
      </c>
      <c r="I293" s="71">
        <v>0</v>
      </c>
      <c r="J293" s="71">
        <v>0</v>
      </c>
      <c r="K293" s="71">
        <v>0</v>
      </c>
      <c r="L293" s="71">
        <v>0</v>
      </c>
    </row>
    <row r="294" spans="1:12" x14ac:dyDescent="0.25">
      <c r="A294" s="85">
        <v>10390</v>
      </c>
      <c r="B294" s="38" t="s">
        <v>556</v>
      </c>
      <c r="C294" s="38" t="s">
        <v>557</v>
      </c>
      <c r="D294" s="37" t="s">
        <v>291</v>
      </c>
      <c r="E294" s="71">
        <v>0</v>
      </c>
      <c r="F294" s="71">
        <v>0</v>
      </c>
      <c r="G294" s="71">
        <v>0</v>
      </c>
      <c r="H294" s="71">
        <v>0</v>
      </c>
      <c r="I294" s="71">
        <v>0</v>
      </c>
      <c r="J294" s="71">
        <v>0</v>
      </c>
      <c r="K294" s="71">
        <v>0</v>
      </c>
      <c r="L294" s="71">
        <v>0</v>
      </c>
    </row>
    <row r="295" spans="1:12" x14ac:dyDescent="0.25">
      <c r="A295" s="53">
        <v>10648</v>
      </c>
      <c r="B295" s="38" t="s">
        <v>558</v>
      </c>
      <c r="C295" s="38" t="s">
        <v>69</v>
      </c>
      <c r="D295" s="37" t="s">
        <v>284</v>
      </c>
      <c r="E295" s="71">
        <v>0</v>
      </c>
      <c r="F295" s="71">
        <v>0</v>
      </c>
      <c r="G295" s="71">
        <v>0</v>
      </c>
      <c r="H295" s="71">
        <v>0</v>
      </c>
      <c r="I295" s="71">
        <v>0</v>
      </c>
      <c r="J295" s="71">
        <v>0</v>
      </c>
      <c r="K295" s="71">
        <v>0</v>
      </c>
      <c r="L295" s="71">
        <v>0</v>
      </c>
    </row>
    <row r="296" spans="1:12" x14ac:dyDescent="0.25">
      <c r="A296" s="14">
        <v>10649</v>
      </c>
      <c r="B296" s="15" t="s">
        <v>559</v>
      </c>
      <c r="C296" s="15" t="s">
        <v>560</v>
      </c>
      <c r="D296" s="14" t="s">
        <v>572</v>
      </c>
      <c r="E296" s="71">
        <v>0</v>
      </c>
      <c r="F296" s="71">
        <v>0</v>
      </c>
      <c r="G296" s="71">
        <v>0</v>
      </c>
      <c r="H296" s="71">
        <v>0</v>
      </c>
      <c r="I296" s="71">
        <v>0</v>
      </c>
      <c r="J296" s="71">
        <v>0</v>
      </c>
      <c r="K296" s="71">
        <v>0</v>
      </c>
      <c r="L296" s="71">
        <v>0</v>
      </c>
    </row>
    <row r="297" spans="1:12" x14ac:dyDescent="0.25">
      <c r="A297" s="14">
        <v>10650</v>
      </c>
      <c r="B297" s="15" t="s">
        <v>561</v>
      </c>
      <c r="C297" s="15" t="s">
        <v>337</v>
      </c>
      <c r="D297" s="14" t="s">
        <v>573</v>
      </c>
      <c r="E297" s="71">
        <v>0</v>
      </c>
      <c r="F297" s="71">
        <v>0</v>
      </c>
      <c r="G297" s="71">
        <v>0</v>
      </c>
      <c r="H297" s="71">
        <v>0</v>
      </c>
      <c r="I297" s="71">
        <v>27571</v>
      </c>
      <c r="J297" s="71">
        <v>26035</v>
      </c>
      <c r="K297" s="71">
        <v>0</v>
      </c>
      <c r="L297" s="71">
        <v>23113</v>
      </c>
    </row>
    <row r="298" spans="1:12" x14ac:dyDescent="0.25">
      <c r="A298" s="14">
        <v>10651</v>
      </c>
      <c r="B298" s="15" t="s">
        <v>562</v>
      </c>
      <c r="C298" s="15" t="s">
        <v>337</v>
      </c>
      <c r="D298" s="14" t="s">
        <v>573</v>
      </c>
      <c r="E298" s="71">
        <v>0</v>
      </c>
      <c r="F298" s="71">
        <v>0</v>
      </c>
      <c r="G298" s="71">
        <v>0</v>
      </c>
      <c r="H298" s="71">
        <v>28544</v>
      </c>
      <c r="I298" s="71">
        <v>0</v>
      </c>
      <c r="J298" s="71">
        <v>26989</v>
      </c>
      <c r="K298" s="71">
        <v>26407</v>
      </c>
      <c r="L298" s="71">
        <v>0</v>
      </c>
    </row>
    <row r="299" spans="1:12" x14ac:dyDescent="0.25">
      <c r="A299" s="14">
        <v>10652</v>
      </c>
      <c r="B299" s="15" t="s">
        <v>563</v>
      </c>
      <c r="C299" s="15" t="s">
        <v>23</v>
      </c>
      <c r="D299" s="14" t="s">
        <v>574</v>
      </c>
      <c r="E299" s="71">
        <v>0</v>
      </c>
      <c r="F299" s="71">
        <v>0</v>
      </c>
      <c r="G299" s="71">
        <v>0</v>
      </c>
      <c r="H299" s="71">
        <v>0</v>
      </c>
      <c r="I299" s="71">
        <v>0</v>
      </c>
      <c r="J299" s="71">
        <v>0</v>
      </c>
      <c r="K299" s="71">
        <v>0</v>
      </c>
      <c r="L299" s="71">
        <v>0</v>
      </c>
    </row>
    <row r="300" spans="1:12" x14ac:dyDescent="0.25">
      <c r="A300" s="14">
        <v>10653</v>
      </c>
      <c r="B300" s="15" t="s">
        <v>564</v>
      </c>
      <c r="C300" s="15" t="s">
        <v>23</v>
      </c>
      <c r="D300" s="14" t="s">
        <v>574</v>
      </c>
      <c r="E300" s="71">
        <v>0</v>
      </c>
      <c r="F300" s="71">
        <v>0</v>
      </c>
      <c r="G300" s="71">
        <v>0</v>
      </c>
      <c r="H300" s="71">
        <v>0</v>
      </c>
      <c r="I300" s="71">
        <v>0</v>
      </c>
      <c r="J300" s="71">
        <v>0</v>
      </c>
      <c r="K300" s="71">
        <v>0</v>
      </c>
      <c r="L300" s="71">
        <v>2000</v>
      </c>
    </row>
    <row r="301" spans="1:12" x14ac:dyDescent="0.25">
      <c r="A301" s="14">
        <v>10654</v>
      </c>
      <c r="B301" s="15" t="s">
        <v>565</v>
      </c>
      <c r="C301" s="15" t="s">
        <v>23</v>
      </c>
      <c r="D301" s="14" t="s">
        <v>574</v>
      </c>
      <c r="E301" s="71">
        <v>0</v>
      </c>
      <c r="F301" s="71">
        <v>0</v>
      </c>
      <c r="G301" s="71">
        <v>0</v>
      </c>
      <c r="H301" s="71">
        <v>0</v>
      </c>
      <c r="I301" s="71">
        <v>0</v>
      </c>
      <c r="J301" s="71">
        <v>0</v>
      </c>
      <c r="K301" s="71">
        <v>0</v>
      </c>
      <c r="L301" s="71">
        <v>1000</v>
      </c>
    </row>
    <row r="302" spans="1:12" x14ac:dyDescent="0.25">
      <c r="A302" s="14">
        <v>10655</v>
      </c>
      <c r="B302" s="15" t="s">
        <v>566</v>
      </c>
      <c r="C302" s="15" t="s">
        <v>337</v>
      </c>
      <c r="D302" s="14" t="s">
        <v>575</v>
      </c>
      <c r="E302" s="71">
        <v>0</v>
      </c>
      <c r="F302" s="71">
        <v>0</v>
      </c>
      <c r="G302" s="71">
        <v>0</v>
      </c>
      <c r="H302" s="71">
        <v>31583</v>
      </c>
      <c r="I302" s="71">
        <v>53023</v>
      </c>
      <c r="J302" s="71">
        <v>25447</v>
      </c>
      <c r="K302" s="71">
        <v>26923</v>
      </c>
      <c r="L302" s="71">
        <v>25566</v>
      </c>
    </row>
    <row r="303" spans="1:12" x14ac:dyDescent="0.25">
      <c r="A303" s="14">
        <v>10656</v>
      </c>
      <c r="B303" s="15" t="s">
        <v>567</v>
      </c>
      <c r="C303" s="15" t="s">
        <v>23</v>
      </c>
      <c r="D303" s="14" t="s">
        <v>574</v>
      </c>
      <c r="E303" s="71">
        <v>0</v>
      </c>
      <c r="F303" s="71">
        <v>0</v>
      </c>
      <c r="G303" s="71">
        <v>0</v>
      </c>
      <c r="H303" s="71">
        <v>0</v>
      </c>
      <c r="I303" s="71">
        <v>0</v>
      </c>
      <c r="J303" s="71">
        <v>0</v>
      </c>
      <c r="K303" s="71">
        <v>0</v>
      </c>
      <c r="L303" s="71">
        <v>0</v>
      </c>
    </row>
    <row r="304" spans="1:12" x14ac:dyDescent="0.25">
      <c r="A304" s="14">
        <v>10657</v>
      </c>
      <c r="B304" s="15" t="s">
        <v>568</v>
      </c>
      <c r="C304" s="15" t="s">
        <v>69</v>
      </c>
      <c r="D304" s="14" t="s">
        <v>284</v>
      </c>
      <c r="E304" s="71">
        <v>0</v>
      </c>
      <c r="F304" s="71">
        <v>0</v>
      </c>
      <c r="G304" s="71">
        <v>0</v>
      </c>
      <c r="H304" s="71">
        <v>0</v>
      </c>
      <c r="I304" s="71">
        <v>0</v>
      </c>
      <c r="J304" s="71">
        <v>0</v>
      </c>
      <c r="K304" s="71">
        <v>0</v>
      </c>
      <c r="L304" s="71">
        <v>0</v>
      </c>
    </row>
    <row r="305" spans="1:12" x14ac:dyDescent="0.25">
      <c r="A305" s="14">
        <v>10658</v>
      </c>
      <c r="B305" s="15" t="s">
        <v>569</v>
      </c>
      <c r="C305" s="15" t="s">
        <v>69</v>
      </c>
      <c r="D305" s="14" t="s">
        <v>284</v>
      </c>
      <c r="E305" s="71">
        <v>0</v>
      </c>
      <c r="F305" s="71">
        <v>0</v>
      </c>
      <c r="G305" s="71">
        <v>0</v>
      </c>
      <c r="H305" s="71">
        <v>0</v>
      </c>
      <c r="I305" s="71">
        <v>0</v>
      </c>
      <c r="J305" s="71">
        <v>0</v>
      </c>
      <c r="K305" s="71">
        <v>0</v>
      </c>
      <c r="L305" s="71">
        <v>0</v>
      </c>
    </row>
    <row r="306" spans="1:12" x14ac:dyDescent="0.25">
      <c r="A306" s="14">
        <v>10659</v>
      </c>
      <c r="B306" s="15" t="s">
        <v>570</v>
      </c>
      <c r="C306" s="15" t="s">
        <v>571</v>
      </c>
      <c r="D306" s="14" t="s">
        <v>290</v>
      </c>
      <c r="E306" s="71">
        <v>0</v>
      </c>
      <c r="F306" s="71">
        <v>0</v>
      </c>
      <c r="G306" s="71">
        <v>0</v>
      </c>
      <c r="H306" s="71">
        <v>0</v>
      </c>
      <c r="I306" s="71">
        <v>0</v>
      </c>
      <c r="J306" s="71">
        <v>0</v>
      </c>
      <c r="K306" s="71">
        <v>0</v>
      </c>
      <c r="L306" s="71">
        <v>0</v>
      </c>
    </row>
    <row r="307" spans="1:12" x14ac:dyDescent="0.25">
      <c r="A307" s="14">
        <v>10660</v>
      </c>
      <c r="B307" s="15" t="s">
        <v>660</v>
      </c>
      <c r="C307" s="15" t="s">
        <v>347</v>
      </c>
      <c r="D307" s="14" t="s">
        <v>283</v>
      </c>
      <c r="E307" s="71">
        <v>0</v>
      </c>
      <c r="F307" s="71">
        <v>0</v>
      </c>
      <c r="G307" s="71">
        <v>0</v>
      </c>
      <c r="H307" s="71">
        <v>0</v>
      </c>
      <c r="I307" s="71">
        <v>0</v>
      </c>
      <c r="J307" s="71">
        <v>0</v>
      </c>
      <c r="K307" s="71">
        <v>0</v>
      </c>
      <c r="L307" s="71">
        <v>0</v>
      </c>
    </row>
    <row r="308" spans="1:12" x14ac:dyDescent="0.25">
      <c r="A308" s="14">
        <v>10661</v>
      </c>
      <c r="B308" s="15" t="s">
        <v>661</v>
      </c>
      <c r="C308" s="15" t="s">
        <v>23</v>
      </c>
      <c r="D308" s="14" t="s">
        <v>279</v>
      </c>
      <c r="E308" s="71">
        <v>0</v>
      </c>
      <c r="F308" s="71">
        <v>0</v>
      </c>
      <c r="G308" s="71">
        <v>0</v>
      </c>
      <c r="H308" s="71">
        <v>0</v>
      </c>
      <c r="I308" s="71">
        <v>0</v>
      </c>
      <c r="J308" s="71">
        <v>0</v>
      </c>
      <c r="K308" s="71">
        <v>0</v>
      </c>
      <c r="L308" s="71">
        <v>0</v>
      </c>
    </row>
    <row r="309" spans="1:12" x14ac:dyDescent="0.25">
      <c r="A309" s="14">
        <v>10662</v>
      </c>
      <c r="B309" s="15" t="s">
        <v>662</v>
      </c>
      <c r="C309" s="15" t="s">
        <v>23</v>
      </c>
      <c r="D309" s="14" t="s">
        <v>279</v>
      </c>
      <c r="E309" s="71">
        <v>0</v>
      </c>
      <c r="F309" s="71">
        <v>0</v>
      </c>
      <c r="G309" s="71">
        <v>0</v>
      </c>
      <c r="H309" s="71">
        <v>0</v>
      </c>
      <c r="I309" s="71">
        <v>0</v>
      </c>
      <c r="J309" s="71">
        <v>0</v>
      </c>
      <c r="K309" s="71">
        <v>0</v>
      </c>
      <c r="L309" s="71">
        <v>0</v>
      </c>
    </row>
    <row r="310" spans="1:12" x14ac:dyDescent="0.25">
      <c r="A310" s="14">
        <v>10663</v>
      </c>
      <c r="B310" s="15" t="s">
        <v>775</v>
      </c>
      <c r="C310" s="15" t="s">
        <v>776</v>
      </c>
      <c r="D310" s="14" t="s">
        <v>283</v>
      </c>
      <c r="E310" s="71">
        <v>0</v>
      </c>
      <c r="F310" s="71">
        <v>0</v>
      </c>
      <c r="G310" s="71">
        <v>0</v>
      </c>
      <c r="H310" s="71">
        <v>0</v>
      </c>
      <c r="I310" s="71">
        <v>0</v>
      </c>
      <c r="J310" s="71">
        <v>8600</v>
      </c>
      <c r="K310" s="71">
        <v>0</v>
      </c>
      <c r="L310" s="71">
        <v>6750</v>
      </c>
    </row>
    <row r="311" spans="1:12" x14ac:dyDescent="0.25">
      <c r="A311" s="14">
        <v>10664</v>
      </c>
      <c r="B311" s="15" t="s">
        <v>777</v>
      </c>
      <c r="C311" s="15" t="s">
        <v>23</v>
      </c>
      <c r="D311" s="14" t="s">
        <v>279</v>
      </c>
      <c r="E311" s="71">
        <v>0</v>
      </c>
      <c r="F311" s="71">
        <v>0</v>
      </c>
      <c r="G311" s="71">
        <v>0</v>
      </c>
      <c r="H311" s="71">
        <v>0</v>
      </c>
      <c r="I311" s="71">
        <v>0</v>
      </c>
      <c r="J311" s="71">
        <v>0</v>
      </c>
      <c r="K311" s="71">
        <v>0</v>
      </c>
      <c r="L311" s="71">
        <v>0</v>
      </c>
    </row>
    <row r="312" spans="1:12" x14ac:dyDescent="0.25">
      <c r="A312" s="14">
        <v>10665</v>
      </c>
      <c r="B312" s="15" t="s">
        <v>778</v>
      </c>
      <c r="C312" s="15" t="s">
        <v>23</v>
      </c>
      <c r="D312" s="14" t="s">
        <v>279</v>
      </c>
      <c r="E312" s="71">
        <v>0</v>
      </c>
      <c r="F312" s="71">
        <v>0</v>
      </c>
      <c r="G312" s="71">
        <v>0</v>
      </c>
      <c r="H312" s="71">
        <v>0</v>
      </c>
      <c r="I312" s="71">
        <v>0</v>
      </c>
      <c r="J312" s="71">
        <v>0</v>
      </c>
      <c r="K312" s="71">
        <v>0</v>
      </c>
      <c r="L312" s="71">
        <v>0</v>
      </c>
    </row>
    <row r="313" spans="1:12" x14ac:dyDescent="0.25">
      <c r="A313" s="14">
        <v>10666</v>
      </c>
      <c r="B313" s="15" t="s">
        <v>779</v>
      </c>
      <c r="C313" s="15" t="s">
        <v>23</v>
      </c>
      <c r="D313" s="14" t="s">
        <v>279</v>
      </c>
      <c r="E313" s="71">
        <v>0</v>
      </c>
      <c r="F313" s="71">
        <v>0</v>
      </c>
      <c r="G313" s="71">
        <v>0</v>
      </c>
      <c r="H313" s="71">
        <v>0</v>
      </c>
      <c r="I313" s="71">
        <v>0</v>
      </c>
      <c r="J313" s="71">
        <v>0</v>
      </c>
      <c r="K313" s="71">
        <v>0</v>
      </c>
      <c r="L313" s="71">
        <v>0</v>
      </c>
    </row>
    <row r="314" spans="1:12" x14ac:dyDescent="0.25">
      <c r="A314" s="14">
        <v>10667</v>
      </c>
      <c r="B314" s="15" t="s">
        <v>201</v>
      </c>
      <c r="C314" s="15" t="s">
        <v>23</v>
      </c>
      <c r="D314" s="14" t="s">
        <v>279</v>
      </c>
      <c r="E314" s="71">
        <v>0</v>
      </c>
      <c r="F314" s="71">
        <v>0</v>
      </c>
      <c r="G314" s="71">
        <v>0</v>
      </c>
      <c r="H314" s="71">
        <v>0</v>
      </c>
      <c r="I314" s="71">
        <v>0</v>
      </c>
      <c r="J314" s="71">
        <v>0</v>
      </c>
      <c r="K314" s="71">
        <v>0</v>
      </c>
      <c r="L314" s="71">
        <v>0</v>
      </c>
    </row>
    <row r="315" spans="1:12" x14ac:dyDescent="0.25">
      <c r="A315" s="14">
        <v>10668</v>
      </c>
      <c r="B315" s="15" t="s">
        <v>780</v>
      </c>
      <c r="C315" s="15" t="s">
        <v>781</v>
      </c>
      <c r="D315" s="14" t="s">
        <v>282</v>
      </c>
      <c r="E315" s="71">
        <v>0</v>
      </c>
      <c r="F315" s="71">
        <v>0</v>
      </c>
      <c r="G315" s="71">
        <v>0</v>
      </c>
      <c r="H315" s="71">
        <v>0</v>
      </c>
      <c r="I315" s="71">
        <v>0</v>
      </c>
      <c r="J315" s="71">
        <v>0</v>
      </c>
      <c r="K315" s="71">
        <v>0</v>
      </c>
      <c r="L315" s="71">
        <v>0</v>
      </c>
    </row>
    <row r="316" spans="1:12" x14ac:dyDescent="0.25">
      <c r="A316" s="14">
        <v>10670</v>
      </c>
      <c r="B316" s="15" t="s">
        <v>782</v>
      </c>
      <c r="C316" s="15" t="s">
        <v>783</v>
      </c>
      <c r="D316" s="14" t="s">
        <v>288</v>
      </c>
      <c r="E316" s="71">
        <v>0</v>
      </c>
      <c r="F316" s="71">
        <v>0</v>
      </c>
      <c r="G316" s="71">
        <v>0</v>
      </c>
      <c r="H316" s="71">
        <v>0</v>
      </c>
      <c r="I316" s="71">
        <v>0</v>
      </c>
      <c r="J316" s="71">
        <v>0</v>
      </c>
      <c r="K316" s="71">
        <v>0</v>
      </c>
      <c r="L316" s="71">
        <v>0</v>
      </c>
    </row>
    <row r="317" spans="1:12" x14ac:dyDescent="0.25">
      <c r="A317" s="14">
        <v>10671</v>
      </c>
      <c r="B317" s="15" t="s">
        <v>784</v>
      </c>
      <c r="C317" s="15" t="s">
        <v>69</v>
      </c>
      <c r="D317" s="14" t="s">
        <v>284</v>
      </c>
      <c r="E317" s="71">
        <v>0</v>
      </c>
      <c r="F317" s="71">
        <v>0</v>
      </c>
      <c r="G317" s="71">
        <v>0</v>
      </c>
      <c r="H317" s="71">
        <v>0</v>
      </c>
      <c r="I317" s="71">
        <v>0</v>
      </c>
      <c r="J317" s="71">
        <v>0</v>
      </c>
      <c r="K317" s="71">
        <v>0</v>
      </c>
      <c r="L317" s="71">
        <v>0</v>
      </c>
    </row>
    <row r="318" spans="1:12" x14ac:dyDescent="0.25">
      <c r="A318" s="14">
        <v>10672</v>
      </c>
      <c r="B318" s="15" t="s">
        <v>785</v>
      </c>
      <c r="C318" s="15" t="s">
        <v>69</v>
      </c>
      <c r="D318" s="14" t="s">
        <v>284</v>
      </c>
      <c r="E318" s="71">
        <v>0</v>
      </c>
      <c r="F318" s="71">
        <v>0</v>
      </c>
      <c r="G318" s="71">
        <v>0</v>
      </c>
      <c r="H318" s="71">
        <v>0</v>
      </c>
      <c r="I318" s="71">
        <v>0</v>
      </c>
      <c r="J318" s="71">
        <v>0</v>
      </c>
      <c r="K318" s="71">
        <v>0</v>
      </c>
      <c r="L318" s="71">
        <v>0</v>
      </c>
    </row>
    <row r="319" spans="1:12" x14ac:dyDescent="0.25">
      <c r="A319" s="14">
        <v>10673</v>
      </c>
      <c r="B319" s="15" t="s">
        <v>786</v>
      </c>
      <c r="C319" s="15" t="s">
        <v>69</v>
      </c>
      <c r="D319" s="14" t="s">
        <v>284</v>
      </c>
      <c r="E319" s="71">
        <v>0</v>
      </c>
      <c r="F319" s="71">
        <v>0</v>
      </c>
      <c r="G319" s="71">
        <v>0</v>
      </c>
      <c r="H319" s="71">
        <v>0</v>
      </c>
      <c r="I319" s="71">
        <v>0</v>
      </c>
      <c r="J319" s="71">
        <v>0</v>
      </c>
      <c r="K319" s="71">
        <v>0</v>
      </c>
      <c r="L319" s="71">
        <v>0</v>
      </c>
    </row>
    <row r="320" spans="1:12" x14ac:dyDescent="0.25">
      <c r="A320" s="14">
        <v>10674</v>
      </c>
      <c r="B320" s="15" t="s">
        <v>787</v>
      </c>
      <c r="C320" s="15" t="s">
        <v>69</v>
      </c>
      <c r="D320" s="14" t="s">
        <v>284</v>
      </c>
      <c r="E320" s="71">
        <v>0</v>
      </c>
      <c r="F320" s="71">
        <v>0</v>
      </c>
      <c r="G320" s="71">
        <v>0</v>
      </c>
      <c r="H320" s="71">
        <v>0</v>
      </c>
      <c r="I320" s="71">
        <v>0</v>
      </c>
      <c r="J320" s="71">
        <v>0</v>
      </c>
      <c r="K320" s="71">
        <v>0</v>
      </c>
      <c r="L320" s="71">
        <v>0</v>
      </c>
    </row>
    <row r="321" spans="1:12" x14ac:dyDescent="0.25">
      <c r="A321" s="14">
        <v>10669</v>
      </c>
      <c r="B321" s="15" t="s">
        <v>788</v>
      </c>
      <c r="C321" s="15" t="s">
        <v>69</v>
      </c>
      <c r="D321" s="14" t="s">
        <v>284</v>
      </c>
      <c r="E321" s="71">
        <v>0</v>
      </c>
      <c r="F321" s="71">
        <v>0</v>
      </c>
      <c r="G321" s="71">
        <v>0</v>
      </c>
      <c r="H321" s="71">
        <v>0</v>
      </c>
      <c r="I321" s="71">
        <v>0</v>
      </c>
      <c r="J321" s="71">
        <v>0</v>
      </c>
      <c r="K321" s="71">
        <v>0</v>
      </c>
      <c r="L321" s="71">
        <v>0</v>
      </c>
    </row>
    <row r="322" spans="1:12" x14ac:dyDescent="0.25">
      <c r="A322" s="14">
        <v>10675</v>
      </c>
      <c r="B322" s="15" t="s">
        <v>792</v>
      </c>
      <c r="C322" s="15" t="s">
        <v>69</v>
      </c>
      <c r="D322" s="14" t="s">
        <v>284</v>
      </c>
      <c r="E322" s="71">
        <v>0</v>
      </c>
      <c r="F322" s="71">
        <v>0</v>
      </c>
      <c r="G322" s="71">
        <v>0</v>
      </c>
      <c r="H322" s="71">
        <v>0</v>
      </c>
      <c r="I322" s="71">
        <v>0</v>
      </c>
      <c r="J322" s="71">
        <v>0</v>
      </c>
      <c r="K322" s="71">
        <v>0</v>
      </c>
      <c r="L322" s="71">
        <v>0</v>
      </c>
    </row>
    <row r="323" spans="1:12" x14ac:dyDescent="0.25">
      <c r="A323" s="14">
        <v>10676</v>
      </c>
      <c r="B323" s="15" t="s">
        <v>855</v>
      </c>
      <c r="C323" s="15" t="s">
        <v>69</v>
      </c>
      <c r="D323" s="14" t="s">
        <v>284</v>
      </c>
      <c r="E323" s="71">
        <v>0</v>
      </c>
      <c r="F323" s="71">
        <v>0</v>
      </c>
      <c r="G323" s="71">
        <v>0</v>
      </c>
      <c r="H323" s="71">
        <v>0</v>
      </c>
      <c r="I323" s="71">
        <v>0</v>
      </c>
      <c r="J323" s="71">
        <v>0</v>
      </c>
      <c r="K323" s="71">
        <v>0</v>
      </c>
      <c r="L323" s="71">
        <v>0</v>
      </c>
    </row>
    <row r="324" spans="1:12" x14ac:dyDescent="0.25">
      <c r="A324" s="14">
        <v>10677</v>
      </c>
      <c r="B324" s="15" t="s">
        <v>856</v>
      </c>
      <c r="C324" s="15" t="s">
        <v>69</v>
      </c>
      <c r="D324" s="14" t="s">
        <v>284</v>
      </c>
      <c r="E324" s="71">
        <v>0</v>
      </c>
      <c r="F324" s="71">
        <v>0</v>
      </c>
      <c r="G324" s="71">
        <v>0</v>
      </c>
      <c r="H324" s="71">
        <v>0</v>
      </c>
      <c r="I324" s="71">
        <v>0</v>
      </c>
      <c r="J324" s="71">
        <v>0</v>
      </c>
      <c r="K324" s="71">
        <v>0</v>
      </c>
      <c r="L324" s="71">
        <v>0</v>
      </c>
    </row>
    <row r="325" spans="1:12" x14ac:dyDescent="0.25">
      <c r="A325" s="14">
        <v>10678</v>
      </c>
      <c r="B325" s="15" t="s">
        <v>857</v>
      </c>
      <c r="C325" s="15" t="s">
        <v>337</v>
      </c>
      <c r="D325" s="14" t="s">
        <v>573</v>
      </c>
      <c r="E325" s="71">
        <v>0</v>
      </c>
      <c r="F325" s="71">
        <v>0</v>
      </c>
      <c r="G325" s="71">
        <v>0</v>
      </c>
      <c r="H325" s="71">
        <v>0</v>
      </c>
      <c r="I325" s="71">
        <v>0</v>
      </c>
      <c r="J325" s="71">
        <v>0</v>
      </c>
      <c r="K325" s="71">
        <v>27773</v>
      </c>
      <c r="L325" s="71">
        <v>89991</v>
      </c>
    </row>
    <row r="326" spans="1:12" x14ac:dyDescent="0.25">
      <c r="A326" s="14">
        <v>10679</v>
      </c>
      <c r="B326" s="15" t="s">
        <v>858</v>
      </c>
      <c r="C326" s="15" t="s">
        <v>342</v>
      </c>
      <c r="D326" s="14" t="s">
        <v>287</v>
      </c>
      <c r="E326" s="71">
        <v>0</v>
      </c>
      <c r="F326" s="71">
        <v>0</v>
      </c>
      <c r="G326" s="71">
        <v>0</v>
      </c>
      <c r="H326" s="71">
        <v>0</v>
      </c>
      <c r="I326" s="71">
        <v>0</v>
      </c>
      <c r="J326" s="71">
        <v>11148</v>
      </c>
      <c r="K326" s="71">
        <v>0</v>
      </c>
      <c r="L326" s="71">
        <v>0</v>
      </c>
    </row>
    <row r="327" spans="1:12" x14ac:dyDescent="0.25">
      <c r="A327" s="14">
        <v>10680</v>
      </c>
      <c r="B327" s="15" t="s">
        <v>859</v>
      </c>
      <c r="C327" s="15" t="s">
        <v>23</v>
      </c>
      <c r="D327" s="14" t="s">
        <v>279</v>
      </c>
      <c r="E327" s="71">
        <v>0</v>
      </c>
      <c r="F327" s="71">
        <v>0</v>
      </c>
      <c r="G327" s="71">
        <v>0</v>
      </c>
      <c r="H327" s="71">
        <v>0</v>
      </c>
      <c r="I327" s="71">
        <v>0</v>
      </c>
      <c r="J327" s="71">
        <v>0</v>
      </c>
      <c r="K327" s="71">
        <v>0</v>
      </c>
      <c r="L327" s="71">
        <v>0</v>
      </c>
    </row>
    <row r="328" spans="1:12" x14ac:dyDescent="0.25">
      <c r="A328" s="14">
        <v>10681</v>
      </c>
      <c r="B328" s="15" t="s">
        <v>860</v>
      </c>
      <c r="C328" s="15" t="s">
        <v>69</v>
      </c>
      <c r="D328" s="14" t="s">
        <v>284</v>
      </c>
      <c r="E328" s="71">
        <v>0</v>
      </c>
      <c r="F328" s="71">
        <v>0</v>
      </c>
      <c r="G328" s="71">
        <v>0</v>
      </c>
      <c r="H328" s="71">
        <v>0</v>
      </c>
      <c r="I328" s="71">
        <v>0</v>
      </c>
      <c r="J328" s="71">
        <v>0</v>
      </c>
      <c r="K328" s="71">
        <v>0</v>
      </c>
      <c r="L328" s="71">
        <v>0</v>
      </c>
    </row>
    <row r="329" spans="1:12" x14ac:dyDescent="0.25">
      <c r="A329" s="14">
        <v>10682</v>
      </c>
      <c r="B329" s="15" t="s">
        <v>861</v>
      </c>
      <c r="C329" s="15" t="s">
        <v>69</v>
      </c>
      <c r="D329" s="14" t="s">
        <v>284</v>
      </c>
      <c r="E329" s="71">
        <v>0</v>
      </c>
      <c r="F329" s="71">
        <v>0</v>
      </c>
      <c r="G329" s="71">
        <v>0</v>
      </c>
      <c r="H329" s="71">
        <v>0</v>
      </c>
      <c r="I329" s="71">
        <v>0</v>
      </c>
      <c r="J329" s="71">
        <v>0</v>
      </c>
      <c r="K329" s="71">
        <v>0</v>
      </c>
      <c r="L329" s="71">
        <v>0</v>
      </c>
    </row>
    <row r="330" spans="1:12" x14ac:dyDescent="0.25">
      <c r="A330" s="14">
        <v>10683</v>
      </c>
      <c r="B330" s="15" t="s">
        <v>862</v>
      </c>
      <c r="C330" s="15" t="s">
        <v>55</v>
      </c>
      <c r="D330" s="14" t="s">
        <v>572</v>
      </c>
      <c r="E330" s="71">
        <v>0</v>
      </c>
      <c r="F330" s="71">
        <v>0</v>
      </c>
      <c r="G330" s="71">
        <v>0</v>
      </c>
      <c r="H330" s="71">
        <v>0</v>
      </c>
      <c r="I330" s="71">
        <v>0</v>
      </c>
      <c r="J330" s="71">
        <v>0</v>
      </c>
      <c r="K330" s="71">
        <v>0</v>
      </c>
      <c r="L330" s="71">
        <v>0</v>
      </c>
    </row>
    <row r="331" spans="1:12" x14ac:dyDescent="0.25">
      <c r="A331" s="14">
        <v>10684</v>
      </c>
      <c r="B331" s="15" t="s">
        <v>972</v>
      </c>
      <c r="C331" s="15" t="s">
        <v>337</v>
      </c>
      <c r="D331" s="14" t="s">
        <v>573</v>
      </c>
      <c r="E331" s="71">
        <v>0</v>
      </c>
      <c r="F331" s="71">
        <v>0</v>
      </c>
      <c r="G331" s="71">
        <v>0</v>
      </c>
      <c r="H331" s="71">
        <v>0</v>
      </c>
      <c r="I331" s="71">
        <v>0</v>
      </c>
      <c r="J331" s="71">
        <v>0</v>
      </c>
      <c r="K331" s="71">
        <v>29394</v>
      </c>
      <c r="L331" s="71">
        <v>57163</v>
      </c>
    </row>
    <row r="332" spans="1:12" x14ac:dyDescent="0.25">
      <c r="A332" s="14">
        <v>10685</v>
      </c>
      <c r="B332" s="15" t="s">
        <v>973</v>
      </c>
      <c r="C332" s="15" t="s">
        <v>149</v>
      </c>
      <c r="D332" s="14" t="s">
        <v>280</v>
      </c>
      <c r="E332" s="71">
        <v>0</v>
      </c>
      <c r="F332" s="71">
        <v>0</v>
      </c>
      <c r="G332" s="71">
        <v>0</v>
      </c>
      <c r="H332" s="71">
        <v>0</v>
      </c>
      <c r="I332" s="71">
        <v>0</v>
      </c>
      <c r="J332" s="71">
        <v>0</v>
      </c>
      <c r="K332" s="71">
        <v>0</v>
      </c>
      <c r="L332" s="71">
        <v>0</v>
      </c>
    </row>
    <row r="333" spans="1:12" x14ac:dyDescent="0.25">
      <c r="A333" s="14">
        <v>10686</v>
      </c>
      <c r="B333" s="15" t="s">
        <v>974</v>
      </c>
      <c r="C333" s="15" t="s">
        <v>347</v>
      </c>
      <c r="D333" s="14" t="s">
        <v>284</v>
      </c>
      <c r="E333" s="71">
        <v>0</v>
      </c>
      <c r="F333" s="71">
        <v>0</v>
      </c>
      <c r="G333" s="71">
        <v>0</v>
      </c>
      <c r="H333" s="71">
        <v>0</v>
      </c>
      <c r="I333" s="71">
        <v>0</v>
      </c>
      <c r="J333" s="71">
        <v>0</v>
      </c>
      <c r="K333" s="71">
        <v>0</v>
      </c>
      <c r="L333" s="71">
        <v>0</v>
      </c>
    </row>
    <row r="334" spans="1:12" x14ac:dyDescent="0.25">
      <c r="A334" s="14">
        <v>10689</v>
      </c>
      <c r="B334" s="15" t="s">
        <v>975</v>
      </c>
      <c r="C334" s="15" t="s">
        <v>69</v>
      </c>
      <c r="D334" s="14" t="s">
        <v>284</v>
      </c>
      <c r="E334" s="71">
        <v>0</v>
      </c>
      <c r="F334" s="71">
        <v>0</v>
      </c>
      <c r="G334" s="71">
        <v>0</v>
      </c>
      <c r="H334" s="71">
        <v>0</v>
      </c>
      <c r="I334" s="71">
        <v>0</v>
      </c>
      <c r="J334" s="71">
        <v>0</v>
      </c>
      <c r="K334" s="71">
        <v>0</v>
      </c>
      <c r="L334" s="71">
        <v>0</v>
      </c>
    </row>
    <row r="335" spans="1:12" x14ac:dyDescent="0.25">
      <c r="A335" s="14">
        <v>10690</v>
      </c>
      <c r="B335" s="15" t="s">
        <v>976</v>
      </c>
      <c r="C335" s="15" t="s">
        <v>23</v>
      </c>
      <c r="D335" s="14" t="s">
        <v>279</v>
      </c>
      <c r="E335" s="71">
        <v>0</v>
      </c>
      <c r="F335" s="71">
        <v>0</v>
      </c>
      <c r="G335" s="71">
        <v>0</v>
      </c>
      <c r="H335" s="71">
        <v>0</v>
      </c>
      <c r="I335" s="71">
        <v>0</v>
      </c>
      <c r="J335" s="71">
        <v>0</v>
      </c>
      <c r="K335" s="71">
        <v>0</v>
      </c>
      <c r="L335" s="71">
        <v>0</v>
      </c>
    </row>
    <row r="336" spans="1:12" x14ac:dyDescent="0.25">
      <c r="A336" s="14">
        <v>10691</v>
      </c>
      <c r="B336" s="15" t="s">
        <v>977</v>
      </c>
      <c r="C336" s="15" t="s">
        <v>23</v>
      </c>
      <c r="D336" s="14" t="s">
        <v>279</v>
      </c>
      <c r="E336" s="71">
        <v>0</v>
      </c>
      <c r="F336" s="71">
        <v>0</v>
      </c>
      <c r="G336" s="71">
        <v>0</v>
      </c>
      <c r="H336" s="71">
        <v>0</v>
      </c>
      <c r="I336" s="71">
        <v>0</v>
      </c>
      <c r="J336" s="71">
        <v>0</v>
      </c>
      <c r="K336" s="71">
        <v>0</v>
      </c>
      <c r="L336" s="71">
        <v>0</v>
      </c>
    </row>
    <row r="337" spans="1:12" x14ac:dyDescent="0.25">
      <c r="A337" s="14">
        <v>10692</v>
      </c>
      <c r="B337" s="15" t="s">
        <v>978</v>
      </c>
      <c r="C337" s="15" t="s">
        <v>337</v>
      </c>
      <c r="D337" s="14" t="s">
        <v>575</v>
      </c>
      <c r="E337" s="71">
        <v>0</v>
      </c>
      <c r="F337" s="71">
        <v>0</v>
      </c>
      <c r="G337" s="71">
        <v>0</v>
      </c>
      <c r="H337" s="71">
        <v>0</v>
      </c>
      <c r="I337" s="71">
        <v>0</v>
      </c>
      <c r="J337" s="71">
        <v>0</v>
      </c>
      <c r="K337" s="71">
        <v>57189</v>
      </c>
      <c r="L337" s="71">
        <v>131254</v>
      </c>
    </row>
    <row r="338" spans="1:12" x14ac:dyDescent="0.25">
      <c r="A338" s="14">
        <v>10693</v>
      </c>
      <c r="B338" s="15" t="s">
        <v>979</v>
      </c>
      <c r="C338" s="15" t="s">
        <v>23</v>
      </c>
      <c r="D338" s="14" t="s">
        <v>279</v>
      </c>
      <c r="E338" s="71">
        <v>0</v>
      </c>
      <c r="F338" s="71">
        <v>0</v>
      </c>
      <c r="G338" s="71">
        <v>0</v>
      </c>
      <c r="H338" s="71">
        <v>0</v>
      </c>
      <c r="I338" s="71">
        <v>0</v>
      </c>
      <c r="J338" s="71">
        <v>0</v>
      </c>
      <c r="K338" s="71">
        <v>0</v>
      </c>
      <c r="L338" s="71">
        <v>0</v>
      </c>
    </row>
    <row r="339" spans="1:12" x14ac:dyDescent="0.25">
      <c r="A339" s="14">
        <v>10694</v>
      </c>
      <c r="B339" s="15" t="s">
        <v>139</v>
      </c>
      <c r="C339" s="15" t="s">
        <v>23</v>
      </c>
      <c r="D339" s="14" t="s">
        <v>279</v>
      </c>
      <c r="E339" s="71">
        <v>0</v>
      </c>
      <c r="F339" s="71">
        <v>0</v>
      </c>
      <c r="G339" s="71">
        <v>0</v>
      </c>
      <c r="H339" s="71">
        <v>0</v>
      </c>
      <c r="I339" s="71">
        <v>0</v>
      </c>
      <c r="J339" s="71">
        <v>0</v>
      </c>
      <c r="K339" s="71">
        <v>0</v>
      </c>
      <c r="L339" s="71">
        <v>0</v>
      </c>
    </row>
    <row r="340" spans="1:12" x14ac:dyDescent="0.25">
      <c r="A340" s="14">
        <v>10695</v>
      </c>
      <c r="B340" s="15" t="s">
        <v>980</v>
      </c>
      <c r="C340" s="15" t="s">
        <v>69</v>
      </c>
      <c r="D340" s="14" t="s">
        <v>284</v>
      </c>
      <c r="E340" s="71">
        <v>0</v>
      </c>
      <c r="F340" s="71">
        <v>0</v>
      </c>
      <c r="G340" s="71">
        <v>0</v>
      </c>
      <c r="H340" s="71">
        <v>0</v>
      </c>
      <c r="I340" s="71">
        <v>0</v>
      </c>
      <c r="J340" s="71">
        <v>0</v>
      </c>
      <c r="K340" s="71">
        <v>0</v>
      </c>
      <c r="L340" s="71">
        <v>0</v>
      </c>
    </row>
    <row r="341" spans="1:12" x14ac:dyDescent="0.25">
      <c r="A341" s="14">
        <v>10696</v>
      </c>
      <c r="B341" s="15" t="s">
        <v>1091</v>
      </c>
      <c r="C341" s="15" t="s">
        <v>23</v>
      </c>
      <c r="D341" s="14" t="s">
        <v>1099</v>
      </c>
      <c r="E341" s="71">
        <v>0</v>
      </c>
      <c r="F341" s="71">
        <v>0</v>
      </c>
      <c r="G341" s="71">
        <v>0</v>
      </c>
      <c r="H341" s="71">
        <v>0</v>
      </c>
      <c r="I341" s="71">
        <v>0</v>
      </c>
      <c r="J341" s="71">
        <v>0</v>
      </c>
      <c r="K341" s="71">
        <v>0</v>
      </c>
      <c r="L341" s="71">
        <v>0</v>
      </c>
    </row>
    <row r="342" spans="1:12" x14ac:dyDescent="0.25">
      <c r="A342" s="14">
        <v>10697</v>
      </c>
      <c r="B342" s="15" t="s">
        <v>1092</v>
      </c>
      <c r="C342" s="15" t="s">
        <v>87</v>
      </c>
      <c r="D342" s="14" t="s">
        <v>280</v>
      </c>
      <c r="E342" s="71">
        <v>0</v>
      </c>
      <c r="F342" s="71">
        <v>0</v>
      </c>
      <c r="G342" s="71">
        <v>0</v>
      </c>
      <c r="H342" s="71">
        <v>0</v>
      </c>
      <c r="I342" s="71">
        <v>0</v>
      </c>
      <c r="J342" s="71">
        <v>0</v>
      </c>
      <c r="K342" s="71">
        <v>0</v>
      </c>
      <c r="L342" s="71">
        <v>0</v>
      </c>
    </row>
    <row r="343" spans="1:12" x14ac:dyDescent="0.25">
      <c r="A343" s="14">
        <v>10698</v>
      </c>
      <c r="B343" s="15" t="s">
        <v>1093</v>
      </c>
      <c r="C343" s="15" t="s">
        <v>69</v>
      </c>
      <c r="D343" s="14" t="s">
        <v>284</v>
      </c>
      <c r="E343" s="71">
        <v>0</v>
      </c>
      <c r="F343" s="71">
        <v>0</v>
      </c>
      <c r="G343" s="71">
        <v>0</v>
      </c>
      <c r="H343" s="71">
        <v>0</v>
      </c>
      <c r="I343" s="71">
        <v>0</v>
      </c>
      <c r="J343" s="71">
        <v>0</v>
      </c>
      <c r="K343" s="71">
        <v>0</v>
      </c>
      <c r="L343" s="71">
        <v>0</v>
      </c>
    </row>
    <row r="344" spans="1:12" x14ac:dyDescent="0.25">
      <c r="A344" s="14">
        <v>10699</v>
      </c>
      <c r="B344" s="15" t="s">
        <v>1094</v>
      </c>
      <c r="C344" s="15" t="s">
        <v>23</v>
      </c>
      <c r="D344" s="14" t="s">
        <v>1099</v>
      </c>
      <c r="E344" s="71">
        <v>0</v>
      </c>
      <c r="F344" s="71">
        <v>0</v>
      </c>
      <c r="G344" s="71">
        <v>0</v>
      </c>
      <c r="H344" s="71">
        <v>0</v>
      </c>
      <c r="I344" s="71">
        <v>0</v>
      </c>
      <c r="J344" s="71">
        <v>0</v>
      </c>
      <c r="K344" s="71">
        <v>0</v>
      </c>
      <c r="L344" s="71">
        <v>4000</v>
      </c>
    </row>
    <row r="345" spans="1:12" x14ac:dyDescent="0.25">
      <c r="A345" s="14">
        <v>10700</v>
      </c>
      <c r="B345" s="15" t="s">
        <v>1095</v>
      </c>
      <c r="C345" s="15" t="s">
        <v>23</v>
      </c>
      <c r="D345" s="14" t="s">
        <v>1099</v>
      </c>
      <c r="E345" s="71">
        <v>0</v>
      </c>
      <c r="F345" s="71">
        <v>0</v>
      </c>
      <c r="G345" s="71">
        <v>0</v>
      </c>
      <c r="H345" s="71">
        <v>0</v>
      </c>
      <c r="I345" s="71">
        <v>0</v>
      </c>
      <c r="J345" s="71">
        <v>0</v>
      </c>
      <c r="K345" s="71">
        <v>0</v>
      </c>
      <c r="L345" s="71">
        <v>0</v>
      </c>
    </row>
    <row r="346" spans="1:12" x14ac:dyDescent="0.25">
      <c r="A346" s="14">
        <v>10701</v>
      </c>
      <c r="B346" s="15" t="s">
        <v>1096</v>
      </c>
      <c r="C346" s="15" t="s">
        <v>347</v>
      </c>
      <c r="D346" s="14" t="s">
        <v>284</v>
      </c>
      <c r="E346" s="71">
        <v>0</v>
      </c>
      <c r="F346" s="71">
        <v>0</v>
      </c>
      <c r="G346" s="71">
        <v>0</v>
      </c>
      <c r="H346" s="71">
        <v>0</v>
      </c>
      <c r="I346" s="71">
        <v>0</v>
      </c>
      <c r="J346" s="71">
        <v>0</v>
      </c>
      <c r="K346" s="71">
        <v>0</v>
      </c>
      <c r="L346" s="71">
        <v>0</v>
      </c>
    </row>
    <row r="347" spans="1:12" x14ac:dyDescent="0.25">
      <c r="A347" s="14">
        <v>10702</v>
      </c>
      <c r="B347" s="15" t="s">
        <v>1097</v>
      </c>
      <c r="C347" s="15" t="s">
        <v>69</v>
      </c>
      <c r="D347" s="14" t="s">
        <v>284</v>
      </c>
      <c r="E347" s="71">
        <v>0</v>
      </c>
      <c r="F347" s="71">
        <v>0</v>
      </c>
      <c r="G347" s="71">
        <v>0</v>
      </c>
      <c r="H347" s="71">
        <v>0</v>
      </c>
      <c r="I347" s="71">
        <v>0</v>
      </c>
      <c r="J347" s="71">
        <v>0</v>
      </c>
      <c r="K347" s="71">
        <v>0</v>
      </c>
      <c r="L347" s="71">
        <v>0</v>
      </c>
    </row>
    <row r="348" spans="1:12" s="13" customFormat="1" x14ac:dyDescent="0.25">
      <c r="A348" s="14">
        <v>10703</v>
      </c>
      <c r="B348" s="15" t="s">
        <v>1098</v>
      </c>
      <c r="C348" s="15" t="s">
        <v>337</v>
      </c>
      <c r="D348" s="14" t="s">
        <v>281</v>
      </c>
      <c r="E348" s="71">
        <v>0</v>
      </c>
      <c r="F348" s="71">
        <v>0</v>
      </c>
      <c r="G348" s="71">
        <v>0</v>
      </c>
      <c r="H348" s="71">
        <v>0</v>
      </c>
      <c r="I348" s="71">
        <v>0</v>
      </c>
      <c r="J348" s="71">
        <v>0</v>
      </c>
      <c r="K348" s="71">
        <v>0</v>
      </c>
      <c r="L348" s="71">
        <v>0</v>
      </c>
    </row>
    <row r="349" spans="1:12" s="13" customFormat="1" x14ac:dyDescent="0.25">
      <c r="A349" s="14">
        <v>10704</v>
      </c>
      <c r="B349" s="15" t="s">
        <v>1183</v>
      </c>
      <c r="C349" s="15" t="s">
        <v>337</v>
      </c>
      <c r="D349" s="14" t="s">
        <v>281</v>
      </c>
      <c r="E349" s="71"/>
      <c r="F349" s="71"/>
      <c r="G349" s="71"/>
      <c r="H349" s="71"/>
      <c r="I349" s="71"/>
      <c r="J349" s="71"/>
      <c r="K349" s="71">
        <v>0</v>
      </c>
      <c r="L349" s="71">
        <v>51634</v>
      </c>
    </row>
    <row r="350" spans="1:12" x14ac:dyDescent="0.25">
      <c r="A350" s="14">
        <v>10705</v>
      </c>
      <c r="B350" s="15" t="s">
        <v>1103</v>
      </c>
      <c r="C350" s="15" t="s">
        <v>69</v>
      </c>
      <c r="D350" s="14" t="s">
        <v>284</v>
      </c>
      <c r="K350" s="71">
        <v>0</v>
      </c>
      <c r="L350" s="71">
        <v>0</v>
      </c>
    </row>
    <row r="351" spans="1:12" x14ac:dyDescent="0.25">
      <c r="A351" s="14">
        <v>10708</v>
      </c>
      <c r="B351" s="15" t="s">
        <v>1104</v>
      </c>
      <c r="C351" s="15" t="s">
        <v>23</v>
      </c>
      <c r="D351" s="14" t="s">
        <v>1099</v>
      </c>
      <c r="K351" s="71">
        <v>0</v>
      </c>
      <c r="L351" s="71">
        <v>0</v>
      </c>
    </row>
    <row r="352" spans="1:12" x14ac:dyDescent="0.25">
      <c r="A352" s="14">
        <v>10706</v>
      </c>
      <c r="B352" s="15" t="s">
        <v>1106</v>
      </c>
      <c r="C352" s="15" t="s">
        <v>69</v>
      </c>
      <c r="D352" s="14" t="s">
        <v>284</v>
      </c>
      <c r="K352" s="71">
        <v>0</v>
      </c>
      <c r="L352" s="71">
        <v>0</v>
      </c>
    </row>
    <row r="353" spans="1:12" x14ac:dyDescent="0.25">
      <c r="A353" s="14">
        <v>10707</v>
      </c>
      <c r="B353" s="15" t="s">
        <v>1107</v>
      </c>
      <c r="C353" s="15" t="s">
        <v>378</v>
      </c>
      <c r="D353" s="14" t="s">
        <v>283</v>
      </c>
      <c r="K353" s="71">
        <v>0</v>
      </c>
      <c r="L353" s="71">
        <v>0</v>
      </c>
    </row>
    <row r="354" spans="1:12" x14ac:dyDescent="0.25">
      <c r="A354" s="14">
        <v>10709</v>
      </c>
      <c r="B354" s="15" t="s">
        <v>1108</v>
      </c>
      <c r="C354" s="15" t="s">
        <v>23</v>
      </c>
      <c r="D354" s="14" t="s">
        <v>1099</v>
      </c>
      <c r="K354" s="71">
        <v>0</v>
      </c>
      <c r="L354" s="71">
        <v>0</v>
      </c>
    </row>
    <row r="355" spans="1:12" x14ac:dyDescent="0.25">
      <c r="A355" s="14">
        <v>10710</v>
      </c>
      <c r="B355" s="15" t="s">
        <v>1109</v>
      </c>
      <c r="C355" s="15" t="s">
        <v>23</v>
      </c>
      <c r="D355" s="14" t="s">
        <v>1099</v>
      </c>
      <c r="K355" s="71">
        <v>0</v>
      </c>
      <c r="L355" s="71">
        <v>0</v>
      </c>
    </row>
    <row r="356" spans="1:12" x14ac:dyDescent="0.25">
      <c r="A356" s="14">
        <v>10711</v>
      </c>
      <c r="B356" s="15" t="s">
        <v>1110</v>
      </c>
      <c r="C356" s="15" t="s">
        <v>69</v>
      </c>
      <c r="D356" s="14" t="s">
        <v>284</v>
      </c>
      <c r="K356" s="71">
        <v>0</v>
      </c>
      <c r="L356" s="71">
        <v>0</v>
      </c>
    </row>
    <row r="357" spans="1:12" x14ac:dyDescent="0.25">
      <c r="A357" s="14">
        <v>10712</v>
      </c>
      <c r="B357" s="15" t="s">
        <v>1111</v>
      </c>
      <c r="C357" s="15" t="s">
        <v>1112</v>
      </c>
      <c r="D357" s="14" t="s">
        <v>287</v>
      </c>
      <c r="K357" s="71">
        <v>0</v>
      </c>
      <c r="L357" s="71">
        <v>0</v>
      </c>
    </row>
    <row r="358" spans="1:12" x14ac:dyDescent="0.25">
      <c r="A358" s="14">
        <v>10713</v>
      </c>
      <c r="B358" s="15" t="s">
        <v>1172</v>
      </c>
      <c r="C358" s="15" t="s">
        <v>319</v>
      </c>
      <c r="D358" s="14" t="s">
        <v>1178</v>
      </c>
      <c r="K358" s="71">
        <v>0</v>
      </c>
      <c r="L358" s="71">
        <v>0</v>
      </c>
    </row>
    <row r="359" spans="1:12" x14ac:dyDescent="0.25">
      <c r="A359" s="14">
        <v>10714</v>
      </c>
      <c r="B359" s="15" t="s">
        <v>1173</v>
      </c>
      <c r="C359" s="15" t="s">
        <v>342</v>
      </c>
      <c r="D359" s="14" t="s">
        <v>287</v>
      </c>
      <c r="K359" s="71">
        <v>0</v>
      </c>
      <c r="L359" s="71">
        <v>0</v>
      </c>
    </row>
    <row r="360" spans="1:12" x14ac:dyDescent="0.25">
      <c r="A360" s="14">
        <v>10715</v>
      </c>
      <c r="B360" s="15" t="s">
        <v>1174</v>
      </c>
      <c r="C360" s="15" t="s">
        <v>23</v>
      </c>
      <c r="D360" s="14" t="s">
        <v>1099</v>
      </c>
      <c r="K360" s="71">
        <v>0</v>
      </c>
      <c r="L360" s="71">
        <v>0</v>
      </c>
    </row>
    <row r="361" spans="1:12" x14ac:dyDescent="0.25">
      <c r="A361" s="14">
        <v>10716</v>
      </c>
      <c r="B361" s="15" t="s">
        <v>1175</v>
      </c>
      <c r="C361" s="15" t="s">
        <v>23</v>
      </c>
      <c r="D361" s="14" t="s">
        <v>1099</v>
      </c>
      <c r="K361" s="71">
        <v>0</v>
      </c>
      <c r="L361" s="71">
        <v>0</v>
      </c>
    </row>
    <row r="362" spans="1:12" x14ac:dyDescent="0.25">
      <c r="A362" s="14">
        <v>10717</v>
      </c>
      <c r="B362" s="15" t="s">
        <v>1176</v>
      </c>
      <c r="C362" s="15" t="s">
        <v>149</v>
      </c>
      <c r="D362" s="14" t="s">
        <v>280</v>
      </c>
      <c r="K362" s="71">
        <v>0</v>
      </c>
      <c r="L362" s="71">
        <v>0</v>
      </c>
    </row>
    <row r="363" spans="1:12" x14ac:dyDescent="0.25">
      <c r="A363" s="14">
        <v>10718</v>
      </c>
      <c r="B363" s="15" t="s">
        <v>1177</v>
      </c>
      <c r="C363" s="15" t="s">
        <v>69</v>
      </c>
      <c r="D363" s="14" t="s">
        <v>284</v>
      </c>
      <c r="K363" s="71">
        <v>0</v>
      </c>
      <c r="L363" s="71">
        <v>0</v>
      </c>
    </row>
    <row r="364" spans="1:12" x14ac:dyDescent="0.25">
      <c r="A364" s="14">
        <v>10717</v>
      </c>
      <c r="B364" s="15" t="s">
        <v>1176</v>
      </c>
      <c r="C364" s="15" t="s">
        <v>149</v>
      </c>
      <c r="D364" s="14" t="s">
        <v>280</v>
      </c>
      <c r="K364" s="71">
        <v>0</v>
      </c>
      <c r="L364" s="71">
        <v>0</v>
      </c>
    </row>
    <row r="365" spans="1:12" x14ac:dyDescent="0.25">
      <c r="A365" s="14">
        <v>10718</v>
      </c>
      <c r="B365" s="15" t="s">
        <v>1177</v>
      </c>
      <c r="C365" s="15" t="s">
        <v>69</v>
      </c>
      <c r="D365" s="14" t="s">
        <v>284</v>
      </c>
      <c r="K365" s="71">
        <v>0</v>
      </c>
      <c r="L365" s="71">
        <v>0</v>
      </c>
    </row>
    <row r="366" spans="1:12" x14ac:dyDescent="0.25">
      <c r="A366" s="14">
        <v>10719</v>
      </c>
      <c r="B366" s="15" t="s">
        <v>1187</v>
      </c>
      <c r="C366" s="15" t="s">
        <v>23</v>
      </c>
      <c r="D366" s="14" t="s">
        <v>1191</v>
      </c>
      <c r="K366" s="71">
        <v>0</v>
      </c>
      <c r="L366" s="71">
        <v>0</v>
      </c>
    </row>
    <row r="367" spans="1:12" x14ac:dyDescent="0.25">
      <c r="A367" s="14">
        <v>10720</v>
      </c>
      <c r="B367" s="15" t="s">
        <v>1188</v>
      </c>
      <c r="C367" s="15" t="s">
        <v>23</v>
      </c>
      <c r="D367" s="14" t="s">
        <v>1191</v>
      </c>
      <c r="K367" s="71">
        <v>0</v>
      </c>
      <c r="L367" s="71">
        <v>0</v>
      </c>
    </row>
    <row r="368" spans="1:12" x14ac:dyDescent="0.25">
      <c r="A368" s="14">
        <v>10721</v>
      </c>
      <c r="B368" s="15" t="s">
        <v>1189</v>
      </c>
      <c r="C368" s="15" t="s">
        <v>1190</v>
      </c>
      <c r="D368" s="14" t="s">
        <v>290</v>
      </c>
      <c r="K368" s="71">
        <v>0</v>
      </c>
      <c r="L368" s="71">
        <v>0</v>
      </c>
    </row>
    <row r="369" spans="1:12" x14ac:dyDescent="0.25">
      <c r="A369" s="14">
        <v>10722</v>
      </c>
      <c r="B369" s="15" t="s">
        <v>1308</v>
      </c>
      <c r="C369" s="15" t="s">
        <v>342</v>
      </c>
      <c r="D369" s="14" t="s">
        <v>287</v>
      </c>
      <c r="K369" s="71">
        <v>0</v>
      </c>
      <c r="L369" s="71">
        <v>0</v>
      </c>
    </row>
    <row r="370" spans="1:12" x14ac:dyDescent="0.25">
      <c r="A370" s="14">
        <v>10723</v>
      </c>
      <c r="B370" s="15" t="s">
        <v>1309</v>
      </c>
      <c r="C370" s="15" t="s">
        <v>69</v>
      </c>
      <c r="D370" s="14" t="s">
        <v>284</v>
      </c>
      <c r="K370" s="71">
        <v>0</v>
      </c>
      <c r="L370" s="71">
        <v>0</v>
      </c>
    </row>
    <row r="371" spans="1:12" x14ac:dyDescent="0.25">
      <c r="A371" s="14">
        <v>10724</v>
      </c>
      <c r="B371" s="15" t="s">
        <v>1310</v>
      </c>
      <c r="C371" s="15" t="s">
        <v>23</v>
      </c>
      <c r="D371" s="14" t="s">
        <v>1191</v>
      </c>
      <c r="K371" s="71">
        <v>0</v>
      </c>
      <c r="L371" s="71">
        <v>0</v>
      </c>
    </row>
    <row r="372" spans="1:12" x14ac:dyDescent="0.25">
      <c r="A372" s="14">
        <v>10725</v>
      </c>
      <c r="B372" s="15" t="s">
        <v>1311</v>
      </c>
      <c r="C372" s="15" t="s">
        <v>337</v>
      </c>
      <c r="D372" s="14" t="s">
        <v>1320</v>
      </c>
      <c r="K372" s="71">
        <v>0</v>
      </c>
      <c r="L372" s="71">
        <v>0</v>
      </c>
    </row>
    <row r="373" spans="1:12" x14ac:dyDescent="0.25">
      <c r="A373" s="14">
        <v>10726</v>
      </c>
      <c r="B373" s="15" t="s">
        <v>1312</v>
      </c>
      <c r="C373" s="15" t="s">
        <v>170</v>
      </c>
      <c r="D373" s="14" t="s">
        <v>291</v>
      </c>
      <c r="K373" s="71">
        <v>0</v>
      </c>
      <c r="L373" s="71">
        <v>0</v>
      </c>
    </row>
    <row r="374" spans="1:12" x14ac:dyDescent="0.25">
      <c r="A374" s="14">
        <v>10728</v>
      </c>
      <c r="B374" s="15" t="s">
        <v>1313</v>
      </c>
      <c r="C374" s="15" t="s">
        <v>337</v>
      </c>
      <c r="D374" s="14" t="s">
        <v>379</v>
      </c>
      <c r="K374" s="71">
        <v>0</v>
      </c>
      <c r="L374" s="71">
        <v>0</v>
      </c>
    </row>
    <row r="375" spans="1:12" x14ac:dyDescent="0.25">
      <c r="A375" s="14">
        <v>10729</v>
      </c>
      <c r="B375" s="15" t="s">
        <v>1314</v>
      </c>
      <c r="C375" s="15" t="s">
        <v>1315</v>
      </c>
      <c r="D375" s="14" t="s">
        <v>278</v>
      </c>
      <c r="K375" s="71">
        <v>0</v>
      </c>
      <c r="L375" s="71">
        <v>0</v>
      </c>
    </row>
    <row r="376" spans="1:12" x14ac:dyDescent="0.25">
      <c r="A376" s="14">
        <v>10730</v>
      </c>
      <c r="B376" s="15" t="s">
        <v>1316</v>
      </c>
      <c r="C376" s="15" t="s">
        <v>337</v>
      </c>
      <c r="D376" s="14" t="s">
        <v>1320</v>
      </c>
      <c r="K376" s="71">
        <v>0</v>
      </c>
      <c r="L376" s="71">
        <v>0</v>
      </c>
    </row>
    <row r="377" spans="1:12" x14ac:dyDescent="0.25">
      <c r="A377" s="14">
        <v>10731</v>
      </c>
      <c r="B377" s="15" t="s">
        <v>1317</v>
      </c>
      <c r="C377" s="15" t="s">
        <v>87</v>
      </c>
      <c r="D377" s="14" t="s">
        <v>280</v>
      </c>
      <c r="K377" s="71">
        <v>0</v>
      </c>
      <c r="L377" s="71">
        <v>0</v>
      </c>
    </row>
    <row r="378" spans="1:12" x14ac:dyDescent="0.25">
      <c r="A378" s="14">
        <v>10732</v>
      </c>
      <c r="B378" s="15" t="s">
        <v>1318</v>
      </c>
      <c r="C378" s="15" t="s">
        <v>337</v>
      </c>
      <c r="D378" s="14" t="s">
        <v>379</v>
      </c>
      <c r="K378" s="71">
        <v>0</v>
      </c>
      <c r="L378" s="71">
        <v>0</v>
      </c>
    </row>
    <row r="379" spans="1:12" x14ac:dyDescent="0.25">
      <c r="A379" s="14">
        <v>10733</v>
      </c>
      <c r="B379" s="15" t="s">
        <v>1319</v>
      </c>
      <c r="C379" s="15" t="s">
        <v>150</v>
      </c>
      <c r="D379" s="14" t="s">
        <v>280</v>
      </c>
      <c r="K379" s="71">
        <v>0</v>
      </c>
      <c r="L379" s="71">
        <v>0</v>
      </c>
    </row>
    <row r="380" spans="1:12" x14ac:dyDescent="0.25">
      <c r="A380" s="14"/>
      <c r="B380" s="15"/>
      <c r="C380" s="15"/>
      <c r="D380" s="14"/>
    </row>
    <row r="381" spans="1:12" x14ac:dyDescent="0.25">
      <c r="A381" s="14"/>
      <c r="B381" s="15"/>
      <c r="C381" s="15"/>
      <c r="D381" s="14"/>
    </row>
    <row r="382" spans="1:12" x14ac:dyDescent="0.25">
      <c r="A382" s="14"/>
      <c r="B382" s="15"/>
      <c r="C382" s="15"/>
      <c r="D382" s="14"/>
    </row>
    <row r="383" spans="1:12" x14ac:dyDescent="0.25">
      <c r="A383" s="14"/>
      <c r="B383" s="15"/>
      <c r="C383" s="15"/>
      <c r="D383" s="14"/>
    </row>
    <row r="384" spans="1:12" x14ac:dyDescent="0.25">
      <c r="A384" s="14"/>
      <c r="B384" s="15"/>
      <c r="C384" s="15"/>
      <c r="D384" s="14"/>
    </row>
    <row r="385" spans="1:4" x14ac:dyDescent="0.25">
      <c r="A385" s="14"/>
      <c r="B385" s="15"/>
      <c r="C385" s="15"/>
      <c r="D385" s="14"/>
    </row>
    <row r="386" spans="1:4" x14ac:dyDescent="0.25">
      <c r="A386" s="14"/>
      <c r="B386" s="15"/>
      <c r="C386" s="15"/>
      <c r="D386" s="14"/>
    </row>
    <row r="387" spans="1:4" x14ac:dyDescent="0.25">
      <c r="A387" s="14"/>
      <c r="B387" s="15"/>
      <c r="C387" s="15"/>
      <c r="D387" s="14"/>
    </row>
    <row r="388" spans="1:4" x14ac:dyDescent="0.25">
      <c r="A388" s="14"/>
      <c r="B388" s="15"/>
      <c r="C388" s="15"/>
      <c r="D388" s="14"/>
    </row>
    <row r="389" spans="1:4" x14ac:dyDescent="0.25">
      <c r="A389" s="14"/>
      <c r="B389" s="15"/>
      <c r="C389" s="15"/>
      <c r="D389" s="14"/>
    </row>
    <row r="390" spans="1:4" x14ac:dyDescent="0.25">
      <c r="A390" s="14"/>
      <c r="B390" s="15"/>
      <c r="C390" s="15"/>
      <c r="D390" s="14"/>
    </row>
    <row r="391" spans="1:4" x14ac:dyDescent="0.25">
      <c r="A391" s="14"/>
      <c r="B391" s="15"/>
      <c r="C391" s="15"/>
      <c r="D391" s="14"/>
    </row>
    <row r="392" spans="1:4" x14ac:dyDescent="0.25">
      <c r="A392" s="14"/>
      <c r="B392" s="15"/>
      <c r="C392" s="15"/>
      <c r="D392" s="14"/>
    </row>
    <row r="393" spans="1:4" x14ac:dyDescent="0.25">
      <c r="A393" s="14"/>
      <c r="B393" s="15"/>
      <c r="C393" s="15"/>
      <c r="D393" s="14"/>
    </row>
    <row r="394" spans="1:4" x14ac:dyDescent="0.25">
      <c r="A394" s="14"/>
      <c r="B394" s="15"/>
      <c r="C394" s="15"/>
      <c r="D394" s="14"/>
    </row>
    <row r="395" spans="1:4" x14ac:dyDescent="0.25">
      <c r="A395" s="14"/>
      <c r="B395" s="15"/>
      <c r="C395" s="15"/>
      <c r="D395" s="14"/>
    </row>
    <row r="396" spans="1:4" x14ac:dyDescent="0.25">
      <c r="A396" s="14"/>
      <c r="B396" s="15"/>
      <c r="C396" s="15"/>
      <c r="D396" s="14"/>
    </row>
    <row r="397" spans="1:4" x14ac:dyDescent="0.25">
      <c r="A397" s="14"/>
      <c r="B397" s="15"/>
      <c r="C397" s="15"/>
      <c r="D397" s="14"/>
    </row>
  </sheetData>
  <conditionalFormatting sqref="A1">
    <cfRule type="duplicateValues" dxfId="161" priority="141"/>
    <cfRule type="duplicateValues" dxfId="160" priority="142"/>
    <cfRule type="duplicateValues" dxfId="159" priority="143"/>
    <cfRule type="duplicateValues" dxfId="158" priority="144"/>
  </conditionalFormatting>
  <conditionalFormatting sqref="A2">
    <cfRule type="duplicateValues" dxfId="157" priority="104"/>
    <cfRule type="duplicateValues" dxfId="156" priority="105"/>
    <cfRule type="duplicateValues" dxfId="155" priority="106"/>
    <cfRule type="duplicateValues" dxfId="154" priority="107"/>
  </conditionalFormatting>
  <conditionalFormatting sqref="A3:A288">
    <cfRule type="duplicateValues" dxfId="153" priority="108"/>
  </conditionalFormatting>
  <conditionalFormatting sqref="A289:A295">
    <cfRule type="duplicateValues" dxfId="152" priority="103"/>
  </conditionalFormatting>
  <conditionalFormatting sqref="A296">
    <cfRule type="duplicateValues" dxfId="151" priority="137"/>
    <cfRule type="duplicateValues" dxfId="150" priority="138"/>
    <cfRule type="duplicateValues" dxfId="149" priority="139"/>
    <cfRule type="duplicateValues" dxfId="148" priority="140"/>
  </conditionalFormatting>
  <conditionalFormatting sqref="A297:A321">
    <cfRule type="duplicateValues" dxfId="147" priority="95"/>
    <cfRule type="duplicateValues" dxfId="146" priority="96"/>
    <cfRule type="duplicateValues" dxfId="145" priority="97"/>
    <cfRule type="duplicateValues" dxfId="144" priority="98"/>
  </conditionalFormatting>
  <conditionalFormatting sqref="A322">
    <cfRule type="duplicateValues" dxfId="143" priority="87"/>
    <cfRule type="duplicateValues" dxfId="142" priority="88"/>
    <cfRule type="duplicateValues" dxfId="141" priority="89"/>
    <cfRule type="duplicateValues" dxfId="140" priority="90"/>
  </conditionalFormatting>
  <conditionalFormatting sqref="A323:A340">
    <cfRule type="duplicateValues" dxfId="139" priority="83"/>
    <cfRule type="duplicateValues" dxfId="138" priority="84"/>
    <cfRule type="duplicateValues" dxfId="137" priority="85"/>
    <cfRule type="duplicateValues" dxfId="136" priority="86"/>
  </conditionalFormatting>
  <conditionalFormatting sqref="A341:A347">
    <cfRule type="duplicateValues" dxfId="135" priority="79"/>
    <cfRule type="duplicateValues" dxfId="134" priority="80"/>
    <cfRule type="duplicateValues" dxfId="133" priority="81"/>
    <cfRule type="duplicateValues" dxfId="132" priority="82"/>
  </conditionalFormatting>
  <conditionalFormatting sqref="A348:A349">
    <cfRule type="duplicateValues" dxfId="131" priority="75"/>
    <cfRule type="duplicateValues" dxfId="130" priority="76"/>
    <cfRule type="duplicateValues" dxfId="129" priority="77"/>
    <cfRule type="duplicateValues" dxfId="128" priority="78"/>
  </conditionalFormatting>
  <conditionalFormatting sqref="A350:A357">
    <cfRule type="duplicateValues" dxfId="127" priority="71"/>
    <cfRule type="duplicateValues" dxfId="126" priority="72"/>
    <cfRule type="duplicateValues" dxfId="125" priority="73"/>
    <cfRule type="duplicateValues" dxfId="124" priority="74"/>
  </conditionalFormatting>
  <conditionalFormatting sqref="A358:A363">
    <cfRule type="duplicateValues" dxfId="123" priority="9"/>
    <cfRule type="duplicateValues" dxfId="122" priority="10"/>
    <cfRule type="duplicateValues" dxfId="121" priority="11"/>
    <cfRule type="duplicateValues" dxfId="120" priority="12"/>
  </conditionalFormatting>
  <conditionalFormatting sqref="A364:A365">
    <cfRule type="duplicateValues" dxfId="119" priority="5"/>
    <cfRule type="duplicateValues" dxfId="118" priority="6"/>
    <cfRule type="duplicateValues" dxfId="117" priority="7"/>
    <cfRule type="duplicateValues" dxfId="116" priority="8"/>
  </conditionalFormatting>
  <conditionalFormatting sqref="A366:A368">
    <cfRule type="duplicateValues" dxfId="115" priority="1"/>
    <cfRule type="duplicateValues" dxfId="114" priority="2"/>
    <cfRule type="duplicateValues" dxfId="113" priority="3"/>
    <cfRule type="duplicateValues" dxfId="112" priority="4"/>
  </conditionalFormatting>
  <conditionalFormatting sqref="A369:A373">
    <cfRule type="duplicateValues" dxfId="111" priority="125"/>
    <cfRule type="duplicateValues" dxfId="110" priority="126"/>
    <cfRule type="duplicateValues" dxfId="109" priority="127"/>
    <cfRule type="duplicateValues" dxfId="108" priority="128"/>
  </conditionalFormatting>
  <conditionalFormatting sqref="A374:A377 A384:A385">
    <cfRule type="duplicateValues" dxfId="107" priority="121"/>
    <cfRule type="duplicateValues" dxfId="106" priority="122"/>
    <cfRule type="duplicateValues" dxfId="105" priority="123"/>
    <cfRule type="duplicateValues" dxfId="104" priority="124"/>
  </conditionalFormatting>
  <conditionalFormatting sqref="A378:A382">
    <cfRule type="duplicateValues" dxfId="103" priority="117"/>
    <cfRule type="duplicateValues" dxfId="102" priority="118"/>
    <cfRule type="duplicateValues" dxfId="101" priority="119"/>
    <cfRule type="duplicateValues" dxfId="100" priority="120"/>
  </conditionalFormatting>
  <conditionalFormatting sqref="A383">
    <cfRule type="duplicateValues" dxfId="99" priority="113"/>
    <cfRule type="duplicateValues" dxfId="98" priority="114"/>
    <cfRule type="duplicateValues" dxfId="97" priority="115"/>
    <cfRule type="duplicateValues" dxfId="96" priority="116"/>
  </conditionalFormatting>
  <conditionalFormatting sqref="A386:A397">
    <cfRule type="duplicateValues" dxfId="95" priority="109"/>
    <cfRule type="duplicateValues" dxfId="94" priority="110"/>
    <cfRule type="duplicateValues" dxfId="93" priority="111"/>
    <cfRule type="duplicateValues" dxfId="92" priority="11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77"/>
  <sheetViews>
    <sheetView topLeftCell="D324" workbookViewId="0">
      <selection activeCell="N343" sqref="N343"/>
    </sheetView>
  </sheetViews>
  <sheetFormatPr defaultRowHeight="15" x14ac:dyDescent="0.25"/>
  <cols>
    <col min="1" max="3" width="12.7109375" customWidth="1"/>
    <col min="4" max="4" width="26.5703125" bestFit="1" customWidth="1"/>
    <col min="5" max="5" width="35.85546875" bestFit="1" customWidth="1"/>
    <col min="6" max="6" width="20.85546875" bestFit="1" customWidth="1"/>
    <col min="7" max="7" width="12.5703125" bestFit="1" customWidth="1"/>
    <col min="8" max="8" width="12.7109375" bestFit="1" customWidth="1"/>
    <col min="9" max="14" width="12.7109375" style="13" bestFit="1" customWidth="1"/>
  </cols>
  <sheetData>
    <row r="1" spans="1:14" x14ac:dyDescent="0.25">
      <c r="A1" s="1" t="s">
        <v>299</v>
      </c>
      <c r="B1" s="1" t="s">
        <v>292</v>
      </c>
      <c r="C1" s="1" t="s">
        <v>0</v>
      </c>
      <c r="D1" s="1" t="s">
        <v>1</v>
      </c>
      <c r="E1" s="1" t="s">
        <v>2</v>
      </c>
      <c r="F1" s="3" t="s">
        <v>273</v>
      </c>
      <c r="G1" s="68">
        <v>45839</v>
      </c>
      <c r="H1" s="68">
        <v>45870</v>
      </c>
      <c r="I1" s="68">
        <v>45901</v>
      </c>
      <c r="J1" s="68">
        <v>45931</v>
      </c>
      <c r="K1" s="68">
        <v>45962</v>
      </c>
      <c r="L1" s="68">
        <v>45992</v>
      </c>
      <c r="M1" s="68">
        <v>46023</v>
      </c>
      <c r="N1" s="68">
        <v>46054</v>
      </c>
    </row>
    <row r="2" spans="1:14" x14ac:dyDescent="0.25">
      <c r="A2" s="12">
        <v>1</v>
      </c>
      <c r="B2" s="60" t="s">
        <v>293</v>
      </c>
      <c r="C2" s="53">
        <v>10001</v>
      </c>
      <c r="D2" s="38" t="s">
        <v>3</v>
      </c>
      <c r="E2" s="38" t="s">
        <v>4</v>
      </c>
      <c r="F2" s="37" t="s">
        <v>274</v>
      </c>
      <c r="G2" s="69">
        <v>0</v>
      </c>
      <c r="H2" s="71">
        <v>0</v>
      </c>
      <c r="I2" s="71">
        <v>0</v>
      </c>
      <c r="J2" s="71">
        <v>0</v>
      </c>
      <c r="K2" s="71">
        <v>0</v>
      </c>
      <c r="L2" s="71">
        <v>0</v>
      </c>
      <c r="M2" s="71">
        <v>0</v>
      </c>
      <c r="N2" s="71">
        <v>0</v>
      </c>
    </row>
    <row r="3" spans="1:14" x14ac:dyDescent="0.25">
      <c r="A3" s="12">
        <v>2</v>
      </c>
      <c r="B3" s="60" t="s">
        <v>293</v>
      </c>
      <c r="C3" s="53">
        <v>20001</v>
      </c>
      <c r="D3" s="38" t="s">
        <v>334</v>
      </c>
      <c r="E3" s="38" t="s">
        <v>343</v>
      </c>
      <c r="F3" s="37" t="s">
        <v>274</v>
      </c>
      <c r="G3" s="69">
        <v>0</v>
      </c>
      <c r="H3" s="71">
        <v>0</v>
      </c>
      <c r="I3" s="71">
        <v>0</v>
      </c>
      <c r="J3" s="71">
        <v>0</v>
      </c>
      <c r="K3" s="71">
        <v>0</v>
      </c>
      <c r="L3" s="71">
        <v>0</v>
      </c>
      <c r="M3" s="71">
        <v>0</v>
      </c>
      <c r="N3" s="71">
        <v>0</v>
      </c>
    </row>
    <row r="4" spans="1:14" x14ac:dyDescent="0.25">
      <c r="A4" s="12">
        <v>3</v>
      </c>
      <c r="B4" s="60" t="s">
        <v>293</v>
      </c>
      <c r="C4" s="53">
        <v>10520</v>
      </c>
      <c r="D4" s="38" t="s">
        <v>5</v>
      </c>
      <c r="E4" s="38" t="s">
        <v>6</v>
      </c>
      <c r="F4" s="37" t="s">
        <v>274</v>
      </c>
      <c r="G4" s="69">
        <v>0</v>
      </c>
      <c r="H4" s="71">
        <v>0</v>
      </c>
      <c r="I4" s="71">
        <v>0</v>
      </c>
      <c r="J4" s="71">
        <v>0</v>
      </c>
      <c r="K4" s="71">
        <v>0</v>
      </c>
      <c r="L4" s="71">
        <v>0</v>
      </c>
      <c r="M4" s="71">
        <v>0</v>
      </c>
      <c r="N4" s="71">
        <v>0</v>
      </c>
    </row>
    <row r="5" spans="1:14" x14ac:dyDescent="0.25">
      <c r="A5" s="12">
        <v>4</v>
      </c>
      <c r="B5" s="60" t="s">
        <v>293</v>
      </c>
      <c r="C5" s="53">
        <v>10002</v>
      </c>
      <c r="D5" s="38" t="s">
        <v>7</v>
      </c>
      <c r="E5" s="38" t="s">
        <v>425</v>
      </c>
      <c r="F5" s="37" t="s">
        <v>275</v>
      </c>
      <c r="G5" s="69">
        <v>0</v>
      </c>
      <c r="H5" s="71">
        <v>0</v>
      </c>
      <c r="I5" s="71">
        <v>0</v>
      </c>
      <c r="J5" s="71">
        <v>0</v>
      </c>
      <c r="K5" s="71">
        <v>0</v>
      </c>
      <c r="L5" s="71">
        <v>0</v>
      </c>
      <c r="M5" s="71">
        <v>0</v>
      </c>
      <c r="N5" s="71">
        <v>0</v>
      </c>
    </row>
    <row r="6" spans="1:14" x14ac:dyDescent="0.25">
      <c r="A6" s="12">
        <v>5</v>
      </c>
      <c r="B6" s="60" t="s">
        <v>293</v>
      </c>
      <c r="C6" s="53">
        <v>10003</v>
      </c>
      <c r="D6" s="38" t="s">
        <v>8</v>
      </c>
      <c r="E6" s="38" t="s">
        <v>9</v>
      </c>
      <c r="F6" s="37" t="s">
        <v>275</v>
      </c>
      <c r="G6" s="69">
        <v>0</v>
      </c>
      <c r="H6" s="71">
        <v>0</v>
      </c>
      <c r="I6" s="71">
        <v>0</v>
      </c>
      <c r="J6" s="71">
        <v>0</v>
      </c>
      <c r="K6" s="71">
        <v>0</v>
      </c>
      <c r="L6" s="71">
        <v>0</v>
      </c>
      <c r="M6" s="71">
        <v>0</v>
      </c>
      <c r="N6" s="71">
        <v>0</v>
      </c>
    </row>
    <row r="7" spans="1:14" x14ac:dyDescent="0.25">
      <c r="A7" s="12">
        <v>6</v>
      </c>
      <c r="B7" s="60" t="s">
        <v>293</v>
      </c>
      <c r="C7" s="53">
        <v>10418</v>
      </c>
      <c r="D7" s="38" t="s">
        <v>10</v>
      </c>
      <c r="E7" s="38" t="s">
        <v>11</v>
      </c>
      <c r="F7" s="37" t="s">
        <v>275</v>
      </c>
      <c r="G7" s="69">
        <v>0</v>
      </c>
      <c r="H7" s="71">
        <v>0</v>
      </c>
      <c r="I7" s="71">
        <v>0</v>
      </c>
      <c r="J7" s="71">
        <v>0</v>
      </c>
      <c r="K7" s="71">
        <v>0</v>
      </c>
      <c r="L7" s="71">
        <v>0</v>
      </c>
      <c r="M7" s="71">
        <v>0</v>
      </c>
      <c r="N7" s="71">
        <v>0</v>
      </c>
    </row>
    <row r="8" spans="1:14" x14ac:dyDescent="0.25">
      <c r="A8" s="12">
        <v>7</v>
      </c>
      <c r="B8" s="60" t="s">
        <v>293</v>
      </c>
      <c r="C8" s="53">
        <v>10006</v>
      </c>
      <c r="D8" s="38" t="s">
        <v>12</v>
      </c>
      <c r="E8" s="38" t="s">
        <v>426</v>
      </c>
      <c r="F8" s="37" t="s">
        <v>276</v>
      </c>
      <c r="G8" s="69">
        <v>0</v>
      </c>
      <c r="H8" s="71">
        <v>0</v>
      </c>
      <c r="I8" s="71">
        <v>0</v>
      </c>
      <c r="J8" s="71">
        <v>0</v>
      </c>
      <c r="K8" s="71">
        <v>0</v>
      </c>
      <c r="L8" s="71">
        <v>0</v>
      </c>
      <c r="M8" s="71">
        <v>0</v>
      </c>
      <c r="N8" s="71">
        <v>0</v>
      </c>
    </row>
    <row r="9" spans="1:14" x14ac:dyDescent="0.25">
      <c r="A9" s="12">
        <v>8</v>
      </c>
      <c r="B9" s="60" t="s">
        <v>293</v>
      </c>
      <c r="C9" s="53">
        <v>10008</v>
      </c>
      <c r="D9" s="38" t="s">
        <v>13</v>
      </c>
      <c r="E9" s="38" t="s">
        <v>427</v>
      </c>
      <c r="F9" s="37" t="s">
        <v>277</v>
      </c>
      <c r="G9" s="69">
        <v>0</v>
      </c>
      <c r="H9" s="71">
        <v>0</v>
      </c>
      <c r="I9" s="71">
        <v>0</v>
      </c>
      <c r="J9" s="71">
        <v>0</v>
      </c>
      <c r="K9" s="71">
        <v>0</v>
      </c>
      <c r="L9" s="71">
        <v>0</v>
      </c>
      <c r="M9" s="71">
        <v>0</v>
      </c>
      <c r="N9" s="71">
        <v>0</v>
      </c>
    </row>
    <row r="10" spans="1:14" x14ac:dyDescent="0.25">
      <c r="A10" s="12">
        <v>9</v>
      </c>
      <c r="B10" s="60" t="s">
        <v>293</v>
      </c>
      <c r="C10" s="53">
        <v>10009</v>
      </c>
      <c r="D10" s="38" t="s">
        <v>14</v>
      </c>
      <c r="E10" s="38" t="s">
        <v>428</v>
      </c>
      <c r="F10" s="37" t="s">
        <v>277</v>
      </c>
      <c r="G10" s="69">
        <v>0</v>
      </c>
      <c r="H10" s="71">
        <v>0</v>
      </c>
      <c r="I10" s="71">
        <v>0</v>
      </c>
      <c r="J10" s="71">
        <v>0</v>
      </c>
      <c r="K10" s="71">
        <v>0</v>
      </c>
      <c r="L10" s="71">
        <v>0</v>
      </c>
      <c r="M10" s="71">
        <v>0</v>
      </c>
      <c r="N10" s="71">
        <v>0</v>
      </c>
    </row>
    <row r="11" spans="1:14" x14ac:dyDescent="0.25">
      <c r="A11" s="12">
        <v>10</v>
      </c>
      <c r="B11" s="60" t="s">
        <v>293</v>
      </c>
      <c r="C11" s="53">
        <v>10010</v>
      </c>
      <c r="D11" s="38" t="s">
        <v>15</v>
      </c>
      <c r="E11" s="38" t="s">
        <v>16</v>
      </c>
      <c r="F11" s="37" t="s">
        <v>278</v>
      </c>
      <c r="G11" s="69">
        <v>0</v>
      </c>
      <c r="H11" s="71">
        <v>0</v>
      </c>
      <c r="I11" s="71">
        <v>0</v>
      </c>
      <c r="J11" s="71">
        <v>0</v>
      </c>
      <c r="K11" s="71">
        <v>0</v>
      </c>
      <c r="L11" s="71">
        <v>0</v>
      </c>
      <c r="M11" s="71">
        <v>0</v>
      </c>
      <c r="N11" s="71">
        <v>0</v>
      </c>
    </row>
    <row r="12" spans="1:14" x14ac:dyDescent="0.25">
      <c r="A12" s="12">
        <v>11</v>
      </c>
      <c r="B12" s="60" t="s">
        <v>293</v>
      </c>
      <c r="C12" s="53">
        <v>10011</v>
      </c>
      <c r="D12" s="38" t="s">
        <v>17</v>
      </c>
      <c r="E12" s="38" t="s">
        <v>429</v>
      </c>
      <c r="F12" s="37" t="s">
        <v>278</v>
      </c>
      <c r="G12" s="69">
        <v>0</v>
      </c>
      <c r="H12" s="71">
        <v>0</v>
      </c>
      <c r="I12" s="71">
        <v>0</v>
      </c>
      <c r="J12" s="71">
        <v>0</v>
      </c>
      <c r="K12" s="71">
        <v>0</v>
      </c>
      <c r="L12" s="71">
        <v>0</v>
      </c>
      <c r="M12" s="71">
        <v>0</v>
      </c>
      <c r="N12" s="71">
        <v>0</v>
      </c>
    </row>
    <row r="13" spans="1:14" x14ac:dyDescent="0.25">
      <c r="A13" s="12">
        <v>12</v>
      </c>
      <c r="B13" s="60" t="s">
        <v>293</v>
      </c>
      <c r="C13" s="53">
        <v>10494</v>
      </c>
      <c r="D13" s="38" t="s">
        <v>18</v>
      </c>
      <c r="E13" s="38" t="s">
        <v>19</v>
      </c>
      <c r="F13" s="37" t="s">
        <v>278</v>
      </c>
      <c r="G13" s="69">
        <v>0</v>
      </c>
      <c r="H13" s="71">
        <v>0</v>
      </c>
      <c r="I13" s="71">
        <v>0</v>
      </c>
      <c r="J13" s="71">
        <v>0</v>
      </c>
      <c r="K13" s="71">
        <v>0</v>
      </c>
      <c r="L13" s="71">
        <v>0</v>
      </c>
      <c r="M13" s="71">
        <v>0</v>
      </c>
      <c r="N13" s="71">
        <v>0</v>
      </c>
    </row>
    <row r="14" spans="1:14" x14ac:dyDescent="0.25">
      <c r="A14" s="12">
        <v>13</v>
      </c>
      <c r="B14" s="60" t="s">
        <v>293</v>
      </c>
      <c r="C14" s="53">
        <v>10015</v>
      </c>
      <c r="D14" s="38" t="s">
        <v>20</v>
      </c>
      <c r="E14" s="38" t="s">
        <v>430</v>
      </c>
      <c r="F14" s="37" t="s">
        <v>279</v>
      </c>
      <c r="G14" s="69">
        <v>0</v>
      </c>
      <c r="H14" s="71">
        <v>0</v>
      </c>
      <c r="I14" s="71">
        <v>0</v>
      </c>
      <c r="J14" s="71">
        <v>0</v>
      </c>
      <c r="K14" s="71">
        <v>0</v>
      </c>
      <c r="L14" s="71">
        <v>0</v>
      </c>
      <c r="M14" s="71">
        <v>0</v>
      </c>
      <c r="N14" s="71">
        <v>0</v>
      </c>
    </row>
    <row r="15" spans="1:14" x14ac:dyDescent="0.25">
      <c r="A15" s="12">
        <v>14</v>
      </c>
      <c r="B15" s="60" t="s">
        <v>293</v>
      </c>
      <c r="C15" s="53">
        <v>10016</v>
      </c>
      <c r="D15" s="38" t="s">
        <v>21</v>
      </c>
      <c r="E15" s="38" t="s">
        <v>431</v>
      </c>
      <c r="F15" s="37" t="s">
        <v>280</v>
      </c>
      <c r="G15" s="69">
        <v>0</v>
      </c>
      <c r="H15" s="71">
        <v>0</v>
      </c>
      <c r="I15" s="71">
        <v>0</v>
      </c>
      <c r="J15" s="71">
        <v>0</v>
      </c>
      <c r="K15" s="71">
        <v>0</v>
      </c>
      <c r="L15" s="71">
        <v>0</v>
      </c>
      <c r="M15" s="71">
        <v>0</v>
      </c>
      <c r="N15" s="71">
        <v>0</v>
      </c>
    </row>
    <row r="16" spans="1:14" x14ac:dyDescent="0.25">
      <c r="A16" s="12">
        <v>15</v>
      </c>
      <c r="B16" s="60" t="s">
        <v>293</v>
      </c>
      <c r="C16" s="53">
        <v>10239</v>
      </c>
      <c r="D16" s="38" t="s">
        <v>22</v>
      </c>
      <c r="E16" s="38" t="s">
        <v>23</v>
      </c>
      <c r="F16" s="37" t="s">
        <v>279</v>
      </c>
      <c r="G16" s="69">
        <v>0</v>
      </c>
      <c r="H16" s="71">
        <v>0</v>
      </c>
      <c r="I16" s="71">
        <v>0</v>
      </c>
      <c r="J16" s="71">
        <v>0</v>
      </c>
      <c r="K16" s="71">
        <v>0</v>
      </c>
      <c r="L16" s="71">
        <v>0</v>
      </c>
      <c r="M16" s="71">
        <v>0</v>
      </c>
      <c r="N16" s="71">
        <v>0</v>
      </c>
    </row>
    <row r="17" spans="1:14" x14ac:dyDescent="0.25">
      <c r="A17" s="12">
        <v>16</v>
      </c>
      <c r="B17" s="60" t="s">
        <v>293</v>
      </c>
      <c r="C17" s="53">
        <v>10018</v>
      </c>
      <c r="D17" s="38" t="s">
        <v>24</v>
      </c>
      <c r="E17" s="38" t="s">
        <v>432</v>
      </c>
      <c r="F17" s="37" t="s">
        <v>279</v>
      </c>
      <c r="G17" s="69">
        <v>0</v>
      </c>
      <c r="H17" s="71">
        <v>0</v>
      </c>
      <c r="I17" s="71">
        <v>0</v>
      </c>
      <c r="J17" s="71">
        <v>0</v>
      </c>
      <c r="K17" s="71">
        <v>0</v>
      </c>
      <c r="L17" s="71">
        <v>0</v>
      </c>
      <c r="M17" s="71">
        <v>0</v>
      </c>
      <c r="N17" s="71">
        <v>0</v>
      </c>
    </row>
    <row r="18" spans="1:14" x14ac:dyDescent="0.25">
      <c r="A18" s="12">
        <v>17</v>
      </c>
      <c r="B18" s="60" t="s">
        <v>293</v>
      </c>
      <c r="C18" s="53">
        <v>10019</v>
      </c>
      <c r="D18" s="38" t="s">
        <v>25</v>
      </c>
      <c r="E18" s="38" t="s">
        <v>432</v>
      </c>
      <c r="F18" s="37" t="s">
        <v>279</v>
      </c>
      <c r="G18" s="69">
        <v>0</v>
      </c>
      <c r="H18" s="71">
        <v>0</v>
      </c>
      <c r="I18" s="71">
        <v>0</v>
      </c>
      <c r="J18" s="71">
        <v>0</v>
      </c>
      <c r="K18" s="71">
        <v>0</v>
      </c>
      <c r="L18" s="71">
        <v>0</v>
      </c>
      <c r="M18" s="71">
        <v>0</v>
      </c>
      <c r="N18" s="71">
        <v>0</v>
      </c>
    </row>
    <row r="19" spans="1:14" x14ac:dyDescent="0.25">
      <c r="A19" s="12">
        <v>18</v>
      </c>
      <c r="B19" s="60" t="s">
        <v>293</v>
      </c>
      <c r="C19" s="53">
        <v>10498</v>
      </c>
      <c r="D19" s="38" t="s">
        <v>26</v>
      </c>
      <c r="E19" s="38" t="s">
        <v>337</v>
      </c>
      <c r="F19" s="37" t="s">
        <v>379</v>
      </c>
      <c r="G19" s="69">
        <v>0</v>
      </c>
      <c r="H19" s="71">
        <v>0</v>
      </c>
      <c r="I19" s="71">
        <v>0</v>
      </c>
      <c r="J19" s="71">
        <v>0</v>
      </c>
      <c r="K19" s="71">
        <v>0</v>
      </c>
      <c r="L19" s="71">
        <v>0</v>
      </c>
      <c r="M19" s="71">
        <v>0</v>
      </c>
      <c r="N19" s="71">
        <v>0</v>
      </c>
    </row>
    <row r="20" spans="1:14" x14ac:dyDescent="0.25">
      <c r="A20" s="12">
        <v>19</v>
      </c>
      <c r="B20" s="60" t="s">
        <v>293</v>
      </c>
      <c r="C20" s="53">
        <v>10020</v>
      </c>
      <c r="D20" s="38" t="s">
        <v>27</v>
      </c>
      <c r="E20" s="38" t="s">
        <v>28</v>
      </c>
      <c r="F20" s="37" t="s">
        <v>279</v>
      </c>
      <c r="G20" s="69">
        <v>0</v>
      </c>
      <c r="H20" s="71">
        <v>0</v>
      </c>
      <c r="I20" s="71">
        <v>0</v>
      </c>
      <c r="J20" s="71">
        <v>0</v>
      </c>
      <c r="K20" s="71">
        <v>0</v>
      </c>
      <c r="L20" s="71">
        <v>0</v>
      </c>
      <c r="M20" s="71">
        <v>0</v>
      </c>
      <c r="N20" s="71">
        <v>0</v>
      </c>
    </row>
    <row r="21" spans="1:14" x14ac:dyDescent="0.25">
      <c r="A21" s="12">
        <v>20</v>
      </c>
      <c r="B21" s="60" t="s">
        <v>293</v>
      </c>
      <c r="C21" s="53">
        <v>10021</v>
      </c>
      <c r="D21" s="38" t="s">
        <v>29</v>
      </c>
      <c r="E21" s="38" t="s">
        <v>30</v>
      </c>
      <c r="F21" s="37" t="s">
        <v>281</v>
      </c>
      <c r="G21" s="69">
        <v>0</v>
      </c>
      <c r="H21" s="71">
        <v>0</v>
      </c>
      <c r="I21" s="71">
        <v>0</v>
      </c>
      <c r="J21" s="71">
        <v>0</v>
      </c>
      <c r="K21" s="71">
        <v>0</v>
      </c>
      <c r="L21" s="71">
        <v>0</v>
      </c>
      <c r="M21" s="71">
        <v>0</v>
      </c>
      <c r="N21" s="71">
        <v>0</v>
      </c>
    </row>
    <row r="22" spans="1:14" x14ac:dyDescent="0.25">
      <c r="A22" s="12">
        <v>21</v>
      </c>
      <c r="B22" s="60" t="s">
        <v>293</v>
      </c>
      <c r="C22" s="53">
        <v>10023</v>
      </c>
      <c r="D22" s="38" t="s">
        <v>31</v>
      </c>
      <c r="E22" s="38" t="s">
        <v>32</v>
      </c>
      <c r="F22" s="37" t="s">
        <v>279</v>
      </c>
      <c r="G22" s="69">
        <v>0</v>
      </c>
      <c r="H22" s="71">
        <v>0</v>
      </c>
      <c r="I22" s="71">
        <v>0</v>
      </c>
      <c r="J22" s="71">
        <v>0</v>
      </c>
      <c r="K22" s="71">
        <v>0</v>
      </c>
      <c r="L22" s="71">
        <v>0</v>
      </c>
      <c r="M22" s="71">
        <v>0</v>
      </c>
      <c r="N22" s="71">
        <v>0</v>
      </c>
    </row>
    <row r="23" spans="1:14" x14ac:dyDescent="0.25">
      <c r="A23" s="12">
        <v>22</v>
      </c>
      <c r="B23" s="60" t="s">
        <v>293</v>
      </c>
      <c r="C23" s="53">
        <v>10533</v>
      </c>
      <c r="D23" s="38" t="s">
        <v>314</v>
      </c>
      <c r="E23" s="38" t="s">
        <v>23</v>
      </c>
      <c r="F23" s="37" t="s">
        <v>279</v>
      </c>
      <c r="G23" s="69">
        <v>0</v>
      </c>
      <c r="H23" s="71">
        <v>0</v>
      </c>
      <c r="I23" s="71">
        <v>0</v>
      </c>
      <c r="J23" s="71">
        <v>0</v>
      </c>
      <c r="K23" s="71">
        <v>0</v>
      </c>
      <c r="L23" s="71">
        <v>0</v>
      </c>
      <c r="M23" s="71">
        <v>0</v>
      </c>
      <c r="N23" s="71">
        <v>0</v>
      </c>
    </row>
    <row r="24" spans="1:14" x14ac:dyDescent="0.25">
      <c r="A24" s="12">
        <v>23</v>
      </c>
      <c r="B24" s="60" t="s">
        <v>293</v>
      </c>
      <c r="C24" s="53">
        <v>10473</v>
      </c>
      <c r="D24" s="38" t="s">
        <v>33</v>
      </c>
      <c r="E24" s="38" t="s">
        <v>23</v>
      </c>
      <c r="F24" s="37" t="s">
        <v>279</v>
      </c>
      <c r="G24" s="69">
        <v>0</v>
      </c>
      <c r="H24" s="71">
        <v>0</v>
      </c>
      <c r="I24" s="71">
        <v>0</v>
      </c>
      <c r="J24" s="71">
        <v>0</v>
      </c>
      <c r="K24" s="71">
        <v>0</v>
      </c>
      <c r="L24" s="71">
        <v>0</v>
      </c>
      <c r="M24" s="71">
        <v>0</v>
      </c>
      <c r="N24" s="71">
        <v>0</v>
      </c>
    </row>
    <row r="25" spans="1:14" x14ac:dyDescent="0.25">
      <c r="A25" s="12">
        <v>24</v>
      </c>
      <c r="B25" s="60" t="s">
        <v>293</v>
      </c>
      <c r="C25" s="53">
        <v>10511</v>
      </c>
      <c r="D25" s="38" t="s">
        <v>34</v>
      </c>
      <c r="E25" s="38" t="s">
        <v>23</v>
      </c>
      <c r="F25" s="37" t="s">
        <v>279</v>
      </c>
      <c r="G25" s="69">
        <v>0</v>
      </c>
      <c r="H25" s="71">
        <v>0</v>
      </c>
      <c r="I25" s="71">
        <v>0</v>
      </c>
      <c r="J25" s="71">
        <v>0</v>
      </c>
      <c r="K25" s="71">
        <v>0</v>
      </c>
      <c r="L25" s="71">
        <v>0</v>
      </c>
      <c r="M25" s="71">
        <v>0</v>
      </c>
      <c r="N25" s="71">
        <v>0</v>
      </c>
    </row>
    <row r="26" spans="1:14" x14ac:dyDescent="0.25">
      <c r="A26" s="12">
        <v>25</v>
      </c>
      <c r="B26" s="60" t="s">
        <v>293</v>
      </c>
      <c r="C26" s="53">
        <v>10512</v>
      </c>
      <c r="D26" s="38" t="s">
        <v>35</v>
      </c>
      <c r="E26" s="38" t="s">
        <v>23</v>
      </c>
      <c r="F26" s="37" t="s">
        <v>279</v>
      </c>
      <c r="G26" s="69">
        <v>0</v>
      </c>
      <c r="H26" s="71">
        <v>0</v>
      </c>
      <c r="I26" s="71">
        <v>0</v>
      </c>
      <c r="J26" s="71">
        <v>0</v>
      </c>
      <c r="K26" s="71">
        <v>0</v>
      </c>
      <c r="L26" s="71">
        <v>0</v>
      </c>
      <c r="M26" s="71">
        <v>0</v>
      </c>
      <c r="N26" s="71">
        <v>0</v>
      </c>
    </row>
    <row r="27" spans="1:14" x14ac:dyDescent="0.25">
      <c r="A27" s="12">
        <v>26</v>
      </c>
      <c r="B27" s="60" t="s">
        <v>293</v>
      </c>
      <c r="C27" s="53">
        <v>10489</v>
      </c>
      <c r="D27" s="38" t="s">
        <v>36</v>
      </c>
      <c r="E27" s="38" t="s">
        <v>23</v>
      </c>
      <c r="F27" s="37" t="s">
        <v>279</v>
      </c>
      <c r="G27" s="69">
        <v>0</v>
      </c>
      <c r="H27" s="71">
        <v>0</v>
      </c>
      <c r="I27" s="71">
        <v>0</v>
      </c>
      <c r="J27" s="71">
        <v>0</v>
      </c>
      <c r="K27" s="71">
        <v>0</v>
      </c>
      <c r="L27" s="71">
        <v>0</v>
      </c>
      <c r="M27" s="71">
        <v>0</v>
      </c>
      <c r="N27" s="71">
        <v>0</v>
      </c>
    </row>
    <row r="28" spans="1:14" x14ac:dyDescent="0.25">
      <c r="A28" s="12">
        <v>27</v>
      </c>
      <c r="B28" s="60" t="s">
        <v>293</v>
      </c>
      <c r="C28" s="53">
        <v>10437</v>
      </c>
      <c r="D28" s="38" t="s">
        <v>37</v>
      </c>
      <c r="E28" s="38" t="s">
        <v>23</v>
      </c>
      <c r="F28" s="37" t="s">
        <v>279</v>
      </c>
      <c r="G28" s="69">
        <v>0</v>
      </c>
      <c r="H28" s="71">
        <v>0</v>
      </c>
      <c r="I28" s="71">
        <v>0</v>
      </c>
      <c r="J28" s="71">
        <v>0</v>
      </c>
      <c r="K28" s="71">
        <v>0</v>
      </c>
      <c r="L28" s="71">
        <v>0</v>
      </c>
      <c r="M28" s="71">
        <v>0</v>
      </c>
      <c r="N28" s="71">
        <v>0</v>
      </c>
    </row>
    <row r="29" spans="1:14" x14ac:dyDescent="0.25">
      <c r="A29" s="12">
        <v>28</v>
      </c>
      <c r="B29" s="60" t="s">
        <v>293</v>
      </c>
      <c r="C29" s="53">
        <v>10288</v>
      </c>
      <c r="D29" s="38" t="s">
        <v>38</v>
      </c>
      <c r="E29" s="38" t="s">
        <v>39</v>
      </c>
      <c r="F29" s="37" t="s">
        <v>282</v>
      </c>
      <c r="G29" s="69">
        <v>0</v>
      </c>
      <c r="H29" s="71">
        <v>0</v>
      </c>
      <c r="I29" s="71">
        <v>0</v>
      </c>
      <c r="J29" s="71">
        <v>0</v>
      </c>
      <c r="K29" s="71">
        <v>0</v>
      </c>
      <c r="L29" s="71">
        <v>0</v>
      </c>
      <c r="M29" s="71">
        <v>0</v>
      </c>
      <c r="N29" s="71">
        <v>0</v>
      </c>
    </row>
    <row r="30" spans="1:14" x14ac:dyDescent="0.25">
      <c r="A30" s="12">
        <v>29</v>
      </c>
      <c r="B30" s="60" t="s">
        <v>293</v>
      </c>
      <c r="C30" s="53">
        <v>10467</v>
      </c>
      <c r="D30" s="38" t="s">
        <v>40</v>
      </c>
      <c r="E30" s="38" t="s">
        <v>433</v>
      </c>
      <c r="F30" s="37" t="s">
        <v>282</v>
      </c>
      <c r="G30" s="69">
        <v>0</v>
      </c>
      <c r="H30" s="71">
        <v>0</v>
      </c>
      <c r="I30" s="71">
        <v>0</v>
      </c>
      <c r="J30" s="71">
        <v>0</v>
      </c>
      <c r="K30" s="71">
        <v>0</v>
      </c>
      <c r="L30" s="71">
        <v>0</v>
      </c>
      <c r="M30" s="71">
        <v>0</v>
      </c>
      <c r="N30" s="71">
        <v>0</v>
      </c>
    </row>
    <row r="31" spans="1:14" x14ac:dyDescent="0.25">
      <c r="A31" s="12">
        <v>30</v>
      </c>
      <c r="B31" s="60" t="s">
        <v>293</v>
      </c>
      <c r="C31" s="53">
        <v>10028</v>
      </c>
      <c r="D31" s="38" t="s">
        <v>42</v>
      </c>
      <c r="E31" s="38" t="s">
        <v>434</v>
      </c>
      <c r="F31" s="37" t="s">
        <v>283</v>
      </c>
      <c r="G31" s="69">
        <v>0</v>
      </c>
      <c r="H31" s="71">
        <v>0</v>
      </c>
      <c r="I31" s="71">
        <v>0</v>
      </c>
      <c r="J31" s="71">
        <v>0</v>
      </c>
      <c r="K31" s="71">
        <v>0</v>
      </c>
      <c r="L31" s="71">
        <v>0</v>
      </c>
      <c r="M31" s="71">
        <v>0</v>
      </c>
      <c r="N31" s="71">
        <v>0</v>
      </c>
    </row>
    <row r="32" spans="1:14" x14ac:dyDescent="0.25">
      <c r="A32" s="12">
        <v>31</v>
      </c>
      <c r="B32" s="60" t="s">
        <v>293</v>
      </c>
      <c r="C32" s="53">
        <v>10030</v>
      </c>
      <c r="D32" s="38" t="s">
        <v>43</v>
      </c>
      <c r="E32" s="38" t="s">
        <v>435</v>
      </c>
      <c r="F32" s="37" t="s">
        <v>283</v>
      </c>
      <c r="G32" s="69">
        <v>0</v>
      </c>
      <c r="H32" s="71">
        <v>0</v>
      </c>
      <c r="I32" s="71">
        <v>0</v>
      </c>
      <c r="J32" s="71">
        <v>0</v>
      </c>
      <c r="K32" s="71">
        <v>0</v>
      </c>
      <c r="L32" s="71">
        <v>0</v>
      </c>
      <c r="M32" s="71">
        <v>0</v>
      </c>
      <c r="N32" s="71">
        <v>0</v>
      </c>
    </row>
    <row r="33" spans="1:14" x14ac:dyDescent="0.25">
      <c r="A33" s="12">
        <v>32</v>
      </c>
      <c r="B33" s="60" t="s">
        <v>293</v>
      </c>
      <c r="C33" s="53">
        <v>10031</v>
      </c>
      <c r="D33" s="38" t="s">
        <v>45</v>
      </c>
      <c r="E33" s="38" t="s">
        <v>44</v>
      </c>
      <c r="F33" s="37" t="s">
        <v>283</v>
      </c>
      <c r="G33" s="69">
        <v>0</v>
      </c>
      <c r="H33" s="71">
        <v>0</v>
      </c>
      <c r="I33" s="71">
        <v>0</v>
      </c>
      <c r="J33" s="71">
        <v>0</v>
      </c>
      <c r="K33" s="71">
        <v>0</v>
      </c>
      <c r="L33" s="71">
        <v>0</v>
      </c>
      <c r="M33" s="71">
        <v>0</v>
      </c>
      <c r="N33" s="71">
        <v>0</v>
      </c>
    </row>
    <row r="34" spans="1:14" x14ac:dyDescent="0.25">
      <c r="A34" s="12">
        <v>33</v>
      </c>
      <c r="B34" s="60" t="s">
        <v>293</v>
      </c>
      <c r="C34" s="53">
        <v>10032</v>
      </c>
      <c r="D34" s="38" t="s">
        <v>46</v>
      </c>
      <c r="E34" s="38" t="s">
        <v>144</v>
      </c>
      <c r="F34" s="37" t="s">
        <v>283</v>
      </c>
      <c r="G34" s="69">
        <v>0</v>
      </c>
      <c r="H34" s="71">
        <v>0</v>
      </c>
      <c r="I34" s="71">
        <v>0</v>
      </c>
      <c r="J34" s="71">
        <v>0</v>
      </c>
      <c r="K34" s="71">
        <v>0</v>
      </c>
      <c r="L34" s="71">
        <v>0</v>
      </c>
      <c r="M34" s="71">
        <v>0</v>
      </c>
      <c r="N34" s="71">
        <v>0</v>
      </c>
    </row>
    <row r="35" spans="1:14" x14ac:dyDescent="0.25">
      <c r="A35" s="12">
        <v>34</v>
      </c>
      <c r="B35" s="60" t="s">
        <v>293</v>
      </c>
      <c r="C35" s="53">
        <v>10034</v>
      </c>
      <c r="D35" s="38" t="s">
        <v>48</v>
      </c>
      <c r="E35" s="38" t="s">
        <v>47</v>
      </c>
      <c r="F35" s="37" t="s">
        <v>283</v>
      </c>
      <c r="G35" s="69">
        <v>0</v>
      </c>
      <c r="H35" s="71">
        <v>0</v>
      </c>
      <c r="I35" s="71">
        <v>0</v>
      </c>
      <c r="J35" s="71">
        <v>0</v>
      </c>
      <c r="K35" s="71">
        <v>0</v>
      </c>
      <c r="L35" s="71">
        <v>0</v>
      </c>
      <c r="M35" s="71">
        <v>0</v>
      </c>
      <c r="N35" s="71">
        <v>0</v>
      </c>
    </row>
    <row r="36" spans="1:14" x14ac:dyDescent="0.25">
      <c r="A36" s="12">
        <v>35</v>
      </c>
      <c r="B36" s="60" t="s">
        <v>293</v>
      </c>
      <c r="C36" s="53">
        <v>10543</v>
      </c>
      <c r="D36" s="38" t="s">
        <v>412</v>
      </c>
      <c r="E36" s="38" t="s">
        <v>49</v>
      </c>
      <c r="F36" s="37" t="s">
        <v>283</v>
      </c>
      <c r="G36" s="69">
        <v>0</v>
      </c>
      <c r="H36" s="71">
        <v>0</v>
      </c>
      <c r="I36" s="71">
        <v>0</v>
      </c>
      <c r="J36" s="71">
        <v>0</v>
      </c>
      <c r="K36" s="71">
        <v>0</v>
      </c>
      <c r="L36" s="71">
        <v>0</v>
      </c>
      <c r="M36" s="71">
        <v>0</v>
      </c>
      <c r="N36" s="71">
        <v>0</v>
      </c>
    </row>
    <row r="37" spans="1:14" x14ac:dyDescent="0.25">
      <c r="A37" s="12">
        <v>36</v>
      </c>
      <c r="B37" s="60" t="s">
        <v>293</v>
      </c>
      <c r="C37" s="53">
        <v>10544</v>
      </c>
      <c r="D37" s="38" t="s">
        <v>323</v>
      </c>
      <c r="E37" s="38" t="s">
        <v>436</v>
      </c>
      <c r="F37" s="37" t="s">
        <v>283</v>
      </c>
      <c r="G37" s="69">
        <v>0</v>
      </c>
      <c r="H37" s="71">
        <v>0</v>
      </c>
      <c r="I37" s="71">
        <v>0</v>
      </c>
      <c r="J37" s="71">
        <v>0</v>
      </c>
      <c r="K37" s="71">
        <v>0</v>
      </c>
      <c r="L37" s="71">
        <v>0</v>
      </c>
      <c r="M37" s="71">
        <v>0</v>
      </c>
      <c r="N37" s="71">
        <v>0</v>
      </c>
    </row>
    <row r="38" spans="1:14" x14ac:dyDescent="0.25">
      <c r="A38" s="12">
        <v>37</v>
      </c>
      <c r="B38" s="60" t="s">
        <v>293</v>
      </c>
      <c r="C38" s="53">
        <v>10035</v>
      </c>
      <c r="D38" s="38" t="s">
        <v>50</v>
      </c>
      <c r="E38" s="38" t="s">
        <v>51</v>
      </c>
      <c r="F38" s="37" t="s">
        <v>275</v>
      </c>
      <c r="G38" s="69">
        <v>0</v>
      </c>
      <c r="H38" s="71">
        <v>0</v>
      </c>
      <c r="I38" s="71">
        <v>0</v>
      </c>
      <c r="J38" s="71">
        <v>0</v>
      </c>
      <c r="K38" s="71">
        <v>0</v>
      </c>
      <c r="L38" s="71">
        <v>0</v>
      </c>
      <c r="M38" s="71">
        <v>0</v>
      </c>
      <c r="N38" s="71">
        <v>0</v>
      </c>
    </row>
    <row r="39" spans="1:14" x14ac:dyDescent="0.25">
      <c r="A39" s="12">
        <v>38</v>
      </c>
      <c r="B39" s="60" t="s">
        <v>293</v>
      </c>
      <c r="C39" s="53">
        <v>10037</v>
      </c>
      <c r="D39" s="38" t="s">
        <v>52</v>
      </c>
      <c r="E39" s="38" t="s">
        <v>53</v>
      </c>
      <c r="F39" s="37" t="s">
        <v>275</v>
      </c>
      <c r="G39" s="69">
        <v>0</v>
      </c>
      <c r="H39" s="71">
        <v>0</v>
      </c>
      <c r="I39" s="71">
        <v>0</v>
      </c>
      <c r="J39" s="71">
        <v>0</v>
      </c>
      <c r="K39" s="71">
        <v>0</v>
      </c>
      <c r="L39" s="71">
        <v>0</v>
      </c>
      <c r="M39" s="71">
        <v>0</v>
      </c>
      <c r="N39" s="71">
        <v>0</v>
      </c>
    </row>
    <row r="40" spans="1:14" x14ac:dyDescent="0.25">
      <c r="A40" s="12">
        <v>39</v>
      </c>
      <c r="B40" s="60" t="s">
        <v>293</v>
      </c>
      <c r="C40" s="53">
        <v>10038</v>
      </c>
      <c r="D40" s="38" t="s">
        <v>54</v>
      </c>
      <c r="E40" s="38" t="s">
        <v>55</v>
      </c>
      <c r="F40" s="37" t="s">
        <v>275</v>
      </c>
      <c r="G40" s="69">
        <v>0</v>
      </c>
      <c r="H40" s="71">
        <v>0</v>
      </c>
      <c r="I40" s="71">
        <v>0</v>
      </c>
      <c r="J40" s="71">
        <v>0</v>
      </c>
      <c r="K40" s="71">
        <v>0</v>
      </c>
      <c r="L40" s="71">
        <v>0</v>
      </c>
      <c r="M40" s="71">
        <v>0</v>
      </c>
      <c r="N40" s="71">
        <v>0</v>
      </c>
    </row>
    <row r="41" spans="1:14" x14ac:dyDescent="0.25">
      <c r="A41" s="12">
        <v>40</v>
      </c>
      <c r="B41" s="60" t="s">
        <v>293</v>
      </c>
      <c r="C41" s="53">
        <v>10039</v>
      </c>
      <c r="D41" s="38" t="s">
        <v>56</v>
      </c>
      <c r="E41" s="38" t="s">
        <v>53</v>
      </c>
      <c r="F41" s="37" t="s">
        <v>275</v>
      </c>
      <c r="G41" s="69">
        <v>0</v>
      </c>
      <c r="H41" s="71">
        <v>0</v>
      </c>
      <c r="I41" s="71">
        <v>0</v>
      </c>
      <c r="J41" s="71">
        <v>0</v>
      </c>
      <c r="K41" s="71">
        <v>0</v>
      </c>
      <c r="L41" s="71">
        <v>0</v>
      </c>
      <c r="M41" s="71">
        <v>0</v>
      </c>
      <c r="N41" s="71">
        <v>0</v>
      </c>
    </row>
    <row r="42" spans="1:14" x14ac:dyDescent="0.25">
      <c r="A42" s="12">
        <v>41</v>
      </c>
      <c r="B42" s="60" t="s">
        <v>293</v>
      </c>
      <c r="C42" s="53">
        <v>10299</v>
      </c>
      <c r="D42" s="38" t="s">
        <v>57</v>
      </c>
      <c r="E42" s="38" t="s">
        <v>55</v>
      </c>
      <c r="F42" s="37" t="s">
        <v>275</v>
      </c>
      <c r="G42" s="69">
        <v>0</v>
      </c>
      <c r="H42" s="71">
        <v>0</v>
      </c>
      <c r="I42" s="71">
        <v>0</v>
      </c>
      <c r="J42" s="71">
        <v>0</v>
      </c>
      <c r="K42" s="71">
        <v>0</v>
      </c>
      <c r="L42" s="71">
        <v>0</v>
      </c>
      <c r="M42" s="71">
        <v>0</v>
      </c>
      <c r="N42" s="71">
        <v>0</v>
      </c>
    </row>
    <row r="43" spans="1:14" x14ac:dyDescent="0.25">
      <c r="A43" s="12">
        <v>42</v>
      </c>
      <c r="B43" s="60" t="s">
        <v>293</v>
      </c>
      <c r="C43" s="53">
        <v>10300</v>
      </c>
      <c r="D43" s="38" t="s">
        <v>58</v>
      </c>
      <c r="E43" s="38" t="s">
        <v>55</v>
      </c>
      <c r="F43" s="37" t="s">
        <v>275</v>
      </c>
      <c r="G43" s="69">
        <v>0</v>
      </c>
      <c r="H43" s="71">
        <v>0</v>
      </c>
      <c r="I43" s="71">
        <v>0</v>
      </c>
      <c r="J43" s="71">
        <v>0</v>
      </c>
      <c r="K43" s="71">
        <v>0</v>
      </c>
      <c r="L43" s="71">
        <v>0</v>
      </c>
      <c r="M43" s="71">
        <v>0</v>
      </c>
      <c r="N43" s="71">
        <v>0</v>
      </c>
    </row>
    <row r="44" spans="1:14" x14ac:dyDescent="0.25">
      <c r="A44" s="12">
        <v>43</v>
      </c>
      <c r="B44" s="60" t="s">
        <v>293</v>
      </c>
      <c r="C44" s="53">
        <v>10042</v>
      </c>
      <c r="D44" s="38" t="s">
        <v>59</v>
      </c>
      <c r="E44" s="38" t="s">
        <v>55</v>
      </c>
      <c r="F44" s="37" t="s">
        <v>275</v>
      </c>
      <c r="G44" s="69">
        <v>0</v>
      </c>
      <c r="H44" s="71">
        <v>0</v>
      </c>
      <c r="I44" s="71">
        <v>0</v>
      </c>
      <c r="J44" s="71">
        <v>0</v>
      </c>
      <c r="K44" s="71">
        <v>0</v>
      </c>
      <c r="L44" s="71">
        <v>0</v>
      </c>
      <c r="M44" s="71">
        <v>0</v>
      </c>
      <c r="N44" s="71">
        <v>0</v>
      </c>
    </row>
    <row r="45" spans="1:14" x14ac:dyDescent="0.25">
      <c r="A45" s="12">
        <v>44</v>
      </c>
      <c r="B45" s="60" t="s">
        <v>293</v>
      </c>
      <c r="C45" s="53">
        <v>10308</v>
      </c>
      <c r="D45" s="38" t="s">
        <v>60</v>
      </c>
      <c r="E45" s="38" t="s">
        <v>55</v>
      </c>
      <c r="F45" s="37" t="s">
        <v>275</v>
      </c>
      <c r="G45" s="69">
        <v>0</v>
      </c>
      <c r="H45" s="71">
        <v>0</v>
      </c>
      <c r="I45" s="71">
        <v>0</v>
      </c>
      <c r="J45" s="71">
        <v>0</v>
      </c>
      <c r="K45" s="71">
        <v>0</v>
      </c>
      <c r="L45" s="71">
        <v>0</v>
      </c>
      <c r="M45" s="71">
        <v>0</v>
      </c>
      <c r="N45" s="71">
        <v>0</v>
      </c>
    </row>
    <row r="46" spans="1:14" x14ac:dyDescent="0.25">
      <c r="A46" s="12">
        <v>45</v>
      </c>
      <c r="B46" s="60" t="s">
        <v>293</v>
      </c>
      <c r="C46" s="53">
        <v>10043</v>
      </c>
      <c r="D46" s="38" t="s">
        <v>61</v>
      </c>
      <c r="E46" s="38" t="s">
        <v>62</v>
      </c>
      <c r="F46" s="37" t="s">
        <v>284</v>
      </c>
      <c r="G46" s="69">
        <v>0</v>
      </c>
      <c r="H46" s="71">
        <v>0</v>
      </c>
      <c r="I46" s="71">
        <v>0</v>
      </c>
      <c r="J46" s="71">
        <v>0</v>
      </c>
      <c r="K46" s="71">
        <v>0</v>
      </c>
      <c r="L46" s="71">
        <v>0</v>
      </c>
      <c r="M46" s="71">
        <v>0</v>
      </c>
      <c r="N46" s="71">
        <v>0</v>
      </c>
    </row>
    <row r="47" spans="1:14" x14ac:dyDescent="0.25">
      <c r="A47" s="12">
        <v>46</v>
      </c>
      <c r="B47" s="60" t="s">
        <v>293</v>
      </c>
      <c r="C47" s="53">
        <v>20015</v>
      </c>
      <c r="D47" s="38" t="s">
        <v>63</v>
      </c>
      <c r="E47" s="38" t="s">
        <v>55</v>
      </c>
      <c r="F47" s="37" t="s">
        <v>275</v>
      </c>
      <c r="G47" s="69">
        <v>0</v>
      </c>
      <c r="H47" s="71">
        <v>0</v>
      </c>
      <c r="I47" s="71">
        <v>0</v>
      </c>
      <c r="J47" s="71">
        <v>0</v>
      </c>
      <c r="K47" s="71">
        <v>0</v>
      </c>
      <c r="L47" s="71">
        <v>0</v>
      </c>
      <c r="M47" s="71">
        <v>0</v>
      </c>
      <c r="N47" s="71">
        <v>0</v>
      </c>
    </row>
    <row r="48" spans="1:14" x14ac:dyDescent="0.25">
      <c r="A48" s="12">
        <v>47</v>
      </c>
      <c r="B48" s="60" t="s">
        <v>293</v>
      </c>
      <c r="C48" s="53">
        <v>20033</v>
      </c>
      <c r="D48" s="38" t="s">
        <v>64</v>
      </c>
      <c r="E48" s="38" t="s">
        <v>53</v>
      </c>
      <c r="F48" s="37" t="s">
        <v>275</v>
      </c>
      <c r="G48" s="69">
        <v>0</v>
      </c>
      <c r="H48" s="71">
        <v>0</v>
      </c>
      <c r="I48" s="71">
        <v>0</v>
      </c>
      <c r="J48" s="71">
        <v>0</v>
      </c>
      <c r="K48" s="71">
        <v>0</v>
      </c>
      <c r="L48" s="71">
        <v>0</v>
      </c>
      <c r="M48" s="71">
        <v>0</v>
      </c>
      <c r="N48" s="71">
        <v>0</v>
      </c>
    </row>
    <row r="49" spans="1:14" x14ac:dyDescent="0.25">
      <c r="A49" s="12">
        <v>48</v>
      </c>
      <c r="B49" s="60" t="s">
        <v>293</v>
      </c>
      <c r="C49" s="53">
        <v>40017</v>
      </c>
      <c r="D49" s="38" t="s">
        <v>65</v>
      </c>
      <c r="E49" s="38" t="s">
        <v>53</v>
      </c>
      <c r="F49" s="37" t="s">
        <v>275</v>
      </c>
      <c r="G49" s="69">
        <v>0</v>
      </c>
      <c r="H49" s="71">
        <v>0</v>
      </c>
      <c r="I49" s="71">
        <v>0</v>
      </c>
      <c r="J49" s="71">
        <v>0</v>
      </c>
      <c r="K49" s="71">
        <v>0</v>
      </c>
      <c r="L49" s="71">
        <v>0</v>
      </c>
      <c r="M49" s="71">
        <v>0</v>
      </c>
      <c r="N49" s="71">
        <v>0</v>
      </c>
    </row>
    <row r="50" spans="1:14" x14ac:dyDescent="0.25">
      <c r="A50" s="12">
        <v>49</v>
      </c>
      <c r="B50" s="60" t="s">
        <v>293</v>
      </c>
      <c r="C50" s="53">
        <v>10500</v>
      </c>
      <c r="D50" s="38" t="s">
        <v>66</v>
      </c>
      <c r="E50" s="38" t="s">
        <v>55</v>
      </c>
      <c r="F50" s="37" t="s">
        <v>275</v>
      </c>
      <c r="G50" s="69">
        <v>0</v>
      </c>
      <c r="H50" s="71">
        <v>0</v>
      </c>
      <c r="I50" s="71">
        <v>0</v>
      </c>
      <c r="J50" s="71">
        <v>0</v>
      </c>
      <c r="K50" s="71">
        <v>0</v>
      </c>
      <c r="L50" s="71">
        <v>0</v>
      </c>
      <c r="M50" s="71">
        <v>0</v>
      </c>
      <c r="N50" s="71">
        <v>0</v>
      </c>
    </row>
    <row r="51" spans="1:14" x14ac:dyDescent="0.25">
      <c r="A51" s="12">
        <v>50</v>
      </c>
      <c r="B51" s="60" t="s">
        <v>293</v>
      </c>
      <c r="C51" s="53">
        <v>20055</v>
      </c>
      <c r="D51" s="38" t="s">
        <v>67</v>
      </c>
      <c r="E51" s="38" t="s">
        <v>23</v>
      </c>
      <c r="F51" s="37" t="s">
        <v>279</v>
      </c>
      <c r="G51" s="69">
        <v>0</v>
      </c>
      <c r="H51" s="71">
        <v>0</v>
      </c>
      <c r="I51" s="71">
        <v>0</v>
      </c>
      <c r="J51" s="71">
        <v>0</v>
      </c>
      <c r="K51" s="71">
        <v>0</v>
      </c>
      <c r="L51" s="71">
        <v>0</v>
      </c>
      <c r="M51" s="71">
        <v>0</v>
      </c>
      <c r="N51" s="71">
        <v>0</v>
      </c>
    </row>
    <row r="52" spans="1:14" x14ac:dyDescent="0.25">
      <c r="A52" s="12">
        <v>51</v>
      </c>
      <c r="B52" s="61" t="s">
        <v>293</v>
      </c>
      <c r="C52" s="54">
        <v>10044</v>
      </c>
      <c r="D52" s="64" t="s">
        <v>68</v>
      </c>
      <c r="E52" s="64" t="s">
        <v>69</v>
      </c>
      <c r="F52" s="57" t="s">
        <v>284</v>
      </c>
      <c r="G52" s="69">
        <v>0</v>
      </c>
      <c r="H52" s="71">
        <v>0</v>
      </c>
      <c r="I52" s="71">
        <v>0</v>
      </c>
      <c r="J52" s="71">
        <v>0</v>
      </c>
      <c r="K52" s="71">
        <v>0</v>
      </c>
      <c r="L52" s="71">
        <v>0</v>
      </c>
      <c r="M52" s="71">
        <v>0</v>
      </c>
      <c r="N52" s="71">
        <v>0</v>
      </c>
    </row>
    <row r="53" spans="1:14" x14ac:dyDescent="0.25">
      <c r="A53" s="12">
        <v>52</v>
      </c>
      <c r="B53" s="60" t="s">
        <v>293</v>
      </c>
      <c r="C53" s="53">
        <v>10045</v>
      </c>
      <c r="D53" s="38" t="s">
        <v>70</v>
      </c>
      <c r="E53" s="38" t="s">
        <v>69</v>
      </c>
      <c r="F53" s="37" t="s">
        <v>284</v>
      </c>
      <c r="G53" s="69">
        <v>24480</v>
      </c>
      <c r="H53" s="71">
        <v>2070</v>
      </c>
      <c r="I53" s="71">
        <v>6120</v>
      </c>
      <c r="J53" s="71">
        <v>6120</v>
      </c>
      <c r="K53" s="71">
        <v>15390</v>
      </c>
      <c r="L53" s="71">
        <v>1590</v>
      </c>
      <c r="M53" s="71">
        <v>23520</v>
      </c>
      <c r="N53" s="71">
        <v>11970</v>
      </c>
    </row>
    <row r="54" spans="1:14" x14ac:dyDescent="0.25">
      <c r="A54" s="12">
        <v>53</v>
      </c>
      <c r="B54" s="60" t="s">
        <v>293</v>
      </c>
      <c r="C54" s="53">
        <v>20013</v>
      </c>
      <c r="D54" s="38" t="s">
        <v>71</v>
      </c>
      <c r="E54" s="38" t="s">
        <v>69</v>
      </c>
      <c r="F54" s="37" t="s">
        <v>284</v>
      </c>
      <c r="G54" s="69">
        <v>3240</v>
      </c>
      <c r="H54" s="71">
        <v>1800</v>
      </c>
      <c r="I54" s="71">
        <v>3520</v>
      </c>
      <c r="J54" s="71">
        <v>9360</v>
      </c>
      <c r="K54" s="71">
        <v>6900</v>
      </c>
      <c r="L54" s="71">
        <v>1590</v>
      </c>
      <c r="M54" s="71">
        <v>5915</v>
      </c>
      <c r="N54" s="71">
        <v>5460</v>
      </c>
    </row>
    <row r="55" spans="1:14" x14ac:dyDescent="0.25">
      <c r="A55" s="12">
        <v>54</v>
      </c>
      <c r="B55" s="60" t="s">
        <v>293</v>
      </c>
      <c r="C55" s="53">
        <v>10047</v>
      </c>
      <c r="D55" s="38" t="s">
        <v>72</v>
      </c>
      <c r="E55" s="38" t="s">
        <v>69</v>
      </c>
      <c r="F55" s="37" t="s">
        <v>284</v>
      </c>
      <c r="G55" s="69">
        <v>13000</v>
      </c>
      <c r="H55" s="71">
        <v>12400</v>
      </c>
      <c r="I55" s="71">
        <v>6120</v>
      </c>
      <c r="J55" s="71">
        <v>2160</v>
      </c>
      <c r="K55" s="71">
        <v>30780</v>
      </c>
      <c r="L55" s="71">
        <v>30360</v>
      </c>
      <c r="M55" s="71">
        <v>17690</v>
      </c>
      <c r="N55" s="71">
        <v>22800</v>
      </c>
    </row>
    <row r="56" spans="1:14" x14ac:dyDescent="0.25">
      <c r="A56" s="12">
        <v>55</v>
      </c>
      <c r="B56" s="60" t="s">
        <v>293</v>
      </c>
      <c r="C56" s="53">
        <v>10048</v>
      </c>
      <c r="D56" s="38" t="s">
        <v>73</v>
      </c>
      <c r="E56" s="38" t="s">
        <v>69</v>
      </c>
      <c r="F56" s="37" t="s">
        <v>284</v>
      </c>
      <c r="G56" s="69">
        <v>0</v>
      </c>
      <c r="H56" s="71">
        <v>0</v>
      </c>
      <c r="I56" s="71">
        <v>0</v>
      </c>
      <c r="J56" s="71">
        <v>0</v>
      </c>
      <c r="K56" s="71">
        <v>0</v>
      </c>
      <c r="L56" s="71">
        <v>0</v>
      </c>
      <c r="M56" s="71">
        <v>0</v>
      </c>
      <c r="N56" s="71">
        <v>0</v>
      </c>
    </row>
    <row r="57" spans="1:14" x14ac:dyDescent="0.25">
      <c r="A57" s="12">
        <v>56</v>
      </c>
      <c r="B57" s="60" t="s">
        <v>293</v>
      </c>
      <c r="C57" s="53">
        <v>10049</v>
      </c>
      <c r="D57" s="38" t="s">
        <v>74</v>
      </c>
      <c r="E57" s="38" t="s">
        <v>75</v>
      </c>
      <c r="F57" s="37" t="s">
        <v>285</v>
      </c>
      <c r="G57" s="69">
        <v>0</v>
      </c>
      <c r="H57" s="71">
        <v>0</v>
      </c>
      <c r="I57" s="71">
        <v>0</v>
      </c>
      <c r="J57" s="71">
        <v>0</v>
      </c>
      <c r="K57" s="71">
        <v>0</v>
      </c>
      <c r="L57" s="71">
        <v>0</v>
      </c>
      <c r="M57" s="71">
        <v>0</v>
      </c>
      <c r="N57" s="71">
        <v>0</v>
      </c>
    </row>
    <row r="58" spans="1:14" x14ac:dyDescent="0.25">
      <c r="A58" s="12">
        <v>57</v>
      </c>
      <c r="B58" s="60" t="s">
        <v>293</v>
      </c>
      <c r="C58" s="53">
        <v>20014</v>
      </c>
      <c r="D58" s="38" t="s">
        <v>76</v>
      </c>
      <c r="E58" s="38" t="s">
        <v>77</v>
      </c>
      <c r="F58" s="37" t="s">
        <v>285</v>
      </c>
      <c r="G58" s="69">
        <v>0</v>
      </c>
      <c r="H58" s="71">
        <v>0</v>
      </c>
      <c r="I58" s="71">
        <v>0</v>
      </c>
      <c r="J58" s="71">
        <v>0</v>
      </c>
      <c r="K58" s="71">
        <v>0</v>
      </c>
      <c r="L58" s="71">
        <v>0</v>
      </c>
      <c r="M58" s="71">
        <v>0</v>
      </c>
      <c r="N58" s="71">
        <v>0</v>
      </c>
    </row>
    <row r="59" spans="1:14" x14ac:dyDescent="0.25">
      <c r="A59" s="12">
        <v>58</v>
      </c>
      <c r="B59" s="60" t="s">
        <v>293</v>
      </c>
      <c r="C59" s="53">
        <v>10412</v>
      </c>
      <c r="D59" s="38" t="s">
        <v>78</v>
      </c>
      <c r="E59" s="38" t="s">
        <v>69</v>
      </c>
      <c r="F59" s="37" t="s">
        <v>284</v>
      </c>
      <c r="G59" s="69">
        <v>4650</v>
      </c>
      <c r="H59" s="71">
        <v>9200</v>
      </c>
      <c r="I59" s="71">
        <v>0</v>
      </c>
      <c r="J59" s="71">
        <v>0</v>
      </c>
      <c r="K59" s="71">
        <v>0</v>
      </c>
      <c r="L59" s="71">
        <v>0</v>
      </c>
      <c r="M59" s="71">
        <v>0</v>
      </c>
      <c r="N59" s="71">
        <v>0</v>
      </c>
    </row>
    <row r="60" spans="1:14" x14ac:dyDescent="0.25">
      <c r="A60" s="12">
        <v>59</v>
      </c>
      <c r="B60" s="60" t="s">
        <v>293</v>
      </c>
      <c r="C60" s="53">
        <v>10413</v>
      </c>
      <c r="D60" s="38" t="s">
        <v>79</v>
      </c>
      <c r="E60" s="38" t="s">
        <v>69</v>
      </c>
      <c r="F60" s="37" t="s">
        <v>284</v>
      </c>
      <c r="G60" s="69">
        <v>9200</v>
      </c>
      <c r="H60" s="71">
        <v>9360</v>
      </c>
      <c r="I60" s="71">
        <v>25440</v>
      </c>
      <c r="J60" s="71">
        <v>15720</v>
      </c>
      <c r="K60" s="71">
        <v>17690</v>
      </c>
      <c r="L60" s="71">
        <v>20400</v>
      </c>
      <c r="M60" s="71">
        <v>22320</v>
      </c>
      <c r="N60" s="71">
        <v>17940</v>
      </c>
    </row>
    <row r="61" spans="1:14" x14ac:dyDescent="0.25">
      <c r="A61" s="12">
        <v>60</v>
      </c>
      <c r="B61" s="60" t="s">
        <v>293</v>
      </c>
      <c r="C61" s="53">
        <v>10054</v>
      </c>
      <c r="D61" s="38" t="s">
        <v>80</v>
      </c>
      <c r="E61" s="38" t="s">
        <v>49</v>
      </c>
      <c r="F61" s="37" t="s">
        <v>283</v>
      </c>
      <c r="G61" s="69">
        <v>0</v>
      </c>
      <c r="H61" s="71">
        <v>0</v>
      </c>
      <c r="I61" s="71">
        <v>0</v>
      </c>
      <c r="J61" s="71">
        <v>0</v>
      </c>
      <c r="K61" s="71">
        <v>0</v>
      </c>
      <c r="L61" s="71">
        <v>0</v>
      </c>
      <c r="M61" s="71">
        <v>0</v>
      </c>
      <c r="N61" s="71">
        <v>0</v>
      </c>
    </row>
    <row r="62" spans="1:14" x14ac:dyDescent="0.25">
      <c r="A62" s="12">
        <v>61</v>
      </c>
      <c r="B62" s="60" t="s">
        <v>293</v>
      </c>
      <c r="C62" s="53">
        <v>10056</v>
      </c>
      <c r="D62" s="38" t="s">
        <v>81</v>
      </c>
      <c r="E62" s="38" t="s">
        <v>82</v>
      </c>
      <c r="F62" s="37" t="s">
        <v>280</v>
      </c>
      <c r="G62" s="69">
        <v>0</v>
      </c>
      <c r="H62" s="71">
        <v>0</v>
      </c>
      <c r="I62" s="71">
        <v>0</v>
      </c>
      <c r="J62" s="71">
        <v>0</v>
      </c>
      <c r="K62" s="71">
        <v>0</v>
      </c>
      <c r="L62" s="71">
        <v>0</v>
      </c>
      <c r="M62" s="71">
        <v>0</v>
      </c>
      <c r="N62" s="71">
        <v>0</v>
      </c>
    </row>
    <row r="63" spans="1:14" x14ac:dyDescent="0.25">
      <c r="A63" s="12">
        <v>62</v>
      </c>
      <c r="B63" s="60" t="s">
        <v>293</v>
      </c>
      <c r="C63" s="53">
        <v>10058</v>
      </c>
      <c r="D63" s="38" t="s">
        <v>83</v>
      </c>
      <c r="E63" s="38" t="s">
        <v>84</v>
      </c>
      <c r="F63" s="37" t="s">
        <v>280</v>
      </c>
      <c r="G63" s="69">
        <v>2860</v>
      </c>
      <c r="H63" s="20">
        <v>1540</v>
      </c>
      <c r="I63" s="71">
        <v>2220</v>
      </c>
      <c r="J63" s="71">
        <v>2080</v>
      </c>
      <c r="K63" s="71">
        <v>2480</v>
      </c>
      <c r="L63" s="71">
        <v>3020</v>
      </c>
      <c r="M63" s="71">
        <v>3140</v>
      </c>
      <c r="N63" s="71">
        <v>3340</v>
      </c>
    </row>
    <row r="64" spans="1:14" x14ac:dyDescent="0.25">
      <c r="A64" s="12">
        <v>63</v>
      </c>
      <c r="B64" s="60" t="s">
        <v>293</v>
      </c>
      <c r="C64" s="53">
        <v>10059</v>
      </c>
      <c r="D64" s="38" t="s">
        <v>85</v>
      </c>
      <c r="E64" s="38" t="s">
        <v>84</v>
      </c>
      <c r="F64" s="37" t="s">
        <v>280</v>
      </c>
      <c r="G64" s="69">
        <v>3680</v>
      </c>
      <c r="H64" s="20">
        <v>3740</v>
      </c>
      <c r="I64" s="20">
        <v>3820</v>
      </c>
      <c r="J64" s="71">
        <v>3740</v>
      </c>
      <c r="K64" s="71">
        <v>3620</v>
      </c>
      <c r="L64" s="71">
        <v>3680</v>
      </c>
      <c r="M64" s="71">
        <v>3820</v>
      </c>
      <c r="N64" s="71">
        <v>3960</v>
      </c>
    </row>
    <row r="65" spans="1:14" x14ac:dyDescent="0.25">
      <c r="A65" s="12">
        <v>64</v>
      </c>
      <c r="B65" s="60" t="s">
        <v>293</v>
      </c>
      <c r="C65" s="53">
        <v>10522</v>
      </c>
      <c r="D65" s="38" t="s">
        <v>86</v>
      </c>
      <c r="E65" s="38" t="s">
        <v>87</v>
      </c>
      <c r="F65" s="37" t="s">
        <v>280</v>
      </c>
      <c r="G65" s="69">
        <v>0</v>
      </c>
      <c r="H65" s="71">
        <v>0</v>
      </c>
      <c r="I65" s="71">
        <v>0</v>
      </c>
      <c r="J65" s="71">
        <v>0</v>
      </c>
      <c r="K65" s="71">
        <v>0</v>
      </c>
      <c r="L65" s="71">
        <v>0</v>
      </c>
      <c r="M65" s="71">
        <v>0</v>
      </c>
      <c r="N65" s="71">
        <v>0</v>
      </c>
    </row>
    <row r="66" spans="1:14" x14ac:dyDescent="0.25">
      <c r="A66" s="12">
        <v>65</v>
      </c>
      <c r="B66" s="60" t="s">
        <v>293</v>
      </c>
      <c r="C66" s="53">
        <v>10523</v>
      </c>
      <c r="D66" s="38" t="s">
        <v>88</v>
      </c>
      <c r="E66" s="38" t="s">
        <v>89</v>
      </c>
      <c r="F66" s="37" t="s">
        <v>280</v>
      </c>
      <c r="G66" s="69">
        <v>1940</v>
      </c>
      <c r="H66" s="71">
        <v>2880</v>
      </c>
      <c r="I66" s="71">
        <v>3060</v>
      </c>
      <c r="J66" s="71">
        <v>2980</v>
      </c>
      <c r="K66" s="71">
        <v>2840</v>
      </c>
      <c r="L66" s="71">
        <v>2400</v>
      </c>
      <c r="M66" s="71">
        <v>2980</v>
      </c>
      <c r="N66" s="71">
        <v>3180</v>
      </c>
    </row>
    <row r="67" spans="1:14" x14ac:dyDescent="0.25">
      <c r="A67" s="12">
        <v>66</v>
      </c>
      <c r="B67" s="60" t="s">
        <v>293</v>
      </c>
      <c r="C67" s="53">
        <v>10131</v>
      </c>
      <c r="D67" s="38" t="s">
        <v>90</v>
      </c>
      <c r="E67" s="38" t="s">
        <v>91</v>
      </c>
      <c r="F67" s="37" t="s">
        <v>283</v>
      </c>
      <c r="G67" s="69">
        <v>0</v>
      </c>
      <c r="H67" s="71">
        <v>0</v>
      </c>
      <c r="I67" s="71">
        <v>0</v>
      </c>
      <c r="J67" s="71">
        <v>0</v>
      </c>
      <c r="K67" s="71">
        <v>0</v>
      </c>
      <c r="L67" s="71">
        <v>0</v>
      </c>
      <c r="M67" s="71">
        <v>0</v>
      </c>
      <c r="N67" s="71">
        <v>0</v>
      </c>
    </row>
    <row r="68" spans="1:14" x14ac:dyDescent="0.25">
      <c r="A68" s="12">
        <v>67</v>
      </c>
      <c r="B68" s="60" t="s">
        <v>293</v>
      </c>
      <c r="C68" s="53">
        <v>10140</v>
      </c>
      <c r="D68" s="38" t="s">
        <v>92</v>
      </c>
      <c r="E68" s="38" t="s">
        <v>437</v>
      </c>
      <c r="F68" s="37" t="s">
        <v>277</v>
      </c>
      <c r="G68" s="69">
        <v>0</v>
      </c>
      <c r="H68" s="71">
        <v>0</v>
      </c>
      <c r="I68" s="71">
        <v>0</v>
      </c>
      <c r="J68" s="71">
        <v>0</v>
      </c>
      <c r="K68" s="71">
        <v>0</v>
      </c>
      <c r="L68" s="71">
        <v>0</v>
      </c>
      <c r="M68" s="71">
        <v>0</v>
      </c>
      <c r="N68" s="71">
        <v>0</v>
      </c>
    </row>
    <row r="69" spans="1:14" x14ac:dyDescent="0.25">
      <c r="A69" s="12">
        <v>68</v>
      </c>
      <c r="B69" s="60" t="s">
        <v>293</v>
      </c>
      <c r="C69" s="53">
        <v>40007</v>
      </c>
      <c r="D69" s="38" t="s">
        <v>93</v>
      </c>
      <c r="E69" s="38" t="s">
        <v>437</v>
      </c>
      <c r="F69" s="37" t="s">
        <v>277</v>
      </c>
      <c r="G69" s="69">
        <v>0</v>
      </c>
      <c r="H69" s="71">
        <v>0</v>
      </c>
      <c r="I69" s="71">
        <v>0</v>
      </c>
      <c r="J69" s="71">
        <v>0</v>
      </c>
      <c r="K69" s="71">
        <v>0</v>
      </c>
      <c r="L69" s="71">
        <v>0</v>
      </c>
      <c r="M69" s="71">
        <v>0</v>
      </c>
      <c r="N69" s="71">
        <v>0</v>
      </c>
    </row>
    <row r="70" spans="1:14" x14ac:dyDescent="0.25">
      <c r="A70" s="12">
        <v>69</v>
      </c>
      <c r="B70" s="60" t="s">
        <v>293</v>
      </c>
      <c r="C70" s="53">
        <v>10323</v>
      </c>
      <c r="D70" s="38" t="s">
        <v>94</v>
      </c>
      <c r="E70" s="38" t="s">
        <v>438</v>
      </c>
      <c r="F70" s="37" t="s">
        <v>277</v>
      </c>
      <c r="G70" s="69">
        <v>0</v>
      </c>
      <c r="H70" s="71">
        <v>0</v>
      </c>
      <c r="I70" s="71">
        <v>0</v>
      </c>
      <c r="J70" s="71">
        <v>0</v>
      </c>
      <c r="K70" s="71">
        <v>0</v>
      </c>
      <c r="L70" s="71">
        <v>0</v>
      </c>
      <c r="M70" s="71">
        <v>0</v>
      </c>
      <c r="N70" s="71">
        <v>0</v>
      </c>
    </row>
    <row r="71" spans="1:14" x14ac:dyDescent="0.25">
      <c r="A71" s="12">
        <v>70</v>
      </c>
      <c r="B71" s="60" t="s">
        <v>293</v>
      </c>
      <c r="C71" s="53">
        <v>20026</v>
      </c>
      <c r="D71" s="38" t="s">
        <v>95</v>
      </c>
      <c r="E71" s="38" t="s">
        <v>439</v>
      </c>
      <c r="F71" s="37" t="s">
        <v>277</v>
      </c>
      <c r="G71" s="69">
        <v>0</v>
      </c>
      <c r="H71" s="71">
        <v>0</v>
      </c>
      <c r="I71" s="71">
        <v>0</v>
      </c>
      <c r="J71" s="71">
        <v>0</v>
      </c>
      <c r="K71" s="71">
        <v>0</v>
      </c>
      <c r="L71" s="71">
        <v>0</v>
      </c>
      <c r="M71" s="71">
        <v>0</v>
      </c>
      <c r="N71" s="71">
        <v>0</v>
      </c>
    </row>
    <row r="72" spans="1:14" x14ac:dyDescent="0.25">
      <c r="A72" s="12">
        <v>71</v>
      </c>
      <c r="B72" s="60" t="s">
        <v>293</v>
      </c>
      <c r="C72" s="53">
        <v>10534</v>
      </c>
      <c r="D72" s="38" t="s">
        <v>315</v>
      </c>
      <c r="E72" s="38" t="s">
        <v>96</v>
      </c>
      <c r="F72" s="37" t="s">
        <v>277</v>
      </c>
      <c r="G72" s="69">
        <v>0</v>
      </c>
      <c r="H72" s="71">
        <v>0</v>
      </c>
      <c r="I72" s="71">
        <v>0</v>
      </c>
      <c r="J72" s="71">
        <v>0</v>
      </c>
      <c r="K72" s="71">
        <v>0</v>
      </c>
      <c r="L72" s="71">
        <v>0</v>
      </c>
      <c r="M72" s="71">
        <v>0</v>
      </c>
      <c r="N72" s="71">
        <v>0</v>
      </c>
    </row>
    <row r="73" spans="1:14" x14ac:dyDescent="0.25">
      <c r="A73" s="12">
        <v>72</v>
      </c>
      <c r="B73" s="60" t="s">
        <v>293</v>
      </c>
      <c r="C73" s="53">
        <v>10537</v>
      </c>
      <c r="D73" s="38" t="s">
        <v>318</v>
      </c>
      <c r="E73" s="38" t="s">
        <v>96</v>
      </c>
      <c r="F73" s="37" t="s">
        <v>277</v>
      </c>
      <c r="G73" s="69">
        <v>0</v>
      </c>
      <c r="H73" s="71">
        <v>0</v>
      </c>
      <c r="I73" s="71">
        <v>0</v>
      </c>
      <c r="J73" s="71">
        <v>0</v>
      </c>
      <c r="K73" s="71">
        <v>0</v>
      </c>
      <c r="L73" s="71">
        <v>0</v>
      </c>
      <c r="M73" s="71">
        <v>0</v>
      </c>
      <c r="N73" s="71">
        <v>0</v>
      </c>
    </row>
    <row r="74" spans="1:14" x14ac:dyDescent="0.25">
      <c r="A74" s="12">
        <v>73</v>
      </c>
      <c r="B74" s="60" t="s">
        <v>293</v>
      </c>
      <c r="C74" s="53">
        <v>10441</v>
      </c>
      <c r="D74" s="38" t="s">
        <v>97</v>
      </c>
      <c r="E74" s="38" t="s">
        <v>96</v>
      </c>
      <c r="F74" s="37" t="s">
        <v>277</v>
      </c>
      <c r="G74" s="69">
        <v>0</v>
      </c>
      <c r="H74" s="71">
        <v>0</v>
      </c>
      <c r="I74" s="71">
        <v>0</v>
      </c>
      <c r="J74" s="71">
        <v>0</v>
      </c>
      <c r="K74" s="71">
        <v>0</v>
      </c>
      <c r="L74" s="71">
        <v>0</v>
      </c>
      <c r="M74" s="71">
        <v>0</v>
      </c>
      <c r="N74" s="71">
        <v>0</v>
      </c>
    </row>
    <row r="75" spans="1:14" x14ac:dyDescent="0.25">
      <c r="A75" s="12">
        <v>74</v>
      </c>
      <c r="B75" s="60" t="s">
        <v>293</v>
      </c>
      <c r="C75" s="53">
        <v>10142</v>
      </c>
      <c r="D75" s="38" t="s">
        <v>98</v>
      </c>
      <c r="E75" s="38" t="s">
        <v>99</v>
      </c>
      <c r="F75" s="37" t="s">
        <v>278</v>
      </c>
      <c r="G75" s="69">
        <v>0</v>
      </c>
      <c r="H75" s="71">
        <v>0</v>
      </c>
      <c r="I75" s="71">
        <v>0</v>
      </c>
      <c r="J75" s="71">
        <v>0</v>
      </c>
      <c r="K75" s="71">
        <v>0</v>
      </c>
      <c r="L75" s="71">
        <v>0</v>
      </c>
      <c r="M75" s="71">
        <v>0</v>
      </c>
      <c r="N75" s="71">
        <v>0</v>
      </c>
    </row>
    <row r="76" spans="1:14" x14ac:dyDescent="0.25">
      <c r="A76" s="12">
        <v>75</v>
      </c>
      <c r="B76" s="60" t="s">
        <v>293</v>
      </c>
      <c r="C76" s="53">
        <v>10434</v>
      </c>
      <c r="D76" s="38" t="s">
        <v>100</v>
      </c>
      <c r="E76" s="38" t="s">
        <v>69</v>
      </c>
      <c r="F76" s="37" t="s">
        <v>284</v>
      </c>
      <c r="G76" s="69">
        <v>12700</v>
      </c>
      <c r="H76" s="71">
        <v>25280</v>
      </c>
      <c r="I76" s="71">
        <v>19880</v>
      </c>
      <c r="J76" s="71">
        <v>28980</v>
      </c>
      <c r="K76" s="71">
        <v>21920</v>
      </c>
      <c r="L76" s="71">
        <v>33830</v>
      </c>
      <c r="M76" s="71">
        <v>21300</v>
      </c>
      <c r="N76" s="71">
        <v>22475</v>
      </c>
    </row>
    <row r="77" spans="1:14" x14ac:dyDescent="0.25">
      <c r="A77" s="12">
        <v>76</v>
      </c>
      <c r="B77" s="60" t="s">
        <v>293</v>
      </c>
      <c r="C77" s="53">
        <v>10147</v>
      </c>
      <c r="D77" s="38" t="s">
        <v>101</v>
      </c>
      <c r="E77" s="38" t="s">
        <v>440</v>
      </c>
      <c r="F77" s="37" t="s">
        <v>285</v>
      </c>
      <c r="G77" s="69">
        <v>0</v>
      </c>
      <c r="H77" s="71">
        <v>0</v>
      </c>
      <c r="I77" s="71">
        <v>0</v>
      </c>
      <c r="J77" s="71">
        <v>0</v>
      </c>
      <c r="K77" s="71">
        <v>0</v>
      </c>
      <c r="L77" s="71">
        <v>0</v>
      </c>
      <c r="M77" s="71">
        <v>0</v>
      </c>
      <c r="N77" s="71">
        <v>0</v>
      </c>
    </row>
    <row r="78" spans="1:14" x14ac:dyDescent="0.25">
      <c r="A78" s="12">
        <v>77</v>
      </c>
      <c r="B78" s="60" t="s">
        <v>293</v>
      </c>
      <c r="C78" s="53">
        <v>10486</v>
      </c>
      <c r="D78" s="38" t="s">
        <v>103</v>
      </c>
      <c r="E78" s="38" t="s">
        <v>102</v>
      </c>
      <c r="F78" s="37" t="s">
        <v>286</v>
      </c>
      <c r="G78" s="69">
        <v>0</v>
      </c>
      <c r="H78" s="71">
        <v>0</v>
      </c>
      <c r="I78" s="71">
        <v>0</v>
      </c>
      <c r="J78" s="71">
        <v>0</v>
      </c>
      <c r="K78" s="71">
        <v>0</v>
      </c>
      <c r="L78" s="71">
        <v>0</v>
      </c>
      <c r="M78" s="71">
        <v>0</v>
      </c>
      <c r="N78" s="71">
        <v>0</v>
      </c>
    </row>
    <row r="79" spans="1:14" x14ac:dyDescent="0.25">
      <c r="A79" s="12">
        <v>78</v>
      </c>
      <c r="B79" s="60" t="s">
        <v>293</v>
      </c>
      <c r="C79" s="53">
        <v>10507</v>
      </c>
      <c r="D79" s="38" t="s">
        <v>104</v>
      </c>
      <c r="E79" s="38" t="s">
        <v>132</v>
      </c>
      <c r="F79" s="37" t="s">
        <v>278</v>
      </c>
      <c r="G79" s="69">
        <v>0</v>
      </c>
      <c r="H79" s="71">
        <v>0</v>
      </c>
      <c r="I79" s="71">
        <v>0</v>
      </c>
      <c r="J79" s="71">
        <v>0</v>
      </c>
      <c r="K79" s="71">
        <v>0</v>
      </c>
      <c r="L79" s="71">
        <v>0</v>
      </c>
      <c r="M79" s="71">
        <v>0</v>
      </c>
      <c r="N79" s="71">
        <v>0</v>
      </c>
    </row>
    <row r="80" spans="1:14" x14ac:dyDescent="0.25">
      <c r="A80" s="12">
        <v>79</v>
      </c>
      <c r="B80" s="60" t="s">
        <v>293</v>
      </c>
      <c r="C80" s="53">
        <v>10160</v>
      </c>
      <c r="D80" s="38" t="s">
        <v>105</v>
      </c>
      <c r="E80" s="38" t="s">
        <v>106</v>
      </c>
      <c r="F80" s="37" t="s">
        <v>277</v>
      </c>
      <c r="G80" s="69">
        <v>0</v>
      </c>
      <c r="H80" s="71">
        <v>0</v>
      </c>
      <c r="I80" s="71">
        <v>0</v>
      </c>
      <c r="J80" s="71">
        <v>0</v>
      </c>
      <c r="K80" s="71">
        <v>0</v>
      </c>
      <c r="L80" s="71">
        <v>0</v>
      </c>
      <c r="M80" s="71">
        <v>0</v>
      </c>
      <c r="N80" s="71">
        <v>0</v>
      </c>
    </row>
    <row r="81" spans="1:14" x14ac:dyDescent="0.25">
      <c r="A81" s="12">
        <v>80</v>
      </c>
      <c r="B81" s="60" t="s">
        <v>293</v>
      </c>
      <c r="C81" s="53">
        <v>10256</v>
      </c>
      <c r="D81" s="38" t="s">
        <v>107</v>
      </c>
      <c r="E81" s="38" t="s">
        <v>106</v>
      </c>
      <c r="F81" s="37" t="s">
        <v>277</v>
      </c>
      <c r="G81" s="69">
        <v>0</v>
      </c>
      <c r="H81" s="71">
        <v>0</v>
      </c>
      <c r="I81" s="71">
        <v>0</v>
      </c>
      <c r="J81" s="71">
        <v>0</v>
      </c>
      <c r="K81" s="71">
        <v>0</v>
      </c>
      <c r="L81" s="71">
        <v>0</v>
      </c>
      <c r="M81" s="71">
        <v>0</v>
      </c>
      <c r="N81" s="71">
        <v>0</v>
      </c>
    </row>
    <row r="82" spans="1:14" x14ac:dyDescent="0.25">
      <c r="A82" s="12">
        <v>81</v>
      </c>
      <c r="B82" s="60" t="s">
        <v>293</v>
      </c>
      <c r="C82" s="53">
        <v>10163</v>
      </c>
      <c r="D82" s="38" t="s">
        <v>108</v>
      </c>
      <c r="E82" s="38" t="s">
        <v>441</v>
      </c>
      <c r="F82" s="37" t="s">
        <v>281</v>
      </c>
      <c r="G82" s="69">
        <v>0</v>
      </c>
      <c r="H82" s="71">
        <v>0</v>
      </c>
      <c r="I82" s="71">
        <v>0</v>
      </c>
      <c r="J82" s="71">
        <v>0</v>
      </c>
      <c r="K82" s="71">
        <v>0</v>
      </c>
      <c r="L82" s="71">
        <v>0</v>
      </c>
      <c r="M82" s="71">
        <v>0</v>
      </c>
      <c r="N82" s="71">
        <v>0</v>
      </c>
    </row>
    <row r="83" spans="1:14" x14ac:dyDescent="0.25">
      <c r="A83" s="12">
        <v>82</v>
      </c>
      <c r="B83" s="60" t="s">
        <v>293</v>
      </c>
      <c r="C83" s="53">
        <v>10370</v>
      </c>
      <c r="D83" s="38" t="s">
        <v>110</v>
      </c>
      <c r="E83" s="38" t="s">
        <v>23</v>
      </c>
      <c r="F83" s="37" t="s">
        <v>279</v>
      </c>
      <c r="G83" s="69">
        <v>0</v>
      </c>
      <c r="H83" s="71">
        <v>0</v>
      </c>
      <c r="I83" s="71">
        <v>0</v>
      </c>
      <c r="J83" s="71">
        <v>0</v>
      </c>
      <c r="K83" s="71">
        <v>0</v>
      </c>
      <c r="L83" s="71">
        <v>0</v>
      </c>
      <c r="M83" s="71">
        <v>0</v>
      </c>
      <c r="N83" s="71">
        <v>0</v>
      </c>
    </row>
    <row r="84" spans="1:14" x14ac:dyDescent="0.25">
      <c r="A84" s="12">
        <v>83</v>
      </c>
      <c r="B84" s="60" t="s">
        <v>293</v>
      </c>
      <c r="C84" s="53">
        <v>10430</v>
      </c>
      <c r="D84" s="38" t="s">
        <v>111</v>
      </c>
      <c r="E84" s="38" t="s">
        <v>23</v>
      </c>
      <c r="F84" s="37" t="s">
        <v>279</v>
      </c>
      <c r="G84" s="69">
        <v>0</v>
      </c>
      <c r="H84" s="71">
        <v>0</v>
      </c>
      <c r="I84" s="71">
        <v>0</v>
      </c>
      <c r="J84" s="71">
        <v>0</v>
      </c>
      <c r="K84" s="71">
        <v>0</v>
      </c>
      <c r="L84" s="71">
        <v>0</v>
      </c>
      <c r="M84" s="71">
        <v>0</v>
      </c>
      <c r="N84" s="71">
        <v>0</v>
      </c>
    </row>
    <row r="85" spans="1:14" x14ac:dyDescent="0.25">
      <c r="A85" s="12">
        <v>84</v>
      </c>
      <c r="B85" s="60" t="s">
        <v>293</v>
      </c>
      <c r="C85" s="53">
        <v>10431</v>
      </c>
      <c r="D85" s="38" t="s">
        <v>112</v>
      </c>
      <c r="E85" s="38" t="s">
        <v>113</v>
      </c>
      <c r="F85" s="37" t="s">
        <v>281</v>
      </c>
      <c r="G85" s="69">
        <v>0</v>
      </c>
      <c r="H85" s="71">
        <v>0</v>
      </c>
      <c r="I85" s="71">
        <v>0</v>
      </c>
      <c r="J85" s="71">
        <v>0</v>
      </c>
      <c r="K85" s="71">
        <v>0</v>
      </c>
      <c r="L85" s="71">
        <v>0</v>
      </c>
      <c r="M85" s="71">
        <v>0</v>
      </c>
      <c r="N85" s="71">
        <v>0</v>
      </c>
    </row>
    <row r="86" spans="1:14" x14ac:dyDescent="0.25">
      <c r="A86" s="12">
        <v>85</v>
      </c>
      <c r="B86" s="60" t="s">
        <v>293</v>
      </c>
      <c r="C86" s="53">
        <v>10495</v>
      </c>
      <c r="D86" s="38" t="s">
        <v>114</v>
      </c>
      <c r="E86" s="38" t="s">
        <v>23</v>
      </c>
      <c r="F86" s="37" t="s">
        <v>279</v>
      </c>
      <c r="G86" s="69">
        <v>0</v>
      </c>
      <c r="H86" s="71">
        <v>0</v>
      </c>
      <c r="I86" s="71">
        <v>0</v>
      </c>
      <c r="J86" s="71">
        <v>0</v>
      </c>
      <c r="K86" s="71">
        <v>0</v>
      </c>
      <c r="L86" s="71">
        <v>0</v>
      </c>
      <c r="M86" s="71">
        <v>0</v>
      </c>
      <c r="N86" s="71">
        <v>0</v>
      </c>
    </row>
    <row r="87" spans="1:14" x14ac:dyDescent="0.25">
      <c r="A87" s="12">
        <v>86</v>
      </c>
      <c r="B87" s="60" t="s">
        <v>293</v>
      </c>
      <c r="C87" s="53">
        <v>10180</v>
      </c>
      <c r="D87" s="38" t="s">
        <v>115</v>
      </c>
      <c r="E87" s="38" t="s">
        <v>69</v>
      </c>
      <c r="F87" s="37" t="s">
        <v>284</v>
      </c>
      <c r="G87" s="69">
        <v>43400</v>
      </c>
      <c r="H87" s="71">
        <v>4900</v>
      </c>
      <c r="I87" s="71">
        <v>0</v>
      </c>
      <c r="J87" s="71">
        <v>0</v>
      </c>
      <c r="K87" s="71">
        <v>0</v>
      </c>
      <c r="L87" s="71">
        <v>0</v>
      </c>
      <c r="M87" s="71">
        <v>0</v>
      </c>
      <c r="N87" s="71">
        <v>0</v>
      </c>
    </row>
    <row r="88" spans="1:14" x14ac:dyDescent="0.25">
      <c r="A88" s="12">
        <v>87</v>
      </c>
      <c r="B88" s="60" t="s">
        <v>297</v>
      </c>
      <c r="C88" s="53">
        <v>10496</v>
      </c>
      <c r="D88" s="38" t="s">
        <v>116</v>
      </c>
      <c r="E88" s="38" t="s">
        <v>69</v>
      </c>
      <c r="F88" s="37" t="s">
        <v>284</v>
      </c>
      <c r="G88" s="69">
        <v>6180</v>
      </c>
      <c r="H88" s="71">
        <v>12300</v>
      </c>
      <c r="I88" s="71">
        <v>8880</v>
      </c>
      <c r="J88" s="71">
        <v>9600</v>
      </c>
      <c r="K88" s="71">
        <v>11400</v>
      </c>
      <c r="L88" s="71">
        <v>6000</v>
      </c>
      <c r="M88" s="71">
        <v>14820</v>
      </c>
      <c r="N88" s="71">
        <v>11990</v>
      </c>
    </row>
    <row r="89" spans="1:14" x14ac:dyDescent="0.25">
      <c r="A89" s="12">
        <v>88</v>
      </c>
      <c r="B89" s="60" t="s">
        <v>293</v>
      </c>
      <c r="C89" s="53">
        <v>10547</v>
      </c>
      <c r="D89" s="38" t="s">
        <v>101</v>
      </c>
      <c r="E89" s="38" t="s">
        <v>69</v>
      </c>
      <c r="F89" s="37" t="s">
        <v>284</v>
      </c>
      <c r="G89" s="69">
        <v>2160</v>
      </c>
      <c r="H89" s="71">
        <v>3600</v>
      </c>
      <c r="I89" s="71">
        <v>3400</v>
      </c>
      <c r="J89" s="71">
        <v>4600</v>
      </c>
      <c r="K89" s="71">
        <v>7000</v>
      </c>
      <c r="L89" s="71">
        <v>12875</v>
      </c>
      <c r="M89" s="71">
        <v>11220</v>
      </c>
      <c r="N89" s="71">
        <v>13560</v>
      </c>
    </row>
    <row r="90" spans="1:14" x14ac:dyDescent="0.25">
      <c r="A90" s="12">
        <v>89</v>
      </c>
      <c r="B90" s="60" t="s">
        <v>293</v>
      </c>
      <c r="C90" s="53">
        <v>10374</v>
      </c>
      <c r="D90" s="38" t="s">
        <v>117</v>
      </c>
      <c r="E90" s="38" t="s">
        <v>69</v>
      </c>
      <c r="F90" s="37" t="s">
        <v>284</v>
      </c>
      <c r="G90" s="69">
        <v>8880</v>
      </c>
      <c r="H90" s="71">
        <v>9520</v>
      </c>
      <c r="I90" s="71">
        <v>16080</v>
      </c>
      <c r="J90" s="71">
        <v>12400</v>
      </c>
      <c r="K90" s="71">
        <v>1650</v>
      </c>
      <c r="L90" s="71">
        <v>14980</v>
      </c>
      <c r="M90" s="71">
        <v>0</v>
      </c>
      <c r="N90" s="71">
        <v>0</v>
      </c>
    </row>
    <row r="91" spans="1:14" x14ac:dyDescent="0.25">
      <c r="A91" s="12">
        <v>90</v>
      </c>
      <c r="B91" s="60" t="s">
        <v>293</v>
      </c>
      <c r="C91" s="53">
        <v>10435</v>
      </c>
      <c r="D91" s="38" t="s">
        <v>118</v>
      </c>
      <c r="E91" s="38" t="s">
        <v>442</v>
      </c>
      <c r="F91" s="37" t="s">
        <v>276</v>
      </c>
      <c r="G91" s="69">
        <v>0</v>
      </c>
      <c r="H91" s="71">
        <v>0</v>
      </c>
      <c r="I91" s="71">
        <v>0</v>
      </c>
      <c r="J91" s="71">
        <v>0</v>
      </c>
      <c r="K91" s="71">
        <v>0</v>
      </c>
      <c r="L91" s="71">
        <v>0</v>
      </c>
      <c r="M91" s="71">
        <v>0</v>
      </c>
      <c r="N91" s="71">
        <v>0</v>
      </c>
    </row>
    <row r="92" spans="1:14" x14ac:dyDescent="0.25">
      <c r="A92" s="12">
        <v>91</v>
      </c>
      <c r="B92" s="60" t="s">
        <v>293</v>
      </c>
      <c r="C92" s="53">
        <v>10189</v>
      </c>
      <c r="D92" s="38" t="s">
        <v>119</v>
      </c>
      <c r="E92" s="38" t="s">
        <v>19</v>
      </c>
      <c r="F92" s="37" t="s">
        <v>278</v>
      </c>
      <c r="G92" s="69">
        <v>0</v>
      </c>
      <c r="H92" s="71">
        <v>0</v>
      </c>
      <c r="I92" s="71">
        <v>0</v>
      </c>
      <c r="J92" s="71">
        <v>0</v>
      </c>
      <c r="K92" s="71">
        <v>0</v>
      </c>
      <c r="L92" s="71">
        <v>0</v>
      </c>
      <c r="M92" s="71">
        <v>0</v>
      </c>
      <c r="N92" s="71">
        <v>0</v>
      </c>
    </row>
    <row r="93" spans="1:14" x14ac:dyDescent="0.25">
      <c r="A93" s="12">
        <v>92</v>
      </c>
      <c r="B93" s="60" t="s">
        <v>293</v>
      </c>
      <c r="C93" s="53">
        <v>20010</v>
      </c>
      <c r="D93" s="38" t="s">
        <v>120</v>
      </c>
      <c r="E93" s="38" t="s">
        <v>69</v>
      </c>
      <c r="F93" s="37" t="s">
        <v>284</v>
      </c>
      <c r="G93" s="69">
        <v>6240</v>
      </c>
      <c r="H93" s="71">
        <v>3480</v>
      </c>
      <c r="I93" s="71">
        <v>6300</v>
      </c>
      <c r="J93" s="71">
        <v>0</v>
      </c>
      <c r="K93" s="71">
        <v>1950</v>
      </c>
      <c r="L93" s="71">
        <v>3510</v>
      </c>
      <c r="M93" s="71">
        <v>12330</v>
      </c>
      <c r="N93" s="71">
        <v>3780</v>
      </c>
    </row>
    <row r="94" spans="1:14" x14ac:dyDescent="0.25">
      <c r="A94" s="12">
        <v>93</v>
      </c>
      <c r="B94" s="60" t="s">
        <v>293</v>
      </c>
      <c r="C94" s="53">
        <v>10199</v>
      </c>
      <c r="D94" s="38" t="s">
        <v>121</v>
      </c>
      <c r="E94" s="38" t="s">
        <v>443</v>
      </c>
      <c r="F94" s="37" t="s">
        <v>286</v>
      </c>
      <c r="G94" s="69">
        <v>0</v>
      </c>
      <c r="H94" s="71">
        <v>0</v>
      </c>
      <c r="I94" s="71">
        <v>0</v>
      </c>
      <c r="J94" s="71">
        <v>0</v>
      </c>
      <c r="K94" s="71">
        <v>0</v>
      </c>
      <c r="L94" s="71">
        <v>0</v>
      </c>
      <c r="M94" s="71">
        <v>0</v>
      </c>
      <c r="N94" s="71">
        <v>0</v>
      </c>
    </row>
    <row r="95" spans="1:14" x14ac:dyDescent="0.25">
      <c r="A95" s="12">
        <v>94</v>
      </c>
      <c r="B95" s="60" t="s">
        <v>293</v>
      </c>
      <c r="C95" s="53">
        <v>10407</v>
      </c>
      <c r="D95" s="38" t="s">
        <v>122</v>
      </c>
      <c r="E95" s="38" t="s">
        <v>441</v>
      </c>
      <c r="F95" s="37" t="s">
        <v>281</v>
      </c>
      <c r="G95" s="69">
        <v>0</v>
      </c>
      <c r="H95" s="71">
        <v>0</v>
      </c>
      <c r="I95" s="71">
        <v>0</v>
      </c>
      <c r="J95" s="71">
        <v>0</v>
      </c>
      <c r="K95" s="71">
        <v>0</v>
      </c>
      <c r="L95" s="71">
        <v>0</v>
      </c>
      <c r="M95" s="71">
        <v>0</v>
      </c>
      <c r="N95" s="71">
        <v>0</v>
      </c>
    </row>
    <row r="96" spans="1:14" x14ac:dyDescent="0.25">
      <c r="A96" s="12">
        <v>95</v>
      </c>
      <c r="B96" s="60" t="s">
        <v>293</v>
      </c>
      <c r="C96" s="53">
        <v>10364</v>
      </c>
      <c r="D96" s="38" t="s">
        <v>124</v>
      </c>
      <c r="E96" s="38" t="s">
        <v>444</v>
      </c>
      <c r="F96" s="37" t="s">
        <v>279</v>
      </c>
      <c r="G96" s="69">
        <v>0</v>
      </c>
      <c r="H96" s="71">
        <v>0</v>
      </c>
      <c r="I96" s="71">
        <v>0</v>
      </c>
      <c r="J96" s="71">
        <v>0</v>
      </c>
      <c r="K96" s="71">
        <v>0</v>
      </c>
      <c r="L96" s="71">
        <v>0</v>
      </c>
      <c r="M96" s="71">
        <v>0</v>
      </c>
      <c r="N96" s="71">
        <v>0</v>
      </c>
    </row>
    <row r="97" spans="1:14" x14ac:dyDescent="0.25">
      <c r="A97" s="12">
        <v>96</v>
      </c>
      <c r="B97" s="60" t="s">
        <v>293</v>
      </c>
      <c r="C97" s="53">
        <v>10365</v>
      </c>
      <c r="D97" s="38" t="s">
        <v>125</v>
      </c>
      <c r="E97" s="38" t="s">
        <v>337</v>
      </c>
      <c r="F97" s="37" t="s">
        <v>281</v>
      </c>
      <c r="G97" s="69">
        <v>0</v>
      </c>
      <c r="H97" s="71">
        <v>0</v>
      </c>
      <c r="I97" s="71">
        <v>0</v>
      </c>
      <c r="J97" s="71">
        <v>0</v>
      </c>
      <c r="K97" s="71">
        <v>0</v>
      </c>
      <c r="L97" s="71">
        <v>0</v>
      </c>
      <c r="M97" s="71">
        <v>0</v>
      </c>
      <c r="N97" s="71">
        <v>0</v>
      </c>
    </row>
    <row r="98" spans="1:14" x14ac:dyDescent="0.25">
      <c r="A98" s="12">
        <v>97</v>
      </c>
      <c r="B98" s="60" t="s">
        <v>293</v>
      </c>
      <c r="C98" s="53">
        <v>10326</v>
      </c>
      <c r="D98" s="38" t="s">
        <v>126</v>
      </c>
      <c r="E98" s="38" t="s">
        <v>113</v>
      </c>
      <c r="F98" s="37" t="s">
        <v>281</v>
      </c>
      <c r="G98" s="69">
        <v>0</v>
      </c>
      <c r="H98" s="71">
        <v>0</v>
      </c>
      <c r="I98" s="71">
        <v>0</v>
      </c>
      <c r="J98" s="71">
        <v>0</v>
      </c>
      <c r="K98" s="71">
        <v>0</v>
      </c>
      <c r="L98" s="71">
        <v>0</v>
      </c>
      <c r="M98" s="71">
        <v>0</v>
      </c>
      <c r="N98" s="71">
        <v>0</v>
      </c>
    </row>
    <row r="99" spans="1:14" x14ac:dyDescent="0.25">
      <c r="A99" s="12">
        <v>98</v>
      </c>
      <c r="B99" s="60" t="s">
        <v>293</v>
      </c>
      <c r="C99" s="53">
        <v>10328</v>
      </c>
      <c r="D99" s="38" t="s">
        <v>127</v>
      </c>
      <c r="E99" s="38" t="s">
        <v>444</v>
      </c>
      <c r="F99" s="37" t="s">
        <v>279</v>
      </c>
      <c r="G99" s="69">
        <v>0</v>
      </c>
      <c r="H99" s="71">
        <v>0</v>
      </c>
      <c r="I99" s="71">
        <v>0</v>
      </c>
      <c r="J99" s="71">
        <v>0</v>
      </c>
      <c r="K99" s="71">
        <v>0</v>
      </c>
      <c r="L99" s="71">
        <v>0</v>
      </c>
      <c r="M99" s="71">
        <v>0</v>
      </c>
      <c r="N99" s="71">
        <v>0</v>
      </c>
    </row>
    <row r="100" spans="1:14" x14ac:dyDescent="0.25">
      <c r="A100" s="12">
        <v>99</v>
      </c>
      <c r="B100" s="60" t="s">
        <v>293</v>
      </c>
      <c r="C100" s="53">
        <v>10216</v>
      </c>
      <c r="D100" s="38" t="s">
        <v>128</v>
      </c>
      <c r="E100" s="38" t="s">
        <v>62</v>
      </c>
      <c r="F100" s="37" t="s">
        <v>284</v>
      </c>
      <c r="G100" s="69">
        <v>0</v>
      </c>
      <c r="H100" s="71">
        <v>0</v>
      </c>
      <c r="I100" s="71">
        <v>0</v>
      </c>
      <c r="J100" s="71">
        <v>0</v>
      </c>
      <c r="K100" s="71">
        <v>0</v>
      </c>
      <c r="L100" s="71">
        <v>0</v>
      </c>
      <c r="M100" s="71">
        <v>0</v>
      </c>
      <c r="N100" s="71">
        <v>0</v>
      </c>
    </row>
    <row r="101" spans="1:14" x14ac:dyDescent="0.25">
      <c r="A101" s="12">
        <v>100</v>
      </c>
      <c r="B101" s="60" t="s">
        <v>293</v>
      </c>
      <c r="C101" s="53">
        <v>10469</v>
      </c>
      <c r="D101" s="38" t="s">
        <v>130</v>
      </c>
      <c r="E101" s="38" t="s">
        <v>102</v>
      </c>
      <c r="F101" s="37" t="s">
        <v>286</v>
      </c>
      <c r="G101" s="69">
        <v>0</v>
      </c>
      <c r="H101" s="71">
        <v>0</v>
      </c>
      <c r="I101" s="71">
        <v>0</v>
      </c>
      <c r="J101" s="71">
        <v>0</v>
      </c>
      <c r="K101" s="71">
        <v>0</v>
      </c>
      <c r="L101" s="71">
        <v>0</v>
      </c>
      <c r="M101" s="71">
        <v>0</v>
      </c>
      <c r="N101" s="71">
        <v>0</v>
      </c>
    </row>
    <row r="102" spans="1:14" x14ac:dyDescent="0.25">
      <c r="A102" s="12">
        <v>101</v>
      </c>
      <c r="B102" s="60" t="s">
        <v>293</v>
      </c>
      <c r="C102" s="53">
        <v>10466</v>
      </c>
      <c r="D102" s="38" t="s">
        <v>131</v>
      </c>
      <c r="E102" s="38" t="s">
        <v>132</v>
      </c>
      <c r="F102" s="37" t="s">
        <v>286</v>
      </c>
      <c r="G102" s="69">
        <v>0</v>
      </c>
      <c r="H102" s="71">
        <v>0</v>
      </c>
      <c r="I102" s="71">
        <v>0</v>
      </c>
      <c r="J102" s="71">
        <v>0</v>
      </c>
      <c r="K102" s="71">
        <v>0</v>
      </c>
      <c r="L102" s="71">
        <v>0</v>
      </c>
      <c r="M102" s="71">
        <v>0</v>
      </c>
      <c r="N102" s="71">
        <v>0</v>
      </c>
    </row>
    <row r="103" spans="1:14" x14ac:dyDescent="0.25">
      <c r="A103" s="12">
        <v>102</v>
      </c>
      <c r="B103" s="60" t="s">
        <v>293</v>
      </c>
      <c r="C103" s="53">
        <v>10539</v>
      </c>
      <c r="D103" s="38" t="s">
        <v>185</v>
      </c>
      <c r="E103" s="38" t="s">
        <v>132</v>
      </c>
      <c r="F103" s="37" t="s">
        <v>278</v>
      </c>
      <c r="G103" s="69">
        <v>0</v>
      </c>
      <c r="H103" s="71">
        <v>0</v>
      </c>
      <c r="I103" s="71">
        <v>0</v>
      </c>
      <c r="J103" s="71">
        <v>0</v>
      </c>
      <c r="K103" s="71">
        <v>0</v>
      </c>
      <c r="L103" s="71">
        <v>0</v>
      </c>
      <c r="M103" s="71">
        <v>0</v>
      </c>
      <c r="N103" s="71">
        <v>0</v>
      </c>
    </row>
    <row r="104" spans="1:14" x14ac:dyDescent="0.25">
      <c r="A104" s="12">
        <v>103</v>
      </c>
      <c r="B104" s="60" t="s">
        <v>293</v>
      </c>
      <c r="C104" s="53">
        <v>10284</v>
      </c>
      <c r="D104" s="38" t="s">
        <v>133</v>
      </c>
      <c r="E104" s="38" t="s">
        <v>444</v>
      </c>
      <c r="F104" s="37" t="s">
        <v>279</v>
      </c>
      <c r="G104" s="69">
        <v>0</v>
      </c>
      <c r="H104" s="71">
        <v>0</v>
      </c>
      <c r="I104" s="71">
        <v>0</v>
      </c>
      <c r="J104" s="71">
        <v>0</v>
      </c>
      <c r="K104" s="71">
        <v>0</v>
      </c>
      <c r="L104" s="71">
        <v>0</v>
      </c>
      <c r="M104" s="71">
        <v>0</v>
      </c>
      <c r="N104" s="71">
        <v>0</v>
      </c>
    </row>
    <row r="105" spans="1:14" x14ac:dyDescent="0.25">
      <c r="A105" s="12">
        <v>104</v>
      </c>
      <c r="B105" s="60" t="s">
        <v>293</v>
      </c>
      <c r="C105" s="53">
        <v>10400</v>
      </c>
      <c r="D105" s="38" t="s">
        <v>134</v>
      </c>
      <c r="E105" s="38" t="s">
        <v>23</v>
      </c>
      <c r="F105" s="37" t="s">
        <v>279</v>
      </c>
      <c r="G105" s="69">
        <v>0</v>
      </c>
      <c r="H105" s="71">
        <v>0</v>
      </c>
      <c r="I105" s="71">
        <v>0</v>
      </c>
      <c r="J105" s="71">
        <v>0</v>
      </c>
      <c r="K105" s="71">
        <v>0</v>
      </c>
      <c r="L105" s="71">
        <v>0</v>
      </c>
      <c r="M105" s="71">
        <v>0</v>
      </c>
      <c r="N105" s="71">
        <v>0</v>
      </c>
    </row>
    <row r="106" spans="1:14" x14ac:dyDescent="0.25">
      <c r="A106" s="12">
        <v>105</v>
      </c>
      <c r="B106" s="60" t="s">
        <v>293</v>
      </c>
      <c r="C106" s="53">
        <v>10135</v>
      </c>
      <c r="D106" s="38" t="s">
        <v>135</v>
      </c>
      <c r="E106" s="38" t="s">
        <v>23</v>
      </c>
      <c r="F106" s="37" t="s">
        <v>279</v>
      </c>
      <c r="G106" s="69">
        <v>0</v>
      </c>
      <c r="H106" s="71">
        <v>0</v>
      </c>
      <c r="I106" s="71">
        <v>0</v>
      </c>
      <c r="J106" s="71">
        <v>0</v>
      </c>
      <c r="K106" s="71">
        <v>0</v>
      </c>
      <c r="L106" s="71">
        <v>0</v>
      </c>
      <c r="M106" s="71">
        <v>0</v>
      </c>
      <c r="N106" s="71">
        <v>0</v>
      </c>
    </row>
    <row r="107" spans="1:14" x14ac:dyDescent="0.25">
      <c r="A107" s="12">
        <v>106</v>
      </c>
      <c r="B107" s="60" t="s">
        <v>293</v>
      </c>
      <c r="C107" s="53">
        <v>10465</v>
      </c>
      <c r="D107" s="38" t="s">
        <v>136</v>
      </c>
      <c r="E107" s="38" t="s">
        <v>23</v>
      </c>
      <c r="F107" s="37" t="s">
        <v>279</v>
      </c>
      <c r="G107" s="69">
        <v>0</v>
      </c>
      <c r="H107" s="71">
        <v>0</v>
      </c>
      <c r="I107" s="71">
        <v>0</v>
      </c>
      <c r="J107" s="71">
        <v>0</v>
      </c>
      <c r="K107" s="71">
        <v>0</v>
      </c>
      <c r="L107" s="71">
        <v>0</v>
      </c>
      <c r="M107" s="71">
        <v>0</v>
      </c>
      <c r="N107" s="71">
        <v>0</v>
      </c>
    </row>
    <row r="108" spans="1:14" x14ac:dyDescent="0.25">
      <c r="A108" s="12">
        <v>107</v>
      </c>
      <c r="B108" s="60" t="s">
        <v>293</v>
      </c>
      <c r="C108" s="53">
        <v>10460</v>
      </c>
      <c r="D108" s="38" t="s">
        <v>137</v>
      </c>
      <c r="E108" s="38" t="s">
        <v>23</v>
      </c>
      <c r="F108" s="37" t="s">
        <v>279</v>
      </c>
      <c r="G108" s="69">
        <v>0</v>
      </c>
      <c r="H108" s="71">
        <v>0</v>
      </c>
      <c r="I108" s="71">
        <v>0</v>
      </c>
      <c r="J108" s="71">
        <v>0</v>
      </c>
      <c r="K108" s="71">
        <v>0</v>
      </c>
      <c r="L108" s="71">
        <v>0</v>
      </c>
      <c r="M108" s="71">
        <v>0</v>
      </c>
      <c r="N108" s="71">
        <v>0</v>
      </c>
    </row>
    <row r="109" spans="1:14" x14ac:dyDescent="0.25">
      <c r="A109" s="12">
        <v>108</v>
      </c>
      <c r="B109" s="60" t="s">
        <v>293</v>
      </c>
      <c r="C109" s="53">
        <v>10519</v>
      </c>
      <c r="D109" s="38" t="s">
        <v>138</v>
      </c>
      <c r="E109" s="38" t="s">
        <v>23</v>
      </c>
      <c r="F109" s="37" t="s">
        <v>279</v>
      </c>
      <c r="G109" s="69">
        <v>0</v>
      </c>
      <c r="H109" s="71">
        <v>0</v>
      </c>
      <c r="I109" s="71">
        <v>0</v>
      </c>
      <c r="J109" s="71">
        <v>0</v>
      </c>
      <c r="K109" s="71">
        <v>0</v>
      </c>
      <c r="L109" s="71">
        <v>0</v>
      </c>
      <c r="M109" s="71">
        <v>0</v>
      </c>
      <c r="N109" s="71">
        <v>0</v>
      </c>
    </row>
    <row r="110" spans="1:14" x14ac:dyDescent="0.25">
      <c r="A110" s="12">
        <v>109</v>
      </c>
      <c r="B110" s="60" t="s">
        <v>293</v>
      </c>
      <c r="C110" s="53">
        <v>10226</v>
      </c>
      <c r="D110" s="38" t="s">
        <v>139</v>
      </c>
      <c r="E110" s="38" t="s">
        <v>69</v>
      </c>
      <c r="F110" s="37" t="s">
        <v>284</v>
      </c>
      <c r="G110" s="69">
        <v>2220</v>
      </c>
      <c r="H110" s="71">
        <v>8880</v>
      </c>
      <c r="I110" s="71">
        <v>2280</v>
      </c>
      <c r="J110" s="71">
        <v>2280</v>
      </c>
      <c r="K110" s="71">
        <v>18450</v>
      </c>
      <c r="L110" s="71">
        <v>10000</v>
      </c>
      <c r="M110" s="71">
        <v>2960</v>
      </c>
      <c r="N110" s="71">
        <v>2340</v>
      </c>
    </row>
    <row r="111" spans="1:14" x14ac:dyDescent="0.25">
      <c r="A111" s="12">
        <v>110</v>
      </c>
      <c r="B111" s="60" t="s">
        <v>293</v>
      </c>
      <c r="C111" s="53">
        <v>10393</v>
      </c>
      <c r="D111" s="38" t="s">
        <v>140</v>
      </c>
      <c r="E111" s="38" t="s">
        <v>69</v>
      </c>
      <c r="F111" s="37" t="s">
        <v>284</v>
      </c>
      <c r="G111" s="69">
        <v>3600</v>
      </c>
      <c r="H111" s="71">
        <v>3480</v>
      </c>
      <c r="I111" s="71">
        <v>0</v>
      </c>
      <c r="J111" s="71">
        <v>0</v>
      </c>
      <c r="K111" s="71">
        <v>0</v>
      </c>
      <c r="L111" s="71">
        <v>0</v>
      </c>
      <c r="M111" s="71">
        <v>0</v>
      </c>
      <c r="N111" s="71">
        <v>0</v>
      </c>
    </row>
    <row r="112" spans="1:14" x14ac:dyDescent="0.25">
      <c r="A112" s="12">
        <v>111</v>
      </c>
      <c r="B112" s="60" t="s">
        <v>293</v>
      </c>
      <c r="C112" s="53">
        <v>10394</v>
      </c>
      <c r="D112" s="38" t="s">
        <v>141</v>
      </c>
      <c r="E112" s="38" t="s">
        <v>69</v>
      </c>
      <c r="F112" s="37" t="s">
        <v>284</v>
      </c>
      <c r="G112" s="69">
        <v>16800</v>
      </c>
      <c r="H112" s="71">
        <v>3600</v>
      </c>
      <c r="I112" s="71">
        <v>6240</v>
      </c>
      <c r="J112" s="71">
        <v>12300</v>
      </c>
      <c r="K112" s="71">
        <v>21545</v>
      </c>
      <c r="L112" s="71">
        <v>2760</v>
      </c>
      <c r="M112" s="71">
        <v>17500</v>
      </c>
      <c r="N112" s="71">
        <v>16875</v>
      </c>
    </row>
    <row r="113" spans="1:14" x14ac:dyDescent="0.25">
      <c r="A113" s="12">
        <v>112</v>
      </c>
      <c r="B113" s="60" t="s">
        <v>293</v>
      </c>
      <c r="C113" s="53">
        <v>10330</v>
      </c>
      <c r="D113" s="38" t="s">
        <v>142</v>
      </c>
      <c r="E113" s="38" t="s">
        <v>109</v>
      </c>
      <c r="F113" s="37" t="s">
        <v>281</v>
      </c>
      <c r="G113" s="69">
        <v>0</v>
      </c>
      <c r="H113" s="71">
        <v>0</v>
      </c>
      <c r="I113" s="71">
        <v>0</v>
      </c>
      <c r="J113" s="71">
        <v>0</v>
      </c>
      <c r="K113" s="71">
        <v>0</v>
      </c>
      <c r="L113" s="71">
        <v>0</v>
      </c>
      <c r="M113" s="71">
        <v>0</v>
      </c>
      <c r="N113" s="71">
        <v>0</v>
      </c>
    </row>
    <row r="114" spans="1:14" x14ac:dyDescent="0.25">
      <c r="A114" s="12">
        <v>113</v>
      </c>
      <c r="B114" s="60" t="s">
        <v>293</v>
      </c>
      <c r="C114" s="53">
        <v>10526</v>
      </c>
      <c r="D114" s="38" t="s">
        <v>143</v>
      </c>
      <c r="E114" s="38" t="s">
        <v>99</v>
      </c>
      <c r="F114" s="37" t="s">
        <v>278</v>
      </c>
      <c r="G114" s="69">
        <v>0</v>
      </c>
      <c r="H114" s="71">
        <v>0</v>
      </c>
      <c r="I114" s="71">
        <v>0</v>
      </c>
      <c r="J114" s="71">
        <v>0</v>
      </c>
      <c r="K114" s="71">
        <v>0</v>
      </c>
      <c r="L114" s="71">
        <v>0</v>
      </c>
      <c r="M114" s="71">
        <v>0</v>
      </c>
      <c r="N114" s="71">
        <v>0</v>
      </c>
    </row>
    <row r="115" spans="1:14" x14ac:dyDescent="0.25">
      <c r="A115" s="12">
        <v>114</v>
      </c>
      <c r="B115" s="60" t="s">
        <v>293</v>
      </c>
      <c r="C115" s="53">
        <v>10289</v>
      </c>
      <c r="D115" s="38" t="s">
        <v>145</v>
      </c>
      <c r="E115" s="38" t="s">
        <v>146</v>
      </c>
      <c r="F115" s="37" t="s">
        <v>280</v>
      </c>
      <c r="G115" s="69">
        <v>0</v>
      </c>
      <c r="H115" s="71">
        <v>0</v>
      </c>
      <c r="I115" s="71">
        <v>0</v>
      </c>
      <c r="J115" s="71">
        <v>0</v>
      </c>
      <c r="K115" s="71">
        <v>0</v>
      </c>
      <c r="L115" s="71">
        <v>0</v>
      </c>
      <c r="M115" s="71">
        <v>0</v>
      </c>
      <c r="N115" s="71">
        <v>0</v>
      </c>
    </row>
    <row r="116" spans="1:14" x14ac:dyDescent="0.25">
      <c r="A116" s="12">
        <v>115</v>
      </c>
      <c r="B116" s="60" t="s">
        <v>293</v>
      </c>
      <c r="C116" s="53">
        <v>10352</v>
      </c>
      <c r="D116" s="38" t="s">
        <v>147</v>
      </c>
      <c r="E116" s="38" t="s">
        <v>148</v>
      </c>
      <c r="F116" s="37" t="s">
        <v>280</v>
      </c>
      <c r="G116" s="69">
        <v>0</v>
      </c>
      <c r="H116" s="71">
        <v>0</v>
      </c>
      <c r="I116" s="71">
        <v>0</v>
      </c>
      <c r="J116" s="71">
        <v>0</v>
      </c>
      <c r="K116" s="71">
        <v>0</v>
      </c>
      <c r="L116" s="71">
        <v>0</v>
      </c>
      <c r="M116" s="71">
        <v>0</v>
      </c>
      <c r="N116" s="71">
        <v>0</v>
      </c>
    </row>
    <row r="117" spans="1:14" x14ac:dyDescent="0.25">
      <c r="A117" s="12">
        <v>116</v>
      </c>
      <c r="B117" s="60" t="s">
        <v>294</v>
      </c>
      <c r="C117" s="53">
        <v>10290</v>
      </c>
      <c r="D117" s="38" t="s">
        <v>151</v>
      </c>
      <c r="E117" s="38" t="s">
        <v>152</v>
      </c>
      <c r="F117" s="37" t="s">
        <v>283</v>
      </c>
      <c r="G117" s="69">
        <v>0</v>
      </c>
      <c r="H117" s="71">
        <v>0</v>
      </c>
      <c r="I117" s="71">
        <v>0</v>
      </c>
      <c r="J117" s="71">
        <v>0</v>
      </c>
      <c r="K117" s="71">
        <v>0</v>
      </c>
      <c r="L117" s="71">
        <v>0</v>
      </c>
      <c r="M117" s="71">
        <v>0</v>
      </c>
      <c r="N117" s="71">
        <v>0</v>
      </c>
    </row>
    <row r="118" spans="1:14" x14ac:dyDescent="0.25">
      <c r="A118" s="12">
        <v>117</v>
      </c>
      <c r="B118" s="60" t="s">
        <v>293</v>
      </c>
      <c r="C118" s="53">
        <v>10291</v>
      </c>
      <c r="D118" s="38" t="s">
        <v>153</v>
      </c>
      <c r="E118" s="38" t="s">
        <v>51</v>
      </c>
      <c r="F118" s="37" t="s">
        <v>288</v>
      </c>
      <c r="G118" s="69">
        <v>0</v>
      </c>
      <c r="H118" s="71">
        <v>0</v>
      </c>
      <c r="I118" s="71">
        <v>0</v>
      </c>
      <c r="J118" s="71">
        <v>0</v>
      </c>
      <c r="K118" s="71">
        <v>0</v>
      </c>
      <c r="L118" s="71">
        <v>0</v>
      </c>
      <c r="M118" s="71">
        <v>0</v>
      </c>
      <c r="N118" s="71">
        <v>0</v>
      </c>
    </row>
    <row r="119" spans="1:14" x14ac:dyDescent="0.25">
      <c r="A119" s="12">
        <v>118</v>
      </c>
      <c r="B119" s="60" t="s">
        <v>293</v>
      </c>
      <c r="C119" s="53">
        <v>10389</v>
      </c>
      <c r="D119" s="38" t="s">
        <v>154</v>
      </c>
      <c r="E119" s="38" t="s">
        <v>51</v>
      </c>
      <c r="F119" s="37" t="s">
        <v>288</v>
      </c>
      <c r="G119" s="69">
        <v>0</v>
      </c>
      <c r="H119" s="71">
        <v>0</v>
      </c>
      <c r="I119" s="71">
        <v>0</v>
      </c>
      <c r="J119" s="71">
        <v>0</v>
      </c>
      <c r="K119" s="71">
        <v>0</v>
      </c>
      <c r="L119" s="71">
        <v>0</v>
      </c>
      <c r="M119" s="71">
        <v>0</v>
      </c>
      <c r="N119" s="71">
        <v>0</v>
      </c>
    </row>
    <row r="120" spans="1:14" x14ac:dyDescent="0.25">
      <c r="A120" s="12">
        <v>119</v>
      </c>
      <c r="B120" s="60" t="s">
        <v>293</v>
      </c>
      <c r="C120" s="53">
        <v>10482</v>
      </c>
      <c r="D120" s="38" t="s">
        <v>155</v>
      </c>
      <c r="E120" s="38" t="s">
        <v>156</v>
      </c>
      <c r="F120" s="37" t="s">
        <v>288</v>
      </c>
      <c r="G120" s="69">
        <v>0</v>
      </c>
      <c r="H120" s="71">
        <v>0</v>
      </c>
      <c r="I120" s="71">
        <v>0</v>
      </c>
      <c r="J120" s="71">
        <v>0</v>
      </c>
      <c r="K120" s="71">
        <v>0</v>
      </c>
      <c r="L120" s="71">
        <v>0</v>
      </c>
      <c r="M120" s="71">
        <v>0</v>
      </c>
      <c r="N120" s="71">
        <v>0</v>
      </c>
    </row>
    <row r="121" spans="1:14" x14ac:dyDescent="0.25">
      <c r="A121" s="12">
        <v>120</v>
      </c>
      <c r="B121" s="60" t="s">
        <v>293</v>
      </c>
      <c r="C121" s="53">
        <v>20005</v>
      </c>
      <c r="D121" s="38" t="s">
        <v>157</v>
      </c>
      <c r="E121" s="38" t="s">
        <v>158</v>
      </c>
      <c r="F121" s="37" t="s">
        <v>289</v>
      </c>
      <c r="G121" s="69">
        <v>0</v>
      </c>
      <c r="H121" s="71">
        <v>0</v>
      </c>
      <c r="I121" s="71">
        <v>0</v>
      </c>
      <c r="J121" s="71">
        <v>0</v>
      </c>
      <c r="K121" s="71">
        <v>0</v>
      </c>
      <c r="L121" s="71">
        <v>0</v>
      </c>
      <c r="M121" s="71">
        <v>0</v>
      </c>
      <c r="N121" s="71">
        <v>0</v>
      </c>
    </row>
    <row r="122" spans="1:14" x14ac:dyDescent="0.25">
      <c r="A122" s="12">
        <v>121</v>
      </c>
      <c r="B122" s="60" t="s">
        <v>293</v>
      </c>
      <c r="C122" s="53">
        <v>20062</v>
      </c>
      <c r="D122" s="38" t="s">
        <v>159</v>
      </c>
      <c r="E122" s="38" t="s">
        <v>445</v>
      </c>
      <c r="F122" s="37" t="s">
        <v>291</v>
      </c>
      <c r="G122" s="69">
        <v>0</v>
      </c>
      <c r="H122" s="71">
        <v>0</v>
      </c>
      <c r="I122" s="71">
        <v>0</v>
      </c>
      <c r="J122" s="71">
        <v>0</v>
      </c>
      <c r="K122" s="71">
        <v>0</v>
      </c>
      <c r="L122" s="71">
        <v>0</v>
      </c>
      <c r="M122" s="71">
        <v>0</v>
      </c>
      <c r="N122" s="71">
        <v>0</v>
      </c>
    </row>
    <row r="123" spans="1:14" x14ac:dyDescent="0.25">
      <c r="A123" s="12">
        <v>122</v>
      </c>
      <c r="B123" s="60" t="s">
        <v>293</v>
      </c>
      <c r="C123" s="53">
        <v>20007</v>
      </c>
      <c r="D123" s="38" t="s">
        <v>160</v>
      </c>
      <c r="E123" s="38" t="s">
        <v>446</v>
      </c>
      <c r="F123" s="37" t="s">
        <v>290</v>
      </c>
      <c r="G123" s="69">
        <v>0</v>
      </c>
      <c r="H123" s="71">
        <v>0</v>
      </c>
      <c r="I123" s="71">
        <v>0</v>
      </c>
      <c r="J123" s="71">
        <v>0</v>
      </c>
      <c r="K123" s="71">
        <v>0</v>
      </c>
      <c r="L123" s="71">
        <v>0</v>
      </c>
      <c r="M123" s="71">
        <v>0</v>
      </c>
      <c r="N123" s="71">
        <v>0</v>
      </c>
    </row>
    <row r="124" spans="1:14" x14ac:dyDescent="0.25">
      <c r="A124" s="12">
        <v>123</v>
      </c>
      <c r="B124" s="60" t="s">
        <v>293</v>
      </c>
      <c r="C124" s="53">
        <v>20066</v>
      </c>
      <c r="D124" s="38" t="s">
        <v>161</v>
      </c>
      <c r="E124" s="38" t="s">
        <v>162</v>
      </c>
      <c r="F124" s="37" t="s">
        <v>290</v>
      </c>
      <c r="G124" s="69">
        <v>0</v>
      </c>
      <c r="H124" s="71">
        <v>0</v>
      </c>
      <c r="I124" s="71">
        <v>0</v>
      </c>
      <c r="J124" s="71">
        <v>0</v>
      </c>
      <c r="K124" s="71">
        <v>0</v>
      </c>
      <c r="L124" s="71">
        <v>0</v>
      </c>
      <c r="M124" s="71">
        <v>0</v>
      </c>
      <c r="N124" s="71">
        <v>0</v>
      </c>
    </row>
    <row r="125" spans="1:14" x14ac:dyDescent="0.25">
      <c r="A125" s="12">
        <v>124</v>
      </c>
      <c r="B125" s="60" t="s">
        <v>293</v>
      </c>
      <c r="C125" s="53">
        <v>20011</v>
      </c>
      <c r="D125" s="38" t="s">
        <v>163</v>
      </c>
      <c r="E125" s="38" t="s">
        <v>164</v>
      </c>
      <c r="F125" s="37" t="s">
        <v>290</v>
      </c>
      <c r="G125" s="69">
        <v>0</v>
      </c>
      <c r="H125" s="71">
        <v>0</v>
      </c>
      <c r="I125" s="71">
        <v>0</v>
      </c>
      <c r="J125" s="71">
        <v>0</v>
      </c>
      <c r="K125" s="71">
        <v>0</v>
      </c>
      <c r="L125" s="71">
        <v>0</v>
      </c>
      <c r="M125" s="71">
        <v>0</v>
      </c>
      <c r="N125" s="71">
        <v>0</v>
      </c>
    </row>
    <row r="126" spans="1:14" x14ac:dyDescent="0.25">
      <c r="A126" s="12">
        <v>125</v>
      </c>
      <c r="B126" s="60" t="s">
        <v>293</v>
      </c>
      <c r="C126" s="53">
        <v>10401</v>
      </c>
      <c r="D126" s="38" t="s">
        <v>165</v>
      </c>
      <c r="E126" s="38" t="s">
        <v>166</v>
      </c>
      <c r="F126" s="37" t="s">
        <v>291</v>
      </c>
      <c r="G126" s="69">
        <v>0</v>
      </c>
      <c r="H126" s="71">
        <v>0</v>
      </c>
      <c r="I126" s="71">
        <v>0</v>
      </c>
      <c r="J126" s="71">
        <v>0</v>
      </c>
      <c r="K126" s="71">
        <v>0</v>
      </c>
      <c r="L126" s="71">
        <v>0</v>
      </c>
      <c r="M126" s="71">
        <v>0</v>
      </c>
      <c r="N126" s="71">
        <v>0</v>
      </c>
    </row>
    <row r="127" spans="1:14" x14ac:dyDescent="0.25">
      <c r="A127" s="12">
        <v>126</v>
      </c>
      <c r="B127" s="60" t="s">
        <v>293</v>
      </c>
      <c r="C127" s="53">
        <v>20060</v>
      </c>
      <c r="D127" s="38" t="s">
        <v>167</v>
      </c>
      <c r="E127" s="38" t="s">
        <v>168</v>
      </c>
      <c r="F127" s="37" t="s">
        <v>291</v>
      </c>
      <c r="G127" s="69">
        <v>0</v>
      </c>
      <c r="H127" s="71">
        <v>0</v>
      </c>
      <c r="I127" s="71">
        <v>0</v>
      </c>
      <c r="J127" s="71">
        <v>0</v>
      </c>
      <c r="K127" s="71">
        <v>0</v>
      </c>
      <c r="L127" s="71">
        <v>0</v>
      </c>
      <c r="M127" s="71">
        <v>0</v>
      </c>
      <c r="N127" s="71">
        <v>0</v>
      </c>
    </row>
    <row r="128" spans="1:14" x14ac:dyDescent="0.25">
      <c r="A128" s="12">
        <v>127</v>
      </c>
      <c r="B128" s="60" t="s">
        <v>293</v>
      </c>
      <c r="C128" s="53">
        <v>10382</v>
      </c>
      <c r="D128" s="38" t="s">
        <v>169</v>
      </c>
      <c r="E128" s="38" t="s">
        <v>170</v>
      </c>
      <c r="F128" s="37" t="s">
        <v>291</v>
      </c>
      <c r="G128" s="69">
        <v>0</v>
      </c>
      <c r="H128" s="71">
        <v>0</v>
      </c>
      <c r="I128" s="71">
        <v>0</v>
      </c>
      <c r="J128" s="71">
        <v>0</v>
      </c>
      <c r="K128" s="71">
        <v>0</v>
      </c>
      <c r="L128" s="71">
        <v>0</v>
      </c>
      <c r="M128" s="71">
        <v>0</v>
      </c>
      <c r="N128" s="71">
        <v>0</v>
      </c>
    </row>
    <row r="129" spans="1:14" x14ac:dyDescent="0.25">
      <c r="A129" s="12">
        <v>128</v>
      </c>
      <c r="B129" s="60" t="s">
        <v>293</v>
      </c>
      <c r="C129" s="53">
        <v>20064</v>
      </c>
      <c r="D129" s="38" t="s">
        <v>171</v>
      </c>
      <c r="E129" s="38" t="s">
        <v>168</v>
      </c>
      <c r="F129" s="37" t="s">
        <v>291</v>
      </c>
      <c r="G129" s="69">
        <v>0</v>
      </c>
      <c r="H129" s="71">
        <v>0</v>
      </c>
      <c r="I129" s="71">
        <v>0</v>
      </c>
      <c r="J129" s="71">
        <v>0</v>
      </c>
      <c r="K129" s="71">
        <v>0</v>
      </c>
      <c r="L129" s="71">
        <v>0</v>
      </c>
      <c r="M129" s="71">
        <v>0</v>
      </c>
      <c r="N129" s="71">
        <v>0</v>
      </c>
    </row>
    <row r="130" spans="1:14" x14ac:dyDescent="0.25">
      <c r="A130" s="12">
        <v>129</v>
      </c>
      <c r="B130" s="60" t="s">
        <v>293</v>
      </c>
      <c r="C130" s="53">
        <v>20057</v>
      </c>
      <c r="D130" s="38" t="s">
        <v>172</v>
      </c>
      <c r="E130" s="38" t="s">
        <v>170</v>
      </c>
      <c r="F130" s="37" t="s">
        <v>291</v>
      </c>
      <c r="G130" s="69">
        <v>0</v>
      </c>
      <c r="H130" s="71">
        <v>0</v>
      </c>
      <c r="I130" s="71">
        <v>0</v>
      </c>
      <c r="J130" s="71">
        <v>0</v>
      </c>
      <c r="K130" s="71">
        <v>0</v>
      </c>
      <c r="L130" s="71">
        <v>0</v>
      </c>
      <c r="M130" s="71">
        <v>0</v>
      </c>
      <c r="N130" s="71">
        <v>0</v>
      </c>
    </row>
    <row r="131" spans="1:14" x14ac:dyDescent="0.25">
      <c r="A131" s="12">
        <v>130</v>
      </c>
      <c r="B131" s="60" t="s">
        <v>293</v>
      </c>
      <c r="C131" s="53">
        <v>10506</v>
      </c>
      <c r="D131" s="38" t="s">
        <v>173</v>
      </c>
      <c r="E131" s="38" t="s">
        <v>170</v>
      </c>
      <c r="F131" s="37" t="s">
        <v>291</v>
      </c>
      <c r="G131" s="69">
        <v>0</v>
      </c>
      <c r="H131" s="71">
        <v>0</v>
      </c>
      <c r="I131" s="71">
        <v>0</v>
      </c>
      <c r="J131" s="71">
        <v>0</v>
      </c>
      <c r="K131" s="71">
        <v>0</v>
      </c>
      <c r="L131" s="71">
        <v>0</v>
      </c>
      <c r="M131" s="71">
        <v>0</v>
      </c>
      <c r="N131" s="71">
        <v>0</v>
      </c>
    </row>
    <row r="132" spans="1:14" x14ac:dyDescent="0.25">
      <c r="A132" s="12">
        <v>131</v>
      </c>
      <c r="B132" s="60" t="s">
        <v>293</v>
      </c>
      <c r="C132" s="53">
        <v>10508</v>
      </c>
      <c r="D132" s="38" t="s">
        <v>174</v>
      </c>
      <c r="E132" s="38" t="s">
        <v>175</v>
      </c>
      <c r="F132" s="37" t="s">
        <v>291</v>
      </c>
      <c r="G132" s="69">
        <v>0</v>
      </c>
      <c r="H132" s="71">
        <v>0</v>
      </c>
      <c r="I132" s="71">
        <v>0</v>
      </c>
      <c r="J132" s="71">
        <v>0</v>
      </c>
      <c r="K132" s="71">
        <v>0</v>
      </c>
      <c r="L132" s="71">
        <v>0</v>
      </c>
      <c r="M132" s="71">
        <v>0</v>
      </c>
      <c r="N132" s="71">
        <v>0</v>
      </c>
    </row>
    <row r="133" spans="1:14" x14ac:dyDescent="0.25">
      <c r="A133" s="12">
        <v>132</v>
      </c>
      <c r="B133" s="60" t="s">
        <v>293</v>
      </c>
      <c r="C133" s="53">
        <v>10454</v>
      </c>
      <c r="D133" s="38" t="s">
        <v>176</v>
      </c>
      <c r="E133" s="38" t="s">
        <v>69</v>
      </c>
      <c r="F133" s="37" t="s">
        <v>284</v>
      </c>
      <c r="G133" s="69">
        <v>2190</v>
      </c>
      <c r="H133" s="71">
        <v>2250</v>
      </c>
      <c r="I133" s="71">
        <v>9520</v>
      </c>
      <c r="J133" s="71">
        <v>20720</v>
      </c>
      <c r="K133" s="71">
        <v>14820</v>
      </c>
      <c r="L133" s="71">
        <v>12610</v>
      </c>
      <c r="M133" s="71">
        <v>2580</v>
      </c>
      <c r="N133" s="71">
        <v>1140</v>
      </c>
    </row>
    <row r="134" spans="1:14" x14ac:dyDescent="0.25">
      <c r="A134" s="12">
        <v>133</v>
      </c>
      <c r="B134" s="60" t="s">
        <v>293</v>
      </c>
      <c r="C134" s="53">
        <v>10461</v>
      </c>
      <c r="D134" s="38" t="s">
        <v>177</v>
      </c>
      <c r="E134" s="38" t="s">
        <v>69</v>
      </c>
      <c r="F134" s="37" t="s">
        <v>284</v>
      </c>
      <c r="G134" s="69">
        <v>4800</v>
      </c>
      <c r="H134" s="71">
        <v>6360</v>
      </c>
      <c r="I134" s="71">
        <v>6360</v>
      </c>
      <c r="J134" s="71">
        <v>2310</v>
      </c>
      <c r="K134" s="71">
        <v>0</v>
      </c>
      <c r="L134" s="71">
        <v>0</v>
      </c>
      <c r="M134" s="71">
        <v>0</v>
      </c>
      <c r="N134" s="71">
        <v>0</v>
      </c>
    </row>
    <row r="135" spans="1:14" x14ac:dyDescent="0.25">
      <c r="A135" s="12">
        <v>134</v>
      </c>
      <c r="B135" s="60" t="s">
        <v>293</v>
      </c>
      <c r="C135" s="53">
        <v>10366</v>
      </c>
      <c r="D135" s="38" t="s">
        <v>178</v>
      </c>
      <c r="E135" s="38" t="s">
        <v>69</v>
      </c>
      <c r="F135" s="37" t="s">
        <v>284</v>
      </c>
      <c r="G135" s="69">
        <v>37000</v>
      </c>
      <c r="H135" s="71">
        <v>48000</v>
      </c>
      <c r="I135" s="71">
        <v>42200</v>
      </c>
      <c r="J135" s="71">
        <v>38200</v>
      </c>
      <c r="K135" s="71">
        <v>27300</v>
      </c>
      <c r="L135" s="71">
        <v>45000</v>
      </c>
      <c r="M135" s="71">
        <v>37570</v>
      </c>
      <c r="N135" s="71">
        <v>38500</v>
      </c>
    </row>
    <row r="136" spans="1:14" x14ac:dyDescent="0.25">
      <c r="A136" s="12">
        <v>135</v>
      </c>
      <c r="B136" s="60" t="s">
        <v>293</v>
      </c>
      <c r="C136" s="53">
        <v>10386</v>
      </c>
      <c r="D136" s="38" t="s">
        <v>179</v>
      </c>
      <c r="E136" s="38" t="s">
        <v>69</v>
      </c>
      <c r="F136" s="37" t="s">
        <v>284</v>
      </c>
      <c r="G136" s="69">
        <v>2310</v>
      </c>
      <c r="H136" s="71">
        <v>3560</v>
      </c>
      <c r="I136" s="71">
        <v>3320</v>
      </c>
      <c r="J136" s="71">
        <v>6180</v>
      </c>
      <c r="K136" s="71">
        <v>11330</v>
      </c>
      <c r="L136" s="71">
        <v>12980</v>
      </c>
      <c r="M136" s="71">
        <v>8925</v>
      </c>
      <c r="N136" s="71">
        <v>7350</v>
      </c>
    </row>
    <row r="137" spans="1:14" x14ac:dyDescent="0.25">
      <c r="A137" s="12">
        <v>136</v>
      </c>
      <c r="B137" s="60" t="s">
        <v>293</v>
      </c>
      <c r="C137" s="53">
        <v>20031</v>
      </c>
      <c r="D137" s="38" t="s">
        <v>180</v>
      </c>
      <c r="E137" s="38" t="s">
        <v>181</v>
      </c>
      <c r="F137" s="37" t="s">
        <v>284</v>
      </c>
      <c r="G137" s="69">
        <v>1710</v>
      </c>
      <c r="H137" s="71">
        <v>0</v>
      </c>
      <c r="I137" s="71">
        <v>0</v>
      </c>
      <c r="J137" s="71">
        <v>0</v>
      </c>
      <c r="K137" s="71">
        <v>0</v>
      </c>
      <c r="L137" s="71">
        <v>0</v>
      </c>
      <c r="M137" s="71">
        <v>0</v>
      </c>
      <c r="N137" s="71">
        <v>0</v>
      </c>
    </row>
    <row r="138" spans="1:14" x14ac:dyDescent="0.25">
      <c r="A138" s="12">
        <v>137</v>
      </c>
      <c r="B138" s="60" t="s">
        <v>293</v>
      </c>
      <c r="C138" s="53">
        <v>50004</v>
      </c>
      <c r="D138" s="38" t="s">
        <v>182</v>
      </c>
      <c r="E138" s="38" t="s">
        <v>53</v>
      </c>
      <c r="F138" s="37" t="s">
        <v>275</v>
      </c>
      <c r="G138" s="69">
        <v>0</v>
      </c>
      <c r="H138" s="71">
        <v>0</v>
      </c>
      <c r="I138" s="71">
        <v>0</v>
      </c>
      <c r="J138" s="71">
        <v>0</v>
      </c>
      <c r="K138" s="71">
        <v>0</v>
      </c>
      <c r="L138" s="71">
        <v>0</v>
      </c>
      <c r="M138" s="71">
        <v>0</v>
      </c>
      <c r="N138" s="71">
        <v>0</v>
      </c>
    </row>
    <row r="139" spans="1:14" x14ac:dyDescent="0.25">
      <c r="A139" s="12">
        <v>138</v>
      </c>
      <c r="B139" s="60" t="s">
        <v>293</v>
      </c>
      <c r="C139" s="53">
        <v>10205</v>
      </c>
      <c r="D139" s="38" t="s">
        <v>183</v>
      </c>
      <c r="E139" s="38" t="s">
        <v>184</v>
      </c>
      <c r="F139" s="37" t="s">
        <v>287</v>
      </c>
      <c r="G139" s="69">
        <v>0</v>
      </c>
      <c r="H139" s="71">
        <v>0</v>
      </c>
      <c r="I139" s="71">
        <v>0</v>
      </c>
      <c r="J139" s="71">
        <v>0</v>
      </c>
      <c r="K139" s="71">
        <v>0</v>
      </c>
      <c r="L139" s="71">
        <v>0</v>
      </c>
      <c r="M139" s="71">
        <v>0</v>
      </c>
      <c r="N139" s="71">
        <v>0</v>
      </c>
    </row>
    <row r="140" spans="1:14" x14ac:dyDescent="0.25">
      <c r="A140" s="12">
        <v>139</v>
      </c>
      <c r="B140" s="60" t="s">
        <v>293</v>
      </c>
      <c r="C140" s="53">
        <v>10524</v>
      </c>
      <c r="D140" s="38" t="s">
        <v>186</v>
      </c>
      <c r="E140" s="38" t="s">
        <v>447</v>
      </c>
      <c r="F140" s="37" t="s">
        <v>287</v>
      </c>
      <c r="G140" s="69">
        <v>0</v>
      </c>
      <c r="H140" s="71">
        <v>0</v>
      </c>
      <c r="I140" s="71">
        <v>0</v>
      </c>
      <c r="J140" s="71">
        <v>0</v>
      </c>
      <c r="K140" s="71">
        <v>0</v>
      </c>
      <c r="L140" s="71">
        <v>0</v>
      </c>
      <c r="M140" s="71">
        <v>0</v>
      </c>
      <c r="N140" s="71">
        <v>0</v>
      </c>
    </row>
    <row r="141" spans="1:14" x14ac:dyDescent="0.25">
      <c r="A141" s="12">
        <v>140</v>
      </c>
      <c r="B141" s="60" t="s">
        <v>293</v>
      </c>
      <c r="C141" s="53">
        <v>10505</v>
      </c>
      <c r="D141" s="38" t="s">
        <v>187</v>
      </c>
      <c r="E141" s="38" t="s">
        <v>188</v>
      </c>
      <c r="F141" s="37" t="s">
        <v>287</v>
      </c>
      <c r="G141" s="69">
        <v>0</v>
      </c>
      <c r="H141" s="71">
        <v>0</v>
      </c>
      <c r="I141" s="71">
        <v>0</v>
      </c>
      <c r="J141" s="71">
        <v>0</v>
      </c>
      <c r="K141" s="71">
        <v>0</v>
      </c>
      <c r="L141" s="71">
        <v>0</v>
      </c>
      <c r="M141" s="71">
        <v>0</v>
      </c>
      <c r="N141" s="71">
        <v>0</v>
      </c>
    </row>
    <row r="142" spans="1:14" x14ac:dyDescent="0.25">
      <c r="A142" s="12">
        <v>141</v>
      </c>
      <c r="B142" s="60" t="s">
        <v>293</v>
      </c>
      <c r="C142" s="53">
        <v>10419</v>
      </c>
      <c r="D142" s="38" t="s">
        <v>189</v>
      </c>
      <c r="E142" s="38" t="s">
        <v>190</v>
      </c>
      <c r="F142" s="37" t="s">
        <v>287</v>
      </c>
      <c r="G142" s="69">
        <v>0</v>
      </c>
      <c r="H142" s="71">
        <v>0</v>
      </c>
      <c r="I142" s="71">
        <v>0</v>
      </c>
      <c r="J142" s="71">
        <v>0</v>
      </c>
      <c r="K142" s="71">
        <v>0</v>
      </c>
      <c r="L142" s="71">
        <v>0</v>
      </c>
      <c r="M142" s="71">
        <v>0</v>
      </c>
      <c r="N142" s="71">
        <v>0</v>
      </c>
    </row>
    <row r="143" spans="1:14" x14ac:dyDescent="0.25">
      <c r="A143" s="12">
        <v>142</v>
      </c>
      <c r="B143" s="60" t="s">
        <v>293</v>
      </c>
      <c r="C143" s="53">
        <v>10551</v>
      </c>
      <c r="D143" s="38" t="s">
        <v>325</v>
      </c>
      <c r="E143" s="38" t="s">
        <v>448</v>
      </c>
      <c r="F143" s="37" t="s">
        <v>291</v>
      </c>
      <c r="G143" s="69">
        <v>0</v>
      </c>
      <c r="H143" s="71">
        <v>0</v>
      </c>
      <c r="I143" s="71">
        <v>0</v>
      </c>
      <c r="J143" s="71">
        <v>0</v>
      </c>
      <c r="K143" s="71">
        <v>0</v>
      </c>
      <c r="L143" s="71">
        <v>0</v>
      </c>
      <c r="M143" s="71">
        <v>0</v>
      </c>
      <c r="N143" s="71">
        <v>0</v>
      </c>
    </row>
    <row r="144" spans="1:14" x14ac:dyDescent="0.25">
      <c r="A144" s="12">
        <v>143</v>
      </c>
      <c r="B144" s="60" t="s">
        <v>293</v>
      </c>
      <c r="C144" s="53">
        <v>10553</v>
      </c>
      <c r="D144" s="38" t="s">
        <v>326</v>
      </c>
      <c r="E144" s="38" t="s">
        <v>23</v>
      </c>
      <c r="F144" s="37" t="s">
        <v>279</v>
      </c>
      <c r="G144" s="69">
        <v>0</v>
      </c>
      <c r="H144" s="71">
        <v>0</v>
      </c>
      <c r="I144" s="71">
        <v>0</v>
      </c>
      <c r="J144" s="71">
        <v>0</v>
      </c>
      <c r="K144" s="71">
        <v>0</v>
      </c>
      <c r="L144" s="71">
        <v>0</v>
      </c>
      <c r="M144" s="71">
        <v>0</v>
      </c>
      <c r="N144" s="71">
        <v>0</v>
      </c>
    </row>
    <row r="145" spans="1:14" x14ac:dyDescent="0.25">
      <c r="A145" s="12">
        <v>144</v>
      </c>
      <c r="B145" s="60" t="s">
        <v>293</v>
      </c>
      <c r="C145" s="53">
        <v>10554</v>
      </c>
      <c r="D145" s="38" t="s">
        <v>327</v>
      </c>
      <c r="E145" s="38" t="s">
        <v>23</v>
      </c>
      <c r="F145" s="37" t="s">
        <v>279</v>
      </c>
      <c r="G145" s="69">
        <v>0</v>
      </c>
      <c r="H145" s="71">
        <v>0</v>
      </c>
      <c r="I145" s="71">
        <v>0</v>
      </c>
      <c r="J145" s="71">
        <v>0</v>
      </c>
      <c r="K145" s="71">
        <v>0</v>
      </c>
      <c r="L145" s="71">
        <v>0</v>
      </c>
      <c r="M145" s="71">
        <v>0</v>
      </c>
      <c r="N145" s="71">
        <v>0</v>
      </c>
    </row>
    <row r="146" spans="1:14" x14ac:dyDescent="0.25">
      <c r="A146" s="12">
        <v>145</v>
      </c>
      <c r="B146" s="60" t="s">
        <v>293</v>
      </c>
      <c r="C146" s="53">
        <v>10558</v>
      </c>
      <c r="D146" s="38" t="s">
        <v>355</v>
      </c>
      <c r="E146" s="38" t="s">
        <v>331</v>
      </c>
      <c r="F146" s="37" t="s">
        <v>332</v>
      </c>
      <c r="G146" s="69">
        <v>0</v>
      </c>
      <c r="H146" s="71">
        <v>0</v>
      </c>
      <c r="I146" s="71">
        <v>0</v>
      </c>
      <c r="J146" s="71">
        <v>0</v>
      </c>
      <c r="K146" s="71">
        <v>0</v>
      </c>
      <c r="L146" s="71">
        <v>0</v>
      </c>
      <c r="M146" s="71">
        <v>0</v>
      </c>
      <c r="N146" s="71">
        <v>0</v>
      </c>
    </row>
    <row r="147" spans="1:14" x14ac:dyDescent="0.25">
      <c r="A147" s="12">
        <v>146</v>
      </c>
      <c r="B147" s="60" t="s">
        <v>293</v>
      </c>
      <c r="C147" s="53">
        <v>10561</v>
      </c>
      <c r="D147" s="38" t="s">
        <v>335</v>
      </c>
      <c r="E147" s="38" t="s">
        <v>320</v>
      </c>
      <c r="F147" s="37" t="s">
        <v>278</v>
      </c>
      <c r="G147" s="69">
        <v>0</v>
      </c>
      <c r="H147" s="71">
        <v>0</v>
      </c>
      <c r="I147" s="71">
        <v>0</v>
      </c>
      <c r="J147" s="71">
        <v>0</v>
      </c>
      <c r="K147" s="71">
        <v>0</v>
      </c>
      <c r="L147" s="71">
        <v>0</v>
      </c>
      <c r="M147" s="71">
        <v>0</v>
      </c>
      <c r="N147" s="71">
        <v>0</v>
      </c>
    </row>
    <row r="148" spans="1:14" x14ac:dyDescent="0.25">
      <c r="A148" s="12">
        <v>147</v>
      </c>
      <c r="B148" s="60" t="s">
        <v>293</v>
      </c>
      <c r="C148" s="53">
        <v>10562</v>
      </c>
      <c r="D148" s="38" t="s">
        <v>394</v>
      </c>
      <c r="E148" s="38" t="s">
        <v>102</v>
      </c>
      <c r="F148" s="37" t="s">
        <v>286</v>
      </c>
      <c r="G148" s="69">
        <v>0</v>
      </c>
      <c r="H148" s="71">
        <v>0</v>
      </c>
      <c r="I148" s="71">
        <v>0</v>
      </c>
      <c r="J148" s="71">
        <v>0</v>
      </c>
      <c r="K148" s="71">
        <v>0</v>
      </c>
      <c r="L148" s="71">
        <v>0</v>
      </c>
      <c r="M148" s="71">
        <v>0</v>
      </c>
      <c r="N148" s="71">
        <v>0</v>
      </c>
    </row>
    <row r="149" spans="1:14" x14ac:dyDescent="0.25">
      <c r="A149" s="12">
        <v>148</v>
      </c>
      <c r="B149" s="60" t="s">
        <v>293</v>
      </c>
      <c r="C149" s="53">
        <v>10567</v>
      </c>
      <c r="D149" s="38" t="s">
        <v>336</v>
      </c>
      <c r="E149" s="38" t="s">
        <v>337</v>
      </c>
      <c r="F149" s="37" t="s">
        <v>281</v>
      </c>
      <c r="G149" s="69">
        <v>0</v>
      </c>
      <c r="H149" s="71">
        <v>0</v>
      </c>
      <c r="I149" s="71">
        <v>0</v>
      </c>
      <c r="J149" s="71">
        <v>0</v>
      </c>
      <c r="K149" s="71">
        <v>0</v>
      </c>
      <c r="L149" s="71">
        <v>0</v>
      </c>
      <c r="M149" s="71">
        <v>0</v>
      </c>
      <c r="N149" s="71">
        <v>0</v>
      </c>
    </row>
    <row r="150" spans="1:14" x14ac:dyDescent="0.25">
      <c r="A150" s="12">
        <v>149</v>
      </c>
      <c r="B150" s="60" t="s">
        <v>293</v>
      </c>
      <c r="C150" s="53">
        <v>10569</v>
      </c>
      <c r="D150" s="38" t="s">
        <v>339</v>
      </c>
      <c r="E150" s="38" t="s">
        <v>337</v>
      </c>
      <c r="F150" s="37" t="s">
        <v>281</v>
      </c>
      <c r="G150" s="69">
        <v>0</v>
      </c>
      <c r="H150" s="71">
        <v>0</v>
      </c>
      <c r="I150" s="71">
        <v>0</v>
      </c>
      <c r="J150" s="71">
        <v>0</v>
      </c>
      <c r="K150" s="71">
        <v>0</v>
      </c>
      <c r="L150" s="71">
        <v>0</v>
      </c>
      <c r="M150" s="71">
        <v>0</v>
      </c>
      <c r="N150" s="71">
        <v>0</v>
      </c>
    </row>
    <row r="151" spans="1:14" x14ac:dyDescent="0.25">
      <c r="A151" s="12">
        <v>150</v>
      </c>
      <c r="B151" s="60" t="s">
        <v>293</v>
      </c>
      <c r="C151" s="53">
        <v>10570</v>
      </c>
      <c r="D151" s="38" t="s">
        <v>340</v>
      </c>
      <c r="E151" s="38" t="s">
        <v>150</v>
      </c>
      <c r="F151" s="37" t="s">
        <v>280</v>
      </c>
      <c r="G151" s="69">
        <v>0</v>
      </c>
      <c r="H151" s="71">
        <v>0</v>
      </c>
      <c r="I151" s="71">
        <v>0</v>
      </c>
      <c r="J151" s="71">
        <v>0</v>
      </c>
      <c r="K151" s="71">
        <v>0</v>
      </c>
      <c r="L151" s="71">
        <v>0</v>
      </c>
      <c r="M151" s="71">
        <v>0</v>
      </c>
      <c r="N151" s="71">
        <v>0</v>
      </c>
    </row>
    <row r="152" spans="1:14" x14ac:dyDescent="0.25">
      <c r="A152" s="12">
        <v>151</v>
      </c>
      <c r="B152" s="60" t="s">
        <v>293</v>
      </c>
      <c r="C152" s="53">
        <v>10571</v>
      </c>
      <c r="D152" s="38" t="s">
        <v>185</v>
      </c>
      <c r="E152" s="38" t="s">
        <v>337</v>
      </c>
      <c r="F152" s="37" t="s">
        <v>281</v>
      </c>
      <c r="G152" s="69">
        <v>0</v>
      </c>
      <c r="H152" s="71">
        <v>0</v>
      </c>
      <c r="I152" s="71">
        <v>0</v>
      </c>
      <c r="J152" s="71">
        <v>0</v>
      </c>
      <c r="K152" s="71">
        <v>0</v>
      </c>
      <c r="L152" s="71">
        <v>0</v>
      </c>
      <c r="M152" s="71">
        <v>0</v>
      </c>
      <c r="N152" s="71">
        <v>0</v>
      </c>
    </row>
    <row r="153" spans="1:14" x14ac:dyDescent="0.25">
      <c r="A153" s="12">
        <v>152</v>
      </c>
      <c r="B153" s="60" t="s">
        <v>293</v>
      </c>
      <c r="C153" s="53">
        <v>10572</v>
      </c>
      <c r="D153" s="38" t="s">
        <v>413</v>
      </c>
      <c r="E153" s="38" t="s">
        <v>23</v>
      </c>
      <c r="F153" s="37" t="s">
        <v>279</v>
      </c>
      <c r="G153" s="69">
        <v>0</v>
      </c>
      <c r="H153" s="71">
        <v>0</v>
      </c>
      <c r="I153" s="71">
        <v>0</v>
      </c>
      <c r="J153" s="71">
        <v>0</v>
      </c>
      <c r="K153" s="71">
        <v>0</v>
      </c>
      <c r="L153" s="71">
        <v>0</v>
      </c>
      <c r="M153" s="71">
        <v>0</v>
      </c>
      <c r="N153" s="71">
        <v>0</v>
      </c>
    </row>
    <row r="154" spans="1:14" x14ac:dyDescent="0.25">
      <c r="A154" s="12">
        <v>153</v>
      </c>
      <c r="B154" s="60" t="s">
        <v>293</v>
      </c>
      <c r="C154" s="53">
        <v>10573</v>
      </c>
      <c r="D154" s="38" t="s">
        <v>341</v>
      </c>
      <c r="E154" s="38" t="s">
        <v>342</v>
      </c>
      <c r="F154" s="37" t="s">
        <v>278</v>
      </c>
      <c r="G154" s="69">
        <v>0</v>
      </c>
      <c r="H154" s="71">
        <v>0</v>
      </c>
      <c r="I154" s="71">
        <v>0</v>
      </c>
      <c r="J154" s="71">
        <v>0</v>
      </c>
      <c r="K154" s="71">
        <v>0</v>
      </c>
      <c r="L154" s="71">
        <v>0</v>
      </c>
      <c r="M154" s="71">
        <v>0</v>
      </c>
      <c r="N154" s="71">
        <v>0</v>
      </c>
    </row>
    <row r="155" spans="1:14" x14ac:dyDescent="0.25">
      <c r="A155" s="12">
        <v>154</v>
      </c>
      <c r="B155" s="60" t="s">
        <v>293</v>
      </c>
      <c r="C155" s="53">
        <v>10574</v>
      </c>
      <c r="D155" s="38" t="s">
        <v>414</v>
      </c>
      <c r="E155" s="38" t="s">
        <v>23</v>
      </c>
      <c r="F155" s="37" t="s">
        <v>279</v>
      </c>
      <c r="G155" s="69">
        <v>0</v>
      </c>
      <c r="H155" s="71">
        <v>0</v>
      </c>
      <c r="I155" s="71">
        <v>0</v>
      </c>
      <c r="J155" s="71">
        <v>0</v>
      </c>
      <c r="K155" s="71">
        <v>0</v>
      </c>
      <c r="L155" s="71">
        <v>0</v>
      </c>
      <c r="M155" s="71">
        <v>0</v>
      </c>
      <c r="N155" s="71">
        <v>0</v>
      </c>
    </row>
    <row r="156" spans="1:14" x14ac:dyDescent="0.25">
      <c r="A156" s="12">
        <v>155</v>
      </c>
      <c r="B156" s="60" t="s">
        <v>293</v>
      </c>
      <c r="C156" s="53">
        <v>10576</v>
      </c>
      <c r="D156" s="38" t="s">
        <v>344</v>
      </c>
      <c r="E156" s="38" t="s">
        <v>347</v>
      </c>
      <c r="F156" s="37" t="s">
        <v>284</v>
      </c>
      <c r="G156" s="69">
        <v>0</v>
      </c>
      <c r="H156" s="71">
        <v>0</v>
      </c>
      <c r="I156" s="71">
        <v>0</v>
      </c>
      <c r="J156" s="71">
        <v>0</v>
      </c>
      <c r="K156" s="71">
        <v>0</v>
      </c>
      <c r="L156" s="71">
        <v>0</v>
      </c>
      <c r="M156" s="71">
        <v>0</v>
      </c>
      <c r="N156" s="71">
        <v>0</v>
      </c>
    </row>
    <row r="157" spans="1:14" x14ac:dyDescent="0.25">
      <c r="A157" s="12">
        <v>156</v>
      </c>
      <c r="B157" s="60" t="s">
        <v>293</v>
      </c>
      <c r="C157" s="53">
        <v>10577</v>
      </c>
      <c r="D157" s="38" t="s">
        <v>345</v>
      </c>
      <c r="E157" s="38" t="s">
        <v>69</v>
      </c>
      <c r="F157" s="37" t="s">
        <v>284</v>
      </c>
      <c r="G157" s="69">
        <v>2400</v>
      </c>
      <c r="H157" s="71">
        <v>12100</v>
      </c>
      <c r="I157" s="71">
        <v>11600</v>
      </c>
      <c r="J157" s="71">
        <v>2100</v>
      </c>
      <c r="K157" s="71">
        <v>990</v>
      </c>
      <c r="L157" s="71">
        <v>1140</v>
      </c>
      <c r="M157" s="71">
        <v>960</v>
      </c>
      <c r="N157" s="71">
        <v>0</v>
      </c>
    </row>
    <row r="158" spans="1:14" x14ac:dyDescent="0.25">
      <c r="A158" s="12">
        <v>157</v>
      </c>
      <c r="B158" s="60" t="s">
        <v>293</v>
      </c>
      <c r="C158" s="53">
        <v>10583</v>
      </c>
      <c r="D158" s="38" t="s">
        <v>346</v>
      </c>
      <c r="E158" s="38" t="s">
        <v>23</v>
      </c>
      <c r="F158" s="37" t="s">
        <v>279</v>
      </c>
      <c r="G158" s="69">
        <v>0</v>
      </c>
      <c r="H158" s="71">
        <v>0</v>
      </c>
      <c r="I158" s="71">
        <v>0</v>
      </c>
      <c r="J158" s="71">
        <v>0</v>
      </c>
      <c r="K158" s="71">
        <v>0</v>
      </c>
      <c r="L158" s="71">
        <v>0</v>
      </c>
      <c r="M158" s="71">
        <v>0</v>
      </c>
      <c r="N158" s="71">
        <v>0</v>
      </c>
    </row>
    <row r="159" spans="1:14" x14ac:dyDescent="0.25">
      <c r="A159" s="12">
        <v>158</v>
      </c>
      <c r="B159" s="60" t="s">
        <v>293</v>
      </c>
      <c r="C159" s="53">
        <v>10585</v>
      </c>
      <c r="D159" s="38" t="s">
        <v>367</v>
      </c>
      <c r="E159" s="38" t="s">
        <v>69</v>
      </c>
      <c r="F159" s="37" t="s">
        <v>284</v>
      </c>
      <c r="G159" s="69">
        <v>1500</v>
      </c>
      <c r="H159" s="71">
        <v>0</v>
      </c>
      <c r="I159" s="71">
        <v>0</v>
      </c>
      <c r="J159" s="71">
        <v>0</v>
      </c>
      <c r="K159" s="71">
        <v>0</v>
      </c>
      <c r="L159" s="71">
        <v>990</v>
      </c>
      <c r="M159" s="71">
        <v>0</v>
      </c>
      <c r="N159" s="71">
        <v>960</v>
      </c>
    </row>
    <row r="160" spans="1:14" x14ac:dyDescent="0.25">
      <c r="A160" s="12">
        <v>159</v>
      </c>
      <c r="B160" s="60" t="s">
        <v>293</v>
      </c>
      <c r="C160" s="53">
        <v>10587</v>
      </c>
      <c r="D160" s="38" t="s">
        <v>368</v>
      </c>
      <c r="E160" s="38" t="s">
        <v>369</v>
      </c>
      <c r="F160" s="37" t="s">
        <v>287</v>
      </c>
      <c r="G160" s="69">
        <v>0</v>
      </c>
      <c r="H160" s="71">
        <v>0</v>
      </c>
      <c r="I160" s="71">
        <v>0</v>
      </c>
      <c r="J160" s="71">
        <v>0</v>
      </c>
      <c r="K160" s="71">
        <v>0</v>
      </c>
      <c r="L160" s="71">
        <v>0</v>
      </c>
      <c r="M160" s="71">
        <v>0</v>
      </c>
      <c r="N160" s="71">
        <v>0</v>
      </c>
    </row>
    <row r="161" spans="1:14" x14ac:dyDescent="0.25">
      <c r="A161" s="12">
        <v>160</v>
      </c>
      <c r="B161" s="60" t="s">
        <v>293</v>
      </c>
      <c r="C161" s="53">
        <v>10590</v>
      </c>
      <c r="D161" s="38" t="s">
        <v>372</v>
      </c>
      <c r="E161" s="38" t="s">
        <v>337</v>
      </c>
      <c r="F161" s="37" t="s">
        <v>286</v>
      </c>
      <c r="G161" s="69">
        <v>0</v>
      </c>
      <c r="H161" s="71">
        <v>0</v>
      </c>
      <c r="I161" s="71">
        <v>0</v>
      </c>
      <c r="J161" s="71">
        <v>0</v>
      </c>
      <c r="K161" s="71">
        <v>0</v>
      </c>
      <c r="L161" s="71">
        <v>0</v>
      </c>
      <c r="M161" s="71">
        <v>0</v>
      </c>
      <c r="N161" s="71">
        <v>0</v>
      </c>
    </row>
    <row r="162" spans="1:14" x14ac:dyDescent="0.25">
      <c r="A162" s="12">
        <v>161</v>
      </c>
      <c r="B162" s="60" t="s">
        <v>293</v>
      </c>
      <c r="C162" s="53">
        <v>10591</v>
      </c>
      <c r="D162" s="38" t="s">
        <v>140</v>
      </c>
      <c r="E162" s="38" t="s">
        <v>69</v>
      </c>
      <c r="F162" s="37" t="s">
        <v>284</v>
      </c>
      <c r="G162" s="69">
        <v>3320</v>
      </c>
      <c r="H162" s="71">
        <v>9280</v>
      </c>
      <c r="I162" s="71">
        <v>9360</v>
      </c>
      <c r="J162" s="71">
        <v>6300</v>
      </c>
      <c r="K162" s="71">
        <v>11875</v>
      </c>
      <c r="L162" s="71">
        <v>8880</v>
      </c>
      <c r="M162" s="71">
        <v>17280</v>
      </c>
      <c r="N162" s="71">
        <v>15750</v>
      </c>
    </row>
    <row r="163" spans="1:14" x14ac:dyDescent="0.25">
      <c r="A163" s="12">
        <v>162</v>
      </c>
      <c r="B163" s="60" t="s">
        <v>293</v>
      </c>
      <c r="C163" s="53">
        <v>10597</v>
      </c>
      <c r="D163" s="38" t="s">
        <v>373</v>
      </c>
      <c r="E163" s="38" t="s">
        <v>342</v>
      </c>
      <c r="F163" s="37" t="s">
        <v>287</v>
      </c>
      <c r="G163" s="69">
        <v>0</v>
      </c>
      <c r="H163" s="71">
        <v>0</v>
      </c>
      <c r="I163" s="71">
        <v>0</v>
      </c>
      <c r="J163" s="71">
        <v>0</v>
      </c>
      <c r="K163" s="71">
        <v>0</v>
      </c>
      <c r="L163" s="71">
        <v>0</v>
      </c>
      <c r="M163" s="71">
        <v>0</v>
      </c>
      <c r="N163" s="71">
        <v>0</v>
      </c>
    </row>
    <row r="164" spans="1:14" x14ac:dyDescent="0.25">
      <c r="A164" s="12">
        <v>163</v>
      </c>
      <c r="B164" s="60" t="s">
        <v>293</v>
      </c>
      <c r="C164" s="53">
        <v>10598</v>
      </c>
      <c r="D164" s="38" t="s">
        <v>374</v>
      </c>
      <c r="E164" s="38" t="s">
        <v>337</v>
      </c>
      <c r="F164" s="37" t="s">
        <v>286</v>
      </c>
      <c r="G164" s="69">
        <v>0</v>
      </c>
      <c r="H164" s="71">
        <v>0</v>
      </c>
      <c r="I164" s="71">
        <v>0</v>
      </c>
      <c r="J164" s="71">
        <v>0</v>
      </c>
      <c r="K164" s="71">
        <v>0</v>
      </c>
      <c r="L164" s="71">
        <v>0</v>
      </c>
      <c r="M164" s="71">
        <v>0</v>
      </c>
      <c r="N164" s="71">
        <v>0</v>
      </c>
    </row>
    <row r="165" spans="1:14" x14ac:dyDescent="0.25">
      <c r="A165" s="12">
        <v>164</v>
      </c>
      <c r="B165" s="60" t="s">
        <v>293</v>
      </c>
      <c r="C165" s="53">
        <v>10599</v>
      </c>
      <c r="D165" s="38" t="s">
        <v>375</v>
      </c>
      <c r="E165" s="38" t="s">
        <v>23</v>
      </c>
      <c r="F165" s="37" t="s">
        <v>279</v>
      </c>
      <c r="G165" s="69">
        <v>0</v>
      </c>
      <c r="H165" s="71">
        <v>0</v>
      </c>
      <c r="I165" s="71">
        <v>0</v>
      </c>
      <c r="J165" s="71">
        <v>0</v>
      </c>
      <c r="K165" s="71">
        <v>0</v>
      </c>
      <c r="L165" s="71">
        <v>0</v>
      </c>
      <c r="M165" s="71">
        <v>0</v>
      </c>
      <c r="N165" s="71">
        <v>0</v>
      </c>
    </row>
    <row r="166" spans="1:14" x14ac:dyDescent="0.25">
      <c r="A166" s="12">
        <v>165</v>
      </c>
      <c r="B166" s="60" t="s">
        <v>293</v>
      </c>
      <c r="C166" s="53">
        <v>10602</v>
      </c>
      <c r="D166" s="38" t="s">
        <v>415</v>
      </c>
      <c r="E166" s="38" t="s">
        <v>337</v>
      </c>
      <c r="F166" s="37" t="s">
        <v>281</v>
      </c>
      <c r="G166" s="69">
        <v>0</v>
      </c>
      <c r="H166" s="71">
        <v>0</v>
      </c>
      <c r="I166" s="71">
        <v>0</v>
      </c>
      <c r="J166" s="71">
        <v>0</v>
      </c>
      <c r="K166" s="71">
        <v>0</v>
      </c>
      <c r="L166" s="71">
        <v>0</v>
      </c>
      <c r="M166" s="71">
        <v>0</v>
      </c>
      <c r="N166" s="71">
        <v>0</v>
      </c>
    </row>
    <row r="167" spans="1:14" x14ac:dyDescent="0.25">
      <c r="A167" s="12">
        <v>166</v>
      </c>
      <c r="B167" s="60" t="s">
        <v>293</v>
      </c>
      <c r="C167" s="53">
        <v>10603</v>
      </c>
      <c r="D167" s="38" t="s">
        <v>354</v>
      </c>
      <c r="E167" s="38" t="s">
        <v>381</v>
      </c>
      <c r="F167" s="37" t="s">
        <v>290</v>
      </c>
      <c r="G167" s="69">
        <v>0</v>
      </c>
      <c r="H167" s="71">
        <v>0</v>
      </c>
      <c r="I167" s="71">
        <v>0</v>
      </c>
      <c r="J167" s="71">
        <v>0</v>
      </c>
      <c r="K167" s="71">
        <v>0</v>
      </c>
      <c r="L167" s="71">
        <v>0</v>
      </c>
      <c r="M167" s="71">
        <v>0</v>
      </c>
      <c r="N167" s="71">
        <v>0</v>
      </c>
    </row>
    <row r="168" spans="1:14" x14ac:dyDescent="0.25">
      <c r="A168" s="12">
        <v>167</v>
      </c>
      <c r="B168" s="60" t="s">
        <v>293</v>
      </c>
      <c r="C168" s="53">
        <v>10604</v>
      </c>
      <c r="D168" s="38" t="s">
        <v>380</v>
      </c>
      <c r="E168" s="38" t="s">
        <v>23</v>
      </c>
      <c r="F168" s="37" t="s">
        <v>279</v>
      </c>
      <c r="G168" s="69">
        <v>0</v>
      </c>
      <c r="H168" s="71">
        <v>0</v>
      </c>
      <c r="I168" s="71">
        <v>0</v>
      </c>
      <c r="J168" s="71">
        <v>0</v>
      </c>
      <c r="K168" s="71">
        <v>0</v>
      </c>
      <c r="L168" s="71">
        <v>0</v>
      </c>
      <c r="M168" s="71">
        <v>0</v>
      </c>
      <c r="N168" s="71">
        <v>0</v>
      </c>
    </row>
    <row r="169" spans="1:14" x14ac:dyDescent="0.25">
      <c r="A169" s="12">
        <v>168</v>
      </c>
      <c r="B169" s="62" t="s">
        <v>293</v>
      </c>
      <c r="C169" s="55">
        <v>10605</v>
      </c>
      <c r="D169" s="65" t="s">
        <v>382</v>
      </c>
      <c r="E169" s="65" t="s">
        <v>342</v>
      </c>
      <c r="F169" s="58" t="s">
        <v>287</v>
      </c>
      <c r="G169" s="69">
        <v>0</v>
      </c>
      <c r="H169" s="71">
        <v>0</v>
      </c>
      <c r="I169" s="71">
        <v>0</v>
      </c>
      <c r="J169" s="71">
        <v>0</v>
      </c>
      <c r="K169" s="71">
        <v>0</v>
      </c>
      <c r="L169" s="71">
        <v>0</v>
      </c>
      <c r="M169" s="71">
        <v>0</v>
      </c>
      <c r="N169" s="71">
        <v>0</v>
      </c>
    </row>
    <row r="170" spans="1:14" x14ac:dyDescent="0.25">
      <c r="A170" s="12">
        <v>169</v>
      </c>
      <c r="B170" s="60" t="s">
        <v>293</v>
      </c>
      <c r="C170" s="53">
        <v>10606</v>
      </c>
      <c r="D170" s="38" t="s">
        <v>383</v>
      </c>
      <c r="E170" s="38" t="s">
        <v>337</v>
      </c>
      <c r="F170" s="37" t="s">
        <v>286</v>
      </c>
      <c r="G170" s="69">
        <v>0</v>
      </c>
      <c r="H170" s="71">
        <v>0</v>
      </c>
      <c r="I170" s="71">
        <v>0</v>
      </c>
      <c r="J170" s="71">
        <v>0</v>
      </c>
      <c r="K170" s="71">
        <v>0</v>
      </c>
      <c r="L170" s="71">
        <v>0</v>
      </c>
      <c r="M170" s="71">
        <v>0</v>
      </c>
      <c r="N170" s="71">
        <v>0</v>
      </c>
    </row>
    <row r="171" spans="1:14" x14ac:dyDescent="0.25">
      <c r="A171" s="12">
        <v>170</v>
      </c>
      <c r="B171" s="60" t="s">
        <v>293</v>
      </c>
      <c r="C171" s="53">
        <v>10607</v>
      </c>
      <c r="D171" s="38" t="s">
        <v>384</v>
      </c>
      <c r="E171" s="38" t="s">
        <v>347</v>
      </c>
      <c r="F171" s="37" t="s">
        <v>278</v>
      </c>
      <c r="G171" s="69">
        <v>0</v>
      </c>
      <c r="H171" s="71">
        <v>0</v>
      </c>
      <c r="I171" s="71">
        <v>0</v>
      </c>
      <c r="J171" s="71">
        <v>0</v>
      </c>
      <c r="K171" s="71">
        <v>0</v>
      </c>
      <c r="L171" s="71">
        <v>0</v>
      </c>
      <c r="M171" s="71">
        <v>0</v>
      </c>
      <c r="N171" s="71">
        <v>0</v>
      </c>
    </row>
    <row r="172" spans="1:14" x14ac:dyDescent="0.25">
      <c r="A172" s="12">
        <v>171</v>
      </c>
      <c r="B172" s="60" t="s">
        <v>293</v>
      </c>
      <c r="C172" s="53">
        <v>10608</v>
      </c>
      <c r="D172" s="38" t="s">
        <v>385</v>
      </c>
      <c r="E172" s="38" t="s">
        <v>392</v>
      </c>
      <c r="F172" s="37" t="s">
        <v>282</v>
      </c>
      <c r="G172" s="69">
        <v>0</v>
      </c>
      <c r="H172" s="71">
        <v>0</v>
      </c>
      <c r="I172" s="71">
        <v>0</v>
      </c>
      <c r="J172" s="71">
        <v>0</v>
      </c>
      <c r="K172" s="71">
        <v>0</v>
      </c>
      <c r="L172" s="71">
        <v>0</v>
      </c>
      <c r="M172" s="71">
        <v>0</v>
      </c>
      <c r="N172" s="71">
        <v>0</v>
      </c>
    </row>
    <row r="173" spans="1:14" x14ac:dyDescent="0.25">
      <c r="A173" s="12">
        <v>172</v>
      </c>
      <c r="B173" s="60" t="s">
        <v>293</v>
      </c>
      <c r="C173" s="53">
        <v>10609</v>
      </c>
      <c r="D173" s="38" t="s">
        <v>386</v>
      </c>
      <c r="E173" s="38" t="s">
        <v>393</v>
      </c>
      <c r="F173" s="37" t="s">
        <v>287</v>
      </c>
      <c r="G173" s="69">
        <v>0</v>
      </c>
      <c r="H173" s="71">
        <v>0</v>
      </c>
      <c r="I173" s="71">
        <v>0</v>
      </c>
      <c r="J173" s="71">
        <v>0</v>
      </c>
      <c r="K173" s="71">
        <v>0</v>
      </c>
      <c r="L173" s="71">
        <v>0</v>
      </c>
      <c r="M173" s="71">
        <v>0</v>
      </c>
      <c r="N173" s="71">
        <v>0</v>
      </c>
    </row>
    <row r="174" spans="1:14" x14ac:dyDescent="0.25">
      <c r="A174" s="12">
        <v>173</v>
      </c>
      <c r="B174" s="60" t="s">
        <v>293</v>
      </c>
      <c r="C174" s="53">
        <v>10610</v>
      </c>
      <c r="D174" s="38" t="s">
        <v>161</v>
      </c>
      <c r="E174" s="38" t="s">
        <v>370</v>
      </c>
      <c r="F174" s="37" t="s">
        <v>276</v>
      </c>
      <c r="G174" s="69">
        <v>0</v>
      </c>
      <c r="H174" s="71">
        <v>0</v>
      </c>
      <c r="I174" s="71">
        <v>0</v>
      </c>
      <c r="J174" s="71">
        <v>0</v>
      </c>
      <c r="K174" s="71">
        <v>0</v>
      </c>
      <c r="L174" s="71">
        <v>0</v>
      </c>
      <c r="M174" s="71">
        <v>0</v>
      </c>
      <c r="N174" s="71">
        <v>0</v>
      </c>
    </row>
    <row r="175" spans="1:14" x14ac:dyDescent="0.25">
      <c r="A175" s="12">
        <v>174</v>
      </c>
      <c r="B175" s="60" t="s">
        <v>293</v>
      </c>
      <c r="C175" s="53">
        <v>10612</v>
      </c>
      <c r="D175" s="38" t="s">
        <v>388</v>
      </c>
      <c r="E175" s="38" t="s">
        <v>53</v>
      </c>
      <c r="F175" s="37" t="s">
        <v>275</v>
      </c>
      <c r="G175" s="69">
        <v>0</v>
      </c>
      <c r="H175" s="71">
        <v>0</v>
      </c>
      <c r="I175" s="71">
        <v>0</v>
      </c>
      <c r="J175" s="71">
        <v>0</v>
      </c>
      <c r="K175" s="71">
        <v>0</v>
      </c>
      <c r="L175" s="71">
        <v>0</v>
      </c>
      <c r="M175" s="71">
        <v>0</v>
      </c>
      <c r="N175" s="71">
        <v>0</v>
      </c>
    </row>
    <row r="176" spans="1:14" x14ac:dyDescent="0.25">
      <c r="A176" s="12">
        <v>175</v>
      </c>
      <c r="B176" s="60" t="s">
        <v>293</v>
      </c>
      <c r="C176" s="53">
        <v>10617</v>
      </c>
      <c r="D176" s="38" t="s">
        <v>390</v>
      </c>
      <c r="E176" s="38" t="s">
        <v>348</v>
      </c>
      <c r="F176" s="37" t="s">
        <v>391</v>
      </c>
      <c r="G176" s="69">
        <v>0</v>
      </c>
      <c r="H176" s="71">
        <v>0</v>
      </c>
      <c r="I176" s="71">
        <v>0</v>
      </c>
      <c r="J176" s="71">
        <v>0</v>
      </c>
      <c r="K176" s="71">
        <v>0</v>
      </c>
      <c r="L176" s="71">
        <v>0</v>
      </c>
      <c r="M176" s="71">
        <v>0</v>
      </c>
      <c r="N176" s="71">
        <v>0</v>
      </c>
    </row>
    <row r="177" spans="1:14" x14ac:dyDescent="0.25">
      <c r="A177" s="12">
        <v>176</v>
      </c>
      <c r="B177" s="60" t="s">
        <v>293</v>
      </c>
      <c r="C177" s="53">
        <v>10618</v>
      </c>
      <c r="D177" s="38" t="s">
        <v>416</v>
      </c>
      <c r="E177" s="38" t="s">
        <v>41</v>
      </c>
      <c r="F177" s="37" t="s">
        <v>282</v>
      </c>
      <c r="G177" s="69">
        <v>0</v>
      </c>
      <c r="H177" s="71">
        <v>0</v>
      </c>
      <c r="I177" s="71">
        <v>0</v>
      </c>
      <c r="J177" s="71">
        <v>0</v>
      </c>
      <c r="K177" s="71">
        <v>0</v>
      </c>
      <c r="L177" s="71">
        <v>0</v>
      </c>
      <c r="M177" s="71">
        <v>0</v>
      </c>
      <c r="N177" s="71">
        <v>0</v>
      </c>
    </row>
    <row r="178" spans="1:14" x14ac:dyDescent="0.25">
      <c r="A178" s="12">
        <v>177</v>
      </c>
      <c r="B178" s="60" t="s">
        <v>293</v>
      </c>
      <c r="C178" s="53">
        <v>10619</v>
      </c>
      <c r="D178" s="38" t="s">
        <v>396</v>
      </c>
      <c r="E178" s="38" t="s">
        <v>449</v>
      </c>
      <c r="F178" s="37" t="s">
        <v>409</v>
      </c>
      <c r="G178" s="69">
        <v>0</v>
      </c>
      <c r="H178" s="71">
        <v>0</v>
      </c>
      <c r="I178" s="71">
        <v>0</v>
      </c>
      <c r="J178" s="71">
        <v>0</v>
      </c>
      <c r="K178" s="71">
        <v>0</v>
      </c>
      <c r="L178" s="71">
        <v>0</v>
      </c>
      <c r="M178" s="71">
        <v>0</v>
      </c>
      <c r="N178" s="71">
        <v>0</v>
      </c>
    </row>
    <row r="179" spans="1:14" x14ac:dyDescent="0.25">
      <c r="A179" s="12">
        <v>178</v>
      </c>
      <c r="B179" s="60" t="s">
        <v>293</v>
      </c>
      <c r="C179" s="53">
        <v>10620</v>
      </c>
      <c r="D179" s="38" t="s">
        <v>123</v>
      </c>
      <c r="E179" s="38" t="s">
        <v>23</v>
      </c>
      <c r="F179" s="37" t="s">
        <v>279</v>
      </c>
      <c r="G179" s="69">
        <v>0</v>
      </c>
      <c r="H179" s="71">
        <v>0</v>
      </c>
      <c r="I179" s="71">
        <v>0</v>
      </c>
      <c r="J179" s="71">
        <v>0</v>
      </c>
      <c r="K179" s="71">
        <v>0</v>
      </c>
      <c r="L179" s="71">
        <v>0</v>
      </c>
      <c r="M179" s="71">
        <v>0</v>
      </c>
      <c r="N179" s="71">
        <v>0</v>
      </c>
    </row>
    <row r="180" spans="1:14" x14ac:dyDescent="0.25">
      <c r="A180" s="12">
        <v>179</v>
      </c>
      <c r="B180" s="60" t="s">
        <v>293</v>
      </c>
      <c r="C180" s="53">
        <v>10621</v>
      </c>
      <c r="D180" s="38" t="s">
        <v>417</v>
      </c>
      <c r="E180" s="38" t="s">
        <v>55</v>
      </c>
      <c r="F180" s="37" t="s">
        <v>410</v>
      </c>
      <c r="G180" s="69">
        <v>0</v>
      </c>
      <c r="H180" s="71">
        <v>0</v>
      </c>
      <c r="I180" s="71">
        <v>0</v>
      </c>
      <c r="J180" s="71">
        <v>0</v>
      </c>
      <c r="K180" s="71">
        <v>0</v>
      </c>
      <c r="L180" s="71">
        <v>0</v>
      </c>
      <c r="M180" s="71">
        <v>0</v>
      </c>
      <c r="N180" s="71">
        <v>0</v>
      </c>
    </row>
    <row r="181" spans="1:14" x14ac:dyDescent="0.25">
      <c r="A181" s="12">
        <v>180</v>
      </c>
      <c r="B181" s="60" t="s">
        <v>293</v>
      </c>
      <c r="C181" s="53">
        <v>10622</v>
      </c>
      <c r="D181" s="38" t="s">
        <v>397</v>
      </c>
      <c r="E181" s="38" t="s">
        <v>55</v>
      </c>
      <c r="F181" s="37" t="s">
        <v>275</v>
      </c>
      <c r="G181" s="69">
        <v>0</v>
      </c>
      <c r="H181" s="71">
        <v>0</v>
      </c>
      <c r="I181" s="71">
        <v>0</v>
      </c>
      <c r="J181" s="71">
        <v>0</v>
      </c>
      <c r="K181" s="71">
        <v>0</v>
      </c>
      <c r="L181" s="71">
        <v>0</v>
      </c>
      <c r="M181" s="71">
        <v>0</v>
      </c>
      <c r="N181" s="71">
        <v>0</v>
      </c>
    </row>
    <row r="182" spans="1:14" x14ac:dyDescent="0.25">
      <c r="A182" s="12">
        <v>181</v>
      </c>
      <c r="B182" s="60" t="s">
        <v>293</v>
      </c>
      <c r="C182" s="53">
        <v>10623</v>
      </c>
      <c r="D182" s="38" t="s">
        <v>418</v>
      </c>
      <c r="E182" s="38" t="s">
        <v>398</v>
      </c>
      <c r="F182" s="37" t="s">
        <v>280</v>
      </c>
      <c r="G182" s="69">
        <v>0</v>
      </c>
      <c r="H182" s="71">
        <v>0</v>
      </c>
      <c r="I182" s="71">
        <v>0</v>
      </c>
      <c r="J182" s="71">
        <v>0</v>
      </c>
      <c r="K182" s="71">
        <v>0</v>
      </c>
      <c r="L182" s="71">
        <v>0</v>
      </c>
      <c r="M182" s="71">
        <v>0</v>
      </c>
      <c r="N182" s="71">
        <v>0</v>
      </c>
    </row>
    <row r="183" spans="1:14" x14ac:dyDescent="0.25">
      <c r="A183" s="12">
        <v>182</v>
      </c>
      <c r="B183" s="60" t="s">
        <v>293</v>
      </c>
      <c r="C183" s="53">
        <v>10626</v>
      </c>
      <c r="D183" s="38" t="s">
        <v>238</v>
      </c>
      <c r="E183" s="38" t="s">
        <v>23</v>
      </c>
      <c r="F183" s="37" t="s">
        <v>279</v>
      </c>
      <c r="G183" s="69">
        <v>0</v>
      </c>
      <c r="H183" s="71">
        <v>0</v>
      </c>
      <c r="I183" s="71">
        <v>0</v>
      </c>
      <c r="J183" s="71">
        <v>0</v>
      </c>
      <c r="K183" s="71">
        <v>0</v>
      </c>
      <c r="L183" s="71">
        <v>0</v>
      </c>
      <c r="M183" s="71">
        <v>0</v>
      </c>
      <c r="N183" s="71">
        <v>0</v>
      </c>
    </row>
    <row r="184" spans="1:14" x14ac:dyDescent="0.25">
      <c r="A184" s="12">
        <v>183</v>
      </c>
      <c r="B184" s="60" t="s">
        <v>293</v>
      </c>
      <c r="C184" s="53">
        <v>10627</v>
      </c>
      <c r="D184" s="38" t="s">
        <v>419</v>
      </c>
      <c r="E184" s="38" t="s">
        <v>23</v>
      </c>
      <c r="F184" s="37" t="s">
        <v>279</v>
      </c>
      <c r="G184" s="69">
        <v>0</v>
      </c>
      <c r="H184" s="71">
        <v>0</v>
      </c>
      <c r="I184" s="71">
        <v>0</v>
      </c>
      <c r="J184" s="71">
        <v>0</v>
      </c>
      <c r="K184" s="71">
        <v>0</v>
      </c>
      <c r="L184" s="71">
        <v>0</v>
      </c>
      <c r="M184" s="71">
        <v>0</v>
      </c>
      <c r="N184" s="71">
        <v>0</v>
      </c>
    </row>
    <row r="185" spans="1:14" x14ac:dyDescent="0.25">
      <c r="A185" s="12">
        <v>184</v>
      </c>
      <c r="B185" s="60" t="s">
        <v>293</v>
      </c>
      <c r="C185" s="53">
        <v>10629</v>
      </c>
      <c r="D185" s="38" t="s">
        <v>420</v>
      </c>
      <c r="E185" s="38" t="s">
        <v>319</v>
      </c>
      <c r="F185" s="37" t="s">
        <v>277</v>
      </c>
      <c r="G185" s="69">
        <v>0</v>
      </c>
      <c r="H185" s="71">
        <v>0</v>
      </c>
      <c r="I185" s="71">
        <v>0</v>
      </c>
      <c r="J185" s="71">
        <v>0</v>
      </c>
      <c r="K185" s="71">
        <v>0</v>
      </c>
      <c r="L185" s="71">
        <v>0</v>
      </c>
      <c r="M185" s="71">
        <v>0</v>
      </c>
      <c r="N185" s="71">
        <v>0</v>
      </c>
    </row>
    <row r="186" spans="1:14" x14ac:dyDescent="0.25">
      <c r="A186" s="12">
        <v>185</v>
      </c>
      <c r="B186" s="60" t="s">
        <v>293</v>
      </c>
      <c r="C186" s="53">
        <v>10630</v>
      </c>
      <c r="D186" s="38" t="s">
        <v>399</v>
      </c>
      <c r="E186" s="38" t="s">
        <v>23</v>
      </c>
      <c r="F186" s="37" t="s">
        <v>279</v>
      </c>
      <c r="G186" s="69">
        <v>0</v>
      </c>
      <c r="H186" s="71">
        <v>0</v>
      </c>
      <c r="I186" s="71">
        <v>0</v>
      </c>
      <c r="J186" s="71">
        <v>0</v>
      </c>
      <c r="K186" s="71">
        <v>0</v>
      </c>
      <c r="L186" s="71">
        <v>0</v>
      </c>
      <c r="M186" s="71">
        <v>0</v>
      </c>
      <c r="N186" s="71">
        <v>0</v>
      </c>
    </row>
    <row r="187" spans="1:14" x14ac:dyDescent="0.25">
      <c r="A187" s="12">
        <v>186</v>
      </c>
      <c r="B187" s="63" t="s">
        <v>293</v>
      </c>
      <c r="C187" s="56">
        <v>10631</v>
      </c>
      <c r="D187" s="66" t="s">
        <v>421</v>
      </c>
      <c r="E187" s="66" t="s">
        <v>69</v>
      </c>
      <c r="F187" s="59" t="s">
        <v>284</v>
      </c>
      <c r="G187" s="69">
        <v>8880</v>
      </c>
      <c r="H187" s="71">
        <v>46000</v>
      </c>
      <c r="I187" s="71">
        <v>43400</v>
      </c>
      <c r="J187" s="71">
        <v>43200</v>
      </c>
      <c r="K187" s="71">
        <v>28900</v>
      </c>
      <c r="L187" s="71">
        <v>40425</v>
      </c>
      <c r="M187" s="71">
        <v>40600</v>
      </c>
      <c r="N187" s="71">
        <v>36210</v>
      </c>
    </row>
    <row r="188" spans="1:14" x14ac:dyDescent="0.25">
      <c r="A188" s="12">
        <v>187</v>
      </c>
      <c r="B188" s="63" t="s">
        <v>293</v>
      </c>
      <c r="C188" s="56">
        <v>10633</v>
      </c>
      <c r="D188" s="66" t="s">
        <v>401</v>
      </c>
      <c r="E188" s="66" t="s">
        <v>23</v>
      </c>
      <c r="F188" s="59" t="s">
        <v>279</v>
      </c>
      <c r="G188" s="69">
        <v>0</v>
      </c>
      <c r="H188" s="71">
        <v>0</v>
      </c>
      <c r="I188" s="71">
        <v>0</v>
      </c>
      <c r="J188" s="71">
        <v>0</v>
      </c>
      <c r="K188" s="71">
        <v>0</v>
      </c>
      <c r="L188" s="71">
        <v>0</v>
      </c>
      <c r="M188" s="71">
        <v>0</v>
      </c>
      <c r="N188" s="71">
        <v>0</v>
      </c>
    </row>
    <row r="189" spans="1:14" x14ac:dyDescent="0.25">
      <c r="A189" s="12">
        <v>188</v>
      </c>
      <c r="B189" s="63" t="s">
        <v>293</v>
      </c>
      <c r="C189" s="56">
        <v>10634</v>
      </c>
      <c r="D189" s="66" t="s">
        <v>402</v>
      </c>
      <c r="E189" s="66" t="s">
        <v>23</v>
      </c>
      <c r="F189" s="59" t="s">
        <v>279</v>
      </c>
      <c r="G189" s="69">
        <v>0</v>
      </c>
      <c r="H189" s="71">
        <v>0</v>
      </c>
      <c r="I189" s="71">
        <v>0</v>
      </c>
      <c r="J189" s="71">
        <v>0</v>
      </c>
      <c r="K189" s="71">
        <v>0</v>
      </c>
      <c r="L189" s="71">
        <v>0</v>
      </c>
      <c r="M189" s="71">
        <v>0</v>
      </c>
      <c r="N189" s="71">
        <v>0</v>
      </c>
    </row>
    <row r="190" spans="1:14" x14ac:dyDescent="0.25">
      <c r="A190" s="12">
        <v>189</v>
      </c>
      <c r="B190" s="63" t="s">
        <v>293</v>
      </c>
      <c r="C190" s="56">
        <v>10635</v>
      </c>
      <c r="D190" s="66" t="s">
        <v>403</v>
      </c>
      <c r="E190" s="66" t="s">
        <v>23</v>
      </c>
      <c r="F190" s="59" t="s">
        <v>279</v>
      </c>
      <c r="G190" s="69">
        <v>0</v>
      </c>
      <c r="H190" s="71">
        <v>0</v>
      </c>
      <c r="I190" s="71">
        <v>0</v>
      </c>
      <c r="J190" s="71">
        <v>0</v>
      </c>
      <c r="K190" s="71">
        <v>0</v>
      </c>
      <c r="L190" s="71">
        <v>0</v>
      </c>
      <c r="M190" s="71">
        <v>0</v>
      </c>
      <c r="N190" s="71">
        <v>0</v>
      </c>
    </row>
    <row r="191" spans="1:14" x14ac:dyDescent="0.25">
      <c r="A191" s="12">
        <v>190</v>
      </c>
      <c r="B191" s="63" t="s">
        <v>293</v>
      </c>
      <c r="C191" s="56">
        <v>10636</v>
      </c>
      <c r="D191" s="66" t="s">
        <v>422</v>
      </c>
      <c r="E191" s="66" t="s">
        <v>450</v>
      </c>
      <c r="F191" s="59" t="s">
        <v>287</v>
      </c>
      <c r="G191" s="69">
        <v>0</v>
      </c>
      <c r="H191" s="71">
        <v>0</v>
      </c>
      <c r="I191" s="71">
        <v>0</v>
      </c>
      <c r="J191" s="71">
        <v>0</v>
      </c>
      <c r="K191" s="71">
        <v>0</v>
      </c>
      <c r="L191" s="71">
        <v>0</v>
      </c>
      <c r="M191" s="71">
        <v>0</v>
      </c>
      <c r="N191" s="71">
        <v>0</v>
      </c>
    </row>
    <row r="192" spans="1:14" x14ac:dyDescent="0.25">
      <c r="A192" s="12">
        <v>191</v>
      </c>
      <c r="B192" s="63" t="s">
        <v>293</v>
      </c>
      <c r="C192" s="56">
        <v>10637</v>
      </c>
      <c r="D192" s="66" t="s">
        <v>404</v>
      </c>
      <c r="E192" s="66" t="s">
        <v>23</v>
      </c>
      <c r="F192" s="59" t="s">
        <v>279</v>
      </c>
      <c r="G192" s="69">
        <v>0</v>
      </c>
      <c r="H192" s="71">
        <v>0</v>
      </c>
      <c r="I192" s="71">
        <v>0</v>
      </c>
      <c r="J192" s="71">
        <v>0</v>
      </c>
      <c r="K192" s="71">
        <v>0</v>
      </c>
      <c r="L192" s="71">
        <v>0</v>
      </c>
      <c r="M192" s="71">
        <v>0</v>
      </c>
      <c r="N192" s="71">
        <v>0</v>
      </c>
    </row>
    <row r="193" spans="1:14" x14ac:dyDescent="0.25">
      <c r="A193" s="12">
        <v>192</v>
      </c>
      <c r="B193" s="63" t="s">
        <v>293</v>
      </c>
      <c r="C193" s="56">
        <v>10638</v>
      </c>
      <c r="D193" s="66" t="s">
        <v>405</v>
      </c>
      <c r="E193" s="66" t="s">
        <v>23</v>
      </c>
      <c r="F193" s="59" t="s">
        <v>279</v>
      </c>
      <c r="G193" s="69">
        <v>0</v>
      </c>
      <c r="H193" s="71">
        <v>0</v>
      </c>
      <c r="I193" s="71">
        <v>0</v>
      </c>
      <c r="J193" s="71">
        <v>0</v>
      </c>
      <c r="K193" s="71">
        <v>0</v>
      </c>
      <c r="L193" s="71">
        <v>0</v>
      </c>
      <c r="M193" s="71">
        <v>0</v>
      </c>
      <c r="N193" s="71">
        <v>0</v>
      </c>
    </row>
    <row r="194" spans="1:14" x14ac:dyDescent="0.25">
      <c r="A194" s="12">
        <v>193</v>
      </c>
      <c r="B194" s="63" t="s">
        <v>293</v>
      </c>
      <c r="C194" s="56">
        <v>10639</v>
      </c>
      <c r="D194" s="66" t="s">
        <v>406</v>
      </c>
      <c r="E194" s="66" t="s">
        <v>23</v>
      </c>
      <c r="F194" s="59" t="s">
        <v>279</v>
      </c>
      <c r="G194" s="69">
        <v>0</v>
      </c>
      <c r="H194" s="71">
        <v>0</v>
      </c>
      <c r="I194" s="71">
        <v>0</v>
      </c>
      <c r="J194" s="71">
        <v>0</v>
      </c>
      <c r="K194" s="71">
        <v>0</v>
      </c>
      <c r="L194" s="71">
        <v>0</v>
      </c>
      <c r="M194" s="71">
        <v>0</v>
      </c>
      <c r="N194" s="71">
        <v>0</v>
      </c>
    </row>
    <row r="195" spans="1:14" x14ac:dyDescent="0.25">
      <c r="A195" s="12">
        <v>194</v>
      </c>
      <c r="B195" s="63" t="s">
        <v>293</v>
      </c>
      <c r="C195" s="56">
        <v>10640</v>
      </c>
      <c r="D195" s="66" t="s">
        <v>407</v>
      </c>
      <c r="E195" s="66" t="s">
        <v>149</v>
      </c>
      <c r="F195" s="59" t="s">
        <v>280</v>
      </c>
      <c r="G195" s="69">
        <v>0</v>
      </c>
      <c r="H195" s="71">
        <v>0</v>
      </c>
      <c r="I195" s="71">
        <v>0</v>
      </c>
      <c r="J195" s="71">
        <v>0</v>
      </c>
      <c r="K195" s="71">
        <v>0</v>
      </c>
      <c r="L195" s="71">
        <v>0</v>
      </c>
      <c r="M195" s="71">
        <v>0</v>
      </c>
      <c r="N195" s="71">
        <v>0</v>
      </c>
    </row>
    <row r="196" spans="1:14" x14ac:dyDescent="0.25">
      <c r="A196" s="12">
        <v>195</v>
      </c>
      <c r="B196" s="63" t="s">
        <v>293</v>
      </c>
      <c r="C196" s="56">
        <v>10641</v>
      </c>
      <c r="D196" s="66" t="s">
        <v>408</v>
      </c>
      <c r="E196" s="66" t="s">
        <v>149</v>
      </c>
      <c r="F196" s="59" t="s">
        <v>280</v>
      </c>
      <c r="G196" s="69">
        <v>0</v>
      </c>
      <c r="H196" s="71">
        <v>0</v>
      </c>
      <c r="I196" s="71">
        <v>0</v>
      </c>
      <c r="J196" s="71">
        <v>0</v>
      </c>
      <c r="K196" s="71">
        <v>0</v>
      </c>
      <c r="L196" s="71">
        <v>0</v>
      </c>
      <c r="M196" s="71">
        <v>0</v>
      </c>
      <c r="N196" s="71">
        <v>0</v>
      </c>
    </row>
    <row r="197" spans="1:14" x14ac:dyDescent="0.25">
      <c r="A197" s="12">
        <v>196</v>
      </c>
      <c r="B197" s="60" t="s">
        <v>293</v>
      </c>
      <c r="C197" s="53">
        <v>10294</v>
      </c>
      <c r="D197" s="38" t="s">
        <v>191</v>
      </c>
      <c r="E197" s="38" t="s">
        <v>69</v>
      </c>
      <c r="F197" s="37" t="s">
        <v>284</v>
      </c>
      <c r="G197" s="69">
        <v>0</v>
      </c>
      <c r="H197" s="71">
        <v>0</v>
      </c>
      <c r="I197" s="71">
        <v>0</v>
      </c>
      <c r="J197" s="71">
        <v>0</v>
      </c>
      <c r="K197" s="71">
        <v>0</v>
      </c>
      <c r="L197" s="71">
        <v>0</v>
      </c>
      <c r="M197" s="71">
        <v>0</v>
      </c>
      <c r="N197" s="71">
        <v>0</v>
      </c>
    </row>
    <row r="198" spans="1:14" x14ac:dyDescent="0.25">
      <c r="A198" s="12">
        <v>197</v>
      </c>
      <c r="B198" s="60" t="s">
        <v>293</v>
      </c>
      <c r="C198" s="53">
        <v>10295</v>
      </c>
      <c r="D198" s="38" t="s">
        <v>192</v>
      </c>
      <c r="E198" s="38" t="s">
        <v>69</v>
      </c>
      <c r="F198" s="37" t="s">
        <v>284</v>
      </c>
      <c r="G198" s="69">
        <v>1500</v>
      </c>
      <c r="H198" s="71">
        <v>1620</v>
      </c>
      <c r="I198" s="71">
        <v>0</v>
      </c>
      <c r="J198" s="71">
        <v>0</v>
      </c>
      <c r="K198" s="71">
        <v>0</v>
      </c>
      <c r="L198" s="71">
        <v>0</v>
      </c>
      <c r="M198" s="71">
        <v>0</v>
      </c>
      <c r="N198" s="71">
        <v>0</v>
      </c>
    </row>
    <row r="199" spans="1:14" x14ac:dyDescent="0.25">
      <c r="A199" s="12">
        <v>198</v>
      </c>
      <c r="B199" s="60" t="s">
        <v>295</v>
      </c>
      <c r="C199" s="53">
        <v>10063</v>
      </c>
      <c r="D199" s="38" t="s">
        <v>193</v>
      </c>
      <c r="E199" s="38" t="s">
        <v>378</v>
      </c>
      <c r="F199" s="37" t="s">
        <v>283</v>
      </c>
      <c r="G199" s="69">
        <v>0</v>
      </c>
      <c r="H199" s="71">
        <v>0</v>
      </c>
      <c r="I199" s="71">
        <v>0</v>
      </c>
      <c r="J199" s="71">
        <v>0</v>
      </c>
      <c r="K199" s="71">
        <v>0</v>
      </c>
      <c r="L199" s="71">
        <v>0</v>
      </c>
      <c r="M199" s="71">
        <v>0</v>
      </c>
      <c r="N199" s="71">
        <v>0</v>
      </c>
    </row>
    <row r="200" spans="1:14" x14ac:dyDescent="0.25">
      <c r="A200" s="12">
        <v>199</v>
      </c>
      <c r="B200" s="60" t="s">
        <v>295</v>
      </c>
      <c r="C200" s="53">
        <v>10387</v>
      </c>
      <c r="D200" s="38" t="s">
        <v>101</v>
      </c>
      <c r="E200" s="38" t="s">
        <v>129</v>
      </c>
      <c r="F200" s="37" t="s">
        <v>284</v>
      </c>
      <c r="G200" s="69">
        <v>0</v>
      </c>
      <c r="H200" s="71">
        <v>0</v>
      </c>
      <c r="I200" s="71">
        <v>0</v>
      </c>
      <c r="J200" s="71">
        <v>0</v>
      </c>
      <c r="K200" s="71">
        <v>0</v>
      </c>
      <c r="L200" s="71">
        <v>0</v>
      </c>
      <c r="M200" s="71">
        <v>0</v>
      </c>
      <c r="N200" s="71">
        <v>0</v>
      </c>
    </row>
    <row r="201" spans="1:14" x14ac:dyDescent="0.25">
      <c r="A201" s="12">
        <v>200</v>
      </c>
      <c r="B201" s="60" t="s">
        <v>295</v>
      </c>
      <c r="C201" s="53">
        <v>10067</v>
      </c>
      <c r="D201" s="38" t="s">
        <v>194</v>
      </c>
      <c r="E201" s="38" t="s">
        <v>69</v>
      </c>
      <c r="F201" s="37" t="s">
        <v>284</v>
      </c>
      <c r="G201" s="69">
        <v>4850</v>
      </c>
      <c r="H201" s="71">
        <v>6180</v>
      </c>
      <c r="I201" s="71">
        <v>3560</v>
      </c>
      <c r="J201" s="71">
        <v>4700</v>
      </c>
      <c r="K201" s="71">
        <v>4800</v>
      </c>
      <c r="L201" s="71">
        <v>4400</v>
      </c>
      <c r="M201" s="71">
        <v>4365</v>
      </c>
      <c r="N201" s="71">
        <v>2430</v>
      </c>
    </row>
    <row r="202" spans="1:14" x14ac:dyDescent="0.25">
      <c r="A202" s="12">
        <v>201</v>
      </c>
      <c r="B202" s="60" t="s">
        <v>295</v>
      </c>
      <c r="C202" s="53">
        <v>10411</v>
      </c>
      <c r="D202" s="38" t="s">
        <v>195</v>
      </c>
      <c r="E202" s="38" t="s">
        <v>69</v>
      </c>
      <c r="F202" s="37" t="s">
        <v>284</v>
      </c>
      <c r="G202" s="69">
        <v>0</v>
      </c>
      <c r="H202" s="71">
        <v>0</v>
      </c>
      <c r="I202" s="71">
        <v>0</v>
      </c>
      <c r="J202" s="71">
        <v>0</v>
      </c>
      <c r="K202" s="71">
        <v>0</v>
      </c>
      <c r="L202" s="71">
        <v>0</v>
      </c>
      <c r="M202" s="71">
        <v>0</v>
      </c>
      <c r="N202" s="71">
        <v>0</v>
      </c>
    </row>
    <row r="203" spans="1:14" x14ac:dyDescent="0.25">
      <c r="A203" s="12">
        <v>202</v>
      </c>
      <c r="B203" s="60" t="s">
        <v>295</v>
      </c>
      <c r="C203" s="53">
        <v>10075</v>
      </c>
      <c r="D203" s="38" t="s">
        <v>196</v>
      </c>
      <c r="E203" s="38" t="s">
        <v>197</v>
      </c>
      <c r="F203" s="37" t="s">
        <v>275</v>
      </c>
      <c r="G203" s="69">
        <v>0</v>
      </c>
      <c r="H203" s="71">
        <v>0</v>
      </c>
      <c r="I203" s="71">
        <v>0</v>
      </c>
      <c r="J203" s="71">
        <v>0</v>
      </c>
      <c r="K203" s="71">
        <v>0</v>
      </c>
      <c r="L203" s="71">
        <v>0</v>
      </c>
      <c r="M203" s="71">
        <v>0</v>
      </c>
      <c r="N203" s="71">
        <v>0</v>
      </c>
    </row>
    <row r="204" spans="1:14" x14ac:dyDescent="0.25">
      <c r="A204" s="12">
        <v>203</v>
      </c>
      <c r="B204" s="60" t="s">
        <v>295</v>
      </c>
      <c r="C204" s="53">
        <v>10301</v>
      </c>
      <c r="D204" s="38" t="s">
        <v>198</v>
      </c>
      <c r="E204" s="38" t="s">
        <v>106</v>
      </c>
      <c r="F204" s="37" t="s">
        <v>275</v>
      </c>
      <c r="G204" s="69">
        <v>0</v>
      </c>
      <c r="H204" s="71">
        <v>0</v>
      </c>
      <c r="I204" s="71">
        <v>0</v>
      </c>
      <c r="J204" s="71">
        <v>0</v>
      </c>
      <c r="K204" s="71">
        <v>0</v>
      </c>
      <c r="L204" s="71">
        <v>0</v>
      </c>
      <c r="M204" s="71">
        <v>0</v>
      </c>
      <c r="N204" s="71">
        <v>0</v>
      </c>
    </row>
    <row r="205" spans="1:14" x14ac:dyDescent="0.25">
      <c r="A205" s="12">
        <v>204</v>
      </c>
      <c r="B205" s="60" t="s">
        <v>295</v>
      </c>
      <c r="C205" s="53">
        <v>10076</v>
      </c>
      <c r="D205" s="38" t="s">
        <v>199</v>
      </c>
      <c r="E205" s="38" t="s">
        <v>199</v>
      </c>
      <c r="F205" s="37" t="s">
        <v>275</v>
      </c>
      <c r="G205" s="69">
        <v>0</v>
      </c>
      <c r="H205" s="71">
        <v>0</v>
      </c>
      <c r="I205" s="71">
        <v>0</v>
      </c>
      <c r="J205" s="71">
        <v>0</v>
      </c>
      <c r="K205" s="71">
        <v>0</v>
      </c>
      <c r="L205" s="71">
        <v>0</v>
      </c>
      <c r="M205" s="71">
        <v>0</v>
      </c>
      <c r="N205" s="71">
        <v>0</v>
      </c>
    </row>
    <row r="206" spans="1:14" x14ac:dyDescent="0.25">
      <c r="A206" s="12">
        <v>205</v>
      </c>
      <c r="B206" s="60" t="s">
        <v>295</v>
      </c>
      <c r="C206" s="53">
        <v>10156</v>
      </c>
      <c r="D206" s="38" t="s">
        <v>200</v>
      </c>
      <c r="E206" s="38" t="s">
        <v>69</v>
      </c>
      <c r="F206" s="37" t="s">
        <v>284</v>
      </c>
      <c r="G206" s="69">
        <v>12300</v>
      </c>
      <c r="H206" s="71">
        <v>9440</v>
      </c>
      <c r="I206" s="71">
        <v>6420</v>
      </c>
      <c r="J206" s="71">
        <v>6120</v>
      </c>
      <c r="K206" s="71">
        <v>1980</v>
      </c>
      <c r="L206" s="71">
        <v>2130</v>
      </c>
      <c r="M206" s="71">
        <v>1560</v>
      </c>
      <c r="N206" s="71">
        <v>6955</v>
      </c>
    </row>
    <row r="207" spans="1:14" x14ac:dyDescent="0.25">
      <c r="A207" s="12">
        <v>206</v>
      </c>
      <c r="B207" s="60" t="s">
        <v>295</v>
      </c>
      <c r="C207" s="53">
        <v>10181</v>
      </c>
      <c r="D207" s="38" t="s">
        <v>116</v>
      </c>
      <c r="E207" s="38" t="s">
        <v>69</v>
      </c>
      <c r="F207" s="37" t="s">
        <v>284</v>
      </c>
      <c r="G207" s="69">
        <v>9040</v>
      </c>
      <c r="H207" s="71">
        <v>9280</v>
      </c>
      <c r="I207" s="71">
        <v>4800</v>
      </c>
      <c r="J207" s="71">
        <v>3400</v>
      </c>
      <c r="K207" s="71">
        <v>9200</v>
      </c>
      <c r="L207" s="71">
        <v>11270</v>
      </c>
      <c r="M207" s="71">
        <v>10290</v>
      </c>
      <c r="N207" s="71">
        <v>1740</v>
      </c>
    </row>
    <row r="208" spans="1:14" x14ac:dyDescent="0.25">
      <c r="A208" s="12">
        <v>207</v>
      </c>
      <c r="B208" s="60" t="s">
        <v>295</v>
      </c>
      <c r="C208" s="53">
        <v>10192</v>
      </c>
      <c r="D208" s="38" t="s">
        <v>201</v>
      </c>
      <c r="E208" s="38" t="s">
        <v>69</v>
      </c>
      <c r="F208" s="37" t="s">
        <v>284</v>
      </c>
      <c r="G208" s="69">
        <v>16440</v>
      </c>
      <c r="H208" s="71">
        <v>2250</v>
      </c>
      <c r="I208" s="71">
        <v>0</v>
      </c>
      <c r="J208" s="71">
        <v>1770</v>
      </c>
      <c r="K208" s="71">
        <v>1230</v>
      </c>
      <c r="L208" s="71">
        <v>1080</v>
      </c>
      <c r="M208" s="71">
        <v>2130</v>
      </c>
      <c r="N208" s="71">
        <v>2190</v>
      </c>
    </row>
    <row r="209" spans="1:14" x14ac:dyDescent="0.25">
      <c r="A209" s="12">
        <v>208</v>
      </c>
      <c r="B209" s="60" t="s">
        <v>295</v>
      </c>
      <c r="C209" s="53">
        <v>10193</v>
      </c>
      <c r="D209" s="38" t="s">
        <v>202</v>
      </c>
      <c r="E209" s="38" t="s">
        <v>69</v>
      </c>
      <c r="F209" s="37" t="s">
        <v>284</v>
      </c>
      <c r="G209" s="69">
        <v>4650</v>
      </c>
      <c r="H209" s="71">
        <v>2400</v>
      </c>
      <c r="I209" s="71">
        <v>1620</v>
      </c>
      <c r="J209" s="71">
        <v>0</v>
      </c>
      <c r="K209" s="71">
        <v>1200</v>
      </c>
      <c r="L209" s="71">
        <v>1050</v>
      </c>
      <c r="M209" s="71">
        <v>0</v>
      </c>
      <c r="N209" s="71">
        <v>1200</v>
      </c>
    </row>
    <row r="210" spans="1:14" x14ac:dyDescent="0.25">
      <c r="A210" s="12">
        <v>209</v>
      </c>
      <c r="B210" s="60" t="s">
        <v>295</v>
      </c>
      <c r="C210" s="53">
        <v>10194</v>
      </c>
      <c r="D210" s="38" t="s">
        <v>203</v>
      </c>
      <c r="E210" s="38" t="s">
        <v>69</v>
      </c>
      <c r="F210" s="37" t="s">
        <v>284</v>
      </c>
      <c r="G210" s="69">
        <v>3280</v>
      </c>
      <c r="H210" s="71">
        <v>1950</v>
      </c>
      <c r="I210" s="71">
        <v>1920</v>
      </c>
      <c r="J210" s="71">
        <v>0</v>
      </c>
      <c r="K210" s="71">
        <v>0</v>
      </c>
      <c r="L210" s="71">
        <v>0</v>
      </c>
      <c r="M210" s="71">
        <v>0</v>
      </c>
      <c r="N210" s="71">
        <v>0</v>
      </c>
    </row>
    <row r="211" spans="1:14" x14ac:dyDescent="0.25">
      <c r="A211" s="12">
        <v>210</v>
      </c>
      <c r="B211" s="60" t="s">
        <v>295</v>
      </c>
      <c r="C211" s="53">
        <v>10200</v>
      </c>
      <c r="D211" s="38" t="s">
        <v>204</v>
      </c>
      <c r="E211" s="38" t="s">
        <v>205</v>
      </c>
      <c r="F211" s="37" t="s">
        <v>275</v>
      </c>
      <c r="G211" s="69">
        <v>0</v>
      </c>
      <c r="H211" s="71">
        <v>0</v>
      </c>
      <c r="I211" s="71">
        <v>0</v>
      </c>
      <c r="J211" s="71">
        <v>0</v>
      </c>
      <c r="K211" s="71">
        <v>0</v>
      </c>
      <c r="L211" s="71">
        <v>0</v>
      </c>
      <c r="M211" s="71">
        <v>0</v>
      </c>
      <c r="N211" s="71">
        <v>0</v>
      </c>
    </row>
    <row r="212" spans="1:14" x14ac:dyDescent="0.25">
      <c r="A212" s="12">
        <v>211</v>
      </c>
      <c r="B212" s="60" t="s">
        <v>295</v>
      </c>
      <c r="C212" s="53">
        <v>10278</v>
      </c>
      <c r="D212" s="38" t="s">
        <v>206</v>
      </c>
      <c r="E212" s="38" t="s">
        <v>205</v>
      </c>
      <c r="F212" s="37" t="s">
        <v>275</v>
      </c>
      <c r="G212" s="69">
        <v>0</v>
      </c>
      <c r="H212" s="71">
        <v>0</v>
      </c>
      <c r="I212" s="71">
        <v>0</v>
      </c>
      <c r="J212" s="71">
        <v>0</v>
      </c>
      <c r="K212" s="71">
        <v>0</v>
      </c>
      <c r="L212" s="71">
        <v>0</v>
      </c>
      <c r="M212" s="71">
        <v>0</v>
      </c>
      <c r="N212" s="71">
        <v>0</v>
      </c>
    </row>
    <row r="213" spans="1:14" x14ac:dyDescent="0.25">
      <c r="A213" s="12">
        <v>212</v>
      </c>
      <c r="B213" s="60" t="s">
        <v>295</v>
      </c>
      <c r="C213" s="53">
        <v>10229</v>
      </c>
      <c r="D213" s="38" t="s">
        <v>207</v>
      </c>
      <c r="E213" s="38" t="s">
        <v>208</v>
      </c>
      <c r="F213" s="37" t="s">
        <v>284</v>
      </c>
      <c r="G213" s="69">
        <v>0</v>
      </c>
      <c r="H213" s="71">
        <v>0</v>
      </c>
      <c r="I213" s="71">
        <v>0</v>
      </c>
      <c r="J213" s="71">
        <v>0</v>
      </c>
      <c r="K213" s="71">
        <v>0</v>
      </c>
      <c r="L213" s="71">
        <v>0</v>
      </c>
      <c r="M213" s="71">
        <v>0</v>
      </c>
      <c r="N213" s="71">
        <v>0</v>
      </c>
    </row>
    <row r="214" spans="1:14" x14ac:dyDescent="0.25">
      <c r="A214" s="12">
        <v>213</v>
      </c>
      <c r="B214" s="60" t="s">
        <v>295</v>
      </c>
      <c r="C214" s="53">
        <v>10347</v>
      </c>
      <c r="D214" s="38" t="s">
        <v>209</v>
      </c>
      <c r="E214" s="38" t="s">
        <v>69</v>
      </c>
      <c r="F214" s="37" t="s">
        <v>284</v>
      </c>
      <c r="G214" s="69">
        <v>12100</v>
      </c>
      <c r="H214" s="71">
        <v>12500</v>
      </c>
      <c r="I214" s="71">
        <v>6060</v>
      </c>
      <c r="J214" s="71">
        <v>6060</v>
      </c>
      <c r="K214" s="71">
        <v>6885</v>
      </c>
      <c r="L214" s="71">
        <v>13230</v>
      </c>
      <c r="M214" s="71">
        <v>11520</v>
      </c>
      <c r="N214" s="71">
        <v>4730</v>
      </c>
    </row>
    <row r="215" spans="1:14" x14ac:dyDescent="0.25">
      <c r="A215" s="12">
        <v>214</v>
      </c>
      <c r="B215" s="60" t="s">
        <v>295</v>
      </c>
      <c r="C215" s="53">
        <v>10286</v>
      </c>
      <c r="D215" s="38" t="s">
        <v>210</v>
      </c>
      <c r="E215" s="38" t="s">
        <v>69</v>
      </c>
      <c r="F215" s="37" t="s">
        <v>284</v>
      </c>
      <c r="G215" s="69">
        <v>0</v>
      </c>
      <c r="H215" s="71">
        <v>2190</v>
      </c>
      <c r="I215" s="71">
        <v>1980</v>
      </c>
      <c r="J215" s="71">
        <v>2010</v>
      </c>
      <c r="K215" s="71">
        <v>2800</v>
      </c>
      <c r="L215" s="71">
        <v>1770</v>
      </c>
      <c r="M215" s="71">
        <v>2070</v>
      </c>
      <c r="N215" s="71">
        <v>2250</v>
      </c>
    </row>
    <row r="216" spans="1:14" x14ac:dyDescent="0.25">
      <c r="A216" s="12">
        <v>215</v>
      </c>
      <c r="B216" s="60" t="s">
        <v>295</v>
      </c>
      <c r="C216" s="53">
        <v>10396</v>
      </c>
      <c r="D216" s="38" t="s">
        <v>211</v>
      </c>
      <c r="E216" s="38" t="s">
        <v>69</v>
      </c>
      <c r="F216" s="37" t="s">
        <v>284</v>
      </c>
      <c r="G216" s="69">
        <v>0</v>
      </c>
      <c r="H216" s="71">
        <v>5000</v>
      </c>
      <c r="I216" s="71">
        <v>2190</v>
      </c>
      <c r="J216" s="71">
        <v>2130</v>
      </c>
      <c r="K216" s="71">
        <v>2835</v>
      </c>
      <c r="L216" s="71">
        <v>2450</v>
      </c>
      <c r="M216" s="71">
        <v>2430</v>
      </c>
      <c r="N216" s="71">
        <v>2370</v>
      </c>
    </row>
    <row r="217" spans="1:14" x14ac:dyDescent="0.25">
      <c r="A217" s="12">
        <v>216</v>
      </c>
      <c r="B217" s="60" t="s">
        <v>295</v>
      </c>
      <c r="C217" s="53">
        <v>10403</v>
      </c>
      <c r="D217" s="38" t="s">
        <v>212</v>
      </c>
      <c r="E217" s="38" t="s">
        <v>69</v>
      </c>
      <c r="F217" s="37" t="s">
        <v>284</v>
      </c>
      <c r="G217" s="69">
        <v>0</v>
      </c>
      <c r="H217" s="71">
        <v>1920</v>
      </c>
      <c r="I217" s="71">
        <v>1000</v>
      </c>
      <c r="J217" s="71">
        <v>1560</v>
      </c>
      <c r="K217" s="71">
        <v>1410</v>
      </c>
      <c r="L217" s="71">
        <v>1440</v>
      </c>
      <c r="M217" s="71">
        <v>1290</v>
      </c>
      <c r="N217" s="71">
        <v>1950</v>
      </c>
    </row>
    <row r="218" spans="1:14" x14ac:dyDescent="0.25">
      <c r="A218" s="12">
        <v>217</v>
      </c>
      <c r="B218" s="60" t="s">
        <v>295</v>
      </c>
      <c r="C218" s="53">
        <v>10516</v>
      </c>
      <c r="D218" s="38" t="s">
        <v>68</v>
      </c>
      <c r="E218" s="38" t="s">
        <v>69</v>
      </c>
      <c r="F218" s="37" t="s">
        <v>284</v>
      </c>
      <c r="G218" s="69">
        <v>1830</v>
      </c>
      <c r="H218" s="71">
        <v>1860</v>
      </c>
      <c r="I218" s="71">
        <v>0</v>
      </c>
      <c r="J218" s="71">
        <v>1530</v>
      </c>
      <c r="K218" s="71">
        <v>1080</v>
      </c>
      <c r="L218" s="71">
        <v>1260</v>
      </c>
      <c r="M218" s="71">
        <v>0</v>
      </c>
      <c r="N218" s="71">
        <v>0</v>
      </c>
    </row>
    <row r="219" spans="1:14" x14ac:dyDescent="0.25">
      <c r="A219" s="12">
        <v>218</v>
      </c>
      <c r="B219" s="60" t="s">
        <v>295</v>
      </c>
      <c r="C219" s="53">
        <v>10536</v>
      </c>
      <c r="D219" s="38" t="s">
        <v>317</v>
      </c>
      <c r="E219" s="38" t="s">
        <v>69</v>
      </c>
      <c r="F219" s="37" t="s">
        <v>284</v>
      </c>
      <c r="G219" s="69">
        <v>2190</v>
      </c>
      <c r="H219" s="71">
        <v>1890</v>
      </c>
      <c r="I219" s="71">
        <v>1680</v>
      </c>
      <c r="J219" s="71">
        <v>1860</v>
      </c>
      <c r="K219" s="71">
        <v>1110</v>
      </c>
      <c r="L219" s="71">
        <v>1350</v>
      </c>
      <c r="M219" s="71">
        <v>1200</v>
      </c>
      <c r="N219" s="71">
        <v>1830</v>
      </c>
    </row>
    <row r="220" spans="1:14" x14ac:dyDescent="0.25">
      <c r="A220" s="12">
        <v>219</v>
      </c>
      <c r="B220" s="60" t="s">
        <v>295</v>
      </c>
      <c r="C220" s="53">
        <v>10404</v>
      </c>
      <c r="D220" s="38" t="s">
        <v>213</v>
      </c>
      <c r="E220" s="38" t="s">
        <v>69</v>
      </c>
      <c r="F220" s="37" t="s">
        <v>284</v>
      </c>
      <c r="G220" s="69">
        <v>4600</v>
      </c>
      <c r="H220" s="71">
        <v>20440</v>
      </c>
      <c r="I220" s="71">
        <v>15720</v>
      </c>
      <c r="J220" s="71">
        <v>3440</v>
      </c>
      <c r="K220" s="71">
        <v>2070</v>
      </c>
      <c r="L220" s="71">
        <v>1710</v>
      </c>
      <c r="M220" s="71">
        <v>1620</v>
      </c>
      <c r="N220" s="71">
        <v>2490</v>
      </c>
    </row>
    <row r="221" spans="1:14" x14ac:dyDescent="0.25">
      <c r="A221" s="12">
        <v>220</v>
      </c>
      <c r="B221" s="60" t="s">
        <v>295</v>
      </c>
      <c r="C221" s="53">
        <v>10588</v>
      </c>
      <c r="D221" s="38" t="s">
        <v>371</v>
      </c>
      <c r="E221" s="38" t="s">
        <v>69</v>
      </c>
      <c r="F221" s="37" t="s">
        <v>284</v>
      </c>
      <c r="G221" s="69">
        <v>2010</v>
      </c>
      <c r="H221" s="71">
        <v>1740</v>
      </c>
      <c r="I221" s="71">
        <v>4750</v>
      </c>
      <c r="J221" s="71">
        <v>2130</v>
      </c>
      <c r="K221" s="71">
        <v>1950</v>
      </c>
      <c r="L221" s="71">
        <v>3750</v>
      </c>
      <c r="M221" s="71">
        <v>1230</v>
      </c>
      <c r="N221" s="71">
        <v>10735</v>
      </c>
    </row>
    <row r="222" spans="1:14" x14ac:dyDescent="0.25">
      <c r="A222" s="12">
        <v>221</v>
      </c>
      <c r="B222" s="60" t="s">
        <v>295</v>
      </c>
      <c r="C222" s="53">
        <v>10601</v>
      </c>
      <c r="D222" s="38" t="s">
        <v>223</v>
      </c>
      <c r="E222" s="38" t="s">
        <v>378</v>
      </c>
      <c r="F222" s="37" t="s">
        <v>283</v>
      </c>
      <c r="G222" s="69">
        <v>0</v>
      </c>
      <c r="H222" s="71">
        <v>0</v>
      </c>
      <c r="I222" s="71">
        <v>0</v>
      </c>
      <c r="J222" s="71">
        <v>0</v>
      </c>
      <c r="K222" s="71">
        <v>0</v>
      </c>
      <c r="L222" s="71">
        <v>0</v>
      </c>
      <c r="M222" s="71">
        <v>0</v>
      </c>
      <c r="N222" s="71">
        <v>0</v>
      </c>
    </row>
    <row r="223" spans="1:14" x14ac:dyDescent="0.25">
      <c r="A223" s="12">
        <v>222</v>
      </c>
      <c r="B223" s="60" t="s">
        <v>296</v>
      </c>
      <c r="C223" s="53">
        <v>10169</v>
      </c>
      <c r="D223" s="38" t="s">
        <v>214</v>
      </c>
      <c r="E223" s="38" t="s">
        <v>69</v>
      </c>
      <c r="F223" s="37" t="s">
        <v>284</v>
      </c>
      <c r="G223" s="69">
        <v>0</v>
      </c>
      <c r="H223" s="71">
        <v>1770</v>
      </c>
      <c r="I223" s="71">
        <v>1590</v>
      </c>
      <c r="J223" s="71">
        <v>0</v>
      </c>
      <c r="K223" s="71">
        <v>990</v>
      </c>
      <c r="L223" s="71">
        <v>960</v>
      </c>
      <c r="M223" s="71">
        <v>1230</v>
      </c>
      <c r="N223" s="71">
        <v>1050</v>
      </c>
    </row>
    <row r="224" spans="1:14" x14ac:dyDescent="0.25">
      <c r="A224" s="12">
        <v>223</v>
      </c>
      <c r="B224" s="60" t="s">
        <v>296</v>
      </c>
      <c r="C224" s="53">
        <v>10173</v>
      </c>
      <c r="D224" s="38" t="s">
        <v>215</v>
      </c>
      <c r="E224" s="38" t="s">
        <v>69</v>
      </c>
      <c r="F224" s="37" t="s">
        <v>284</v>
      </c>
      <c r="G224" s="69">
        <v>0</v>
      </c>
      <c r="H224" s="71">
        <v>0</v>
      </c>
      <c r="I224" s="71">
        <v>0</v>
      </c>
      <c r="J224" s="71">
        <v>0</v>
      </c>
      <c r="K224" s="71">
        <v>0</v>
      </c>
      <c r="L224" s="71">
        <v>0</v>
      </c>
      <c r="M224" s="71">
        <v>0</v>
      </c>
      <c r="N224" s="71">
        <v>0</v>
      </c>
    </row>
    <row r="225" spans="1:14" x14ac:dyDescent="0.25">
      <c r="A225" s="12">
        <v>224</v>
      </c>
      <c r="B225" s="60" t="s">
        <v>295</v>
      </c>
      <c r="C225" s="53">
        <v>10406</v>
      </c>
      <c r="D225" s="38" t="s">
        <v>216</v>
      </c>
      <c r="E225" s="38" t="s">
        <v>69</v>
      </c>
      <c r="F225" s="37" t="s">
        <v>284</v>
      </c>
      <c r="G225" s="69">
        <v>0</v>
      </c>
      <c r="H225" s="71">
        <v>1590</v>
      </c>
      <c r="I225" s="71">
        <v>0</v>
      </c>
      <c r="J225" s="71">
        <v>0</v>
      </c>
      <c r="K225" s="71">
        <v>1230</v>
      </c>
      <c r="L225" s="71">
        <v>1320</v>
      </c>
      <c r="M225" s="71">
        <v>1620</v>
      </c>
      <c r="N225" s="71">
        <v>1140</v>
      </c>
    </row>
    <row r="226" spans="1:14" x14ac:dyDescent="0.25">
      <c r="A226" s="12">
        <v>225</v>
      </c>
      <c r="B226" s="60" t="s">
        <v>295</v>
      </c>
      <c r="C226" s="53">
        <v>10077</v>
      </c>
      <c r="D226" s="38" t="s">
        <v>217</v>
      </c>
      <c r="E226" s="38" t="s">
        <v>69</v>
      </c>
      <c r="F226" s="37" t="s">
        <v>284</v>
      </c>
      <c r="G226" s="69">
        <v>0</v>
      </c>
      <c r="H226" s="71">
        <v>0</v>
      </c>
      <c r="I226" s="71">
        <v>0</v>
      </c>
      <c r="J226" s="71">
        <v>0</v>
      </c>
      <c r="K226" s="71">
        <v>0</v>
      </c>
      <c r="L226" s="71">
        <v>0</v>
      </c>
      <c r="M226" s="71">
        <v>960</v>
      </c>
      <c r="N226" s="71">
        <v>0</v>
      </c>
    </row>
    <row r="227" spans="1:14" x14ac:dyDescent="0.25">
      <c r="A227" s="12">
        <v>226</v>
      </c>
      <c r="B227" s="60" t="s">
        <v>295</v>
      </c>
      <c r="C227" s="53">
        <v>10593</v>
      </c>
      <c r="D227" s="38" t="s">
        <v>376</v>
      </c>
      <c r="E227" s="38" t="s">
        <v>69</v>
      </c>
      <c r="F227" s="37" t="s">
        <v>284</v>
      </c>
      <c r="G227" s="69">
        <v>2220</v>
      </c>
      <c r="H227" s="71">
        <v>3280</v>
      </c>
      <c r="I227" s="71">
        <v>1860</v>
      </c>
      <c r="J227" s="71">
        <v>1590</v>
      </c>
      <c r="K227" s="71">
        <v>1080</v>
      </c>
      <c r="L227" s="71">
        <v>1350</v>
      </c>
      <c r="M227" s="71">
        <v>1200</v>
      </c>
      <c r="N227" s="71">
        <v>1080</v>
      </c>
    </row>
    <row r="228" spans="1:14" x14ac:dyDescent="0.25">
      <c r="A228" s="12">
        <v>227</v>
      </c>
      <c r="B228" s="60" t="s">
        <v>297</v>
      </c>
      <c r="C228" s="53">
        <v>10351</v>
      </c>
      <c r="D228" s="38" t="s">
        <v>218</v>
      </c>
      <c r="E228" s="38" t="s">
        <v>219</v>
      </c>
      <c r="F228" s="37" t="s">
        <v>284</v>
      </c>
      <c r="G228" s="69">
        <v>0</v>
      </c>
      <c r="H228" s="71">
        <v>0</v>
      </c>
      <c r="I228" s="71">
        <v>0</v>
      </c>
      <c r="J228" s="71">
        <v>0</v>
      </c>
      <c r="K228" s="71">
        <v>0</v>
      </c>
      <c r="L228" s="71">
        <v>0</v>
      </c>
      <c r="M228" s="71">
        <v>0</v>
      </c>
      <c r="N228" s="71">
        <v>0</v>
      </c>
    </row>
    <row r="229" spans="1:14" x14ac:dyDescent="0.25">
      <c r="A229" s="12">
        <v>228</v>
      </c>
      <c r="B229" s="60" t="s">
        <v>297</v>
      </c>
      <c r="C229" s="53">
        <v>10344</v>
      </c>
      <c r="D229" s="38" t="s">
        <v>220</v>
      </c>
      <c r="E229" s="38" t="s">
        <v>69</v>
      </c>
      <c r="F229" s="37" t="s">
        <v>284</v>
      </c>
      <c r="G229" s="69">
        <v>2190</v>
      </c>
      <c r="H229" s="71">
        <v>3440</v>
      </c>
      <c r="I229" s="71">
        <v>2280</v>
      </c>
      <c r="J229" s="71">
        <v>2250</v>
      </c>
      <c r="K229" s="71">
        <v>5880</v>
      </c>
      <c r="L229" s="71">
        <v>17110</v>
      </c>
      <c r="M229" s="71">
        <v>10640</v>
      </c>
      <c r="N229" s="71">
        <v>4365</v>
      </c>
    </row>
    <row r="230" spans="1:14" x14ac:dyDescent="0.25">
      <c r="A230" s="12">
        <v>229</v>
      </c>
      <c r="B230" s="60" t="s">
        <v>297</v>
      </c>
      <c r="C230" s="53">
        <v>10082</v>
      </c>
      <c r="D230" s="38" t="s">
        <v>221</v>
      </c>
      <c r="E230" s="38" t="s">
        <v>69</v>
      </c>
      <c r="F230" s="37" t="s">
        <v>284</v>
      </c>
      <c r="G230" s="69">
        <v>6060</v>
      </c>
      <c r="H230" s="71">
        <v>4800</v>
      </c>
      <c r="I230" s="71">
        <v>4650</v>
      </c>
      <c r="J230" s="71">
        <v>20580</v>
      </c>
      <c r="K230" s="71">
        <v>8075</v>
      </c>
      <c r="L230" s="71">
        <v>6630</v>
      </c>
      <c r="M230" s="71">
        <v>2100</v>
      </c>
      <c r="N230" s="71">
        <v>25575</v>
      </c>
    </row>
    <row r="231" spans="1:14" x14ac:dyDescent="0.25">
      <c r="A231" s="12">
        <v>230</v>
      </c>
      <c r="B231" s="60" t="s">
        <v>297</v>
      </c>
      <c r="C231" s="53">
        <v>10510</v>
      </c>
      <c r="D231" s="38" t="s">
        <v>222</v>
      </c>
      <c r="E231" s="38" t="s">
        <v>69</v>
      </c>
      <c r="F231" s="37" t="s">
        <v>284</v>
      </c>
      <c r="G231" s="69">
        <v>6360</v>
      </c>
      <c r="H231" s="71">
        <v>12500</v>
      </c>
      <c r="I231" s="71">
        <v>12700</v>
      </c>
      <c r="J231" s="71">
        <v>4650</v>
      </c>
      <c r="K231" s="71">
        <v>7740</v>
      </c>
      <c r="L231" s="71">
        <v>9555</v>
      </c>
      <c r="M231" s="71">
        <v>14125</v>
      </c>
      <c r="N231" s="71">
        <v>18900</v>
      </c>
    </row>
    <row r="232" spans="1:14" x14ac:dyDescent="0.25">
      <c r="A232" s="12">
        <v>231</v>
      </c>
      <c r="B232" s="60" t="s">
        <v>297</v>
      </c>
      <c r="C232" s="53">
        <v>10527</v>
      </c>
      <c r="D232" s="38" t="s">
        <v>224</v>
      </c>
      <c r="E232" s="38" t="s">
        <v>47</v>
      </c>
      <c r="F232" s="37" t="s">
        <v>283</v>
      </c>
      <c r="G232" s="69">
        <v>0</v>
      </c>
      <c r="H232" s="71">
        <v>0</v>
      </c>
      <c r="I232" s="71">
        <v>0</v>
      </c>
      <c r="J232" s="71">
        <v>0</v>
      </c>
      <c r="K232" s="71">
        <v>0</v>
      </c>
      <c r="L232" s="71">
        <v>0</v>
      </c>
      <c r="M232" s="71">
        <v>0</v>
      </c>
      <c r="N232" s="71">
        <v>0</v>
      </c>
    </row>
    <row r="233" spans="1:14" x14ac:dyDescent="0.25">
      <c r="A233" s="12">
        <v>232</v>
      </c>
      <c r="B233" s="60" t="s">
        <v>297</v>
      </c>
      <c r="C233" s="53">
        <v>10088</v>
      </c>
      <c r="D233" s="38" t="s">
        <v>225</v>
      </c>
      <c r="E233" s="38" t="s">
        <v>226</v>
      </c>
      <c r="F233" s="37" t="s">
        <v>275</v>
      </c>
      <c r="G233" s="69">
        <v>0</v>
      </c>
      <c r="H233" s="71">
        <v>0</v>
      </c>
      <c r="I233" s="71">
        <v>0</v>
      </c>
      <c r="J233" s="71">
        <v>0</v>
      </c>
      <c r="K233" s="71">
        <v>0</v>
      </c>
      <c r="L233" s="71">
        <v>0</v>
      </c>
      <c r="M233" s="71">
        <v>0</v>
      </c>
      <c r="N233" s="71">
        <v>0</v>
      </c>
    </row>
    <row r="234" spans="1:14" x14ac:dyDescent="0.25">
      <c r="A234" s="12">
        <v>233</v>
      </c>
      <c r="B234" s="60" t="s">
        <v>297</v>
      </c>
      <c r="C234" s="53">
        <v>10183</v>
      </c>
      <c r="D234" s="38" t="s">
        <v>227</v>
      </c>
      <c r="E234" s="38" t="s">
        <v>228</v>
      </c>
      <c r="F234" s="37" t="s">
        <v>275</v>
      </c>
      <c r="G234" s="69">
        <v>0</v>
      </c>
      <c r="H234" s="71">
        <v>0</v>
      </c>
      <c r="I234" s="71">
        <v>0</v>
      </c>
      <c r="J234" s="71">
        <v>0</v>
      </c>
      <c r="K234" s="71">
        <v>0</v>
      </c>
      <c r="L234" s="71">
        <v>0</v>
      </c>
      <c r="M234" s="71">
        <v>0</v>
      </c>
      <c r="N234" s="71">
        <v>0</v>
      </c>
    </row>
    <row r="235" spans="1:14" x14ac:dyDescent="0.25">
      <c r="A235" s="12">
        <v>234</v>
      </c>
      <c r="B235" s="60" t="s">
        <v>297</v>
      </c>
      <c r="C235" s="53">
        <v>10592</v>
      </c>
      <c r="D235" s="38" t="s">
        <v>377</v>
      </c>
      <c r="E235" s="38" t="s">
        <v>378</v>
      </c>
      <c r="F235" s="37" t="s">
        <v>283</v>
      </c>
      <c r="G235" s="69">
        <v>0</v>
      </c>
      <c r="H235" s="71">
        <v>0</v>
      </c>
      <c r="I235" s="71">
        <v>0</v>
      </c>
      <c r="J235" s="71">
        <v>0</v>
      </c>
      <c r="K235" s="71">
        <v>0</v>
      </c>
      <c r="L235" s="71">
        <v>0</v>
      </c>
      <c r="M235" s="71">
        <v>0</v>
      </c>
      <c r="N235" s="71">
        <v>0</v>
      </c>
    </row>
    <row r="236" spans="1:14" x14ac:dyDescent="0.25">
      <c r="A236" s="12">
        <v>235</v>
      </c>
      <c r="B236" s="60" t="s">
        <v>294</v>
      </c>
      <c r="C236" s="53">
        <v>10346</v>
      </c>
      <c r="D236" s="38" t="s">
        <v>229</v>
      </c>
      <c r="E236" s="38" t="s">
        <v>219</v>
      </c>
      <c r="F236" s="37" t="s">
        <v>284</v>
      </c>
      <c r="G236" s="69">
        <v>0</v>
      </c>
      <c r="H236" s="71">
        <v>0</v>
      </c>
      <c r="I236" s="71">
        <v>0</v>
      </c>
      <c r="J236" s="71">
        <v>0</v>
      </c>
      <c r="K236" s="71">
        <v>0</v>
      </c>
      <c r="L236" s="71">
        <v>0</v>
      </c>
      <c r="M236" s="71">
        <v>0</v>
      </c>
      <c r="N236" s="71">
        <v>0</v>
      </c>
    </row>
    <row r="237" spans="1:14" x14ac:dyDescent="0.25">
      <c r="A237" s="12">
        <v>236</v>
      </c>
      <c r="B237" s="60" t="s">
        <v>294</v>
      </c>
      <c r="C237" s="53">
        <v>10322</v>
      </c>
      <c r="D237" s="38" t="s">
        <v>230</v>
      </c>
      <c r="E237" s="38" t="s">
        <v>69</v>
      </c>
      <c r="F237" s="37" t="s">
        <v>284</v>
      </c>
      <c r="G237" s="69">
        <v>1890</v>
      </c>
      <c r="H237" s="71">
        <v>3280</v>
      </c>
      <c r="I237" s="71">
        <v>3360</v>
      </c>
      <c r="J237" s="71">
        <v>3400</v>
      </c>
      <c r="K237" s="71">
        <v>2700</v>
      </c>
      <c r="L237" s="71">
        <v>2130</v>
      </c>
      <c r="M237" s="71">
        <v>2130</v>
      </c>
      <c r="N237" s="71">
        <v>12995</v>
      </c>
    </row>
    <row r="238" spans="1:14" x14ac:dyDescent="0.25">
      <c r="A238" s="12">
        <v>237</v>
      </c>
      <c r="B238" s="60" t="s">
        <v>294</v>
      </c>
      <c r="C238" s="53">
        <v>10488</v>
      </c>
      <c r="D238" s="38" t="s">
        <v>231</v>
      </c>
      <c r="E238" s="38" t="s">
        <v>228</v>
      </c>
      <c r="F238" s="37" t="s">
        <v>275</v>
      </c>
      <c r="G238" s="69">
        <v>0</v>
      </c>
      <c r="H238" s="71">
        <v>0</v>
      </c>
      <c r="I238" s="71">
        <v>0</v>
      </c>
      <c r="J238" s="71">
        <v>0</v>
      </c>
      <c r="K238" s="71">
        <v>0</v>
      </c>
      <c r="L238" s="71">
        <v>0</v>
      </c>
      <c r="M238" s="71">
        <v>0</v>
      </c>
      <c r="N238" s="71">
        <v>0</v>
      </c>
    </row>
    <row r="239" spans="1:14" x14ac:dyDescent="0.25">
      <c r="A239" s="12">
        <v>238</v>
      </c>
      <c r="B239" s="60" t="s">
        <v>294</v>
      </c>
      <c r="C239" s="53">
        <v>10398</v>
      </c>
      <c r="D239" s="38" t="s">
        <v>232</v>
      </c>
      <c r="E239" s="38" t="s">
        <v>69</v>
      </c>
      <c r="F239" s="37" t="s">
        <v>284</v>
      </c>
      <c r="G239" s="69">
        <v>0</v>
      </c>
      <c r="H239" s="71">
        <v>1530</v>
      </c>
      <c r="I239" s="71">
        <v>2130</v>
      </c>
      <c r="J239" s="71">
        <v>0</v>
      </c>
      <c r="K239" s="71">
        <v>1530</v>
      </c>
      <c r="L239" s="71">
        <v>1050</v>
      </c>
      <c r="M239" s="71">
        <v>1170</v>
      </c>
      <c r="N239" s="71">
        <v>0</v>
      </c>
    </row>
    <row r="240" spans="1:14" x14ac:dyDescent="0.25">
      <c r="A240" s="12">
        <v>239</v>
      </c>
      <c r="B240" s="60" t="s">
        <v>294</v>
      </c>
      <c r="C240" s="53">
        <v>10340</v>
      </c>
      <c r="D240" s="38" t="s">
        <v>233</v>
      </c>
      <c r="E240" s="38" t="s">
        <v>69</v>
      </c>
      <c r="F240" s="37" t="s">
        <v>284</v>
      </c>
      <c r="G240" s="69">
        <v>0</v>
      </c>
      <c r="H240" s="71">
        <v>0</v>
      </c>
      <c r="I240" s="71">
        <v>0</v>
      </c>
      <c r="J240" s="71">
        <v>1950</v>
      </c>
      <c r="K240" s="71">
        <v>1920</v>
      </c>
      <c r="L240" s="71">
        <v>1200</v>
      </c>
      <c r="M240" s="71">
        <v>2205</v>
      </c>
      <c r="N240" s="71">
        <v>1950</v>
      </c>
    </row>
    <row r="241" spans="1:14" x14ac:dyDescent="0.25">
      <c r="A241" s="12">
        <v>240</v>
      </c>
      <c r="B241" s="60" t="s">
        <v>294</v>
      </c>
      <c r="C241" s="53">
        <v>10153</v>
      </c>
      <c r="D241" s="38" t="s">
        <v>234</v>
      </c>
      <c r="E241" s="38" t="s">
        <v>205</v>
      </c>
      <c r="F241" s="37" t="s">
        <v>275</v>
      </c>
      <c r="G241" s="69">
        <v>0</v>
      </c>
      <c r="H241" s="71">
        <v>0</v>
      </c>
      <c r="I241" s="71">
        <v>0</v>
      </c>
      <c r="J241" s="71">
        <v>0</v>
      </c>
      <c r="K241" s="71">
        <v>0</v>
      </c>
      <c r="L241" s="71">
        <v>0</v>
      </c>
      <c r="M241" s="71">
        <v>0</v>
      </c>
      <c r="N241" s="71">
        <v>0</v>
      </c>
    </row>
    <row r="242" spans="1:14" x14ac:dyDescent="0.25">
      <c r="A242" s="12">
        <v>241</v>
      </c>
      <c r="B242" s="60" t="s">
        <v>294</v>
      </c>
      <c r="C242" s="53">
        <v>10532</v>
      </c>
      <c r="D242" s="38" t="s">
        <v>312</v>
      </c>
      <c r="E242" s="38" t="s">
        <v>69</v>
      </c>
      <c r="F242" s="37" t="s">
        <v>284</v>
      </c>
      <c r="G242" s="69">
        <v>2070</v>
      </c>
      <c r="H242" s="71">
        <v>4600</v>
      </c>
      <c r="I242" s="71">
        <v>4700</v>
      </c>
      <c r="J242" s="71">
        <v>2340</v>
      </c>
      <c r="K242" s="71">
        <v>7600</v>
      </c>
      <c r="L242" s="71">
        <v>2040</v>
      </c>
      <c r="M242" s="71">
        <v>5220</v>
      </c>
      <c r="N242" s="71">
        <v>2790</v>
      </c>
    </row>
    <row r="243" spans="1:14" x14ac:dyDescent="0.25">
      <c r="A243" s="12">
        <v>242</v>
      </c>
      <c r="B243" s="60" t="s">
        <v>294</v>
      </c>
      <c r="C243" s="53">
        <v>10462</v>
      </c>
      <c r="D243" s="38" t="s">
        <v>236</v>
      </c>
      <c r="E243" s="38" t="s">
        <v>69</v>
      </c>
      <c r="F243" s="37" t="s">
        <v>284</v>
      </c>
      <c r="G243" s="69">
        <v>0</v>
      </c>
      <c r="H243" s="71">
        <v>2100</v>
      </c>
      <c r="I243" s="71">
        <v>1620</v>
      </c>
      <c r="J243" s="71">
        <v>0</v>
      </c>
      <c r="K243" s="71">
        <v>1890</v>
      </c>
      <c r="L243" s="71">
        <v>1170</v>
      </c>
      <c r="M243" s="71">
        <v>0</v>
      </c>
      <c r="N243" s="71">
        <v>0</v>
      </c>
    </row>
    <row r="244" spans="1:14" x14ac:dyDescent="0.25">
      <c r="A244" s="12">
        <v>243</v>
      </c>
      <c r="B244" s="60" t="s">
        <v>294</v>
      </c>
      <c r="C244" s="53">
        <v>10470</v>
      </c>
      <c r="D244" s="38" t="s">
        <v>237</v>
      </c>
      <c r="E244" s="38" t="s">
        <v>69</v>
      </c>
      <c r="F244" s="37" t="s">
        <v>284</v>
      </c>
      <c r="G244" s="69">
        <v>2370</v>
      </c>
      <c r="H244" s="71">
        <v>2070</v>
      </c>
      <c r="I244" s="71">
        <v>3440</v>
      </c>
      <c r="J244" s="71">
        <v>2370</v>
      </c>
      <c r="K244" s="71">
        <v>1590</v>
      </c>
      <c r="L244" s="71">
        <v>2430</v>
      </c>
      <c r="M244" s="71">
        <v>2040</v>
      </c>
      <c r="N244" s="71">
        <v>27520</v>
      </c>
    </row>
    <row r="245" spans="1:14" x14ac:dyDescent="0.25">
      <c r="A245" s="12">
        <v>244</v>
      </c>
      <c r="B245" s="60" t="s">
        <v>294</v>
      </c>
      <c r="C245" s="53">
        <v>10535</v>
      </c>
      <c r="D245" s="38" t="s">
        <v>316</v>
      </c>
      <c r="E245" s="38" t="s">
        <v>69</v>
      </c>
      <c r="F245" s="37" t="s">
        <v>284</v>
      </c>
      <c r="G245" s="69">
        <v>0</v>
      </c>
      <c r="H245" s="71">
        <v>0</v>
      </c>
      <c r="I245" s="71">
        <v>0</v>
      </c>
      <c r="J245" s="71">
        <v>0</v>
      </c>
      <c r="K245" s="71">
        <v>0</v>
      </c>
      <c r="L245" s="71">
        <v>0</v>
      </c>
      <c r="M245" s="71">
        <v>0</v>
      </c>
      <c r="N245" s="71">
        <v>0</v>
      </c>
    </row>
    <row r="246" spans="1:14" x14ac:dyDescent="0.25">
      <c r="A246" s="12">
        <v>245</v>
      </c>
      <c r="B246" s="60" t="s">
        <v>294</v>
      </c>
      <c r="C246" s="53">
        <v>10600</v>
      </c>
      <c r="D246" s="38" t="s">
        <v>235</v>
      </c>
      <c r="E246" s="38" t="s">
        <v>69</v>
      </c>
      <c r="F246" s="37" t="s">
        <v>284</v>
      </c>
      <c r="G246" s="69">
        <v>0</v>
      </c>
      <c r="H246" s="71">
        <v>0</v>
      </c>
      <c r="I246" s="71">
        <v>0</v>
      </c>
      <c r="J246" s="71">
        <v>0</v>
      </c>
      <c r="K246" s="71">
        <v>0</v>
      </c>
      <c r="L246" s="71">
        <v>0</v>
      </c>
      <c r="M246" s="71">
        <v>0</v>
      </c>
      <c r="N246" s="71">
        <v>0</v>
      </c>
    </row>
    <row r="247" spans="1:14" x14ac:dyDescent="0.25">
      <c r="A247" s="12">
        <v>246</v>
      </c>
      <c r="B247" s="60" t="s">
        <v>294</v>
      </c>
      <c r="C247" s="53">
        <v>10624</v>
      </c>
      <c r="D247" s="38" t="s">
        <v>423</v>
      </c>
      <c r="E247" s="38" t="s">
        <v>69</v>
      </c>
      <c r="F247" s="37" t="s">
        <v>284</v>
      </c>
      <c r="G247" s="69">
        <v>1950</v>
      </c>
      <c r="H247" s="71">
        <v>4550</v>
      </c>
      <c r="I247" s="71">
        <v>2340</v>
      </c>
      <c r="J247" s="71">
        <v>2310</v>
      </c>
      <c r="K247" s="71">
        <v>1890</v>
      </c>
      <c r="L247" s="71">
        <v>1620</v>
      </c>
      <c r="M247" s="71">
        <v>1770</v>
      </c>
      <c r="N247" s="71">
        <v>2160</v>
      </c>
    </row>
    <row r="248" spans="1:14" x14ac:dyDescent="0.25">
      <c r="A248" s="12">
        <v>247</v>
      </c>
      <c r="B248" s="60" t="s">
        <v>294</v>
      </c>
      <c r="C248" s="53">
        <v>10274</v>
      </c>
      <c r="D248" s="38" t="s">
        <v>238</v>
      </c>
      <c r="E248" s="38" t="s">
        <v>69</v>
      </c>
      <c r="F248" s="37" t="s">
        <v>284</v>
      </c>
      <c r="G248" s="69">
        <v>1500</v>
      </c>
      <c r="H248" s="71">
        <v>1620</v>
      </c>
      <c r="I248" s="71">
        <v>2000</v>
      </c>
      <c r="J248" s="71">
        <v>0</v>
      </c>
      <c r="K248" s="71">
        <v>1110</v>
      </c>
      <c r="L248" s="71">
        <v>960</v>
      </c>
      <c r="M248" s="71">
        <v>1170</v>
      </c>
      <c r="N248" s="71">
        <v>2040</v>
      </c>
    </row>
    <row r="249" spans="1:14" x14ac:dyDescent="0.25">
      <c r="A249" s="12">
        <v>248</v>
      </c>
      <c r="B249" s="60" t="s">
        <v>294</v>
      </c>
      <c r="C249" s="53">
        <v>10611</v>
      </c>
      <c r="D249" s="38" t="s">
        <v>387</v>
      </c>
      <c r="E249" s="38" t="s">
        <v>69</v>
      </c>
      <c r="F249" s="37" t="s">
        <v>284</v>
      </c>
      <c r="G249" s="69">
        <v>1500</v>
      </c>
      <c r="H249" s="71">
        <v>0</v>
      </c>
      <c r="I249" s="71">
        <v>2000</v>
      </c>
      <c r="J249" s="71">
        <v>0</v>
      </c>
      <c r="K249" s="71">
        <v>0</v>
      </c>
      <c r="L249" s="71">
        <v>1020</v>
      </c>
      <c r="M249" s="71">
        <v>0</v>
      </c>
      <c r="N249" s="71">
        <v>960</v>
      </c>
    </row>
    <row r="250" spans="1:14" x14ac:dyDescent="0.25">
      <c r="A250" s="12">
        <v>249</v>
      </c>
      <c r="B250" s="60" t="s">
        <v>295</v>
      </c>
      <c r="C250" s="53">
        <v>10101</v>
      </c>
      <c r="D250" s="38" t="s">
        <v>239</v>
      </c>
      <c r="E250" s="38" t="s">
        <v>240</v>
      </c>
      <c r="F250" s="37" t="s">
        <v>283</v>
      </c>
      <c r="G250" s="69">
        <v>0</v>
      </c>
      <c r="H250" s="71">
        <v>0</v>
      </c>
      <c r="I250" s="71">
        <v>0</v>
      </c>
      <c r="J250" s="71">
        <v>0</v>
      </c>
      <c r="K250" s="71">
        <v>0</v>
      </c>
      <c r="L250" s="71">
        <v>0</v>
      </c>
      <c r="M250" s="71">
        <v>0</v>
      </c>
      <c r="N250" s="71">
        <v>0</v>
      </c>
    </row>
    <row r="251" spans="1:14" x14ac:dyDescent="0.25">
      <c r="A251" s="12">
        <v>250</v>
      </c>
      <c r="B251" s="60" t="s">
        <v>296</v>
      </c>
      <c r="C251" s="53">
        <v>10432</v>
      </c>
      <c r="D251" s="38" t="s">
        <v>241</v>
      </c>
      <c r="E251" s="38" t="s">
        <v>242</v>
      </c>
      <c r="F251" s="37" t="s">
        <v>283</v>
      </c>
      <c r="G251" s="69">
        <v>0</v>
      </c>
      <c r="H251" s="71">
        <v>0</v>
      </c>
      <c r="I251" s="71">
        <v>0</v>
      </c>
      <c r="J251" s="71">
        <v>0</v>
      </c>
      <c r="K251" s="71">
        <v>0</v>
      </c>
      <c r="L251" s="71">
        <v>0</v>
      </c>
      <c r="M251" s="71">
        <v>0</v>
      </c>
      <c r="N251" s="71">
        <v>0</v>
      </c>
    </row>
    <row r="252" spans="1:14" x14ac:dyDescent="0.25">
      <c r="A252" s="12">
        <v>251</v>
      </c>
      <c r="B252" s="60" t="s">
        <v>296</v>
      </c>
      <c r="C252" s="53">
        <v>10391</v>
      </c>
      <c r="D252" s="38" t="s">
        <v>243</v>
      </c>
      <c r="E252" s="38" t="s">
        <v>242</v>
      </c>
      <c r="F252" s="37" t="s">
        <v>283</v>
      </c>
      <c r="G252" s="69">
        <v>0</v>
      </c>
      <c r="H252" s="71">
        <v>0</v>
      </c>
      <c r="I252" s="71">
        <v>0</v>
      </c>
      <c r="J252" s="71">
        <v>0</v>
      </c>
      <c r="K252" s="71">
        <v>0</v>
      </c>
      <c r="L252" s="71">
        <v>0</v>
      </c>
      <c r="M252" s="71">
        <v>0</v>
      </c>
      <c r="N252" s="71">
        <v>0</v>
      </c>
    </row>
    <row r="253" spans="1:14" x14ac:dyDescent="0.25">
      <c r="A253" s="12">
        <v>252</v>
      </c>
      <c r="B253" s="60" t="s">
        <v>296</v>
      </c>
      <c r="C253" s="53">
        <v>10102</v>
      </c>
      <c r="D253" s="38" t="s">
        <v>244</v>
      </c>
      <c r="E253" s="38" t="s">
        <v>205</v>
      </c>
      <c r="F253" s="37" t="s">
        <v>275</v>
      </c>
      <c r="G253" s="69">
        <v>0</v>
      </c>
      <c r="H253" s="71">
        <v>0</v>
      </c>
      <c r="I253" s="71">
        <v>0</v>
      </c>
      <c r="J253" s="71">
        <v>0</v>
      </c>
      <c r="K253" s="71">
        <v>0</v>
      </c>
      <c r="L253" s="71">
        <v>0</v>
      </c>
      <c r="M253" s="71">
        <v>0</v>
      </c>
      <c r="N253" s="71">
        <v>0</v>
      </c>
    </row>
    <row r="254" spans="1:14" x14ac:dyDescent="0.25">
      <c r="A254" s="12">
        <v>253</v>
      </c>
      <c r="B254" s="60" t="s">
        <v>296</v>
      </c>
      <c r="C254" s="53">
        <v>10103</v>
      </c>
      <c r="D254" s="38" t="s">
        <v>245</v>
      </c>
      <c r="E254" s="38" t="s">
        <v>208</v>
      </c>
      <c r="F254" s="37" t="s">
        <v>284</v>
      </c>
      <c r="G254" s="69">
        <v>0</v>
      </c>
      <c r="H254" s="71">
        <v>0</v>
      </c>
      <c r="I254" s="71">
        <v>0</v>
      </c>
      <c r="J254" s="71">
        <v>0</v>
      </c>
      <c r="K254" s="71">
        <v>0</v>
      </c>
      <c r="L254" s="71">
        <v>0</v>
      </c>
      <c r="M254" s="71">
        <v>0</v>
      </c>
      <c r="N254" s="71">
        <v>0</v>
      </c>
    </row>
    <row r="255" spans="1:14" x14ac:dyDescent="0.25">
      <c r="A255" s="12">
        <v>254</v>
      </c>
      <c r="B255" s="60" t="s">
        <v>296</v>
      </c>
      <c r="C255" s="53">
        <v>10104</v>
      </c>
      <c r="D255" s="38" t="s">
        <v>246</v>
      </c>
      <c r="E255" s="38" t="s">
        <v>69</v>
      </c>
      <c r="F255" s="37" t="s">
        <v>284</v>
      </c>
      <c r="G255" s="69">
        <v>1950</v>
      </c>
      <c r="H255" s="71">
        <v>3440</v>
      </c>
      <c r="I255" s="71">
        <v>2280</v>
      </c>
      <c r="J255" s="71">
        <v>1950</v>
      </c>
      <c r="K255" s="71">
        <v>3905</v>
      </c>
      <c r="L255" s="71">
        <v>2835</v>
      </c>
      <c r="M255" s="71">
        <v>5530</v>
      </c>
      <c r="N255" s="71">
        <v>3440</v>
      </c>
    </row>
    <row r="256" spans="1:14" x14ac:dyDescent="0.25">
      <c r="A256" s="12">
        <v>255</v>
      </c>
      <c r="B256" s="60" t="s">
        <v>296</v>
      </c>
      <c r="C256" s="53">
        <v>10107</v>
      </c>
      <c r="D256" s="38" t="s">
        <v>247</v>
      </c>
      <c r="E256" s="38" t="s">
        <v>69</v>
      </c>
      <c r="F256" s="37" t="s">
        <v>284</v>
      </c>
      <c r="G256" s="69">
        <v>1710</v>
      </c>
      <c r="H256" s="71">
        <v>1980</v>
      </c>
      <c r="I256" s="71">
        <v>2280</v>
      </c>
      <c r="J256" s="71">
        <v>1800</v>
      </c>
      <c r="K256" s="71">
        <v>1290</v>
      </c>
      <c r="L256" s="71">
        <v>1740</v>
      </c>
      <c r="M256" s="71">
        <v>3750</v>
      </c>
      <c r="N256" s="71">
        <v>2340</v>
      </c>
    </row>
    <row r="257" spans="1:14" x14ac:dyDescent="0.25">
      <c r="A257" s="12">
        <v>256</v>
      </c>
      <c r="B257" s="60" t="s">
        <v>296</v>
      </c>
      <c r="C257" s="53">
        <v>10345</v>
      </c>
      <c r="D257" s="38" t="s">
        <v>248</v>
      </c>
      <c r="E257" s="38" t="s">
        <v>69</v>
      </c>
      <c r="F257" s="37" t="s">
        <v>284</v>
      </c>
      <c r="G257" s="69">
        <v>1860</v>
      </c>
      <c r="H257" s="71">
        <v>3400</v>
      </c>
      <c r="I257" s="71">
        <v>2220</v>
      </c>
      <c r="J257" s="71">
        <v>1920</v>
      </c>
      <c r="K257" s="71">
        <v>1770</v>
      </c>
      <c r="L257" s="71">
        <v>1680</v>
      </c>
      <c r="M257" s="71">
        <v>10350</v>
      </c>
      <c r="N257" s="71">
        <v>10500</v>
      </c>
    </row>
    <row r="258" spans="1:14" x14ac:dyDescent="0.25">
      <c r="A258" s="12">
        <v>257</v>
      </c>
      <c r="B258" s="60" t="s">
        <v>296</v>
      </c>
      <c r="C258" s="53">
        <v>10292</v>
      </c>
      <c r="D258" s="38" t="s">
        <v>249</v>
      </c>
      <c r="E258" s="38" t="s">
        <v>69</v>
      </c>
      <c r="F258" s="37" t="s">
        <v>284</v>
      </c>
      <c r="G258" s="69">
        <v>1620</v>
      </c>
      <c r="H258" s="71">
        <v>1740</v>
      </c>
      <c r="I258" s="71">
        <v>1860</v>
      </c>
      <c r="J258" s="71">
        <v>1710</v>
      </c>
      <c r="K258" s="71">
        <v>1620</v>
      </c>
      <c r="L258" s="71">
        <v>1530</v>
      </c>
      <c r="M258" s="71">
        <v>1770</v>
      </c>
      <c r="N258" s="71">
        <v>2520</v>
      </c>
    </row>
    <row r="259" spans="1:14" x14ac:dyDescent="0.25">
      <c r="A259" s="12">
        <v>258</v>
      </c>
      <c r="B259" s="60" t="s">
        <v>296</v>
      </c>
      <c r="C259" s="53">
        <v>10402</v>
      </c>
      <c r="D259" s="38" t="s">
        <v>250</v>
      </c>
      <c r="E259" s="38" t="s">
        <v>69</v>
      </c>
      <c r="F259" s="37" t="s">
        <v>284</v>
      </c>
      <c r="G259" s="69">
        <v>0</v>
      </c>
      <c r="H259" s="71">
        <v>0</v>
      </c>
      <c r="I259" s="71">
        <v>0</v>
      </c>
      <c r="J259" s="71">
        <v>0</v>
      </c>
      <c r="K259" s="71">
        <v>0</v>
      </c>
      <c r="L259" s="71">
        <v>1860</v>
      </c>
      <c r="M259" s="71">
        <v>0</v>
      </c>
      <c r="N259" s="71">
        <v>1260</v>
      </c>
    </row>
    <row r="260" spans="1:14" x14ac:dyDescent="0.25">
      <c r="A260" s="12">
        <v>259</v>
      </c>
      <c r="B260" s="60" t="s">
        <v>296</v>
      </c>
      <c r="C260" s="53">
        <v>10493</v>
      </c>
      <c r="D260" s="38" t="s">
        <v>251</v>
      </c>
      <c r="E260" s="38" t="s">
        <v>69</v>
      </c>
      <c r="F260" s="37" t="s">
        <v>284</v>
      </c>
      <c r="G260" s="69">
        <v>0</v>
      </c>
      <c r="H260" s="71">
        <v>0</v>
      </c>
      <c r="I260" s="71">
        <v>1000</v>
      </c>
      <c r="J260" s="71">
        <v>0</v>
      </c>
      <c r="K260" s="71">
        <v>0</v>
      </c>
      <c r="L260" s="71">
        <v>0</v>
      </c>
      <c r="M260" s="71">
        <v>0</v>
      </c>
      <c r="N260" s="71">
        <v>0</v>
      </c>
    </row>
    <row r="261" spans="1:14" x14ac:dyDescent="0.25">
      <c r="A261" s="12">
        <v>260</v>
      </c>
      <c r="B261" s="60" t="s">
        <v>296</v>
      </c>
      <c r="C261" s="53">
        <v>10426</v>
      </c>
      <c r="D261" s="38" t="s">
        <v>252</v>
      </c>
      <c r="E261" s="38" t="s">
        <v>69</v>
      </c>
      <c r="F261" s="37" t="s">
        <v>284</v>
      </c>
      <c r="G261" s="69">
        <v>0</v>
      </c>
      <c r="H261" s="71">
        <v>1950</v>
      </c>
      <c r="I261" s="71">
        <v>0</v>
      </c>
      <c r="J261" s="71">
        <v>1560</v>
      </c>
      <c r="K261" s="71">
        <v>1440</v>
      </c>
      <c r="L261" s="71">
        <v>1200</v>
      </c>
      <c r="M261" s="71">
        <v>1320</v>
      </c>
      <c r="N261" s="71">
        <v>4350</v>
      </c>
    </row>
    <row r="262" spans="1:14" x14ac:dyDescent="0.25">
      <c r="A262" s="12">
        <v>261</v>
      </c>
      <c r="B262" s="60" t="s">
        <v>295</v>
      </c>
      <c r="C262" s="53">
        <v>10455</v>
      </c>
      <c r="D262" s="38" t="s">
        <v>253</v>
      </c>
      <c r="E262" s="38" t="s">
        <v>69</v>
      </c>
      <c r="F262" s="37" t="s">
        <v>284</v>
      </c>
      <c r="G262" s="69">
        <v>2130</v>
      </c>
      <c r="H262" s="71">
        <v>2040</v>
      </c>
      <c r="I262" s="71">
        <v>0</v>
      </c>
      <c r="J262" s="71">
        <v>0</v>
      </c>
      <c r="K262" s="71">
        <v>0</v>
      </c>
      <c r="L262" s="71">
        <v>0</v>
      </c>
      <c r="M262" s="71">
        <v>0</v>
      </c>
      <c r="N262" s="71">
        <v>0</v>
      </c>
    </row>
    <row r="263" spans="1:14" x14ac:dyDescent="0.25">
      <c r="A263" s="12">
        <v>262</v>
      </c>
      <c r="B263" s="63" t="s">
        <v>295</v>
      </c>
      <c r="C263" s="56">
        <v>10642</v>
      </c>
      <c r="D263" s="66" t="s">
        <v>424</v>
      </c>
      <c r="E263" s="66" t="s">
        <v>69</v>
      </c>
      <c r="F263" s="59" t="s">
        <v>284</v>
      </c>
      <c r="G263" s="69">
        <v>0</v>
      </c>
      <c r="H263" s="71">
        <v>2070</v>
      </c>
      <c r="I263" s="71">
        <v>0</v>
      </c>
      <c r="J263" s="71">
        <v>0</v>
      </c>
      <c r="K263" s="71">
        <v>0</v>
      </c>
      <c r="L263" s="71">
        <v>0</v>
      </c>
      <c r="M263" s="71">
        <v>900</v>
      </c>
      <c r="N263" s="71">
        <v>1080</v>
      </c>
    </row>
    <row r="264" spans="1:14" x14ac:dyDescent="0.25">
      <c r="A264" s="12">
        <v>263</v>
      </c>
      <c r="B264" s="60" t="s">
        <v>296</v>
      </c>
      <c r="C264" s="53">
        <v>10556</v>
      </c>
      <c r="D264" s="38" t="s">
        <v>329</v>
      </c>
      <c r="E264" s="38" t="s">
        <v>69</v>
      </c>
      <c r="F264" s="37" t="s">
        <v>284</v>
      </c>
      <c r="G264" s="69">
        <v>0</v>
      </c>
      <c r="H264" s="71">
        <v>0</v>
      </c>
      <c r="I264" s="71">
        <v>0</v>
      </c>
      <c r="J264" s="71">
        <v>0</v>
      </c>
      <c r="K264" s="71">
        <v>0</v>
      </c>
      <c r="L264" s="71">
        <v>900</v>
      </c>
      <c r="M264" s="71">
        <v>0</v>
      </c>
      <c r="N264" s="71">
        <v>2100</v>
      </c>
    </row>
    <row r="265" spans="1:14" x14ac:dyDescent="0.25">
      <c r="A265" s="12">
        <v>264</v>
      </c>
      <c r="B265" s="63" t="s">
        <v>296</v>
      </c>
      <c r="C265" s="56">
        <v>10632</v>
      </c>
      <c r="D265" s="66" t="s">
        <v>400</v>
      </c>
      <c r="E265" s="66" t="s">
        <v>69</v>
      </c>
      <c r="F265" s="59" t="s">
        <v>284</v>
      </c>
      <c r="G265" s="69">
        <v>1590</v>
      </c>
      <c r="H265" s="71">
        <v>3320</v>
      </c>
      <c r="I265" s="71">
        <v>0</v>
      </c>
      <c r="J265" s="71">
        <v>2010</v>
      </c>
      <c r="K265" s="71">
        <v>1260</v>
      </c>
      <c r="L265" s="71">
        <v>0</v>
      </c>
      <c r="M265" s="71">
        <v>0</v>
      </c>
      <c r="N265" s="71">
        <v>0</v>
      </c>
    </row>
    <row r="266" spans="1:14" x14ac:dyDescent="0.25">
      <c r="A266" s="12">
        <v>265</v>
      </c>
      <c r="B266" s="60" t="s">
        <v>296</v>
      </c>
      <c r="C266" s="53">
        <v>10420</v>
      </c>
      <c r="D266" s="38" t="s">
        <v>254</v>
      </c>
      <c r="E266" s="38" t="s">
        <v>69</v>
      </c>
      <c r="F266" s="37" t="s">
        <v>284</v>
      </c>
      <c r="G266" s="69">
        <v>1500</v>
      </c>
      <c r="H266" s="71">
        <v>1860</v>
      </c>
      <c r="I266" s="71">
        <v>0</v>
      </c>
      <c r="J266" s="71">
        <v>1650</v>
      </c>
      <c r="K266" s="71">
        <v>1530</v>
      </c>
      <c r="L266" s="71">
        <v>1800</v>
      </c>
      <c r="M266" s="71">
        <v>0</v>
      </c>
      <c r="N266" s="71">
        <v>0</v>
      </c>
    </row>
    <row r="267" spans="1:14" x14ac:dyDescent="0.25">
      <c r="A267" s="12">
        <v>266</v>
      </c>
      <c r="B267" s="60" t="s">
        <v>293</v>
      </c>
      <c r="C267" s="53">
        <v>10112</v>
      </c>
      <c r="D267" s="38" t="s">
        <v>255</v>
      </c>
      <c r="E267" s="38" t="s">
        <v>451</v>
      </c>
      <c r="F267" s="37" t="s">
        <v>284</v>
      </c>
      <c r="G267" s="69">
        <v>0</v>
      </c>
      <c r="H267" s="71">
        <v>0</v>
      </c>
      <c r="I267" s="71">
        <v>0</v>
      </c>
      <c r="J267" s="71">
        <v>0</v>
      </c>
      <c r="K267" s="71">
        <v>0</v>
      </c>
      <c r="L267" s="71">
        <v>0</v>
      </c>
      <c r="M267" s="71">
        <v>0</v>
      </c>
      <c r="N267" s="71">
        <v>0</v>
      </c>
    </row>
    <row r="268" spans="1:14" x14ac:dyDescent="0.25">
      <c r="A268" s="12">
        <v>267</v>
      </c>
      <c r="B268" s="60" t="s">
        <v>293</v>
      </c>
      <c r="C268" s="53">
        <v>10549</v>
      </c>
      <c r="D268" s="38" t="s">
        <v>333</v>
      </c>
      <c r="E268" s="38" t="s">
        <v>69</v>
      </c>
      <c r="F268" s="37" t="s">
        <v>284</v>
      </c>
      <c r="G268" s="69">
        <v>0</v>
      </c>
      <c r="H268" s="71">
        <v>0</v>
      </c>
      <c r="I268" s="71">
        <v>0</v>
      </c>
      <c r="J268" s="71">
        <v>0</v>
      </c>
      <c r="K268" s="71">
        <v>1645</v>
      </c>
      <c r="L268" s="71">
        <v>1170</v>
      </c>
      <c r="M268" s="71">
        <v>990</v>
      </c>
      <c r="N268" s="71">
        <v>1170</v>
      </c>
    </row>
    <row r="269" spans="1:14" x14ac:dyDescent="0.25">
      <c r="A269" s="12">
        <v>268</v>
      </c>
      <c r="B269" s="60" t="s">
        <v>293</v>
      </c>
      <c r="C269" s="53">
        <v>10113</v>
      </c>
      <c r="D269" s="38" t="s">
        <v>256</v>
      </c>
      <c r="E269" s="38" t="s">
        <v>69</v>
      </c>
      <c r="F269" s="37" t="s">
        <v>284</v>
      </c>
      <c r="G269" s="69">
        <v>2190</v>
      </c>
      <c r="H269" s="71">
        <v>1620</v>
      </c>
      <c r="I269" s="71">
        <v>1000</v>
      </c>
      <c r="J269" s="71">
        <v>0</v>
      </c>
      <c r="K269" s="71">
        <v>0</v>
      </c>
      <c r="L269" s="71">
        <v>1440</v>
      </c>
      <c r="M269" s="71">
        <v>1500</v>
      </c>
      <c r="N269" s="71">
        <v>1230</v>
      </c>
    </row>
    <row r="270" spans="1:14" x14ac:dyDescent="0.25">
      <c r="A270" s="12">
        <v>269</v>
      </c>
      <c r="B270" s="60" t="s">
        <v>293</v>
      </c>
      <c r="C270" s="53">
        <v>10568</v>
      </c>
      <c r="D270" s="38" t="s">
        <v>338</v>
      </c>
      <c r="E270" s="38" t="s">
        <v>47</v>
      </c>
      <c r="F270" s="37" t="s">
        <v>411</v>
      </c>
      <c r="G270" s="69">
        <v>0</v>
      </c>
      <c r="H270" s="71">
        <v>0</v>
      </c>
      <c r="I270" s="71">
        <v>0</v>
      </c>
      <c r="J270" s="71">
        <v>0</v>
      </c>
      <c r="K270" s="71">
        <v>0</v>
      </c>
      <c r="L270" s="71">
        <v>0</v>
      </c>
      <c r="M270" s="71">
        <v>0</v>
      </c>
      <c r="N270" s="71">
        <v>0</v>
      </c>
    </row>
    <row r="271" spans="1:14" x14ac:dyDescent="0.25">
      <c r="A271" s="12">
        <v>270</v>
      </c>
      <c r="B271" s="60" t="s">
        <v>293</v>
      </c>
      <c r="C271" s="53">
        <v>10613</v>
      </c>
      <c r="D271" s="38" t="s">
        <v>389</v>
      </c>
      <c r="E271" s="38" t="s">
        <v>69</v>
      </c>
      <c r="F271" s="37" t="s">
        <v>284</v>
      </c>
      <c r="G271" s="69">
        <v>1920</v>
      </c>
      <c r="H271" s="71">
        <v>0</v>
      </c>
      <c r="I271" s="71">
        <v>2000</v>
      </c>
      <c r="J271" s="71">
        <v>0</v>
      </c>
      <c r="K271" s="71">
        <v>1560</v>
      </c>
      <c r="L271" s="71">
        <v>0</v>
      </c>
      <c r="M271" s="71">
        <v>900</v>
      </c>
      <c r="N271" s="71">
        <v>1080</v>
      </c>
    </row>
    <row r="272" spans="1:14" x14ac:dyDescent="0.25">
      <c r="A272" s="12">
        <v>271</v>
      </c>
      <c r="B272" s="60" t="s">
        <v>293</v>
      </c>
      <c r="C272" s="53">
        <v>10114</v>
      </c>
      <c r="D272" s="38" t="s">
        <v>257</v>
      </c>
      <c r="E272" s="38" t="s">
        <v>69</v>
      </c>
      <c r="F272" s="37" t="s">
        <v>284</v>
      </c>
      <c r="G272" s="69">
        <v>1530</v>
      </c>
      <c r="H272" s="71">
        <v>0</v>
      </c>
      <c r="I272" s="71">
        <v>0</v>
      </c>
      <c r="J272" s="71">
        <v>0</v>
      </c>
      <c r="K272" s="71">
        <v>1260</v>
      </c>
      <c r="L272" s="71">
        <v>1650</v>
      </c>
      <c r="M272" s="71">
        <v>1860</v>
      </c>
      <c r="N272" s="71">
        <v>6300</v>
      </c>
    </row>
    <row r="273" spans="1:14" x14ac:dyDescent="0.25">
      <c r="A273" s="12">
        <v>272</v>
      </c>
      <c r="B273" s="60" t="s">
        <v>294</v>
      </c>
      <c r="C273" s="53">
        <v>10136</v>
      </c>
      <c r="D273" s="38" t="s">
        <v>258</v>
      </c>
      <c r="E273" s="38" t="s">
        <v>69</v>
      </c>
      <c r="F273" s="37" t="s">
        <v>284</v>
      </c>
      <c r="G273" s="69">
        <v>0</v>
      </c>
      <c r="H273" s="71">
        <v>0</v>
      </c>
      <c r="I273" s="71">
        <v>0</v>
      </c>
      <c r="J273" s="71">
        <v>0</v>
      </c>
      <c r="K273" s="71">
        <v>0</v>
      </c>
      <c r="L273" s="71">
        <v>0</v>
      </c>
      <c r="M273" s="71">
        <v>0</v>
      </c>
      <c r="N273" s="71">
        <v>0</v>
      </c>
    </row>
    <row r="274" spans="1:14" x14ac:dyDescent="0.25">
      <c r="A274" s="12">
        <v>273</v>
      </c>
      <c r="B274" s="60" t="s">
        <v>294</v>
      </c>
      <c r="C274" s="53">
        <v>10285</v>
      </c>
      <c r="D274" s="38" t="s">
        <v>259</v>
      </c>
      <c r="E274" s="38" t="s">
        <v>69</v>
      </c>
      <c r="F274" s="37" t="s">
        <v>284</v>
      </c>
      <c r="G274" s="69">
        <v>0</v>
      </c>
      <c r="H274" s="71">
        <v>0</v>
      </c>
      <c r="I274" s="71">
        <v>0</v>
      </c>
      <c r="J274" s="71">
        <v>0</v>
      </c>
      <c r="K274" s="71">
        <v>0</v>
      </c>
      <c r="L274" s="71">
        <v>0</v>
      </c>
      <c r="M274" s="71">
        <v>0</v>
      </c>
      <c r="N274" s="71">
        <v>0</v>
      </c>
    </row>
    <row r="275" spans="1:14" x14ac:dyDescent="0.25">
      <c r="A275" s="12">
        <v>274</v>
      </c>
      <c r="B275" s="60" t="s">
        <v>294</v>
      </c>
      <c r="C275" s="53">
        <v>10456</v>
      </c>
      <c r="D275" s="38" t="s">
        <v>260</v>
      </c>
      <c r="E275" s="38" t="s">
        <v>69</v>
      </c>
      <c r="F275" s="37" t="s">
        <v>284</v>
      </c>
      <c r="G275" s="69">
        <v>1500</v>
      </c>
      <c r="H275" s="71">
        <v>1620</v>
      </c>
      <c r="I275" s="71">
        <v>0</v>
      </c>
      <c r="J275" s="71">
        <v>0</v>
      </c>
      <c r="K275" s="71">
        <v>0</v>
      </c>
      <c r="L275" s="71">
        <v>1050</v>
      </c>
      <c r="M275" s="71">
        <v>1800</v>
      </c>
      <c r="N275" s="71">
        <v>1530</v>
      </c>
    </row>
    <row r="276" spans="1:14" x14ac:dyDescent="0.25">
      <c r="A276" s="12">
        <v>275</v>
      </c>
      <c r="B276" s="60" t="s">
        <v>296</v>
      </c>
      <c r="C276" s="53">
        <v>10117</v>
      </c>
      <c r="D276" s="38" t="s">
        <v>261</v>
      </c>
      <c r="E276" s="38" t="s">
        <v>69</v>
      </c>
      <c r="F276" s="37" t="s">
        <v>284</v>
      </c>
      <c r="G276" s="69">
        <v>1500</v>
      </c>
      <c r="H276" s="71">
        <v>0</v>
      </c>
      <c r="I276" s="71">
        <v>0</v>
      </c>
      <c r="J276" s="71">
        <v>0</v>
      </c>
      <c r="K276" s="71">
        <v>0</v>
      </c>
      <c r="L276" s="71">
        <v>0</v>
      </c>
      <c r="M276" s="71">
        <v>0</v>
      </c>
      <c r="N276" s="71">
        <v>0</v>
      </c>
    </row>
    <row r="277" spans="1:14" x14ac:dyDescent="0.25">
      <c r="A277" s="12">
        <v>276</v>
      </c>
      <c r="B277" s="60" t="s">
        <v>294</v>
      </c>
      <c r="C277" s="53">
        <v>10452</v>
      </c>
      <c r="D277" s="38" t="s">
        <v>262</v>
      </c>
      <c r="E277" s="38" t="s">
        <v>69</v>
      </c>
      <c r="F277" s="37" t="s">
        <v>284</v>
      </c>
      <c r="G277" s="69">
        <v>0</v>
      </c>
      <c r="H277" s="71">
        <v>0</v>
      </c>
      <c r="I277" s="71">
        <v>0</v>
      </c>
      <c r="J277" s="71">
        <v>0</v>
      </c>
      <c r="K277" s="71">
        <v>0</v>
      </c>
      <c r="L277" s="71">
        <v>0</v>
      </c>
      <c r="M277" s="71">
        <v>0</v>
      </c>
      <c r="N277" s="71">
        <v>0</v>
      </c>
    </row>
    <row r="278" spans="1:14" x14ac:dyDescent="0.25">
      <c r="A278" s="12">
        <v>277</v>
      </c>
      <c r="B278" s="60" t="s">
        <v>296</v>
      </c>
      <c r="C278" s="53">
        <v>10118</v>
      </c>
      <c r="D278" s="38" t="s">
        <v>263</v>
      </c>
      <c r="E278" s="38" t="s">
        <v>69</v>
      </c>
      <c r="F278" s="37" t="s">
        <v>284</v>
      </c>
      <c r="G278" s="69">
        <v>6480</v>
      </c>
      <c r="H278" s="71">
        <v>6180</v>
      </c>
      <c r="I278" s="71">
        <v>2070</v>
      </c>
      <c r="J278" s="71">
        <v>9120</v>
      </c>
      <c r="K278" s="71">
        <v>12650</v>
      </c>
      <c r="L278" s="71">
        <v>10830</v>
      </c>
      <c r="M278" s="71">
        <v>8400</v>
      </c>
      <c r="N278" s="71">
        <v>8330</v>
      </c>
    </row>
    <row r="279" spans="1:14" x14ac:dyDescent="0.25">
      <c r="A279" s="12">
        <v>278</v>
      </c>
      <c r="B279" s="60" t="s">
        <v>296</v>
      </c>
      <c r="C279" s="53">
        <v>10119</v>
      </c>
      <c r="D279" s="38" t="s">
        <v>264</v>
      </c>
      <c r="E279" s="38" t="s">
        <v>69</v>
      </c>
      <c r="F279" s="37" t="s">
        <v>284</v>
      </c>
      <c r="G279" s="69">
        <v>1650</v>
      </c>
      <c r="H279" s="71">
        <v>2340</v>
      </c>
      <c r="I279" s="71">
        <v>1710</v>
      </c>
      <c r="J279" s="71">
        <v>1770</v>
      </c>
      <c r="K279" s="71">
        <v>1380</v>
      </c>
      <c r="L279" s="71">
        <v>1980</v>
      </c>
      <c r="M279" s="71">
        <v>1770</v>
      </c>
      <c r="N279" s="71">
        <v>1440</v>
      </c>
    </row>
    <row r="280" spans="1:14" x14ac:dyDescent="0.25">
      <c r="A280" s="12">
        <v>279</v>
      </c>
      <c r="B280" s="60" t="s">
        <v>295</v>
      </c>
      <c r="C280" s="53">
        <v>10120</v>
      </c>
      <c r="D280" s="38" t="s">
        <v>265</v>
      </c>
      <c r="E280" s="38" t="s">
        <v>69</v>
      </c>
      <c r="F280" s="37" t="s">
        <v>284</v>
      </c>
      <c r="G280" s="69">
        <v>0</v>
      </c>
      <c r="H280" s="71">
        <v>0</v>
      </c>
      <c r="I280" s="71">
        <v>0</v>
      </c>
      <c r="J280" s="71">
        <v>0</v>
      </c>
      <c r="K280" s="71">
        <v>0</v>
      </c>
      <c r="L280" s="71">
        <v>0</v>
      </c>
      <c r="M280" s="71">
        <v>0</v>
      </c>
      <c r="N280" s="71">
        <v>0</v>
      </c>
    </row>
    <row r="281" spans="1:14" x14ac:dyDescent="0.25">
      <c r="A281" s="12">
        <v>280</v>
      </c>
      <c r="B281" s="60" t="s">
        <v>295</v>
      </c>
      <c r="C281" s="53">
        <v>10557</v>
      </c>
      <c r="D281" s="38" t="s">
        <v>330</v>
      </c>
      <c r="E281" s="38" t="s">
        <v>69</v>
      </c>
      <c r="F281" s="37" t="s">
        <v>284</v>
      </c>
      <c r="G281" s="69">
        <v>4900</v>
      </c>
      <c r="H281" s="71">
        <v>1950</v>
      </c>
      <c r="I281" s="71">
        <v>1770</v>
      </c>
      <c r="J281" s="71">
        <v>1560</v>
      </c>
      <c r="K281" s="71">
        <v>1830</v>
      </c>
      <c r="L281" s="71">
        <v>1440</v>
      </c>
      <c r="M281" s="71">
        <v>1410</v>
      </c>
      <c r="N281" s="71">
        <v>1590</v>
      </c>
    </row>
    <row r="282" spans="1:14" x14ac:dyDescent="0.25">
      <c r="A282" s="12">
        <v>281</v>
      </c>
      <c r="B282" s="60" t="s">
        <v>297</v>
      </c>
      <c r="C282" s="53">
        <v>10122</v>
      </c>
      <c r="D282" s="38" t="s">
        <v>266</v>
      </c>
      <c r="E282" s="38" t="s">
        <v>69</v>
      </c>
      <c r="F282" s="37" t="s">
        <v>284</v>
      </c>
      <c r="G282" s="69">
        <v>1500</v>
      </c>
      <c r="H282" s="71">
        <v>3320</v>
      </c>
      <c r="I282" s="71">
        <v>1000</v>
      </c>
      <c r="J282" s="71">
        <v>0</v>
      </c>
      <c r="K282" s="71">
        <v>0</v>
      </c>
      <c r="L282" s="71">
        <v>0</v>
      </c>
      <c r="M282" s="71">
        <v>0</v>
      </c>
      <c r="N282" s="71">
        <v>0</v>
      </c>
    </row>
    <row r="283" spans="1:14" x14ac:dyDescent="0.25">
      <c r="A283" s="12">
        <v>282</v>
      </c>
      <c r="B283" s="60" t="s">
        <v>295</v>
      </c>
      <c r="C283" s="53">
        <v>10124</v>
      </c>
      <c r="D283" s="38" t="s">
        <v>267</v>
      </c>
      <c r="E283" s="38" t="s">
        <v>69</v>
      </c>
      <c r="F283" s="37" t="s">
        <v>284</v>
      </c>
      <c r="G283" s="69">
        <v>1830</v>
      </c>
      <c r="H283" s="71">
        <v>1710</v>
      </c>
      <c r="I283" s="71">
        <v>0</v>
      </c>
      <c r="J283" s="71">
        <v>0</v>
      </c>
      <c r="K283" s="71">
        <v>1200</v>
      </c>
      <c r="L283" s="71">
        <v>1200</v>
      </c>
      <c r="M283" s="71">
        <v>1410</v>
      </c>
      <c r="N283" s="71">
        <v>1590</v>
      </c>
    </row>
    <row r="284" spans="1:14" x14ac:dyDescent="0.25">
      <c r="A284" s="12">
        <v>283</v>
      </c>
      <c r="B284" s="60" t="s">
        <v>293</v>
      </c>
      <c r="C284" s="53">
        <v>10427</v>
      </c>
      <c r="D284" s="38" t="s">
        <v>268</v>
      </c>
      <c r="E284" s="38" t="s">
        <v>69</v>
      </c>
      <c r="F284" s="37" t="s">
        <v>284</v>
      </c>
      <c r="G284" s="69">
        <v>1500</v>
      </c>
      <c r="H284" s="71">
        <v>0</v>
      </c>
      <c r="I284" s="71">
        <v>0</v>
      </c>
      <c r="J284" s="71">
        <v>0</v>
      </c>
      <c r="K284" s="71">
        <v>1830</v>
      </c>
      <c r="L284" s="71">
        <v>1560</v>
      </c>
      <c r="M284" s="71">
        <v>1080</v>
      </c>
      <c r="N284" s="71">
        <v>1290</v>
      </c>
    </row>
    <row r="285" spans="1:14" x14ac:dyDescent="0.25">
      <c r="A285" s="12">
        <v>284</v>
      </c>
      <c r="B285" s="60" t="s">
        <v>293</v>
      </c>
      <c r="C285" s="53">
        <v>10126</v>
      </c>
      <c r="D285" s="38" t="s">
        <v>269</v>
      </c>
      <c r="E285" s="38" t="s">
        <v>69</v>
      </c>
      <c r="F285" s="37" t="s">
        <v>284</v>
      </c>
      <c r="G285" s="69">
        <v>0</v>
      </c>
      <c r="H285" s="71">
        <v>0</v>
      </c>
      <c r="I285" s="71">
        <v>0</v>
      </c>
      <c r="J285" s="71">
        <v>0</v>
      </c>
      <c r="K285" s="71">
        <v>1020</v>
      </c>
      <c r="L285" s="71">
        <v>900</v>
      </c>
      <c r="M285" s="71">
        <v>1200</v>
      </c>
      <c r="N285" s="71">
        <v>1080</v>
      </c>
    </row>
    <row r="286" spans="1:14" x14ac:dyDescent="0.25">
      <c r="A286" s="12">
        <v>285</v>
      </c>
      <c r="B286" s="60" t="s">
        <v>294</v>
      </c>
      <c r="C286" s="53">
        <v>10155</v>
      </c>
      <c r="D286" s="38" t="s">
        <v>270</v>
      </c>
      <c r="E286" s="38" t="s">
        <v>69</v>
      </c>
      <c r="F286" s="37" t="s">
        <v>284</v>
      </c>
      <c r="G286" s="69">
        <v>0</v>
      </c>
      <c r="H286" s="71">
        <v>0</v>
      </c>
      <c r="I286" s="71">
        <v>0</v>
      </c>
      <c r="J286" s="71">
        <v>0</v>
      </c>
      <c r="K286" s="71">
        <v>0</v>
      </c>
      <c r="L286" s="71">
        <v>0</v>
      </c>
      <c r="M286" s="71">
        <v>0</v>
      </c>
      <c r="N286" s="71">
        <v>0</v>
      </c>
    </row>
    <row r="287" spans="1:14" x14ac:dyDescent="0.25">
      <c r="A287" s="12">
        <v>286</v>
      </c>
      <c r="B287" s="60" t="s">
        <v>294</v>
      </c>
      <c r="C287" s="53">
        <v>10128</v>
      </c>
      <c r="D287" s="38" t="s">
        <v>271</v>
      </c>
      <c r="E287" s="38" t="s">
        <v>69</v>
      </c>
      <c r="F287" s="37" t="s">
        <v>284</v>
      </c>
      <c r="G287" s="69">
        <v>0</v>
      </c>
      <c r="H287" s="71">
        <v>0</v>
      </c>
      <c r="I287" s="71">
        <v>0</v>
      </c>
      <c r="J287" s="71">
        <v>0</v>
      </c>
      <c r="K287" s="71">
        <v>0</v>
      </c>
      <c r="L287" s="71">
        <v>0</v>
      </c>
      <c r="M287" s="71">
        <v>0</v>
      </c>
      <c r="N287" s="71">
        <v>0</v>
      </c>
    </row>
    <row r="288" spans="1:14" x14ac:dyDescent="0.25">
      <c r="A288" s="12">
        <v>287</v>
      </c>
      <c r="B288" s="60" t="s">
        <v>296</v>
      </c>
      <c r="C288" s="53">
        <v>10129</v>
      </c>
      <c r="D288" s="38" t="s">
        <v>272</v>
      </c>
      <c r="E288" s="38" t="s">
        <v>69</v>
      </c>
      <c r="F288" s="37" t="s">
        <v>284</v>
      </c>
      <c r="G288" s="69">
        <v>1620</v>
      </c>
      <c r="H288" s="71">
        <v>1770</v>
      </c>
      <c r="I288" s="71">
        <v>0</v>
      </c>
      <c r="J288" s="71">
        <v>0</v>
      </c>
      <c r="K288" s="71">
        <v>0</v>
      </c>
      <c r="L288" s="71">
        <v>0</v>
      </c>
      <c r="M288" s="71">
        <v>0</v>
      </c>
      <c r="N288" s="71">
        <v>0</v>
      </c>
    </row>
    <row r="289" spans="1:14" s="13" customFormat="1" x14ac:dyDescent="0.25">
      <c r="A289" s="12">
        <v>288</v>
      </c>
      <c r="B289" s="60" t="s">
        <v>293</v>
      </c>
      <c r="C289" s="53">
        <v>10643</v>
      </c>
      <c r="D289" s="38" t="s">
        <v>394</v>
      </c>
      <c r="E289" s="38" t="s">
        <v>553</v>
      </c>
      <c r="F289" s="37" t="s">
        <v>283</v>
      </c>
      <c r="G289" s="71"/>
      <c r="H289" s="71">
        <v>0</v>
      </c>
      <c r="I289" s="71">
        <v>0</v>
      </c>
      <c r="J289" s="71">
        <v>0</v>
      </c>
      <c r="K289" s="71">
        <v>0</v>
      </c>
      <c r="L289" s="71">
        <v>0</v>
      </c>
      <c r="M289" s="71">
        <v>0</v>
      </c>
      <c r="N289" s="71">
        <v>0</v>
      </c>
    </row>
    <row r="290" spans="1:14" s="13" customFormat="1" x14ac:dyDescent="0.25">
      <c r="A290" s="12">
        <v>289</v>
      </c>
      <c r="B290" s="60" t="s">
        <v>293</v>
      </c>
      <c r="C290" s="53">
        <v>10645</v>
      </c>
      <c r="D290" s="38" t="s">
        <v>550</v>
      </c>
      <c r="E290" s="38" t="s">
        <v>69</v>
      </c>
      <c r="F290" s="37" t="s">
        <v>284</v>
      </c>
      <c r="G290" s="71"/>
      <c r="H290" s="71">
        <v>3280</v>
      </c>
      <c r="I290" s="71">
        <v>6060</v>
      </c>
      <c r="J290" s="71">
        <v>30240</v>
      </c>
      <c r="K290" s="71">
        <v>26400</v>
      </c>
      <c r="L290" s="71">
        <v>27040</v>
      </c>
      <c r="M290" s="71">
        <v>43380</v>
      </c>
      <c r="N290" s="71">
        <v>48240</v>
      </c>
    </row>
    <row r="291" spans="1:14" s="13" customFormat="1" x14ac:dyDescent="0.25">
      <c r="A291" s="12">
        <v>290</v>
      </c>
      <c r="B291" s="60" t="s">
        <v>293</v>
      </c>
      <c r="C291" s="53">
        <v>10646</v>
      </c>
      <c r="D291" s="38" t="s">
        <v>551</v>
      </c>
      <c r="E291" s="38" t="s">
        <v>554</v>
      </c>
      <c r="F291" s="37" t="s">
        <v>290</v>
      </c>
      <c r="G291" s="71"/>
      <c r="H291" s="71">
        <v>0</v>
      </c>
      <c r="I291" s="71">
        <v>0</v>
      </c>
      <c r="J291" s="71">
        <v>0</v>
      </c>
      <c r="K291" s="71">
        <v>0</v>
      </c>
      <c r="L291" s="71">
        <v>0</v>
      </c>
      <c r="M291" s="71">
        <v>0</v>
      </c>
      <c r="N291" s="71">
        <v>0</v>
      </c>
    </row>
    <row r="292" spans="1:14" s="13" customFormat="1" x14ac:dyDescent="0.25">
      <c r="A292" s="12">
        <v>291</v>
      </c>
      <c r="B292" s="60" t="s">
        <v>293</v>
      </c>
      <c r="C292" s="53">
        <v>10647</v>
      </c>
      <c r="D292" s="38" t="s">
        <v>552</v>
      </c>
      <c r="E292" s="38" t="s">
        <v>149</v>
      </c>
      <c r="F292" s="37" t="s">
        <v>280</v>
      </c>
      <c r="G292" s="71"/>
      <c r="H292" s="71">
        <v>0</v>
      </c>
      <c r="I292" s="71">
        <v>0</v>
      </c>
      <c r="J292" s="71">
        <v>0</v>
      </c>
      <c r="K292" s="71">
        <v>0</v>
      </c>
      <c r="L292" s="71">
        <v>0</v>
      </c>
      <c r="M292" s="71">
        <v>0</v>
      </c>
      <c r="N292" s="71">
        <v>0</v>
      </c>
    </row>
    <row r="293" spans="1:14" s="13" customFormat="1" x14ac:dyDescent="0.25">
      <c r="A293" s="12">
        <v>292</v>
      </c>
      <c r="B293" s="60" t="s">
        <v>322</v>
      </c>
      <c r="C293" s="53">
        <v>10644</v>
      </c>
      <c r="D293" s="38" t="s">
        <v>555</v>
      </c>
      <c r="E293" s="38" t="s">
        <v>451</v>
      </c>
      <c r="F293" s="37" t="s">
        <v>284</v>
      </c>
      <c r="G293" s="71"/>
      <c r="H293" s="71">
        <v>0</v>
      </c>
      <c r="I293" s="71">
        <v>0</v>
      </c>
      <c r="J293" s="71">
        <v>0</v>
      </c>
      <c r="K293" s="71">
        <v>1260</v>
      </c>
      <c r="L293" s="71">
        <v>4740</v>
      </c>
      <c r="M293" s="71">
        <v>1530</v>
      </c>
      <c r="N293" s="71">
        <v>2010</v>
      </c>
    </row>
    <row r="294" spans="1:14" s="13" customFormat="1" x14ac:dyDescent="0.25">
      <c r="A294" s="12">
        <v>293</v>
      </c>
      <c r="B294" s="60" t="s">
        <v>293</v>
      </c>
      <c r="C294" s="53">
        <v>10390</v>
      </c>
      <c r="D294" s="38" t="s">
        <v>556</v>
      </c>
      <c r="E294" s="38" t="s">
        <v>557</v>
      </c>
      <c r="F294" s="37" t="s">
        <v>291</v>
      </c>
      <c r="G294" s="71"/>
      <c r="H294" s="71">
        <v>0</v>
      </c>
      <c r="I294" s="71">
        <v>0</v>
      </c>
      <c r="J294" s="71">
        <v>0</v>
      </c>
      <c r="K294" s="71">
        <v>0</v>
      </c>
      <c r="L294" s="71">
        <v>0</v>
      </c>
      <c r="M294" s="71">
        <v>0</v>
      </c>
      <c r="N294" s="71">
        <v>0</v>
      </c>
    </row>
    <row r="295" spans="1:14" s="13" customFormat="1" x14ac:dyDescent="0.25">
      <c r="A295" s="12">
        <v>294</v>
      </c>
      <c r="B295" s="60" t="s">
        <v>576</v>
      </c>
      <c r="C295" s="53">
        <v>10648</v>
      </c>
      <c r="D295" s="38" t="s">
        <v>558</v>
      </c>
      <c r="E295" s="38" t="s">
        <v>69</v>
      </c>
      <c r="F295" s="37" t="s">
        <v>284</v>
      </c>
      <c r="G295" s="71"/>
      <c r="H295" s="71">
        <v>0</v>
      </c>
      <c r="I295" s="71">
        <v>1710</v>
      </c>
      <c r="J295" s="71">
        <v>0</v>
      </c>
      <c r="K295" s="71">
        <v>900</v>
      </c>
      <c r="L295" s="71">
        <v>1170</v>
      </c>
      <c r="M295" s="71">
        <v>1350</v>
      </c>
      <c r="N295" s="71">
        <v>1650</v>
      </c>
    </row>
    <row r="296" spans="1:14" s="13" customFormat="1" x14ac:dyDescent="0.25">
      <c r="A296" s="12">
        <v>295</v>
      </c>
      <c r="B296" s="60" t="s">
        <v>293</v>
      </c>
      <c r="C296" s="53">
        <v>10649</v>
      </c>
      <c r="D296" s="38" t="s">
        <v>559</v>
      </c>
      <c r="E296" s="38" t="s">
        <v>560</v>
      </c>
      <c r="F296" s="37" t="s">
        <v>572</v>
      </c>
      <c r="G296" s="71"/>
      <c r="H296" s="71">
        <v>0</v>
      </c>
      <c r="I296" s="71">
        <v>0</v>
      </c>
      <c r="J296" s="71">
        <v>0</v>
      </c>
      <c r="K296" s="71">
        <v>0</v>
      </c>
      <c r="L296" s="71">
        <v>0</v>
      </c>
      <c r="M296" s="71">
        <v>0</v>
      </c>
      <c r="N296" s="71">
        <v>0</v>
      </c>
    </row>
    <row r="297" spans="1:14" s="13" customFormat="1" x14ac:dyDescent="0.25">
      <c r="A297" s="12">
        <v>296</v>
      </c>
      <c r="B297" s="60" t="s">
        <v>293</v>
      </c>
      <c r="C297" s="53">
        <v>10650</v>
      </c>
      <c r="D297" s="38" t="s">
        <v>561</v>
      </c>
      <c r="E297" s="38" t="s">
        <v>337</v>
      </c>
      <c r="F297" s="37" t="s">
        <v>573</v>
      </c>
      <c r="G297" s="71"/>
      <c r="H297" s="71">
        <v>0</v>
      </c>
      <c r="I297" s="71">
        <v>0</v>
      </c>
      <c r="J297" s="71">
        <v>0</v>
      </c>
      <c r="K297" s="71">
        <v>0</v>
      </c>
      <c r="L297" s="71">
        <v>0</v>
      </c>
      <c r="M297" s="71">
        <v>0</v>
      </c>
      <c r="N297" s="71">
        <v>0</v>
      </c>
    </row>
    <row r="298" spans="1:14" s="13" customFormat="1" x14ac:dyDescent="0.25">
      <c r="A298" s="12">
        <v>297</v>
      </c>
      <c r="B298" s="60" t="s">
        <v>293</v>
      </c>
      <c r="C298" s="53">
        <v>10651</v>
      </c>
      <c r="D298" s="38" t="s">
        <v>562</v>
      </c>
      <c r="E298" s="38" t="s">
        <v>337</v>
      </c>
      <c r="F298" s="37" t="s">
        <v>573</v>
      </c>
      <c r="G298" s="71"/>
      <c r="H298" s="71">
        <v>0</v>
      </c>
      <c r="I298" s="71">
        <v>0</v>
      </c>
      <c r="J298" s="71">
        <v>0</v>
      </c>
      <c r="K298" s="71">
        <v>0</v>
      </c>
      <c r="L298" s="71">
        <v>0</v>
      </c>
      <c r="M298" s="71">
        <v>0</v>
      </c>
      <c r="N298" s="71">
        <v>0</v>
      </c>
    </row>
    <row r="299" spans="1:14" s="13" customFormat="1" x14ac:dyDescent="0.25">
      <c r="A299" s="12">
        <v>298</v>
      </c>
      <c r="B299" s="60" t="s">
        <v>293</v>
      </c>
      <c r="C299" s="53">
        <v>10652</v>
      </c>
      <c r="D299" s="38" t="s">
        <v>563</v>
      </c>
      <c r="E299" s="38" t="s">
        <v>23</v>
      </c>
      <c r="F299" s="37" t="s">
        <v>574</v>
      </c>
      <c r="G299" s="71"/>
      <c r="H299" s="71">
        <v>0</v>
      </c>
      <c r="I299" s="71">
        <v>0</v>
      </c>
      <c r="J299" s="71">
        <v>0</v>
      </c>
      <c r="K299" s="71">
        <v>0</v>
      </c>
      <c r="L299" s="71">
        <v>0</v>
      </c>
      <c r="M299" s="71">
        <v>0</v>
      </c>
      <c r="N299" s="71">
        <v>0</v>
      </c>
    </row>
    <row r="300" spans="1:14" s="13" customFormat="1" x14ac:dyDescent="0.25">
      <c r="A300" s="12">
        <v>299</v>
      </c>
      <c r="B300" s="60" t="s">
        <v>293</v>
      </c>
      <c r="C300" s="53">
        <v>10653</v>
      </c>
      <c r="D300" s="38" t="s">
        <v>564</v>
      </c>
      <c r="E300" s="38" t="s">
        <v>23</v>
      </c>
      <c r="F300" s="37" t="s">
        <v>574</v>
      </c>
      <c r="G300" s="71"/>
      <c r="H300" s="71">
        <v>0</v>
      </c>
      <c r="I300" s="71">
        <v>0</v>
      </c>
      <c r="J300" s="71">
        <v>0</v>
      </c>
      <c r="K300" s="71">
        <v>0</v>
      </c>
      <c r="L300" s="71">
        <v>0</v>
      </c>
      <c r="M300" s="71">
        <v>0</v>
      </c>
      <c r="N300" s="71">
        <v>0</v>
      </c>
    </row>
    <row r="301" spans="1:14" s="13" customFormat="1" x14ac:dyDescent="0.25">
      <c r="A301" s="12">
        <v>300</v>
      </c>
      <c r="B301" s="60" t="s">
        <v>293</v>
      </c>
      <c r="C301" s="53">
        <v>10654</v>
      </c>
      <c r="D301" s="38" t="s">
        <v>565</v>
      </c>
      <c r="E301" s="38" t="s">
        <v>23</v>
      </c>
      <c r="F301" s="37" t="s">
        <v>574</v>
      </c>
      <c r="G301" s="71"/>
      <c r="H301" s="71">
        <v>0</v>
      </c>
      <c r="I301" s="71">
        <v>0</v>
      </c>
      <c r="J301" s="71">
        <v>0</v>
      </c>
      <c r="K301" s="71">
        <v>0</v>
      </c>
      <c r="L301" s="71">
        <v>0</v>
      </c>
      <c r="M301" s="71">
        <v>0</v>
      </c>
      <c r="N301" s="71">
        <v>0</v>
      </c>
    </row>
    <row r="302" spans="1:14" s="13" customFormat="1" x14ac:dyDescent="0.25">
      <c r="A302" s="12">
        <v>301</v>
      </c>
      <c r="B302" s="60" t="s">
        <v>293</v>
      </c>
      <c r="C302" s="53">
        <v>10655</v>
      </c>
      <c r="D302" s="38" t="s">
        <v>566</v>
      </c>
      <c r="E302" s="38" t="s">
        <v>337</v>
      </c>
      <c r="F302" s="37" t="s">
        <v>575</v>
      </c>
      <c r="G302" s="71"/>
      <c r="H302" s="71">
        <v>0</v>
      </c>
      <c r="I302" s="71">
        <v>0</v>
      </c>
      <c r="J302" s="71">
        <v>0</v>
      </c>
      <c r="K302" s="71">
        <v>0</v>
      </c>
      <c r="L302" s="71">
        <v>0</v>
      </c>
      <c r="M302" s="71">
        <v>0</v>
      </c>
      <c r="N302" s="71">
        <v>0</v>
      </c>
    </row>
    <row r="303" spans="1:14" s="13" customFormat="1" x14ac:dyDescent="0.25">
      <c r="A303" s="12">
        <v>302</v>
      </c>
      <c r="B303" s="60" t="s">
        <v>293</v>
      </c>
      <c r="C303" s="53">
        <v>10656</v>
      </c>
      <c r="D303" s="38" t="s">
        <v>567</v>
      </c>
      <c r="E303" s="38" t="s">
        <v>23</v>
      </c>
      <c r="F303" s="37" t="s">
        <v>574</v>
      </c>
      <c r="G303" s="71"/>
      <c r="H303" s="71">
        <v>0</v>
      </c>
      <c r="I303" s="71">
        <v>0</v>
      </c>
      <c r="J303" s="71">
        <v>0</v>
      </c>
      <c r="K303" s="71">
        <v>0</v>
      </c>
      <c r="L303" s="71">
        <v>0</v>
      </c>
      <c r="M303" s="71">
        <v>0</v>
      </c>
      <c r="N303" s="71">
        <v>0</v>
      </c>
    </row>
    <row r="304" spans="1:14" s="13" customFormat="1" x14ac:dyDescent="0.25">
      <c r="A304" s="12">
        <v>303</v>
      </c>
      <c r="B304" s="60" t="s">
        <v>293</v>
      </c>
      <c r="C304" s="53">
        <v>10657</v>
      </c>
      <c r="D304" s="38" t="s">
        <v>568</v>
      </c>
      <c r="E304" s="38" t="s">
        <v>69</v>
      </c>
      <c r="F304" s="37" t="s">
        <v>284</v>
      </c>
      <c r="G304" s="71"/>
      <c r="H304" s="71">
        <v>0</v>
      </c>
      <c r="I304" s="71">
        <v>3240</v>
      </c>
      <c r="J304" s="71">
        <v>0</v>
      </c>
      <c r="K304" s="71">
        <v>0</v>
      </c>
      <c r="L304" s="71">
        <v>0</v>
      </c>
      <c r="M304" s="71">
        <v>0</v>
      </c>
      <c r="N304" s="71">
        <v>0</v>
      </c>
    </row>
    <row r="305" spans="1:14" s="13" customFormat="1" x14ac:dyDescent="0.25">
      <c r="A305" s="12">
        <v>304</v>
      </c>
      <c r="B305" s="60" t="s">
        <v>293</v>
      </c>
      <c r="C305" s="53">
        <v>10658</v>
      </c>
      <c r="D305" s="38" t="s">
        <v>569</v>
      </c>
      <c r="E305" s="38" t="s">
        <v>69</v>
      </c>
      <c r="F305" s="37" t="s">
        <v>284</v>
      </c>
      <c r="G305" s="71"/>
      <c r="H305" s="71">
        <v>0</v>
      </c>
      <c r="I305" s="71">
        <v>0</v>
      </c>
      <c r="J305" s="71">
        <v>0</v>
      </c>
      <c r="K305" s="71">
        <v>0</v>
      </c>
      <c r="L305" s="71">
        <v>0</v>
      </c>
      <c r="M305" s="71">
        <v>0</v>
      </c>
      <c r="N305" s="71">
        <v>0</v>
      </c>
    </row>
    <row r="306" spans="1:14" s="13" customFormat="1" x14ac:dyDescent="0.25">
      <c r="A306" s="12">
        <v>305</v>
      </c>
      <c r="B306" s="14" t="s">
        <v>293</v>
      </c>
      <c r="C306" s="53">
        <v>10659</v>
      </c>
      <c r="D306" s="38" t="s">
        <v>570</v>
      </c>
      <c r="E306" s="38" t="s">
        <v>571</v>
      </c>
      <c r="F306" s="37" t="s">
        <v>290</v>
      </c>
      <c r="G306" s="71"/>
      <c r="H306" s="71">
        <v>0</v>
      </c>
      <c r="I306" s="71">
        <v>0</v>
      </c>
      <c r="J306" s="71">
        <v>0</v>
      </c>
      <c r="K306" s="71">
        <v>0</v>
      </c>
      <c r="L306" s="71">
        <v>0</v>
      </c>
      <c r="M306" s="71">
        <v>0</v>
      </c>
      <c r="N306" s="71">
        <v>0</v>
      </c>
    </row>
    <row r="307" spans="1:14" s="13" customFormat="1" x14ac:dyDescent="0.25">
      <c r="A307" s="12">
        <v>306</v>
      </c>
      <c r="B307" s="14" t="s">
        <v>293</v>
      </c>
      <c r="C307" s="14">
        <v>10660</v>
      </c>
      <c r="D307" s="15" t="s">
        <v>660</v>
      </c>
      <c r="E307" s="15" t="s">
        <v>347</v>
      </c>
      <c r="F307" s="14" t="s">
        <v>283</v>
      </c>
      <c r="G307" s="71"/>
      <c r="H307" s="71">
        <v>0</v>
      </c>
      <c r="I307" s="71">
        <v>0</v>
      </c>
      <c r="J307" s="71">
        <v>0</v>
      </c>
      <c r="K307" s="71">
        <v>0</v>
      </c>
      <c r="L307" s="71">
        <v>0</v>
      </c>
      <c r="M307" s="71">
        <v>0</v>
      </c>
      <c r="N307" s="71">
        <v>0</v>
      </c>
    </row>
    <row r="308" spans="1:14" x14ac:dyDescent="0.25">
      <c r="A308" s="12">
        <v>307</v>
      </c>
      <c r="B308" s="14" t="s">
        <v>293</v>
      </c>
      <c r="C308" s="14">
        <v>10661</v>
      </c>
      <c r="D308" s="15" t="s">
        <v>661</v>
      </c>
      <c r="E308" s="15" t="s">
        <v>23</v>
      </c>
      <c r="F308" s="14" t="s">
        <v>279</v>
      </c>
      <c r="G308" s="71"/>
      <c r="H308" s="71">
        <v>0</v>
      </c>
      <c r="I308" s="71">
        <v>0</v>
      </c>
      <c r="J308" s="71">
        <v>0</v>
      </c>
      <c r="K308" s="71">
        <v>0</v>
      </c>
      <c r="L308" s="71">
        <v>0</v>
      </c>
      <c r="M308" s="71">
        <v>0</v>
      </c>
      <c r="N308" s="71">
        <v>0</v>
      </c>
    </row>
    <row r="309" spans="1:14" x14ac:dyDescent="0.25">
      <c r="A309" s="12">
        <v>308</v>
      </c>
      <c r="B309" s="14" t="s">
        <v>293</v>
      </c>
      <c r="C309" s="14">
        <v>10662</v>
      </c>
      <c r="D309" s="15" t="s">
        <v>662</v>
      </c>
      <c r="E309" s="15" t="s">
        <v>23</v>
      </c>
      <c r="F309" s="14" t="s">
        <v>279</v>
      </c>
      <c r="G309" s="71"/>
      <c r="H309" s="71">
        <v>0</v>
      </c>
      <c r="I309" s="71">
        <v>0</v>
      </c>
      <c r="J309" s="71">
        <v>0</v>
      </c>
      <c r="K309" s="71">
        <v>0</v>
      </c>
      <c r="L309" s="71">
        <v>0</v>
      </c>
      <c r="M309" s="71">
        <v>0</v>
      </c>
      <c r="N309" s="71">
        <v>0</v>
      </c>
    </row>
    <row r="310" spans="1:14" x14ac:dyDescent="0.25">
      <c r="A310" s="12">
        <v>309</v>
      </c>
      <c r="B310" s="60" t="s">
        <v>293</v>
      </c>
      <c r="C310" s="14">
        <v>10663</v>
      </c>
      <c r="D310" s="15" t="s">
        <v>775</v>
      </c>
      <c r="E310" s="15" t="s">
        <v>776</v>
      </c>
      <c r="F310" s="14" t="s">
        <v>283</v>
      </c>
      <c r="G310" s="71"/>
      <c r="H310" s="71">
        <v>0</v>
      </c>
      <c r="I310" s="71">
        <v>0</v>
      </c>
      <c r="J310" s="71">
        <v>0</v>
      </c>
      <c r="K310" s="71">
        <v>0</v>
      </c>
      <c r="L310" s="71">
        <v>0</v>
      </c>
      <c r="M310" s="71">
        <v>0</v>
      </c>
      <c r="N310" s="71">
        <v>0</v>
      </c>
    </row>
    <row r="311" spans="1:14" x14ac:dyDescent="0.25">
      <c r="A311" s="12">
        <v>310</v>
      </c>
      <c r="B311" s="60" t="s">
        <v>293</v>
      </c>
      <c r="C311" s="14">
        <v>10664</v>
      </c>
      <c r="D311" s="15" t="s">
        <v>777</v>
      </c>
      <c r="E311" s="15" t="s">
        <v>23</v>
      </c>
      <c r="F311" s="14" t="s">
        <v>279</v>
      </c>
      <c r="G311" s="71"/>
      <c r="H311" s="71">
        <v>0</v>
      </c>
      <c r="I311" s="71">
        <v>0</v>
      </c>
      <c r="J311" s="71">
        <v>0</v>
      </c>
      <c r="K311" s="71">
        <v>0</v>
      </c>
      <c r="L311" s="71">
        <v>0</v>
      </c>
      <c r="M311" s="71">
        <v>0</v>
      </c>
      <c r="N311" s="71">
        <v>0</v>
      </c>
    </row>
    <row r="312" spans="1:14" x14ac:dyDescent="0.25">
      <c r="A312" s="12">
        <v>311</v>
      </c>
      <c r="B312" s="60" t="s">
        <v>293</v>
      </c>
      <c r="C312" s="14">
        <v>10665</v>
      </c>
      <c r="D312" s="15" t="s">
        <v>778</v>
      </c>
      <c r="E312" s="15" t="s">
        <v>23</v>
      </c>
      <c r="F312" s="14" t="s">
        <v>279</v>
      </c>
      <c r="G312" s="71"/>
      <c r="H312" s="71">
        <v>0</v>
      </c>
      <c r="I312" s="71">
        <v>0</v>
      </c>
      <c r="J312" s="71">
        <v>0</v>
      </c>
      <c r="K312" s="71">
        <v>0</v>
      </c>
      <c r="L312" s="71">
        <v>0</v>
      </c>
      <c r="M312" s="71">
        <v>0</v>
      </c>
      <c r="N312" s="71">
        <v>0</v>
      </c>
    </row>
    <row r="313" spans="1:14" x14ac:dyDescent="0.25">
      <c r="A313" s="12">
        <v>312</v>
      </c>
      <c r="B313" s="60" t="s">
        <v>293</v>
      </c>
      <c r="C313" s="14">
        <v>10666</v>
      </c>
      <c r="D313" s="15" t="s">
        <v>779</v>
      </c>
      <c r="E313" s="15" t="s">
        <v>23</v>
      </c>
      <c r="F313" s="14" t="s">
        <v>279</v>
      </c>
      <c r="G313" s="71"/>
      <c r="H313" s="71">
        <v>0</v>
      </c>
      <c r="I313" s="71">
        <v>0</v>
      </c>
      <c r="J313" s="71">
        <v>0</v>
      </c>
      <c r="K313" s="71">
        <v>0</v>
      </c>
      <c r="L313" s="71">
        <v>0</v>
      </c>
      <c r="M313" s="71">
        <v>0</v>
      </c>
      <c r="N313" s="71">
        <v>0</v>
      </c>
    </row>
    <row r="314" spans="1:14" x14ac:dyDescent="0.25">
      <c r="A314" s="12">
        <v>313</v>
      </c>
      <c r="B314" s="60" t="s">
        <v>293</v>
      </c>
      <c r="C314" s="14">
        <v>10667</v>
      </c>
      <c r="D314" s="15" t="s">
        <v>201</v>
      </c>
      <c r="E314" s="15" t="s">
        <v>23</v>
      </c>
      <c r="F314" s="14" t="s">
        <v>279</v>
      </c>
      <c r="G314" s="71"/>
      <c r="H314" s="71">
        <v>0</v>
      </c>
      <c r="I314" s="71">
        <v>0</v>
      </c>
      <c r="J314" s="71">
        <v>0</v>
      </c>
      <c r="K314" s="71">
        <v>0</v>
      </c>
      <c r="L314" s="71">
        <v>0</v>
      </c>
      <c r="M314" s="71">
        <v>0</v>
      </c>
      <c r="N314" s="71">
        <v>0</v>
      </c>
    </row>
    <row r="315" spans="1:14" x14ac:dyDescent="0.25">
      <c r="A315" s="12">
        <v>314</v>
      </c>
      <c r="B315" s="60" t="s">
        <v>293</v>
      </c>
      <c r="C315" s="14">
        <v>10668</v>
      </c>
      <c r="D315" s="15" t="s">
        <v>780</v>
      </c>
      <c r="E315" s="15" t="s">
        <v>781</v>
      </c>
      <c r="F315" s="14" t="s">
        <v>282</v>
      </c>
      <c r="G315" s="71"/>
      <c r="H315" s="71">
        <v>0</v>
      </c>
      <c r="I315" s="71">
        <v>0</v>
      </c>
      <c r="J315" s="71">
        <v>0</v>
      </c>
      <c r="K315" s="71">
        <v>0</v>
      </c>
      <c r="L315" s="71">
        <v>0</v>
      </c>
      <c r="M315" s="71">
        <v>0</v>
      </c>
      <c r="N315" s="71">
        <v>0</v>
      </c>
    </row>
    <row r="316" spans="1:14" x14ac:dyDescent="0.25">
      <c r="A316" s="12">
        <v>315</v>
      </c>
      <c r="B316" s="60" t="s">
        <v>293</v>
      </c>
      <c r="C316" s="14">
        <v>10670</v>
      </c>
      <c r="D316" s="15" t="s">
        <v>782</v>
      </c>
      <c r="E316" s="15" t="s">
        <v>783</v>
      </c>
      <c r="F316" s="14" t="s">
        <v>288</v>
      </c>
      <c r="G316" s="71"/>
      <c r="H316" s="71">
        <v>0</v>
      </c>
      <c r="I316" s="71">
        <v>0</v>
      </c>
      <c r="J316" s="71">
        <v>0</v>
      </c>
      <c r="K316" s="71">
        <v>0</v>
      </c>
      <c r="L316" s="71">
        <v>0</v>
      </c>
      <c r="M316" s="71">
        <v>0</v>
      </c>
      <c r="N316" s="71">
        <v>0</v>
      </c>
    </row>
    <row r="317" spans="1:14" s="13" customFormat="1" x14ac:dyDescent="0.25">
      <c r="A317" s="12">
        <v>316</v>
      </c>
      <c r="B317" s="60" t="s">
        <v>293</v>
      </c>
      <c r="C317" s="14">
        <v>10671</v>
      </c>
      <c r="D317" s="15" t="s">
        <v>784</v>
      </c>
      <c r="E317" s="15" t="s">
        <v>69</v>
      </c>
      <c r="F317" s="14" t="s">
        <v>284</v>
      </c>
      <c r="G317" s="71"/>
      <c r="H317" s="71">
        <v>0</v>
      </c>
      <c r="I317" s="71">
        <v>0</v>
      </c>
      <c r="J317" s="71">
        <v>1860</v>
      </c>
      <c r="K317" s="71">
        <v>11655</v>
      </c>
      <c r="L317" s="71">
        <v>5950</v>
      </c>
      <c r="M317" s="71">
        <v>2160</v>
      </c>
      <c r="N317" s="71">
        <v>2040</v>
      </c>
    </row>
    <row r="318" spans="1:14" s="13" customFormat="1" x14ac:dyDescent="0.25">
      <c r="A318" s="12">
        <v>317</v>
      </c>
      <c r="B318" s="60" t="s">
        <v>293</v>
      </c>
      <c r="C318" s="14">
        <v>10672</v>
      </c>
      <c r="D318" s="15" t="s">
        <v>785</v>
      </c>
      <c r="E318" s="15" t="s">
        <v>69</v>
      </c>
      <c r="F318" s="14" t="s">
        <v>284</v>
      </c>
      <c r="G318" s="71"/>
      <c r="H318" s="71">
        <v>0</v>
      </c>
      <c r="I318" s="71">
        <v>0</v>
      </c>
      <c r="J318" s="71">
        <v>2160</v>
      </c>
      <c r="K318" s="71">
        <v>3240</v>
      </c>
      <c r="L318" s="71">
        <v>0</v>
      </c>
      <c r="M318" s="71">
        <v>0</v>
      </c>
      <c r="N318" s="71">
        <v>0</v>
      </c>
    </row>
    <row r="319" spans="1:14" s="13" customFormat="1" x14ac:dyDescent="0.25">
      <c r="A319" s="12">
        <v>318</v>
      </c>
      <c r="B319" s="60" t="s">
        <v>293</v>
      </c>
      <c r="C319" s="14">
        <v>10673</v>
      </c>
      <c r="D319" s="15" t="s">
        <v>786</v>
      </c>
      <c r="E319" s="15" t="s">
        <v>69</v>
      </c>
      <c r="F319" s="14" t="s">
        <v>284</v>
      </c>
      <c r="G319" s="71"/>
      <c r="H319" s="71">
        <v>0</v>
      </c>
      <c r="I319" s="71">
        <v>0</v>
      </c>
      <c r="J319" s="71">
        <v>2040</v>
      </c>
      <c r="K319" s="71">
        <v>15680</v>
      </c>
      <c r="L319" s="71">
        <v>8640</v>
      </c>
      <c r="M319" s="71">
        <v>7680</v>
      </c>
      <c r="N319" s="71">
        <v>1830</v>
      </c>
    </row>
    <row r="320" spans="1:14" s="13" customFormat="1" x14ac:dyDescent="0.25">
      <c r="A320" s="12">
        <v>319</v>
      </c>
      <c r="B320" s="60" t="s">
        <v>293</v>
      </c>
      <c r="C320" s="14">
        <v>10674</v>
      </c>
      <c r="D320" s="15" t="s">
        <v>787</v>
      </c>
      <c r="E320" s="15" t="s">
        <v>69</v>
      </c>
      <c r="F320" s="14" t="s">
        <v>284</v>
      </c>
      <c r="G320" s="71"/>
      <c r="H320" s="71">
        <v>0</v>
      </c>
      <c r="I320" s="71">
        <v>0</v>
      </c>
      <c r="J320" s="71">
        <v>0</v>
      </c>
      <c r="K320" s="71">
        <v>0</v>
      </c>
      <c r="L320" s="71">
        <v>960</v>
      </c>
      <c r="M320" s="71">
        <v>960</v>
      </c>
      <c r="N320" s="71">
        <v>900</v>
      </c>
    </row>
    <row r="321" spans="1:14" s="13" customFormat="1" x14ac:dyDescent="0.25">
      <c r="A321" s="12">
        <v>320</v>
      </c>
      <c r="B321" s="60" t="s">
        <v>294</v>
      </c>
      <c r="C321" s="14">
        <v>10669</v>
      </c>
      <c r="D321" s="15" t="s">
        <v>788</v>
      </c>
      <c r="E321" s="15" t="s">
        <v>69</v>
      </c>
      <c r="F321" s="14" t="s">
        <v>284</v>
      </c>
      <c r="G321" s="71"/>
      <c r="H321" s="71">
        <v>0</v>
      </c>
      <c r="I321" s="71">
        <v>0</v>
      </c>
      <c r="J321" s="71">
        <v>0</v>
      </c>
      <c r="K321" s="71">
        <v>1830</v>
      </c>
      <c r="L321" s="71">
        <v>4615</v>
      </c>
      <c r="M321" s="71">
        <v>1770</v>
      </c>
      <c r="N321" s="71">
        <v>0</v>
      </c>
    </row>
    <row r="322" spans="1:14" s="13" customFormat="1" x14ac:dyDescent="0.25">
      <c r="A322" s="12">
        <v>321</v>
      </c>
      <c r="B322" s="60" t="s">
        <v>297</v>
      </c>
      <c r="C322" s="14">
        <v>10675</v>
      </c>
      <c r="D322" s="15" t="s">
        <v>792</v>
      </c>
      <c r="E322" s="15" t="s">
        <v>69</v>
      </c>
      <c r="F322" s="14" t="s">
        <v>284</v>
      </c>
      <c r="G322" s="71"/>
      <c r="H322" s="71"/>
      <c r="I322" s="71"/>
      <c r="J322" s="71">
        <v>0</v>
      </c>
      <c r="K322" s="71">
        <v>1050</v>
      </c>
      <c r="L322" s="71">
        <v>1410</v>
      </c>
      <c r="M322" s="71">
        <v>1980</v>
      </c>
      <c r="N322" s="71">
        <v>1890</v>
      </c>
    </row>
    <row r="323" spans="1:14" s="13" customFormat="1" x14ac:dyDescent="0.25">
      <c r="A323" s="12">
        <v>322</v>
      </c>
      <c r="B323" s="60" t="s">
        <v>293</v>
      </c>
      <c r="C323" s="14">
        <v>10676</v>
      </c>
      <c r="D323" s="15" t="s">
        <v>855</v>
      </c>
      <c r="E323" s="15" t="s">
        <v>69</v>
      </c>
      <c r="F323" s="14" t="s">
        <v>284</v>
      </c>
      <c r="G323" s="71"/>
      <c r="H323" s="71"/>
      <c r="I323" s="71"/>
      <c r="J323" s="71">
        <v>0</v>
      </c>
      <c r="K323" s="71">
        <v>5590</v>
      </c>
      <c r="L323" s="71">
        <v>27900</v>
      </c>
      <c r="M323" s="71">
        <v>9700</v>
      </c>
      <c r="N323" s="71">
        <v>11400</v>
      </c>
    </row>
    <row r="324" spans="1:14" s="13" customFormat="1" x14ac:dyDescent="0.25">
      <c r="A324" s="12">
        <v>323</v>
      </c>
      <c r="B324" s="60" t="s">
        <v>293</v>
      </c>
      <c r="C324" s="14">
        <v>10677</v>
      </c>
      <c r="D324" s="15" t="s">
        <v>856</v>
      </c>
      <c r="E324" s="15" t="s">
        <v>69</v>
      </c>
      <c r="F324" s="14" t="s">
        <v>284</v>
      </c>
      <c r="G324" s="71"/>
      <c r="H324" s="71">
        <v>0</v>
      </c>
      <c r="I324" s="71">
        <v>0</v>
      </c>
      <c r="J324" s="71">
        <v>0</v>
      </c>
      <c r="K324" s="71">
        <v>990</v>
      </c>
      <c r="L324" s="71">
        <v>0</v>
      </c>
      <c r="M324" s="71">
        <v>0</v>
      </c>
      <c r="N324" s="71">
        <v>0</v>
      </c>
    </row>
    <row r="325" spans="1:14" s="13" customFormat="1" x14ac:dyDescent="0.25">
      <c r="A325" s="12">
        <v>324</v>
      </c>
      <c r="B325" s="60" t="s">
        <v>293</v>
      </c>
      <c r="C325" s="14">
        <v>10678</v>
      </c>
      <c r="D325" s="15" t="s">
        <v>857</v>
      </c>
      <c r="E325" s="15" t="s">
        <v>337</v>
      </c>
      <c r="F325" s="14" t="s">
        <v>573</v>
      </c>
      <c r="G325" s="71"/>
      <c r="H325" s="71"/>
      <c r="I325" s="71"/>
      <c r="J325" s="71">
        <v>0</v>
      </c>
      <c r="K325" s="71">
        <v>0</v>
      </c>
      <c r="L325" s="71">
        <v>0</v>
      </c>
      <c r="M325" s="71">
        <v>0</v>
      </c>
      <c r="N325" s="71">
        <v>0</v>
      </c>
    </row>
    <row r="326" spans="1:14" s="13" customFormat="1" x14ac:dyDescent="0.25">
      <c r="A326" s="12">
        <v>325</v>
      </c>
      <c r="B326" s="60" t="s">
        <v>293</v>
      </c>
      <c r="C326" s="14">
        <v>10679</v>
      </c>
      <c r="D326" s="15" t="s">
        <v>858</v>
      </c>
      <c r="E326" s="15" t="s">
        <v>342</v>
      </c>
      <c r="F326" s="14" t="s">
        <v>287</v>
      </c>
      <c r="G326" s="71"/>
      <c r="H326" s="71"/>
      <c r="I326" s="71"/>
      <c r="J326" s="71">
        <v>0</v>
      </c>
      <c r="K326" s="71">
        <v>0</v>
      </c>
      <c r="L326" s="71">
        <v>0</v>
      </c>
      <c r="M326" s="71">
        <v>0</v>
      </c>
      <c r="N326" s="71">
        <v>0</v>
      </c>
    </row>
    <row r="327" spans="1:14" s="13" customFormat="1" x14ac:dyDescent="0.25">
      <c r="A327" s="12">
        <v>326</v>
      </c>
      <c r="B327" s="60" t="s">
        <v>293</v>
      </c>
      <c r="C327" s="14">
        <v>10680</v>
      </c>
      <c r="D327" s="15" t="s">
        <v>859</v>
      </c>
      <c r="E327" s="15" t="s">
        <v>23</v>
      </c>
      <c r="F327" s="14" t="s">
        <v>279</v>
      </c>
      <c r="G327" s="71"/>
      <c r="H327" s="71">
        <v>0</v>
      </c>
      <c r="I327" s="71">
        <v>0</v>
      </c>
      <c r="J327" s="71">
        <v>0</v>
      </c>
      <c r="K327" s="71">
        <v>0</v>
      </c>
      <c r="L327" s="71">
        <v>0</v>
      </c>
      <c r="M327" s="71">
        <v>0</v>
      </c>
      <c r="N327" s="71">
        <v>0</v>
      </c>
    </row>
    <row r="328" spans="1:14" s="13" customFormat="1" x14ac:dyDescent="0.25">
      <c r="A328" s="12">
        <v>327</v>
      </c>
      <c r="B328" s="60" t="s">
        <v>293</v>
      </c>
      <c r="C328" s="14">
        <v>10681</v>
      </c>
      <c r="D328" s="15" t="s">
        <v>860</v>
      </c>
      <c r="E328" s="15" t="s">
        <v>69</v>
      </c>
      <c r="F328" s="14" t="s">
        <v>284</v>
      </c>
      <c r="G328" s="71"/>
      <c r="H328" s="71"/>
      <c r="I328" s="71"/>
      <c r="J328" s="71">
        <v>0</v>
      </c>
      <c r="K328" s="71">
        <v>1500</v>
      </c>
      <c r="L328" s="71">
        <v>14160</v>
      </c>
      <c r="M328" s="71">
        <v>1680</v>
      </c>
      <c r="N328" s="71">
        <v>3430</v>
      </c>
    </row>
    <row r="329" spans="1:14" s="13" customFormat="1" x14ac:dyDescent="0.25">
      <c r="A329" s="12">
        <v>328</v>
      </c>
      <c r="B329" s="60" t="s">
        <v>295</v>
      </c>
      <c r="C329" s="14">
        <v>10682</v>
      </c>
      <c r="D329" s="15" t="s">
        <v>861</v>
      </c>
      <c r="E329" s="15" t="s">
        <v>69</v>
      </c>
      <c r="F329" s="14" t="s">
        <v>284</v>
      </c>
      <c r="G329" s="71"/>
      <c r="H329" s="71"/>
      <c r="I329" s="71"/>
      <c r="J329" s="71">
        <v>0</v>
      </c>
      <c r="K329" s="71">
        <v>1350</v>
      </c>
      <c r="L329" s="71">
        <v>1740</v>
      </c>
      <c r="M329" s="71">
        <v>5170</v>
      </c>
      <c r="N329" s="71">
        <v>1800</v>
      </c>
    </row>
    <row r="330" spans="1:14" s="13" customFormat="1" x14ac:dyDescent="0.25">
      <c r="A330" s="12">
        <v>329</v>
      </c>
      <c r="B330" s="60" t="s">
        <v>293</v>
      </c>
      <c r="C330" s="14">
        <v>10683</v>
      </c>
      <c r="D330" s="15" t="s">
        <v>862</v>
      </c>
      <c r="E330" s="15" t="s">
        <v>55</v>
      </c>
      <c r="F330" s="14" t="s">
        <v>572</v>
      </c>
      <c r="G330" s="71"/>
      <c r="H330" s="71">
        <v>0</v>
      </c>
      <c r="I330" s="71">
        <v>0</v>
      </c>
      <c r="J330" s="71">
        <v>0</v>
      </c>
      <c r="K330" s="71">
        <v>0</v>
      </c>
      <c r="L330" s="71">
        <v>0</v>
      </c>
      <c r="M330" s="71">
        <v>0</v>
      </c>
      <c r="N330" s="71">
        <v>0</v>
      </c>
    </row>
    <row r="331" spans="1:14" s="13" customFormat="1" x14ac:dyDescent="0.25">
      <c r="A331" s="12">
        <v>330</v>
      </c>
      <c r="B331" s="60" t="s">
        <v>293</v>
      </c>
      <c r="C331" s="14">
        <v>10684</v>
      </c>
      <c r="D331" s="15" t="s">
        <v>972</v>
      </c>
      <c r="E331" s="15" t="s">
        <v>337</v>
      </c>
      <c r="F331" s="14" t="s">
        <v>573</v>
      </c>
      <c r="G331" s="71"/>
      <c r="H331" s="71"/>
      <c r="I331" s="71"/>
      <c r="J331" s="71">
        <v>0</v>
      </c>
      <c r="K331" s="71">
        <v>0</v>
      </c>
      <c r="L331" s="71">
        <v>0</v>
      </c>
      <c r="M331" s="71">
        <v>0</v>
      </c>
      <c r="N331" s="71">
        <v>0</v>
      </c>
    </row>
    <row r="332" spans="1:14" s="13" customFormat="1" x14ac:dyDescent="0.25">
      <c r="A332" s="12">
        <v>331</v>
      </c>
      <c r="B332" s="60" t="s">
        <v>293</v>
      </c>
      <c r="C332" s="14">
        <v>10685</v>
      </c>
      <c r="D332" s="15" t="s">
        <v>973</v>
      </c>
      <c r="E332" s="15" t="s">
        <v>149</v>
      </c>
      <c r="F332" s="14" t="s">
        <v>280</v>
      </c>
      <c r="G332" s="71"/>
      <c r="H332" s="71"/>
      <c r="I332" s="71"/>
      <c r="J332" s="71">
        <v>0</v>
      </c>
      <c r="K332" s="71">
        <v>0</v>
      </c>
      <c r="L332" s="71">
        <v>0</v>
      </c>
      <c r="M332" s="71">
        <v>0</v>
      </c>
      <c r="N332" s="71">
        <v>0</v>
      </c>
    </row>
    <row r="333" spans="1:14" s="13" customFormat="1" x14ac:dyDescent="0.25">
      <c r="A333" s="12">
        <v>332</v>
      </c>
      <c r="B333" s="60" t="s">
        <v>293</v>
      </c>
      <c r="C333" s="14">
        <v>10686</v>
      </c>
      <c r="D333" s="15" t="s">
        <v>974</v>
      </c>
      <c r="E333" s="15" t="s">
        <v>347</v>
      </c>
      <c r="F333" s="14" t="s">
        <v>284</v>
      </c>
      <c r="G333" s="71"/>
      <c r="H333" s="71">
        <v>0</v>
      </c>
      <c r="I333" s="71">
        <v>0</v>
      </c>
      <c r="J333" s="71">
        <v>0</v>
      </c>
      <c r="K333" s="71">
        <v>0</v>
      </c>
      <c r="L333" s="71">
        <v>0</v>
      </c>
      <c r="M333" s="71">
        <v>0</v>
      </c>
      <c r="N333" s="71">
        <v>0</v>
      </c>
    </row>
    <row r="334" spans="1:14" s="13" customFormat="1" x14ac:dyDescent="0.25">
      <c r="A334" s="12">
        <v>333</v>
      </c>
      <c r="B334" s="60" t="s">
        <v>981</v>
      </c>
      <c r="C334" s="14">
        <v>10689</v>
      </c>
      <c r="D334" s="15" t="s">
        <v>975</v>
      </c>
      <c r="E334" s="15" t="s">
        <v>69</v>
      </c>
      <c r="F334" s="14" t="s">
        <v>284</v>
      </c>
      <c r="G334" s="71"/>
      <c r="H334" s="71"/>
      <c r="I334" s="71"/>
      <c r="J334" s="71">
        <v>0</v>
      </c>
      <c r="K334" s="71">
        <v>0</v>
      </c>
      <c r="L334" s="71">
        <v>1410</v>
      </c>
      <c r="M334" s="71">
        <v>1950</v>
      </c>
      <c r="N334" s="71">
        <v>1470</v>
      </c>
    </row>
    <row r="335" spans="1:14" s="13" customFormat="1" x14ac:dyDescent="0.25">
      <c r="A335" s="12">
        <v>334</v>
      </c>
      <c r="B335" s="60" t="s">
        <v>293</v>
      </c>
      <c r="C335" s="14">
        <v>10690</v>
      </c>
      <c r="D335" s="15" t="s">
        <v>976</v>
      </c>
      <c r="E335" s="15" t="s">
        <v>23</v>
      </c>
      <c r="F335" s="14" t="s">
        <v>279</v>
      </c>
      <c r="G335" s="71"/>
      <c r="H335" s="71"/>
      <c r="I335" s="71"/>
      <c r="J335" s="71">
        <v>0</v>
      </c>
      <c r="K335" s="71">
        <v>0</v>
      </c>
      <c r="L335" s="71">
        <v>0</v>
      </c>
      <c r="M335" s="71">
        <v>0</v>
      </c>
      <c r="N335" s="71">
        <v>0</v>
      </c>
    </row>
    <row r="336" spans="1:14" s="13" customFormat="1" x14ac:dyDescent="0.25">
      <c r="A336" s="12">
        <v>335</v>
      </c>
      <c r="B336" s="60" t="s">
        <v>293</v>
      </c>
      <c r="C336" s="14">
        <v>10691</v>
      </c>
      <c r="D336" s="15" t="s">
        <v>977</v>
      </c>
      <c r="E336" s="15" t="s">
        <v>23</v>
      </c>
      <c r="F336" s="14" t="s">
        <v>279</v>
      </c>
      <c r="G336" s="71"/>
      <c r="H336" s="71">
        <v>0</v>
      </c>
      <c r="I336" s="71">
        <v>0</v>
      </c>
      <c r="J336" s="71">
        <v>0</v>
      </c>
      <c r="K336" s="71">
        <v>0</v>
      </c>
      <c r="L336" s="71">
        <v>0</v>
      </c>
      <c r="M336" s="71">
        <v>0</v>
      </c>
      <c r="N336" s="71">
        <v>0</v>
      </c>
    </row>
    <row r="337" spans="1:14" s="13" customFormat="1" x14ac:dyDescent="0.25">
      <c r="A337" s="12">
        <v>336</v>
      </c>
      <c r="B337" s="60" t="s">
        <v>293</v>
      </c>
      <c r="C337" s="14">
        <v>10692</v>
      </c>
      <c r="D337" s="15" t="s">
        <v>978</v>
      </c>
      <c r="E337" s="15" t="s">
        <v>337</v>
      </c>
      <c r="F337" s="14" t="s">
        <v>575</v>
      </c>
      <c r="G337" s="71"/>
      <c r="H337" s="71"/>
      <c r="I337" s="71"/>
      <c r="J337" s="71">
        <v>0</v>
      </c>
      <c r="K337" s="71">
        <v>0</v>
      </c>
      <c r="L337" s="71">
        <v>0</v>
      </c>
      <c r="M337" s="71">
        <v>0</v>
      </c>
      <c r="N337" s="71">
        <v>0</v>
      </c>
    </row>
    <row r="338" spans="1:14" s="13" customFormat="1" x14ac:dyDescent="0.25">
      <c r="A338" s="12">
        <v>337</v>
      </c>
      <c r="B338" s="60" t="s">
        <v>293</v>
      </c>
      <c r="C338" s="14">
        <v>10693</v>
      </c>
      <c r="D338" s="15" t="s">
        <v>979</v>
      </c>
      <c r="E338" s="15" t="s">
        <v>23</v>
      </c>
      <c r="F338" s="14" t="s">
        <v>279</v>
      </c>
      <c r="G338" s="71"/>
      <c r="H338" s="71"/>
      <c r="I338" s="71"/>
      <c r="J338" s="71">
        <v>0</v>
      </c>
      <c r="K338" s="71">
        <v>0</v>
      </c>
      <c r="L338" s="71">
        <v>0</v>
      </c>
      <c r="M338" s="71">
        <v>0</v>
      </c>
      <c r="N338" s="71">
        <v>0</v>
      </c>
    </row>
    <row r="339" spans="1:14" s="13" customFormat="1" x14ac:dyDescent="0.25">
      <c r="A339" s="12">
        <v>338</v>
      </c>
      <c r="B339" s="60" t="s">
        <v>293</v>
      </c>
      <c r="C339" s="14">
        <v>10694</v>
      </c>
      <c r="D339" s="15" t="s">
        <v>139</v>
      </c>
      <c r="E339" s="15" t="s">
        <v>23</v>
      </c>
      <c r="F339" s="14" t="s">
        <v>279</v>
      </c>
      <c r="G339" s="71"/>
      <c r="H339" s="71">
        <v>0</v>
      </c>
      <c r="I339" s="71">
        <v>0</v>
      </c>
      <c r="J339" s="71">
        <v>0</v>
      </c>
      <c r="K339" s="71">
        <v>0</v>
      </c>
      <c r="L339" s="71">
        <v>0</v>
      </c>
      <c r="M339" s="71">
        <v>0</v>
      </c>
      <c r="N339" s="71">
        <v>0</v>
      </c>
    </row>
    <row r="340" spans="1:14" s="13" customFormat="1" x14ac:dyDescent="0.25">
      <c r="A340" s="12">
        <v>339</v>
      </c>
      <c r="B340" s="60" t="s">
        <v>293</v>
      </c>
      <c r="C340" s="14">
        <v>10695</v>
      </c>
      <c r="D340" s="15" t="s">
        <v>980</v>
      </c>
      <c r="E340" s="15" t="s">
        <v>69</v>
      </c>
      <c r="F340" s="14" t="s">
        <v>284</v>
      </c>
      <c r="G340" s="71"/>
      <c r="H340" s="71"/>
      <c r="I340" s="71"/>
      <c r="J340" s="71">
        <v>0</v>
      </c>
      <c r="K340" s="71">
        <v>0</v>
      </c>
      <c r="L340" s="71">
        <v>1650</v>
      </c>
      <c r="M340" s="71">
        <v>26565</v>
      </c>
      <c r="N340" s="71">
        <v>30030</v>
      </c>
    </row>
    <row r="341" spans="1:14" s="13" customFormat="1" x14ac:dyDescent="0.25">
      <c r="A341" s="12">
        <v>340</v>
      </c>
      <c r="B341" s="60" t="s">
        <v>293</v>
      </c>
      <c r="C341" s="14">
        <v>10696</v>
      </c>
      <c r="D341" s="15" t="s">
        <v>1091</v>
      </c>
      <c r="E341" s="15" t="s">
        <v>23</v>
      </c>
      <c r="F341" s="14" t="s">
        <v>1099</v>
      </c>
      <c r="G341" s="71"/>
      <c r="H341" s="71"/>
      <c r="I341" s="71"/>
      <c r="J341" s="71"/>
      <c r="K341" s="71"/>
      <c r="L341" s="71">
        <v>0</v>
      </c>
      <c r="M341" s="71">
        <v>0</v>
      </c>
      <c r="N341" s="71">
        <v>0</v>
      </c>
    </row>
    <row r="342" spans="1:14" s="13" customFormat="1" x14ac:dyDescent="0.25">
      <c r="A342" s="12">
        <v>341</v>
      </c>
      <c r="B342" s="60" t="s">
        <v>293</v>
      </c>
      <c r="C342" s="14">
        <v>10697</v>
      </c>
      <c r="D342" s="15" t="s">
        <v>1092</v>
      </c>
      <c r="E342" s="15" t="s">
        <v>87</v>
      </c>
      <c r="F342" s="14" t="s">
        <v>280</v>
      </c>
      <c r="G342" s="71"/>
      <c r="H342" s="71"/>
      <c r="I342" s="71"/>
      <c r="J342" s="71"/>
      <c r="K342" s="71"/>
      <c r="L342" s="71">
        <v>0</v>
      </c>
      <c r="M342" s="71">
        <v>0</v>
      </c>
      <c r="N342" s="71">
        <v>0</v>
      </c>
    </row>
    <row r="343" spans="1:14" s="13" customFormat="1" x14ac:dyDescent="0.25">
      <c r="A343" s="12">
        <v>342</v>
      </c>
      <c r="B343" s="60" t="s">
        <v>293</v>
      </c>
      <c r="C343" s="14">
        <v>10698</v>
      </c>
      <c r="D343" s="15" t="s">
        <v>1093</v>
      </c>
      <c r="E343" s="15" t="s">
        <v>69</v>
      </c>
      <c r="F343" s="14" t="s">
        <v>284</v>
      </c>
      <c r="G343" s="71"/>
      <c r="H343" s="71"/>
      <c r="I343" s="71"/>
      <c r="J343" s="71"/>
      <c r="K343" s="71"/>
      <c r="L343" s="71">
        <v>0</v>
      </c>
      <c r="M343" s="71">
        <v>0</v>
      </c>
      <c r="N343" s="71">
        <f>9120+20000</f>
        <v>29120</v>
      </c>
    </row>
    <row r="344" spans="1:14" s="13" customFormat="1" x14ac:dyDescent="0.25">
      <c r="A344" s="12">
        <v>343</v>
      </c>
      <c r="B344" s="60" t="s">
        <v>293</v>
      </c>
      <c r="C344" s="14">
        <v>10699</v>
      </c>
      <c r="D344" s="15" t="s">
        <v>1094</v>
      </c>
      <c r="E344" s="15" t="s">
        <v>23</v>
      </c>
      <c r="F344" s="14" t="s">
        <v>1099</v>
      </c>
      <c r="G344" s="71"/>
      <c r="H344" s="71"/>
      <c r="I344" s="71"/>
      <c r="J344" s="71"/>
      <c r="K344" s="71"/>
      <c r="L344" s="71">
        <v>0</v>
      </c>
      <c r="M344" s="71">
        <v>0</v>
      </c>
      <c r="N344" s="71">
        <v>0</v>
      </c>
    </row>
    <row r="345" spans="1:14" s="13" customFormat="1" x14ac:dyDescent="0.25">
      <c r="A345" s="12">
        <v>344</v>
      </c>
      <c r="B345" s="60" t="s">
        <v>293</v>
      </c>
      <c r="C345" s="14">
        <v>10700</v>
      </c>
      <c r="D345" s="15" t="s">
        <v>1095</v>
      </c>
      <c r="E345" s="15" t="s">
        <v>23</v>
      </c>
      <c r="F345" s="14" t="s">
        <v>1099</v>
      </c>
      <c r="G345" s="71"/>
      <c r="H345" s="71"/>
      <c r="I345" s="71"/>
      <c r="J345" s="71"/>
      <c r="K345" s="71"/>
      <c r="L345" s="71">
        <v>0</v>
      </c>
      <c r="M345" s="71">
        <v>0</v>
      </c>
      <c r="N345" s="71">
        <v>0</v>
      </c>
    </row>
    <row r="346" spans="1:14" s="13" customFormat="1" x14ac:dyDescent="0.25">
      <c r="A346" s="12">
        <v>345</v>
      </c>
      <c r="B346" s="60" t="s">
        <v>293</v>
      </c>
      <c r="C346" s="14">
        <v>10701</v>
      </c>
      <c r="D346" s="15" t="s">
        <v>1096</v>
      </c>
      <c r="E346" s="15" t="s">
        <v>347</v>
      </c>
      <c r="F346" s="14" t="s">
        <v>284</v>
      </c>
      <c r="G346" s="71"/>
      <c r="H346" s="71"/>
      <c r="I346" s="71"/>
      <c r="J346" s="71"/>
      <c r="K346" s="71"/>
      <c r="L346" s="71">
        <v>0</v>
      </c>
      <c r="M346" s="71">
        <v>0</v>
      </c>
      <c r="N346" s="71">
        <v>0</v>
      </c>
    </row>
    <row r="347" spans="1:14" s="13" customFormat="1" x14ac:dyDescent="0.25">
      <c r="A347" s="12">
        <v>346</v>
      </c>
      <c r="B347" s="60" t="s">
        <v>294</v>
      </c>
      <c r="C347" s="14">
        <v>10702</v>
      </c>
      <c r="D347" s="15" t="s">
        <v>1097</v>
      </c>
      <c r="E347" s="15" t="s">
        <v>69</v>
      </c>
      <c r="F347" s="14" t="s">
        <v>284</v>
      </c>
      <c r="G347" s="71"/>
      <c r="H347" s="71"/>
      <c r="I347" s="71"/>
      <c r="J347" s="71"/>
      <c r="K347" s="71"/>
      <c r="L347" s="71">
        <v>0</v>
      </c>
      <c r="M347" s="71">
        <v>0</v>
      </c>
      <c r="N347" s="71">
        <v>0</v>
      </c>
    </row>
    <row r="348" spans="1:14" s="13" customFormat="1" x14ac:dyDescent="0.25">
      <c r="A348" s="12">
        <v>347</v>
      </c>
      <c r="B348" s="60" t="s">
        <v>293</v>
      </c>
      <c r="C348" s="14">
        <v>10703</v>
      </c>
      <c r="D348" s="15" t="s">
        <v>1098</v>
      </c>
      <c r="E348" s="15" t="s">
        <v>337</v>
      </c>
      <c r="F348" s="14" t="s">
        <v>281</v>
      </c>
      <c r="G348" s="71"/>
      <c r="H348" s="71"/>
      <c r="I348" s="71"/>
      <c r="J348" s="71"/>
      <c r="K348" s="71"/>
      <c r="L348" s="71">
        <v>0</v>
      </c>
      <c r="M348" s="71">
        <v>0</v>
      </c>
      <c r="N348" s="71">
        <v>0</v>
      </c>
    </row>
    <row r="349" spans="1:14" s="13" customFormat="1" x14ac:dyDescent="0.25">
      <c r="A349" s="12">
        <v>348</v>
      </c>
      <c r="B349" s="60" t="s">
        <v>293</v>
      </c>
      <c r="C349" s="14">
        <v>10704</v>
      </c>
      <c r="D349" s="15" t="s">
        <v>1184</v>
      </c>
      <c r="E349" s="15" t="s">
        <v>337</v>
      </c>
      <c r="F349" s="14" t="s">
        <v>281</v>
      </c>
      <c r="G349" s="71"/>
      <c r="H349" s="71"/>
      <c r="I349" s="71"/>
      <c r="J349" s="71"/>
      <c r="K349" s="71"/>
      <c r="L349" s="71">
        <v>0</v>
      </c>
      <c r="M349" s="71">
        <v>0</v>
      </c>
      <c r="N349" s="71">
        <v>0</v>
      </c>
    </row>
    <row r="350" spans="1:14" s="13" customFormat="1" x14ac:dyDescent="0.25">
      <c r="A350" s="12">
        <v>349</v>
      </c>
      <c r="B350" s="60" t="s">
        <v>1102</v>
      </c>
      <c r="C350" s="14">
        <v>10705</v>
      </c>
      <c r="D350" s="15" t="s">
        <v>1103</v>
      </c>
      <c r="E350" s="15" t="s">
        <v>69</v>
      </c>
      <c r="F350" s="14" t="s">
        <v>284</v>
      </c>
      <c r="G350" s="71"/>
      <c r="H350" s="71"/>
      <c r="I350" s="71"/>
      <c r="J350" s="71"/>
      <c r="K350" s="71"/>
      <c r="L350" s="71"/>
      <c r="M350" s="71">
        <v>0</v>
      </c>
      <c r="N350" s="71">
        <v>0</v>
      </c>
    </row>
    <row r="351" spans="1:14" s="13" customFormat="1" x14ac:dyDescent="0.25">
      <c r="A351" s="12">
        <v>350</v>
      </c>
      <c r="B351" s="60" t="s">
        <v>293</v>
      </c>
      <c r="C351" s="14">
        <v>10708</v>
      </c>
      <c r="D351" s="15" t="s">
        <v>1104</v>
      </c>
      <c r="E351" s="15" t="s">
        <v>23</v>
      </c>
      <c r="F351" s="14" t="s">
        <v>1099</v>
      </c>
      <c r="G351" s="71"/>
      <c r="H351" s="71"/>
      <c r="I351" s="71"/>
      <c r="J351" s="71"/>
      <c r="K351" s="71"/>
      <c r="L351" s="71"/>
      <c r="M351" s="71">
        <v>0</v>
      </c>
      <c r="N351" s="71">
        <v>0</v>
      </c>
    </row>
    <row r="352" spans="1:14" s="13" customFormat="1" x14ac:dyDescent="0.25">
      <c r="A352" s="12">
        <v>351</v>
      </c>
      <c r="B352" s="60" t="s">
        <v>1105</v>
      </c>
      <c r="C352" s="14">
        <v>10706</v>
      </c>
      <c r="D352" s="15" t="s">
        <v>1106</v>
      </c>
      <c r="E352" s="15" t="s">
        <v>69</v>
      </c>
      <c r="F352" s="14" t="s">
        <v>284</v>
      </c>
      <c r="G352" s="71"/>
      <c r="H352" s="71"/>
      <c r="I352" s="71"/>
      <c r="J352" s="71"/>
      <c r="K352" s="71"/>
      <c r="L352" s="71"/>
      <c r="M352" s="71">
        <v>0</v>
      </c>
      <c r="N352" s="71">
        <v>1560</v>
      </c>
    </row>
    <row r="353" spans="1:14" s="13" customFormat="1" x14ac:dyDescent="0.25">
      <c r="A353" s="12">
        <v>352</v>
      </c>
      <c r="B353" s="60" t="s">
        <v>295</v>
      </c>
      <c r="C353" s="14">
        <v>10707</v>
      </c>
      <c r="D353" s="15" t="s">
        <v>1107</v>
      </c>
      <c r="E353" s="15" t="s">
        <v>378</v>
      </c>
      <c r="F353" s="14" t="s">
        <v>283</v>
      </c>
      <c r="G353" s="71"/>
      <c r="H353" s="71"/>
      <c r="I353" s="71"/>
      <c r="J353" s="71"/>
      <c r="K353" s="71"/>
      <c r="L353" s="71"/>
      <c r="M353" s="71">
        <v>0</v>
      </c>
      <c r="N353" s="71">
        <v>0</v>
      </c>
    </row>
    <row r="354" spans="1:14" s="13" customFormat="1" x14ac:dyDescent="0.25">
      <c r="A354" s="12">
        <v>353</v>
      </c>
      <c r="B354" s="60" t="s">
        <v>293</v>
      </c>
      <c r="C354" s="14">
        <v>10709</v>
      </c>
      <c r="D354" s="15" t="s">
        <v>1108</v>
      </c>
      <c r="E354" s="15" t="s">
        <v>23</v>
      </c>
      <c r="F354" s="14" t="s">
        <v>1099</v>
      </c>
      <c r="G354" s="71"/>
      <c r="H354" s="71"/>
      <c r="I354" s="71"/>
      <c r="J354" s="71"/>
      <c r="K354" s="71"/>
      <c r="L354" s="71"/>
      <c r="M354" s="71">
        <v>0</v>
      </c>
      <c r="N354" s="71">
        <v>0</v>
      </c>
    </row>
    <row r="355" spans="1:14" s="13" customFormat="1" x14ac:dyDescent="0.25">
      <c r="A355" s="12">
        <v>354</v>
      </c>
      <c r="B355" s="60" t="s">
        <v>293</v>
      </c>
      <c r="C355" s="14">
        <v>10710</v>
      </c>
      <c r="D355" s="15" t="s">
        <v>1109</v>
      </c>
      <c r="E355" s="15" t="s">
        <v>23</v>
      </c>
      <c r="F355" s="14" t="s">
        <v>1099</v>
      </c>
      <c r="G355" s="71"/>
      <c r="H355" s="71"/>
      <c r="I355" s="71"/>
      <c r="J355" s="71"/>
      <c r="K355" s="71"/>
      <c r="L355" s="71"/>
      <c r="M355" s="71">
        <v>0</v>
      </c>
      <c r="N355" s="71">
        <v>0</v>
      </c>
    </row>
    <row r="356" spans="1:14" s="13" customFormat="1" x14ac:dyDescent="0.25">
      <c r="A356" s="12">
        <v>355</v>
      </c>
      <c r="B356" s="60" t="s">
        <v>293</v>
      </c>
      <c r="C356" s="14">
        <v>10711</v>
      </c>
      <c r="D356" s="15" t="s">
        <v>1110</v>
      </c>
      <c r="E356" s="15" t="s">
        <v>69</v>
      </c>
      <c r="F356" s="14" t="s">
        <v>284</v>
      </c>
      <c r="G356" s="71"/>
      <c r="H356" s="71"/>
      <c r="I356" s="71"/>
      <c r="J356" s="71"/>
      <c r="K356" s="71"/>
      <c r="L356" s="71"/>
      <c r="M356" s="71">
        <v>0</v>
      </c>
      <c r="N356" s="71">
        <v>1740</v>
      </c>
    </row>
    <row r="357" spans="1:14" s="13" customFormat="1" x14ac:dyDescent="0.25">
      <c r="A357" s="12">
        <v>356</v>
      </c>
      <c r="B357" s="60" t="s">
        <v>293</v>
      </c>
      <c r="C357" s="14">
        <v>10712</v>
      </c>
      <c r="D357" s="15" t="s">
        <v>1111</v>
      </c>
      <c r="E357" s="15" t="s">
        <v>1112</v>
      </c>
      <c r="F357" s="14" t="s">
        <v>287</v>
      </c>
      <c r="G357" s="71"/>
      <c r="H357" s="71"/>
      <c r="I357" s="71"/>
      <c r="J357" s="71"/>
      <c r="K357" s="71"/>
      <c r="L357" s="71"/>
      <c r="M357" s="71">
        <v>0</v>
      </c>
      <c r="N357" s="71">
        <v>0</v>
      </c>
    </row>
    <row r="358" spans="1:14" s="13" customFormat="1" x14ac:dyDescent="0.25">
      <c r="A358" s="12">
        <v>357</v>
      </c>
      <c r="B358" s="15" t="s">
        <v>293</v>
      </c>
      <c r="C358" s="14">
        <v>10713</v>
      </c>
      <c r="D358" s="15" t="s">
        <v>1172</v>
      </c>
      <c r="E358" s="15" t="s">
        <v>319</v>
      </c>
      <c r="F358" s="14" t="s">
        <v>1178</v>
      </c>
      <c r="G358" s="71"/>
      <c r="H358" s="71"/>
      <c r="I358" s="71"/>
      <c r="J358" s="71"/>
      <c r="K358" s="71"/>
      <c r="L358" s="71"/>
      <c r="M358" s="71">
        <v>0</v>
      </c>
      <c r="N358" s="71">
        <v>0</v>
      </c>
    </row>
    <row r="359" spans="1:14" s="13" customFormat="1" x14ac:dyDescent="0.25">
      <c r="A359" s="12">
        <v>358</v>
      </c>
      <c r="B359" s="15" t="s">
        <v>293</v>
      </c>
      <c r="C359" s="14">
        <v>10714</v>
      </c>
      <c r="D359" s="15" t="s">
        <v>1173</v>
      </c>
      <c r="E359" s="15" t="s">
        <v>342</v>
      </c>
      <c r="F359" s="14" t="s">
        <v>287</v>
      </c>
      <c r="G359" s="71"/>
      <c r="H359" s="71"/>
      <c r="I359" s="71"/>
      <c r="J359" s="71"/>
      <c r="K359" s="71"/>
      <c r="L359" s="71"/>
      <c r="M359" s="71">
        <v>0</v>
      </c>
      <c r="N359" s="71">
        <v>0</v>
      </c>
    </row>
    <row r="360" spans="1:14" x14ac:dyDescent="0.25">
      <c r="A360" s="12">
        <v>359</v>
      </c>
      <c r="B360" s="15" t="s">
        <v>293</v>
      </c>
      <c r="C360" s="14">
        <v>10715</v>
      </c>
      <c r="D360" s="15" t="s">
        <v>1174</v>
      </c>
      <c r="E360" s="15" t="s">
        <v>23</v>
      </c>
      <c r="F360" s="14" t="s">
        <v>1099</v>
      </c>
      <c r="M360" s="71">
        <v>0</v>
      </c>
      <c r="N360" s="71">
        <v>0</v>
      </c>
    </row>
    <row r="361" spans="1:14" x14ac:dyDescent="0.25">
      <c r="A361" s="12">
        <v>360</v>
      </c>
      <c r="B361" s="15" t="s">
        <v>293</v>
      </c>
      <c r="C361" s="14">
        <v>10716</v>
      </c>
      <c r="D361" s="15" t="s">
        <v>1175</v>
      </c>
      <c r="E361" s="15" t="s">
        <v>23</v>
      </c>
      <c r="F361" s="14" t="s">
        <v>1099</v>
      </c>
      <c r="M361" s="71">
        <v>0</v>
      </c>
      <c r="N361" s="71">
        <v>0</v>
      </c>
    </row>
    <row r="362" spans="1:14" x14ac:dyDescent="0.25">
      <c r="A362" s="12">
        <v>361</v>
      </c>
      <c r="B362" s="15" t="s">
        <v>293</v>
      </c>
      <c r="C362" s="14">
        <v>10717</v>
      </c>
      <c r="D362" s="15" t="s">
        <v>1176</v>
      </c>
      <c r="E362" s="15" t="s">
        <v>149</v>
      </c>
      <c r="F362" s="14" t="s">
        <v>280</v>
      </c>
      <c r="M362" s="71">
        <v>0</v>
      </c>
      <c r="N362" s="71">
        <v>0</v>
      </c>
    </row>
    <row r="363" spans="1:14" x14ac:dyDescent="0.25">
      <c r="A363" s="12">
        <v>362</v>
      </c>
      <c r="B363" s="15" t="s">
        <v>1102</v>
      </c>
      <c r="C363" s="14">
        <v>10718</v>
      </c>
      <c r="D363" s="15" t="s">
        <v>1177</v>
      </c>
      <c r="E363" s="15" t="s">
        <v>69</v>
      </c>
      <c r="F363" s="14" t="s">
        <v>284</v>
      </c>
      <c r="M363" s="71">
        <v>0</v>
      </c>
      <c r="N363" s="71">
        <v>0</v>
      </c>
    </row>
    <row r="364" spans="1:14" x14ac:dyDescent="0.25">
      <c r="A364" s="12">
        <v>363</v>
      </c>
      <c r="B364" s="15" t="s">
        <v>293</v>
      </c>
      <c r="C364" s="14">
        <v>10719</v>
      </c>
      <c r="D364" s="15" t="s">
        <v>1187</v>
      </c>
      <c r="E364" s="15" t="s">
        <v>23</v>
      </c>
      <c r="F364" s="14" t="s">
        <v>1191</v>
      </c>
      <c r="M364" s="71">
        <v>0</v>
      </c>
      <c r="N364" s="71">
        <v>0</v>
      </c>
    </row>
    <row r="365" spans="1:14" x14ac:dyDescent="0.25">
      <c r="A365" s="12">
        <v>364</v>
      </c>
      <c r="B365" s="15" t="s">
        <v>293</v>
      </c>
      <c r="C365" s="14">
        <v>10720</v>
      </c>
      <c r="D365" s="15" t="s">
        <v>1188</v>
      </c>
      <c r="E365" s="15" t="s">
        <v>23</v>
      </c>
      <c r="F365" s="14" t="s">
        <v>1191</v>
      </c>
      <c r="M365" s="71">
        <v>0</v>
      </c>
      <c r="N365" s="71">
        <v>0</v>
      </c>
    </row>
    <row r="366" spans="1:14" x14ac:dyDescent="0.25">
      <c r="A366" s="12">
        <v>365</v>
      </c>
      <c r="B366" s="15" t="s">
        <v>293</v>
      </c>
      <c r="C366" s="14">
        <v>10721</v>
      </c>
      <c r="D366" s="15" t="s">
        <v>1189</v>
      </c>
      <c r="E366" s="15" t="s">
        <v>1190</v>
      </c>
      <c r="F366" s="14" t="s">
        <v>290</v>
      </c>
      <c r="M366" s="71">
        <v>0</v>
      </c>
      <c r="N366" s="71">
        <v>0</v>
      </c>
    </row>
    <row r="367" spans="1:14" x14ac:dyDescent="0.25">
      <c r="A367" s="12">
        <v>366</v>
      </c>
      <c r="B367" s="15" t="s">
        <v>293</v>
      </c>
      <c r="C367" s="14">
        <v>10722</v>
      </c>
      <c r="D367" s="15" t="s">
        <v>1308</v>
      </c>
      <c r="E367" s="15" t="s">
        <v>342</v>
      </c>
      <c r="F367" s="14" t="s">
        <v>287</v>
      </c>
      <c r="M367" s="71">
        <v>0</v>
      </c>
      <c r="N367" s="71">
        <v>0</v>
      </c>
    </row>
    <row r="368" spans="1:14" x14ac:dyDescent="0.25">
      <c r="A368" s="12">
        <v>367</v>
      </c>
      <c r="B368" s="15" t="s">
        <v>294</v>
      </c>
      <c r="C368" s="14">
        <v>10723</v>
      </c>
      <c r="D368" s="15" t="s">
        <v>1309</v>
      </c>
      <c r="E368" s="15" t="s">
        <v>69</v>
      </c>
      <c r="F368" s="14" t="s">
        <v>284</v>
      </c>
      <c r="M368" s="71">
        <v>0</v>
      </c>
      <c r="N368" s="71">
        <v>0</v>
      </c>
    </row>
    <row r="369" spans="1:14" x14ac:dyDescent="0.25">
      <c r="A369" s="12">
        <v>368</v>
      </c>
      <c r="B369" s="15" t="s">
        <v>293</v>
      </c>
      <c r="C369" s="14">
        <v>10724</v>
      </c>
      <c r="D369" s="15" t="s">
        <v>1310</v>
      </c>
      <c r="E369" s="15" t="s">
        <v>23</v>
      </c>
      <c r="F369" s="14" t="s">
        <v>1191</v>
      </c>
      <c r="N369" s="71">
        <v>0</v>
      </c>
    </row>
    <row r="370" spans="1:14" x14ac:dyDescent="0.25">
      <c r="A370" s="12">
        <v>369</v>
      </c>
      <c r="B370" s="15" t="s">
        <v>293</v>
      </c>
      <c r="C370" s="14">
        <v>10725</v>
      </c>
      <c r="D370" s="15" t="s">
        <v>1311</v>
      </c>
      <c r="E370" s="15" t="s">
        <v>337</v>
      </c>
      <c r="F370" s="14" t="s">
        <v>1320</v>
      </c>
      <c r="N370" s="71">
        <v>0</v>
      </c>
    </row>
    <row r="371" spans="1:14" x14ac:dyDescent="0.25">
      <c r="A371" s="12">
        <v>370</v>
      </c>
      <c r="B371" s="15" t="s">
        <v>293</v>
      </c>
      <c r="C371" s="14">
        <v>10726</v>
      </c>
      <c r="D371" s="15" t="s">
        <v>1312</v>
      </c>
      <c r="E371" s="15" t="s">
        <v>170</v>
      </c>
      <c r="F371" s="14" t="s">
        <v>291</v>
      </c>
      <c r="N371" s="71">
        <v>0</v>
      </c>
    </row>
    <row r="372" spans="1:14" x14ac:dyDescent="0.25">
      <c r="A372" s="12">
        <v>371</v>
      </c>
      <c r="B372" s="15" t="s">
        <v>293</v>
      </c>
      <c r="C372" s="14">
        <v>10728</v>
      </c>
      <c r="D372" s="15" t="s">
        <v>1313</v>
      </c>
      <c r="E372" s="15" t="s">
        <v>337</v>
      </c>
      <c r="F372" s="14" t="s">
        <v>379</v>
      </c>
      <c r="N372" s="71">
        <v>0</v>
      </c>
    </row>
    <row r="373" spans="1:14" x14ac:dyDescent="0.25">
      <c r="A373" s="12">
        <v>372</v>
      </c>
      <c r="B373" s="15" t="s">
        <v>293</v>
      </c>
      <c r="C373" s="14">
        <v>10729</v>
      </c>
      <c r="D373" s="15" t="s">
        <v>1314</v>
      </c>
      <c r="E373" s="15" t="s">
        <v>1315</v>
      </c>
      <c r="F373" s="14" t="s">
        <v>278</v>
      </c>
      <c r="N373" s="71">
        <v>0</v>
      </c>
    </row>
    <row r="374" spans="1:14" x14ac:dyDescent="0.25">
      <c r="A374" s="12">
        <v>373</v>
      </c>
      <c r="B374" s="15" t="s">
        <v>293</v>
      </c>
      <c r="C374" s="14">
        <v>10730</v>
      </c>
      <c r="D374" s="15" t="s">
        <v>1316</v>
      </c>
      <c r="E374" s="15" t="s">
        <v>337</v>
      </c>
      <c r="F374" s="14" t="s">
        <v>1320</v>
      </c>
      <c r="N374" s="71">
        <v>0</v>
      </c>
    </row>
    <row r="375" spans="1:14" x14ac:dyDescent="0.25">
      <c r="A375" s="12">
        <v>374</v>
      </c>
      <c r="B375" s="15" t="s">
        <v>293</v>
      </c>
      <c r="C375" s="14">
        <v>10731</v>
      </c>
      <c r="D375" s="15" t="s">
        <v>1317</v>
      </c>
      <c r="E375" s="15" t="s">
        <v>87</v>
      </c>
      <c r="F375" s="14" t="s">
        <v>280</v>
      </c>
      <c r="N375" s="71">
        <v>0</v>
      </c>
    </row>
    <row r="376" spans="1:14" x14ac:dyDescent="0.25">
      <c r="A376" s="12">
        <v>375</v>
      </c>
      <c r="B376" s="15" t="s">
        <v>293</v>
      </c>
      <c r="C376" s="14">
        <v>10732</v>
      </c>
      <c r="D376" s="15" t="s">
        <v>1318</v>
      </c>
      <c r="E376" s="15" t="s">
        <v>337</v>
      </c>
      <c r="F376" s="14" t="s">
        <v>379</v>
      </c>
      <c r="N376" s="71">
        <v>0</v>
      </c>
    </row>
    <row r="377" spans="1:14" x14ac:dyDescent="0.25">
      <c r="A377" s="12">
        <v>376</v>
      </c>
      <c r="B377" s="15" t="s">
        <v>293</v>
      </c>
      <c r="C377" s="14">
        <v>10733</v>
      </c>
      <c r="D377" s="15" t="s">
        <v>1319</v>
      </c>
      <c r="E377" s="15" t="s">
        <v>150</v>
      </c>
      <c r="F377" s="14" t="s">
        <v>280</v>
      </c>
      <c r="N377" s="71">
        <v>0</v>
      </c>
    </row>
  </sheetData>
  <autoFilter ref="A1:L377" xr:uid="{00000000-0009-0000-0000-000003000000}"/>
  <conditionalFormatting sqref="C1">
    <cfRule type="duplicateValues" dxfId="91" priority="68"/>
    <cfRule type="duplicateValues" dxfId="90" priority="69"/>
    <cfRule type="duplicateValues" dxfId="89" priority="70"/>
    <cfRule type="duplicateValues" dxfId="88" priority="71"/>
  </conditionalFormatting>
  <conditionalFormatting sqref="C2">
    <cfRule type="duplicateValues" dxfId="87" priority="63"/>
    <cfRule type="duplicateValues" dxfId="86" priority="64"/>
    <cfRule type="duplicateValues" dxfId="85" priority="65"/>
    <cfRule type="duplicateValues" dxfId="84" priority="66"/>
  </conditionalFormatting>
  <conditionalFormatting sqref="C3:C288">
    <cfRule type="duplicateValues" dxfId="83" priority="67"/>
  </conditionalFormatting>
  <conditionalFormatting sqref="C289:C306">
    <cfRule type="duplicateValues" dxfId="82" priority="49"/>
  </conditionalFormatting>
  <conditionalFormatting sqref="C307:C316">
    <cfRule type="duplicateValues" dxfId="81" priority="45"/>
    <cfRule type="duplicateValues" dxfId="80" priority="46"/>
    <cfRule type="duplicateValues" dxfId="79" priority="47"/>
    <cfRule type="duplicateValues" dxfId="78" priority="48"/>
  </conditionalFormatting>
  <conditionalFormatting sqref="C317:C347">
    <cfRule type="duplicateValues" dxfId="77" priority="33"/>
    <cfRule type="duplicateValues" dxfId="76" priority="34"/>
    <cfRule type="duplicateValues" dxfId="75" priority="35"/>
    <cfRule type="duplicateValues" dxfId="74" priority="36"/>
  </conditionalFormatting>
  <conditionalFormatting sqref="C348:C349">
    <cfRule type="duplicateValues" dxfId="73" priority="29"/>
    <cfRule type="duplicateValues" dxfId="72" priority="30"/>
    <cfRule type="duplicateValues" dxfId="71" priority="31"/>
    <cfRule type="duplicateValues" dxfId="70" priority="32"/>
  </conditionalFormatting>
  <conditionalFormatting sqref="C350:C357">
    <cfRule type="duplicateValues" dxfId="69" priority="17"/>
    <cfRule type="duplicateValues" dxfId="68" priority="18"/>
    <cfRule type="duplicateValues" dxfId="67" priority="19"/>
    <cfRule type="duplicateValues" dxfId="66" priority="20"/>
  </conditionalFormatting>
  <conditionalFormatting sqref="C358:C363">
    <cfRule type="duplicateValues" dxfId="65" priority="13"/>
    <cfRule type="duplicateValues" dxfId="64" priority="14"/>
    <cfRule type="duplicateValues" dxfId="63" priority="15"/>
    <cfRule type="duplicateValues" dxfId="62" priority="16"/>
  </conditionalFormatting>
  <conditionalFormatting sqref="C364:C366">
    <cfRule type="duplicateValues" dxfId="61" priority="9"/>
    <cfRule type="duplicateValues" dxfId="60" priority="10"/>
    <cfRule type="duplicateValues" dxfId="59" priority="11"/>
    <cfRule type="duplicateValues" dxfId="58" priority="12"/>
  </conditionalFormatting>
  <conditionalFormatting sqref="C367:C373">
    <cfRule type="duplicateValues" dxfId="57" priority="5"/>
    <cfRule type="duplicateValues" dxfId="56" priority="6"/>
    <cfRule type="duplicateValues" dxfId="55" priority="7"/>
    <cfRule type="duplicateValues" dxfId="54" priority="8"/>
  </conditionalFormatting>
  <conditionalFormatting sqref="C374:C377">
    <cfRule type="duplicateValues" dxfId="53" priority="1"/>
    <cfRule type="duplicateValues" dxfId="52" priority="2"/>
    <cfRule type="duplicateValues" dxfId="51" priority="3"/>
    <cfRule type="duplicateValues" dxfId="50" priority="4"/>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1"/>
  <sheetViews>
    <sheetView topLeftCell="G1" workbookViewId="0">
      <selection activeCell="J1" sqref="J1:J1048576"/>
    </sheetView>
  </sheetViews>
  <sheetFormatPr defaultRowHeight="15.75" x14ac:dyDescent="0.25"/>
  <cols>
    <col min="1" max="1" width="5.85546875" style="42" bestFit="1" customWidth="1"/>
    <col min="2" max="2" width="39.28515625" style="42" bestFit="1" customWidth="1"/>
    <col min="3" max="3" width="6.28515625" style="42" bestFit="1" customWidth="1"/>
    <col min="4" max="4" width="13.140625" style="42" bestFit="1" customWidth="1"/>
    <col min="5" max="5" width="22.7109375" style="42" bestFit="1" customWidth="1"/>
    <col min="6" max="6" width="22.7109375" style="42" customWidth="1"/>
    <col min="7" max="7" width="135.28515625" style="42" bestFit="1" customWidth="1"/>
    <col min="8" max="8" width="10.140625" style="42" customWidth="1"/>
    <col min="9" max="9" width="76.140625" style="42" bestFit="1" customWidth="1"/>
    <col min="10" max="10" width="12.85546875" style="49" customWidth="1"/>
    <col min="11" max="11" width="51.7109375" style="50" customWidth="1"/>
  </cols>
  <sheetData>
    <row r="1" spans="1:11" ht="16.5" thickBot="1" x14ac:dyDescent="0.3">
      <c r="A1" s="27" t="s">
        <v>356</v>
      </c>
      <c r="B1" s="28" t="s">
        <v>357</v>
      </c>
      <c r="C1" s="28" t="s">
        <v>358</v>
      </c>
      <c r="D1" s="28" t="s">
        <v>359</v>
      </c>
      <c r="E1" s="28" t="s">
        <v>360</v>
      </c>
      <c r="F1" s="28" t="s">
        <v>361</v>
      </c>
      <c r="G1" s="28" t="s">
        <v>362</v>
      </c>
      <c r="H1" s="28" t="s">
        <v>349</v>
      </c>
      <c r="I1" s="28" t="s">
        <v>350</v>
      </c>
      <c r="J1" s="28" t="s">
        <v>363</v>
      </c>
      <c r="K1" s="29" t="s">
        <v>364</v>
      </c>
    </row>
    <row r="2" spans="1:11" ht="16.5" thickBot="1" x14ac:dyDescent="0.3">
      <c r="A2" s="43">
        <v>1</v>
      </c>
      <c r="B2" s="44" t="s">
        <v>365</v>
      </c>
      <c r="C2" s="44" t="s">
        <v>366</v>
      </c>
      <c r="D2" s="33">
        <v>32705879</v>
      </c>
      <c r="E2" s="45">
        <v>45864</v>
      </c>
      <c r="F2" s="45">
        <v>45864</v>
      </c>
      <c r="G2" s="34" t="s">
        <v>478</v>
      </c>
      <c r="H2" s="34">
        <v>10030</v>
      </c>
      <c r="I2" s="44" t="s">
        <v>43</v>
      </c>
      <c r="J2" s="46">
        <v>7384</v>
      </c>
      <c r="K2" s="32"/>
    </row>
    <row r="3" spans="1:11" ht="16.5" thickBot="1" x14ac:dyDescent="0.3">
      <c r="A3" s="43">
        <v>2</v>
      </c>
      <c r="B3" s="44" t="s">
        <v>365</v>
      </c>
      <c r="C3" s="44" t="s">
        <v>366</v>
      </c>
      <c r="D3" s="33">
        <v>32705880</v>
      </c>
      <c r="E3" s="45">
        <v>45864</v>
      </c>
      <c r="F3" s="45">
        <v>45864</v>
      </c>
      <c r="G3" s="34" t="s">
        <v>479</v>
      </c>
      <c r="H3" s="34">
        <v>10391</v>
      </c>
      <c r="I3" s="44" t="s">
        <v>243</v>
      </c>
      <c r="J3" s="46">
        <v>7342</v>
      </c>
      <c r="K3" s="32"/>
    </row>
    <row r="4" spans="1:11" ht="16.5" thickBot="1" x14ac:dyDescent="0.3">
      <c r="A4" s="43">
        <v>3</v>
      </c>
      <c r="B4" s="44" t="s">
        <v>365</v>
      </c>
      <c r="C4" s="44" t="s">
        <v>366</v>
      </c>
      <c r="D4" s="33">
        <v>32705881</v>
      </c>
      <c r="E4" s="45">
        <v>45864</v>
      </c>
      <c r="F4" s="45">
        <v>45864</v>
      </c>
      <c r="G4" s="34" t="s">
        <v>480</v>
      </c>
      <c r="H4" s="34">
        <v>10019</v>
      </c>
      <c r="I4" s="44" t="s">
        <v>25</v>
      </c>
      <c r="J4" s="46">
        <v>5401</v>
      </c>
      <c r="K4" s="32"/>
    </row>
    <row r="5" spans="1:11" ht="16.5" thickBot="1" x14ac:dyDescent="0.3">
      <c r="A5" s="43">
        <v>4</v>
      </c>
      <c r="B5" s="44" t="s">
        <v>365</v>
      </c>
      <c r="C5" s="44" t="s">
        <v>366</v>
      </c>
      <c r="D5" s="33">
        <v>32705882</v>
      </c>
      <c r="E5" s="45">
        <v>45864</v>
      </c>
      <c r="F5" s="45">
        <v>45864</v>
      </c>
      <c r="G5" s="34" t="s">
        <v>481</v>
      </c>
      <c r="H5" s="34">
        <v>10290</v>
      </c>
      <c r="I5" s="44" t="s">
        <v>151</v>
      </c>
      <c r="J5" s="46">
        <v>5063</v>
      </c>
      <c r="K5" s="32"/>
    </row>
    <row r="6" spans="1:11" ht="16.5" thickBot="1" x14ac:dyDescent="0.3">
      <c r="A6" s="43">
        <v>5</v>
      </c>
      <c r="B6" s="44" t="s">
        <v>365</v>
      </c>
      <c r="C6" s="44" t="s">
        <v>366</v>
      </c>
      <c r="D6" s="33">
        <v>32705883</v>
      </c>
      <c r="E6" s="45">
        <v>45864</v>
      </c>
      <c r="F6" s="45">
        <v>45864</v>
      </c>
      <c r="G6" s="34" t="s">
        <v>482</v>
      </c>
      <c r="H6" s="31">
        <v>10063</v>
      </c>
      <c r="I6" s="44" t="s">
        <v>193</v>
      </c>
      <c r="J6" s="46">
        <v>4810</v>
      </c>
      <c r="K6" s="32"/>
    </row>
    <row r="7" spans="1:11" ht="16.5" thickBot="1" x14ac:dyDescent="0.3">
      <c r="A7" s="43">
        <v>6</v>
      </c>
      <c r="B7" s="44" t="s">
        <v>365</v>
      </c>
      <c r="C7" s="44" t="s">
        <v>366</v>
      </c>
      <c r="D7" s="33">
        <v>32705721</v>
      </c>
      <c r="E7" s="45">
        <v>45864</v>
      </c>
      <c r="F7" s="45">
        <v>45864</v>
      </c>
      <c r="G7" s="34" t="s">
        <v>483</v>
      </c>
      <c r="H7" s="34">
        <v>10328</v>
      </c>
      <c r="I7" s="44" t="s">
        <v>127</v>
      </c>
      <c r="J7" s="46">
        <v>5000</v>
      </c>
      <c r="K7" s="32"/>
    </row>
    <row r="8" spans="1:11" ht="16.5" thickBot="1" x14ac:dyDescent="0.3">
      <c r="A8" s="43">
        <v>7</v>
      </c>
      <c r="B8" s="44" t="s">
        <v>365</v>
      </c>
      <c r="C8" s="44" t="s">
        <v>366</v>
      </c>
      <c r="D8" s="33">
        <v>32705764</v>
      </c>
      <c r="E8" s="45">
        <v>45864</v>
      </c>
      <c r="F8" s="45">
        <v>45864</v>
      </c>
      <c r="G8" s="34" t="s">
        <v>484</v>
      </c>
      <c r="H8" s="34">
        <v>10554</v>
      </c>
      <c r="I8" s="44" t="s">
        <v>327</v>
      </c>
      <c r="J8" s="46">
        <v>5000</v>
      </c>
      <c r="K8" s="32"/>
    </row>
    <row r="9" spans="1:11" ht="16.5" thickBot="1" x14ac:dyDescent="0.3">
      <c r="A9" s="43">
        <v>8</v>
      </c>
      <c r="B9" s="44" t="s">
        <v>365</v>
      </c>
      <c r="C9" s="44" t="s">
        <v>366</v>
      </c>
      <c r="D9" s="33">
        <v>32705765</v>
      </c>
      <c r="E9" s="45">
        <v>45864</v>
      </c>
      <c r="F9" s="45">
        <v>45864</v>
      </c>
      <c r="G9" s="34" t="s">
        <v>485</v>
      </c>
      <c r="H9" s="34">
        <v>10533</v>
      </c>
      <c r="I9" s="44" t="s">
        <v>314</v>
      </c>
      <c r="J9" s="46">
        <v>4000</v>
      </c>
      <c r="K9" s="32"/>
    </row>
    <row r="10" spans="1:11" ht="16.5" thickBot="1" x14ac:dyDescent="0.3">
      <c r="A10" s="43">
        <v>9</v>
      </c>
      <c r="B10" s="44" t="s">
        <v>365</v>
      </c>
      <c r="C10" s="44" t="s">
        <v>366</v>
      </c>
      <c r="D10" s="33">
        <v>32705766</v>
      </c>
      <c r="E10" s="45">
        <v>45864</v>
      </c>
      <c r="F10" s="45">
        <v>45864</v>
      </c>
      <c r="G10" s="34" t="s">
        <v>486</v>
      </c>
      <c r="H10" s="34">
        <v>10135</v>
      </c>
      <c r="I10" s="30" t="s">
        <v>135</v>
      </c>
      <c r="J10" s="46">
        <v>3000</v>
      </c>
      <c r="K10" s="32"/>
    </row>
    <row r="11" spans="1:11" ht="16.5" thickBot="1" x14ac:dyDescent="0.3">
      <c r="A11" s="43">
        <v>10</v>
      </c>
      <c r="B11" s="44" t="s">
        <v>365</v>
      </c>
      <c r="C11" s="44" t="s">
        <v>366</v>
      </c>
      <c r="D11" s="33">
        <v>32705767</v>
      </c>
      <c r="E11" s="45">
        <v>45864</v>
      </c>
      <c r="F11" s="45">
        <v>45864</v>
      </c>
      <c r="G11" s="34" t="s">
        <v>487</v>
      </c>
      <c r="H11" s="34">
        <v>10239</v>
      </c>
      <c r="I11" s="44" t="s">
        <v>22</v>
      </c>
      <c r="J11" s="46">
        <v>2000</v>
      </c>
      <c r="K11" s="32"/>
    </row>
    <row r="12" spans="1:11" ht="16.5" thickBot="1" x14ac:dyDescent="0.3">
      <c r="A12" s="43">
        <v>11</v>
      </c>
      <c r="B12" s="44" t="s">
        <v>365</v>
      </c>
      <c r="C12" s="44" t="s">
        <v>366</v>
      </c>
      <c r="D12" s="33">
        <v>32705768</v>
      </c>
      <c r="E12" s="45">
        <v>45864</v>
      </c>
      <c r="F12" s="45">
        <v>45864</v>
      </c>
      <c r="G12" s="34" t="s">
        <v>488</v>
      </c>
      <c r="H12" s="34">
        <v>10430</v>
      </c>
      <c r="I12" s="44" t="s">
        <v>111</v>
      </c>
      <c r="J12" s="46">
        <v>1000</v>
      </c>
      <c r="K12" s="32"/>
    </row>
    <row r="13" spans="1:11" ht="16.5" thickBot="1" x14ac:dyDescent="0.3">
      <c r="A13" s="43">
        <v>15</v>
      </c>
      <c r="B13" s="44" t="s">
        <v>365</v>
      </c>
      <c r="C13" s="44" t="s">
        <v>366</v>
      </c>
      <c r="D13" s="33">
        <v>32705855</v>
      </c>
      <c r="E13" s="45">
        <v>45864</v>
      </c>
      <c r="F13" s="45">
        <v>45864</v>
      </c>
      <c r="G13" s="34" t="s">
        <v>489</v>
      </c>
      <c r="H13" s="34">
        <v>10019</v>
      </c>
      <c r="I13" s="44" t="s">
        <v>25</v>
      </c>
      <c r="J13" s="46">
        <v>86490</v>
      </c>
      <c r="K13" s="32"/>
    </row>
    <row r="14" spans="1:11" ht="16.5" thickBot="1" x14ac:dyDescent="0.3">
      <c r="A14" s="43">
        <v>16</v>
      </c>
      <c r="B14" s="44" t="s">
        <v>365</v>
      </c>
      <c r="C14" s="44" t="s">
        <v>366</v>
      </c>
      <c r="D14" s="33">
        <v>32705856</v>
      </c>
      <c r="E14" s="45">
        <v>45864</v>
      </c>
      <c r="F14" s="45">
        <v>45864</v>
      </c>
      <c r="G14" s="34" t="s">
        <v>490</v>
      </c>
      <c r="H14" s="34">
        <v>10018</v>
      </c>
      <c r="I14" s="30" t="s">
        <v>24</v>
      </c>
      <c r="J14" s="46">
        <v>61300</v>
      </c>
      <c r="K14" s="32"/>
    </row>
    <row r="15" spans="1:11" ht="16.5" thickBot="1" x14ac:dyDescent="0.3">
      <c r="A15" s="43">
        <v>17</v>
      </c>
      <c r="B15" s="44" t="s">
        <v>365</v>
      </c>
      <c r="C15" s="44" t="s">
        <v>366</v>
      </c>
      <c r="D15" s="33">
        <v>32705857</v>
      </c>
      <c r="E15" s="45">
        <v>45864</v>
      </c>
      <c r="F15" s="45">
        <v>45864</v>
      </c>
      <c r="G15" s="34" t="s">
        <v>491</v>
      </c>
      <c r="H15" s="34">
        <v>10015</v>
      </c>
      <c r="I15" s="44" t="s">
        <v>20</v>
      </c>
      <c r="J15" s="46">
        <v>43930</v>
      </c>
      <c r="K15" s="32"/>
    </row>
    <row r="16" spans="1:11" ht="16.5" thickBot="1" x14ac:dyDescent="0.3">
      <c r="A16" s="43">
        <v>18</v>
      </c>
      <c r="B16" s="44" t="s">
        <v>365</v>
      </c>
      <c r="C16" s="44" t="s">
        <v>366</v>
      </c>
      <c r="D16" s="33">
        <v>32705807</v>
      </c>
      <c r="E16" s="45">
        <v>45864</v>
      </c>
      <c r="F16" s="45">
        <v>45864</v>
      </c>
      <c r="G16" s="34" t="s">
        <v>492</v>
      </c>
      <c r="H16" s="34">
        <v>10587</v>
      </c>
      <c r="I16" s="44" t="s">
        <v>368</v>
      </c>
      <c r="J16" s="46">
        <v>21167</v>
      </c>
      <c r="K16" s="32"/>
    </row>
    <row r="17" spans="1:11" ht="16.5" thickBot="1" x14ac:dyDescent="0.3">
      <c r="A17" s="43">
        <v>19</v>
      </c>
      <c r="B17" s="44" t="s">
        <v>365</v>
      </c>
      <c r="C17" s="44" t="s">
        <v>366</v>
      </c>
      <c r="D17" s="33">
        <v>32705808</v>
      </c>
      <c r="E17" s="45">
        <v>45864</v>
      </c>
      <c r="F17" s="45">
        <v>45864</v>
      </c>
      <c r="G17" s="34" t="s">
        <v>493</v>
      </c>
      <c r="H17" s="34">
        <v>10597</v>
      </c>
      <c r="I17" s="44" t="s">
        <v>373</v>
      </c>
      <c r="J17" s="46">
        <v>22500</v>
      </c>
      <c r="K17" s="32"/>
    </row>
    <row r="18" spans="1:11" ht="16.5" thickBot="1" x14ac:dyDescent="0.3">
      <c r="A18" s="43">
        <v>20</v>
      </c>
      <c r="B18" s="44" t="s">
        <v>365</v>
      </c>
      <c r="C18" s="44" t="s">
        <v>366</v>
      </c>
      <c r="D18" s="33">
        <v>32705809</v>
      </c>
      <c r="E18" s="45">
        <v>45864</v>
      </c>
      <c r="F18" s="45">
        <v>45864</v>
      </c>
      <c r="G18" s="34" t="s">
        <v>494</v>
      </c>
      <c r="H18" s="34">
        <v>10605</v>
      </c>
      <c r="I18" s="44" t="s">
        <v>382</v>
      </c>
      <c r="J18" s="46">
        <v>11783</v>
      </c>
      <c r="K18" s="32"/>
    </row>
    <row r="19" spans="1:11" ht="16.5" thickBot="1" x14ac:dyDescent="0.3">
      <c r="A19" s="43">
        <v>21</v>
      </c>
      <c r="B19" s="44" t="s">
        <v>365</v>
      </c>
      <c r="C19" s="44" t="s">
        <v>366</v>
      </c>
      <c r="D19" s="33">
        <v>32705810</v>
      </c>
      <c r="E19" s="45">
        <v>45864</v>
      </c>
      <c r="F19" s="45">
        <v>45864</v>
      </c>
      <c r="G19" s="34" t="s">
        <v>495</v>
      </c>
      <c r="H19" s="34">
        <v>10505</v>
      </c>
      <c r="I19" s="44" t="s">
        <v>187</v>
      </c>
      <c r="J19" s="46">
        <v>24166</v>
      </c>
      <c r="K19" s="32"/>
    </row>
    <row r="20" spans="1:11" ht="16.5" thickBot="1" x14ac:dyDescent="0.3">
      <c r="A20" s="43">
        <v>22</v>
      </c>
      <c r="B20" s="44" t="s">
        <v>365</v>
      </c>
      <c r="C20" s="44" t="s">
        <v>366</v>
      </c>
      <c r="D20" s="33">
        <v>32705811</v>
      </c>
      <c r="E20" s="45">
        <v>45864</v>
      </c>
      <c r="F20" s="45">
        <v>45864</v>
      </c>
      <c r="G20" s="34" t="s">
        <v>496</v>
      </c>
      <c r="H20" s="34">
        <v>10419</v>
      </c>
      <c r="I20" s="44" t="s">
        <v>189</v>
      </c>
      <c r="J20" s="46">
        <v>48997</v>
      </c>
      <c r="K20" s="32"/>
    </row>
    <row r="21" spans="1:11" ht="16.5" thickBot="1" x14ac:dyDescent="0.3">
      <c r="A21" s="43">
        <v>23</v>
      </c>
      <c r="B21" s="44" t="s">
        <v>365</v>
      </c>
      <c r="C21" s="44" t="s">
        <v>366</v>
      </c>
      <c r="D21" s="33">
        <v>32705812</v>
      </c>
      <c r="E21" s="45">
        <v>45864</v>
      </c>
      <c r="F21" s="45">
        <v>45864</v>
      </c>
      <c r="G21" s="34" t="s">
        <v>497</v>
      </c>
      <c r="H21" s="34">
        <v>10573</v>
      </c>
      <c r="I21" s="44" t="s">
        <v>341</v>
      </c>
      <c r="J21" s="46">
        <v>26332</v>
      </c>
      <c r="K21" s="32"/>
    </row>
    <row r="22" spans="1:11" ht="16.5" thickBot="1" x14ac:dyDescent="0.3">
      <c r="A22" s="43">
        <v>24</v>
      </c>
      <c r="B22" s="44" t="s">
        <v>365</v>
      </c>
      <c r="C22" s="44" t="s">
        <v>366</v>
      </c>
      <c r="D22" s="33">
        <v>32705813</v>
      </c>
      <c r="E22" s="45">
        <v>45864</v>
      </c>
      <c r="F22" s="45">
        <v>45864</v>
      </c>
      <c r="G22" s="34" t="s">
        <v>498</v>
      </c>
      <c r="H22" s="34">
        <v>10419</v>
      </c>
      <c r="I22" s="44" t="s">
        <v>189</v>
      </c>
      <c r="J22" s="46">
        <v>15495</v>
      </c>
      <c r="K22" s="32"/>
    </row>
    <row r="23" spans="1:11" ht="16.5" thickBot="1" x14ac:dyDescent="0.3">
      <c r="A23" s="43">
        <v>25</v>
      </c>
      <c r="B23" s="44" t="s">
        <v>365</v>
      </c>
      <c r="C23" s="44" t="s">
        <v>366</v>
      </c>
      <c r="D23" s="33">
        <v>32705814</v>
      </c>
      <c r="E23" s="45">
        <v>45864</v>
      </c>
      <c r="F23" s="45">
        <v>45864</v>
      </c>
      <c r="G23" s="34" t="s">
        <v>499</v>
      </c>
      <c r="H23" s="34">
        <v>10636</v>
      </c>
      <c r="I23" s="44" t="s">
        <v>169</v>
      </c>
      <c r="J23" s="46">
        <v>23242</v>
      </c>
      <c r="K23" s="32"/>
    </row>
    <row r="24" spans="1:11" ht="16.5" thickBot="1" x14ac:dyDescent="0.3">
      <c r="A24" s="43">
        <v>26</v>
      </c>
      <c r="B24" s="44" t="s">
        <v>365</v>
      </c>
      <c r="C24" s="44" t="s">
        <v>366</v>
      </c>
      <c r="D24" s="33">
        <v>32705818</v>
      </c>
      <c r="E24" s="45">
        <v>45864</v>
      </c>
      <c r="F24" s="45">
        <v>45864</v>
      </c>
      <c r="G24" s="34" t="s">
        <v>500</v>
      </c>
      <c r="H24" s="34">
        <v>10569</v>
      </c>
      <c r="I24" s="30" t="s">
        <v>339</v>
      </c>
      <c r="J24" s="46">
        <v>24590</v>
      </c>
      <c r="K24" s="32"/>
    </row>
    <row r="25" spans="1:11" ht="16.5" thickBot="1" x14ac:dyDescent="0.3">
      <c r="A25" s="43">
        <v>27</v>
      </c>
      <c r="B25" s="44" t="s">
        <v>365</v>
      </c>
      <c r="C25" s="44" t="s">
        <v>366</v>
      </c>
      <c r="D25" s="33">
        <v>32705819</v>
      </c>
      <c r="E25" s="45">
        <v>45864</v>
      </c>
      <c r="F25" s="45">
        <v>45864</v>
      </c>
      <c r="G25" s="34" t="s">
        <v>501</v>
      </c>
      <c r="H25" s="34">
        <v>10163</v>
      </c>
      <c r="I25" s="44" t="s">
        <v>108</v>
      </c>
      <c r="J25" s="46">
        <v>28251</v>
      </c>
      <c r="K25" s="32"/>
    </row>
    <row r="26" spans="1:11" ht="16.5" thickBot="1" x14ac:dyDescent="0.3">
      <c r="A26" s="43">
        <v>28</v>
      </c>
      <c r="B26" s="44" t="s">
        <v>365</v>
      </c>
      <c r="C26" s="44" t="s">
        <v>366</v>
      </c>
      <c r="D26" s="33">
        <v>32705820</v>
      </c>
      <c r="E26" s="45">
        <v>45864</v>
      </c>
      <c r="F26" s="45">
        <v>45864</v>
      </c>
      <c r="G26" s="34" t="s">
        <v>502</v>
      </c>
      <c r="H26" s="34">
        <v>10602</v>
      </c>
      <c r="I26" s="44" t="s">
        <v>533</v>
      </c>
      <c r="J26" s="46">
        <v>52028</v>
      </c>
      <c r="K26" s="32"/>
    </row>
    <row r="27" spans="1:11" ht="16.5" thickBot="1" x14ac:dyDescent="0.3">
      <c r="A27" s="43">
        <v>29</v>
      </c>
      <c r="B27" s="44" t="s">
        <v>365</v>
      </c>
      <c r="C27" s="44" t="s">
        <v>366</v>
      </c>
      <c r="D27" s="33">
        <v>32705821</v>
      </c>
      <c r="E27" s="45">
        <v>45864</v>
      </c>
      <c r="F27" s="45">
        <v>45864</v>
      </c>
      <c r="G27" s="34" t="s">
        <v>503</v>
      </c>
      <c r="H27" s="34">
        <v>10567</v>
      </c>
      <c r="I27" s="44" t="s">
        <v>336</v>
      </c>
      <c r="J27" s="46">
        <v>23428</v>
      </c>
      <c r="K27" s="32"/>
    </row>
    <row r="28" spans="1:11" ht="16.5" thickBot="1" x14ac:dyDescent="0.3">
      <c r="A28" s="43">
        <v>30</v>
      </c>
      <c r="B28" s="44" t="s">
        <v>365</v>
      </c>
      <c r="C28" s="44" t="s">
        <v>366</v>
      </c>
      <c r="D28" s="33">
        <v>32705822</v>
      </c>
      <c r="E28" s="45">
        <v>45864</v>
      </c>
      <c r="F28" s="45">
        <v>45864</v>
      </c>
      <c r="G28" s="34" t="s">
        <v>504</v>
      </c>
      <c r="H28" s="34">
        <v>10498</v>
      </c>
      <c r="I28" s="44" t="s">
        <v>477</v>
      </c>
      <c r="J28" s="46">
        <v>23512</v>
      </c>
      <c r="K28" s="32"/>
    </row>
    <row r="29" spans="1:11" ht="16.5" thickBot="1" x14ac:dyDescent="0.3">
      <c r="A29" s="43">
        <v>31</v>
      </c>
      <c r="B29" s="44" t="s">
        <v>365</v>
      </c>
      <c r="C29" s="44" t="s">
        <v>366</v>
      </c>
      <c r="D29" s="33">
        <v>32705823</v>
      </c>
      <c r="E29" s="45">
        <v>45864</v>
      </c>
      <c r="F29" s="45">
        <v>45864</v>
      </c>
      <c r="G29" s="34" t="s">
        <v>505</v>
      </c>
      <c r="H29" s="34">
        <v>10571</v>
      </c>
      <c r="I29" s="30" t="s">
        <v>353</v>
      </c>
      <c r="J29" s="46">
        <v>26243</v>
      </c>
      <c r="K29" s="32"/>
    </row>
    <row r="30" spans="1:11" ht="16.5" thickBot="1" x14ac:dyDescent="0.3">
      <c r="A30" s="43">
        <v>32</v>
      </c>
      <c r="B30" s="44" t="s">
        <v>365</v>
      </c>
      <c r="C30" s="44" t="s">
        <v>366</v>
      </c>
      <c r="D30" s="33">
        <v>32705824</v>
      </c>
      <c r="E30" s="45">
        <v>45864</v>
      </c>
      <c r="F30" s="45">
        <v>45864</v>
      </c>
      <c r="G30" s="34" t="s">
        <v>506</v>
      </c>
      <c r="H30" s="34">
        <v>10365</v>
      </c>
      <c r="I30" s="30" t="s">
        <v>352</v>
      </c>
      <c r="J30" s="46">
        <v>22640</v>
      </c>
      <c r="K30" s="32"/>
    </row>
    <row r="31" spans="1:11" ht="16.5" thickBot="1" x14ac:dyDescent="0.3">
      <c r="A31" s="43">
        <v>33</v>
      </c>
      <c r="B31" s="44" t="s">
        <v>365</v>
      </c>
      <c r="C31" s="44" t="s">
        <v>366</v>
      </c>
      <c r="D31" s="33">
        <v>32705825</v>
      </c>
      <c r="E31" s="45">
        <v>45864</v>
      </c>
      <c r="F31" s="45">
        <v>45864</v>
      </c>
      <c r="G31" s="34" t="s">
        <v>507</v>
      </c>
      <c r="H31" s="34">
        <v>10021</v>
      </c>
      <c r="I31" s="30" t="s">
        <v>29</v>
      </c>
      <c r="J31" s="46">
        <v>55759</v>
      </c>
      <c r="K31" s="32"/>
    </row>
    <row r="32" spans="1:11" ht="16.5" thickBot="1" x14ac:dyDescent="0.3">
      <c r="A32" s="43">
        <v>34</v>
      </c>
      <c r="B32" s="44" t="s">
        <v>365</v>
      </c>
      <c r="C32" s="44" t="s">
        <v>366</v>
      </c>
      <c r="D32" s="33">
        <v>32705826</v>
      </c>
      <c r="E32" s="45">
        <v>45864</v>
      </c>
      <c r="F32" s="45">
        <v>45864</v>
      </c>
      <c r="G32" s="34" t="s">
        <v>508</v>
      </c>
      <c r="H32" s="34">
        <v>10431</v>
      </c>
      <c r="I32" s="44" t="s">
        <v>112</v>
      </c>
      <c r="J32" s="46">
        <v>23872</v>
      </c>
      <c r="K32" s="32"/>
    </row>
    <row r="33" spans="1:11" ht="16.5" thickBot="1" x14ac:dyDescent="0.3">
      <c r="A33" s="43">
        <v>35</v>
      </c>
      <c r="B33" s="44" t="s">
        <v>365</v>
      </c>
      <c r="C33" s="44" t="s">
        <v>366</v>
      </c>
      <c r="D33" s="33">
        <v>32705827</v>
      </c>
      <c r="E33" s="45">
        <v>45864</v>
      </c>
      <c r="F33" s="45">
        <v>45864</v>
      </c>
      <c r="G33" s="34" t="s">
        <v>509</v>
      </c>
      <c r="H33" s="34">
        <v>10326</v>
      </c>
      <c r="I33" s="30" t="s">
        <v>126</v>
      </c>
      <c r="J33" s="46">
        <v>50131</v>
      </c>
      <c r="K33" s="32"/>
    </row>
    <row r="34" spans="1:11" ht="16.5" thickBot="1" x14ac:dyDescent="0.3">
      <c r="A34" s="43">
        <v>36</v>
      </c>
      <c r="B34" s="44" t="s">
        <v>365</v>
      </c>
      <c r="C34" s="44" t="s">
        <v>366</v>
      </c>
      <c r="D34" s="33">
        <v>32705828</v>
      </c>
      <c r="E34" s="45">
        <v>45864</v>
      </c>
      <c r="F34" s="45">
        <v>45864</v>
      </c>
      <c r="G34" s="34" t="s">
        <v>510</v>
      </c>
      <c r="H34" s="34">
        <v>10407</v>
      </c>
      <c r="I34" s="30" t="s">
        <v>122</v>
      </c>
      <c r="J34" s="46">
        <v>89398</v>
      </c>
      <c r="K34" s="32"/>
    </row>
    <row r="35" spans="1:11" ht="16.5" thickBot="1" x14ac:dyDescent="0.3">
      <c r="A35" s="43">
        <v>37</v>
      </c>
      <c r="B35" s="44" t="s">
        <v>365</v>
      </c>
      <c r="C35" s="44" t="s">
        <v>366</v>
      </c>
      <c r="D35" s="33">
        <v>32705829</v>
      </c>
      <c r="E35" s="45">
        <v>45864</v>
      </c>
      <c r="F35" s="45">
        <v>45864</v>
      </c>
      <c r="G35" s="34" t="s">
        <v>511</v>
      </c>
      <c r="H35" s="34">
        <v>10606</v>
      </c>
      <c r="I35" s="44" t="s">
        <v>383</v>
      </c>
      <c r="J35" s="46">
        <v>96625</v>
      </c>
      <c r="K35" s="32"/>
    </row>
    <row r="36" spans="1:11" ht="16.5" thickBot="1" x14ac:dyDescent="0.3">
      <c r="A36" s="43">
        <v>38</v>
      </c>
      <c r="B36" s="44" t="s">
        <v>365</v>
      </c>
      <c r="C36" s="44" t="s">
        <v>366</v>
      </c>
      <c r="D36" s="33">
        <v>32705830</v>
      </c>
      <c r="E36" s="45">
        <v>45864</v>
      </c>
      <c r="F36" s="45">
        <v>45864</v>
      </c>
      <c r="G36" s="34" t="s">
        <v>512</v>
      </c>
      <c r="H36" s="34">
        <v>10598</v>
      </c>
      <c r="I36" s="44" t="s">
        <v>374</v>
      </c>
      <c r="J36" s="46">
        <v>27216</v>
      </c>
      <c r="K36" s="32"/>
    </row>
    <row r="37" spans="1:11" ht="16.5" thickBot="1" x14ac:dyDescent="0.3">
      <c r="A37" s="43">
        <v>39</v>
      </c>
      <c r="B37" s="44" t="s">
        <v>365</v>
      </c>
      <c r="C37" s="44" t="s">
        <v>366</v>
      </c>
      <c r="D37" s="33">
        <v>32705831</v>
      </c>
      <c r="E37" s="45">
        <v>45864</v>
      </c>
      <c r="F37" s="45">
        <v>45864</v>
      </c>
      <c r="G37" s="34" t="s">
        <v>513</v>
      </c>
      <c r="H37" s="34">
        <v>10562</v>
      </c>
      <c r="I37" s="44" t="s">
        <v>394</v>
      </c>
      <c r="J37" s="46">
        <v>25947</v>
      </c>
      <c r="K37" s="32"/>
    </row>
    <row r="38" spans="1:11" ht="16.5" thickBot="1" x14ac:dyDescent="0.3">
      <c r="A38" s="43">
        <v>40</v>
      </c>
      <c r="B38" s="44" t="s">
        <v>365</v>
      </c>
      <c r="C38" s="44" t="s">
        <v>366</v>
      </c>
      <c r="D38" s="33">
        <v>32705832</v>
      </c>
      <c r="E38" s="45">
        <v>45864</v>
      </c>
      <c r="F38" s="45">
        <v>45864</v>
      </c>
      <c r="G38" s="34" t="s">
        <v>514</v>
      </c>
      <c r="H38" s="31">
        <v>10199</v>
      </c>
      <c r="I38" s="30" t="s">
        <v>328</v>
      </c>
      <c r="J38" s="46">
        <v>24000</v>
      </c>
      <c r="K38" s="32"/>
    </row>
    <row r="39" spans="1:11" ht="16.5" thickBot="1" x14ac:dyDescent="0.3">
      <c r="A39" s="43">
        <v>41</v>
      </c>
      <c r="B39" s="44" t="s">
        <v>365</v>
      </c>
      <c r="C39" s="44" t="s">
        <v>366</v>
      </c>
      <c r="D39" s="33">
        <v>32705833</v>
      </c>
      <c r="E39" s="45">
        <v>45864</v>
      </c>
      <c r="F39" s="45">
        <v>45864</v>
      </c>
      <c r="G39" s="34" t="s">
        <v>515</v>
      </c>
      <c r="H39" s="34">
        <v>10015</v>
      </c>
      <c r="I39" s="44" t="s">
        <v>20</v>
      </c>
      <c r="J39" s="46">
        <v>74092</v>
      </c>
      <c r="K39" s="32"/>
    </row>
    <row r="40" spans="1:11" ht="16.5" thickBot="1" x14ac:dyDescent="0.3">
      <c r="A40" s="43">
        <v>42</v>
      </c>
      <c r="B40" s="44" t="s">
        <v>365</v>
      </c>
      <c r="C40" s="44" t="s">
        <v>366</v>
      </c>
      <c r="D40" s="33">
        <v>32705834</v>
      </c>
      <c r="E40" s="45">
        <v>45864</v>
      </c>
      <c r="F40" s="45">
        <v>45864</v>
      </c>
      <c r="G40" s="34" t="s">
        <v>516</v>
      </c>
      <c r="H40" s="31">
        <v>10010</v>
      </c>
      <c r="I40" s="30" t="s">
        <v>15</v>
      </c>
      <c r="J40" s="46">
        <v>19310</v>
      </c>
      <c r="K40" s="32"/>
    </row>
    <row r="41" spans="1:11" ht="16.5" thickBot="1" x14ac:dyDescent="0.3">
      <c r="A41" s="43">
        <v>43</v>
      </c>
      <c r="B41" s="44" t="s">
        <v>365</v>
      </c>
      <c r="C41" s="44" t="s">
        <v>366</v>
      </c>
      <c r="D41" s="33">
        <v>32705732</v>
      </c>
      <c r="E41" s="45">
        <v>45864</v>
      </c>
      <c r="F41" s="45">
        <v>45864</v>
      </c>
      <c r="G41" s="34" t="s">
        <v>517</v>
      </c>
      <c r="H41" s="34">
        <v>10030</v>
      </c>
      <c r="I41" s="44" t="s">
        <v>43</v>
      </c>
      <c r="J41" s="46">
        <v>250</v>
      </c>
      <c r="K41" s="32"/>
    </row>
    <row r="42" spans="1:11" ht="16.5" thickBot="1" x14ac:dyDescent="0.3">
      <c r="A42" s="43">
        <v>44</v>
      </c>
      <c r="B42" s="44" t="s">
        <v>365</v>
      </c>
      <c r="C42" s="44" t="s">
        <v>366</v>
      </c>
      <c r="D42" s="33">
        <v>32705733</v>
      </c>
      <c r="E42" s="45">
        <v>45864</v>
      </c>
      <c r="F42" s="45">
        <v>45864</v>
      </c>
      <c r="G42" s="34" t="s">
        <v>518</v>
      </c>
      <c r="H42" s="34">
        <v>10274</v>
      </c>
      <c r="I42" s="44" t="s">
        <v>238</v>
      </c>
      <c r="J42" s="46">
        <v>2000</v>
      </c>
      <c r="K42" s="32" t="s">
        <v>537</v>
      </c>
    </row>
    <row r="43" spans="1:11" ht="16.5" thickBot="1" x14ac:dyDescent="0.3">
      <c r="A43" s="43">
        <v>45</v>
      </c>
      <c r="B43" s="44" t="s">
        <v>365</v>
      </c>
      <c r="C43" s="44" t="s">
        <v>366</v>
      </c>
      <c r="D43" s="33">
        <v>32705734</v>
      </c>
      <c r="E43" s="45">
        <v>45864</v>
      </c>
      <c r="F43" s="45">
        <v>45864</v>
      </c>
      <c r="G43" s="34" t="s">
        <v>519</v>
      </c>
      <c r="H43" s="34">
        <v>10569</v>
      </c>
      <c r="I43" s="30" t="s">
        <v>339</v>
      </c>
      <c r="J43" s="46">
        <v>2500</v>
      </c>
      <c r="K43" s="32" t="s">
        <v>538</v>
      </c>
    </row>
    <row r="44" spans="1:11" ht="16.5" thickBot="1" x14ac:dyDescent="0.3">
      <c r="A44" s="43">
        <v>46</v>
      </c>
      <c r="B44" s="44" t="s">
        <v>365</v>
      </c>
      <c r="C44" s="44" t="s">
        <v>366</v>
      </c>
      <c r="D44" s="33">
        <v>32705735</v>
      </c>
      <c r="E44" s="45">
        <v>45864</v>
      </c>
      <c r="F44" s="45">
        <v>45864</v>
      </c>
      <c r="G44" s="34" t="s">
        <v>520</v>
      </c>
      <c r="H44" s="34">
        <v>10034</v>
      </c>
      <c r="I44" s="30" t="s">
        <v>351</v>
      </c>
      <c r="J44" s="46">
        <v>2750</v>
      </c>
      <c r="K44" s="32" t="s">
        <v>539</v>
      </c>
    </row>
    <row r="45" spans="1:11" ht="16.5" thickBot="1" x14ac:dyDescent="0.3">
      <c r="A45" s="43">
        <v>47</v>
      </c>
      <c r="B45" s="44" t="s">
        <v>365</v>
      </c>
      <c r="C45" s="44" t="s">
        <v>366</v>
      </c>
      <c r="D45" s="33">
        <v>32705736</v>
      </c>
      <c r="E45" s="45">
        <v>45864</v>
      </c>
      <c r="F45" s="45">
        <v>45864</v>
      </c>
      <c r="G45" s="34" t="s">
        <v>521</v>
      </c>
      <c r="H45" s="34">
        <v>10431</v>
      </c>
      <c r="I45" s="44" t="s">
        <v>112</v>
      </c>
      <c r="J45" s="46">
        <v>2750</v>
      </c>
      <c r="K45" s="32" t="s">
        <v>540</v>
      </c>
    </row>
    <row r="46" spans="1:11" ht="16.5" thickBot="1" x14ac:dyDescent="0.3">
      <c r="A46" s="43">
        <v>49</v>
      </c>
      <c r="B46" s="44" t="s">
        <v>365</v>
      </c>
      <c r="C46" s="44" t="s">
        <v>366</v>
      </c>
      <c r="D46" s="70" t="s">
        <v>549</v>
      </c>
      <c r="E46" s="45">
        <v>45864</v>
      </c>
      <c r="F46" s="45">
        <v>45864</v>
      </c>
      <c r="G46" s="34" t="s">
        <v>522</v>
      </c>
      <c r="H46" s="34">
        <v>10034</v>
      </c>
      <c r="I46" s="30" t="s">
        <v>351</v>
      </c>
      <c r="J46" s="46">
        <v>750</v>
      </c>
      <c r="K46" s="32" t="s">
        <v>548</v>
      </c>
    </row>
    <row r="47" spans="1:11" ht="16.5" thickBot="1" x14ac:dyDescent="0.3">
      <c r="A47" s="43">
        <v>50</v>
      </c>
      <c r="B47" s="44" t="s">
        <v>365</v>
      </c>
      <c r="C47" s="44" t="s">
        <v>366</v>
      </c>
      <c r="D47" s="33">
        <v>32705776</v>
      </c>
      <c r="E47" s="45">
        <v>45864</v>
      </c>
      <c r="F47" s="45">
        <v>45864</v>
      </c>
      <c r="G47" s="34" t="s">
        <v>523</v>
      </c>
      <c r="H47" s="34">
        <v>10163</v>
      </c>
      <c r="I47" s="44" t="s">
        <v>108</v>
      </c>
      <c r="J47" s="46">
        <v>750</v>
      </c>
      <c r="K47" s="32" t="s">
        <v>534</v>
      </c>
    </row>
    <row r="48" spans="1:11" ht="16.5" thickBot="1" x14ac:dyDescent="0.3">
      <c r="A48" s="43">
        <v>51</v>
      </c>
      <c r="B48" s="44" t="s">
        <v>365</v>
      </c>
      <c r="C48" s="44" t="s">
        <v>366</v>
      </c>
      <c r="D48" s="33">
        <v>32705777</v>
      </c>
      <c r="E48" s="45">
        <v>45864</v>
      </c>
      <c r="F48" s="45">
        <v>45864</v>
      </c>
      <c r="G48" s="34" t="s">
        <v>524</v>
      </c>
      <c r="H48" s="34">
        <v>10407</v>
      </c>
      <c r="I48" s="30" t="s">
        <v>122</v>
      </c>
      <c r="J48" s="46">
        <v>1250</v>
      </c>
      <c r="K48" s="32" t="s">
        <v>541</v>
      </c>
    </row>
    <row r="49" spans="1:11" ht="16.5" thickBot="1" x14ac:dyDescent="0.3">
      <c r="A49" s="43">
        <v>52</v>
      </c>
      <c r="B49" s="44" t="s">
        <v>365</v>
      </c>
      <c r="C49" s="44" t="s">
        <v>366</v>
      </c>
      <c r="D49" s="33">
        <v>32705778</v>
      </c>
      <c r="E49" s="45">
        <v>45864</v>
      </c>
      <c r="F49" s="45">
        <v>45864</v>
      </c>
      <c r="G49" s="34" t="s">
        <v>525</v>
      </c>
      <c r="H49" s="34">
        <v>10034</v>
      </c>
      <c r="I49" s="30" t="s">
        <v>351</v>
      </c>
      <c r="J49" s="46">
        <v>750</v>
      </c>
      <c r="K49" s="32" t="s">
        <v>542</v>
      </c>
    </row>
    <row r="50" spans="1:11" ht="16.5" thickBot="1" x14ac:dyDescent="0.3">
      <c r="A50" s="43">
        <v>53</v>
      </c>
      <c r="B50" s="44" t="s">
        <v>365</v>
      </c>
      <c r="C50" s="44" t="s">
        <v>366</v>
      </c>
      <c r="D50" s="33">
        <v>32705779</v>
      </c>
      <c r="E50" s="45">
        <v>45864</v>
      </c>
      <c r="F50" s="45">
        <v>45864</v>
      </c>
      <c r="G50" s="34" t="s">
        <v>526</v>
      </c>
      <c r="H50" s="34">
        <v>10021</v>
      </c>
      <c r="I50" s="30" t="s">
        <v>29</v>
      </c>
      <c r="J50" s="46">
        <v>1250</v>
      </c>
      <c r="K50" s="32" t="s">
        <v>543</v>
      </c>
    </row>
    <row r="51" spans="1:11" ht="16.5" thickBot="1" x14ac:dyDescent="0.3">
      <c r="A51" s="43">
        <v>54</v>
      </c>
      <c r="B51" s="44" t="s">
        <v>365</v>
      </c>
      <c r="C51" s="44" t="s">
        <v>366</v>
      </c>
      <c r="D51" s="33">
        <v>32705896</v>
      </c>
      <c r="E51" s="45">
        <v>45864</v>
      </c>
      <c r="F51" s="45">
        <v>45864</v>
      </c>
      <c r="G51" s="34" t="s">
        <v>527</v>
      </c>
      <c r="H51" s="34">
        <v>10407</v>
      </c>
      <c r="I51" s="30" t="s">
        <v>122</v>
      </c>
      <c r="J51" s="46">
        <v>1250</v>
      </c>
      <c r="K51" s="32" t="s">
        <v>545</v>
      </c>
    </row>
    <row r="52" spans="1:11" ht="16.5" thickBot="1" x14ac:dyDescent="0.3">
      <c r="A52" s="43">
        <v>55</v>
      </c>
      <c r="B52" s="44" t="s">
        <v>365</v>
      </c>
      <c r="C52" s="44" t="s">
        <v>366</v>
      </c>
      <c r="D52" s="33">
        <v>32705897</v>
      </c>
      <c r="E52" s="45">
        <v>45864</v>
      </c>
      <c r="F52" s="45">
        <v>45864</v>
      </c>
      <c r="G52" s="34" t="s">
        <v>528</v>
      </c>
      <c r="H52" s="34">
        <v>10034</v>
      </c>
      <c r="I52" s="30" t="s">
        <v>351</v>
      </c>
      <c r="J52" s="46">
        <v>750</v>
      </c>
      <c r="K52" s="32" t="s">
        <v>544</v>
      </c>
    </row>
    <row r="53" spans="1:11" ht="16.5" thickBot="1" x14ac:dyDescent="0.3">
      <c r="A53" s="43">
        <v>56</v>
      </c>
      <c r="B53" s="44" t="s">
        <v>365</v>
      </c>
      <c r="C53" s="44" t="s">
        <v>366</v>
      </c>
      <c r="D53" s="33">
        <v>32705898</v>
      </c>
      <c r="E53" s="45">
        <v>45864</v>
      </c>
      <c r="F53" s="45">
        <v>45864</v>
      </c>
      <c r="G53" s="34" t="s">
        <v>529</v>
      </c>
      <c r="H53" s="34">
        <v>10163</v>
      </c>
      <c r="I53" s="44" t="s">
        <v>108</v>
      </c>
      <c r="J53" s="46">
        <v>750</v>
      </c>
      <c r="K53" s="32" t="s">
        <v>535</v>
      </c>
    </row>
    <row r="54" spans="1:11" ht="16.5" thickBot="1" x14ac:dyDescent="0.3">
      <c r="A54" s="43">
        <v>57</v>
      </c>
      <c r="B54" s="44" t="s">
        <v>365</v>
      </c>
      <c r="C54" s="44" t="s">
        <v>366</v>
      </c>
      <c r="D54" s="33">
        <v>32705688</v>
      </c>
      <c r="E54" s="45">
        <v>45864</v>
      </c>
      <c r="F54" s="45">
        <v>45864</v>
      </c>
      <c r="G54" s="34" t="s">
        <v>530</v>
      </c>
      <c r="H54" s="34">
        <v>10030</v>
      </c>
      <c r="I54" s="44" t="s">
        <v>43</v>
      </c>
      <c r="J54" s="46">
        <v>1250</v>
      </c>
      <c r="K54" s="32" t="s">
        <v>547</v>
      </c>
    </row>
    <row r="55" spans="1:11" ht="16.5" thickBot="1" x14ac:dyDescent="0.3">
      <c r="A55" s="43">
        <v>58</v>
      </c>
      <c r="B55" s="44" t="s">
        <v>365</v>
      </c>
      <c r="C55" s="44" t="s">
        <v>366</v>
      </c>
      <c r="D55" s="33">
        <v>32705686</v>
      </c>
      <c r="E55" s="45">
        <v>45864</v>
      </c>
      <c r="F55" s="45">
        <v>45864</v>
      </c>
      <c r="G55" s="34" t="s">
        <v>531</v>
      </c>
      <c r="H55" s="34">
        <v>10294</v>
      </c>
      <c r="I55" s="44" t="s">
        <v>395</v>
      </c>
      <c r="J55" s="46">
        <v>1250</v>
      </c>
      <c r="K55" s="32" t="s">
        <v>546</v>
      </c>
    </row>
    <row r="56" spans="1:11" ht="16.5" thickBot="1" x14ac:dyDescent="0.3">
      <c r="A56" s="43">
        <v>59</v>
      </c>
      <c r="B56" s="44" t="s">
        <v>365</v>
      </c>
      <c r="C56" s="44" t="s">
        <v>366</v>
      </c>
      <c r="D56" s="33">
        <v>32705687</v>
      </c>
      <c r="E56" s="45">
        <v>45864</v>
      </c>
      <c r="F56" s="45">
        <v>45864</v>
      </c>
      <c r="G56" s="34" t="s">
        <v>532</v>
      </c>
      <c r="H56" s="34">
        <v>10163</v>
      </c>
      <c r="I56" s="44" t="s">
        <v>108</v>
      </c>
      <c r="J56" s="46">
        <v>4500</v>
      </c>
      <c r="K56" s="32" t="s">
        <v>536</v>
      </c>
    </row>
    <row r="57" spans="1:11" ht="16.5" thickBot="1" x14ac:dyDescent="0.3">
      <c r="A57" s="43"/>
      <c r="B57" s="44"/>
      <c r="C57" s="44"/>
      <c r="D57" s="33"/>
      <c r="E57" s="35"/>
      <c r="F57" s="35"/>
      <c r="G57" s="44"/>
      <c r="H57" s="34"/>
      <c r="I57" s="44"/>
      <c r="J57" s="46"/>
      <c r="K57" s="32"/>
    </row>
    <row r="58" spans="1:11" ht="16.5" thickBot="1" x14ac:dyDescent="0.3">
      <c r="A58" s="43"/>
      <c r="B58" s="44"/>
      <c r="C58" s="44"/>
      <c r="D58" s="33"/>
      <c r="E58" s="35"/>
      <c r="F58" s="35"/>
      <c r="G58" s="44"/>
      <c r="H58" s="34"/>
      <c r="I58" s="44"/>
      <c r="J58" s="46"/>
      <c r="K58" s="32"/>
    </row>
    <row r="59" spans="1:11" ht="16.5" thickBot="1" x14ac:dyDescent="0.3">
      <c r="A59" s="43"/>
      <c r="B59" s="44"/>
      <c r="C59" s="44"/>
      <c r="D59" s="33"/>
      <c r="E59" s="35"/>
      <c r="F59" s="35"/>
      <c r="G59" s="44"/>
      <c r="H59" s="34"/>
      <c r="I59" s="44"/>
      <c r="J59" s="46"/>
      <c r="K59" s="32"/>
    </row>
    <row r="60" spans="1:11" ht="16.5" thickBot="1" x14ac:dyDescent="0.3">
      <c r="A60" s="43"/>
      <c r="B60" s="44"/>
      <c r="C60" s="44"/>
      <c r="D60" s="33"/>
      <c r="E60" s="35"/>
      <c r="F60" s="35"/>
      <c r="G60" s="44"/>
      <c r="H60" s="34"/>
      <c r="I60" s="44"/>
      <c r="J60" s="46"/>
      <c r="K60" s="32"/>
    </row>
    <row r="61" spans="1:11" ht="16.5" thickBot="1" x14ac:dyDescent="0.3">
      <c r="A61" s="43"/>
      <c r="B61" s="44"/>
      <c r="C61" s="44"/>
      <c r="D61" s="33"/>
      <c r="E61" s="35"/>
      <c r="F61" s="35"/>
      <c r="G61" s="44"/>
      <c r="H61" s="34"/>
      <c r="I61" s="44"/>
      <c r="J61" s="46"/>
      <c r="K61" s="32"/>
    </row>
    <row r="62" spans="1:11" ht="16.5" thickBot="1" x14ac:dyDescent="0.3">
      <c r="A62" s="43"/>
      <c r="B62" s="44"/>
      <c r="C62" s="44"/>
      <c r="D62" s="33"/>
      <c r="E62" s="35"/>
      <c r="F62" s="35"/>
      <c r="G62" s="44"/>
      <c r="H62" s="34"/>
      <c r="I62" s="34"/>
      <c r="J62" s="46"/>
      <c r="K62" s="32"/>
    </row>
    <row r="63" spans="1:11" ht="16.5" thickBot="1" x14ac:dyDescent="0.3">
      <c r="A63" s="43"/>
      <c r="B63" s="44"/>
      <c r="C63" s="44"/>
      <c r="D63" s="33"/>
      <c r="E63" s="35"/>
      <c r="F63" s="35"/>
      <c r="G63" s="48"/>
      <c r="H63" s="34"/>
      <c r="I63" s="44"/>
      <c r="J63" s="46"/>
      <c r="K63" s="32"/>
    </row>
    <row r="64" spans="1:11" ht="16.5" thickBot="1" x14ac:dyDescent="0.3">
      <c r="A64" s="43"/>
      <c r="B64" s="44"/>
      <c r="C64" s="44"/>
      <c r="D64" s="33"/>
      <c r="E64" s="35"/>
      <c r="F64" s="35"/>
      <c r="G64" s="44"/>
      <c r="H64" s="34"/>
      <c r="I64" s="44"/>
      <c r="J64" s="46"/>
      <c r="K64" s="32"/>
    </row>
    <row r="65" spans="1:11" ht="16.5" thickBot="1" x14ac:dyDescent="0.3">
      <c r="A65" s="43"/>
      <c r="B65" s="44"/>
      <c r="C65" s="44"/>
      <c r="D65" s="33"/>
      <c r="E65" s="35"/>
      <c r="F65" s="35"/>
      <c r="G65" s="44"/>
      <c r="H65" s="34"/>
      <c r="I65" s="44"/>
      <c r="J65" s="46"/>
      <c r="K65" s="32"/>
    </row>
    <row r="66" spans="1:11" ht="16.5" thickBot="1" x14ac:dyDescent="0.3">
      <c r="A66" s="43"/>
      <c r="B66" s="44"/>
      <c r="C66" s="44"/>
      <c r="D66" s="33"/>
      <c r="E66" s="35"/>
      <c r="F66" s="35"/>
      <c r="G66" s="44"/>
      <c r="H66" s="34"/>
      <c r="I66" s="34"/>
      <c r="J66" s="46"/>
      <c r="K66" s="32"/>
    </row>
    <row r="67" spans="1:11" ht="16.5" thickBot="1" x14ac:dyDescent="0.3">
      <c r="A67" s="43"/>
      <c r="B67" s="44"/>
      <c r="C67" s="44"/>
      <c r="D67" s="33"/>
      <c r="E67" s="35"/>
      <c r="F67" s="35"/>
      <c r="G67" s="44"/>
      <c r="H67" s="34"/>
      <c r="I67" s="34"/>
      <c r="J67" s="46"/>
      <c r="K67" s="32"/>
    </row>
    <row r="68" spans="1:11" ht="16.5" thickBot="1" x14ac:dyDescent="0.3">
      <c r="A68" s="43"/>
      <c r="B68" s="44"/>
      <c r="C68" s="44"/>
      <c r="D68" s="33"/>
      <c r="E68" s="35"/>
      <c r="F68" s="35"/>
      <c r="G68" s="44"/>
      <c r="H68" s="34"/>
      <c r="I68" s="44"/>
      <c r="J68" s="46"/>
      <c r="K68" s="32"/>
    </row>
    <row r="69" spans="1:11" ht="16.5" thickBot="1" x14ac:dyDescent="0.3">
      <c r="A69" s="43"/>
      <c r="B69" s="44"/>
      <c r="C69" s="44"/>
      <c r="D69" s="33"/>
      <c r="E69" s="35"/>
      <c r="F69" s="35"/>
      <c r="G69" s="44"/>
      <c r="H69" s="34"/>
      <c r="I69" s="44"/>
      <c r="J69" s="46"/>
      <c r="K69" s="32"/>
    </row>
    <row r="70" spans="1:11" ht="16.5" thickBot="1" x14ac:dyDescent="0.3">
      <c r="A70" s="43"/>
      <c r="B70" s="44"/>
      <c r="C70" s="44"/>
      <c r="D70" s="33"/>
      <c r="E70" s="35"/>
      <c r="F70" s="35"/>
      <c r="G70" s="44"/>
      <c r="H70" s="34"/>
      <c r="I70" s="44"/>
      <c r="J70" s="46"/>
      <c r="K70" s="32"/>
    </row>
    <row r="71" spans="1:11" ht="16.5" thickBot="1" x14ac:dyDescent="0.3">
      <c r="A71" s="43"/>
      <c r="B71" s="44"/>
      <c r="C71" s="44"/>
      <c r="D71" s="33"/>
      <c r="E71" s="35"/>
      <c r="F71" s="35"/>
      <c r="G71" s="44"/>
      <c r="H71" s="34"/>
      <c r="I71" s="44"/>
      <c r="J71" s="46"/>
      <c r="K71" s="32"/>
    </row>
    <row r="72" spans="1:11" ht="16.5" thickBot="1" x14ac:dyDescent="0.3">
      <c r="A72" s="43"/>
      <c r="B72" s="44"/>
      <c r="C72" s="44"/>
      <c r="D72" s="33"/>
      <c r="E72" s="35"/>
      <c r="F72" s="35"/>
      <c r="G72" s="44"/>
      <c r="H72" s="34"/>
      <c r="I72" s="44"/>
      <c r="J72" s="46"/>
      <c r="K72" s="32"/>
    </row>
    <row r="73" spans="1:11" ht="16.5" thickBot="1" x14ac:dyDescent="0.3">
      <c r="A73" s="43"/>
      <c r="B73" s="44"/>
      <c r="C73" s="44"/>
      <c r="D73" s="33"/>
      <c r="E73" s="35"/>
      <c r="F73" s="35"/>
      <c r="G73" s="44"/>
      <c r="H73" s="34"/>
      <c r="I73" s="44"/>
      <c r="J73" s="46"/>
      <c r="K73" s="32"/>
    </row>
    <row r="74" spans="1:11" ht="16.5" thickBot="1" x14ac:dyDescent="0.3">
      <c r="A74" s="43"/>
      <c r="B74" s="44"/>
      <c r="C74" s="44"/>
      <c r="D74" s="33"/>
      <c r="E74" s="35"/>
      <c r="F74" s="35"/>
      <c r="G74" s="44"/>
      <c r="H74" s="34"/>
      <c r="I74" s="44"/>
      <c r="J74" s="46"/>
      <c r="K74" s="32"/>
    </row>
    <row r="75" spans="1:11" ht="16.5" thickBot="1" x14ac:dyDescent="0.3">
      <c r="A75" s="43"/>
      <c r="B75" s="44"/>
      <c r="C75" s="44"/>
      <c r="D75" s="33"/>
      <c r="E75" s="35"/>
      <c r="F75" s="35"/>
      <c r="G75" s="44"/>
      <c r="H75" s="34"/>
      <c r="I75" s="44"/>
      <c r="J75" s="46"/>
      <c r="K75" s="32"/>
    </row>
    <row r="76" spans="1:11" ht="16.5" thickBot="1" x14ac:dyDescent="0.3">
      <c r="A76" s="43"/>
      <c r="B76" s="44"/>
      <c r="C76" s="44"/>
      <c r="D76" s="33"/>
      <c r="E76" s="35"/>
      <c r="F76" s="35"/>
      <c r="G76" s="44"/>
      <c r="H76" s="34"/>
      <c r="I76" s="44"/>
      <c r="J76" s="46"/>
      <c r="K76" s="32"/>
    </row>
    <row r="77" spans="1:11" ht="16.5" thickBot="1" x14ac:dyDescent="0.3">
      <c r="A77" s="43"/>
      <c r="B77" s="44"/>
      <c r="C77" s="44"/>
      <c r="D77" s="33"/>
      <c r="E77" s="35"/>
      <c r="F77" s="35"/>
      <c r="G77" s="44"/>
      <c r="H77" s="34"/>
      <c r="I77" s="44"/>
      <c r="J77" s="46"/>
      <c r="K77" s="32"/>
    </row>
    <row r="78" spans="1:11" ht="16.5" thickBot="1" x14ac:dyDescent="0.3">
      <c r="A78" s="43"/>
      <c r="B78" s="44"/>
      <c r="C78" s="44"/>
      <c r="D78" s="33"/>
      <c r="E78" s="35"/>
      <c r="F78" s="35"/>
      <c r="G78" s="44"/>
      <c r="H78" s="34"/>
      <c r="I78" s="44"/>
      <c r="J78" s="46"/>
      <c r="K78" s="32"/>
    </row>
    <row r="79" spans="1:11" ht="16.5" thickBot="1" x14ac:dyDescent="0.3">
      <c r="A79" s="43"/>
      <c r="B79" s="44"/>
      <c r="C79" s="44"/>
      <c r="D79" s="33"/>
      <c r="E79" s="35"/>
      <c r="F79" s="35"/>
      <c r="G79" s="44"/>
      <c r="H79" s="34"/>
      <c r="I79" s="44"/>
      <c r="J79" s="46"/>
      <c r="K79" s="32"/>
    </row>
    <row r="80" spans="1:11" ht="16.5" thickBot="1" x14ac:dyDescent="0.3">
      <c r="A80" s="43"/>
      <c r="B80" s="44"/>
      <c r="C80" s="44"/>
      <c r="D80" s="33"/>
      <c r="E80" s="35"/>
      <c r="F80" s="35"/>
      <c r="G80" s="44"/>
      <c r="H80" s="34"/>
      <c r="I80" s="44"/>
      <c r="J80" s="46"/>
      <c r="K80" s="32"/>
    </row>
    <row r="81" spans="1:11" ht="16.5" thickBot="1" x14ac:dyDescent="0.3">
      <c r="A81" s="43"/>
      <c r="B81" s="44"/>
      <c r="C81" s="44"/>
      <c r="D81" s="33"/>
      <c r="E81" s="35"/>
      <c r="F81" s="35"/>
      <c r="G81" s="44"/>
      <c r="H81" s="34"/>
      <c r="I81" s="44"/>
      <c r="J81" s="46"/>
      <c r="K81" s="32"/>
    </row>
    <row r="82" spans="1:11" ht="16.5" thickBot="1" x14ac:dyDescent="0.3">
      <c r="A82" s="43"/>
      <c r="B82" s="44"/>
      <c r="C82" s="44"/>
      <c r="D82" s="33"/>
      <c r="E82" s="35"/>
      <c r="F82" s="35"/>
      <c r="G82" s="44"/>
      <c r="H82" s="34"/>
      <c r="I82" s="44"/>
      <c r="J82" s="46"/>
      <c r="K82" s="32"/>
    </row>
    <row r="83" spans="1:11" ht="16.5" thickBot="1" x14ac:dyDescent="0.3">
      <c r="A83" s="43"/>
      <c r="B83" s="44"/>
      <c r="C83" s="44"/>
      <c r="D83" s="33"/>
      <c r="E83" s="35"/>
      <c r="F83" s="35"/>
      <c r="G83" s="44"/>
      <c r="H83" s="34"/>
      <c r="I83" s="44"/>
      <c r="J83" s="46"/>
      <c r="K83" s="32"/>
    </row>
    <row r="84" spans="1:11" ht="16.5" thickBot="1" x14ac:dyDescent="0.3">
      <c r="A84" s="43"/>
      <c r="B84" s="44"/>
      <c r="C84" s="44"/>
      <c r="D84" s="33"/>
      <c r="E84" s="35"/>
      <c r="F84" s="35"/>
      <c r="G84" s="44"/>
      <c r="H84" s="34"/>
      <c r="I84" s="44"/>
      <c r="J84" s="46"/>
      <c r="K84" s="32"/>
    </row>
    <row r="85" spans="1:11" ht="16.5" thickBot="1" x14ac:dyDescent="0.3">
      <c r="A85" s="43"/>
      <c r="B85" s="44"/>
      <c r="C85" s="44"/>
      <c r="D85" s="33"/>
      <c r="E85" s="35"/>
      <c r="F85" s="35"/>
      <c r="G85" s="44"/>
      <c r="H85" s="34"/>
      <c r="I85" s="44"/>
      <c r="J85" s="46"/>
      <c r="K85" s="32"/>
    </row>
    <row r="86" spans="1:11" ht="16.5" thickBot="1" x14ac:dyDescent="0.3">
      <c r="A86" s="43"/>
      <c r="B86" s="44"/>
      <c r="C86" s="44"/>
      <c r="D86" s="33"/>
      <c r="E86" s="35"/>
      <c r="F86" s="35"/>
      <c r="G86" s="44"/>
      <c r="H86" s="34"/>
      <c r="I86" s="34"/>
      <c r="J86" s="46"/>
      <c r="K86" s="32"/>
    </row>
    <row r="87" spans="1:11" ht="16.5" thickBot="1" x14ac:dyDescent="0.3">
      <c r="A87" s="43"/>
      <c r="B87" s="44"/>
      <c r="C87" s="44"/>
      <c r="D87" s="33"/>
      <c r="E87" s="35"/>
      <c r="F87" s="35"/>
      <c r="G87" s="44"/>
      <c r="H87" s="34"/>
      <c r="I87" s="44"/>
      <c r="J87" s="46"/>
      <c r="K87" s="32"/>
    </row>
    <row r="88" spans="1:11" ht="16.5" thickBot="1" x14ac:dyDescent="0.3">
      <c r="A88" s="43"/>
      <c r="B88" s="44"/>
      <c r="C88" s="44"/>
      <c r="D88" s="33"/>
      <c r="E88" s="35"/>
      <c r="F88" s="35"/>
      <c r="G88" s="44"/>
      <c r="H88" s="34"/>
      <c r="I88" s="34"/>
      <c r="J88" s="46"/>
      <c r="K88" s="32"/>
    </row>
    <row r="89" spans="1:11" ht="16.5" thickBot="1" x14ac:dyDescent="0.3">
      <c r="A89" s="43"/>
      <c r="B89" s="44"/>
      <c r="C89" s="44"/>
      <c r="D89" s="33"/>
      <c r="E89" s="35"/>
      <c r="F89" s="35"/>
      <c r="G89" s="34"/>
      <c r="H89" s="34"/>
      <c r="I89" s="34"/>
      <c r="J89" s="46"/>
      <c r="K89" s="32"/>
    </row>
    <row r="90" spans="1:11" ht="16.5" thickBot="1" x14ac:dyDescent="0.3">
      <c r="A90" s="43"/>
      <c r="B90" s="44"/>
      <c r="C90" s="44"/>
      <c r="D90" s="33"/>
      <c r="E90" s="35"/>
      <c r="F90" s="35"/>
      <c r="G90" s="34"/>
      <c r="H90" s="34"/>
      <c r="I90" s="34"/>
      <c r="J90" s="46"/>
      <c r="K90" s="32"/>
    </row>
    <row r="91" spans="1:11" ht="16.5" thickBot="1" x14ac:dyDescent="0.3">
      <c r="A91" s="43"/>
      <c r="B91" s="44"/>
      <c r="C91" s="44"/>
      <c r="D91" s="33"/>
      <c r="E91" s="35"/>
      <c r="F91" s="35"/>
      <c r="G91" s="34"/>
      <c r="H91" s="34"/>
      <c r="I91" s="34"/>
      <c r="J91" s="46"/>
      <c r="K91" s="32"/>
    </row>
    <row r="92" spans="1:11" ht="16.5" thickBot="1" x14ac:dyDescent="0.3">
      <c r="A92" s="43"/>
      <c r="B92" s="44"/>
      <c r="C92" s="44"/>
      <c r="D92" s="33"/>
      <c r="E92" s="35"/>
      <c r="F92" s="35"/>
      <c r="G92" s="34"/>
      <c r="H92" s="34"/>
      <c r="I92" s="34"/>
      <c r="J92" s="46"/>
      <c r="K92" s="32"/>
    </row>
    <row r="93" spans="1:11" ht="16.5" thickBot="1" x14ac:dyDescent="0.3">
      <c r="A93" s="43"/>
      <c r="B93" s="44"/>
      <c r="C93" s="44"/>
      <c r="D93" s="33"/>
      <c r="E93" s="35"/>
      <c r="F93" s="35"/>
      <c r="G93" s="34"/>
      <c r="H93" s="34"/>
      <c r="I93" s="34"/>
      <c r="J93" s="46"/>
      <c r="K93" s="32"/>
    </row>
    <row r="94" spans="1:11" ht="16.5" thickBot="1" x14ac:dyDescent="0.3">
      <c r="A94" s="43"/>
      <c r="B94" s="44"/>
      <c r="C94" s="44"/>
      <c r="D94" s="33"/>
      <c r="E94" s="35"/>
      <c r="F94" s="35"/>
      <c r="G94" s="34"/>
      <c r="H94" s="34"/>
      <c r="I94" s="34"/>
      <c r="J94" s="46"/>
      <c r="K94" s="32"/>
    </row>
    <row r="95" spans="1:11" ht="16.5" thickBot="1" x14ac:dyDescent="0.3">
      <c r="A95" s="43"/>
      <c r="B95" s="44"/>
      <c r="C95" s="44"/>
      <c r="D95" s="33"/>
      <c r="E95" s="35"/>
      <c r="F95" s="35"/>
      <c r="G95" s="34"/>
      <c r="H95" s="34"/>
      <c r="I95" s="34"/>
      <c r="J95" s="46"/>
      <c r="K95" s="32"/>
    </row>
    <row r="96" spans="1:11" ht="16.5" thickBot="1" x14ac:dyDescent="0.3">
      <c r="A96" s="43"/>
      <c r="B96" s="44"/>
      <c r="C96" s="44"/>
      <c r="D96" s="33"/>
      <c r="E96" s="35"/>
      <c r="F96" s="35"/>
      <c r="G96" s="44"/>
      <c r="H96" s="34"/>
      <c r="I96" s="44"/>
      <c r="J96" s="46"/>
      <c r="K96" s="32"/>
    </row>
    <row r="97" spans="1:11" ht="16.5" thickBot="1" x14ac:dyDescent="0.3">
      <c r="A97" s="43"/>
      <c r="B97" s="44"/>
      <c r="C97" s="44"/>
      <c r="D97" s="33"/>
      <c r="E97" s="35"/>
      <c r="F97" s="35"/>
      <c r="G97" s="34"/>
      <c r="H97" s="34"/>
      <c r="I97" s="34"/>
      <c r="J97" s="46"/>
      <c r="K97" s="32"/>
    </row>
    <row r="98" spans="1:11" ht="16.5" thickBot="1" x14ac:dyDescent="0.3">
      <c r="A98" s="43"/>
      <c r="B98" s="44"/>
      <c r="C98" s="44"/>
      <c r="D98" s="33"/>
      <c r="E98" s="35"/>
      <c r="F98" s="35"/>
      <c r="G98" s="44"/>
      <c r="H98" s="34"/>
      <c r="I98" s="44"/>
      <c r="J98" s="46"/>
      <c r="K98" s="32"/>
    </row>
    <row r="99" spans="1:11" ht="16.5" thickBot="1" x14ac:dyDescent="0.3">
      <c r="A99" s="43"/>
      <c r="B99" s="44"/>
      <c r="C99" s="44"/>
      <c r="D99" s="33"/>
      <c r="E99" s="35"/>
      <c r="F99" s="35"/>
      <c r="G99" s="44"/>
      <c r="H99" s="34"/>
      <c r="I99" s="44"/>
      <c r="J99" s="46"/>
      <c r="K99" s="32"/>
    </row>
    <row r="100" spans="1:11" ht="16.5" thickBot="1" x14ac:dyDescent="0.3">
      <c r="A100" s="43"/>
      <c r="B100" s="44"/>
      <c r="C100" s="44"/>
      <c r="D100" s="33"/>
      <c r="E100" s="35"/>
      <c r="F100" s="35"/>
      <c r="G100" s="44"/>
      <c r="H100" s="34"/>
      <c r="I100" s="44"/>
      <c r="J100" s="46"/>
      <c r="K100" s="32"/>
    </row>
    <row r="101" spans="1:11" ht="16.5" thickBot="1" x14ac:dyDescent="0.3">
      <c r="A101" s="43"/>
      <c r="B101" s="44"/>
      <c r="C101" s="44"/>
      <c r="D101" s="33"/>
      <c r="E101" s="35"/>
      <c r="F101" s="33"/>
      <c r="G101" s="44"/>
      <c r="H101" s="34"/>
      <c r="I101" s="44"/>
      <c r="J101" s="46"/>
      <c r="K101" s="32"/>
    </row>
    <row r="102" spans="1:11" ht="16.5" thickBot="1" x14ac:dyDescent="0.3">
      <c r="A102" s="43"/>
      <c r="B102" s="44"/>
      <c r="C102" s="44"/>
      <c r="D102" s="33"/>
      <c r="E102" s="35"/>
      <c r="F102" s="35"/>
      <c r="G102" s="34"/>
      <c r="H102" s="34"/>
      <c r="I102" s="44"/>
      <c r="J102" s="46"/>
      <c r="K102" s="32"/>
    </row>
    <row r="103" spans="1:11" ht="16.5" thickBot="1" x14ac:dyDescent="0.3">
      <c r="A103" s="43"/>
      <c r="B103" s="44"/>
      <c r="C103" s="44"/>
      <c r="D103" s="33"/>
      <c r="E103" s="35"/>
      <c r="F103" s="35"/>
      <c r="G103" s="34"/>
      <c r="H103" s="34"/>
      <c r="I103" s="44"/>
      <c r="J103" s="46"/>
      <c r="K103" s="32"/>
    </row>
    <row r="104" spans="1:11" ht="16.5" thickBot="1" x14ac:dyDescent="0.3">
      <c r="A104" s="43"/>
      <c r="B104" s="44"/>
      <c r="C104" s="44"/>
      <c r="D104" s="33"/>
      <c r="E104" s="35"/>
      <c r="F104" s="35"/>
      <c r="G104" s="34"/>
      <c r="H104" s="34"/>
      <c r="I104" s="44"/>
      <c r="J104" s="46"/>
      <c r="K104" s="32"/>
    </row>
    <row r="105" spans="1:11" ht="16.5" thickBot="1" x14ac:dyDescent="0.3">
      <c r="A105" s="43"/>
      <c r="B105" s="44"/>
      <c r="C105" s="44"/>
      <c r="D105" s="33"/>
      <c r="E105" s="35"/>
      <c r="F105" s="35"/>
      <c r="G105" s="34"/>
      <c r="H105" s="34"/>
      <c r="I105" s="44"/>
      <c r="J105" s="46"/>
      <c r="K105" s="32"/>
    </row>
    <row r="106" spans="1:11" ht="16.5" thickBot="1" x14ac:dyDescent="0.3">
      <c r="A106" s="43"/>
      <c r="B106" s="44"/>
      <c r="C106" s="44"/>
      <c r="D106" s="33"/>
      <c r="E106" s="35"/>
      <c r="F106" s="35"/>
      <c r="G106" s="34"/>
      <c r="H106" s="34"/>
      <c r="I106" s="44"/>
      <c r="J106" s="46"/>
      <c r="K106" s="32"/>
    </row>
    <row r="107" spans="1:11" ht="16.5" thickBot="1" x14ac:dyDescent="0.3">
      <c r="A107" s="43"/>
      <c r="B107" s="44"/>
      <c r="C107" s="44"/>
      <c r="D107" s="33"/>
      <c r="E107" s="35"/>
      <c r="F107" s="35"/>
      <c r="G107" s="34"/>
      <c r="H107" s="34"/>
      <c r="I107" s="44"/>
      <c r="J107" s="46"/>
      <c r="K107" s="32"/>
    </row>
    <row r="108" spans="1:11" ht="16.5" thickBot="1" x14ac:dyDescent="0.3">
      <c r="A108" s="43"/>
      <c r="B108" s="44"/>
      <c r="C108" s="44"/>
      <c r="D108" s="33"/>
      <c r="E108" s="35"/>
      <c r="F108" s="35"/>
      <c r="G108" s="34"/>
      <c r="H108" s="34"/>
      <c r="I108" s="44"/>
      <c r="J108" s="46"/>
      <c r="K108" s="32"/>
    </row>
    <row r="109" spans="1:11" ht="16.5" thickBot="1" x14ac:dyDescent="0.3">
      <c r="A109" s="43"/>
      <c r="B109" s="44"/>
      <c r="C109" s="44"/>
      <c r="D109" s="33"/>
      <c r="E109" s="35"/>
      <c r="F109" s="33"/>
      <c r="G109" s="34"/>
      <c r="H109" s="34"/>
      <c r="I109" s="44"/>
      <c r="J109" s="46"/>
      <c r="K109" s="32"/>
    </row>
    <row r="110" spans="1:11" ht="16.5" thickBot="1" x14ac:dyDescent="0.3">
      <c r="A110" s="43"/>
      <c r="B110" s="44"/>
      <c r="C110" s="44"/>
      <c r="D110" s="33"/>
      <c r="E110" s="35"/>
      <c r="F110" s="33"/>
      <c r="G110" s="34"/>
      <c r="H110" s="34"/>
      <c r="I110" s="44"/>
      <c r="J110" s="46"/>
      <c r="K110" s="32"/>
    </row>
    <row r="111" spans="1:11" ht="16.5" thickBot="1" x14ac:dyDescent="0.3">
      <c r="A111" s="43"/>
      <c r="B111" s="44"/>
      <c r="C111" s="44"/>
      <c r="D111" s="33"/>
      <c r="E111" s="35"/>
      <c r="F111" s="33"/>
      <c r="G111" s="34"/>
      <c r="H111" s="34"/>
      <c r="I111" s="44"/>
      <c r="J111" s="46"/>
      <c r="K111" s="32"/>
    </row>
  </sheetData>
  <autoFilter ref="A1:K56"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27"/>
  <sheetViews>
    <sheetView topLeftCell="A35" workbookViewId="0">
      <selection activeCell="I48" sqref="I48"/>
    </sheetView>
  </sheetViews>
  <sheetFormatPr defaultColWidth="9.140625" defaultRowHeight="15.75" x14ac:dyDescent="0.25"/>
  <cols>
    <col min="1" max="1" width="5.85546875" style="42" bestFit="1" customWidth="1"/>
    <col min="2" max="2" width="39.28515625" style="42" bestFit="1" customWidth="1"/>
    <col min="3" max="3" width="6.28515625" style="42" bestFit="1" customWidth="1"/>
    <col min="4" max="4" width="13.140625" style="42" bestFit="1" customWidth="1"/>
    <col min="5" max="5" width="22.7109375" style="42" bestFit="1" customWidth="1"/>
    <col min="6" max="6" width="22.7109375" style="42" customWidth="1"/>
    <col min="7" max="7" width="135.28515625" style="42" bestFit="1" customWidth="1"/>
    <col min="8" max="8" width="10.140625" style="42" customWidth="1"/>
    <col min="9" max="9" width="76.140625" style="42" bestFit="1" customWidth="1"/>
    <col min="10" max="10" width="12.85546875" style="49" customWidth="1"/>
    <col min="11" max="11" width="51.7109375" style="50" customWidth="1"/>
    <col min="12" max="16384" width="9.140625" style="13"/>
  </cols>
  <sheetData>
    <row r="1" spans="1:11" ht="16.5" thickBot="1" x14ac:dyDescent="0.3">
      <c r="A1" s="27" t="s">
        <v>356</v>
      </c>
      <c r="B1" s="28" t="s">
        <v>357</v>
      </c>
      <c r="C1" s="28" t="s">
        <v>358</v>
      </c>
      <c r="D1" s="28" t="s">
        <v>359</v>
      </c>
      <c r="E1" s="28" t="s">
        <v>360</v>
      </c>
      <c r="F1" s="28" t="s">
        <v>361</v>
      </c>
      <c r="G1" s="28" t="s">
        <v>362</v>
      </c>
      <c r="H1" s="28" t="s">
        <v>349</v>
      </c>
      <c r="I1" s="28" t="s">
        <v>350</v>
      </c>
      <c r="J1" s="28" t="s">
        <v>363</v>
      </c>
      <c r="K1" s="29" t="s">
        <v>364</v>
      </c>
    </row>
    <row r="2" spans="1:11" ht="16.5" thickBot="1" x14ac:dyDescent="0.3">
      <c r="A2" s="43">
        <v>1</v>
      </c>
      <c r="B2" s="44" t="s">
        <v>365</v>
      </c>
      <c r="C2" s="44" t="s">
        <v>366</v>
      </c>
      <c r="D2" s="33">
        <v>32882425</v>
      </c>
      <c r="E2" s="35">
        <v>45884</v>
      </c>
      <c r="F2" s="35">
        <v>45891</v>
      </c>
      <c r="G2" s="34" t="s">
        <v>578</v>
      </c>
      <c r="H2" s="34">
        <v>10020</v>
      </c>
      <c r="I2" s="44" t="s">
        <v>651</v>
      </c>
      <c r="J2" s="46">
        <v>5000</v>
      </c>
      <c r="K2" s="32"/>
    </row>
    <row r="3" spans="1:11" ht="16.5" thickBot="1" x14ac:dyDescent="0.3">
      <c r="A3" s="43">
        <v>2</v>
      </c>
      <c r="B3" s="44" t="s">
        <v>365</v>
      </c>
      <c r="C3" s="44" t="s">
        <v>366</v>
      </c>
      <c r="D3" s="33">
        <v>32882426</v>
      </c>
      <c r="E3" s="35">
        <v>45884</v>
      </c>
      <c r="F3" s="35">
        <v>45891</v>
      </c>
      <c r="G3" s="34" t="s">
        <v>579</v>
      </c>
      <c r="H3" s="34">
        <v>10512</v>
      </c>
      <c r="I3" s="44" t="s">
        <v>35</v>
      </c>
      <c r="J3" s="46">
        <v>5000</v>
      </c>
      <c r="K3" s="32"/>
    </row>
    <row r="4" spans="1:11" ht="16.5" thickBot="1" x14ac:dyDescent="0.3">
      <c r="A4" s="43">
        <v>3</v>
      </c>
      <c r="B4" s="44" t="s">
        <v>365</v>
      </c>
      <c r="C4" s="44" t="s">
        <v>366</v>
      </c>
      <c r="D4" s="33">
        <v>32882427</v>
      </c>
      <c r="E4" s="35">
        <v>45884</v>
      </c>
      <c r="F4" s="35">
        <v>45891</v>
      </c>
      <c r="G4" s="34" t="s">
        <v>580</v>
      </c>
      <c r="H4" s="34">
        <v>10135</v>
      </c>
      <c r="I4" s="44" t="s">
        <v>135</v>
      </c>
      <c r="J4" s="46">
        <v>4000</v>
      </c>
      <c r="K4" s="32"/>
    </row>
    <row r="5" spans="1:11" ht="16.5" thickBot="1" x14ac:dyDescent="0.3">
      <c r="A5" s="43">
        <v>4</v>
      </c>
      <c r="B5" s="44" t="s">
        <v>365</v>
      </c>
      <c r="C5" s="44" t="s">
        <v>366</v>
      </c>
      <c r="D5" s="33">
        <v>32882428</v>
      </c>
      <c r="E5" s="35">
        <v>45884</v>
      </c>
      <c r="F5" s="35">
        <v>45891</v>
      </c>
      <c r="G5" s="34" t="s">
        <v>581</v>
      </c>
      <c r="H5" s="34">
        <v>10494</v>
      </c>
      <c r="I5" s="44" t="s">
        <v>314</v>
      </c>
      <c r="J5" s="46">
        <v>3000</v>
      </c>
      <c r="K5" s="32"/>
    </row>
    <row r="6" spans="1:11" ht="16.5" thickBot="1" x14ac:dyDescent="0.3">
      <c r="A6" s="43">
        <v>5</v>
      </c>
      <c r="B6" s="44" t="s">
        <v>365</v>
      </c>
      <c r="C6" s="44" t="s">
        <v>366</v>
      </c>
      <c r="D6" s="33">
        <v>32882429</v>
      </c>
      <c r="E6" s="35">
        <v>45884</v>
      </c>
      <c r="F6" s="35">
        <v>45891</v>
      </c>
      <c r="G6" s="34" t="s">
        <v>582</v>
      </c>
      <c r="H6" s="34">
        <v>10554</v>
      </c>
      <c r="I6" s="44" t="s">
        <v>327</v>
      </c>
      <c r="J6" s="46">
        <v>2000</v>
      </c>
      <c r="K6" s="32"/>
    </row>
    <row r="7" spans="1:11" ht="16.5" thickBot="1" x14ac:dyDescent="0.3">
      <c r="A7" s="43">
        <v>6</v>
      </c>
      <c r="B7" s="44" t="s">
        <v>365</v>
      </c>
      <c r="C7" s="44" t="s">
        <v>366</v>
      </c>
      <c r="D7" s="33">
        <v>32882430</v>
      </c>
      <c r="E7" s="35">
        <v>45884</v>
      </c>
      <c r="F7" s="35">
        <v>45891</v>
      </c>
      <c r="G7" s="34" t="s">
        <v>583</v>
      </c>
      <c r="H7" s="34">
        <v>10437</v>
      </c>
      <c r="I7" s="44" t="s">
        <v>37</v>
      </c>
      <c r="J7" s="46">
        <v>1000</v>
      </c>
      <c r="K7" s="32"/>
    </row>
    <row r="8" spans="1:11" ht="16.5" thickBot="1" x14ac:dyDescent="0.3">
      <c r="A8" s="43">
        <v>7</v>
      </c>
      <c r="B8" s="44" t="s">
        <v>365</v>
      </c>
      <c r="C8" s="44" t="s">
        <v>366</v>
      </c>
      <c r="D8" s="33">
        <v>32882439</v>
      </c>
      <c r="E8" s="35">
        <v>45887</v>
      </c>
      <c r="F8" s="35">
        <v>45891</v>
      </c>
      <c r="G8" s="34" t="s">
        <v>584</v>
      </c>
      <c r="H8" s="34">
        <v>10019</v>
      </c>
      <c r="I8" s="44" t="s">
        <v>25</v>
      </c>
      <c r="J8" s="46">
        <v>91752</v>
      </c>
      <c r="K8" s="32"/>
    </row>
    <row r="9" spans="1:11" ht="16.5" thickBot="1" x14ac:dyDescent="0.3">
      <c r="A9" s="43">
        <v>8</v>
      </c>
      <c r="B9" s="44" t="s">
        <v>365</v>
      </c>
      <c r="C9" s="44" t="s">
        <v>366</v>
      </c>
      <c r="D9" s="33">
        <v>32882440</v>
      </c>
      <c r="E9" s="35">
        <v>45887</v>
      </c>
      <c r="F9" s="35">
        <v>45891</v>
      </c>
      <c r="G9" s="34" t="s">
        <v>585</v>
      </c>
      <c r="H9" s="34">
        <v>10018</v>
      </c>
      <c r="I9" s="44" t="s">
        <v>24</v>
      </c>
      <c r="J9" s="46">
        <v>61150</v>
      </c>
      <c r="K9" s="32"/>
    </row>
    <row r="10" spans="1:11" ht="16.5" thickBot="1" x14ac:dyDescent="0.3">
      <c r="A10" s="43">
        <v>9</v>
      </c>
      <c r="B10" s="44" t="s">
        <v>365</v>
      </c>
      <c r="C10" s="44" t="s">
        <v>366</v>
      </c>
      <c r="D10" s="33">
        <v>32882441</v>
      </c>
      <c r="E10" s="35">
        <v>45887</v>
      </c>
      <c r="F10" s="35">
        <v>45891</v>
      </c>
      <c r="G10" s="34" t="s">
        <v>586</v>
      </c>
      <c r="H10" s="34">
        <v>10015</v>
      </c>
      <c r="I10" s="44" t="s">
        <v>20</v>
      </c>
      <c r="J10" s="46">
        <v>51467</v>
      </c>
      <c r="K10" s="32"/>
    </row>
    <row r="11" spans="1:11" ht="16.5" thickBot="1" x14ac:dyDescent="0.3">
      <c r="A11" s="43">
        <v>10</v>
      </c>
      <c r="B11" s="44" t="s">
        <v>365</v>
      </c>
      <c r="C11" s="44" t="s">
        <v>366</v>
      </c>
      <c r="D11" s="33">
        <v>32882456</v>
      </c>
      <c r="E11" s="35">
        <v>45888</v>
      </c>
      <c r="F11" s="35">
        <v>45891</v>
      </c>
      <c r="G11" s="34" t="s">
        <v>584</v>
      </c>
      <c r="H11" s="34">
        <v>10019</v>
      </c>
      <c r="I11" s="44" t="s">
        <v>25</v>
      </c>
      <c r="J11" s="46">
        <v>88400</v>
      </c>
      <c r="K11" s="32"/>
    </row>
    <row r="12" spans="1:11" ht="16.5" thickBot="1" x14ac:dyDescent="0.3">
      <c r="A12" s="43">
        <v>11</v>
      </c>
      <c r="B12" s="44" t="s">
        <v>365</v>
      </c>
      <c r="C12" s="44" t="s">
        <v>366</v>
      </c>
      <c r="D12" s="33">
        <v>32882457</v>
      </c>
      <c r="E12" s="35">
        <v>45888</v>
      </c>
      <c r="F12" s="35">
        <v>45891</v>
      </c>
      <c r="G12" s="34" t="s">
        <v>585</v>
      </c>
      <c r="H12" s="34">
        <v>10018</v>
      </c>
      <c r="I12" s="44" t="s">
        <v>24</v>
      </c>
      <c r="J12" s="46">
        <v>69240</v>
      </c>
      <c r="K12" s="32"/>
    </row>
    <row r="13" spans="1:11" ht="16.5" thickBot="1" x14ac:dyDescent="0.3">
      <c r="A13" s="43">
        <v>12</v>
      </c>
      <c r="B13" s="44" t="s">
        <v>365</v>
      </c>
      <c r="C13" s="44" t="s">
        <v>366</v>
      </c>
      <c r="D13" s="33">
        <v>32882458</v>
      </c>
      <c r="E13" s="35">
        <v>45888</v>
      </c>
      <c r="F13" s="35">
        <v>45891</v>
      </c>
      <c r="G13" s="34" t="s">
        <v>586</v>
      </c>
      <c r="H13" s="34">
        <v>10015</v>
      </c>
      <c r="I13" s="44" t="s">
        <v>20</v>
      </c>
      <c r="J13" s="46">
        <v>49380</v>
      </c>
      <c r="K13" s="32"/>
    </row>
    <row r="14" spans="1:11" ht="16.5" thickBot="1" x14ac:dyDescent="0.3">
      <c r="A14" s="43">
        <v>13</v>
      </c>
      <c r="B14" s="44" t="s">
        <v>365</v>
      </c>
      <c r="C14" s="44" t="s">
        <v>366</v>
      </c>
      <c r="D14" s="33">
        <v>32882459</v>
      </c>
      <c r="E14" s="35">
        <v>45888</v>
      </c>
      <c r="F14" s="35">
        <v>45891</v>
      </c>
      <c r="G14" s="34" t="s">
        <v>587</v>
      </c>
      <c r="H14" s="34">
        <v>10569</v>
      </c>
      <c r="I14" s="44" t="s">
        <v>339</v>
      </c>
      <c r="J14" s="46">
        <v>25104</v>
      </c>
      <c r="K14" s="32"/>
    </row>
    <row r="15" spans="1:11" ht="16.5" thickBot="1" x14ac:dyDescent="0.3">
      <c r="A15" s="43">
        <v>14</v>
      </c>
      <c r="B15" s="44" t="s">
        <v>365</v>
      </c>
      <c r="C15" s="44" t="s">
        <v>366</v>
      </c>
      <c r="D15" s="33">
        <v>32882460</v>
      </c>
      <c r="E15" s="35">
        <v>45888</v>
      </c>
      <c r="F15" s="35">
        <v>45891</v>
      </c>
      <c r="G15" s="34" t="s">
        <v>588</v>
      </c>
      <c r="H15" s="34">
        <v>10163</v>
      </c>
      <c r="I15" s="44" t="s">
        <v>108</v>
      </c>
      <c r="J15" s="46">
        <v>30351</v>
      </c>
      <c r="K15" s="32"/>
    </row>
    <row r="16" spans="1:11" ht="16.5" thickBot="1" x14ac:dyDescent="0.3">
      <c r="A16" s="43">
        <v>15</v>
      </c>
      <c r="B16" s="44" t="s">
        <v>365</v>
      </c>
      <c r="C16" s="44" t="s">
        <v>366</v>
      </c>
      <c r="D16" s="33">
        <v>32882461</v>
      </c>
      <c r="E16" s="35">
        <v>45888</v>
      </c>
      <c r="F16" s="35">
        <v>45891</v>
      </c>
      <c r="G16" s="34" t="s">
        <v>589</v>
      </c>
      <c r="H16" s="34">
        <v>10602</v>
      </c>
      <c r="I16" s="44" t="s">
        <v>654</v>
      </c>
      <c r="J16" s="46">
        <v>63958</v>
      </c>
      <c r="K16" s="32"/>
    </row>
    <row r="17" spans="1:11" ht="16.5" thickBot="1" x14ac:dyDescent="0.3">
      <c r="A17" s="43">
        <v>16</v>
      </c>
      <c r="B17" s="44" t="s">
        <v>365</v>
      </c>
      <c r="C17" s="44" t="s">
        <v>366</v>
      </c>
      <c r="D17" s="33">
        <v>32882462</v>
      </c>
      <c r="E17" s="35">
        <v>45888</v>
      </c>
      <c r="F17" s="35">
        <v>45891</v>
      </c>
      <c r="G17" s="34" t="s">
        <v>590</v>
      </c>
      <c r="H17" s="34">
        <v>10567</v>
      </c>
      <c r="I17" s="44" t="s">
        <v>336</v>
      </c>
      <c r="J17" s="46">
        <v>25482</v>
      </c>
      <c r="K17" s="32"/>
    </row>
    <row r="18" spans="1:11" ht="16.5" thickBot="1" x14ac:dyDescent="0.3">
      <c r="A18" s="43">
        <v>17</v>
      </c>
      <c r="B18" s="44" t="s">
        <v>365</v>
      </c>
      <c r="C18" s="44" t="s">
        <v>366</v>
      </c>
      <c r="D18" s="33">
        <v>32882463</v>
      </c>
      <c r="E18" s="35">
        <v>45888</v>
      </c>
      <c r="F18" s="35">
        <v>45891</v>
      </c>
      <c r="G18" s="34" t="s">
        <v>591</v>
      </c>
      <c r="H18" s="34">
        <v>10498</v>
      </c>
      <c r="I18" s="44" t="s">
        <v>477</v>
      </c>
      <c r="J18" s="46">
        <v>29223</v>
      </c>
      <c r="K18" s="32"/>
    </row>
    <row r="19" spans="1:11" ht="16.5" thickBot="1" x14ac:dyDescent="0.3">
      <c r="A19" s="43">
        <v>18</v>
      </c>
      <c r="B19" s="44" t="s">
        <v>365</v>
      </c>
      <c r="C19" s="44" t="s">
        <v>366</v>
      </c>
      <c r="D19" s="33">
        <v>32882464</v>
      </c>
      <c r="E19" s="35">
        <v>45888</v>
      </c>
      <c r="F19" s="35">
        <v>45891</v>
      </c>
      <c r="G19" s="34" t="s">
        <v>592</v>
      </c>
      <c r="H19" s="34">
        <v>10571</v>
      </c>
      <c r="I19" s="44" t="s">
        <v>353</v>
      </c>
      <c r="J19" s="46">
        <v>29424</v>
      </c>
      <c r="K19" s="32"/>
    </row>
    <row r="20" spans="1:11" ht="16.5" thickBot="1" x14ac:dyDescent="0.3">
      <c r="A20" s="43">
        <v>19</v>
      </c>
      <c r="B20" s="44" t="s">
        <v>365</v>
      </c>
      <c r="C20" s="44" t="s">
        <v>366</v>
      </c>
      <c r="D20" s="33">
        <v>32882465</v>
      </c>
      <c r="E20" s="35">
        <v>45888</v>
      </c>
      <c r="F20" s="35">
        <v>45891</v>
      </c>
      <c r="G20" s="34" t="s">
        <v>593</v>
      </c>
      <c r="H20" s="34">
        <v>10365</v>
      </c>
      <c r="I20" s="44" t="s">
        <v>352</v>
      </c>
      <c r="J20" s="46">
        <v>58788</v>
      </c>
      <c r="K20" s="32"/>
    </row>
    <row r="21" spans="1:11" ht="16.5" thickBot="1" x14ac:dyDescent="0.3">
      <c r="A21" s="43">
        <v>20</v>
      </c>
      <c r="B21" s="44" t="s">
        <v>365</v>
      </c>
      <c r="C21" s="44" t="s">
        <v>366</v>
      </c>
      <c r="D21" s="33">
        <v>32882466</v>
      </c>
      <c r="E21" s="35">
        <v>45888</v>
      </c>
      <c r="F21" s="35">
        <v>45891</v>
      </c>
      <c r="G21" s="34" t="s">
        <v>594</v>
      </c>
      <c r="H21" s="34">
        <v>10021</v>
      </c>
      <c r="I21" s="44" t="s">
        <v>29</v>
      </c>
      <c r="J21" s="46">
        <v>93093</v>
      </c>
      <c r="K21" s="32"/>
    </row>
    <row r="22" spans="1:11" ht="16.5" thickBot="1" x14ac:dyDescent="0.3">
      <c r="A22" s="43">
        <v>21</v>
      </c>
      <c r="B22" s="44" t="s">
        <v>365</v>
      </c>
      <c r="C22" s="44" t="s">
        <v>366</v>
      </c>
      <c r="D22" s="33">
        <v>32882467</v>
      </c>
      <c r="E22" s="35">
        <v>45888</v>
      </c>
      <c r="F22" s="35">
        <v>45891</v>
      </c>
      <c r="G22" s="34" t="s">
        <v>595</v>
      </c>
      <c r="H22" s="34">
        <v>10431</v>
      </c>
      <c r="I22" s="44" t="s">
        <v>112</v>
      </c>
      <c r="J22" s="46">
        <v>25732</v>
      </c>
      <c r="K22" s="32"/>
    </row>
    <row r="23" spans="1:11" ht="16.5" thickBot="1" x14ac:dyDescent="0.3">
      <c r="A23" s="43">
        <v>22</v>
      </c>
      <c r="B23" s="44" t="s">
        <v>365</v>
      </c>
      <c r="C23" s="44" t="s">
        <v>366</v>
      </c>
      <c r="D23" s="33">
        <v>32882468</v>
      </c>
      <c r="E23" s="35">
        <v>45888</v>
      </c>
      <c r="F23" s="35">
        <v>45891</v>
      </c>
      <c r="G23" s="34" t="s">
        <v>596</v>
      </c>
      <c r="H23" s="34">
        <v>10326</v>
      </c>
      <c r="I23" s="44" t="s">
        <v>126</v>
      </c>
      <c r="J23" s="46">
        <v>52396</v>
      </c>
      <c r="K23" s="32"/>
    </row>
    <row r="24" spans="1:11" ht="16.5" thickBot="1" x14ac:dyDescent="0.3">
      <c r="A24" s="43">
        <v>23</v>
      </c>
      <c r="B24" s="44" t="s">
        <v>365</v>
      </c>
      <c r="C24" s="44" t="s">
        <v>366</v>
      </c>
      <c r="D24" s="33">
        <v>32882469</v>
      </c>
      <c r="E24" s="35">
        <v>45888</v>
      </c>
      <c r="F24" s="35">
        <v>45891</v>
      </c>
      <c r="G24" s="34" t="s">
        <v>597</v>
      </c>
      <c r="H24" s="34">
        <v>10407</v>
      </c>
      <c r="I24" s="44" t="s">
        <v>655</v>
      </c>
      <c r="J24" s="46">
        <v>94312</v>
      </c>
      <c r="K24" s="32"/>
    </row>
    <row r="25" spans="1:11" ht="16.5" thickBot="1" x14ac:dyDescent="0.3">
      <c r="A25" s="43">
        <v>24</v>
      </c>
      <c r="B25" s="44" t="s">
        <v>365</v>
      </c>
      <c r="C25" s="44" t="s">
        <v>366</v>
      </c>
      <c r="D25" s="33">
        <v>32882475</v>
      </c>
      <c r="E25" s="35">
        <v>45888</v>
      </c>
      <c r="F25" s="35">
        <v>45891</v>
      </c>
      <c r="G25" s="34" t="s">
        <v>598</v>
      </c>
      <c r="H25" s="34">
        <v>10015</v>
      </c>
      <c r="I25" s="44" t="s">
        <v>20</v>
      </c>
      <c r="J25" s="46">
        <v>93152</v>
      </c>
      <c r="K25" s="32"/>
    </row>
    <row r="26" spans="1:11" ht="16.5" thickBot="1" x14ac:dyDescent="0.3">
      <c r="A26" s="43">
        <v>25</v>
      </c>
      <c r="B26" s="44" t="s">
        <v>365</v>
      </c>
      <c r="C26" s="44" t="s">
        <v>366</v>
      </c>
      <c r="D26" s="33">
        <v>32882445</v>
      </c>
      <c r="E26" s="35">
        <v>45888</v>
      </c>
      <c r="F26" s="35">
        <v>45891</v>
      </c>
      <c r="G26" s="34" t="s">
        <v>599</v>
      </c>
      <c r="H26" s="34">
        <v>10407</v>
      </c>
      <c r="I26" s="44" t="s">
        <v>655</v>
      </c>
      <c r="J26" s="46">
        <v>2750</v>
      </c>
      <c r="K26" s="32" t="s">
        <v>604</v>
      </c>
    </row>
    <row r="27" spans="1:11" ht="16.5" thickBot="1" x14ac:dyDescent="0.3">
      <c r="A27" s="43">
        <v>26</v>
      </c>
      <c r="B27" s="44" t="s">
        <v>365</v>
      </c>
      <c r="C27" s="44" t="s">
        <v>366</v>
      </c>
      <c r="D27" s="33">
        <v>32882446</v>
      </c>
      <c r="E27" s="35">
        <v>45888</v>
      </c>
      <c r="F27" s="35">
        <v>45891</v>
      </c>
      <c r="G27" s="34" t="s">
        <v>600</v>
      </c>
      <c r="H27" s="34">
        <v>10571</v>
      </c>
      <c r="I27" s="44" t="s">
        <v>353</v>
      </c>
      <c r="J27" s="46">
        <v>2000</v>
      </c>
      <c r="K27" s="32" t="s">
        <v>605</v>
      </c>
    </row>
    <row r="28" spans="1:11" ht="16.5" thickBot="1" x14ac:dyDescent="0.3">
      <c r="A28" s="43">
        <v>27</v>
      </c>
      <c r="B28" s="44" t="s">
        <v>365</v>
      </c>
      <c r="C28" s="44" t="s">
        <v>366</v>
      </c>
      <c r="D28" s="33">
        <v>32882448</v>
      </c>
      <c r="E28" s="35">
        <v>45888</v>
      </c>
      <c r="F28" s="35">
        <v>45891</v>
      </c>
      <c r="G28" s="34" t="s">
        <v>601</v>
      </c>
      <c r="H28" s="34">
        <v>10163</v>
      </c>
      <c r="I28" s="44" t="s">
        <v>108</v>
      </c>
      <c r="J28" s="46">
        <v>2500</v>
      </c>
      <c r="K28" s="32" t="s">
        <v>606</v>
      </c>
    </row>
    <row r="29" spans="1:11" ht="16.5" thickBot="1" x14ac:dyDescent="0.3">
      <c r="A29" s="43">
        <v>28</v>
      </c>
      <c r="B29" s="44" t="s">
        <v>365</v>
      </c>
      <c r="C29" s="44" t="s">
        <v>366</v>
      </c>
      <c r="D29" s="33">
        <v>32705775</v>
      </c>
      <c r="E29" s="35">
        <v>45854</v>
      </c>
      <c r="F29" s="35">
        <v>45891</v>
      </c>
      <c r="G29" s="34" t="s">
        <v>602</v>
      </c>
      <c r="H29" s="34">
        <v>10365</v>
      </c>
      <c r="I29" s="44" t="s">
        <v>352</v>
      </c>
      <c r="J29" s="46">
        <v>5500</v>
      </c>
      <c r="K29" s="32" t="s">
        <v>607</v>
      </c>
    </row>
    <row r="30" spans="1:11" ht="16.5" thickBot="1" x14ac:dyDescent="0.3">
      <c r="A30" s="43">
        <v>29</v>
      </c>
      <c r="B30" s="44" t="s">
        <v>365</v>
      </c>
      <c r="C30" s="44" t="s">
        <v>366</v>
      </c>
      <c r="D30" s="33">
        <v>32882454</v>
      </c>
      <c r="E30" s="35">
        <v>45888</v>
      </c>
      <c r="F30" s="35">
        <v>45891</v>
      </c>
      <c r="G30" s="34" t="s">
        <v>603</v>
      </c>
      <c r="H30" s="34">
        <v>10021</v>
      </c>
      <c r="I30" s="44" t="s">
        <v>29</v>
      </c>
      <c r="J30" s="46">
        <v>2500</v>
      </c>
      <c r="K30" s="32" t="s">
        <v>608</v>
      </c>
    </row>
    <row r="31" spans="1:11" ht="16.5" thickBot="1" x14ac:dyDescent="0.3">
      <c r="A31" s="43">
        <v>30</v>
      </c>
      <c r="B31" s="44" t="s">
        <v>365</v>
      </c>
      <c r="C31" s="44" t="s">
        <v>366</v>
      </c>
      <c r="D31" s="33">
        <v>32882478</v>
      </c>
      <c r="E31" s="35">
        <v>45891</v>
      </c>
      <c r="F31" s="35">
        <v>45891</v>
      </c>
      <c r="G31" s="34" t="s">
        <v>609</v>
      </c>
      <c r="H31" s="34">
        <v>10028</v>
      </c>
      <c r="I31" s="44" t="s">
        <v>42</v>
      </c>
      <c r="J31" s="46">
        <v>118716</v>
      </c>
      <c r="K31" s="32"/>
    </row>
    <row r="32" spans="1:11" ht="16.5" thickBot="1" x14ac:dyDescent="0.3">
      <c r="A32" s="43">
        <v>31</v>
      </c>
      <c r="B32" s="44" t="s">
        <v>365</v>
      </c>
      <c r="C32" s="44" t="s">
        <v>366</v>
      </c>
      <c r="D32" s="33">
        <v>32882479</v>
      </c>
      <c r="E32" s="35">
        <v>45891</v>
      </c>
      <c r="F32" s="35">
        <v>45891</v>
      </c>
      <c r="G32" s="34" t="s">
        <v>610</v>
      </c>
      <c r="H32" s="34">
        <v>10131</v>
      </c>
      <c r="I32" s="44" t="s">
        <v>90</v>
      </c>
      <c r="J32" s="46">
        <v>143450</v>
      </c>
      <c r="K32" s="32"/>
    </row>
    <row r="33" spans="1:11" ht="16.5" thickBot="1" x14ac:dyDescent="0.3">
      <c r="A33" s="43">
        <v>32</v>
      </c>
      <c r="B33" s="44" t="s">
        <v>365</v>
      </c>
      <c r="C33" s="44" t="s">
        <v>366</v>
      </c>
      <c r="D33" s="33">
        <v>32882481</v>
      </c>
      <c r="E33" s="35">
        <v>45891</v>
      </c>
      <c r="F33" s="35">
        <v>45891</v>
      </c>
      <c r="G33" s="34" t="s">
        <v>611</v>
      </c>
      <c r="H33" s="34">
        <v>10030</v>
      </c>
      <c r="I33" s="44" t="s">
        <v>43</v>
      </c>
      <c r="J33" s="46">
        <v>94506</v>
      </c>
      <c r="K33" s="32"/>
    </row>
    <row r="34" spans="1:11" ht="16.5" thickBot="1" x14ac:dyDescent="0.3">
      <c r="A34" s="43">
        <v>33</v>
      </c>
      <c r="B34" s="44" t="s">
        <v>365</v>
      </c>
      <c r="C34" s="44" t="s">
        <v>366</v>
      </c>
      <c r="D34" s="33">
        <v>32882482</v>
      </c>
      <c r="E34" s="35">
        <v>45891</v>
      </c>
      <c r="F34" s="35">
        <v>45891</v>
      </c>
      <c r="G34" s="34" t="s">
        <v>612</v>
      </c>
      <c r="H34" s="34">
        <v>10032</v>
      </c>
      <c r="I34" s="44" t="s">
        <v>46</v>
      </c>
      <c r="J34" s="46">
        <v>10075</v>
      </c>
      <c r="K34" s="32"/>
    </row>
    <row r="35" spans="1:11" ht="16.5" thickBot="1" x14ac:dyDescent="0.3">
      <c r="A35" s="43">
        <v>34</v>
      </c>
      <c r="B35" s="44" t="s">
        <v>365</v>
      </c>
      <c r="C35" s="44" t="s">
        <v>366</v>
      </c>
      <c r="D35" s="33">
        <v>32882487</v>
      </c>
      <c r="E35" s="35">
        <v>45891</v>
      </c>
      <c r="F35" s="35">
        <v>45891</v>
      </c>
      <c r="G35" s="34" t="s">
        <v>613</v>
      </c>
      <c r="H35" s="34">
        <v>10034</v>
      </c>
      <c r="I35" s="44" t="s">
        <v>351</v>
      </c>
      <c r="J35" s="46">
        <v>12185</v>
      </c>
      <c r="K35" s="32"/>
    </row>
    <row r="36" spans="1:11" ht="16.5" thickBot="1" x14ac:dyDescent="0.3">
      <c r="A36" s="43">
        <v>35</v>
      </c>
      <c r="B36" s="44" t="s">
        <v>365</v>
      </c>
      <c r="C36" s="44" t="s">
        <v>366</v>
      </c>
      <c r="D36" s="33">
        <v>32882490</v>
      </c>
      <c r="E36" s="35">
        <v>45891</v>
      </c>
      <c r="F36" s="35">
        <v>45891</v>
      </c>
      <c r="G36" s="34" t="s">
        <v>614</v>
      </c>
      <c r="H36" s="34">
        <v>10568</v>
      </c>
      <c r="I36" s="44" t="s">
        <v>338</v>
      </c>
      <c r="J36" s="46">
        <v>22440</v>
      </c>
      <c r="K36" s="32"/>
    </row>
    <row r="37" spans="1:11" ht="16.5" thickBot="1" x14ac:dyDescent="0.3">
      <c r="A37" s="43">
        <v>36</v>
      </c>
      <c r="B37" s="44" t="s">
        <v>365</v>
      </c>
      <c r="C37" s="44" t="s">
        <v>366</v>
      </c>
      <c r="D37" s="33">
        <v>32882452</v>
      </c>
      <c r="E37" s="35">
        <v>45888</v>
      </c>
      <c r="F37" s="35">
        <v>45891</v>
      </c>
      <c r="G37" s="34" t="s">
        <v>615</v>
      </c>
      <c r="H37" s="34">
        <v>10030</v>
      </c>
      <c r="I37" s="44" t="s">
        <v>43</v>
      </c>
      <c r="J37" s="46">
        <v>2000</v>
      </c>
      <c r="K37" s="32" t="s">
        <v>617</v>
      </c>
    </row>
    <row r="38" spans="1:11" ht="16.5" thickBot="1" x14ac:dyDescent="0.3">
      <c r="A38" s="43">
        <v>37</v>
      </c>
      <c r="B38" s="44" t="s">
        <v>365</v>
      </c>
      <c r="C38" s="44" t="s">
        <v>366</v>
      </c>
      <c r="D38" s="33">
        <v>32882453</v>
      </c>
      <c r="E38" s="35">
        <v>45888</v>
      </c>
      <c r="F38" s="35">
        <v>45891</v>
      </c>
      <c r="G38" s="34" t="s">
        <v>616</v>
      </c>
      <c r="H38" s="34">
        <v>10034</v>
      </c>
      <c r="I38" s="44" t="s">
        <v>351</v>
      </c>
      <c r="J38" s="46">
        <v>2500</v>
      </c>
      <c r="K38" s="32" t="s">
        <v>618</v>
      </c>
    </row>
    <row r="39" spans="1:11" ht="16.5" thickBot="1" x14ac:dyDescent="0.3">
      <c r="A39" s="43">
        <v>38</v>
      </c>
      <c r="B39" s="44" t="s">
        <v>365</v>
      </c>
      <c r="C39" s="44" t="s">
        <v>366</v>
      </c>
      <c r="D39" s="33">
        <v>32882480</v>
      </c>
      <c r="E39" s="35">
        <v>45891</v>
      </c>
      <c r="F39" s="35">
        <v>45891</v>
      </c>
      <c r="G39" s="34" t="s">
        <v>619</v>
      </c>
      <c r="H39" s="34">
        <v>10101</v>
      </c>
      <c r="I39" s="44" t="s">
        <v>239</v>
      </c>
      <c r="J39" s="46">
        <v>98719</v>
      </c>
      <c r="K39" s="32"/>
    </row>
    <row r="40" spans="1:11" ht="16.5" thickBot="1" x14ac:dyDescent="0.3">
      <c r="A40" s="43">
        <v>39</v>
      </c>
      <c r="B40" s="44" t="s">
        <v>365</v>
      </c>
      <c r="C40" s="44" t="s">
        <v>366</v>
      </c>
      <c r="D40" s="33">
        <v>32882483</v>
      </c>
      <c r="E40" s="35">
        <v>45891</v>
      </c>
      <c r="F40" s="35">
        <v>45891</v>
      </c>
      <c r="G40" s="34" t="s">
        <v>620</v>
      </c>
      <c r="H40" s="34">
        <v>10063</v>
      </c>
      <c r="I40" s="44" t="s">
        <v>193</v>
      </c>
      <c r="J40" s="46">
        <v>150795</v>
      </c>
      <c r="K40" s="32"/>
    </row>
    <row r="41" spans="1:11" ht="16.5" thickBot="1" x14ac:dyDescent="0.3">
      <c r="A41" s="43">
        <v>40</v>
      </c>
      <c r="B41" s="44" t="s">
        <v>365</v>
      </c>
      <c r="C41" s="44" t="s">
        <v>366</v>
      </c>
      <c r="D41" s="33">
        <v>32882484</v>
      </c>
      <c r="E41" s="35">
        <v>45891</v>
      </c>
      <c r="F41" s="35">
        <v>45891</v>
      </c>
      <c r="G41" s="47" t="s">
        <v>621</v>
      </c>
      <c r="H41" s="34">
        <v>10601</v>
      </c>
      <c r="I41" s="44" t="s">
        <v>223</v>
      </c>
      <c r="J41" s="46">
        <v>28945</v>
      </c>
      <c r="K41" s="32"/>
    </row>
    <row r="42" spans="1:11" ht="16.5" thickBot="1" x14ac:dyDescent="0.3">
      <c r="A42" s="43">
        <v>41</v>
      </c>
      <c r="B42" s="44" t="s">
        <v>365</v>
      </c>
      <c r="C42" s="44" t="s">
        <v>366</v>
      </c>
      <c r="D42" s="33">
        <v>32882485</v>
      </c>
      <c r="E42" s="35">
        <v>45891</v>
      </c>
      <c r="F42" s="35">
        <v>45891</v>
      </c>
      <c r="G42" s="47" t="s">
        <v>622</v>
      </c>
      <c r="H42" s="34">
        <v>10290</v>
      </c>
      <c r="I42" s="44" t="s">
        <v>151</v>
      </c>
      <c r="J42" s="46">
        <v>86250</v>
      </c>
      <c r="K42" s="32"/>
    </row>
    <row r="43" spans="1:11" ht="16.5" thickBot="1" x14ac:dyDescent="0.3">
      <c r="A43" s="43">
        <v>42</v>
      </c>
      <c r="B43" s="44" t="s">
        <v>365</v>
      </c>
      <c r="C43" s="44" t="s">
        <v>366</v>
      </c>
      <c r="D43" s="33">
        <v>32882486</v>
      </c>
      <c r="E43" s="35">
        <v>45891</v>
      </c>
      <c r="F43" s="35">
        <v>45891</v>
      </c>
      <c r="G43" s="47" t="s">
        <v>623</v>
      </c>
      <c r="H43" s="34">
        <v>10391</v>
      </c>
      <c r="I43" s="44" t="s">
        <v>243</v>
      </c>
      <c r="J43" s="46">
        <v>63800</v>
      </c>
      <c r="K43" s="32"/>
    </row>
    <row r="44" spans="1:11" ht="16.5" thickBot="1" x14ac:dyDescent="0.3">
      <c r="A44" s="43">
        <v>43</v>
      </c>
      <c r="B44" s="44" t="s">
        <v>365</v>
      </c>
      <c r="C44" s="44" t="s">
        <v>366</v>
      </c>
      <c r="D44" s="33">
        <v>32882488</v>
      </c>
      <c r="E44" s="35">
        <v>45891</v>
      </c>
      <c r="F44" s="35">
        <v>45891</v>
      </c>
      <c r="G44" s="47" t="s">
        <v>624</v>
      </c>
      <c r="H44" s="34">
        <v>10527</v>
      </c>
      <c r="I44" s="44" t="s">
        <v>224</v>
      </c>
      <c r="J44" s="46">
        <v>75850</v>
      </c>
      <c r="K44" s="32"/>
    </row>
    <row r="45" spans="1:11" ht="16.5" thickBot="1" x14ac:dyDescent="0.3">
      <c r="A45" s="43">
        <v>44</v>
      </c>
      <c r="B45" s="44" t="s">
        <v>365</v>
      </c>
      <c r="C45" s="44" t="s">
        <v>366</v>
      </c>
      <c r="D45" s="33">
        <v>32882489</v>
      </c>
      <c r="E45" s="35">
        <v>45891</v>
      </c>
      <c r="F45" s="35">
        <v>45891</v>
      </c>
      <c r="G45" s="47" t="s">
        <v>625</v>
      </c>
      <c r="H45" s="34">
        <v>10592</v>
      </c>
      <c r="I45" s="44" t="s">
        <v>377</v>
      </c>
      <c r="J45" s="46">
        <v>33250</v>
      </c>
      <c r="K45" s="32"/>
    </row>
    <row r="46" spans="1:11" ht="16.5" thickBot="1" x14ac:dyDescent="0.3">
      <c r="A46" s="43">
        <v>45</v>
      </c>
      <c r="B46" s="44" t="s">
        <v>365</v>
      </c>
      <c r="C46" s="44" t="s">
        <v>366</v>
      </c>
      <c r="D46" s="33">
        <v>32882491</v>
      </c>
      <c r="E46" s="35">
        <v>45891</v>
      </c>
      <c r="F46" s="35">
        <v>45891</v>
      </c>
      <c r="G46" s="44" t="s">
        <v>626</v>
      </c>
      <c r="H46" s="34">
        <v>10432</v>
      </c>
      <c r="I46" s="44" t="s">
        <v>656</v>
      </c>
      <c r="J46" s="46">
        <v>41775</v>
      </c>
      <c r="K46" s="32"/>
    </row>
    <row r="47" spans="1:11" ht="16.5" thickBot="1" x14ac:dyDescent="0.3">
      <c r="A47" s="43">
        <v>46</v>
      </c>
      <c r="B47" s="44" t="s">
        <v>365</v>
      </c>
      <c r="C47" s="44" t="s">
        <v>366</v>
      </c>
      <c r="D47" s="33">
        <v>32882494</v>
      </c>
      <c r="E47" s="35">
        <v>45891</v>
      </c>
      <c r="F47" s="35">
        <v>45891</v>
      </c>
      <c r="G47" s="44" t="s">
        <v>627</v>
      </c>
      <c r="H47" s="34">
        <v>10587</v>
      </c>
      <c r="I47" s="44" t="s">
        <v>368</v>
      </c>
      <c r="J47" s="46">
        <v>44665</v>
      </c>
      <c r="K47" s="32"/>
    </row>
    <row r="48" spans="1:11" ht="16.5" thickBot="1" x14ac:dyDescent="0.3">
      <c r="A48" s="43">
        <v>47</v>
      </c>
      <c r="B48" s="44" t="s">
        <v>365</v>
      </c>
      <c r="C48" s="44" t="s">
        <v>366</v>
      </c>
      <c r="D48" s="33">
        <v>32882495</v>
      </c>
      <c r="E48" s="35">
        <v>45891</v>
      </c>
      <c r="F48" s="35">
        <v>45891</v>
      </c>
      <c r="G48" s="44" t="s">
        <v>628</v>
      </c>
      <c r="H48" s="34">
        <v>10597</v>
      </c>
      <c r="I48" s="44" t="s">
        <v>373</v>
      </c>
      <c r="J48" s="46">
        <v>28999</v>
      </c>
      <c r="K48" s="32"/>
    </row>
    <row r="49" spans="1:11" ht="16.5" thickBot="1" x14ac:dyDescent="0.3">
      <c r="A49" s="43">
        <v>48</v>
      </c>
      <c r="B49" s="44" t="s">
        <v>365</v>
      </c>
      <c r="C49" s="44" t="s">
        <v>366</v>
      </c>
      <c r="D49" s="33">
        <v>32882496</v>
      </c>
      <c r="E49" s="35">
        <v>45891</v>
      </c>
      <c r="F49" s="35">
        <v>45891</v>
      </c>
      <c r="G49" s="44" t="s">
        <v>629</v>
      </c>
      <c r="H49" s="34">
        <v>10605</v>
      </c>
      <c r="I49" s="44" t="s">
        <v>382</v>
      </c>
      <c r="J49" s="46">
        <v>23666</v>
      </c>
      <c r="K49" s="32"/>
    </row>
    <row r="50" spans="1:11" ht="16.5" thickBot="1" x14ac:dyDescent="0.3">
      <c r="A50" s="43">
        <v>49</v>
      </c>
      <c r="B50" s="44" t="s">
        <v>365</v>
      </c>
      <c r="C50" s="44" t="s">
        <v>366</v>
      </c>
      <c r="D50" s="33">
        <v>32882497</v>
      </c>
      <c r="E50" s="35">
        <v>45891</v>
      </c>
      <c r="F50" s="35">
        <v>45891</v>
      </c>
      <c r="G50" s="44" t="s">
        <v>630</v>
      </c>
      <c r="H50" s="34">
        <v>10505</v>
      </c>
      <c r="I50" s="44" t="s">
        <v>187</v>
      </c>
      <c r="J50" s="46">
        <v>30166</v>
      </c>
      <c r="K50" s="32"/>
    </row>
    <row r="51" spans="1:11" ht="16.5" thickBot="1" x14ac:dyDescent="0.3">
      <c r="A51" s="43">
        <v>50</v>
      </c>
      <c r="B51" s="44" t="s">
        <v>365</v>
      </c>
      <c r="C51" s="44" t="s">
        <v>366</v>
      </c>
      <c r="D51" s="33">
        <v>32882498</v>
      </c>
      <c r="E51" s="35">
        <v>45891</v>
      </c>
      <c r="F51" s="35">
        <v>45891</v>
      </c>
      <c r="G51" s="44" t="s">
        <v>631</v>
      </c>
      <c r="H51" s="34">
        <v>10419</v>
      </c>
      <c r="I51" s="44" t="s">
        <v>189</v>
      </c>
      <c r="J51" s="46">
        <v>79195</v>
      </c>
      <c r="K51" s="32"/>
    </row>
    <row r="52" spans="1:11" ht="16.5" thickBot="1" x14ac:dyDescent="0.3">
      <c r="A52" s="43">
        <v>51</v>
      </c>
      <c r="B52" s="44" t="s">
        <v>365</v>
      </c>
      <c r="C52" s="44" t="s">
        <v>366</v>
      </c>
      <c r="D52" s="33">
        <v>32882499</v>
      </c>
      <c r="E52" s="35">
        <v>45891</v>
      </c>
      <c r="F52" s="35">
        <v>45891</v>
      </c>
      <c r="G52" s="44" t="s">
        <v>632</v>
      </c>
      <c r="H52" s="34">
        <v>10573</v>
      </c>
      <c r="I52" s="44" t="s">
        <v>341</v>
      </c>
      <c r="J52" s="46">
        <v>27332</v>
      </c>
      <c r="K52" s="32"/>
    </row>
    <row r="53" spans="1:11" ht="16.5" thickBot="1" x14ac:dyDescent="0.3">
      <c r="A53" s="43">
        <v>52</v>
      </c>
      <c r="B53" s="44" t="s">
        <v>365</v>
      </c>
      <c r="C53" s="44" t="s">
        <v>366</v>
      </c>
      <c r="D53" s="33">
        <v>32882500</v>
      </c>
      <c r="E53" s="35">
        <v>45891</v>
      </c>
      <c r="F53" s="35">
        <v>45891</v>
      </c>
      <c r="G53" s="44" t="s">
        <v>633</v>
      </c>
      <c r="H53" s="34">
        <v>10419</v>
      </c>
      <c r="I53" s="44" t="s">
        <v>189</v>
      </c>
      <c r="J53" s="46">
        <v>23402</v>
      </c>
      <c r="K53" s="32"/>
    </row>
    <row r="54" spans="1:11" ht="16.5" thickBot="1" x14ac:dyDescent="0.3">
      <c r="A54" s="43">
        <v>53</v>
      </c>
      <c r="B54" s="44" t="s">
        <v>365</v>
      </c>
      <c r="C54" s="44" t="s">
        <v>366</v>
      </c>
      <c r="D54" s="33">
        <v>32912251</v>
      </c>
      <c r="E54" s="35">
        <v>45891</v>
      </c>
      <c r="F54" s="35">
        <v>45891</v>
      </c>
      <c r="G54" s="44" t="s">
        <v>634</v>
      </c>
      <c r="H54" s="34">
        <v>10636</v>
      </c>
      <c r="I54" s="44" t="s">
        <v>422</v>
      </c>
      <c r="J54" s="46">
        <v>35104</v>
      </c>
      <c r="K54" s="32"/>
    </row>
    <row r="55" spans="1:11" ht="16.5" thickBot="1" x14ac:dyDescent="0.3">
      <c r="A55" s="43">
        <v>54</v>
      </c>
      <c r="B55" s="44" t="s">
        <v>365</v>
      </c>
      <c r="C55" s="44" t="s">
        <v>366</v>
      </c>
      <c r="D55" s="33">
        <v>32882470</v>
      </c>
      <c r="E55" s="35">
        <v>45888</v>
      </c>
      <c r="F55" s="35">
        <v>45891</v>
      </c>
      <c r="G55" s="44" t="s">
        <v>635</v>
      </c>
      <c r="H55" s="34">
        <v>10606</v>
      </c>
      <c r="I55" s="44" t="s">
        <v>383</v>
      </c>
      <c r="J55" s="46">
        <v>132378</v>
      </c>
      <c r="K55" s="32"/>
    </row>
    <row r="56" spans="1:11" ht="16.5" thickBot="1" x14ac:dyDescent="0.3">
      <c r="A56" s="43">
        <v>55</v>
      </c>
      <c r="B56" s="44" t="s">
        <v>365</v>
      </c>
      <c r="C56" s="44" t="s">
        <v>366</v>
      </c>
      <c r="D56" s="33">
        <v>32882471</v>
      </c>
      <c r="E56" s="35">
        <v>45888</v>
      </c>
      <c r="F56" s="35">
        <v>45891</v>
      </c>
      <c r="G56" s="44" t="s">
        <v>636</v>
      </c>
      <c r="H56" s="34">
        <v>10590</v>
      </c>
      <c r="I56" s="44" t="s">
        <v>372</v>
      </c>
      <c r="J56" s="46">
        <v>24270</v>
      </c>
      <c r="K56" s="32"/>
    </row>
    <row r="57" spans="1:11" ht="16.5" thickBot="1" x14ac:dyDescent="0.3">
      <c r="A57" s="43">
        <v>56</v>
      </c>
      <c r="B57" s="44" t="s">
        <v>365</v>
      </c>
      <c r="C57" s="44" t="s">
        <v>366</v>
      </c>
      <c r="D57" s="33">
        <v>32882472</v>
      </c>
      <c r="E57" s="35">
        <v>45888</v>
      </c>
      <c r="F57" s="35">
        <v>45891</v>
      </c>
      <c r="G57" s="44" t="s">
        <v>637</v>
      </c>
      <c r="H57" s="34">
        <v>10562</v>
      </c>
      <c r="I57" s="44" t="s">
        <v>394</v>
      </c>
      <c r="J57" s="46">
        <v>24221</v>
      </c>
      <c r="K57" s="32"/>
    </row>
    <row r="58" spans="1:11" ht="16.5" thickBot="1" x14ac:dyDescent="0.3">
      <c r="A58" s="43">
        <v>57</v>
      </c>
      <c r="B58" s="44" t="s">
        <v>365</v>
      </c>
      <c r="C58" s="44" t="s">
        <v>366</v>
      </c>
      <c r="D58" s="33">
        <v>32882473</v>
      </c>
      <c r="E58" s="35">
        <v>45888</v>
      </c>
      <c r="F58" s="35">
        <v>45891</v>
      </c>
      <c r="G58" s="44" t="s">
        <v>638</v>
      </c>
      <c r="H58" s="34">
        <v>10199</v>
      </c>
      <c r="I58" s="44" t="s">
        <v>328</v>
      </c>
      <c r="J58" s="46">
        <v>26663</v>
      </c>
      <c r="K58" s="32"/>
    </row>
    <row r="59" spans="1:11" ht="16.5" thickBot="1" x14ac:dyDescent="0.3">
      <c r="A59" s="43">
        <v>58</v>
      </c>
      <c r="B59" s="44" t="s">
        <v>365</v>
      </c>
      <c r="C59" s="44" t="s">
        <v>366</v>
      </c>
      <c r="D59" s="33">
        <v>32882474</v>
      </c>
      <c r="E59" s="35">
        <v>45888</v>
      </c>
      <c r="F59" s="35">
        <v>45891</v>
      </c>
      <c r="G59" s="44" t="s">
        <v>639</v>
      </c>
      <c r="H59" s="34">
        <v>10469</v>
      </c>
      <c r="I59" s="44" t="s">
        <v>130</v>
      </c>
      <c r="J59" s="46">
        <v>46312</v>
      </c>
      <c r="K59" s="32"/>
    </row>
    <row r="60" spans="1:11" ht="16.5" thickBot="1" x14ac:dyDescent="0.3">
      <c r="A60" s="43">
        <v>59</v>
      </c>
      <c r="B60" s="44" t="s">
        <v>365</v>
      </c>
      <c r="C60" s="44" t="s">
        <v>366</v>
      </c>
      <c r="D60" s="33">
        <v>32882476</v>
      </c>
      <c r="E60" s="35">
        <v>45888</v>
      </c>
      <c r="F60" s="35">
        <v>45891</v>
      </c>
      <c r="G60" s="44" t="s">
        <v>640</v>
      </c>
      <c r="H60" s="34">
        <v>10010</v>
      </c>
      <c r="I60" s="44" t="s">
        <v>15</v>
      </c>
      <c r="J60" s="46">
        <v>44796</v>
      </c>
      <c r="K60" s="32"/>
    </row>
    <row r="61" spans="1:11" ht="16.5" thickBot="1" x14ac:dyDescent="0.3">
      <c r="A61" s="43">
        <v>60</v>
      </c>
      <c r="B61" s="44" t="s">
        <v>365</v>
      </c>
      <c r="C61" s="44" t="s">
        <v>366</v>
      </c>
      <c r="D61" s="33">
        <v>32882450</v>
      </c>
      <c r="E61" s="35">
        <v>45888</v>
      </c>
      <c r="F61" s="35">
        <v>45891</v>
      </c>
      <c r="G61" s="48" t="s">
        <v>641</v>
      </c>
      <c r="H61" s="34">
        <v>10199</v>
      </c>
      <c r="I61" s="44" t="s">
        <v>328</v>
      </c>
      <c r="J61" s="46">
        <v>750</v>
      </c>
      <c r="K61" s="32" t="s">
        <v>643</v>
      </c>
    </row>
    <row r="62" spans="1:11" ht="16.5" thickBot="1" x14ac:dyDescent="0.3">
      <c r="A62" s="43">
        <v>61</v>
      </c>
      <c r="B62" s="44" t="s">
        <v>365</v>
      </c>
      <c r="C62" s="44" t="s">
        <v>366</v>
      </c>
      <c r="D62" s="33">
        <v>32882451</v>
      </c>
      <c r="E62" s="35">
        <v>45888</v>
      </c>
      <c r="F62" s="35">
        <v>45891</v>
      </c>
      <c r="G62" s="44" t="s">
        <v>642</v>
      </c>
      <c r="H62" s="34">
        <v>10486</v>
      </c>
      <c r="I62" s="44" t="s">
        <v>103</v>
      </c>
      <c r="J62" s="46">
        <v>1250</v>
      </c>
      <c r="K62" s="32" t="s">
        <v>644</v>
      </c>
    </row>
    <row r="63" spans="1:11" ht="16.5" thickBot="1" x14ac:dyDescent="0.3">
      <c r="A63" s="43">
        <v>62</v>
      </c>
      <c r="B63" s="44" t="s">
        <v>365</v>
      </c>
      <c r="C63" s="44" t="s">
        <v>366</v>
      </c>
      <c r="D63" s="33">
        <v>32882449</v>
      </c>
      <c r="E63" s="35">
        <v>45888</v>
      </c>
      <c r="F63" s="35">
        <v>45891</v>
      </c>
      <c r="G63" s="44" t="s">
        <v>648</v>
      </c>
      <c r="H63" s="34">
        <v>10644</v>
      </c>
      <c r="I63" s="44" t="s">
        <v>652</v>
      </c>
      <c r="J63" s="46">
        <v>1750</v>
      </c>
      <c r="K63" s="32" t="s">
        <v>645</v>
      </c>
    </row>
    <row r="64" spans="1:11" ht="16.5" thickBot="1" x14ac:dyDescent="0.3">
      <c r="A64" s="43">
        <v>63</v>
      </c>
      <c r="B64" s="44" t="s">
        <v>365</v>
      </c>
      <c r="C64" s="44" t="s">
        <v>366</v>
      </c>
      <c r="D64" s="33">
        <v>32882447</v>
      </c>
      <c r="E64" s="35">
        <v>45888</v>
      </c>
      <c r="F64" s="35">
        <v>45891</v>
      </c>
      <c r="G64" s="44" t="s">
        <v>649</v>
      </c>
      <c r="H64" s="34">
        <v>10119</v>
      </c>
      <c r="I64" s="44" t="s">
        <v>264</v>
      </c>
      <c r="J64" s="46">
        <v>2750</v>
      </c>
      <c r="K64" s="32" t="s">
        <v>646</v>
      </c>
    </row>
    <row r="65" spans="1:11" ht="16.5" thickBot="1" x14ac:dyDescent="0.3">
      <c r="A65" s="43">
        <v>64</v>
      </c>
      <c r="B65" s="44" t="s">
        <v>365</v>
      </c>
      <c r="C65" s="44" t="s">
        <v>366</v>
      </c>
      <c r="D65" s="33">
        <v>32882455</v>
      </c>
      <c r="E65" s="35">
        <v>45888</v>
      </c>
      <c r="F65" s="35">
        <v>45891</v>
      </c>
      <c r="G65" s="44" t="s">
        <v>650</v>
      </c>
      <c r="H65" s="34">
        <v>10470</v>
      </c>
      <c r="I65" s="44" t="s">
        <v>653</v>
      </c>
      <c r="J65" s="46">
        <v>1750</v>
      </c>
      <c r="K65" s="32" t="s">
        <v>647</v>
      </c>
    </row>
    <row r="66" spans="1:11" ht="16.5" thickBot="1" x14ac:dyDescent="0.3">
      <c r="A66" s="43">
        <v>66</v>
      </c>
      <c r="B66" s="44" t="s">
        <v>365</v>
      </c>
      <c r="C66" s="44" t="s">
        <v>366</v>
      </c>
      <c r="D66" s="33">
        <v>32912280</v>
      </c>
      <c r="E66" s="35">
        <v>45895</v>
      </c>
      <c r="F66" s="35">
        <v>45895</v>
      </c>
      <c r="G66" s="44" t="s">
        <v>659</v>
      </c>
      <c r="H66" s="34">
        <v>10602</v>
      </c>
      <c r="I66" s="44" t="s">
        <v>654</v>
      </c>
      <c r="J66" s="46">
        <v>21985</v>
      </c>
      <c r="K66" s="32"/>
    </row>
    <row r="67" spans="1:11" ht="16.5" thickBot="1" x14ac:dyDescent="0.3">
      <c r="A67" s="43">
        <v>67</v>
      </c>
      <c r="B67" s="44" t="s">
        <v>365</v>
      </c>
      <c r="C67" s="44" t="s">
        <v>366</v>
      </c>
      <c r="D67" s="33">
        <v>32912281</v>
      </c>
      <c r="E67" s="35">
        <v>45895</v>
      </c>
      <c r="F67" s="35">
        <v>45895</v>
      </c>
      <c r="G67" s="44" t="s">
        <v>659</v>
      </c>
      <c r="H67" s="34">
        <v>10015</v>
      </c>
      <c r="I67" s="44" t="s">
        <v>20</v>
      </c>
      <c r="J67" s="46">
        <v>3879</v>
      </c>
      <c r="K67" s="32"/>
    </row>
    <row r="68" spans="1:11" ht="16.5" thickBot="1" x14ac:dyDescent="0.3">
      <c r="A68" s="43">
        <v>68</v>
      </c>
      <c r="B68" s="44"/>
      <c r="C68" s="44"/>
      <c r="D68" s="33"/>
      <c r="E68" s="35"/>
      <c r="F68" s="35"/>
      <c r="G68" s="44"/>
      <c r="H68" s="34"/>
      <c r="I68" s="44"/>
      <c r="J68" s="46"/>
      <c r="K68" s="32"/>
    </row>
    <row r="69" spans="1:11" ht="16.5" thickBot="1" x14ac:dyDescent="0.3">
      <c r="A69" s="43">
        <v>69</v>
      </c>
      <c r="B69" s="44"/>
      <c r="C69" s="44"/>
      <c r="D69" s="33"/>
      <c r="E69" s="35"/>
      <c r="F69" s="35"/>
      <c r="G69" s="44"/>
      <c r="H69" s="34"/>
      <c r="I69" s="44"/>
      <c r="J69" s="46"/>
      <c r="K69" s="32"/>
    </row>
    <row r="70" spans="1:11" ht="16.5" thickBot="1" x14ac:dyDescent="0.3">
      <c r="A70" s="43">
        <v>70</v>
      </c>
      <c r="B70" s="44"/>
      <c r="C70" s="44"/>
      <c r="D70" s="33"/>
      <c r="E70" s="35"/>
      <c r="F70" s="35"/>
      <c r="G70" s="44"/>
      <c r="H70" s="34"/>
      <c r="I70" s="44"/>
      <c r="J70" s="46"/>
      <c r="K70" s="32"/>
    </row>
    <row r="71" spans="1:11" ht="16.5" thickBot="1" x14ac:dyDescent="0.3">
      <c r="A71" s="43">
        <v>71</v>
      </c>
      <c r="B71" s="44"/>
      <c r="C71" s="44"/>
      <c r="D71" s="33"/>
      <c r="E71" s="35"/>
      <c r="F71" s="35"/>
      <c r="G71" s="44"/>
      <c r="H71" s="34"/>
      <c r="I71" s="44"/>
      <c r="J71" s="46"/>
      <c r="K71" s="32"/>
    </row>
    <row r="72" spans="1:11" ht="16.5" thickBot="1" x14ac:dyDescent="0.3">
      <c r="A72" s="43">
        <v>72</v>
      </c>
      <c r="B72" s="44"/>
      <c r="C72" s="44"/>
      <c r="D72" s="33"/>
      <c r="E72" s="35"/>
      <c r="F72" s="35"/>
      <c r="G72" s="44"/>
      <c r="H72" s="34"/>
      <c r="I72" s="44"/>
      <c r="J72" s="46"/>
      <c r="K72" s="32"/>
    </row>
    <row r="73" spans="1:11" ht="16.5" thickBot="1" x14ac:dyDescent="0.3">
      <c r="A73" s="43"/>
      <c r="B73" s="44"/>
      <c r="C73" s="44"/>
      <c r="D73" s="33"/>
      <c r="E73" s="35"/>
      <c r="F73" s="35"/>
      <c r="G73" s="44"/>
      <c r="H73" s="34"/>
      <c r="I73" s="44"/>
      <c r="J73" s="46"/>
      <c r="K73" s="32"/>
    </row>
    <row r="74" spans="1:11" ht="16.5" thickBot="1" x14ac:dyDescent="0.3">
      <c r="A74" s="43"/>
      <c r="B74" s="44"/>
      <c r="C74" s="44"/>
      <c r="D74" s="33"/>
      <c r="E74" s="35"/>
      <c r="F74" s="35"/>
      <c r="G74" s="44"/>
      <c r="H74" s="34"/>
      <c r="I74" s="44"/>
      <c r="J74" s="46"/>
      <c r="K74" s="32"/>
    </row>
    <row r="75" spans="1:11" ht="16.5" thickBot="1" x14ac:dyDescent="0.3">
      <c r="A75" s="43"/>
      <c r="B75" s="44"/>
      <c r="C75" s="44"/>
      <c r="D75" s="33"/>
      <c r="E75" s="35"/>
      <c r="F75" s="35"/>
      <c r="G75" s="44"/>
      <c r="H75" s="34"/>
      <c r="I75" s="44"/>
      <c r="J75" s="46"/>
      <c r="K75" s="32"/>
    </row>
    <row r="76" spans="1:11" ht="16.5" thickBot="1" x14ac:dyDescent="0.3">
      <c r="A76" s="43"/>
      <c r="B76" s="44"/>
      <c r="C76" s="44"/>
      <c r="D76" s="33"/>
      <c r="E76" s="35"/>
      <c r="F76" s="35"/>
      <c r="G76" s="44"/>
      <c r="H76" s="34"/>
      <c r="I76" s="44"/>
      <c r="J76" s="46"/>
      <c r="K76" s="32"/>
    </row>
    <row r="77" spans="1:11" ht="16.5" thickBot="1" x14ac:dyDescent="0.3">
      <c r="A77" s="43"/>
      <c r="B77" s="44"/>
      <c r="C77" s="44"/>
      <c r="D77" s="33"/>
      <c r="E77" s="35"/>
      <c r="F77" s="35"/>
      <c r="G77" s="44"/>
      <c r="H77" s="34"/>
      <c r="I77" s="44"/>
      <c r="J77" s="46"/>
      <c r="K77" s="32"/>
    </row>
    <row r="78" spans="1:11" ht="16.5" thickBot="1" x14ac:dyDescent="0.3">
      <c r="A78" s="43"/>
      <c r="B78" s="44"/>
      <c r="C78" s="44"/>
      <c r="D78" s="33"/>
      <c r="E78" s="35"/>
      <c r="F78" s="35"/>
      <c r="G78" s="44"/>
      <c r="H78" s="34"/>
      <c r="I78" s="34"/>
      <c r="J78" s="46"/>
      <c r="K78" s="32"/>
    </row>
    <row r="79" spans="1:11" ht="16.5" thickBot="1" x14ac:dyDescent="0.3">
      <c r="A79" s="43"/>
      <c r="B79" s="44"/>
      <c r="C79" s="44"/>
      <c r="D79" s="33"/>
      <c r="E79" s="35"/>
      <c r="F79" s="35"/>
      <c r="G79" s="48"/>
      <c r="H79" s="34"/>
      <c r="I79" s="44"/>
      <c r="J79" s="46"/>
      <c r="K79" s="32"/>
    </row>
    <row r="80" spans="1:11" ht="16.5" thickBot="1" x14ac:dyDescent="0.3">
      <c r="A80" s="43"/>
      <c r="B80" s="44"/>
      <c r="C80" s="44"/>
      <c r="D80" s="33"/>
      <c r="E80" s="35"/>
      <c r="F80" s="35"/>
      <c r="G80" s="44"/>
      <c r="H80" s="34"/>
      <c r="I80" s="44"/>
      <c r="J80" s="46"/>
      <c r="K80" s="32"/>
    </row>
    <row r="81" spans="1:11" ht="16.5" thickBot="1" x14ac:dyDescent="0.3">
      <c r="A81" s="43"/>
      <c r="B81" s="44"/>
      <c r="C81" s="44"/>
      <c r="D81" s="33"/>
      <c r="E81" s="35"/>
      <c r="F81" s="35"/>
      <c r="G81" s="44"/>
      <c r="H81" s="34"/>
      <c r="I81" s="44"/>
      <c r="J81" s="46"/>
      <c r="K81" s="32"/>
    </row>
    <row r="82" spans="1:11" ht="16.5" thickBot="1" x14ac:dyDescent="0.3">
      <c r="A82" s="43"/>
      <c r="B82" s="44"/>
      <c r="C82" s="44"/>
      <c r="D82" s="33"/>
      <c r="E82" s="35"/>
      <c r="F82" s="35"/>
      <c r="G82" s="44"/>
      <c r="H82" s="34"/>
      <c r="I82" s="34"/>
      <c r="J82" s="46"/>
      <c r="K82" s="32"/>
    </row>
    <row r="83" spans="1:11" ht="16.5" thickBot="1" x14ac:dyDescent="0.3">
      <c r="A83" s="43"/>
      <c r="B83" s="44"/>
      <c r="C83" s="44"/>
      <c r="D83" s="33"/>
      <c r="E83" s="35"/>
      <c r="F83" s="35"/>
      <c r="G83" s="44"/>
      <c r="H83" s="34"/>
      <c r="I83" s="34"/>
      <c r="J83" s="46"/>
      <c r="K83" s="32"/>
    </row>
    <row r="84" spans="1:11" ht="16.5" thickBot="1" x14ac:dyDescent="0.3">
      <c r="A84" s="43"/>
      <c r="B84" s="44"/>
      <c r="C84" s="44"/>
      <c r="D84" s="33"/>
      <c r="E84" s="35"/>
      <c r="F84" s="35"/>
      <c r="G84" s="44"/>
      <c r="H84" s="34"/>
      <c r="I84" s="44"/>
      <c r="J84" s="46"/>
      <c r="K84" s="32"/>
    </row>
    <row r="85" spans="1:11" ht="16.5" thickBot="1" x14ac:dyDescent="0.3">
      <c r="A85" s="43"/>
      <c r="B85" s="44"/>
      <c r="C85" s="44"/>
      <c r="D85" s="33"/>
      <c r="E85" s="35"/>
      <c r="F85" s="35"/>
      <c r="G85" s="44"/>
      <c r="H85" s="34"/>
      <c r="I85" s="44"/>
      <c r="J85" s="46"/>
      <c r="K85" s="32"/>
    </row>
    <row r="86" spans="1:11" ht="16.5" thickBot="1" x14ac:dyDescent="0.3">
      <c r="A86" s="43"/>
      <c r="B86" s="44"/>
      <c r="C86" s="44"/>
      <c r="D86" s="33"/>
      <c r="E86" s="35"/>
      <c r="F86" s="35"/>
      <c r="G86" s="44"/>
      <c r="H86" s="34"/>
      <c r="I86" s="44"/>
      <c r="J86" s="46"/>
      <c r="K86" s="32"/>
    </row>
    <row r="87" spans="1:11" ht="16.5" thickBot="1" x14ac:dyDescent="0.3">
      <c r="A87" s="43"/>
      <c r="B87" s="44"/>
      <c r="C87" s="44"/>
      <c r="D87" s="33"/>
      <c r="E87" s="35"/>
      <c r="F87" s="35"/>
      <c r="G87" s="44"/>
      <c r="H87" s="34"/>
      <c r="I87" s="44"/>
      <c r="J87" s="46"/>
      <c r="K87" s="32"/>
    </row>
    <row r="88" spans="1:11" ht="16.5" thickBot="1" x14ac:dyDescent="0.3">
      <c r="A88" s="43"/>
      <c r="B88" s="44"/>
      <c r="C88" s="44"/>
      <c r="D88" s="33"/>
      <c r="E88" s="35"/>
      <c r="F88" s="35"/>
      <c r="G88" s="44"/>
      <c r="H88" s="34"/>
      <c r="I88" s="44"/>
      <c r="J88" s="46"/>
      <c r="K88" s="32"/>
    </row>
    <row r="89" spans="1:11" ht="16.5" thickBot="1" x14ac:dyDescent="0.3">
      <c r="A89" s="43"/>
      <c r="B89" s="44"/>
      <c r="C89" s="44"/>
      <c r="D89" s="33"/>
      <c r="E89" s="35"/>
      <c r="F89" s="35"/>
      <c r="G89" s="44"/>
      <c r="H89" s="34"/>
      <c r="I89" s="44"/>
      <c r="J89" s="46"/>
      <c r="K89" s="32"/>
    </row>
    <row r="90" spans="1:11" ht="16.5" thickBot="1" x14ac:dyDescent="0.3">
      <c r="A90" s="43"/>
      <c r="B90" s="44"/>
      <c r="C90" s="44"/>
      <c r="D90" s="33"/>
      <c r="E90" s="35"/>
      <c r="F90" s="35"/>
      <c r="G90" s="44"/>
      <c r="H90" s="34"/>
      <c r="I90" s="44"/>
      <c r="J90" s="46"/>
      <c r="K90" s="32"/>
    </row>
    <row r="91" spans="1:11" ht="16.5" thickBot="1" x14ac:dyDescent="0.3">
      <c r="A91" s="43"/>
      <c r="B91" s="44"/>
      <c r="C91" s="44"/>
      <c r="D91" s="33"/>
      <c r="E91" s="35"/>
      <c r="F91" s="35"/>
      <c r="G91" s="44"/>
      <c r="H91" s="34"/>
      <c r="I91" s="44"/>
      <c r="J91" s="46"/>
      <c r="K91" s="32"/>
    </row>
    <row r="92" spans="1:11" ht="16.5" thickBot="1" x14ac:dyDescent="0.3">
      <c r="A92" s="43"/>
      <c r="B92" s="44"/>
      <c r="C92" s="44"/>
      <c r="D92" s="33"/>
      <c r="E92" s="35"/>
      <c r="F92" s="35"/>
      <c r="G92" s="44"/>
      <c r="H92" s="34"/>
      <c r="I92" s="44"/>
      <c r="J92" s="46"/>
      <c r="K92" s="32"/>
    </row>
    <row r="93" spans="1:11" ht="16.5" thickBot="1" x14ac:dyDescent="0.3">
      <c r="A93" s="43"/>
      <c r="B93" s="44"/>
      <c r="C93" s="44"/>
      <c r="D93" s="33"/>
      <c r="E93" s="35"/>
      <c r="F93" s="35"/>
      <c r="G93" s="44"/>
      <c r="H93" s="34"/>
      <c r="I93" s="44"/>
      <c r="J93" s="46"/>
      <c r="K93" s="32"/>
    </row>
    <row r="94" spans="1:11" ht="16.5" thickBot="1" x14ac:dyDescent="0.3">
      <c r="A94" s="43"/>
      <c r="B94" s="44"/>
      <c r="C94" s="44"/>
      <c r="D94" s="33"/>
      <c r="E94" s="35"/>
      <c r="F94" s="35"/>
      <c r="G94" s="44"/>
      <c r="H94" s="34"/>
      <c r="I94" s="44"/>
      <c r="J94" s="46"/>
      <c r="K94" s="32"/>
    </row>
    <row r="95" spans="1:11" ht="16.5" thickBot="1" x14ac:dyDescent="0.3">
      <c r="A95" s="43"/>
      <c r="B95" s="44"/>
      <c r="C95" s="44"/>
      <c r="D95" s="33"/>
      <c r="E95" s="35"/>
      <c r="F95" s="35"/>
      <c r="G95" s="44"/>
      <c r="H95" s="34"/>
      <c r="I95" s="44"/>
      <c r="J95" s="46"/>
      <c r="K95" s="32"/>
    </row>
    <row r="96" spans="1:11" ht="16.5" thickBot="1" x14ac:dyDescent="0.3">
      <c r="A96" s="43"/>
      <c r="B96" s="44"/>
      <c r="C96" s="44"/>
      <c r="D96" s="33"/>
      <c r="E96" s="35"/>
      <c r="F96" s="35"/>
      <c r="G96" s="44"/>
      <c r="H96" s="34"/>
      <c r="I96" s="44"/>
      <c r="J96" s="46"/>
      <c r="K96" s="32"/>
    </row>
    <row r="97" spans="1:11" ht="16.5" thickBot="1" x14ac:dyDescent="0.3">
      <c r="A97" s="43"/>
      <c r="B97" s="44"/>
      <c r="C97" s="44"/>
      <c r="D97" s="33"/>
      <c r="E97" s="35"/>
      <c r="F97" s="35"/>
      <c r="G97" s="44"/>
      <c r="H97" s="34"/>
      <c r="I97" s="44"/>
      <c r="J97" s="46"/>
      <c r="K97" s="32"/>
    </row>
    <row r="98" spans="1:11" ht="16.5" thickBot="1" x14ac:dyDescent="0.3">
      <c r="A98" s="43"/>
      <c r="B98" s="44"/>
      <c r="C98" s="44"/>
      <c r="D98" s="33"/>
      <c r="E98" s="35"/>
      <c r="F98" s="35"/>
      <c r="G98" s="44"/>
      <c r="H98" s="34"/>
      <c r="I98" s="44"/>
      <c r="J98" s="46"/>
      <c r="K98" s="32"/>
    </row>
    <row r="99" spans="1:11" ht="16.5" thickBot="1" x14ac:dyDescent="0.3">
      <c r="A99" s="43"/>
      <c r="B99" s="44"/>
      <c r="C99" s="44"/>
      <c r="D99" s="33"/>
      <c r="E99" s="35"/>
      <c r="F99" s="35"/>
      <c r="G99" s="44"/>
      <c r="H99" s="34"/>
      <c r="I99" s="44"/>
      <c r="J99" s="46"/>
      <c r="K99" s="32"/>
    </row>
    <row r="100" spans="1:11" ht="16.5" thickBot="1" x14ac:dyDescent="0.3">
      <c r="A100" s="43"/>
      <c r="B100" s="44"/>
      <c r="C100" s="44"/>
      <c r="D100" s="33"/>
      <c r="E100" s="35"/>
      <c r="F100" s="35"/>
      <c r="G100" s="44"/>
      <c r="H100" s="34"/>
      <c r="I100" s="44"/>
      <c r="J100" s="46"/>
      <c r="K100" s="32"/>
    </row>
    <row r="101" spans="1:11" ht="16.5" thickBot="1" x14ac:dyDescent="0.3">
      <c r="A101" s="43"/>
      <c r="B101" s="44"/>
      <c r="C101" s="44"/>
      <c r="D101" s="33"/>
      <c r="E101" s="35"/>
      <c r="F101" s="35"/>
      <c r="G101" s="44"/>
      <c r="H101" s="34"/>
      <c r="I101" s="44"/>
      <c r="J101" s="46"/>
      <c r="K101" s="32"/>
    </row>
    <row r="102" spans="1:11" ht="16.5" thickBot="1" x14ac:dyDescent="0.3">
      <c r="A102" s="43"/>
      <c r="B102" s="44"/>
      <c r="C102" s="44"/>
      <c r="D102" s="33"/>
      <c r="E102" s="35"/>
      <c r="F102" s="35"/>
      <c r="G102" s="44"/>
      <c r="H102" s="34"/>
      <c r="I102" s="34"/>
      <c r="J102" s="46"/>
      <c r="K102" s="32"/>
    </row>
    <row r="103" spans="1:11" ht="16.5" thickBot="1" x14ac:dyDescent="0.3">
      <c r="A103" s="43"/>
      <c r="B103" s="44"/>
      <c r="C103" s="44"/>
      <c r="D103" s="33"/>
      <c r="E103" s="35"/>
      <c r="F103" s="35"/>
      <c r="G103" s="44"/>
      <c r="H103" s="34"/>
      <c r="I103" s="44"/>
      <c r="J103" s="46"/>
      <c r="K103" s="32"/>
    </row>
    <row r="104" spans="1:11" ht="16.5" thickBot="1" x14ac:dyDescent="0.3">
      <c r="A104" s="43"/>
      <c r="B104" s="44"/>
      <c r="C104" s="44"/>
      <c r="D104" s="33"/>
      <c r="E104" s="35"/>
      <c r="F104" s="35"/>
      <c r="G104" s="44"/>
      <c r="H104" s="34"/>
      <c r="I104" s="34"/>
      <c r="J104" s="46"/>
      <c r="K104" s="32"/>
    </row>
    <row r="105" spans="1:11" ht="16.5" thickBot="1" x14ac:dyDescent="0.3">
      <c r="A105" s="43"/>
      <c r="B105" s="44"/>
      <c r="C105" s="44"/>
      <c r="D105" s="33"/>
      <c r="E105" s="35"/>
      <c r="F105" s="35"/>
      <c r="G105" s="34"/>
      <c r="H105" s="34"/>
      <c r="I105" s="34"/>
      <c r="J105" s="46"/>
      <c r="K105" s="32"/>
    </row>
    <row r="106" spans="1:11" ht="16.5" thickBot="1" x14ac:dyDescent="0.3">
      <c r="A106" s="43"/>
      <c r="B106" s="44"/>
      <c r="C106" s="44"/>
      <c r="D106" s="33"/>
      <c r="E106" s="35"/>
      <c r="F106" s="35"/>
      <c r="G106" s="34"/>
      <c r="H106" s="34"/>
      <c r="I106" s="34"/>
      <c r="J106" s="46"/>
      <c r="K106" s="32"/>
    </row>
    <row r="107" spans="1:11" ht="16.5" thickBot="1" x14ac:dyDescent="0.3">
      <c r="A107" s="43"/>
      <c r="B107" s="44"/>
      <c r="C107" s="44"/>
      <c r="D107" s="33"/>
      <c r="E107" s="35"/>
      <c r="F107" s="35"/>
      <c r="G107" s="34"/>
      <c r="H107" s="34"/>
      <c r="I107" s="34"/>
      <c r="J107" s="46"/>
      <c r="K107" s="32"/>
    </row>
    <row r="108" spans="1:11" ht="16.5" thickBot="1" x14ac:dyDescent="0.3">
      <c r="A108" s="43"/>
      <c r="B108" s="44"/>
      <c r="C108" s="44"/>
      <c r="D108" s="33"/>
      <c r="E108" s="35"/>
      <c r="F108" s="35"/>
      <c r="G108" s="34"/>
      <c r="H108" s="34"/>
      <c r="I108" s="34"/>
      <c r="J108" s="46"/>
      <c r="K108" s="32"/>
    </row>
    <row r="109" spans="1:11" ht="16.5" thickBot="1" x14ac:dyDescent="0.3">
      <c r="A109" s="43"/>
      <c r="B109" s="44"/>
      <c r="C109" s="44"/>
      <c r="D109" s="33"/>
      <c r="E109" s="35"/>
      <c r="F109" s="35"/>
      <c r="G109" s="34"/>
      <c r="H109" s="34"/>
      <c r="I109" s="34"/>
      <c r="J109" s="46"/>
      <c r="K109" s="32"/>
    </row>
    <row r="110" spans="1:11" ht="16.5" thickBot="1" x14ac:dyDescent="0.3">
      <c r="A110" s="43"/>
      <c r="B110" s="44"/>
      <c r="C110" s="44"/>
      <c r="D110" s="33"/>
      <c r="E110" s="35"/>
      <c r="F110" s="35"/>
      <c r="G110" s="34"/>
      <c r="H110" s="34"/>
      <c r="I110" s="34"/>
      <c r="J110" s="46"/>
      <c r="K110" s="32"/>
    </row>
    <row r="111" spans="1:11" ht="16.5" thickBot="1" x14ac:dyDescent="0.3">
      <c r="A111" s="43"/>
      <c r="B111" s="44"/>
      <c r="C111" s="44"/>
      <c r="D111" s="33"/>
      <c r="E111" s="35"/>
      <c r="F111" s="35"/>
      <c r="G111" s="34"/>
      <c r="H111" s="34"/>
      <c r="I111" s="34"/>
      <c r="J111" s="46"/>
      <c r="K111" s="32"/>
    </row>
    <row r="112" spans="1:11" ht="16.5" thickBot="1" x14ac:dyDescent="0.3">
      <c r="A112" s="43"/>
      <c r="B112" s="44"/>
      <c r="C112" s="44"/>
      <c r="D112" s="33"/>
      <c r="E112" s="35"/>
      <c r="F112" s="35"/>
      <c r="G112" s="44"/>
      <c r="H112" s="34"/>
      <c r="I112" s="44"/>
      <c r="J112" s="46"/>
      <c r="K112" s="32"/>
    </row>
    <row r="113" spans="1:11" ht="16.5" thickBot="1" x14ac:dyDescent="0.3">
      <c r="A113" s="43"/>
      <c r="B113" s="44"/>
      <c r="C113" s="44"/>
      <c r="D113" s="33"/>
      <c r="E113" s="35"/>
      <c r="F113" s="35"/>
      <c r="G113" s="34"/>
      <c r="H113" s="34"/>
      <c r="I113" s="34"/>
      <c r="J113" s="46"/>
      <c r="K113" s="32"/>
    </row>
    <row r="114" spans="1:11" ht="16.5" thickBot="1" x14ac:dyDescent="0.3">
      <c r="A114" s="43"/>
      <c r="B114" s="44"/>
      <c r="C114" s="44"/>
      <c r="D114" s="33"/>
      <c r="E114" s="35"/>
      <c r="F114" s="35"/>
      <c r="G114" s="44"/>
      <c r="H114" s="34"/>
      <c r="I114" s="44"/>
      <c r="J114" s="46"/>
      <c r="K114" s="32"/>
    </row>
    <row r="115" spans="1:11" ht="16.5" thickBot="1" x14ac:dyDescent="0.3">
      <c r="A115" s="43"/>
      <c r="B115" s="44"/>
      <c r="C115" s="44"/>
      <c r="D115" s="33"/>
      <c r="E115" s="35"/>
      <c r="F115" s="35"/>
      <c r="G115" s="44"/>
      <c r="H115" s="34"/>
      <c r="I115" s="44"/>
      <c r="J115" s="46"/>
      <c r="K115" s="32"/>
    </row>
    <row r="116" spans="1:11" ht="16.5" thickBot="1" x14ac:dyDescent="0.3">
      <c r="A116" s="43"/>
      <c r="B116" s="44"/>
      <c r="C116" s="44"/>
      <c r="D116" s="33"/>
      <c r="E116" s="35"/>
      <c r="F116" s="35"/>
      <c r="G116" s="44"/>
      <c r="H116" s="34"/>
      <c r="I116" s="44"/>
      <c r="J116" s="46"/>
      <c r="K116" s="32"/>
    </row>
    <row r="117" spans="1:11" ht="16.5" thickBot="1" x14ac:dyDescent="0.3">
      <c r="A117" s="43"/>
      <c r="B117" s="44"/>
      <c r="C117" s="44"/>
      <c r="D117" s="33"/>
      <c r="E117" s="35"/>
      <c r="F117" s="33"/>
      <c r="G117" s="44"/>
      <c r="H117" s="34"/>
      <c r="I117" s="44"/>
      <c r="J117" s="46"/>
      <c r="K117" s="32"/>
    </row>
    <row r="118" spans="1:11" ht="16.5" thickBot="1" x14ac:dyDescent="0.3">
      <c r="A118" s="43"/>
      <c r="B118" s="44"/>
      <c r="C118" s="44"/>
      <c r="D118" s="33"/>
      <c r="E118" s="35"/>
      <c r="F118" s="35"/>
      <c r="G118" s="34"/>
      <c r="H118" s="34"/>
      <c r="I118" s="44"/>
      <c r="J118" s="46"/>
      <c r="K118" s="32"/>
    </row>
    <row r="119" spans="1:11" ht="16.5" thickBot="1" x14ac:dyDescent="0.3">
      <c r="A119" s="43"/>
      <c r="B119" s="44"/>
      <c r="C119" s="44"/>
      <c r="D119" s="33"/>
      <c r="E119" s="35"/>
      <c r="F119" s="35"/>
      <c r="G119" s="34"/>
      <c r="H119" s="34"/>
      <c r="I119" s="44"/>
      <c r="J119" s="46"/>
      <c r="K119" s="32"/>
    </row>
    <row r="120" spans="1:11" ht="16.5" thickBot="1" x14ac:dyDescent="0.3">
      <c r="A120" s="43"/>
      <c r="B120" s="44"/>
      <c r="C120" s="44"/>
      <c r="D120" s="33"/>
      <c r="E120" s="35"/>
      <c r="F120" s="35"/>
      <c r="G120" s="34"/>
      <c r="H120" s="34"/>
      <c r="I120" s="44"/>
      <c r="J120" s="46"/>
      <c r="K120" s="32"/>
    </row>
    <row r="121" spans="1:11" ht="16.5" thickBot="1" x14ac:dyDescent="0.3">
      <c r="A121" s="43"/>
      <c r="B121" s="44"/>
      <c r="C121" s="44"/>
      <c r="D121" s="33"/>
      <c r="E121" s="35"/>
      <c r="F121" s="35"/>
      <c r="G121" s="34"/>
      <c r="H121" s="34"/>
      <c r="I121" s="44"/>
      <c r="J121" s="46"/>
      <c r="K121" s="32"/>
    </row>
    <row r="122" spans="1:11" ht="16.5" thickBot="1" x14ac:dyDescent="0.3">
      <c r="A122" s="43"/>
      <c r="B122" s="44"/>
      <c r="C122" s="44"/>
      <c r="D122" s="33"/>
      <c r="E122" s="35"/>
      <c r="F122" s="35"/>
      <c r="G122" s="34"/>
      <c r="H122" s="34"/>
      <c r="I122" s="44"/>
      <c r="J122" s="46"/>
      <c r="K122" s="32"/>
    </row>
    <row r="123" spans="1:11" ht="16.5" thickBot="1" x14ac:dyDescent="0.3">
      <c r="A123" s="43"/>
      <c r="B123" s="44"/>
      <c r="C123" s="44"/>
      <c r="D123" s="33"/>
      <c r="E123" s="35"/>
      <c r="F123" s="35"/>
      <c r="G123" s="34"/>
      <c r="H123" s="34"/>
      <c r="I123" s="44"/>
      <c r="J123" s="46"/>
      <c r="K123" s="32"/>
    </row>
    <row r="124" spans="1:11" ht="16.5" thickBot="1" x14ac:dyDescent="0.3">
      <c r="A124" s="43"/>
      <c r="B124" s="44"/>
      <c r="C124" s="44"/>
      <c r="D124" s="33"/>
      <c r="E124" s="35"/>
      <c r="F124" s="35"/>
      <c r="G124" s="34"/>
      <c r="H124" s="34"/>
      <c r="I124" s="44"/>
      <c r="J124" s="46"/>
      <c r="K124" s="32"/>
    </row>
    <row r="125" spans="1:11" ht="16.5" thickBot="1" x14ac:dyDescent="0.3">
      <c r="A125" s="43"/>
      <c r="B125" s="44"/>
      <c r="C125" s="44"/>
      <c r="D125" s="33"/>
      <c r="E125" s="35"/>
      <c r="F125" s="33"/>
      <c r="G125" s="34"/>
      <c r="H125" s="34"/>
      <c r="I125" s="44"/>
      <c r="J125" s="46"/>
      <c r="K125" s="32"/>
    </row>
    <row r="126" spans="1:11" ht="16.5" thickBot="1" x14ac:dyDescent="0.3">
      <c r="A126" s="43"/>
      <c r="B126" s="44"/>
      <c r="C126" s="44"/>
      <c r="D126" s="33"/>
      <c r="E126" s="35"/>
      <c r="F126" s="33"/>
      <c r="G126" s="34"/>
      <c r="H126" s="34"/>
      <c r="I126" s="44"/>
      <c r="J126" s="46"/>
      <c r="K126" s="32"/>
    </row>
    <row r="127" spans="1:11" ht="16.5" thickBot="1" x14ac:dyDescent="0.3">
      <c r="A127" s="43"/>
      <c r="B127" s="44"/>
      <c r="C127" s="44"/>
      <c r="D127" s="33"/>
      <c r="E127" s="35"/>
      <c r="F127" s="33"/>
      <c r="G127" s="34"/>
      <c r="H127" s="34"/>
      <c r="I127" s="44"/>
      <c r="J127" s="46"/>
      <c r="K127" s="32"/>
    </row>
  </sheetData>
  <autoFilter ref="A1:L7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27"/>
  <sheetViews>
    <sheetView topLeftCell="A3" workbookViewId="0">
      <selection activeCell="E21" sqref="E21"/>
    </sheetView>
  </sheetViews>
  <sheetFormatPr defaultColWidth="9.140625" defaultRowHeight="15.75" x14ac:dyDescent="0.25"/>
  <cols>
    <col min="1" max="1" width="5.85546875" style="42" bestFit="1" customWidth="1"/>
    <col min="2" max="2" width="39.28515625" style="42" bestFit="1" customWidth="1"/>
    <col min="3" max="3" width="6.28515625" style="42" bestFit="1" customWidth="1"/>
    <col min="4" max="4" width="13.140625" style="42" bestFit="1" customWidth="1"/>
    <col min="5" max="5" width="22.7109375" style="42" bestFit="1" customWidth="1"/>
    <col min="6" max="6" width="22.7109375" style="42" customWidth="1"/>
    <col min="7" max="7" width="135.28515625" style="42" bestFit="1" customWidth="1"/>
    <col min="8" max="8" width="10.140625" style="42" customWidth="1"/>
    <col min="9" max="9" width="76.140625" style="42" customWidth="1"/>
    <col min="10" max="10" width="12.85546875" style="49" customWidth="1"/>
    <col min="11" max="11" width="51.7109375" style="50" customWidth="1"/>
    <col min="12" max="16384" width="9.140625" style="13"/>
  </cols>
  <sheetData>
    <row r="1" spans="1:11" ht="16.5" thickBot="1" x14ac:dyDescent="0.3">
      <c r="A1" s="27" t="s">
        <v>356</v>
      </c>
      <c r="B1" s="28" t="s">
        <v>357</v>
      </c>
      <c r="C1" s="28" t="s">
        <v>358</v>
      </c>
      <c r="D1" s="28" t="s">
        <v>359</v>
      </c>
      <c r="E1" s="28" t="s">
        <v>360</v>
      </c>
      <c r="F1" s="28" t="s">
        <v>361</v>
      </c>
      <c r="G1" s="28" t="s">
        <v>362</v>
      </c>
      <c r="H1" s="28" t="s">
        <v>349</v>
      </c>
      <c r="I1" s="28" t="s">
        <v>350</v>
      </c>
      <c r="J1" s="28" t="s">
        <v>363</v>
      </c>
      <c r="K1" s="29" t="s">
        <v>364</v>
      </c>
    </row>
    <row r="2" spans="1:11" ht="16.5" thickBot="1" x14ac:dyDescent="0.3">
      <c r="A2" s="43">
        <v>1</v>
      </c>
      <c r="B2" s="44" t="s">
        <v>365</v>
      </c>
      <c r="C2" s="44" t="s">
        <v>366</v>
      </c>
      <c r="D2" s="33">
        <v>32912207</v>
      </c>
      <c r="E2" s="35">
        <v>45923</v>
      </c>
      <c r="F2" s="35">
        <v>45923</v>
      </c>
      <c r="G2" s="44" t="s">
        <v>668</v>
      </c>
      <c r="H2" s="34">
        <v>10020</v>
      </c>
      <c r="I2" s="44" t="s">
        <v>651</v>
      </c>
      <c r="J2" s="46">
        <v>5000</v>
      </c>
      <c r="K2" s="32"/>
    </row>
    <row r="3" spans="1:11" ht="16.5" thickBot="1" x14ac:dyDescent="0.3">
      <c r="A3" s="43">
        <v>2</v>
      </c>
      <c r="B3" s="44" t="s">
        <v>365</v>
      </c>
      <c r="C3" s="44" t="s">
        <v>366</v>
      </c>
      <c r="D3" s="33">
        <v>32912208</v>
      </c>
      <c r="E3" s="35">
        <v>45923</v>
      </c>
      <c r="F3" s="35">
        <v>45923</v>
      </c>
      <c r="G3" s="44" t="s">
        <v>669</v>
      </c>
      <c r="H3" s="34">
        <v>10554</v>
      </c>
      <c r="I3" s="44" t="s">
        <v>327</v>
      </c>
      <c r="J3" s="46">
        <v>5000</v>
      </c>
      <c r="K3" s="32"/>
    </row>
    <row r="4" spans="1:11" ht="16.5" thickBot="1" x14ac:dyDescent="0.3">
      <c r="A4" s="43">
        <v>3</v>
      </c>
      <c r="B4" s="44" t="s">
        <v>365</v>
      </c>
      <c r="C4" s="44" t="s">
        <v>366</v>
      </c>
      <c r="D4" s="33">
        <v>32912209</v>
      </c>
      <c r="E4" s="35">
        <v>45923</v>
      </c>
      <c r="F4" s="35">
        <v>45923</v>
      </c>
      <c r="G4" s="44" t="s">
        <v>670</v>
      </c>
      <c r="H4" s="34">
        <v>10494</v>
      </c>
      <c r="I4" s="44" t="s">
        <v>314</v>
      </c>
      <c r="J4" s="46">
        <v>4000</v>
      </c>
      <c r="K4" s="32"/>
    </row>
    <row r="5" spans="1:11" ht="16.5" thickBot="1" x14ac:dyDescent="0.3">
      <c r="A5" s="43">
        <v>4</v>
      </c>
      <c r="B5" s="44" t="s">
        <v>365</v>
      </c>
      <c r="C5" s="44" t="s">
        <v>366</v>
      </c>
      <c r="D5" s="33">
        <v>32912210</v>
      </c>
      <c r="E5" s="35">
        <v>45923</v>
      </c>
      <c r="F5" s="35">
        <v>45923</v>
      </c>
      <c r="G5" s="44" t="s">
        <v>671</v>
      </c>
      <c r="H5" s="34">
        <v>10437</v>
      </c>
      <c r="I5" s="44" t="s">
        <v>37</v>
      </c>
      <c r="J5" s="46">
        <v>3000</v>
      </c>
      <c r="K5" s="32"/>
    </row>
    <row r="6" spans="1:11" ht="16.5" thickBot="1" x14ac:dyDescent="0.3">
      <c r="A6" s="43">
        <v>5</v>
      </c>
      <c r="B6" s="44" t="s">
        <v>365</v>
      </c>
      <c r="C6" s="44" t="s">
        <v>366</v>
      </c>
      <c r="D6" s="33">
        <v>32912211</v>
      </c>
      <c r="E6" s="35">
        <v>45923</v>
      </c>
      <c r="F6" s="35">
        <v>45923</v>
      </c>
      <c r="G6" s="44" t="s">
        <v>672</v>
      </c>
      <c r="H6" s="34">
        <v>10460</v>
      </c>
      <c r="I6" s="44" t="s">
        <v>137</v>
      </c>
      <c r="J6" s="46">
        <v>2000</v>
      </c>
      <c r="K6" s="32"/>
    </row>
    <row r="7" spans="1:11" ht="16.5" thickBot="1" x14ac:dyDescent="0.3">
      <c r="A7" s="43">
        <v>6</v>
      </c>
      <c r="B7" s="44" t="s">
        <v>365</v>
      </c>
      <c r="C7" s="44" t="s">
        <v>366</v>
      </c>
      <c r="D7" s="33">
        <v>32912212</v>
      </c>
      <c r="E7" s="35">
        <v>45923</v>
      </c>
      <c r="F7" s="35">
        <v>45923</v>
      </c>
      <c r="G7" s="44" t="s">
        <v>673</v>
      </c>
      <c r="H7" s="34">
        <v>10239</v>
      </c>
      <c r="I7" s="44" t="s">
        <v>22</v>
      </c>
      <c r="J7" s="46">
        <v>1000</v>
      </c>
      <c r="K7" s="32"/>
    </row>
    <row r="8" spans="1:11" ht="16.5" thickBot="1" x14ac:dyDescent="0.3">
      <c r="A8" s="43">
        <v>7</v>
      </c>
      <c r="B8" s="44" t="s">
        <v>365</v>
      </c>
      <c r="C8" s="44" t="s">
        <v>366</v>
      </c>
      <c r="D8" s="33">
        <v>32912219</v>
      </c>
      <c r="E8" s="35">
        <v>45923</v>
      </c>
      <c r="F8" s="35">
        <v>45923</v>
      </c>
      <c r="G8" s="44" t="s">
        <v>674</v>
      </c>
      <c r="H8" s="34">
        <v>10569</v>
      </c>
      <c r="I8" s="44" t="s">
        <v>339</v>
      </c>
      <c r="J8" s="46">
        <v>25934</v>
      </c>
      <c r="K8" s="32"/>
    </row>
    <row r="9" spans="1:11" ht="16.5" thickBot="1" x14ac:dyDescent="0.3">
      <c r="A9" s="43">
        <v>8</v>
      </c>
      <c r="B9" s="44" t="s">
        <v>365</v>
      </c>
      <c r="C9" s="44" t="s">
        <v>366</v>
      </c>
      <c r="D9" s="33">
        <v>32912220</v>
      </c>
      <c r="E9" s="35">
        <v>45923</v>
      </c>
      <c r="F9" s="35">
        <v>45923</v>
      </c>
      <c r="G9" s="44" t="s">
        <v>675</v>
      </c>
      <c r="H9" s="34">
        <v>10163</v>
      </c>
      <c r="I9" s="44" t="s">
        <v>108</v>
      </c>
      <c r="J9" s="46">
        <v>28574</v>
      </c>
      <c r="K9" s="32"/>
    </row>
    <row r="10" spans="1:11" ht="16.5" thickBot="1" x14ac:dyDescent="0.3">
      <c r="A10" s="43">
        <v>9</v>
      </c>
      <c r="B10" s="44" t="s">
        <v>365</v>
      </c>
      <c r="C10" s="44" t="s">
        <v>366</v>
      </c>
      <c r="D10" s="33">
        <v>32912221</v>
      </c>
      <c r="E10" s="35">
        <v>45923</v>
      </c>
      <c r="F10" s="35">
        <v>45923</v>
      </c>
      <c r="G10" s="44" t="s">
        <v>676</v>
      </c>
      <c r="H10" s="34">
        <v>10602</v>
      </c>
      <c r="I10" s="44" t="s">
        <v>731</v>
      </c>
      <c r="J10" s="46">
        <v>52258</v>
      </c>
      <c r="K10" s="32"/>
    </row>
    <row r="11" spans="1:11" ht="16.5" thickBot="1" x14ac:dyDescent="0.3">
      <c r="A11" s="43">
        <v>10</v>
      </c>
      <c r="B11" s="44" t="s">
        <v>365</v>
      </c>
      <c r="C11" s="44" t="s">
        <v>366</v>
      </c>
      <c r="D11" s="33">
        <v>32912222</v>
      </c>
      <c r="E11" s="35">
        <v>45923</v>
      </c>
      <c r="F11" s="35">
        <v>45923</v>
      </c>
      <c r="G11" s="44" t="s">
        <v>677</v>
      </c>
      <c r="H11" s="34">
        <v>10567</v>
      </c>
      <c r="I11" s="44" t="s">
        <v>336</v>
      </c>
      <c r="J11" s="46">
        <v>25210</v>
      </c>
      <c r="K11" s="32"/>
    </row>
    <row r="12" spans="1:11" ht="16.5" thickBot="1" x14ac:dyDescent="0.3">
      <c r="A12" s="43">
        <v>11</v>
      </c>
      <c r="B12" s="44" t="s">
        <v>365</v>
      </c>
      <c r="C12" s="44" t="s">
        <v>366</v>
      </c>
      <c r="D12" s="33">
        <v>32912223</v>
      </c>
      <c r="E12" s="35">
        <v>45923</v>
      </c>
      <c r="F12" s="35">
        <v>45923</v>
      </c>
      <c r="G12" s="44" t="s">
        <v>678</v>
      </c>
      <c r="H12" s="34">
        <v>10498</v>
      </c>
      <c r="I12" s="44" t="s">
        <v>477</v>
      </c>
      <c r="J12" s="46">
        <v>23783</v>
      </c>
      <c r="K12" s="32"/>
    </row>
    <row r="13" spans="1:11" ht="16.5" thickBot="1" x14ac:dyDescent="0.3">
      <c r="A13" s="43">
        <v>12</v>
      </c>
      <c r="B13" s="44" t="s">
        <v>365</v>
      </c>
      <c r="C13" s="44" t="s">
        <v>366</v>
      </c>
      <c r="D13" s="33">
        <v>32912224</v>
      </c>
      <c r="E13" s="35">
        <v>45923</v>
      </c>
      <c r="F13" s="35">
        <v>45923</v>
      </c>
      <c r="G13" s="44" t="s">
        <v>679</v>
      </c>
      <c r="H13" s="34">
        <v>10571</v>
      </c>
      <c r="I13" s="44" t="s">
        <v>732</v>
      </c>
      <c r="J13" s="46">
        <v>50793</v>
      </c>
      <c r="K13" s="32"/>
    </row>
    <row r="14" spans="1:11" ht="16.5" thickBot="1" x14ac:dyDescent="0.3">
      <c r="A14" s="43">
        <v>13</v>
      </c>
      <c r="B14" s="44" t="s">
        <v>365</v>
      </c>
      <c r="C14" s="44" t="s">
        <v>366</v>
      </c>
      <c r="D14" s="33">
        <v>32912225</v>
      </c>
      <c r="E14" s="35">
        <v>45923</v>
      </c>
      <c r="F14" s="35">
        <v>45923</v>
      </c>
      <c r="G14" s="44" t="s">
        <v>680</v>
      </c>
      <c r="H14" s="34">
        <v>10365</v>
      </c>
      <c r="I14" s="44" t="s">
        <v>352</v>
      </c>
      <c r="J14" s="46">
        <v>26947</v>
      </c>
      <c r="K14" s="32"/>
    </row>
    <row r="15" spans="1:11" ht="16.5" thickBot="1" x14ac:dyDescent="0.3">
      <c r="A15" s="43">
        <v>14</v>
      </c>
      <c r="B15" s="44" t="s">
        <v>365</v>
      </c>
      <c r="C15" s="44" t="s">
        <v>366</v>
      </c>
      <c r="D15" s="33">
        <v>32912226</v>
      </c>
      <c r="E15" s="35">
        <v>45923</v>
      </c>
      <c r="F15" s="35">
        <v>45923</v>
      </c>
      <c r="G15" s="44" t="s">
        <v>681</v>
      </c>
      <c r="H15" s="34">
        <v>10021</v>
      </c>
      <c r="I15" s="44" t="s">
        <v>29</v>
      </c>
      <c r="J15" s="46">
        <v>127084</v>
      </c>
      <c r="K15" s="32"/>
    </row>
    <row r="16" spans="1:11" ht="16.5" thickBot="1" x14ac:dyDescent="0.3">
      <c r="A16" s="43">
        <v>15</v>
      </c>
      <c r="B16" s="44" t="s">
        <v>365</v>
      </c>
      <c r="C16" s="44" t="s">
        <v>366</v>
      </c>
      <c r="D16" s="33">
        <v>32912227</v>
      </c>
      <c r="E16" s="35">
        <v>45923</v>
      </c>
      <c r="F16" s="35">
        <v>45923</v>
      </c>
      <c r="G16" s="44" t="s">
        <v>682</v>
      </c>
      <c r="H16" s="34">
        <v>10431</v>
      </c>
      <c r="I16" s="44" t="s">
        <v>112</v>
      </c>
      <c r="J16" s="46">
        <v>27735</v>
      </c>
      <c r="K16" s="32"/>
    </row>
    <row r="17" spans="1:11" ht="16.5" thickBot="1" x14ac:dyDescent="0.3">
      <c r="A17" s="43">
        <v>16</v>
      </c>
      <c r="B17" s="44" t="s">
        <v>365</v>
      </c>
      <c r="C17" s="44" t="s">
        <v>366</v>
      </c>
      <c r="D17" s="33">
        <v>32912228</v>
      </c>
      <c r="E17" s="35">
        <v>45923</v>
      </c>
      <c r="F17" s="35">
        <v>45923</v>
      </c>
      <c r="G17" s="44" t="s">
        <v>683</v>
      </c>
      <c r="H17" s="34">
        <v>10326</v>
      </c>
      <c r="I17" s="44" t="s">
        <v>126</v>
      </c>
      <c r="J17" s="46">
        <v>87905</v>
      </c>
      <c r="K17" s="32"/>
    </row>
    <row r="18" spans="1:11" ht="16.5" thickBot="1" x14ac:dyDescent="0.3">
      <c r="A18" s="43">
        <v>17</v>
      </c>
      <c r="B18" s="44" t="s">
        <v>365</v>
      </c>
      <c r="C18" s="44" t="s">
        <v>366</v>
      </c>
      <c r="D18" s="33">
        <v>32912229</v>
      </c>
      <c r="E18" s="35">
        <v>45923</v>
      </c>
      <c r="F18" s="35">
        <v>45923</v>
      </c>
      <c r="G18" s="44" t="s">
        <v>684</v>
      </c>
      <c r="H18" s="34">
        <v>10407</v>
      </c>
      <c r="I18" s="44" t="s">
        <v>730</v>
      </c>
      <c r="J18" s="46">
        <v>95609</v>
      </c>
      <c r="K18" s="32"/>
    </row>
    <row r="19" spans="1:11" ht="16.5" thickBot="1" x14ac:dyDescent="0.3">
      <c r="A19" s="43">
        <v>18</v>
      </c>
      <c r="B19" s="44" t="s">
        <v>365</v>
      </c>
      <c r="C19" s="44" t="s">
        <v>366</v>
      </c>
      <c r="D19" s="33">
        <v>32912230</v>
      </c>
      <c r="E19" s="35">
        <v>45923</v>
      </c>
      <c r="F19" s="35">
        <v>45923</v>
      </c>
      <c r="G19" s="44" t="s">
        <v>685</v>
      </c>
      <c r="H19" s="34">
        <v>10606</v>
      </c>
      <c r="I19" s="44" t="s">
        <v>383</v>
      </c>
      <c r="J19" s="46">
        <v>59314</v>
      </c>
      <c r="K19" s="32"/>
    </row>
    <row r="20" spans="1:11" ht="16.5" thickBot="1" x14ac:dyDescent="0.3">
      <c r="A20" s="43">
        <v>19</v>
      </c>
      <c r="B20" s="44" t="s">
        <v>365</v>
      </c>
      <c r="C20" s="44" t="s">
        <v>366</v>
      </c>
      <c r="D20" s="33">
        <v>32912231</v>
      </c>
      <c r="E20" s="35">
        <v>45923</v>
      </c>
      <c r="F20" s="35">
        <v>45923</v>
      </c>
      <c r="G20" s="44" t="s">
        <v>686</v>
      </c>
      <c r="H20" s="34">
        <v>10590</v>
      </c>
      <c r="I20" s="44" t="s">
        <v>372</v>
      </c>
      <c r="J20" s="46">
        <v>27441</v>
      </c>
      <c r="K20" s="32"/>
    </row>
    <row r="21" spans="1:11" ht="16.5" thickBot="1" x14ac:dyDescent="0.3">
      <c r="A21" s="43">
        <v>20</v>
      </c>
      <c r="B21" s="44" t="s">
        <v>365</v>
      </c>
      <c r="C21" s="44" t="s">
        <v>366</v>
      </c>
      <c r="D21" s="33">
        <v>32912232</v>
      </c>
      <c r="E21" s="35">
        <v>45923</v>
      </c>
      <c r="F21" s="35">
        <v>45923</v>
      </c>
      <c r="G21" s="44" t="s">
        <v>687</v>
      </c>
      <c r="H21" s="34">
        <v>10598</v>
      </c>
      <c r="I21" s="44" t="s">
        <v>374</v>
      </c>
      <c r="J21" s="46">
        <v>26375</v>
      </c>
      <c r="K21" s="32"/>
    </row>
    <row r="22" spans="1:11" ht="16.5" thickBot="1" x14ac:dyDescent="0.3">
      <c r="A22" s="43">
        <v>21</v>
      </c>
      <c r="B22" s="44" t="s">
        <v>365</v>
      </c>
      <c r="C22" s="44" t="s">
        <v>366</v>
      </c>
      <c r="D22" s="33">
        <v>32912233</v>
      </c>
      <c r="E22" s="35">
        <v>45923</v>
      </c>
      <c r="F22" s="35">
        <v>45923</v>
      </c>
      <c r="G22" s="44" t="s">
        <v>688</v>
      </c>
      <c r="H22" s="34">
        <v>10562</v>
      </c>
      <c r="I22" s="44" t="s">
        <v>394</v>
      </c>
      <c r="J22" s="46">
        <v>54688</v>
      </c>
      <c r="K22" s="32"/>
    </row>
    <row r="23" spans="1:11" ht="16.5" thickBot="1" x14ac:dyDescent="0.3">
      <c r="A23" s="43">
        <v>22</v>
      </c>
      <c r="B23" s="44" t="s">
        <v>365</v>
      </c>
      <c r="C23" s="44" t="s">
        <v>366</v>
      </c>
      <c r="D23" s="33">
        <v>32912234</v>
      </c>
      <c r="E23" s="35">
        <v>45923</v>
      </c>
      <c r="F23" s="35">
        <v>45923</v>
      </c>
      <c r="G23" s="44" t="s">
        <v>689</v>
      </c>
      <c r="H23" s="34">
        <v>10199</v>
      </c>
      <c r="I23" s="44" t="s">
        <v>328</v>
      </c>
      <c r="J23" s="46">
        <v>26464</v>
      </c>
      <c r="K23" s="32"/>
    </row>
    <row r="24" spans="1:11" ht="16.5" thickBot="1" x14ac:dyDescent="0.3">
      <c r="A24" s="43">
        <v>23</v>
      </c>
      <c r="B24" s="44" t="s">
        <v>365</v>
      </c>
      <c r="C24" s="44" t="s">
        <v>366</v>
      </c>
      <c r="D24" s="33">
        <v>32912235</v>
      </c>
      <c r="E24" s="35">
        <v>45923</v>
      </c>
      <c r="F24" s="35">
        <v>45923</v>
      </c>
      <c r="G24" s="44" t="s">
        <v>690</v>
      </c>
      <c r="H24" s="34">
        <v>10015</v>
      </c>
      <c r="I24" s="44" t="s">
        <v>20</v>
      </c>
      <c r="J24" s="46">
        <v>100911</v>
      </c>
      <c r="K24" s="32"/>
    </row>
    <row r="25" spans="1:11" ht="16.5" thickBot="1" x14ac:dyDescent="0.3">
      <c r="A25" s="43">
        <v>24</v>
      </c>
      <c r="B25" s="44" t="s">
        <v>365</v>
      </c>
      <c r="C25" s="44" t="s">
        <v>366</v>
      </c>
      <c r="D25" s="33">
        <v>32912236</v>
      </c>
      <c r="E25" s="35">
        <v>45923</v>
      </c>
      <c r="F25" s="35">
        <v>45923</v>
      </c>
      <c r="G25" s="44" t="s">
        <v>691</v>
      </c>
      <c r="H25" s="34">
        <v>10010</v>
      </c>
      <c r="I25" s="44" t="s">
        <v>15</v>
      </c>
      <c r="J25" s="46">
        <v>21587</v>
      </c>
      <c r="K25" s="32"/>
    </row>
    <row r="26" spans="1:11" ht="16.5" thickBot="1" x14ac:dyDescent="0.3">
      <c r="A26" s="43">
        <v>25</v>
      </c>
      <c r="B26" s="44" t="s">
        <v>365</v>
      </c>
      <c r="C26" s="44" t="s">
        <v>366</v>
      </c>
      <c r="D26" s="33">
        <v>33001214</v>
      </c>
      <c r="E26" s="35">
        <v>45923</v>
      </c>
      <c r="F26" s="35">
        <v>45923</v>
      </c>
      <c r="G26" s="44" t="s">
        <v>692</v>
      </c>
      <c r="H26" s="34">
        <v>10019</v>
      </c>
      <c r="I26" s="44" t="s">
        <v>25</v>
      </c>
      <c r="J26" s="46">
        <v>79760</v>
      </c>
      <c r="K26" s="32"/>
    </row>
    <row r="27" spans="1:11" ht="16.5" thickBot="1" x14ac:dyDescent="0.3">
      <c r="A27" s="43">
        <v>26</v>
      </c>
      <c r="B27" s="44" t="s">
        <v>365</v>
      </c>
      <c r="C27" s="44" t="s">
        <v>366</v>
      </c>
      <c r="D27" s="33">
        <v>33001215</v>
      </c>
      <c r="E27" s="35">
        <v>45923</v>
      </c>
      <c r="F27" s="35">
        <v>45923</v>
      </c>
      <c r="G27" s="44" t="s">
        <v>693</v>
      </c>
      <c r="H27" s="34">
        <v>10018</v>
      </c>
      <c r="I27" s="44" t="s">
        <v>24</v>
      </c>
      <c r="J27" s="46">
        <v>41650</v>
      </c>
      <c r="K27" s="32"/>
    </row>
    <row r="28" spans="1:11" ht="16.5" thickBot="1" x14ac:dyDescent="0.3">
      <c r="A28" s="43">
        <v>27</v>
      </c>
      <c r="B28" s="44" t="s">
        <v>365</v>
      </c>
      <c r="C28" s="44" t="s">
        <v>366</v>
      </c>
      <c r="D28" s="33">
        <v>33001216</v>
      </c>
      <c r="E28" s="35">
        <v>45923</v>
      </c>
      <c r="F28" s="35">
        <v>45923</v>
      </c>
      <c r="G28" s="44" t="s">
        <v>694</v>
      </c>
      <c r="H28" s="34">
        <v>10015</v>
      </c>
      <c r="I28" s="44" t="s">
        <v>20</v>
      </c>
      <c r="J28" s="46">
        <v>37470</v>
      </c>
      <c r="K28" s="32"/>
    </row>
    <row r="29" spans="1:11" ht="16.5" thickBot="1" x14ac:dyDescent="0.3">
      <c r="A29" s="43">
        <v>28</v>
      </c>
      <c r="B29" s="44" t="s">
        <v>365</v>
      </c>
      <c r="C29" s="44" t="s">
        <v>366</v>
      </c>
      <c r="D29" s="33">
        <v>33001221</v>
      </c>
      <c r="E29" s="35">
        <v>45923</v>
      </c>
      <c r="F29" s="35">
        <v>45923</v>
      </c>
      <c r="G29" s="44" t="s">
        <v>695</v>
      </c>
      <c r="H29" s="34">
        <v>10587</v>
      </c>
      <c r="I29" s="44" t="s">
        <v>368</v>
      </c>
      <c r="J29" s="46">
        <v>38499</v>
      </c>
      <c r="K29" s="32"/>
    </row>
    <row r="30" spans="1:11" ht="16.5" thickBot="1" x14ac:dyDescent="0.3">
      <c r="A30" s="43">
        <v>29</v>
      </c>
      <c r="B30" s="44" t="s">
        <v>365</v>
      </c>
      <c r="C30" s="44" t="s">
        <v>366</v>
      </c>
      <c r="D30" s="33">
        <v>33001222</v>
      </c>
      <c r="E30" s="35">
        <v>45923</v>
      </c>
      <c r="F30" s="35">
        <v>45923</v>
      </c>
      <c r="G30" s="44" t="s">
        <v>696</v>
      </c>
      <c r="H30" s="34">
        <v>10597</v>
      </c>
      <c r="I30" s="44" t="s">
        <v>373</v>
      </c>
      <c r="J30" s="46">
        <v>14700</v>
      </c>
      <c r="K30" s="32"/>
    </row>
    <row r="31" spans="1:11" ht="16.5" thickBot="1" x14ac:dyDescent="0.3">
      <c r="A31" s="43">
        <v>30</v>
      </c>
      <c r="B31" s="44" t="s">
        <v>365</v>
      </c>
      <c r="C31" s="44" t="s">
        <v>366</v>
      </c>
      <c r="D31" s="33">
        <v>33001223</v>
      </c>
      <c r="E31" s="35">
        <v>45923</v>
      </c>
      <c r="F31" s="35">
        <v>45923</v>
      </c>
      <c r="G31" s="44" t="s">
        <v>697</v>
      </c>
      <c r="H31" s="34">
        <v>10605</v>
      </c>
      <c r="I31" s="44" t="s">
        <v>382</v>
      </c>
      <c r="J31" s="46">
        <v>26499</v>
      </c>
      <c r="K31" s="32"/>
    </row>
    <row r="32" spans="1:11" ht="16.5" thickBot="1" x14ac:dyDescent="0.3">
      <c r="A32" s="43">
        <v>31</v>
      </c>
      <c r="B32" s="44" t="s">
        <v>365</v>
      </c>
      <c r="C32" s="44" t="s">
        <v>366</v>
      </c>
      <c r="D32" s="33">
        <v>33001224</v>
      </c>
      <c r="E32" s="35">
        <v>45923</v>
      </c>
      <c r="F32" s="35">
        <v>45923</v>
      </c>
      <c r="G32" s="44" t="s">
        <v>698</v>
      </c>
      <c r="H32" s="34">
        <v>10505</v>
      </c>
      <c r="I32" s="44" t="s">
        <v>187</v>
      </c>
      <c r="J32" s="46">
        <v>34166</v>
      </c>
      <c r="K32" s="32"/>
    </row>
    <row r="33" spans="1:11" ht="16.5" thickBot="1" x14ac:dyDescent="0.3">
      <c r="A33" s="43">
        <v>32</v>
      </c>
      <c r="B33" s="44" t="s">
        <v>365</v>
      </c>
      <c r="C33" s="44" t="s">
        <v>366</v>
      </c>
      <c r="D33" s="33">
        <v>33001225</v>
      </c>
      <c r="E33" s="35">
        <v>45923</v>
      </c>
      <c r="F33" s="35">
        <v>45923</v>
      </c>
      <c r="G33" s="44" t="s">
        <v>699</v>
      </c>
      <c r="H33" s="34">
        <v>10419</v>
      </c>
      <c r="I33" s="44" t="s">
        <v>189</v>
      </c>
      <c r="J33" s="46">
        <v>80335</v>
      </c>
      <c r="K33" s="32"/>
    </row>
    <row r="34" spans="1:11" ht="16.5" thickBot="1" x14ac:dyDescent="0.3">
      <c r="A34" s="43">
        <v>33</v>
      </c>
      <c r="B34" s="44" t="s">
        <v>365</v>
      </c>
      <c r="C34" s="44" t="s">
        <v>366</v>
      </c>
      <c r="D34" s="33">
        <v>33001226</v>
      </c>
      <c r="E34" s="35">
        <v>45923</v>
      </c>
      <c r="F34" s="35">
        <v>45923</v>
      </c>
      <c r="G34" s="44" t="s">
        <v>700</v>
      </c>
      <c r="H34" s="34">
        <v>10573</v>
      </c>
      <c r="I34" s="44" t="s">
        <v>341</v>
      </c>
      <c r="J34" s="46">
        <v>22000</v>
      </c>
      <c r="K34" s="32"/>
    </row>
    <row r="35" spans="1:11" ht="16.5" thickBot="1" x14ac:dyDescent="0.3">
      <c r="A35" s="43">
        <v>34</v>
      </c>
      <c r="B35" s="44" t="s">
        <v>365</v>
      </c>
      <c r="C35" s="44" t="s">
        <v>366</v>
      </c>
      <c r="D35" s="33">
        <v>33001227</v>
      </c>
      <c r="E35" s="35">
        <v>45923</v>
      </c>
      <c r="F35" s="35">
        <v>45923</v>
      </c>
      <c r="G35" s="44" t="s">
        <v>701</v>
      </c>
      <c r="H35" s="34">
        <v>10419</v>
      </c>
      <c r="I35" s="44" t="s">
        <v>189</v>
      </c>
      <c r="J35" s="46">
        <v>21620</v>
      </c>
      <c r="K35" s="32"/>
    </row>
    <row r="36" spans="1:11" ht="16.5" thickBot="1" x14ac:dyDescent="0.3">
      <c r="A36" s="43">
        <v>35</v>
      </c>
      <c r="B36" s="44" t="s">
        <v>365</v>
      </c>
      <c r="C36" s="44" t="s">
        <v>366</v>
      </c>
      <c r="D36" s="33">
        <v>33001228</v>
      </c>
      <c r="E36" s="35">
        <v>45923</v>
      </c>
      <c r="F36" s="35">
        <v>45923</v>
      </c>
      <c r="G36" s="44" t="s">
        <v>702</v>
      </c>
      <c r="H36" s="34">
        <v>10636</v>
      </c>
      <c r="I36" s="44" t="s">
        <v>422</v>
      </c>
      <c r="J36" s="46">
        <v>32430</v>
      </c>
      <c r="K36" s="32"/>
    </row>
    <row r="37" spans="1:11" ht="16.5" thickBot="1" x14ac:dyDescent="0.3">
      <c r="A37" s="43">
        <v>36</v>
      </c>
      <c r="B37" s="44" t="s">
        <v>365</v>
      </c>
      <c r="C37" s="44" t="s">
        <v>366</v>
      </c>
      <c r="D37" s="33">
        <v>33001230</v>
      </c>
      <c r="E37" s="35">
        <v>45923</v>
      </c>
      <c r="F37" s="35">
        <v>45923</v>
      </c>
      <c r="G37" s="44" t="s">
        <v>703</v>
      </c>
      <c r="H37" s="34">
        <v>10019</v>
      </c>
      <c r="I37" s="44" t="s">
        <v>25</v>
      </c>
      <c r="J37" s="46">
        <v>3333</v>
      </c>
      <c r="K37" s="32"/>
    </row>
    <row r="38" spans="1:11" ht="16.5" thickBot="1" x14ac:dyDescent="0.3">
      <c r="A38" s="43">
        <v>37</v>
      </c>
      <c r="B38" s="44" t="s">
        <v>365</v>
      </c>
      <c r="C38" s="44" t="s">
        <v>366</v>
      </c>
      <c r="D38" s="33">
        <v>33001231</v>
      </c>
      <c r="E38" s="35">
        <v>45923</v>
      </c>
      <c r="F38" s="35">
        <v>45923</v>
      </c>
      <c r="G38" s="44" t="s">
        <v>704</v>
      </c>
      <c r="H38" s="34">
        <v>10032</v>
      </c>
      <c r="I38" s="44" t="s">
        <v>46</v>
      </c>
      <c r="J38" s="46">
        <v>4052</v>
      </c>
      <c r="K38" s="32"/>
    </row>
    <row r="39" spans="1:11" ht="16.5" thickBot="1" x14ac:dyDescent="0.3">
      <c r="A39" s="43">
        <v>38</v>
      </c>
      <c r="B39" s="44" t="s">
        <v>365</v>
      </c>
      <c r="C39" s="44" t="s">
        <v>366</v>
      </c>
      <c r="D39" s="33">
        <v>33001232</v>
      </c>
      <c r="E39" s="35">
        <v>45923</v>
      </c>
      <c r="F39" s="35">
        <v>45923</v>
      </c>
      <c r="G39" s="44" t="s">
        <v>705</v>
      </c>
      <c r="H39" s="34">
        <v>10391</v>
      </c>
      <c r="I39" s="44" t="s">
        <v>243</v>
      </c>
      <c r="J39" s="46">
        <v>4739</v>
      </c>
      <c r="K39" s="32"/>
    </row>
    <row r="40" spans="1:11" ht="16.5" thickBot="1" x14ac:dyDescent="0.3">
      <c r="A40" s="43">
        <v>39</v>
      </c>
      <c r="B40" s="44" t="s">
        <v>365</v>
      </c>
      <c r="C40" s="44" t="s">
        <v>366</v>
      </c>
      <c r="D40" s="33">
        <v>33001233</v>
      </c>
      <c r="E40" s="35">
        <v>45923</v>
      </c>
      <c r="F40" s="35">
        <v>45923</v>
      </c>
      <c r="G40" s="44" t="s">
        <v>706</v>
      </c>
      <c r="H40" s="34">
        <v>10063</v>
      </c>
      <c r="I40" s="44" t="s">
        <v>193</v>
      </c>
      <c r="J40" s="46">
        <v>3954</v>
      </c>
      <c r="K40" s="32"/>
    </row>
    <row r="41" spans="1:11" ht="16.5" thickBot="1" x14ac:dyDescent="0.3">
      <c r="A41" s="43">
        <v>40</v>
      </c>
      <c r="B41" s="44" t="s">
        <v>365</v>
      </c>
      <c r="C41" s="44" t="s">
        <v>366</v>
      </c>
      <c r="D41" s="33">
        <v>33001234</v>
      </c>
      <c r="E41" s="35">
        <v>45923</v>
      </c>
      <c r="F41" s="35">
        <v>45923</v>
      </c>
      <c r="G41" s="44" t="s">
        <v>707</v>
      </c>
      <c r="H41" s="34">
        <v>10290</v>
      </c>
      <c r="I41" s="44" t="s">
        <v>151</v>
      </c>
      <c r="J41" s="46">
        <v>7288</v>
      </c>
      <c r="K41" s="32"/>
    </row>
    <row r="42" spans="1:11" ht="16.5" thickBot="1" x14ac:dyDescent="0.3">
      <c r="A42" s="43">
        <v>41</v>
      </c>
      <c r="B42" s="44" t="s">
        <v>365</v>
      </c>
      <c r="C42" s="44" t="s">
        <v>366</v>
      </c>
      <c r="D42" s="33">
        <v>33001235</v>
      </c>
      <c r="E42" s="35">
        <v>45923</v>
      </c>
      <c r="F42" s="35">
        <v>45923</v>
      </c>
      <c r="G42" s="44" t="s">
        <v>708</v>
      </c>
      <c r="H42" s="34">
        <v>10030</v>
      </c>
      <c r="I42" s="44" t="s">
        <v>43</v>
      </c>
      <c r="J42" s="46">
        <v>6634</v>
      </c>
      <c r="K42" s="32"/>
    </row>
    <row r="43" spans="1:11" ht="16.5" thickBot="1" x14ac:dyDescent="0.3">
      <c r="A43" s="43">
        <v>42</v>
      </c>
      <c r="B43" s="44" t="s">
        <v>365</v>
      </c>
      <c r="C43" s="44" t="s">
        <v>366</v>
      </c>
      <c r="D43" s="33">
        <v>33001236</v>
      </c>
      <c r="E43" s="35">
        <v>45923</v>
      </c>
      <c r="F43" s="35">
        <v>45923</v>
      </c>
      <c r="G43" s="44" t="s">
        <v>709</v>
      </c>
      <c r="H43" s="34">
        <v>10019</v>
      </c>
      <c r="I43" s="44" t="s">
        <v>25</v>
      </c>
      <c r="J43" s="46">
        <v>3283</v>
      </c>
      <c r="K43" s="32"/>
    </row>
    <row r="44" spans="1:11" ht="16.5" thickBot="1" x14ac:dyDescent="0.3">
      <c r="A44" s="43">
        <v>43</v>
      </c>
      <c r="B44" s="44" t="s">
        <v>365</v>
      </c>
      <c r="C44" s="44" t="s">
        <v>366</v>
      </c>
      <c r="D44" s="33">
        <v>33001237</v>
      </c>
      <c r="E44" s="35">
        <v>45923</v>
      </c>
      <c r="F44" s="35">
        <v>45923</v>
      </c>
      <c r="G44" s="44" t="s">
        <v>710</v>
      </c>
      <c r="H44" s="34">
        <v>10419</v>
      </c>
      <c r="I44" s="44" t="s">
        <v>189</v>
      </c>
      <c r="J44" s="46">
        <v>3380</v>
      </c>
      <c r="K44" s="32"/>
    </row>
    <row r="45" spans="1:11" ht="16.5" thickBot="1" x14ac:dyDescent="0.3">
      <c r="A45" s="43">
        <v>44</v>
      </c>
      <c r="B45" s="44" t="s">
        <v>365</v>
      </c>
      <c r="C45" s="44" t="s">
        <v>366</v>
      </c>
      <c r="D45" s="33">
        <v>33001238</v>
      </c>
      <c r="E45" s="35">
        <v>45923</v>
      </c>
      <c r="F45" s="35">
        <v>45923</v>
      </c>
      <c r="G45" s="44" t="s">
        <v>711</v>
      </c>
      <c r="H45" s="34">
        <v>10063</v>
      </c>
      <c r="I45" s="44" t="s">
        <v>193</v>
      </c>
      <c r="J45" s="46">
        <v>3640</v>
      </c>
      <c r="K45" s="32"/>
    </row>
    <row r="46" spans="1:11" ht="16.5" thickBot="1" x14ac:dyDescent="0.3">
      <c r="A46" s="43">
        <v>45</v>
      </c>
      <c r="B46" s="44" t="s">
        <v>365</v>
      </c>
      <c r="C46" s="44" t="s">
        <v>366</v>
      </c>
      <c r="D46" s="33">
        <v>33001239</v>
      </c>
      <c r="E46" s="35">
        <v>45923</v>
      </c>
      <c r="F46" s="35">
        <v>45923</v>
      </c>
      <c r="G46" s="44" t="s">
        <v>712</v>
      </c>
      <c r="H46" s="34">
        <v>10391</v>
      </c>
      <c r="I46" s="44" t="s">
        <v>243</v>
      </c>
      <c r="J46" s="46">
        <v>3835</v>
      </c>
      <c r="K46" s="32"/>
    </row>
    <row r="47" spans="1:11" ht="16.5" thickBot="1" x14ac:dyDescent="0.3">
      <c r="A47" s="43">
        <v>46</v>
      </c>
      <c r="B47" s="44" t="s">
        <v>365</v>
      </c>
      <c r="C47" s="44" t="s">
        <v>366</v>
      </c>
      <c r="D47" s="33">
        <v>33001240</v>
      </c>
      <c r="E47" s="35">
        <v>45923</v>
      </c>
      <c r="F47" s="35">
        <v>45923</v>
      </c>
      <c r="G47" s="44" t="s">
        <v>713</v>
      </c>
      <c r="H47" s="34">
        <v>10032</v>
      </c>
      <c r="I47" s="44" t="s">
        <v>46</v>
      </c>
      <c r="J47" s="46">
        <v>4323</v>
      </c>
      <c r="K47" s="32"/>
    </row>
    <row r="48" spans="1:11" ht="16.5" thickBot="1" x14ac:dyDescent="0.3">
      <c r="A48" s="43">
        <v>47</v>
      </c>
      <c r="B48" s="44" t="s">
        <v>365</v>
      </c>
      <c r="C48" s="44" t="s">
        <v>366</v>
      </c>
      <c r="D48" s="33">
        <v>33001241</v>
      </c>
      <c r="E48" s="35">
        <v>45923</v>
      </c>
      <c r="F48" s="35">
        <v>45923</v>
      </c>
      <c r="G48" s="44" t="s">
        <v>714</v>
      </c>
      <c r="H48" s="34">
        <v>10290</v>
      </c>
      <c r="I48" s="44" t="s">
        <v>151</v>
      </c>
      <c r="J48" s="46">
        <v>4355</v>
      </c>
      <c r="K48" s="32"/>
    </row>
    <row r="49" spans="1:11" ht="16.5" thickBot="1" x14ac:dyDescent="0.3">
      <c r="A49" s="43">
        <v>48</v>
      </c>
      <c r="B49" s="44" t="s">
        <v>365</v>
      </c>
      <c r="C49" s="44" t="s">
        <v>366</v>
      </c>
      <c r="D49" s="33">
        <v>33001242</v>
      </c>
      <c r="E49" s="35">
        <v>45923</v>
      </c>
      <c r="F49" s="35">
        <v>45923</v>
      </c>
      <c r="G49" s="44" t="s">
        <v>715</v>
      </c>
      <c r="H49" s="34">
        <v>10030</v>
      </c>
      <c r="I49" s="44" t="s">
        <v>43</v>
      </c>
      <c r="J49" s="46">
        <v>7183</v>
      </c>
      <c r="K49" s="32"/>
    </row>
    <row r="50" spans="1:11" ht="16.5" thickBot="1" x14ac:dyDescent="0.3">
      <c r="A50" s="43">
        <v>49</v>
      </c>
      <c r="B50" s="44" t="s">
        <v>365</v>
      </c>
      <c r="C50" s="44" t="s">
        <v>366</v>
      </c>
      <c r="D50" s="33">
        <v>33001243</v>
      </c>
      <c r="E50" s="35">
        <v>45923</v>
      </c>
      <c r="F50" s="35">
        <v>45923</v>
      </c>
      <c r="G50" s="44" t="s">
        <v>716</v>
      </c>
      <c r="H50" s="34">
        <v>10028</v>
      </c>
      <c r="I50" s="44" t="s">
        <v>42</v>
      </c>
      <c r="J50" s="46">
        <v>93128</v>
      </c>
      <c r="K50" s="32"/>
    </row>
    <row r="51" spans="1:11" ht="16.5" thickBot="1" x14ac:dyDescent="0.3">
      <c r="A51" s="43">
        <v>50</v>
      </c>
      <c r="B51" s="44" t="s">
        <v>365</v>
      </c>
      <c r="C51" s="44" t="s">
        <v>366</v>
      </c>
      <c r="D51" s="33">
        <v>33001244</v>
      </c>
      <c r="E51" s="35">
        <v>45923</v>
      </c>
      <c r="F51" s="35">
        <v>45923</v>
      </c>
      <c r="G51" s="44" t="s">
        <v>717</v>
      </c>
      <c r="H51" s="34">
        <v>10131</v>
      </c>
      <c r="I51" s="44" t="s">
        <v>90</v>
      </c>
      <c r="J51" s="46">
        <v>99091</v>
      </c>
      <c r="K51" s="32"/>
    </row>
    <row r="52" spans="1:11" ht="16.5" thickBot="1" x14ac:dyDescent="0.3">
      <c r="A52" s="43">
        <v>51</v>
      </c>
      <c r="B52" s="44" t="s">
        <v>365</v>
      </c>
      <c r="C52" s="44" t="s">
        <v>366</v>
      </c>
      <c r="D52" s="33">
        <v>33001245</v>
      </c>
      <c r="E52" s="35">
        <v>45923</v>
      </c>
      <c r="F52" s="35">
        <v>45923</v>
      </c>
      <c r="G52" s="44" t="s">
        <v>718</v>
      </c>
      <c r="H52" s="34">
        <v>10101</v>
      </c>
      <c r="I52" s="44" t="s">
        <v>239</v>
      </c>
      <c r="J52" s="46">
        <v>78933</v>
      </c>
      <c r="K52" s="32"/>
    </row>
    <row r="53" spans="1:11" ht="16.5" thickBot="1" x14ac:dyDescent="0.3">
      <c r="A53" s="43">
        <v>52</v>
      </c>
      <c r="B53" s="44" t="s">
        <v>365</v>
      </c>
      <c r="C53" s="44" t="s">
        <v>366</v>
      </c>
      <c r="D53" s="33">
        <v>33001246</v>
      </c>
      <c r="E53" s="35">
        <v>45923</v>
      </c>
      <c r="F53" s="35">
        <v>45923</v>
      </c>
      <c r="G53" s="44" t="s">
        <v>719</v>
      </c>
      <c r="H53" s="34">
        <v>10030</v>
      </c>
      <c r="I53" s="44" t="s">
        <v>43</v>
      </c>
      <c r="J53" s="46">
        <v>224113</v>
      </c>
      <c r="K53" s="32"/>
    </row>
    <row r="54" spans="1:11" ht="16.5" thickBot="1" x14ac:dyDescent="0.3">
      <c r="A54" s="43">
        <v>53</v>
      </c>
      <c r="B54" s="44" t="s">
        <v>365</v>
      </c>
      <c r="C54" s="44" t="s">
        <v>366</v>
      </c>
      <c r="D54" s="33">
        <v>33001247</v>
      </c>
      <c r="E54" s="35">
        <v>45923</v>
      </c>
      <c r="F54" s="35">
        <v>45923</v>
      </c>
      <c r="G54" s="44" t="s">
        <v>720</v>
      </c>
      <c r="H54" s="34">
        <v>10031</v>
      </c>
      <c r="I54" s="44" t="s">
        <v>45</v>
      </c>
      <c r="J54" s="46">
        <v>30525</v>
      </c>
      <c r="K54" s="32"/>
    </row>
    <row r="55" spans="1:11" ht="16.5" thickBot="1" x14ac:dyDescent="0.3">
      <c r="A55" s="43">
        <v>54</v>
      </c>
      <c r="B55" s="44" t="s">
        <v>365</v>
      </c>
      <c r="C55" s="44" t="s">
        <v>366</v>
      </c>
      <c r="D55" s="33">
        <v>33001248</v>
      </c>
      <c r="E55" s="35">
        <v>45923</v>
      </c>
      <c r="F55" s="35">
        <v>45923</v>
      </c>
      <c r="G55" s="44" t="s">
        <v>721</v>
      </c>
      <c r="H55" s="34">
        <v>10063</v>
      </c>
      <c r="I55" s="44" t="s">
        <v>193</v>
      </c>
      <c r="J55" s="46">
        <v>122600</v>
      </c>
      <c r="K55" s="32"/>
    </row>
    <row r="56" spans="1:11" ht="16.5" thickBot="1" x14ac:dyDescent="0.3">
      <c r="A56" s="43">
        <v>55</v>
      </c>
      <c r="B56" s="44" t="s">
        <v>365</v>
      </c>
      <c r="C56" s="44" t="s">
        <v>366</v>
      </c>
      <c r="D56" s="33">
        <v>33001249</v>
      </c>
      <c r="E56" s="35">
        <v>45923</v>
      </c>
      <c r="F56" s="35">
        <v>45923</v>
      </c>
      <c r="G56" s="44" t="s">
        <v>722</v>
      </c>
      <c r="H56" s="34">
        <v>10601</v>
      </c>
      <c r="I56" s="44" t="s">
        <v>223</v>
      </c>
      <c r="J56" s="46">
        <v>19890</v>
      </c>
      <c r="K56" s="32"/>
    </row>
    <row r="57" spans="1:11" ht="16.5" thickBot="1" x14ac:dyDescent="0.3">
      <c r="A57" s="43">
        <v>56</v>
      </c>
      <c r="B57" s="44" t="s">
        <v>365</v>
      </c>
      <c r="C57" s="44" t="s">
        <v>366</v>
      </c>
      <c r="D57" s="33">
        <v>33001250</v>
      </c>
      <c r="E57" s="35">
        <v>45923</v>
      </c>
      <c r="F57" s="35">
        <v>45923</v>
      </c>
      <c r="G57" s="44" t="s">
        <v>723</v>
      </c>
      <c r="H57" s="34">
        <v>10290</v>
      </c>
      <c r="I57" s="44" t="s">
        <v>151</v>
      </c>
      <c r="J57" s="46">
        <v>128200</v>
      </c>
      <c r="K57" s="32"/>
    </row>
    <row r="58" spans="1:11" ht="16.5" thickBot="1" x14ac:dyDescent="0.3">
      <c r="A58" s="43">
        <v>57</v>
      </c>
      <c r="B58" s="44" t="s">
        <v>365</v>
      </c>
      <c r="C58" s="44" t="s">
        <v>366</v>
      </c>
      <c r="D58" s="33">
        <v>33001251</v>
      </c>
      <c r="E58" s="35">
        <v>45923</v>
      </c>
      <c r="F58" s="35">
        <v>45923</v>
      </c>
      <c r="G58" s="44" t="s">
        <v>724</v>
      </c>
      <c r="H58" s="34">
        <v>10391</v>
      </c>
      <c r="I58" s="44" t="s">
        <v>243</v>
      </c>
      <c r="J58" s="46">
        <v>288325</v>
      </c>
      <c r="K58" s="32"/>
    </row>
    <row r="59" spans="1:11" ht="16.5" thickBot="1" x14ac:dyDescent="0.3">
      <c r="A59" s="43">
        <v>58</v>
      </c>
      <c r="B59" s="44" t="s">
        <v>365</v>
      </c>
      <c r="C59" s="44" t="s">
        <v>366</v>
      </c>
      <c r="D59" s="33">
        <v>33001252</v>
      </c>
      <c r="E59" s="35">
        <v>45923</v>
      </c>
      <c r="F59" s="35">
        <v>45923</v>
      </c>
      <c r="G59" s="44" t="s">
        <v>725</v>
      </c>
      <c r="H59" s="34">
        <v>10034</v>
      </c>
      <c r="I59" s="44" t="s">
        <v>733</v>
      </c>
      <c r="J59" s="46">
        <v>6160</v>
      </c>
      <c r="K59" s="32"/>
    </row>
    <row r="60" spans="1:11" ht="16.5" thickBot="1" x14ac:dyDescent="0.3">
      <c r="A60" s="43">
        <v>59</v>
      </c>
      <c r="B60" s="44" t="s">
        <v>365</v>
      </c>
      <c r="C60" s="44" t="s">
        <v>366</v>
      </c>
      <c r="D60" s="33">
        <v>33001253</v>
      </c>
      <c r="E60" s="35">
        <v>45923</v>
      </c>
      <c r="F60" s="35">
        <v>45923</v>
      </c>
      <c r="G60" s="44" t="s">
        <v>726</v>
      </c>
      <c r="H60" s="34">
        <v>10558</v>
      </c>
      <c r="I60" s="44" t="s">
        <v>734</v>
      </c>
      <c r="J60" s="46">
        <v>29740</v>
      </c>
      <c r="K60" s="32"/>
    </row>
    <row r="61" spans="1:11" ht="16.5" thickBot="1" x14ac:dyDescent="0.3">
      <c r="A61" s="43">
        <v>60</v>
      </c>
      <c r="B61" s="44" t="s">
        <v>365</v>
      </c>
      <c r="C61" s="44" t="s">
        <v>366</v>
      </c>
      <c r="D61" s="33">
        <v>33001254</v>
      </c>
      <c r="E61" s="35">
        <v>45923</v>
      </c>
      <c r="F61" s="35">
        <v>45923</v>
      </c>
      <c r="G61" s="44" t="s">
        <v>727</v>
      </c>
      <c r="H61" s="34">
        <v>10527</v>
      </c>
      <c r="I61" s="44" t="s">
        <v>224</v>
      </c>
      <c r="J61" s="46">
        <v>9825</v>
      </c>
      <c r="K61" s="32"/>
    </row>
    <row r="62" spans="1:11" ht="16.5" thickBot="1" x14ac:dyDescent="0.3">
      <c r="A62" s="43">
        <v>61</v>
      </c>
      <c r="B62" s="44" t="s">
        <v>365</v>
      </c>
      <c r="C62" s="44" t="s">
        <v>366</v>
      </c>
      <c r="D62" s="33">
        <v>33001255</v>
      </c>
      <c r="E62" s="35">
        <v>45923</v>
      </c>
      <c r="F62" s="35">
        <v>45923</v>
      </c>
      <c r="G62" s="44" t="s">
        <v>728</v>
      </c>
      <c r="H62" s="34">
        <v>10592</v>
      </c>
      <c r="I62" s="44" t="s">
        <v>377</v>
      </c>
      <c r="J62" s="46">
        <v>12150</v>
      </c>
      <c r="K62" s="32"/>
    </row>
    <row r="63" spans="1:11" ht="16.5" thickBot="1" x14ac:dyDescent="0.3">
      <c r="A63" s="43">
        <v>62</v>
      </c>
      <c r="B63" s="44" t="s">
        <v>365</v>
      </c>
      <c r="C63" s="44" t="s">
        <v>366</v>
      </c>
      <c r="D63" s="33">
        <v>33001256</v>
      </c>
      <c r="E63" s="35">
        <v>45923</v>
      </c>
      <c r="F63" s="35">
        <v>45923</v>
      </c>
      <c r="G63" s="44" t="s">
        <v>729</v>
      </c>
      <c r="H63" s="34">
        <v>10432</v>
      </c>
      <c r="I63" s="44" t="s">
        <v>656</v>
      </c>
      <c r="J63" s="46">
        <v>16000</v>
      </c>
      <c r="K63" s="32"/>
    </row>
    <row r="64" spans="1:11" ht="16.5" thickBot="1" x14ac:dyDescent="0.3">
      <c r="A64" s="43">
        <v>63</v>
      </c>
      <c r="B64" s="44" t="s">
        <v>365</v>
      </c>
      <c r="C64" s="44" t="s">
        <v>366</v>
      </c>
      <c r="D64" s="33">
        <v>32912295</v>
      </c>
      <c r="E64" s="35">
        <v>45923</v>
      </c>
      <c r="F64" s="35">
        <v>45923</v>
      </c>
      <c r="G64" s="44" t="s">
        <v>737</v>
      </c>
      <c r="H64" s="34">
        <v>10527</v>
      </c>
      <c r="I64" s="44" t="s">
        <v>224</v>
      </c>
      <c r="J64" s="46">
        <v>250</v>
      </c>
      <c r="K64" s="32" t="s">
        <v>756</v>
      </c>
    </row>
    <row r="65" spans="1:11" ht="16.5" thickBot="1" x14ac:dyDescent="0.3">
      <c r="A65" s="43">
        <v>64</v>
      </c>
      <c r="B65" s="44" t="s">
        <v>365</v>
      </c>
      <c r="C65" s="44" t="s">
        <v>366</v>
      </c>
      <c r="D65" s="33">
        <v>32912312</v>
      </c>
      <c r="E65" s="35">
        <v>45923</v>
      </c>
      <c r="F65" s="35">
        <v>45923</v>
      </c>
      <c r="G65" s="44" t="s">
        <v>738</v>
      </c>
      <c r="H65" s="34">
        <v>10571</v>
      </c>
      <c r="I65" s="44" t="s">
        <v>732</v>
      </c>
      <c r="J65" s="46">
        <v>2750</v>
      </c>
      <c r="K65" s="32" t="s">
        <v>757</v>
      </c>
    </row>
    <row r="66" spans="1:11" ht="16.5" thickBot="1" x14ac:dyDescent="0.3">
      <c r="A66" s="43">
        <v>65</v>
      </c>
      <c r="B66" s="44" t="s">
        <v>365</v>
      </c>
      <c r="C66" s="44" t="s">
        <v>366</v>
      </c>
      <c r="D66" s="33">
        <v>33001258</v>
      </c>
      <c r="E66" s="35">
        <v>45923</v>
      </c>
      <c r="F66" s="35">
        <v>45923</v>
      </c>
      <c r="G66" s="44" t="s">
        <v>739</v>
      </c>
      <c r="H66" s="34">
        <v>10034</v>
      </c>
      <c r="I66" s="44" t="s">
        <v>733</v>
      </c>
      <c r="J66" s="46">
        <v>250</v>
      </c>
      <c r="K66" s="32" t="s">
        <v>758</v>
      </c>
    </row>
    <row r="67" spans="1:11" ht="16.5" thickBot="1" x14ac:dyDescent="0.3">
      <c r="A67" s="43">
        <v>66</v>
      </c>
      <c r="B67" s="44" t="s">
        <v>365</v>
      </c>
      <c r="C67" s="44" t="s">
        <v>366</v>
      </c>
      <c r="D67" s="33">
        <v>32912178</v>
      </c>
      <c r="E67" s="35">
        <v>45923</v>
      </c>
      <c r="F67" s="35">
        <v>45923</v>
      </c>
      <c r="G67" s="44" t="s">
        <v>740</v>
      </c>
      <c r="H67" s="34">
        <v>10043</v>
      </c>
      <c r="I67" s="44" t="s">
        <v>735</v>
      </c>
      <c r="J67" s="46">
        <v>2750</v>
      </c>
      <c r="K67" s="32" t="s">
        <v>759</v>
      </c>
    </row>
    <row r="68" spans="1:11" ht="16.5" thickBot="1" x14ac:dyDescent="0.3">
      <c r="A68" s="43">
        <v>67</v>
      </c>
      <c r="B68" s="44" t="s">
        <v>365</v>
      </c>
      <c r="C68" s="44" t="s">
        <v>366</v>
      </c>
      <c r="D68" s="33">
        <v>32912340</v>
      </c>
      <c r="E68" s="35">
        <v>45923</v>
      </c>
      <c r="F68" s="35">
        <v>45923</v>
      </c>
      <c r="G68" s="44" t="s">
        <v>741</v>
      </c>
      <c r="H68" s="34">
        <v>10034</v>
      </c>
      <c r="I68" s="44" t="s">
        <v>733</v>
      </c>
      <c r="J68" s="46">
        <v>2000</v>
      </c>
      <c r="K68" s="32" t="s">
        <v>760</v>
      </c>
    </row>
    <row r="69" spans="1:11" ht="16.5" thickBot="1" x14ac:dyDescent="0.3">
      <c r="A69" s="43">
        <v>68</v>
      </c>
      <c r="B69" s="44" t="s">
        <v>365</v>
      </c>
      <c r="C69" s="44" t="s">
        <v>366</v>
      </c>
      <c r="D69" s="33">
        <v>32912292</v>
      </c>
      <c r="E69" s="35">
        <v>45923</v>
      </c>
      <c r="F69" s="35">
        <v>45923</v>
      </c>
      <c r="G69" s="44" t="s">
        <v>742</v>
      </c>
      <c r="H69" s="34">
        <v>10034</v>
      </c>
      <c r="I69" s="44" t="s">
        <v>733</v>
      </c>
      <c r="J69" s="46">
        <v>1750</v>
      </c>
      <c r="K69" s="32" t="s">
        <v>761</v>
      </c>
    </row>
    <row r="70" spans="1:11" ht="16.5" thickBot="1" x14ac:dyDescent="0.3">
      <c r="A70" s="43">
        <v>69</v>
      </c>
      <c r="B70" s="44" t="s">
        <v>365</v>
      </c>
      <c r="C70" s="44" t="s">
        <v>366</v>
      </c>
      <c r="D70" s="33">
        <v>33001201</v>
      </c>
      <c r="E70" s="35">
        <v>45923</v>
      </c>
      <c r="F70" s="35">
        <v>45923</v>
      </c>
      <c r="G70" s="44" t="s">
        <v>743</v>
      </c>
      <c r="H70" s="34">
        <v>20010</v>
      </c>
      <c r="I70" s="44" t="s">
        <v>736</v>
      </c>
      <c r="J70" s="46">
        <v>2750</v>
      </c>
      <c r="K70" s="32" t="s">
        <v>762</v>
      </c>
    </row>
    <row r="71" spans="1:11" ht="16.5" thickBot="1" x14ac:dyDescent="0.3">
      <c r="A71" s="43">
        <v>70</v>
      </c>
      <c r="B71" s="44" t="s">
        <v>365</v>
      </c>
      <c r="C71" s="44" t="s">
        <v>366</v>
      </c>
      <c r="D71" s="33">
        <v>32912194</v>
      </c>
      <c r="E71" s="35">
        <v>45923</v>
      </c>
      <c r="F71" s="35">
        <v>45923</v>
      </c>
      <c r="G71" s="44" t="s">
        <v>744</v>
      </c>
      <c r="H71" s="34">
        <v>10391</v>
      </c>
      <c r="I71" s="44" t="s">
        <v>243</v>
      </c>
      <c r="J71" s="46">
        <v>750</v>
      </c>
      <c r="K71" s="32" t="s">
        <v>763</v>
      </c>
    </row>
    <row r="72" spans="1:11" ht="16.5" thickBot="1" x14ac:dyDescent="0.3">
      <c r="A72" s="43">
        <v>71</v>
      </c>
      <c r="B72" s="44" t="s">
        <v>365</v>
      </c>
      <c r="C72" s="44" t="s">
        <v>366</v>
      </c>
      <c r="D72" s="33">
        <v>32912177</v>
      </c>
      <c r="E72" s="35">
        <v>45923</v>
      </c>
      <c r="F72" s="35">
        <v>45923</v>
      </c>
      <c r="G72" s="44" t="s">
        <v>745</v>
      </c>
      <c r="H72" s="34">
        <v>10407</v>
      </c>
      <c r="I72" s="44" t="s">
        <v>730</v>
      </c>
      <c r="J72" s="46">
        <v>250</v>
      </c>
      <c r="K72" s="32" t="s">
        <v>764</v>
      </c>
    </row>
    <row r="73" spans="1:11" ht="16.5" thickBot="1" x14ac:dyDescent="0.3">
      <c r="A73" s="43">
        <v>72</v>
      </c>
      <c r="B73" s="44" t="s">
        <v>365</v>
      </c>
      <c r="C73" s="44" t="s">
        <v>366</v>
      </c>
      <c r="D73" s="33">
        <v>32912180</v>
      </c>
      <c r="E73" s="35">
        <v>45923</v>
      </c>
      <c r="F73" s="35">
        <v>45923</v>
      </c>
      <c r="G73" s="44" t="s">
        <v>746</v>
      </c>
      <c r="H73" s="34">
        <v>10571</v>
      </c>
      <c r="I73" s="44" t="s">
        <v>732</v>
      </c>
      <c r="J73" s="46">
        <v>2750</v>
      </c>
      <c r="K73" s="32" t="s">
        <v>765</v>
      </c>
    </row>
    <row r="74" spans="1:11" ht="16.5" thickBot="1" x14ac:dyDescent="0.3">
      <c r="A74" s="43">
        <v>73</v>
      </c>
      <c r="B74" s="44" t="s">
        <v>365</v>
      </c>
      <c r="C74" s="44" t="s">
        <v>366</v>
      </c>
      <c r="D74" s="33">
        <v>32912179</v>
      </c>
      <c r="E74" s="35">
        <v>45923</v>
      </c>
      <c r="F74" s="35">
        <v>45923</v>
      </c>
      <c r="G74" s="44" t="s">
        <v>747</v>
      </c>
      <c r="H74" s="34">
        <v>10431</v>
      </c>
      <c r="I74" s="44" t="s">
        <v>112</v>
      </c>
      <c r="J74" s="46">
        <v>1250</v>
      </c>
      <c r="K74" s="32" t="s">
        <v>766</v>
      </c>
    </row>
    <row r="75" spans="1:11" ht="16.5" thickBot="1" x14ac:dyDescent="0.3">
      <c r="A75" s="43">
        <v>74</v>
      </c>
      <c r="B75" s="44" t="s">
        <v>365</v>
      </c>
      <c r="C75" s="44" t="s">
        <v>366</v>
      </c>
      <c r="D75" s="33">
        <v>32912341</v>
      </c>
      <c r="E75" s="35">
        <v>45923</v>
      </c>
      <c r="F75" s="35">
        <v>45923</v>
      </c>
      <c r="G75" s="44" t="s">
        <v>748</v>
      </c>
      <c r="H75" s="34">
        <v>10021</v>
      </c>
      <c r="I75" s="44" t="s">
        <v>29</v>
      </c>
      <c r="J75" s="46">
        <v>1250</v>
      </c>
      <c r="K75" s="32" t="s">
        <v>767</v>
      </c>
    </row>
    <row r="76" spans="1:11" ht="16.5" thickBot="1" x14ac:dyDescent="0.3">
      <c r="A76" s="43">
        <v>75</v>
      </c>
      <c r="B76" s="44" t="s">
        <v>365</v>
      </c>
      <c r="C76" s="44" t="s">
        <v>366</v>
      </c>
      <c r="D76" s="33">
        <v>32912342</v>
      </c>
      <c r="E76" s="35">
        <v>45923</v>
      </c>
      <c r="F76" s="35">
        <v>45923</v>
      </c>
      <c r="G76" s="44" t="s">
        <v>749</v>
      </c>
      <c r="H76" s="34">
        <v>10391</v>
      </c>
      <c r="I76" s="44" t="s">
        <v>243</v>
      </c>
      <c r="J76" s="46">
        <v>250</v>
      </c>
      <c r="K76" s="32" t="s">
        <v>768</v>
      </c>
    </row>
    <row r="77" spans="1:11" ht="16.5" thickBot="1" x14ac:dyDescent="0.3">
      <c r="A77" s="43">
        <v>76</v>
      </c>
      <c r="B77" s="44" t="s">
        <v>365</v>
      </c>
      <c r="C77" s="44" t="s">
        <v>366</v>
      </c>
      <c r="D77" s="33">
        <v>32912343</v>
      </c>
      <c r="E77" s="35">
        <v>45923</v>
      </c>
      <c r="F77" s="35">
        <v>45923</v>
      </c>
      <c r="G77" s="44" t="s">
        <v>750</v>
      </c>
      <c r="H77" s="34">
        <v>10407</v>
      </c>
      <c r="I77" s="44" t="s">
        <v>730</v>
      </c>
      <c r="J77" s="46">
        <v>2750</v>
      </c>
      <c r="K77" s="32" t="s">
        <v>769</v>
      </c>
    </row>
    <row r="78" spans="1:11" ht="16.5" thickBot="1" x14ac:dyDescent="0.3">
      <c r="A78" s="43">
        <v>77</v>
      </c>
      <c r="B78" s="44" t="s">
        <v>365</v>
      </c>
      <c r="C78" s="44" t="s">
        <v>366</v>
      </c>
      <c r="D78" s="33">
        <v>32912320</v>
      </c>
      <c r="E78" s="35">
        <v>45923</v>
      </c>
      <c r="F78" s="35">
        <v>45923</v>
      </c>
      <c r="G78" s="44" t="s">
        <v>751</v>
      </c>
      <c r="H78" s="34">
        <v>10021</v>
      </c>
      <c r="I78" s="44" t="s">
        <v>29</v>
      </c>
      <c r="J78" s="46">
        <v>1250</v>
      </c>
      <c r="K78" s="32" t="s">
        <v>770</v>
      </c>
    </row>
    <row r="79" spans="1:11" ht="16.5" thickBot="1" x14ac:dyDescent="0.3">
      <c r="A79" s="43">
        <v>78</v>
      </c>
      <c r="B79" s="44" t="s">
        <v>365</v>
      </c>
      <c r="C79" s="44" t="s">
        <v>366</v>
      </c>
      <c r="D79" s="33">
        <v>32912313</v>
      </c>
      <c r="E79" s="35">
        <v>45923</v>
      </c>
      <c r="F79" s="35">
        <v>45923</v>
      </c>
      <c r="G79" s="44" t="s">
        <v>752</v>
      </c>
      <c r="H79" s="34">
        <v>10431</v>
      </c>
      <c r="I79" s="44" t="s">
        <v>112</v>
      </c>
      <c r="J79" s="46">
        <v>750</v>
      </c>
      <c r="K79" s="32" t="s">
        <v>771</v>
      </c>
    </row>
    <row r="80" spans="1:11" ht="16.5" thickBot="1" x14ac:dyDescent="0.3">
      <c r="A80" s="43">
        <v>79</v>
      </c>
      <c r="B80" s="44" t="s">
        <v>365</v>
      </c>
      <c r="C80" s="44" t="s">
        <v>366</v>
      </c>
      <c r="D80" s="33">
        <v>32912308</v>
      </c>
      <c r="E80" s="35">
        <v>45923</v>
      </c>
      <c r="F80" s="35">
        <v>45923</v>
      </c>
      <c r="G80" s="44" t="s">
        <v>753</v>
      </c>
      <c r="H80" s="34">
        <v>10034</v>
      </c>
      <c r="I80" s="44" t="s">
        <v>733</v>
      </c>
      <c r="J80" s="46">
        <v>750</v>
      </c>
      <c r="K80" s="32" t="s">
        <v>772</v>
      </c>
    </row>
    <row r="81" spans="1:11" ht="16.5" thickBot="1" x14ac:dyDescent="0.3">
      <c r="A81" s="43">
        <v>80</v>
      </c>
      <c r="B81" s="44" t="s">
        <v>365</v>
      </c>
      <c r="C81" s="44" t="s">
        <v>366</v>
      </c>
      <c r="D81" s="33">
        <v>32912335</v>
      </c>
      <c r="E81" s="35">
        <v>45923</v>
      </c>
      <c r="F81" s="35">
        <v>45923</v>
      </c>
      <c r="G81" s="44" t="s">
        <v>754</v>
      </c>
      <c r="H81" s="34">
        <v>10602</v>
      </c>
      <c r="I81" s="44" t="s">
        <v>731</v>
      </c>
      <c r="J81" s="46">
        <v>5000</v>
      </c>
      <c r="K81" s="32" t="s">
        <v>773</v>
      </c>
    </row>
    <row r="82" spans="1:11" ht="16.5" thickBot="1" x14ac:dyDescent="0.3">
      <c r="A82" s="43">
        <v>81</v>
      </c>
      <c r="B82" s="44" t="s">
        <v>365</v>
      </c>
      <c r="C82" s="44" t="s">
        <v>366</v>
      </c>
      <c r="D82" s="33">
        <v>32912311</v>
      </c>
      <c r="E82" s="35">
        <v>45923</v>
      </c>
      <c r="F82" s="35">
        <v>45923</v>
      </c>
      <c r="G82" s="44" t="s">
        <v>755</v>
      </c>
      <c r="H82" s="34">
        <v>20010</v>
      </c>
      <c r="I82" s="44" t="s">
        <v>736</v>
      </c>
      <c r="J82" s="46">
        <v>2750</v>
      </c>
      <c r="K82" s="32" t="s">
        <v>774</v>
      </c>
    </row>
    <row r="83" spans="1:11" ht="16.5" thickBot="1" x14ac:dyDescent="0.3">
      <c r="A83" s="43">
        <v>82</v>
      </c>
      <c r="B83" s="44" t="s">
        <v>365</v>
      </c>
      <c r="C83" s="44" t="s">
        <v>366</v>
      </c>
      <c r="D83" s="33">
        <v>32912285</v>
      </c>
      <c r="E83" s="35">
        <v>45924</v>
      </c>
      <c r="F83" s="35">
        <v>45894</v>
      </c>
      <c r="G83" s="34" t="s">
        <v>616</v>
      </c>
      <c r="H83" s="34">
        <v>10034</v>
      </c>
      <c r="I83" s="34" t="s">
        <v>733</v>
      </c>
      <c r="J83" s="46">
        <v>500</v>
      </c>
      <c r="K83" s="32" t="s">
        <v>789</v>
      </c>
    </row>
    <row r="84" spans="1:11" ht="16.5" thickBot="1" x14ac:dyDescent="0.3">
      <c r="A84" s="43"/>
      <c r="B84" s="44"/>
      <c r="C84" s="44"/>
      <c r="D84" s="33"/>
      <c r="E84" s="35"/>
      <c r="F84" s="35"/>
      <c r="G84" s="44"/>
      <c r="H84" s="34"/>
      <c r="I84" s="44"/>
      <c r="J84" s="46"/>
      <c r="K84" s="32"/>
    </row>
    <row r="85" spans="1:11" ht="16.5" thickBot="1" x14ac:dyDescent="0.3">
      <c r="A85" s="43"/>
      <c r="B85" s="44"/>
      <c r="C85" s="44"/>
      <c r="D85" s="33"/>
      <c r="E85" s="35"/>
      <c r="F85" s="35"/>
      <c r="G85" s="44"/>
      <c r="H85" s="34"/>
      <c r="I85" s="44"/>
      <c r="J85" s="46"/>
      <c r="K85" s="32"/>
    </row>
    <row r="86" spans="1:11" ht="16.5" thickBot="1" x14ac:dyDescent="0.3">
      <c r="A86" s="43"/>
      <c r="B86" s="44"/>
      <c r="C86" s="44"/>
      <c r="D86" s="33"/>
      <c r="E86" s="35"/>
      <c r="F86" s="35"/>
      <c r="G86" s="44"/>
      <c r="H86" s="34"/>
      <c r="I86" s="44"/>
      <c r="J86" s="46"/>
      <c r="K86" s="32"/>
    </row>
    <row r="87" spans="1:11" ht="16.5" thickBot="1" x14ac:dyDescent="0.3">
      <c r="A87" s="43"/>
      <c r="B87" s="44"/>
      <c r="C87" s="44"/>
      <c r="D87" s="33"/>
      <c r="E87" s="35"/>
      <c r="F87" s="35"/>
      <c r="G87" s="44"/>
      <c r="H87" s="34"/>
      <c r="I87" s="44"/>
      <c r="J87" s="46"/>
      <c r="K87" s="32"/>
    </row>
    <row r="88" spans="1:11" ht="16.5" thickBot="1" x14ac:dyDescent="0.3">
      <c r="A88" s="43"/>
      <c r="B88" s="44"/>
      <c r="C88" s="44"/>
      <c r="D88" s="33"/>
      <c r="E88" s="35"/>
      <c r="F88" s="35"/>
      <c r="G88" s="44"/>
      <c r="H88" s="34"/>
      <c r="I88" s="44"/>
      <c r="J88" s="46"/>
      <c r="K88" s="32"/>
    </row>
    <row r="89" spans="1:11" ht="16.5" thickBot="1" x14ac:dyDescent="0.3">
      <c r="A89" s="43"/>
      <c r="B89" s="44"/>
      <c r="C89" s="44"/>
      <c r="D89" s="33"/>
      <c r="E89" s="35"/>
      <c r="F89" s="35"/>
      <c r="G89" s="44"/>
      <c r="H89" s="34"/>
      <c r="I89" s="44"/>
      <c r="J89" s="46"/>
      <c r="K89" s="32"/>
    </row>
    <row r="90" spans="1:11" ht="16.5" thickBot="1" x14ac:dyDescent="0.3">
      <c r="A90" s="43"/>
      <c r="B90" s="44"/>
      <c r="C90" s="44"/>
      <c r="D90" s="33"/>
      <c r="E90" s="35"/>
      <c r="F90" s="35"/>
      <c r="G90" s="44"/>
      <c r="H90" s="34"/>
      <c r="I90" s="44"/>
      <c r="J90" s="46"/>
      <c r="K90" s="32"/>
    </row>
    <row r="91" spans="1:11" ht="16.5" thickBot="1" x14ac:dyDescent="0.3">
      <c r="A91" s="43"/>
      <c r="B91" s="44"/>
      <c r="C91" s="44"/>
      <c r="D91" s="33"/>
      <c r="E91" s="35"/>
      <c r="F91" s="35"/>
      <c r="G91" s="44"/>
      <c r="H91" s="34"/>
      <c r="I91" s="44"/>
      <c r="J91" s="46"/>
      <c r="K91" s="32"/>
    </row>
    <row r="92" spans="1:11" ht="16.5" thickBot="1" x14ac:dyDescent="0.3">
      <c r="A92" s="43"/>
      <c r="B92" s="44"/>
      <c r="C92" s="44"/>
      <c r="D92" s="33"/>
      <c r="E92" s="35"/>
      <c r="F92" s="35"/>
      <c r="G92" s="44"/>
      <c r="H92" s="34"/>
      <c r="I92" s="44"/>
      <c r="J92" s="46"/>
      <c r="K92" s="32"/>
    </row>
    <row r="93" spans="1:11" ht="16.5" thickBot="1" x14ac:dyDescent="0.3">
      <c r="A93" s="43"/>
      <c r="B93" s="44"/>
      <c r="C93" s="44"/>
      <c r="D93" s="33"/>
      <c r="E93" s="35"/>
      <c r="F93" s="35"/>
      <c r="G93" s="44"/>
      <c r="H93" s="34"/>
      <c r="I93" s="44"/>
      <c r="J93" s="46"/>
      <c r="K93" s="32"/>
    </row>
    <row r="94" spans="1:11" ht="16.5" thickBot="1" x14ac:dyDescent="0.3">
      <c r="A94" s="43"/>
      <c r="B94" s="44"/>
      <c r="C94" s="44"/>
      <c r="D94" s="33"/>
      <c r="E94" s="35"/>
      <c r="F94" s="35"/>
      <c r="G94" s="44"/>
      <c r="H94" s="34"/>
      <c r="I94" s="44"/>
      <c r="J94" s="46"/>
      <c r="K94" s="32"/>
    </row>
    <row r="95" spans="1:11" ht="16.5" thickBot="1" x14ac:dyDescent="0.3">
      <c r="A95" s="43"/>
      <c r="B95" s="44"/>
      <c r="C95" s="44"/>
      <c r="D95" s="33"/>
      <c r="E95" s="35"/>
      <c r="F95" s="35"/>
      <c r="G95" s="44"/>
      <c r="H95" s="34"/>
      <c r="I95" s="44"/>
      <c r="J95" s="46"/>
      <c r="K95" s="32"/>
    </row>
    <row r="96" spans="1:11" ht="16.5" thickBot="1" x14ac:dyDescent="0.3">
      <c r="A96" s="43"/>
      <c r="B96" s="44"/>
      <c r="C96" s="44"/>
      <c r="D96" s="33"/>
      <c r="E96" s="35"/>
      <c r="F96" s="35"/>
      <c r="G96" s="44"/>
      <c r="H96" s="34"/>
      <c r="I96" s="44"/>
      <c r="J96" s="46"/>
      <c r="K96" s="32"/>
    </row>
    <row r="97" spans="1:11" ht="16.5" thickBot="1" x14ac:dyDescent="0.3">
      <c r="A97" s="43"/>
      <c r="B97" s="44"/>
      <c r="C97" s="44"/>
      <c r="D97" s="33"/>
      <c r="E97" s="35"/>
      <c r="F97" s="35"/>
      <c r="G97" s="44"/>
      <c r="H97" s="34"/>
      <c r="I97" s="44"/>
      <c r="J97" s="46"/>
      <c r="K97" s="32"/>
    </row>
    <row r="98" spans="1:11" ht="16.5" thickBot="1" x14ac:dyDescent="0.3">
      <c r="A98" s="43"/>
      <c r="B98" s="44"/>
      <c r="C98" s="44"/>
      <c r="D98" s="33"/>
      <c r="E98" s="35"/>
      <c r="F98" s="35"/>
      <c r="G98" s="44"/>
      <c r="H98" s="34"/>
      <c r="I98" s="44"/>
      <c r="J98" s="46"/>
      <c r="K98" s="32"/>
    </row>
    <row r="99" spans="1:11" ht="16.5" thickBot="1" x14ac:dyDescent="0.3">
      <c r="A99" s="43"/>
      <c r="B99" s="44"/>
      <c r="C99" s="44"/>
      <c r="D99" s="33"/>
      <c r="E99" s="35"/>
      <c r="F99" s="35"/>
      <c r="G99" s="44"/>
      <c r="H99" s="34"/>
      <c r="I99" s="44"/>
      <c r="J99" s="46"/>
      <c r="K99" s="32"/>
    </row>
    <row r="100" spans="1:11" ht="16.5" thickBot="1" x14ac:dyDescent="0.3">
      <c r="A100" s="43"/>
      <c r="B100" s="44"/>
      <c r="C100" s="44"/>
      <c r="D100" s="33"/>
      <c r="E100" s="35"/>
      <c r="F100" s="35"/>
      <c r="G100" s="44"/>
      <c r="H100" s="34"/>
      <c r="I100" s="44"/>
      <c r="J100" s="46"/>
      <c r="K100" s="32"/>
    </row>
    <row r="101" spans="1:11" ht="16.5" thickBot="1" x14ac:dyDescent="0.3">
      <c r="A101" s="43"/>
      <c r="B101" s="44"/>
      <c r="C101" s="44"/>
      <c r="D101" s="33"/>
      <c r="E101" s="35"/>
      <c r="F101" s="35"/>
      <c r="G101" s="44"/>
      <c r="H101" s="34"/>
      <c r="I101" s="44"/>
      <c r="J101" s="46"/>
      <c r="K101" s="32"/>
    </row>
    <row r="102" spans="1:11" ht="16.5" thickBot="1" x14ac:dyDescent="0.3">
      <c r="A102" s="43"/>
      <c r="B102" s="44"/>
      <c r="C102" s="44"/>
      <c r="D102" s="33"/>
      <c r="E102" s="35"/>
      <c r="F102" s="35"/>
      <c r="G102" s="44"/>
      <c r="H102" s="34"/>
      <c r="I102" s="34"/>
      <c r="J102" s="46"/>
      <c r="K102" s="32"/>
    </row>
    <row r="103" spans="1:11" ht="16.5" thickBot="1" x14ac:dyDescent="0.3">
      <c r="A103" s="43"/>
      <c r="B103" s="44"/>
      <c r="C103" s="44"/>
      <c r="D103" s="33"/>
      <c r="E103" s="35"/>
      <c r="F103" s="35"/>
      <c r="G103" s="44"/>
      <c r="H103" s="34"/>
      <c r="I103" s="44"/>
      <c r="J103" s="46"/>
      <c r="K103" s="32"/>
    </row>
    <row r="104" spans="1:11" ht="16.5" thickBot="1" x14ac:dyDescent="0.3">
      <c r="A104" s="43"/>
      <c r="B104" s="44"/>
      <c r="C104" s="44"/>
      <c r="D104" s="33"/>
      <c r="E104" s="35"/>
      <c r="F104" s="35"/>
      <c r="G104" s="44"/>
      <c r="H104" s="34"/>
      <c r="I104" s="34"/>
      <c r="J104" s="46"/>
      <c r="K104" s="32"/>
    </row>
    <row r="105" spans="1:11" ht="16.5" thickBot="1" x14ac:dyDescent="0.3">
      <c r="A105" s="43"/>
      <c r="B105" s="44"/>
      <c r="C105" s="44"/>
      <c r="D105" s="33"/>
      <c r="E105" s="35"/>
      <c r="F105" s="35"/>
      <c r="G105" s="34"/>
      <c r="H105" s="34"/>
      <c r="I105" s="34"/>
      <c r="J105" s="46"/>
      <c r="K105" s="32"/>
    </row>
    <row r="106" spans="1:11" ht="16.5" thickBot="1" x14ac:dyDescent="0.3">
      <c r="A106" s="43"/>
      <c r="B106" s="44"/>
      <c r="C106" s="44"/>
      <c r="D106" s="33"/>
      <c r="E106" s="35"/>
      <c r="F106" s="35"/>
      <c r="G106" s="34"/>
      <c r="H106" s="34"/>
      <c r="I106" s="34"/>
      <c r="J106" s="46"/>
      <c r="K106" s="32"/>
    </row>
    <row r="107" spans="1:11" ht="16.5" thickBot="1" x14ac:dyDescent="0.3">
      <c r="A107" s="43"/>
      <c r="B107" s="44"/>
      <c r="C107" s="44"/>
      <c r="D107" s="33"/>
      <c r="E107" s="35"/>
      <c r="F107" s="35"/>
      <c r="G107" s="34"/>
      <c r="H107" s="34"/>
      <c r="I107" s="34"/>
      <c r="J107" s="46"/>
      <c r="K107" s="32"/>
    </row>
    <row r="108" spans="1:11" ht="16.5" thickBot="1" x14ac:dyDescent="0.3">
      <c r="A108" s="43"/>
      <c r="B108" s="44"/>
      <c r="C108" s="44"/>
      <c r="D108" s="33"/>
      <c r="E108" s="35"/>
      <c r="F108" s="35"/>
      <c r="G108" s="34"/>
      <c r="H108" s="34"/>
      <c r="I108" s="34"/>
      <c r="J108" s="46"/>
      <c r="K108" s="32"/>
    </row>
    <row r="109" spans="1:11" ht="16.5" thickBot="1" x14ac:dyDescent="0.3">
      <c r="A109" s="43"/>
      <c r="B109" s="44"/>
      <c r="C109" s="44"/>
      <c r="D109" s="33"/>
      <c r="E109" s="35"/>
      <c r="F109" s="35"/>
      <c r="G109" s="34"/>
      <c r="H109" s="34"/>
      <c r="I109" s="34"/>
      <c r="J109" s="46"/>
      <c r="K109" s="32"/>
    </row>
    <row r="110" spans="1:11" ht="16.5" thickBot="1" x14ac:dyDescent="0.3">
      <c r="A110" s="43"/>
      <c r="B110" s="44"/>
      <c r="C110" s="44"/>
      <c r="D110" s="33"/>
      <c r="E110" s="35"/>
      <c r="F110" s="35"/>
      <c r="G110" s="34"/>
      <c r="H110" s="34"/>
      <c r="I110" s="34"/>
      <c r="J110" s="46"/>
      <c r="K110" s="32"/>
    </row>
    <row r="111" spans="1:11" ht="16.5" thickBot="1" x14ac:dyDescent="0.3">
      <c r="A111" s="43"/>
      <c r="B111" s="44"/>
      <c r="C111" s="44"/>
      <c r="D111" s="33"/>
      <c r="E111" s="35"/>
      <c r="F111" s="35"/>
      <c r="G111" s="34"/>
      <c r="H111" s="34"/>
      <c r="I111" s="34"/>
      <c r="J111" s="46"/>
      <c r="K111" s="32"/>
    </row>
    <row r="112" spans="1:11" ht="16.5" thickBot="1" x14ac:dyDescent="0.3">
      <c r="A112" s="43"/>
      <c r="B112" s="44"/>
      <c r="C112" s="44"/>
      <c r="D112" s="33"/>
      <c r="E112" s="35"/>
      <c r="F112" s="35"/>
      <c r="G112" s="44"/>
      <c r="H112" s="34"/>
      <c r="I112" s="44"/>
      <c r="J112" s="46"/>
      <c r="K112" s="32"/>
    </row>
    <row r="113" spans="1:11" ht="16.5" thickBot="1" x14ac:dyDescent="0.3">
      <c r="A113" s="43"/>
      <c r="B113" s="44"/>
      <c r="C113" s="44"/>
      <c r="D113" s="33"/>
      <c r="E113" s="35"/>
      <c r="F113" s="35"/>
      <c r="G113" s="34"/>
      <c r="H113" s="34"/>
      <c r="I113" s="34"/>
      <c r="J113" s="46"/>
      <c r="K113" s="32"/>
    </row>
    <row r="114" spans="1:11" ht="16.5" thickBot="1" x14ac:dyDescent="0.3">
      <c r="A114" s="43"/>
      <c r="B114" s="44"/>
      <c r="C114" s="44"/>
      <c r="D114" s="33"/>
      <c r="E114" s="35"/>
      <c r="F114" s="35"/>
      <c r="G114" s="44"/>
      <c r="H114" s="34"/>
      <c r="I114" s="44"/>
      <c r="J114" s="46"/>
      <c r="K114" s="32"/>
    </row>
    <row r="115" spans="1:11" ht="16.5" thickBot="1" x14ac:dyDescent="0.3">
      <c r="A115" s="43"/>
      <c r="B115" s="44"/>
      <c r="C115" s="44"/>
      <c r="D115" s="33"/>
      <c r="E115" s="35"/>
      <c r="F115" s="35"/>
      <c r="G115" s="44"/>
      <c r="H115" s="34"/>
      <c r="I115" s="44"/>
      <c r="J115" s="46"/>
      <c r="K115" s="32"/>
    </row>
    <row r="116" spans="1:11" ht="16.5" thickBot="1" x14ac:dyDescent="0.3">
      <c r="A116" s="43"/>
      <c r="B116" s="44"/>
      <c r="C116" s="44"/>
      <c r="D116" s="33"/>
      <c r="E116" s="35"/>
      <c r="F116" s="35"/>
      <c r="G116" s="44"/>
      <c r="H116" s="34"/>
      <c r="I116" s="44"/>
      <c r="J116" s="46"/>
      <c r="K116" s="32"/>
    </row>
    <row r="117" spans="1:11" ht="16.5" thickBot="1" x14ac:dyDescent="0.3">
      <c r="A117" s="43"/>
      <c r="B117" s="44"/>
      <c r="C117" s="44"/>
      <c r="D117" s="33"/>
      <c r="E117" s="35"/>
      <c r="F117" s="33"/>
      <c r="G117" s="44"/>
      <c r="H117" s="34"/>
      <c r="I117" s="44"/>
      <c r="J117" s="46"/>
      <c r="K117" s="32"/>
    </row>
    <row r="118" spans="1:11" ht="16.5" thickBot="1" x14ac:dyDescent="0.3">
      <c r="A118" s="43"/>
      <c r="B118" s="44"/>
      <c r="C118" s="44"/>
      <c r="D118" s="33"/>
      <c r="E118" s="35"/>
      <c r="F118" s="35"/>
      <c r="G118" s="34"/>
      <c r="H118" s="34"/>
      <c r="I118" s="44"/>
      <c r="J118" s="46"/>
      <c r="K118" s="32"/>
    </row>
    <row r="119" spans="1:11" ht="16.5" thickBot="1" x14ac:dyDescent="0.3">
      <c r="A119" s="43"/>
      <c r="B119" s="44"/>
      <c r="C119" s="44"/>
      <c r="D119" s="33"/>
      <c r="E119" s="35"/>
      <c r="F119" s="35"/>
      <c r="G119" s="34"/>
      <c r="H119" s="34"/>
      <c r="I119" s="44"/>
      <c r="J119" s="46"/>
      <c r="K119" s="32"/>
    </row>
    <row r="120" spans="1:11" ht="16.5" thickBot="1" x14ac:dyDescent="0.3">
      <c r="A120" s="43"/>
      <c r="B120" s="44"/>
      <c r="C120" s="44"/>
      <c r="D120" s="33"/>
      <c r="E120" s="35"/>
      <c r="F120" s="35"/>
      <c r="G120" s="34"/>
      <c r="H120" s="34"/>
      <c r="I120" s="44"/>
      <c r="J120" s="46"/>
      <c r="K120" s="32"/>
    </row>
    <row r="121" spans="1:11" ht="16.5" thickBot="1" x14ac:dyDescent="0.3">
      <c r="A121" s="43"/>
      <c r="B121" s="44"/>
      <c r="C121" s="44"/>
      <c r="D121" s="33"/>
      <c r="E121" s="35"/>
      <c r="F121" s="35"/>
      <c r="G121" s="34"/>
      <c r="H121" s="34"/>
      <c r="I121" s="44"/>
      <c r="J121" s="46"/>
      <c r="K121" s="32"/>
    </row>
    <row r="122" spans="1:11" ht="16.5" thickBot="1" x14ac:dyDescent="0.3">
      <c r="A122" s="43"/>
      <c r="B122" s="44"/>
      <c r="C122" s="44"/>
      <c r="D122" s="33"/>
      <c r="E122" s="35"/>
      <c r="F122" s="35"/>
      <c r="G122" s="34"/>
      <c r="H122" s="34"/>
      <c r="I122" s="44"/>
      <c r="J122" s="46"/>
      <c r="K122" s="32"/>
    </row>
    <row r="123" spans="1:11" ht="16.5" thickBot="1" x14ac:dyDescent="0.3">
      <c r="A123" s="43"/>
      <c r="B123" s="44"/>
      <c r="C123" s="44"/>
      <c r="D123" s="33"/>
      <c r="E123" s="35"/>
      <c r="F123" s="35"/>
      <c r="G123" s="34"/>
      <c r="H123" s="34"/>
      <c r="I123" s="44"/>
      <c r="J123" s="46"/>
      <c r="K123" s="32"/>
    </row>
    <row r="124" spans="1:11" ht="16.5" thickBot="1" x14ac:dyDescent="0.3">
      <c r="A124" s="43"/>
      <c r="B124" s="44"/>
      <c r="C124" s="44"/>
      <c r="D124" s="33"/>
      <c r="E124" s="35"/>
      <c r="F124" s="35"/>
      <c r="G124" s="34"/>
      <c r="H124" s="34"/>
      <c r="I124" s="44"/>
      <c r="J124" s="46"/>
      <c r="K124" s="32"/>
    </row>
    <row r="125" spans="1:11" ht="16.5" thickBot="1" x14ac:dyDescent="0.3">
      <c r="A125" s="43"/>
      <c r="B125" s="44"/>
      <c r="C125" s="44"/>
      <c r="D125" s="33"/>
      <c r="E125" s="35"/>
      <c r="F125" s="33"/>
      <c r="G125" s="34"/>
      <c r="H125" s="34"/>
      <c r="I125" s="44"/>
      <c r="J125" s="46"/>
      <c r="K125" s="32"/>
    </row>
    <row r="126" spans="1:11" ht="16.5" thickBot="1" x14ac:dyDescent="0.3">
      <c r="A126" s="43"/>
      <c r="B126" s="44"/>
      <c r="C126" s="44"/>
      <c r="D126" s="33"/>
      <c r="E126" s="35"/>
      <c r="F126" s="33"/>
      <c r="G126" s="34"/>
      <c r="H126" s="34"/>
      <c r="I126" s="44"/>
      <c r="J126" s="46"/>
      <c r="K126" s="32"/>
    </row>
    <row r="127" spans="1:11" ht="16.5" thickBot="1" x14ac:dyDescent="0.3">
      <c r="A127" s="43"/>
      <c r="B127" s="44"/>
      <c r="C127" s="44"/>
      <c r="D127" s="33"/>
      <c r="E127" s="35"/>
      <c r="F127" s="33"/>
      <c r="G127" s="34"/>
      <c r="H127" s="34"/>
      <c r="I127" s="44"/>
      <c r="J127" s="46"/>
      <c r="K127" s="32"/>
    </row>
  </sheetData>
  <autoFilter ref="A1:K83" xr:uid="{00000000-0009-0000-0000-000006000000}"/>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20"/>
  <sheetViews>
    <sheetView topLeftCell="E1" workbookViewId="0">
      <selection activeCell="G21" sqref="G21"/>
    </sheetView>
  </sheetViews>
  <sheetFormatPr defaultColWidth="9.140625" defaultRowHeight="15.75" x14ac:dyDescent="0.25"/>
  <cols>
    <col min="1" max="1" width="5.85546875" style="42" bestFit="1" customWidth="1"/>
    <col min="2" max="2" width="39.28515625" style="42" bestFit="1" customWidth="1"/>
    <col min="3" max="3" width="6.28515625" style="42" bestFit="1" customWidth="1"/>
    <col min="4" max="4" width="13.140625" style="42" bestFit="1" customWidth="1"/>
    <col min="5" max="5" width="22.7109375" style="42" bestFit="1" customWidth="1"/>
    <col min="6" max="6" width="22.7109375" style="42" customWidth="1"/>
    <col min="7" max="7" width="135.28515625" style="42" bestFit="1" customWidth="1"/>
    <col min="8" max="8" width="10.140625" style="42" customWidth="1"/>
    <col min="9" max="9" width="76.140625" style="42" customWidth="1"/>
    <col min="10" max="10" width="12.85546875" style="49" customWidth="1"/>
    <col min="11" max="11" width="51.7109375" style="50" customWidth="1"/>
    <col min="12" max="16384" width="9.140625" style="13"/>
  </cols>
  <sheetData>
    <row r="1" spans="1:11" ht="16.5" thickBot="1" x14ac:dyDescent="0.3">
      <c r="A1" s="27" t="s">
        <v>356</v>
      </c>
      <c r="B1" s="28" t="s">
        <v>357</v>
      </c>
      <c r="C1" s="28" t="s">
        <v>358</v>
      </c>
      <c r="D1" s="28" t="s">
        <v>359</v>
      </c>
      <c r="E1" s="28" t="s">
        <v>360</v>
      </c>
      <c r="F1" s="28" t="s">
        <v>361</v>
      </c>
      <c r="G1" s="28" t="s">
        <v>362</v>
      </c>
      <c r="H1" s="28" t="s">
        <v>349</v>
      </c>
      <c r="I1" s="28" t="s">
        <v>350</v>
      </c>
      <c r="J1" s="28" t="s">
        <v>363</v>
      </c>
      <c r="K1" s="29" t="s">
        <v>364</v>
      </c>
    </row>
    <row r="2" spans="1:11" ht="16.5" thickBot="1" x14ac:dyDescent="0.3">
      <c r="A2" s="43">
        <v>1</v>
      </c>
      <c r="B2" s="44" t="s">
        <v>365</v>
      </c>
      <c r="C2" s="44" t="s">
        <v>366</v>
      </c>
      <c r="D2" s="33">
        <v>33001281</v>
      </c>
      <c r="E2" s="35">
        <v>45951</v>
      </c>
      <c r="F2" s="35">
        <v>45931</v>
      </c>
      <c r="G2" s="44" t="s">
        <v>616</v>
      </c>
      <c r="H2" s="34">
        <v>10034</v>
      </c>
      <c r="I2" s="44" t="s">
        <v>733</v>
      </c>
      <c r="J2" s="46">
        <v>750</v>
      </c>
      <c r="K2" s="32" t="s">
        <v>846</v>
      </c>
    </row>
    <row r="3" spans="1:11" ht="16.5" thickBot="1" x14ac:dyDescent="0.3">
      <c r="A3" s="43">
        <v>2</v>
      </c>
      <c r="B3" s="44" t="s">
        <v>365</v>
      </c>
      <c r="C3" s="44" t="s">
        <v>366</v>
      </c>
      <c r="D3" s="33">
        <v>33001282</v>
      </c>
      <c r="E3" s="35">
        <v>45951</v>
      </c>
      <c r="F3" s="35">
        <v>45931</v>
      </c>
      <c r="G3" s="44" t="s">
        <v>794</v>
      </c>
      <c r="H3" s="34">
        <v>10602</v>
      </c>
      <c r="I3" s="44" t="s">
        <v>654</v>
      </c>
      <c r="J3" s="46">
        <v>8250</v>
      </c>
      <c r="K3" s="32" t="s">
        <v>847</v>
      </c>
    </row>
    <row r="4" spans="1:11" ht="16.5" thickBot="1" x14ac:dyDescent="0.3">
      <c r="A4" s="43">
        <v>3</v>
      </c>
      <c r="B4" s="44" t="s">
        <v>365</v>
      </c>
      <c r="C4" s="44" t="s">
        <v>366</v>
      </c>
      <c r="D4" s="33">
        <v>33001283</v>
      </c>
      <c r="E4" s="35">
        <v>45951</v>
      </c>
      <c r="F4" s="35">
        <v>45931</v>
      </c>
      <c r="G4" s="44" t="s">
        <v>603</v>
      </c>
      <c r="H4" s="34">
        <v>10021</v>
      </c>
      <c r="I4" s="44" t="s">
        <v>29</v>
      </c>
      <c r="J4" s="46">
        <v>1250</v>
      </c>
      <c r="K4" s="32" t="s">
        <v>848</v>
      </c>
    </row>
    <row r="5" spans="1:11" ht="16.5" thickBot="1" x14ac:dyDescent="0.3">
      <c r="A5" s="43">
        <v>4</v>
      </c>
      <c r="B5" s="44" t="s">
        <v>365</v>
      </c>
      <c r="C5" s="44" t="s">
        <v>366</v>
      </c>
      <c r="D5" s="33">
        <v>33001284</v>
      </c>
      <c r="E5" s="35">
        <v>45951</v>
      </c>
      <c r="F5" s="35">
        <v>45931</v>
      </c>
      <c r="G5" s="44" t="s">
        <v>795</v>
      </c>
      <c r="H5" s="34">
        <v>10655</v>
      </c>
      <c r="I5" s="44" t="s">
        <v>566</v>
      </c>
      <c r="J5" s="46">
        <v>3750</v>
      </c>
      <c r="K5" s="32" t="s">
        <v>849</v>
      </c>
    </row>
    <row r="6" spans="1:11" ht="16.5" thickBot="1" x14ac:dyDescent="0.3">
      <c r="A6" s="43">
        <v>5</v>
      </c>
      <c r="B6" s="44" t="s">
        <v>365</v>
      </c>
      <c r="C6" s="44" t="s">
        <v>366</v>
      </c>
      <c r="D6" s="33">
        <v>33001285</v>
      </c>
      <c r="E6" s="35">
        <v>45951</v>
      </c>
      <c r="F6" s="35">
        <v>45931</v>
      </c>
      <c r="G6" s="44" t="s">
        <v>615</v>
      </c>
      <c r="H6" s="34">
        <v>10030</v>
      </c>
      <c r="I6" s="44" t="s">
        <v>43</v>
      </c>
      <c r="J6" s="46">
        <v>3250</v>
      </c>
      <c r="K6" s="32" t="s">
        <v>850</v>
      </c>
    </row>
    <row r="7" spans="1:11" ht="16.5" thickBot="1" x14ac:dyDescent="0.3">
      <c r="A7" s="43">
        <v>6</v>
      </c>
      <c r="B7" s="44" t="s">
        <v>365</v>
      </c>
      <c r="C7" s="44" t="s">
        <v>366</v>
      </c>
      <c r="D7" s="33">
        <v>33001368</v>
      </c>
      <c r="E7" s="35">
        <v>45951</v>
      </c>
      <c r="F7" s="35">
        <v>45941</v>
      </c>
      <c r="G7" s="44" t="s">
        <v>796</v>
      </c>
      <c r="H7" s="34">
        <v>10328</v>
      </c>
      <c r="I7" s="44" t="s">
        <v>127</v>
      </c>
      <c r="J7" s="46">
        <v>5000</v>
      </c>
      <c r="K7" s="32"/>
    </row>
    <row r="8" spans="1:11" ht="16.5" thickBot="1" x14ac:dyDescent="0.3">
      <c r="A8" s="43">
        <v>7</v>
      </c>
      <c r="B8" s="44" t="s">
        <v>365</v>
      </c>
      <c r="C8" s="44" t="s">
        <v>366</v>
      </c>
      <c r="D8" s="33">
        <v>33001369</v>
      </c>
      <c r="E8" s="35">
        <v>45951</v>
      </c>
      <c r="F8" s="35">
        <v>45941</v>
      </c>
      <c r="G8" s="44" t="s">
        <v>797</v>
      </c>
      <c r="H8" s="34">
        <v>10239</v>
      </c>
      <c r="I8" s="44" t="s">
        <v>22</v>
      </c>
      <c r="J8" s="46">
        <v>5000</v>
      </c>
      <c r="K8" s="32"/>
    </row>
    <row r="9" spans="1:11" ht="16.5" thickBot="1" x14ac:dyDescent="0.3">
      <c r="A9" s="43">
        <v>8</v>
      </c>
      <c r="B9" s="44" t="s">
        <v>365</v>
      </c>
      <c r="C9" s="44" t="s">
        <v>366</v>
      </c>
      <c r="D9" s="33">
        <v>33001370</v>
      </c>
      <c r="E9" s="35">
        <v>45951</v>
      </c>
      <c r="F9" s="35">
        <v>45941</v>
      </c>
      <c r="G9" s="44" t="s">
        <v>798</v>
      </c>
      <c r="H9" s="34">
        <v>10533</v>
      </c>
      <c r="I9" s="44" t="s">
        <v>314</v>
      </c>
      <c r="J9" s="46">
        <v>4000</v>
      </c>
      <c r="K9" s="32"/>
    </row>
    <row r="10" spans="1:11" ht="16.5" thickBot="1" x14ac:dyDescent="0.3">
      <c r="A10" s="43">
        <v>9</v>
      </c>
      <c r="B10" s="44" t="s">
        <v>365</v>
      </c>
      <c r="C10" s="44" t="s">
        <v>366</v>
      </c>
      <c r="D10" s="33">
        <v>33001371</v>
      </c>
      <c r="E10" s="35">
        <v>45951</v>
      </c>
      <c r="F10" s="35">
        <v>45941</v>
      </c>
      <c r="G10" s="44" t="s">
        <v>799</v>
      </c>
      <c r="H10" s="34">
        <v>10135</v>
      </c>
      <c r="I10" s="44" t="s">
        <v>135</v>
      </c>
      <c r="J10" s="46">
        <v>3000</v>
      </c>
      <c r="K10" s="32"/>
    </row>
    <row r="11" spans="1:11" ht="16.5" thickBot="1" x14ac:dyDescent="0.3">
      <c r="A11" s="43">
        <v>10</v>
      </c>
      <c r="B11" s="44" t="s">
        <v>365</v>
      </c>
      <c r="C11" s="44" t="s">
        <v>366</v>
      </c>
      <c r="D11" s="33">
        <v>33001372</v>
      </c>
      <c r="E11" s="35">
        <v>45951</v>
      </c>
      <c r="F11" s="35">
        <v>45941</v>
      </c>
      <c r="G11" s="44" t="s">
        <v>800</v>
      </c>
      <c r="H11" s="34">
        <v>10553</v>
      </c>
      <c r="I11" s="44" t="s">
        <v>851</v>
      </c>
      <c r="J11" s="46">
        <v>2000</v>
      </c>
      <c r="K11" s="32"/>
    </row>
    <row r="12" spans="1:11" ht="16.5" thickBot="1" x14ac:dyDescent="0.3">
      <c r="A12" s="43">
        <v>11</v>
      </c>
      <c r="B12" s="44" t="s">
        <v>365</v>
      </c>
      <c r="C12" s="44" t="s">
        <v>366</v>
      </c>
      <c r="D12" s="33">
        <v>33001373</v>
      </c>
      <c r="E12" s="35">
        <v>45951</v>
      </c>
      <c r="F12" s="35">
        <v>45941</v>
      </c>
      <c r="G12" s="44" t="s">
        <v>801</v>
      </c>
      <c r="H12" s="34">
        <v>10627</v>
      </c>
      <c r="I12" s="44" t="s">
        <v>852</v>
      </c>
      <c r="J12" s="46">
        <v>1000</v>
      </c>
      <c r="K12" s="32"/>
    </row>
    <row r="13" spans="1:11" ht="16.5" thickBot="1" x14ac:dyDescent="0.3">
      <c r="A13" s="43">
        <v>18</v>
      </c>
      <c r="B13" s="44" t="s">
        <v>365</v>
      </c>
      <c r="C13" s="44" t="s">
        <v>366</v>
      </c>
      <c r="D13" s="33">
        <v>33001384</v>
      </c>
      <c r="E13" s="35">
        <v>45951</v>
      </c>
      <c r="F13" s="35">
        <v>45946</v>
      </c>
      <c r="G13" s="44" t="s">
        <v>802</v>
      </c>
      <c r="H13" s="34">
        <v>10163</v>
      </c>
      <c r="I13" s="44" t="s">
        <v>108</v>
      </c>
      <c r="J13" s="46">
        <v>90883</v>
      </c>
      <c r="K13" s="32"/>
    </row>
    <row r="14" spans="1:11" ht="16.5" thickBot="1" x14ac:dyDescent="0.3">
      <c r="A14" s="43">
        <v>19</v>
      </c>
      <c r="B14" s="44" t="s">
        <v>365</v>
      </c>
      <c r="C14" s="44" t="s">
        <v>366</v>
      </c>
      <c r="D14" s="33">
        <v>33001385</v>
      </c>
      <c r="E14" s="35">
        <v>45951</v>
      </c>
      <c r="F14" s="35">
        <v>45946</v>
      </c>
      <c r="G14" s="44" t="s">
        <v>803</v>
      </c>
      <c r="H14" s="34">
        <v>10602</v>
      </c>
      <c r="I14" s="44" t="s">
        <v>654</v>
      </c>
      <c r="J14" s="46">
        <v>27166</v>
      </c>
      <c r="K14" s="32"/>
    </row>
    <row r="15" spans="1:11" ht="16.5" thickBot="1" x14ac:dyDescent="0.3">
      <c r="A15" s="43">
        <v>20</v>
      </c>
      <c r="B15" s="44" t="s">
        <v>365</v>
      </c>
      <c r="C15" s="44" t="s">
        <v>366</v>
      </c>
      <c r="D15" s="33">
        <v>33001386</v>
      </c>
      <c r="E15" s="35">
        <v>45951</v>
      </c>
      <c r="F15" s="35">
        <v>45946</v>
      </c>
      <c r="G15" s="44" t="s">
        <v>804</v>
      </c>
      <c r="H15" s="34">
        <v>10655</v>
      </c>
      <c r="I15" s="44" t="s">
        <v>566</v>
      </c>
      <c r="J15" s="46">
        <v>27833</v>
      </c>
      <c r="K15" s="32"/>
    </row>
    <row r="16" spans="1:11" ht="16.5" thickBot="1" x14ac:dyDescent="0.3">
      <c r="A16" s="43">
        <v>21</v>
      </c>
      <c r="B16" s="44" t="s">
        <v>365</v>
      </c>
      <c r="C16" s="44" t="s">
        <v>366</v>
      </c>
      <c r="D16" s="33">
        <v>33001387</v>
      </c>
      <c r="E16" s="35">
        <v>45951</v>
      </c>
      <c r="F16" s="35">
        <v>45946</v>
      </c>
      <c r="G16" s="44" t="s">
        <v>805</v>
      </c>
      <c r="H16" s="34">
        <v>10567</v>
      </c>
      <c r="I16" s="44" t="s">
        <v>336</v>
      </c>
      <c r="J16" s="46">
        <v>26417</v>
      </c>
      <c r="K16" s="32"/>
    </row>
    <row r="17" spans="1:11" ht="16.5" thickBot="1" x14ac:dyDescent="0.3">
      <c r="A17" s="43">
        <v>22</v>
      </c>
      <c r="B17" s="44" t="s">
        <v>365</v>
      </c>
      <c r="C17" s="44" t="s">
        <v>366</v>
      </c>
      <c r="D17" s="33">
        <v>33001388</v>
      </c>
      <c r="E17" s="35">
        <v>45951</v>
      </c>
      <c r="F17" s="35">
        <v>45946</v>
      </c>
      <c r="G17" s="44" t="s">
        <v>806</v>
      </c>
      <c r="H17" s="34">
        <v>10498</v>
      </c>
      <c r="I17" s="44" t="s">
        <v>477</v>
      </c>
      <c r="J17" s="46">
        <v>57050</v>
      </c>
      <c r="K17" s="32"/>
    </row>
    <row r="18" spans="1:11" ht="16.5" thickBot="1" x14ac:dyDescent="0.3">
      <c r="A18" s="43">
        <v>23</v>
      </c>
      <c r="B18" s="44" t="s">
        <v>365</v>
      </c>
      <c r="C18" s="44" t="s">
        <v>366</v>
      </c>
      <c r="D18" s="33">
        <v>33001389</v>
      </c>
      <c r="E18" s="35">
        <v>45951</v>
      </c>
      <c r="F18" s="35">
        <v>45946</v>
      </c>
      <c r="G18" s="44" t="s">
        <v>807</v>
      </c>
      <c r="H18" s="34">
        <v>10571</v>
      </c>
      <c r="I18" s="44" t="s">
        <v>732</v>
      </c>
      <c r="J18" s="46">
        <v>32448</v>
      </c>
      <c r="K18" s="32"/>
    </row>
    <row r="19" spans="1:11" ht="16.5" thickBot="1" x14ac:dyDescent="0.3">
      <c r="A19" s="43">
        <v>24</v>
      </c>
      <c r="B19" s="44" t="s">
        <v>365</v>
      </c>
      <c r="C19" s="44" t="s">
        <v>366</v>
      </c>
      <c r="D19" s="33">
        <v>33001390</v>
      </c>
      <c r="E19" s="35">
        <v>45951</v>
      </c>
      <c r="F19" s="35">
        <v>45946</v>
      </c>
      <c r="G19" s="44" t="s">
        <v>808</v>
      </c>
      <c r="H19" s="34">
        <v>10365</v>
      </c>
      <c r="I19" s="44" t="s">
        <v>352</v>
      </c>
      <c r="J19" s="46">
        <v>28184</v>
      </c>
      <c r="K19" s="32"/>
    </row>
    <row r="20" spans="1:11" ht="16.5" thickBot="1" x14ac:dyDescent="0.3">
      <c r="A20" s="43">
        <v>25</v>
      </c>
      <c r="B20" s="44" t="s">
        <v>365</v>
      </c>
      <c r="C20" s="44" t="s">
        <v>366</v>
      </c>
      <c r="D20" s="33">
        <v>33001391</v>
      </c>
      <c r="E20" s="35">
        <v>45951</v>
      </c>
      <c r="F20" s="35">
        <v>45946</v>
      </c>
      <c r="G20" s="44" t="s">
        <v>809</v>
      </c>
      <c r="H20" s="34">
        <v>10021</v>
      </c>
      <c r="I20" s="44" t="s">
        <v>29</v>
      </c>
      <c r="J20" s="46">
        <v>138395</v>
      </c>
      <c r="K20" s="32"/>
    </row>
    <row r="21" spans="1:11" ht="16.5" thickBot="1" x14ac:dyDescent="0.3">
      <c r="A21" s="43">
        <v>26</v>
      </c>
      <c r="B21" s="44" t="s">
        <v>365</v>
      </c>
      <c r="C21" s="44" t="s">
        <v>366</v>
      </c>
      <c r="D21" s="33">
        <v>33001392</v>
      </c>
      <c r="E21" s="35">
        <v>45951</v>
      </c>
      <c r="F21" s="35">
        <v>45946</v>
      </c>
      <c r="G21" s="44" t="s">
        <v>810</v>
      </c>
      <c r="H21" s="34">
        <v>10465</v>
      </c>
      <c r="I21" s="44" t="s">
        <v>136</v>
      </c>
      <c r="J21" s="46">
        <v>28356</v>
      </c>
      <c r="K21" s="32"/>
    </row>
    <row r="22" spans="1:11" ht="16.5" thickBot="1" x14ac:dyDescent="0.3">
      <c r="A22" s="43">
        <v>27</v>
      </c>
      <c r="B22" s="44" t="s">
        <v>365</v>
      </c>
      <c r="C22" s="44" t="s">
        <v>366</v>
      </c>
      <c r="D22" s="33">
        <v>33001393</v>
      </c>
      <c r="E22" s="35">
        <v>45951</v>
      </c>
      <c r="F22" s="35">
        <v>45946</v>
      </c>
      <c r="G22" s="44" t="s">
        <v>811</v>
      </c>
      <c r="H22" s="34">
        <v>10326</v>
      </c>
      <c r="I22" s="44" t="s">
        <v>853</v>
      </c>
      <c r="J22" s="46">
        <v>95747</v>
      </c>
      <c r="K22" s="32"/>
    </row>
    <row r="23" spans="1:11" ht="16.5" thickBot="1" x14ac:dyDescent="0.3">
      <c r="A23" s="43">
        <v>28</v>
      </c>
      <c r="B23" s="44" t="s">
        <v>365</v>
      </c>
      <c r="C23" s="44" t="s">
        <v>366</v>
      </c>
      <c r="D23" s="33">
        <v>33001394</v>
      </c>
      <c r="E23" s="35">
        <v>45951</v>
      </c>
      <c r="F23" s="35">
        <v>45946</v>
      </c>
      <c r="G23" s="44" t="s">
        <v>812</v>
      </c>
      <c r="H23" s="34">
        <v>10407</v>
      </c>
      <c r="I23" s="44" t="s">
        <v>730</v>
      </c>
      <c r="J23" s="46">
        <v>133864</v>
      </c>
      <c r="K23" s="32"/>
    </row>
    <row r="24" spans="1:11" ht="16.5" thickBot="1" x14ac:dyDescent="0.3">
      <c r="A24" s="43">
        <v>29</v>
      </c>
      <c r="B24" s="44" t="s">
        <v>365</v>
      </c>
      <c r="C24" s="44" t="s">
        <v>366</v>
      </c>
      <c r="D24" s="33">
        <v>33001395</v>
      </c>
      <c r="E24" s="35">
        <v>45951</v>
      </c>
      <c r="F24" s="35">
        <v>45946</v>
      </c>
      <c r="G24" s="44" t="s">
        <v>813</v>
      </c>
      <c r="H24" s="34">
        <v>10562</v>
      </c>
      <c r="I24" s="44" t="s">
        <v>394</v>
      </c>
      <c r="J24" s="46">
        <v>31222</v>
      </c>
      <c r="K24" s="32"/>
    </row>
    <row r="25" spans="1:11" ht="16.5" thickBot="1" x14ac:dyDescent="0.3">
      <c r="A25" s="43">
        <v>30</v>
      </c>
      <c r="B25" s="44" t="s">
        <v>365</v>
      </c>
      <c r="C25" s="44" t="s">
        <v>366</v>
      </c>
      <c r="D25" s="33">
        <v>33001396</v>
      </c>
      <c r="E25" s="35">
        <v>45951</v>
      </c>
      <c r="F25" s="35">
        <v>45946</v>
      </c>
      <c r="G25" s="44" t="s">
        <v>814</v>
      </c>
      <c r="H25" s="34">
        <v>10651</v>
      </c>
      <c r="I25" s="44" t="s">
        <v>562</v>
      </c>
      <c r="J25" s="46">
        <v>27884</v>
      </c>
      <c r="K25" s="32"/>
    </row>
    <row r="26" spans="1:11" ht="16.5" thickBot="1" x14ac:dyDescent="0.3">
      <c r="A26" s="43">
        <v>31</v>
      </c>
      <c r="B26" s="44" t="s">
        <v>365</v>
      </c>
      <c r="C26" s="44" t="s">
        <v>366</v>
      </c>
      <c r="D26" s="33">
        <v>33001397</v>
      </c>
      <c r="E26" s="35">
        <v>45951</v>
      </c>
      <c r="F26" s="35">
        <v>45946</v>
      </c>
      <c r="G26" s="44" t="s">
        <v>815</v>
      </c>
      <c r="H26" s="34">
        <v>10015</v>
      </c>
      <c r="I26" s="44" t="s">
        <v>20</v>
      </c>
      <c r="J26" s="46">
        <v>130451</v>
      </c>
      <c r="K26" s="32"/>
    </row>
    <row r="27" spans="1:11" ht="16.5" thickBot="1" x14ac:dyDescent="0.3">
      <c r="A27" s="43">
        <v>32</v>
      </c>
      <c r="B27" s="44" t="s">
        <v>365</v>
      </c>
      <c r="C27" s="44" t="s">
        <v>366</v>
      </c>
      <c r="D27" s="33">
        <v>33001398</v>
      </c>
      <c r="E27" s="35">
        <v>45951</v>
      </c>
      <c r="F27" s="35">
        <v>45946</v>
      </c>
      <c r="G27" s="44" t="s">
        <v>816</v>
      </c>
      <c r="H27" s="34">
        <v>10010</v>
      </c>
      <c r="I27" s="44" t="s">
        <v>15</v>
      </c>
      <c r="J27" s="46">
        <v>6567</v>
      </c>
      <c r="K27" s="32"/>
    </row>
    <row r="28" spans="1:11" ht="16.5" thickBot="1" x14ac:dyDescent="0.3">
      <c r="A28" s="43">
        <v>33</v>
      </c>
      <c r="B28" s="44" t="s">
        <v>365</v>
      </c>
      <c r="C28" s="44" t="s">
        <v>366</v>
      </c>
      <c r="D28" s="33">
        <v>33001399</v>
      </c>
      <c r="E28" s="35">
        <v>45951</v>
      </c>
      <c r="F28" s="35">
        <v>45946</v>
      </c>
      <c r="G28" s="44" t="s">
        <v>817</v>
      </c>
      <c r="H28" s="34">
        <v>10569</v>
      </c>
      <c r="I28" s="44" t="s">
        <v>339</v>
      </c>
      <c r="J28" s="46">
        <v>52878</v>
      </c>
      <c r="K28" s="32"/>
    </row>
    <row r="29" spans="1:11" ht="16.5" thickBot="1" x14ac:dyDescent="0.3">
      <c r="A29" s="43">
        <v>34</v>
      </c>
      <c r="B29" s="44" t="s">
        <v>365</v>
      </c>
      <c r="C29" s="44" t="s">
        <v>366</v>
      </c>
      <c r="D29" s="33">
        <v>33001402</v>
      </c>
      <c r="E29" s="35">
        <v>45951</v>
      </c>
      <c r="F29" s="35">
        <v>45947</v>
      </c>
      <c r="G29" s="44" t="s">
        <v>818</v>
      </c>
      <c r="H29" s="34">
        <v>10587</v>
      </c>
      <c r="I29" s="44" t="s">
        <v>368</v>
      </c>
      <c r="J29" s="46">
        <v>47499</v>
      </c>
      <c r="K29" s="32"/>
    </row>
    <row r="30" spans="1:11" ht="16.5" thickBot="1" x14ac:dyDescent="0.3">
      <c r="A30" s="43">
        <v>35</v>
      </c>
      <c r="B30" s="44" t="s">
        <v>365</v>
      </c>
      <c r="C30" s="44" t="s">
        <v>366</v>
      </c>
      <c r="D30" s="33">
        <v>33001403</v>
      </c>
      <c r="E30" s="35">
        <v>45951</v>
      </c>
      <c r="F30" s="35">
        <v>45947</v>
      </c>
      <c r="G30" s="44" t="s">
        <v>819</v>
      </c>
      <c r="H30" s="34">
        <v>10597</v>
      </c>
      <c r="I30" s="44" t="s">
        <v>373</v>
      </c>
      <c r="J30" s="46">
        <v>30166</v>
      </c>
      <c r="K30" s="32"/>
    </row>
    <row r="31" spans="1:11" ht="16.5" thickBot="1" x14ac:dyDescent="0.3">
      <c r="A31" s="43">
        <v>36</v>
      </c>
      <c r="B31" s="44" t="s">
        <v>365</v>
      </c>
      <c r="C31" s="44" t="s">
        <v>366</v>
      </c>
      <c r="D31" s="33">
        <v>33001404</v>
      </c>
      <c r="E31" s="35">
        <v>45951</v>
      </c>
      <c r="F31" s="35">
        <v>45947</v>
      </c>
      <c r="G31" s="44" t="s">
        <v>820</v>
      </c>
      <c r="H31" s="34">
        <v>10605</v>
      </c>
      <c r="I31" s="44" t="s">
        <v>382</v>
      </c>
      <c r="J31" s="46">
        <v>32832</v>
      </c>
      <c r="K31" s="32"/>
    </row>
    <row r="32" spans="1:11" ht="16.5" thickBot="1" x14ac:dyDescent="0.3">
      <c r="A32" s="43">
        <v>37</v>
      </c>
      <c r="B32" s="44" t="s">
        <v>365</v>
      </c>
      <c r="C32" s="44" t="s">
        <v>366</v>
      </c>
      <c r="D32" s="33">
        <v>33001405</v>
      </c>
      <c r="E32" s="35">
        <v>45951</v>
      </c>
      <c r="F32" s="35">
        <v>45947</v>
      </c>
      <c r="G32" s="44" t="s">
        <v>821</v>
      </c>
      <c r="H32" s="34">
        <v>10505</v>
      </c>
      <c r="I32" s="44" t="s">
        <v>187</v>
      </c>
      <c r="J32" s="46">
        <v>43999</v>
      </c>
      <c r="K32" s="32"/>
    </row>
    <row r="33" spans="1:11" ht="16.5" thickBot="1" x14ac:dyDescent="0.3">
      <c r="A33" s="43">
        <v>38</v>
      </c>
      <c r="B33" s="44" t="s">
        <v>365</v>
      </c>
      <c r="C33" s="44" t="s">
        <v>366</v>
      </c>
      <c r="D33" s="33">
        <v>33001406</v>
      </c>
      <c r="E33" s="35">
        <v>45951</v>
      </c>
      <c r="F33" s="35">
        <v>45947</v>
      </c>
      <c r="G33" s="44" t="s">
        <v>822</v>
      </c>
      <c r="H33" s="34">
        <v>10419</v>
      </c>
      <c r="I33" s="44" t="s">
        <v>189</v>
      </c>
      <c r="J33" s="46">
        <v>71495</v>
      </c>
      <c r="K33" s="32"/>
    </row>
    <row r="34" spans="1:11" ht="16.5" thickBot="1" x14ac:dyDescent="0.3">
      <c r="A34" s="43">
        <v>39</v>
      </c>
      <c r="B34" s="44" t="s">
        <v>365</v>
      </c>
      <c r="C34" s="44" t="s">
        <v>366</v>
      </c>
      <c r="D34" s="33">
        <v>33001407</v>
      </c>
      <c r="E34" s="35">
        <v>45951</v>
      </c>
      <c r="F34" s="35">
        <v>45947</v>
      </c>
      <c r="G34" s="44" t="s">
        <v>823</v>
      </c>
      <c r="H34" s="34">
        <v>10573</v>
      </c>
      <c r="I34" s="44" t="s">
        <v>341</v>
      </c>
      <c r="J34" s="46">
        <v>27165</v>
      </c>
      <c r="K34" s="32"/>
    </row>
    <row r="35" spans="1:11" ht="16.5" thickBot="1" x14ac:dyDescent="0.3">
      <c r="A35" s="43">
        <v>40</v>
      </c>
      <c r="B35" s="44" t="s">
        <v>365</v>
      </c>
      <c r="C35" s="44" t="s">
        <v>366</v>
      </c>
      <c r="D35" s="33">
        <v>33001408</v>
      </c>
      <c r="E35" s="35">
        <v>45951</v>
      </c>
      <c r="F35" s="35">
        <v>45947</v>
      </c>
      <c r="G35" s="44" t="s">
        <v>822</v>
      </c>
      <c r="H35" s="34">
        <v>10419</v>
      </c>
      <c r="I35" s="44" t="s">
        <v>189</v>
      </c>
      <c r="J35" s="46">
        <v>25316</v>
      </c>
      <c r="K35" s="32"/>
    </row>
    <row r="36" spans="1:11" ht="16.5" thickBot="1" x14ac:dyDescent="0.3">
      <c r="A36" s="43">
        <v>41</v>
      </c>
      <c r="B36" s="44" t="s">
        <v>365</v>
      </c>
      <c r="C36" s="44" t="s">
        <v>366</v>
      </c>
      <c r="D36" s="33">
        <v>33001409</v>
      </c>
      <c r="E36" s="35">
        <v>45951</v>
      </c>
      <c r="F36" s="35">
        <v>45947</v>
      </c>
      <c r="G36" s="44" t="s">
        <v>824</v>
      </c>
      <c r="H36" s="34">
        <v>10636</v>
      </c>
      <c r="I36" s="44" t="s">
        <v>422</v>
      </c>
      <c r="J36" s="46">
        <v>37973</v>
      </c>
      <c r="K36" s="32"/>
    </row>
    <row r="37" spans="1:11" ht="16.5" thickBot="1" x14ac:dyDescent="0.3">
      <c r="A37" s="43">
        <v>43</v>
      </c>
      <c r="B37" s="44" t="s">
        <v>365</v>
      </c>
      <c r="C37" s="44" t="s">
        <v>366</v>
      </c>
      <c r="D37" s="33">
        <v>33001411</v>
      </c>
      <c r="E37" s="35">
        <v>45951</v>
      </c>
      <c r="F37" s="35">
        <v>45950</v>
      </c>
      <c r="G37" s="44" t="s">
        <v>825</v>
      </c>
      <c r="H37" s="34">
        <v>10030</v>
      </c>
      <c r="I37" s="44" t="s">
        <v>43</v>
      </c>
      <c r="J37" s="46">
        <v>6486</v>
      </c>
      <c r="K37" s="32"/>
    </row>
    <row r="38" spans="1:11" ht="16.5" thickBot="1" x14ac:dyDescent="0.3">
      <c r="A38" s="43">
        <v>44</v>
      </c>
      <c r="B38" s="44" t="s">
        <v>365</v>
      </c>
      <c r="C38" s="44" t="s">
        <v>366</v>
      </c>
      <c r="D38" s="33">
        <v>33001412</v>
      </c>
      <c r="E38" s="35">
        <v>45951</v>
      </c>
      <c r="F38" s="35">
        <v>45950</v>
      </c>
      <c r="G38" s="44" t="s">
        <v>826</v>
      </c>
      <c r="H38" s="34">
        <v>10032</v>
      </c>
      <c r="I38" s="44" t="s">
        <v>46</v>
      </c>
      <c r="J38" s="46">
        <v>4315</v>
      </c>
      <c r="K38" s="32"/>
    </row>
    <row r="39" spans="1:11" ht="16.5" thickBot="1" x14ac:dyDescent="0.3">
      <c r="A39" s="43">
        <v>45</v>
      </c>
      <c r="B39" s="44" t="s">
        <v>365</v>
      </c>
      <c r="C39" s="44" t="s">
        <v>366</v>
      </c>
      <c r="D39" s="33">
        <v>33001413</v>
      </c>
      <c r="E39" s="35">
        <v>45951</v>
      </c>
      <c r="F39" s="35">
        <v>45950</v>
      </c>
      <c r="G39" s="44" t="s">
        <v>827</v>
      </c>
      <c r="H39" s="34">
        <v>10019</v>
      </c>
      <c r="I39" s="44" t="s">
        <v>25</v>
      </c>
      <c r="J39" s="46">
        <v>3301</v>
      </c>
      <c r="K39" s="32"/>
    </row>
    <row r="40" spans="1:11" ht="16.5" thickBot="1" x14ac:dyDescent="0.3">
      <c r="A40" s="43">
        <v>46</v>
      </c>
      <c r="B40" s="44" t="s">
        <v>365</v>
      </c>
      <c r="C40" s="44" t="s">
        <v>366</v>
      </c>
      <c r="D40" s="33">
        <v>33001414</v>
      </c>
      <c r="E40" s="35">
        <v>45951</v>
      </c>
      <c r="F40" s="35">
        <v>45950</v>
      </c>
      <c r="G40" s="44" t="s">
        <v>828</v>
      </c>
      <c r="H40" s="34">
        <v>10063</v>
      </c>
      <c r="I40" s="44" t="s">
        <v>193</v>
      </c>
      <c r="J40" s="46">
        <v>3301</v>
      </c>
      <c r="K40" s="32"/>
    </row>
    <row r="41" spans="1:11" ht="16.5" thickBot="1" x14ac:dyDescent="0.3">
      <c r="A41" s="43">
        <v>47</v>
      </c>
      <c r="B41" s="44" t="s">
        <v>365</v>
      </c>
      <c r="C41" s="44" t="s">
        <v>366</v>
      </c>
      <c r="D41" s="33">
        <v>33001415</v>
      </c>
      <c r="E41" s="35">
        <v>45951</v>
      </c>
      <c r="F41" s="35">
        <v>45950</v>
      </c>
      <c r="G41" s="44" t="s">
        <v>829</v>
      </c>
      <c r="H41" s="34">
        <v>10290</v>
      </c>
      <c r="I41" s="44" t="s">
        <v>854</v>
      </c>
      <c r="J41" s="46">
        <v>3272</v>
      </c>
      <c r="K41" s="32"/>
    </row>
    <row r="42" spans="1:11" ht="16.5" thickBot="1" x14ac:dyDescent="0.3">
      <c r="A42" s="43">
        <v>48</v>
      </c>
      <c r="B42" s="44" t="s">
        <v>365</v>
      </c>
      <c r="C42" s="44" t="s">
        <v>366</v>
      </c>
      <c r="D42" s="33">
        <v>33001416</v>
      </c>
      <c r="E42" s="35">
        <v>45951</v>
      </c>
      <c r="F42" s="35">
        <v>45950</v>
      </c>
      <c r="G42" s="44" t="s">
        <v>830</v>
      </c>
      <c r="H42" s="34">
        <v>10558</v>
      </c>
      <c r="I42" s="44" t="s">
        <v>734</v>
      </c>
      <c r="J42" s="46">
        <v>3214</v>
      </c>
      <c r="K42" s="32"/>
    </row>
    <row r="43" spans="1:11" ht="16.5" thickBot="1" x14ac:dyDescent="0.3">
      <c r="A43" s="43">
        <v>49</v>
      </c>
      <c r="B43" s="44" t="s">
        <v>365</v>
      </c>
      <c r="C43" s="44" t="s">
        <v>366</v>
      </c>
      <c r="D43" s="33">
        <v>33001417</v>
      </c>
      <c r="E43" s="35">
        <v>45951</v>
      </c>
      <c r="F43" s="35">
        <v>45950</v>
      </c>
      <c r="G43" s="44" t="s">
        <v>831</v>
      </c>
      <c r="H43" s="34">
        <v>10391</v>
      </c>
      <c r="I43" s="44" t="s">
        <v>243</v>
      </c>
      <c r="J43" s="46">
        <v>3185</v>
      </c>
      <c r="K43" s="32"/>
    </row>
    <row r="44" spans="1:11" ht="16.5" thickBot="1" x14ac:dyDescent="0.3">
      <c r="A44" s="43">
        <v>50</v>
      </c>
      <c r="B44" s="44" t="s">
        <v>365</v>
      </c>
      <c r="C44" s="44" t="s">
        <v>366</v>
      </c>
      <c r="D44" s="33">
        <v>33001418</v>
      </c>
      <c r="E44" s="35">
        <v>45951</v>
      </c>
      <c r="F44" s="35">
        <v>45950</v>
      </c>
      <c r="G44" s="44" t="s">
        <v>832</v>
      </c>
      <c r="H44" s="34">
        <v>10527</v>
      </c>
      <c r="I44" s="44" t="s">
        <v>224</v>
      </c>
      <c r="J44" s="46">
        <v>2925</v>
      </c>
      <c r="K44" s="32"/>
    </row>
    <row r="45" spans="1:11" ht="16.5" thickBot="1" x14ac:dyDescent="0.3">
      <c r="A45" s="43">
        <v>51</v>
      </c>
      <c r="B45" s="44" t="s">
        <v>365</v>
      </c>
      <c r="C45" s="44" t="s">
        <v>366</v>
      </c>
      <c r="D45" s="33">
        <v>33001440</v>
      </c>
      <c r="E45" s="35">
        <v>45951</v>
      </c>
      <c r="F45" s="35" t="s">
        <v>844</v>
      </c>
      <c r="G45" s="44" t="s">
        <v>833</v>
      </c>
      <c r="H45" s="34">
        <v>10606</v>
      </c>
      <c r="I45" s="44" t="s">
        <v>383</v>
      </c>
      <c r="J45" s="46">
        <v>26548</v>
      </c>
      <c r="K45" s="32"/>
    </row>
    <row r="46" spans="1:11" ht="16.5" thickBot="1" x14ac:dyDescent="0.3">
      <c r="A46" s="43">
        <v>52</v>
      </c>
      <c r="B46" s="44" t="s">
        <v>365</v>
      </c>
      <c r="C46" s="44" t="s">
        <v>366</v>
      </c>
      <c r="D46" s="33">
        <v>33001441</v>
      </c>
      <c r="E46" s="35">
        <v>45951</v>
      </c>
      <c r="F46" s="35" t="s">
        <v>844</v>
      </c>
      <c r="G46" s="44" t="s">
        <v>834</v>
      </c>
      <c r="H46" s="34">
        <v>10590</v>
      </c>
      <c r="I46" s="44" t="s">
        <v>372</v>
      </c>
      <c r="J46" s="46">
        <v>25606</v>
      </c>
      <c r="K46" s="32"/>
    </row>
    <row r="47" spans="1:11" ht="16.5" thickBot="1" x14ac:dyDescent="0.3">
      <c r="A47" s="43">
        <v>53</v>
      </c>
      <c r="B47" s="44" t="s">
        <v>365</v>
      </c>
      <c r="C47" s="44" t="s">
        <v>366</v>
      </c>
      <c r="D47" s="33">
        <v>33001442</v>
      </c>
      <c r="E47" s="35">
        <v>45951</v>
      </c>
      <c r="F47" s="35" t="s">
        <v>844</v>
      </c>
      <c r="G47" s="44" t="s">
        <v>835</v>
      </c>
      <c r="H47" s="34">
        <v>10598</v>
      </c>
      <c r="I47" s="44" t="s">
        <v>374</v>
      </c>
      <c r="J47" s="46">
        <v>27093</v>
      </c>
      <c r="K47" s="32"/>
    </row>
    <row r="48" spans="1:11" ht="16.5" thickBot="1" x14ac:dyDescent="0.3">
      <c r="A48" s="43">
        <v>54</v>
      </c>
      <c r="B48" s="44" t="s">
        <v>365</v>
      </c>
      <c r="C48" s="44" t="s">
        <v>366</v>
      </c>
      <c r="D48" s="33">
        <v>33001443</v>
      </c>
      <c r="E48" s="35">
        <v>45951</v>
      </c>
      <c r="F48" s="35" t="s">
        <v>844</v>
      </c>
      <c r="G48" s="44" t="s">
        <v>836</v>
      </c>
      <c r="H48" s="34">
        <v>10562</v>
      </c>
      <c r="I48" s="44" t="s">
        <v>394</v>
      </c>
      <c r="J48" s="46">
        <v>25801</v>
      </c>
      <c r="K48" s="32"/>
    </row>
    <row r="49" spans="1:11" ht="16.5" thickBot="1" x14ac:dyDescent="0.3">
      <c r="A49" s="43">
        <v>55</v>
      </c>
      <c r="B49" s="44" t="s">
        <v>365</v>
      </c>
      <c r="C49" s="44" t="s">
        <v>366</v>
      </c>
      <c r="D49" s="33">
        <v>33001444</v>
      </c>
      <c r="E49" s="35">
        <v>45951</v>
      </c>
      <c r="F49" s="35" t="s">
        <v>844</v>
      </c>
      <c r="G49" s="44" t="s">
        <v>837</v>
      </c>
      <c r="H49" s="34">
        <v>10199</v>
      </c>
      <c r="I49" s="44" t="s">
        <v>328</v>
      </c>
      <c r="J49" s="46">
        <v>26743</v>
      </c>
      <c r="K49" s="32"/>
    </row>
    <row r="50" spans="1:11" ht="16.5" thickBot="1" x14ac:dyDescent="0.3">
      <c r="A50" s="43">
        <v>56</v>
      </c>
      <c r="B50" s="44" t="s">
        <v>365</v>
      </c>
      <c r="C50" s="44" t="s">
        <v>366</v>
      </c>
      <c r="D50" s="33">
        <v>33001445</v>
      </c>
      <c r="E50" s="35">
        <v>45951</v>
      </c>
      <c r="F50" s="35" t="s">
        <v>844</v>
      </c>
      <c r="G50" s="44" t="s">
        <v>838</v>
      </c>
      <c r="H50" s="34">
        <v>10651</v>
      </c>
      <c r="I50" s="44" t="s">
        <v>562</v>
      </c>
      <c r="J50" s="46">
        <v>660</v>
      </c>
      <c r="K50" s="32"/>
    </row>
    <row r="51" spans="1:11" ht="16.5" thickBot="1" x14ac:dyDescent="0.3">
      <c r="A51" s="43">
        <v>57</v>
      </c>
      <c r="B51" s="44" t="s">
        <v>365</v>
      </c>
      <c r="C51" s="44" t="s">
        <v>366</v>
      </c>
      <c r="D51" s="33">
        <v>33001446</v>
      </c>
      <c r="E51" s="35">
        <v>45951</v>
      </c>
      <c r="F51" s="35" t="s">
        <v>844</v>
      </c>
      <c r="G51" s="44" t="s">
        <v>839</v>
      </c>
      <c r="H51" s="34">
        <v>10010</v>
      </c>
      <c r="I51" s="44" t="s">
        <v>15</v>
      </c>
      <c r="J51" s="46">
        <v>14717</v>
      </c>
      <c r="K51" s="32"/>
    </row>
    <row r="52" spans="1:11" ht="16.5" thickBot="1" x14ac:dyDescent="0.3">
      <c r="A52" s="43">
        <v>58</v>
      </c>
      <c r="B52" s="44" t="s">
        <v>365</v>
      </c>
      <c r="C52" s="44" t="s">
        <v>366</v>
      </c>
      <c r="D52" s="33">
        <v>33001455</v>
      </c>
      <c r="E52" s="35">
        <v>45951</v>
      </c>
      <c r="F52" s="35" t="s">
        <v>845</v>
      </c>
      <c r="G52" s="44" t="s">
        <v>840</v>
      </c>
      <c r="H52" s="34">
        <v>10018</v>
      </c>
      <c r="I52" s="44" t="s">
        <v>24</v>
      </c>
      <c r="J52" s="46">
        <v>48050</v>
      </c>
      <c r="K52" s="32"/>
    </row>
    <row r="53" spans="1:11" ht="16.5" thickBot="1" x14ac:dyDescent="0.3">
      <c r="A53" s="43">
        <v>59</v>
      </c>
      <c r="B53" s="44" t="s">
        <v>365</v>
      </c>
      <c r="C53" s="44" t="s">
        <v>366</v>
      </c>
      <c r="D53" s="33">
        <v>33001456</v>
      </c>
      <c r="E53" s="35">
        <v>45951</v>
      </c>
      <c r="F53" s="35" t="s">
        <v>845</v>
      </c>
      <c r="G53" s="44" t="s">
        <v>841</v>
      </c>
      <c r="H53" s="34">
        <v>10015</v>
      </c>
      <c r="I53" s="44" t="s">
        <v>20</v>
      </c>
      <c r="J53" s="46">
        <v>40600</v>
      </c>
      <c r="K53" s="32"/>
    </row>
    <row r="54" spans="1:11" ht="16.5" thickBot="1" x14ac:dyDescent="0.3">
      <c r="A54" s="43">
        <v>60</v>
      </c>
      <c r="B54" s="44" t="s">
        <v>365</v>
      </c>
      <c r="C54" s="44" t="s">
        <v>366</v>
      </c>
      <c r="D54" s="33" t="s">
        <v>843</v>
      </c>
      <c r="E54" s="35">
        <v>45951</v>
      </c>
      <c r="F54" s="35" t="s">
        <v>845</v>
      </c>
      <c r="G54" s="44" t="s">
        <v>842</v>
      </c>
      <c r="H54" s="34">
        <v>10019</v>
      </c>
      <c r="I54" s="44" t="s">
        <v>25</v>
      </c>
      <c r="J54" s="46">
        <v>86750</v>
      </c>
      <c r="K54" s="32"/>
    </row>
    <row r="55" spans="1:11" ht="16.5" thickBot="1" x14ac:dyDescent="0.3">
      <c r="A55" s="43">
        <v>61</v>
      </c>
      <c r="B55" s="44" t="s">
        <v>365</v>
      </c>
      <c r="C55" s="44" t="s">
        <v>366</v>
      </c>
      <c r="D55" s="33"/>
      <c r="E55" s="35"/>
      <c r="F55" s="35"/>
      <c r="G55" s="44"/>
      <c r="H55" s="34"/>
      <c r="I55" s="44"/>
      <c r="J55" s="46"/>
      <c r="K55" s="32"/>
    </row>
    <row r="56" spans="1:11" ht="16.5" thickBot="1" x14ac:dyDescent="0.3">
      <c r="A56" s="43">
        <v>62</v>
      </c>
      <c r="B56" s="44" t="s">
        <v>365</v>
      </c>
      <c r="C56" s="44" t="s">
        <v>366</v>
      </c>
      <c r="D56" s="33"/>
      <c r="E56" s="35"/>
      <c r="F56" s="35"/>
      <c r="G56" s="44"/>
      <c r="H56" s="34"/>
      <c r="I56" s="44"/>
      <c r="J56" s="46"/>
      <c r="K56" s="32"/>
    </row>
    <row r="57" spans="1:11" ht="16.5" thickBot="1" x14ac:dyDescent="0.3">
      <c r="A57" s="43">
        <v>63</v>
      </c>
      <c r="B57" s="44" t="s">
        <v>365</v>
      </c>
      <c r="C57" s="44" t="s">
        <v>366</v>
      </c>
      <c r="D57" s="33"/>
      <c r="E57" s="35"/>
      <c r="F57" s="35"/>
      <c r="G57" s="44"/>
      <c r="H57" s="34"/>
      <c r="I57" s="44"/>
      <c r="J57" s="46"/>
      <c r="K57" s="32"/>
    </row>
    <row r="58" spans="1:11" ht="16.5" thickBot="1" x14ac:dyDescent="0.3">
      <c r="A58" s="43">
        <v>64</v>
      </c>
      <c r="B58" s="44" t="s">
        <v>365</v>
      </c>
      <c r="C58" s="44" t="s">
        <v>366</v>
      </c>
      <c r="D58" s="33"/>
      <c r="E58" s="35"/>
      <c r="F58" s="35"/>
      <c r="G58" s="44"/>
      <c r="H58" s="34"/>
      <c r="I58" s="44"/>
      <c r="J58" s="46"/>
      <c r="K58" s="32"/>
    </row>
    <row r="59" spans="1:11" ht="16.5" thickBot="1" x14ac:dyDescent="0.3">
      <c r="A59" s="43">
        <v>65</v>
      </c>
      <c r="B59" s="44" t="s">
        <v>365</v>
      </c>
      <c r="C59" s="44" t="s">
        <v>366</v>
      </c>
      <c r="D59" s="33"/>
      <c r="E59" s="35"/>
      <c r="F59" s="35"/>
      <c r="G59" s="44"/>
      <c r="H59" s="34"/>
      <c r="I59" s="44"/>
      <c r="J59" s="46"/>
      <c r="K59" s="32"/>
    </row>
    <row r="60" spans="1:11" ht="16.5" thickBot="1" x14ac:dyDescent="0.3">
      <c r="A60" s="43">
        <v>66</v>
      </c>
      <c r="B60" s="44" t="s">
        <v>365</v>
      </c>
      <c r="C60" s="44" t="s">
        <v>366</v>
      </c>
      <c r="D60" s="33"/>
      <c r="E60" s="35"/>
      <c r="F60" s="35"/>
      <c r="G60" s="44"/>
      <c r="H60" s="34"/>
      <c r="I60" s="44"/>
      <c r="J60" s="46"/>
      <c r="K60" s="32"/>
    </row>
    <row r="61" spans="1:11" ht="16.5" thickBot="1" x14ac:dyDescent="0.3">
      <c r="A61" s="43">
        <v>67</v>
      </c>
      <c r="B61" s="44" t="s">
        <v>365</v>
      </c>
      <c r="C61" s="44" t="s">
        <v>366</v>
      </c>
      <c r="D61" s="33"/>
      <c r="E61" s="35"/>
      <c r="F61" s="35"/>
      <c r="G61" s="44"/>
      <c r="H61" s="34"/>
      <c r="I61" s="44"/>
      <c r="J61" s="46"/>
      <c r="K61" s="32"/>
    </row>
    <row r="62" spans="1:11" ht="16.5" thickBot="1" x14ac:dyDescent="0.3">
      <c r="A62" s="43">
        <v>68</v>
      </c>
      <c r="B62" s="44" t="s">
        <v>365</v>
      </c>
      <c r="C62" s="44" t="s">
        <v>366</v>
      </c>
      <c r="D62" s="33"/>
      <c r="E62" s="35"/>
      <c r="F62" s="35"/>
      <c r="G62" s="44"/>
      <c r="H62" s="34"/>
      <c r="I62" s="44"/>
      <c r="J62" s="46"/>
      <c r="K62" s="32"/>
    </row>
    <row r="63" spans="1:11" ht="16.5" thickBot="1" x14ac:dyDescent="0.3">
      <c r="A63" s="43">
        <v>69</v>
      </c>
      <c r="B63" s="44" t="s">
        <v>365</v>
      </c>
      <c r="C63" s="44" t="s">
        <v>366</v>
      </c>
      <c r="D63" s="33"/>
      <c r="E63" s="35"/>
      <c r="F63" s="35"/>
      <c r="G63" s="44"/>
      <c r="H63" s="34"/>
      <c r="I63" s="44"/>
      <c r="J63" s="46"/>
      <c r="K63" s="32"/>
    </row>
    <row r="64" spans="1:11" ht="16.5" thickBot="1" x14ac:dyDescent="0.3">
      <c r="A64" s="43">
        <v>70</v>
      </c>
      <c r="B64" s="44" t="s">
        <v>365</v>
      </c>
      <c r="C64" s="44" t="s">
        <v>366</v>
      </c>
      <c r="D64" s="33"/>
      <c r="E64" s="35"/>
      <c r="F64" s="35"/>
      <c r="G64" s="44"/>
      <c r="H64" s="34"/>
      <c r="I64" s="44"/>
      <c r="J64" s="46"/>
      <c r="K64" s="32"/>
    </row>
    <row r="65" spans="1:11" ht="16.5" thickBot="1" x14ac:dyDescent="0.3">
      <c r="A65" s="43">
        <v>71</v>
      </c>
      <c r="B65" s="44" t="s">
        <v>365</v>
      </c>
      <c r="C65" s="44" t="s">
        <v>366</v>
      </c>
      <c r="D65" s="33"/>
      <c r="E65" s="35"/>
      <c r="F65" s="35"/>
      <c r="G65" s="44"/>
      <c r="H65" s="34"/>
      <c r="I65" s="44"/>
      <c r="J65" s="46"/>
      <c r="K65" s="32"/>
    </row>
    <row r="66" spans="1:11" ht="16.5" thickBot="1" x14ac:dyDescent="0.3">
      <c r="A66" s="43">
        <v>72</v>
      </c>
      <c r="B66" s="44" t="s">
        <v>365</v>
      </c>
      <c r="C66" s="44" t="s">
        <v>366</v>
      </c>
      <c r="D66" s="33"/>
      <c r="E66" s="35"/>
      <c r="F66" s="35"/>
      <c r="G66" s="44"/>
      <c r="H66" s="34"/>
      <c r="I66" s="44"/>
      <c r="J66" s="46"/>
      <c r="K66" s="32"/>
    </row>
    <row r="67" spans="1:11" ht="16.5" thickBot="1" x14ac:dyDescent="0.3">
      <c r="A67" s="43">
        <v>73</v>
      </c>
      <c r="B67" s="44" t="s">
        <v>365</v>
      </c>
      <c r="C67" s="44" t="s">
        <v>366</v>
      </c>
      <c r="D67" s="33"/>
      <c r="E67" s="35"/>
      <c r="F67" s="35"/>
      <c r="G67" s="44"/>
      <c r="H67" s="34"/>
      <c r="I67" s="44"/>
      <c r="J67" s="46"/>
      <c r="K67" s="32"/>
    </row>
    <row r="68" spans="1:11" ht="16.5" thickBot="1" x14ac:dyDescent="0.3">
      <c r="A68" s="43">
        <v>74</v>
      </c>
      <c r="B68" s="44" t="s">
        <v>365</v>
      </c>
      <c r="C68" s="44" t="s">
        <v>366</v>
      </c>
      <c r="D68" s="33"/>
      <c r="E68" s="35"/>
      <c r="F68" s="35"/>
      <c r="G68" s="44"/>
      <c r="H68" s="34"/>
      <c r="I68" s="44"/>
      <c r="J68" s="46"/>
      <c r="K68" s="32"/>
    </row>
    <row r="69" spans="1:11" ht="16.5" thickBot="1" x14ac:dyDescent="0.3">
      <c r="A69" s="43">
        <v>75</v>
      </c>
      <c r="B69" s="44" t="s">
        <v>365</v>
      </c>
      <c r="C69" s="44" t="s">
        <v>366</v>
      </c>
      <c r="D69" s="33"/>
      <c r="E69" s="35"/>
      <c r="F69" s="35"/>
      <c r="G69" s="44"/>
      <c r="H69" s="34"/>
      <c r="I69" s="44"/>
      <c r="J69" s="46"/>
      <c r="K69" s="32"/>
    </row>
    <row r="70" spans="1:11" ht="16.5" thickBot="1" x14ac:dyDescent="0.3">
      <c r="A70" s="43">
        <v>76</v>
      </c>
      <c r="B70" s="44" t="s">
        <v>365</v>
      </c>
      <c r="C70" s="44" t="s">
        <v>366</v>
      </c>
      <c r="D70" s="33"/>
      <c r="E70" s="35"/>
      <c r="F70" s="35"/>
      <c r="G70" s="44"/>
      <c r="H70" s="34"/>
      <c r="I70" s="44"/>
      <c r="J70" s="46"/>
      <c r="K70" s="32"/>
    </row>
    <row r="71" spans="1:11" ht="16.5" thickBot="1" x14ac:dyDescent="0.3">
      <c r="A71" s="43">
        <v>77</v>
      </c>
      <c r="B71" s="44" t="s">
        <v>365</v>
      </c>
      <c r="C71" s="44" t="s">
        <v>366</v>
      </c>
      <c r="D71" s="33"/>
      <c r="E71" s="35"/>
      <c r="F71" s="35"/>
      <c r="G71" s="44"/>
      <c r="H71" s="34"/>
      <c r="I71" s="44"/>
      <c r="J71" s="46"/>
      <c r="K71" s="32"/>
    </row>
    <row r="72" spans="1:11" ht="16.5" thickBot="1" x14ac:dyDescent="0.3">
      <c r="A72" s="43">
        <v>78</v>
      </c>
      <c r="B72" s="44" t="s">
        <v>365</v>
      </c>
      <c r="C72" s="44" t="s">
        <v>366</v>
      </c>
      <c r="D72" s="33"/>
      <c r="E72" s="35"/>
      <c r="F72" s="35"/>
      <c r="G72" s="44"/>
      <c r="H72" s="34"/>
      <c r="I72" s="44"/>
      <c r="J72" s="46"/>
      <c r="K72" s="32"/>
    </row>
    <row r="73" spans="1:11" ht="16.5" thickBot="1" x14ac:dyDescent="0.3">
      <c r="A73" s="43">
        <v>79</v>
      </c>
      <c r="B73" s="44" t="s">
        <v>365</v>
      </c>
      <c r="C73" s="44" t="s">
        <v>366</v>
      </c>
      <c r="D73" s="33"/>
      <c r="E73" s="35"/>
      <c r="F73" s="35"/>
      <c r="G73" s="44"/>
      <c r="H73" s="34"/>
      <c r="I73" s="44"/>
      <c r="J73" s="46"/>
      <c r="K73" s="32"/>
    </row>
    <row r="74" spans="1:11" ht="16.5" thickBot="1" x14ac:dyDescent="0.3">
      <c r="A74" s="43">
        <v>80</v>
      </c>
      <c r="B74" s="44" t="s">
        <v>365</v>
      </c>
      <c r="C74" s="44" t="s">
        <v>366</v>
      </c>
      <c r="D74" s="33"/>
      <c r="E74" s="35"/>
      <c r="F74" s="35"/>
      <c r="G74" s="44"/>
      <c r="H74" s="34"/>
      <c r="I74" s="44"/>
      <c r="J74" s="46"/>
      <c r="K74" s="32"/>
    </row>
    <row r="75" spans="1:11" ht="16.5" thickBot="1" x14ac:dyDescent="0.3">
      <c r="A75" s="43">
        <v>81</v>
      </c>
      <c r="B75" s="44" t="s">
        <v>365</v>
      </c>
      <c r="C75" s="44" t="s">
        <v>366</v>
      </c>
      <c r="D75" s="33"/>
      <c r="E75" s="35"/>
      <c r="F75" s="35"/>
      <c r="G75" s="44"/>
      <c r="H75" s="34"/>
      <c r="I75" s="44"/>
      <c r="J75" s="46"/>
      <c r="K75" s="32"/>
    </row>
    <row r="76" spans="1:11" ht="16.5" thickBot="1" x14ac:dyDescent="0.3">
      <c r="A76" s="43">
        <v>82</v>
      </c>
      <c r="B76" s="44" t="s">
        <v>365</v>
      </c>
      <c r="C76" s="44" t="s">
        <v>366</v>
      </c>
      <c r="D76" s="33"/>
      <c r="E76" s="35"/>
      <c r="F76" s="35"/>
      <c r="G76" s="34"/>
      <c r="H76" s="34"/>
      <c r="I76" s="34"/>
      <c r="J76" s="46"/>
      <c r="K76" s="32"/>
    </row>
    <row r="77" spans="1:11" ht="16.5" thickBot="1" x14ac:dyDescent="0.3">
      <c r="A77" s="43"/>
      <c r="B77" s="44"/>
      <c r="C77" s="44"/>
      <c r="D77" s="33"/>
      <c r="E77" s="35"/>
      <c r="F77" s="35"/>
      <c r="G77" s="44"/>
      <c r="H77" s="34"/>
      <c r="I77" s="44"/>
      <c r="J77" s="46"/>
      <c r="K77" s="32"/>
    </row>
    <row r="78" spans="1:11" ht="16.5" thickBot="1" x14ac:dyDescent="0.3">
      <c r="A78" s="43"/>
      <c r="B78" s="44"/>
      <c r="C78" s="44"/>
      <c r="D78" s="33"/>
      <c r="E78" s="35"/>
      <c r="F78" s="35"/>
      <c r="G78" s="44"/>
      <c r="H78" s="34"/>
      <c r="I78" s="44"/>
      <c r="J78" s="46"/>
      <c r="K78" s="32"/>
    </row>
    <row r="79" spans="1:11" ht="16.5" thickBot="1" x14ac:dyDescent="0.3">
      <c r="A79" s="43"/>
      <c r="B79" s="44"/>
      <c r="C79" s="44"/>
      <c r="D79" s="33"/>
      <c r="E79" s="35"/>
      <c r="F79" s="35"/>
      <c r="G79" s="44"/>
      <c r="H79" s="34"/>
      <c r="I79" s="44"/>
      <c r="J79" s="46"/>
      <c r="K79" s="32"/>
    </row>
    <row r="80" spans="1:11" ht="16.5" thickBot="1" x14ac:dyDescent="0.3">
      <c r="A80" s="43"/>
      <c r="B80" s="44"/>
      <c r="C80" s="44"/>
      <c r="D80" s="33"/>
      <c r="E80" s="35"/>
      <c r="F80" s="35"/>
      <c r="G80" s="44"/>
      <c r="H80" s="34"/>
      <c r="I80" s="44"/>
      <c r="J80" s="46"/>
      <c r="K80" s="32"/>
    </row>
    <row r="81" spans="1:11" ht="16.5" thickBot="1" x14ac:dyDescent="0.3">
      <c r="A81" s="43"/>
      <c r="B81" s="44"/>
      <c r="C81" s="44"/>
      <c r="D81" s="33"/>
      <c r="E81" s="35"/>
      <c r="F81" s="35"/>
      <c r="G81" s="44"/>
      <c r="H81" s="34"/>
      <c r="I81" s="44"/>
      <c r="J81" s="46"/>
      <c r="K81" s="32"/>
    </row>
    <row r="82" spans="1:11" ht="16.5" thickBot="1" x14ac:dyDescent="0.3">
      <c r="A82" s="43"/>
      <c r="B82" s="44"/>
      <c r="C82" s="44"/>
      <c r="D82" s="33"/>
      <c r="E82" s="35"/>
      <c r="F82" s="35"/>
      <c r="G82" s="44"/>
      <c r="H82" s="34"/>
      <c r="I82" s="44"/>
      <c r="J82" s="46"/>
      <c r="K82" s="32"/>
    </row>
    <row r="83" spans="1:11" ht="16.5" thickBot="1" x14ac:dyDescent="0.3">
      <c r="A83" s="43"/>
      <c r="B83" s="44"/>
      <c r="C83" s="44"/>
      <c r="D83" s="33"/>
      <c r="E83" s="35"/>
      <c r="F83" s="35"/>
      <c r="G83" s="44"/>
      <c r="H83" s="34"/>
      <c r="I83" s="44"/>
      <c r="J83" s="46"/>
      <c r="K83" s="32"/>
    </row>
    <row r="84" spans="1:11" ht="16.5" thickBot="1" x14ac:dyDescent="0.3">
      <c r="A84" s="43"/>
      <c r="B84" s="44"/>
      <c r="C84" s="44"/>
      <c r="D84" s="33"/>
      <c r="E84" s="35"/>
      <c r="F84" s="35"/>
      <c r="G84" s="44"/>
      <c r="H84" s="34"/>
      <c r="I84" s="44"/>
      <c r="J84" s="46"/>
      <c r="K84" s="32"/>
    </row>
    <row r="85" spans="1:11" ht="16.5" thickBot="1" x14ac:dyDescent="0.3">
      <c r="A85" s="43"/>
      <c r="B85" s="44"/>
      <c r="C85" s="44"/>
      <c r="D85" s="33"/>
      <c r="E85" s="35"/>
      <c r="F85" s="35"/>
      <c r="G85" s="44"/>
      <c r="H85" s="34"/>
      <c r="I85" s="44"/>
      <c r="J85" s="46"/>
      <c r="K85" s="32"/>
    </row>
    <row r="86" spans="1:11" ht="16.5" thickBot="1" x14ac:dyDescent="0.3">
      <c r="A86" s="43"/>
      <c r="B86" s="44"/>
      <c r="C86" s="44"/>
      <c r="D86" s="33"/>
      <c r="E86" s="35"/>
      <c r="F86" s="35"/>
      <c r="G86" s="44"/>
      <c r="H86" s="34"/>
      <c r="I86" s="44"/>
      <c r="J86" s="46"/>
      <c r="K86" s="32"/>
    </row>
    <row r="87" spans="1:11" ht="16.5" thickBot="1" x14ac:dyDescent="0.3">
      <c r="A87" s="43"/>
      <c r="B87" s="44"/>
      <c r="C87" s="44"/>
      <c r="D87" s="33"/>
      <c r="E87" s="35"/>
      <c r="F87" s="35"/>
      <c r="G87" s="44"/>
      <c r="H87" s="34"/>
      <c r="I87" s="44"/>
      <c r="J87" s="46"/>
      <c r="K87" s="32"/>
    </row>
    <row r="88" spans="1:11" ht="16.5" thickBot="1" x14ac:dyDescent="0.3">
      <c r="A88" s="43"/>
      <c r="B88" s="44"/>
      <c r="C88" s="44"/>
      <c r="D88" s="33"/>
      <c r="E88" s="35"/>
      <c r="F88" s="35"/>
      <c r="G88" s="44"/>
      <c r="H88" s="34"/>
      <c r="I88" s="44"/>
      <c r="J88" s="46"/>
      <c r="K88" s="32"/>
    </row>
    <row r="89" spans="1:11" ht="16.5" thickBot="1" x14ac:dyDescent="0.3">
      <c r="A89" s="43"/>
      <c r="B89" s="44"/>
      <c r="C89" s="44"/>
      <c r="D89" s="33"/>
      <c r="E89" s="35"/>
      <c r="F89" s="35"/>
      <c r="G89" s="44"/>
      <c r="H89" s="34"/>
      <c r="I89" s="44"/>
      <c r="J89" s="46"/>
      <c r="K89" s="32"/>
    </row>
    <row r="90" spans="1:11" ht="16.5" thickBot="1" x14ac:dyDescent="0.3">
      <c r="A90" s="43"/>
      <c r="B90" s="44"/>
      <c r="C90" s="44"/>
      <c r="D90" s="33"/>
      <c r="E90" s="35"/>
      <c r="F90" s="35"/>
      <c r="G90" s="44"/>
      <c r="H90" s="34"/>
      <c r="I90" s="44"/>
      <c r="J90" s="46"/>
      <c r="K90" s="32"/>
    </row>
    <row r="91" spans="1:11" ht="16.5" thickBot="1" x14ac:dyDescent="0.3">
      <c r="A91" s="43"/>
      <c r="B91" s="44"/>
      <c r="C91" s="44"/>
      <c r="D91" s="33"/>
      <c r="E91" s="35"/>
      <c r="F91" s="35"/>
      <c r="G91" s="44"/>
      <c r="H91" s="34"/>
      <c r="I91" s="44"/>
      <c r="J91" s="46"/>
      <c r="K91" s="32"/>
    </row>
    <row r="92" spans="1:11" ht="16.5" thickBot="1" x14ac:dyDescent="0.3">
      <c r="A92" s="43"/>
      <c r="B92" s="44"/>
      <c r="C92" s="44"/>
      <c r="D92" s="33"/>
      <c r="E92" s="35"/>
      <c r="F92" s="35"/>
      <c r="G92" s="44"/>
      <c r="H92" s="34"/>
      <c r="I92" s="44"/>
      <c r="J92" s="46"/>
      <c r="K92" s="32"/>
    </row>
    <row r="93" spans="1:11" ht="16.5" thickBot="1" x14ac:dyDescent="0.3">
      <c r="A93" s="43"/>
      <c r="B93" s="44"/>
      <c r="C93" s="44"/>
      <c r="D93" s="33"/>
      <c r="E93" s="35"/>
      <c r="F93" s="35"/>
      <c r="G93" s="44"/>
      <c r="H93" s="34"/>
      <c r="I93" s="44"/>
      <c r="J93" s="46"/>
      <c r="K93" s="32"/>
    </row>
    <row r="94" spans="1:11" ht="16.5" thickBot="1" x14ac:dyDescent="0.3">
      <c r="A94" s="43"/>
      <c r="B94" s="44"/>
      <c r="C94" s="44"/>
      <c r="D94" s="33"/>
      <c r="E94" s="35"/>
      <c r="F94" s="35"/>
      <c r="G94" s="44"/>
      <c r="H94" s="34"/>
      <c r="I94" s="44"/>
      <c r="J94" s="46"/>
      <c r="K94" s="32"/>
    </row>
    <row r="95" spans="1:11" ht="16.5" thickBot="1" x14ac:dyDescent="0.3">
      <c r="A95" s="43"/>
      <c r="B95" s="44"/>
      <c r="C95" s="44"/>
      <c r="D95" s="33"/>
      <c r="E95" s="35"/>
      <c r="F95" s="35"/>
      <c r="G95" s="44"/>
      <c r="H95" s="34"/>
      <c r="I95" s="34"/>
      <c r="J95" s="46"/>
      <c r="K95" s="32"/>
    </row>
    <row r="96" spans="1:11" ht="16.5" thickBot="1" x14ac:dyDescent="0.3">
      <c r="A96" s="43"/>
      <c r="B96" s="44"/>
      <c r="C96" s="44"/>
      <c r="D96" s="33"/>
      <c r="E96" s="35"/>
      <c r="F96" s="35"/>
      <c r="G96" s="44"/>
      <c r="H96" s="34"/>
      <c r="I96" s="44"/>
      <c r="J96" s="46"/>
      <c r="K96" s="32"/>
    </row>
    <row r="97" spans="1:11" ht="16.5" thickBot="1" x14ac:dyDescent="0.3">
      <c r="A97" s="43"/>
      <c r="B97" s="44"/>
      <c r="C97" s="44"/>
      <c r="D97" s="33"/>
      <c r="E97" s="35"/>
      <c r="F97" s="35"/>
      <c r="G97" s="44"/>
      <c r="H97" s="34"/>
      <c r="I97" s="34"/>
      <c r="J97" s="46"/>
      <c r="K97" s="32"/>
    </row>
    <row r="98" spans="1:11" ht="16.5" thickBot="1" x14ac:dyDescent="0.3">
      <c r="A98" s="43"/>
      <c r="B98" s="44"/>
      <c r="C98" s="44"/>
      <c r="D98" s="33"/>
      <c r="E98" s="35"/>
      <c r="F98" s="35"/>
      <c r="G98" s="34"/>
      <c r="H98" s="34"/>
      <c r="I98" s="34"/>
      <c r="J98" s="46"/>
      <c r="K98" s="32"/>
    </row>
    <row r="99" spans="1:11" ht="16.5" thickBot="1" x14ac:dyDescent="0.3">
      <c r="A99" s="43"/>
      <c r="B99" s="44"/>
      <c r="C99" s="44"/>
      <c r="D99" s="33"/>
      <c r="E99" s="35"/>
      <c r="F99" s="35"/>
      <c r="G99" s="34"/>
      <c r="H99" s="34"/>
      <c r="I99" s="34"/>
      <c r="J99" s="46"/>
      <c r="K99" s="32"/>
    </row>
    <row r="100" spans="1:11" ht="16.5" thickBot="1" x14ac:dyDescent="0.3">
      <c r="A100" s="43"/>
      <c r="B100" s="44"/>
      <c r="C100" s="44"/>
      <c r="D100" s="33"/>
      <c r="E100" s="35"/>
      <c r="F100" s="35"/>
      <c r="G100" s="34"/>
      <c r="H100" s="34"/>
      <c r="I100" s="34"/>
      <c r="J100" s="46"/>
      <c r="K100" s="32"/>
    </row>
    <row r="101" spans="1:11" ht="16.5" thickBot="1" x14ac:dyDescent="0.3">
      <c r="A101" s="43"/>
      <c r="B101" s="44"/>
      <c r="C101" s="44"/>
      <c r="D101" s="33"/>
      <c r="E101" s="35"/>
      <c r="F101" s="35"/>
      <c r="G101" s="34"/>
      <c r="H101" s="34"/>
      <c r="I101" s="34"/>
      <c r="J101" s="46"/>
      <c r="K101" s="32"/>
    </row>
    <row r="102" spans="1:11" ht="16.5" thickBot="1" x14ac:dyDescent="0.3">
      <c r="A102" s="43"/>
      <c r="B102" s="44"/>
      <c r="C102" s="44"/>
      <c r="D102" s="33"/>
      <c r="E102" s="35"/>
      <c r="F102" s="35"/>
      <c r="G102" s="34"/>
      <c r="H102" s="34"/>
      <c r="I102" s="34"/>
      <c r="J102" s="46"/>
      <c r="K102" s="32"/>
    </row>
    <row r="103" spans="1:11" ht="16.5" thickBot="1" x14ac:dyDescent="0.3">
      <c r="A103" s="43"/>
      <c r="B103" s="44"/>
      <c r="C103" s="44"/>
      <c r="D103" s="33"/>
      <c r="E103" s="35"/>
      <c r="F103" s="35"/>
      <c r="G103" s="34"/>
      <c r="H103" s="34"/>
      <c r="I103" s="34"/>
      <c r="J103" s="46"/>
      <c r="K103" s="32"/>
    </row>
    <row r="104" spans="1:11" ht="16.5" thickBot="1" x14ac:dyDescent="0.3">
      <c r="A104" s="43"/>
      <c r="B104" s="44"/>
      <c r="C104" s="44"/>
      <c r="D104" s="33"/>
      <c r="E104" s="35"/>
      <c r="F104" s="35"/>
      <c r="G104" s="34"/>
      <c r="H104" s="34"/>
      <c r="I104" s="34"/>
      <c r="J104" s="46"/>
      <c r="K104" s="32"/>
    </row>
    <row r="105" spans="1:11" ht="16.5" thickBot="1" x14ac:dyDescent="0.3">
      <c r="A105" s="43"/>
      <c r="B105" s="44"/>
      <c r="C105" s="44"/>
      <c r="D105" s="33"/>
      <c r="E105" s="35"/>
      <c r="F105" s="35"/>
      <c r="G105" s="44"/>
      <c r="H105" s="34"/>
      <c r="I105" s="44"/>
      <c r="J105" s="46"/>
      <c r="K105" s="32"/>
    </row>
    <row r="106" spans="1:11" ht="16.5" thickBot="1" x14ac:dyDescent="0.3">
      <c r="A106" s="43"/>
      <c r="B106" s="44"/>
      <c r="C106" s="44"/>
      <c r="D106" s="33"/>
      <c r="E106" s="35"/>
      <c r="F106" s="35"/>
      <c r="G106" s="34"/>
      <c r="H106" s="34"/>
      <c r="I106" s="34"/>
      <c r="J106" s="46"/>
      <c r="K106" s="32"/>
    </row>
    <row r="107" spans="1:11" ht="16.5" thickBot="1" x14ac:dyDescent="0.3">
      <c r="A107" s="43"/>
      <c r="B107" s="44"/>
      <c r="C107" s="44"/>
      <c r="D107" s="33"/>
      <c r="E107" s="35"/>
      <c r="F107" s="35"/>
      <c r="G107" s="44"/>
      <c r="H107" s="34"/>
      <c r="I107" s="44"/>
      <c r="J107" s="46"/>
      <c r="K107" s="32"/>
    </row>
    <row r="108" spans="1:11" ht="16.5" thickBot="1" x14ac:dyDescent="0.3">
      <c r="A108" s="43"/>
      <c r="B108" s="44"/>
      <c r="C108" s="44"/>
      <c r="D108" s="33"/>
      <c r="E108" s="35"/>
      <c r="F108" s="35"/>
      <c r="G108" s="44"/>
      <c r="H108" s="34"/>
      <c r="I108" s="44"/>
      <c r="J108" s="46"/>
      <c r="K108" s="32"/>
    </row>
    <row r="109" spans="1:11" ht="16.5" thickBot="1" x14ac:dyDescent="0.3">
      <c r="A109" s="43"/>
      <c r="B109" s="44"/>
      <c r="C109" s="44"/>
      <c r="D109" s="33"/>
      <c r="E109" s="35"/>
      <c r="F109" s="35"/>
      <c r="G109" s="44"/>
      <c r="H109" s="34"/>
      <c r="I109" s="44"/>
      <c r="J109" s="46"/>
      <c r="K109" s="32"/>
    </row>
    <row r="110" spans="1:11" ht="16.5" thickBot="1" x14ac:dyDescent="0.3">
      <c r="A110" s="43"/>
      <c r="B110" s="44"/>
      <c r="C110" s="44"/>
      <c r="D110" s="33"/>
      <c r="E110" s="35"/>
      <c r="F110" s="33"/>
      <c r="G110" s="44"/>
      <c r="H110" s="34"/>
      <c r="I110" s="44"/>
      <c r="J110" s="46"/>
      <c r="K110" s="32"/>
    </row>
    <row r="111" spans="1:11" ht="16.5" thickBot="1" x14ac:dyDescent="0.3">
      <c r="A111" s="43"/>
      <c r="B111" s="44"/>
      <c r="C111" s="44"/>
      <c r="D111" s="33"/>
      <c r="E111" s="35"/>
      <c r="F111" s="35"/>
      <c r="G111" s="34"/>
      <c r="H111" s="34"/>
      <c r="I111" s="44"/>
      <c r="J111" s="46"/>
      <c r="K111" s="32"/>
    </row>
    <row r="112" spans="1:11" ht="16.5" thickBot="1" x14ac:dyDescent="0.3">
      <c r="A112" s="43"/>
      <c r="B112" s="44"/>
      <c r="C112" s="44"/>
      <c r="D112" s="33"/>
      <c r="E112" s="35"/>
      <c r="F112" s="35"/>
      <c r="G112" s="34"/>
      <c r="H112" s="34"/>
      <c r="I112" s="44"/>
      <c r="J112" s="46"/>
      <c r="K112" s="32"/>
    </row>
    <row r="113" spans="1:11" ht="16.5" thickBot="1" x14ac:dyDescent="0.3">
      <c r="A113" s="43"/>
      <c r="B113" s="44"/>
      <c r="C113" s="44"/>
      <c r="D113" s="33"/>
      <c r="E113" s="35"/>
      <c r="F113" s="35"/>
      <c r="G113" s="34"/>
      <c r="H113" s="34"/>
      <c r="I113" s="44"/>
      <c r="J113" s="46"/>
      <c r="K113" s="32"/>
    </row>
    <row r="114" spans="1:11" ht="16.5" thickBot="1" x14ac:dyDescent="0.3">
      <c r="A114" s="43"/>
      <c r="B114" s="44"/>
      <c r="C114" s="44"/>
      <c r="D114" s="33"/>
      <c r="E114" s="35"/>
      <c r="F114" s="35"/>
      <c r="G114" s="34"/>
      <c r="H114" s="34"/>
      <c r="I114" s="44"/>
      <c r="J114" s="46"/>
      <c r="K114" s="32"/>
    </row>
    <row r="115" spans="1:11" ht="16.5" thickBot="1" x14ac:dyDescent="0.3">
      <c r="A115" s="43"/>
      <c r="B115" s="44"/>
      <c r="C115" s="44"/>
      <c r="D115" s="33"/>
      <c r="E115" s="35"/>
      <c r="F115" s="35"/>
      <c r="G115" s="34"/>
      <c r="H115" s="34"/>
      <c r="I115" s="44"/>
      <c r="J115" s="46"/>
      <c r="K115" s="32"/>
    </row>
    <row r="116" spans="1:11" ht="16.5" thickBot="1" x14ac:dyDescent="0.3">
      <c r="A116" s="43"/>
      <c r="B116" s="44"/>
      <c r="C116" s="44"/>
      <c r="D116" s="33"/>
      <c r="E116" s="35"/>
      <c r="F116" s="35"/>
      <c r="G116" s="34"/>
      <c r="H116" s="34"/>
      <c r="I116" s="44"/>
      <c r="J116" s="46"/>
      <c r="K116" s="32"/>
    </row>
    <row r="117" spans="1:11" ht="16.5" thickBot="1" x14ac:dyDescent="0.3">
      <c r="A117" s="43"/>
      <c r="B117" s="44"/>
      <c r="C117" s="44"/>
      <c r="D117" s="33"/>
      <c r="E117" s="35"/>
      <c r="F117" s="35"/>
      <c r="G117" s="34"/>
      <c r="H117" s="34"/>
      <c r="I117" s="44"/>
      <c r="J117" s="46"/>
      <c r="K117" s="32"/>
    </row>
    <row r="118" spans="1:11" ht="16.5" thickBot="1" x14ac:dyDescent="0.3">
      <c r="A118" s="43"/>
      <c r="B118" s="44"/>
      <c r="C118" s="44"/>
      <c r="D118" s="33"/>
      <c r="E118" s="35"/>
      <c r="F118" s="33"/>
      <c r="G118" s="34"/>
      <c r="H118" s="34"/>
      <c r="I118" s="44"/>
      <c r="J118" s="46"/>
      <c r="K118" s="32"/>
    </row>
    <row r="119" spans="1:11" ht="16.5" thickBot="1" x14ac:dyDescent="0.3">
      <c r="A119" s="43"/>
      <c r="B119" s="44"/>
      <c r="C119" s="44"/>
      <c r="D119" s="33"/>
      <c r="E119" s="35"/>
      <c r="F119" s="33"/>
      <c r="G119" s="34"/>
      <c r="H119" s="34"/>
      <c r="I119" s="44"/>
      <c r="J119" s="46"/>
      <c r="K119" s="32"/>
    </row>
    <row r="120" spans="1:11" ht="16.5" thickBot="1" x14ac:dyDescent="0.3">
      <c r="A120" s="43"/>
      <c r="B120" s="44"/>
      <c r="C120" s="44"/>
      <c r="D120" s="33"/>
      <c r="E120" s="35"/>
      <c r="F120" s="33"/>
      <c r="G120" s="34"/>
      <c r="H120" s="34"/>
      <c r="I120" s="44"/>
      <c r="J120" s="46"/>
      <c r="K120" s="32"/>
    </row>
  </sheetData>
  <autoFilter ref="A1:K76"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7"/>
  <sheetViews>
    <sheetView topLeftCell="F1" workbookViewId="0">
      <selection activeCell="F24" sqref="F24"/>
    </sheetView>
  </sheetViews>
  <sheetFormatPr defaultColWidth="9.140625" defaultRowHeight="15.75" x14ac:dyDescent="0.25"/>
  <cols>
    <col min="1" max="1" width="5.85546875" style="42" bestFit="1" customWidth="1"/>
    <col min="2" max="2" width="39.28515625" style="42" bestFit="1" customWidth="1"/>
    <col min="3" max="3" width="6.28515625" style="42" bestFit="1" customWidth="1"/>
    <col min="4" max="4" width="13.140625" style="42" bestFit="1" customWidth="1"/>
    <col min="5" max="5" width="22.7109375" style="42" bestFit="1" customWidth="1"/>
    <col min="6" max="6" width="22.7109375" style="42" customWidth="1"/>
    <col min="7" max="7" width="135.28515625" style="42" bestFit="1" customWidth="1"/>
    <col min="8" max="8" width="10.140625" style="42" customWidth="1"/>
    <col min="9" max="9" width="76.140625" style="42" customWidth="1"/>
    <col min="10" max="10" width="10.140625" style="42" customWidth="1"/>
    <col min="11" max="11" width="12.85546875" style="49" customWidth="1"/>
    <col min="12" max="12" width="73.7109375" style="50" customWidth="1"/>
    <col min="13" max="16384" width="9.140625" style="13"/>
  </cols>
  <sheetData>
    <row r="1" spans="1:12" ht="16.5" thickBot="1" x14ac:dyDescent="0.3">
      <c r="A1" s="27" t="s">
        <v>356</v>
      </c>
      <c r="B1" s="28" t="s">
        <v>357</v>
      </c>
      <c r="C1" s="28" t="s">
        <v>358</v>
      </c>
      <c r="D1" s="28" t="s">
        <v>359</v>
      </c>
      <c r="E1" s="28" t="s">
        <v>360</v>
      </c>
      <c r="F1" s="28" t="s">
        <v>361</v>
      </c>
      <c r="G1" s="28" t="s">
        <v>362</v>
      </c>
      <c r="H1" s="28" t="s">
        <v>349</v>
      </c>
      <c r="I1" s="28" t="s">
        <v>350</v>
      </c>
      <c r="J1" s="28" t="s">
        <v>349</v>
      </c>
      <c r="K1" s="28" t="s">
        <v>363</v>
      </c>
      <c r="L1" s="29" t="s">
        <v>364</v>
      </c>
    </row>
    <row r="2" spans="1:12" ht="16.5" thickBot="1" x14ac:dyDescent="0.3">
      <c r="A2" s="43">
        <v>1</v>
      </c>
      <c r="B2" s="44" t="s">
        <v>365</v>
      </c>
      <c r="C2" s="44" t="s">
        <v>366</v>
      </c>
      <c r="D2" s="33">
        <v>33067128</v>
      </c>
      <c r="E2" s="35">
        <v>45972</v>
      </c>
      <c r="F2" s="35">
        <v>45972</v>
      </c>
      <c r="G2" s="44" t="s">
        <v>869</v>
      </c>
      <c r="H2" s="34">
        <v>10028</v>
      </c>
      <c r="I2" s="44" t="s">
        <v>42</v>
      </c>
      <c r="J2" s="34">
        <v>10028</v>
      </c>
      <c r="K2" s="46">
        <v>89067</v>
      </c>
      <c r="L2" s="32" t="s">
        <v>880</v>
      </c>
    </row>
    <row r="3" spans="1:12" ht="16.5" thickBot="1" x14ac:dyDescent="0.3">
      <c r="A3" s="43">
        <v>2</v>
      </c>
      <c r="B3" s="44" t="s">
        <v>365</v>
      </c>
      <c r="C3" s="44" t="s">
        <v>366</v>
      </c>
      <c r="D3" s="33">
        <v>33067129</v>
      </c>
      <c r="E3" s="35">
        <v>45972</v>
      </c>
      <c r="F3" s="35">
        <v>45972</v>
      </c>
      <c r="G3" s="44" t="s">
        <v>870</v>
      </c>
      <c r="H3" s="34">
        <v>10131</v>
      </c>
      <c r="I3" s="44" t="s">
        <v>90</v>
      </c>
      <c r="J3" s="34">
        <v>10131</v>
      </c>
      <c r="K3" s="46">
        <v>116759</v>
      </c>
      <c r="L3" s="32" t="s">
        <v>880</v>
      </c>
    </row>
    <row r="4" spans="1:12" ht="16.5" thickBot="1" x14ac:dyDescent="0.3">
      <c r="A4" s="43">
        <v>3</v>
      </c>
      <c r="B4" s="44" t="s">
        <v>365</v>
      </c>
      <c r="C4" s="44" t="s">
        <v>366</v>
      </c>
      <c r="D4" s="33">
        <v>33067130</v>
      </c>
      <c r="E4" s="35">
        <v>45972</v>
      </c>
      <c r="F4" s="35">
        <v>45972</v>
      </c>
      <c r="G4" s="44" t="s">
        <v>871</v>
      </c>
      <c r="H4" s="34">
        <v>10101</v>
      </c>
      <c r="I4" s="44" t="s">
        <v>239</v>
      </c>
      <c r="J4" s="34">
        <v>10101</v>
      </c>
      <c r="K4" s="46">
        <v>72442</v>
      </c>
      <c r="L4" s="32" t="s">
        <v>880</v>
      </c>
    </row>
    <row r="5" spans="1:12" ht="16.5" thickBot="1" x14ac:dyDescent="0.3">
      <c r="A5" s="43">
        <v>4</v>
      </c>
      <c r="B5" s="44" t="s">
        <v>365</v>
      </c>
      <c r="C5" s="44" t="s">
        <v>366</v>
      </c>
      <c r="D5" s="33">
        <v>33067131</v>
      </c>
      <c r="E5" s="35">
        <v>45972</v>
      </c>
      <c r="F5" s="35">
        <v>45972</v>
      </c>
      <c r="G5" s="44" t="s">
        <v>872</v>
      </c>
      <c r="H5" s="34">
        <v>10030</v>
      </c>
      <c r="I5" s="44" t="s">
        <v>43</v>
      </c>
      <c r="J5" s="34">
        <v>10030</v>
      </c>
      <c r="K5" s="46">
        <v>189475</v>
      </c>
      <c r="L5" s="32" t="s">
        <v>880</v>
      </c>
    </row>
    <row r="6" spans="1:12" ht="16.5" thickBot="1" x14ac:dyDescent="0.3">
      <c r="A6" s="43">
        <v>5</v>
      </c>
      <c r="B6" s="44" t="s">
        <v>365</v>
      </c>
      <c r="C6" s="44" t="s">
        <v>366</v>
      </c>
      <c r="D6" s="33">
        <v>33067132</v>
      </c>
      <c r="E6" s="35">
        <v>45972</v>
      </c>
      <c r="F6" s="35">
        <v>45972</v>
      </c>
      <c r="G6" s="44" t="s">
        <v>873</v>
      </c>
      <c r="H6" s="34">
        <v>10031</v>
      </c>
      <c r="I6" s="44" t="s">
        <v>45</v>
      </c>
      <c r="J6" s="34">
        <v>10031</v>
      </c>
      <c r="K6" s="46">
        <v>12400</v>
      </c>
      <c r="L6" s="32" t="s">
        <v>880</v>
      </c>
    </row>
    <row r="7" spans="1:12" ht="16.5" thickBot="1" x14ac:dyDescent="0.3">
      <c r="A7" s="43">
        <v>6</v>
      </c>
      <c r="B7" s="44" t="s">
        <v>365</v>
      </c>
      <c r="C7" s="44" t="s">
        <v>366</v>
      </c>
      <c r="D7" s="33">
        <v>33067133</v>
      </c>
      <c r="E7" s="35">
        <v>45972</v>
      </c>
      <c r="F7" s="35">
        <v>45972</v>
      </c>
      <c r="G7" s="44" t="s">
        <v>874</v>
      </c>
      <c r="H7" s="34">
        <v>10063</v>
      </c>
      <c r="I7" s="44" t="s">
        <v>193</v>
      </c>
      <c r="J7" s="34">
        <v>10063</v>
      </c>
      <c r="K7" s="46">
        <v>40600</v>
      </c>
      <c r="L7" s="32" t="s">
        <v>880</v>
      </c>
    </row>
    <row r="8" spans="1:12" ht="16.5" thickBot="1" x14ac:dyDescent="0.3">
      <c r="A8" s="43">
        <v>7</v>
      </c>
      <c r="B8" s="44" t="s">
        <v>365</v>
      </c>
      <c r="C8" s="44" t="s">
        <v>366</v>
      </c>
      <c r="D8" s="33">
        <v>33067134</v>
      </c>
      <c r="E8" s="35">
        <v>45972</v>
      </c>
      <c r="F8" s="35">
        <v>45972</v>
      </c>
      <c r="G8" s="44" t="s">
        <v>875</v>
      </c>
      <c r="H8" s="34">
        <v>10391</v>
      </c>
      <c r="I8" s="44" t="s">
        <v>243</v>
      </c>
      <c r="J8" s="34">
        <v>10391</v>
      </c>
      <c r="K8" s="46">
        <v>223800</v>
      </c>
      <c r="L8" s="32" t="s">
        <v>880</v>
      </c>
    </row>
    <row r="9" spans="1:12" ht="16.5" thickBot="1" x14ac:dyDescent="0.3">
      <c r="A9" s="43">
        <v>8</v>
      </c>
      <c r="B9" s="44" t="s">
        <v>365</v>
      </c>
      <c r="C9" s="44" t="s">
        <v>366</v>
      </c>
      <c r="D9" s="33">
        <v>33067135</v>
      </c>
      <c r="E9" s="35">
        <v>45972</v>
      </c>
      <c r="F9" s="35">
        <v>45972</v>
      </c>
      <c r="G9" s="44" t="s">
        <v>876</v>
      </c>
      <c r="H9" s="34">
        <v>10034</v>
      </c>
      <c r="I9" s="44" t="s">
        <v>733</v>
      </c>
      <c r="J9" s="34">
        <v>10034</v>
      </c>
      <c r="K9" s="46">
        <v>10850</v>
      </c>
      <c r="L9" s="32" t="s">
        <v>880</v>
      </c>
    </row>
    <row r="10" spans="1:12" ht="16.5" thickBot="1" x14ac:dyDescent="0.3">
      <c r="A10" s="43">
        <v>9</v>
      </c>
      <c r="B10" s="44" t="s">
        <v>365</v>
      </c>
      <c r="C10" s="44" t="s">
        <v>366</v>
      </c>
      <c r="D10" s="33">
        <v>33067136</v>
      </c>
      <c r="E10" s="35">
        <v>45972</v>
      </c>
      <c r="F10" s="35">
        <v>45972</v>
      </c>
      <c r="G10" s="44" t="s">
        <v>877</v>
      </c>
      <c r="H10" s="34">
        <v>10558</v>
      </c>
      <c r="I10" s="44" t="s">
        <v>734</v>
      </c>
      <c r="J10" s="34">
        <v>10558</v>
      </c>
      <c r="K10" s="46">
        <v>17000</v>
      </c>
      <c r="L10" s="32" t="s">
        <v>880</v>
      </c>
    </row>
    <row r="11" spans="1:12" ht="16.5" thickBot="1" x14ac:dyDescent="0.3">
      <c r="A11" s="43">
        <v>10</v>
      </c>
      <c r="B11" s="44" t="s">
        <v>365</v>
      </c>
      <c r="C11" s="44" t="s">
        <v>366</v>
      </c>
      <c r="D11" s="33">
        <v>33067137</v>
      </c>
      <c r="E11" s="35">
        <v>45972</v>
      </c>
      <c r="F11" s="35">
        <v>45972</v>
      </c>
      <c r="G11" s="44" t="s">
        <v>878</v>
      </c>
      <c r="H11" s="34">
        <v>10527</v>
      </c>
      <c r="I11" s="44" t="s">
        <v>224</v>
      </c>
      <c r="J11" s="34">
        <v>10527</v>
      </c>
      <c r="K11" s="46">
        <v>10675</v>
      </c>
      <c r="L11" s="32" t="s">
        <v>880</v>
      </c>
    </row>
    <row r="12" spans="1:12" ht="16.5" thickBot="1" x14ac:dyDescent="0.3">
      <c r="A12" s="43">
        <v>11</v>
      </c>
      <c r="B12" s="44" t="s">
        <v>365</v>
      </c>
      <c r="C12" s="44" t="s">
        <v>366</v>
      </c>
      <c r="D12" s="33">
        <v>33067137</v>
      </c>
      <c r="E12" s="35">
        <v>45972</v>
      </c>
      <c r="F12" s="35">
        <v>45972</v>
      </c>
      <c r="G12" s="44" t="s">
        <v>879</v>
      </c>
      <c r="H12" s="34">
        <v>10432</v>
      </c>
      <c r="I12" s="44" t="s">
        <v>656</v>
      </c>
      <c r="J12" s="34">
        <v>10432</v>
      </c>
      <c r="K12" s="46">
        <v>9450</v>
      </c>
      <c r="L12" s="32" t="s">
        <v>880</v>
      </c>
    </row>
    <row r="13" spans="1:12" ht="16.5" thickBot="1" x14ac:dyDescent="0.3">
      <c r="A13" s="43">
        <v>18</v>
      </c>
      <c r="B13" s="44" t="s">
        <v>365</v>
      </c>
      <c r="C13" s="44" t="s">
        <v>366</v>
      </c>
      <c r="D13" s="33">
        <v>33001419</v>
      </c>
      <c r="E13" s="35">
        <v>45982</v>
      </c>
      <c r="F13" s="35">
        <v>45950</v>
      </c>
      <c r="G13" s="44" t="s">
        <v>881</v>
      </c>
      <c r="H13" s="34">
        <v>10470</v>
      </c>
      <c r="I13" s="44" t="s">
        <v>653</v>
      </c>
      <c r="J13" s="34">
        <v>10470</v>
      </c>
      <c r="K13" s="46">
        <v>250</v>
      </c>
      <c r="L13" s="32" t="s">
        <v>894</v>
      </c>
    </row>
    <row r="14" spans="1:12" ht="16.5" thickBot="1" x14ac:dyDescent="0.3">
      <c r="A14" s="43">
        <v>19</v>
      </c>
      <c r="B14" s="44" t="s">
        <v>365</v>
      </c>
      <c r="C14" s="44" t="s">
        <v>366</v>
      </c>
      <c r="D14" s="33">
        <v>33001466</v>
      </c>
      <c r="E14" s="35">
        <v>45982</v>
      </c>
      <c r="F14" s="35">
        <v>45954</v>
      </c>
      <c r="G14" s="44" t="s">
        <v>882</v>
      </c>
      <c r="H14" s="34">
        <v>10406</v>
      </c>
      <c r="I14" s="44" t="s">
        <v>216</v>
      </c>
      <c r="J14" s="34">
        <v>10406</v>
      </c>
      <c r="K14" s="46">
        <v>1250</v>
      </c>
      <c r="L14" s="32" t="s">
        <v>895</v>
      </c>
    </row>
    <row r="15" spans="1:12" ht="16.5" thickBot="1" x14ac:dyDescent="0.3">
      <c r="A15" s="43">
        <v>33</v>
      </c>
      <c r="B15" s="44" t="s">
        <v>365</v>
      </c>
      <c r="C15" s="44" t="s">
        <v>366</v>
      </c>
      <c r="D15" s="33">
        <v>33067198</v>
      </c>
      <c r="E15" s="35">
        <v>45982</v>
      </c>
      <c r="F15" s="35">
        <v>45975</v>
      </c>
      <c r="G15" s="44" t="s">
        <v>914</v>
      </c>
      <c r="H15" s="34">
        <v>10606</v>
      </c>
      <c r="I15" s="44" t="s">
        <v>383</v>
      </c>
      <c r="J15" s="34">
        <v>10606</v>
      </c>
      <c r="K15" s="46">
        <v>95866</v>
      </c>
      <c r="L15" s="32" t="s">
        <v>896</v>
      </c>
    </row>
    <row r="16" spans="1:12" ht="16.5" thickBot="1" x14ac:dyDescent="0.3">
      <c r="A16" s="43">
        <v>34</v>
      </c>
      <c r="B16" s="44" t="s">
        <v>365</v>
      </c>
      <c r="C16" s="44" t="s">
        <v>366</v>
      </c>
      <c r="D16" s="33">
        <v>33067199</v>
      </c>
      <c r="E16" s="35">
        <v>45982</v>
      </c>
      <c r="F16" s="35">
        <v>45975</v>
      </c>
      <c r="G16" s="44" t="s">
        <v>915</v>
      </c>
      <c r="H16" s="34">
        <v>10590</v>
      </c>
      <c r="I16" s="44" t="s">
        <v>372</v>
      </c>
      <c r="J16" s="34">
        <v>10590</v>
      </c>
      <c r="K16" s="46">
        <v>26000</v>
      </c>
      <c r="L16" s="32" t="s">
        <v>896</v>
      </c>
    </row>
    <row r="17" spans="1:12" ht="16.5" thickBot="1" x14ac:dyDescent="0.3">
      <c r="A17" s="43">
        <v>35</v>
      </c>
      <c r="B17" s="44" t="s">
        <v>365</v>
      </c>
      <c r="C17" s="44" t="s">
        <v>366</v>
      </c>
      <c r="D17" s="33">
        <v>33067200</v>
      </c>
      <c r="E17" s="35">
        <v>45982</v>
      </c>
      <c r="F17" s="35">
        <v>45975</v>
      </c>
      <c r="G17" s="44" t="s">
        <v>916</v>
      </c>
      <c r="H17" s="34">
        <v>10562</v>
      </c>
      <c r="I17" s="44" t="s">
        <v>394</v>
      </c>
      <c r="J17" s="34">
        <v>10562</v>
      </c>
      <c r="K17" s="46">
        <v>55587</v>
      </c>
      <c r="L17" s="32" t="s">
        <v>896</v>
      </c>
    </row>
    <row r="18" spans="1:12" ht="16.5" thickBot="1" x14ac:dyDescent="0.3">
      <c r="A18" s="43">
        <v>36</v>
      </c>
      <c r="B18" s="44" t="s">
        <v>365</v>
      </c>
      <c r="C18" s="44" t="s">
        <v>366</v>
      </c>
      <c r="D18" s="33">
        <v>33067201</v>
      </c>
      <c r="E18" s="35">
        <v>45982</v>
      </c>
      <c r="F18" s="35">
        <v>45975</v>
      </c>
      <c r="G18" s="44" t="s">
        <v>917</v>
      </c>
      <c r="H18" s="34">
        <v>10199</v>
      </c>
      <c r="I18" s="44" t="s">
        <v>328</v>
      </c>
      <c r="J18" s="34">
        <v>10199</v>
      </c>
      <c r="K18" s="46">
        <v>28209</v>
      </c>
      <c r="L18" s="32" t="s">
        <v>896</v>
      </c>
    </row>
    <row r="19" spans="1:12" ht="16.5" thickBot="1" x14ac:dyDescent="0.3">
      <c r="A19" s="43">
        <v>37</v>
      </c>
      <c r="B19" s="44" t="s">
        <v>365</v>
      </c>
      <c r="C19" s="44" t="s">
        <v>366</v>
      </c>
      <c r="D19" s="33">
        <v>33067202</v>
      </c>
      <c r="E19" s="35">
        <v>45982</v>
      </c>
      <c r="F19" s="35">
        <v>45975</v>
      </c>
      <c r="G19" s="44" t="s">
        <v>918</v>
      </c>
      <c r="H19" s="34">
        <v>10650</v>
      </c>
      <c r="I19" s="44" t="s">
        <v>883</v>
      </c>
      <c r="J19" s="34">
        <v>10650</v>
      </c>
      <c r="K19" s="46">
        <v>27571</v>
      </c>
      <c r="L19" s="32" t="s">
        <v>896</v>
      </c>
    </row>
    <row r="20" spans="1:12" ht="16.5" thickBot="1" x14ac:dyDescent="0.3">
      <c r="A20" s="43">
        <v>38</v>
      </c>
      <c r="B20" s="44" t="s">
        <v>365</v>
      </c>
      <c r="C20" s="44" t="s">
        <v>366</v>
      </c>
      <c r="D20" s="33">
        <v>33067204</v>
      </c>
      <c r="E20" s="35">
        <v>45982</v>
      </c>
      <c r="F20" s="35">
        <v>45975</v>
      </c>
      <c r="G20" s="44" t="s">
        <v>919</v>
      </c>
      <c r="H20" s="34">
        <v>10010</v>
      </c>
      <c r="I20" s="44" t="s">
        <v>15</v>
      </c>
      <c r="J20" s="34">
        <v>10010</v>
      </c>
      <c r="K20" s="46">
        <v>25915</v>
      </c>
      <c r="L20" s="32" t="s">
        <v>896</v>
      </c>
    </row>
    <row r="21" spans="1:12" ht="16.5" thickBot="1" x14ac:dyDescent="0.3">
      <c r="A21" s="43">
        <v>39</v>
      </c>
      <c r="B21" s="44" t="s">
        <v>365</v>
      </c>
      <c r="C21" s="44" t="s">
        <v>366</v>
      </c>
      <c r="D21" s="33">
        <v>33067205</v>
      </c>
      <c r="E21" s="35">
        <v>45982</v>
      </c>
      <c r="F21" s="35">
        <v>45978</v>
      </c>
      <c r="G21" s="44" t="s">
        <v>920</v>
      </c>
      <c r="H21" s="34">
        <v>10587</v>
      </c>
      <c r="I21" s="44" t="s">
        <v>368</v>
      </c>
      <c r="J21" s="34">
        <v>10587</v>
      </c>
      <c r="K21" s="46">
        <v>65000</v>
      </c>
      <c r="L21" s="32" t="s">
        <v>897</v>
      </c>
    </row>
    <row r="22" spans="1:12" ht="16.5" thickBot="1" x14ac:dyDescent="0.3">
      <c r="A22" s="43">
        <v>40</v>
      </c>
      <c r="B22" s="44" t="s">
        <v>365</v>
      </c>
      <c r="C22" s="44" t="s">
        <v>366</v>
      </c>
      <c r="D22" s="33">
        <v>33067206</v>
      </c>
      <c r="E22" s="35">
        <v>45982</v>
      </c>
      <c r="F22" s="35">
        <v>45978</v>
      </c>
      <c r="G22" s="44" t="s">
        <v>921</v>
      </c>
      <c r="H22" s="34">
        <v>10597</v>
      </c>
      <c r="I22" s="44" t="s">
        <v>373</v>
      </c>
      <c r="J22" s="34">
        <v>10597</v>
      </c>
      <c r="K22" s="46">
        <v>23775</v>
      </c>
      <c r="L22" s="32" t="s">
        <v>897</v>
      </c>
    </row>
    <row r="23" spans="1:12" ht="16.5" thickBot="1" x14ac:dyDescent="0.3">
      <c r="A23" s="43">
        <v>41</v>
      </c>
      <c r="B23" s="44" t="s">
        <v>365</v>
      </c>
      <c r="C23" s="44" t="s">
        <v>366</v>
      </c>
      <c r="D23" s="33">
        <v>33067207</v>
      </c>
      <c r="E23" s="35">
        <v>45982</v>
      </c>
      <c r="F23" s="35">
        <v>45978</v>
      </c>
      <c r="G23" s="44" t="s">
        <v>922</v>
      </c>
      <c r="H23" s="34">
        <v>10605</v>
      </c>
      <c r="I23" s="44" t="s">
        <v>382</v>
      </c>
      <c r="J23" s="34">
        <v>10605</v>
      </c>
      <c r="K23" s="46">
        <v>29040</v>
      </c>
      <c r="L23" s="32" t="s">
        <v>897</v>
      </c>
    </row>
    <row r="24" spans="1:12" ht="16.5" thickBot="1" x14ac:dyDescent="0.3">
      <c r="A24" s="43">
        <v>43</v>
      </c>
      <c r="B24" s="44" t="s">
        <v>365</v>
      </c>
      <c r="C24" s="44" t="s">
        <v>366</v>
      </c>
      <c r="D24" s="33">
        <v>33067208</v>
      </c>
      <c r="E24" s="35">
        <v>45982</v>
      </c>
      <c r="F24" s="35">
        <v>45978</v>
      </c>
      <c r="G24" s="44" t="s">
        <v>923</v>
      </c>
      <c r="H24" s="34">
        <v>10505</v>
      </c>
      <c r="I24" s="44" t="s">
        <v>187</v>
      </c>
      <c r="J24" s="34">
        <v>10505</v>
      </c>
      <c r="K24" s="46">
        <v>48275</v>
      </c>
      <c r="L24" s="32" t="s">
        <v>897</v>
      </c>
    </row>
    <row r="25" spans="1:12" ht="16.5" thickBot="1" x14ac:dyDescent="0.3">
      <c r="A25" s="43">
        <v>44</v>
      </c>
      <c r="B25" s="44" t="s">
        <v>365</v>
      </c>
      <c r="C25" s="44" t="s">
        <v>366</v>
      </c>
      <c r="D25" s="33">
        <v>33067209</v>
      </c>
      <c r="E25" s="35">
        <v>45982</v>
      </c>
      <c r="F25" s="35">
        <v>45978</v>
      </c>
      <c r="G25" s="44" t="s">
        <v>924</v>
      </c>
      <c r="H25" s="34">
        <v>10419</v>
      </c>
      <c r="I25" s="44" t="s">
        <v>189</v>
      </c>
      <c r="J25" s="34">
        <v>10419</v>
      </c>
      <c r="K25" s="46">
        <v>71750</v>
      </c>
      <c r="L25" s="32" t="s">
        <v>897</v>
      </c>
    </row>
    <row r="26" spans="1:12" ht="16.5" thickBot="1" x14ac:dyDescent="0.3">
      <c r="A26" s="43">
        <v>45</v>
      </c>
      <c r="B26" s="44" t="s">
        <v>365</v>
      </c>
      <c r="C26" s="44" t="s">
        <v>366</v>
      </c>
      <c r="D26" s="33">
        <v>33067210</v>
      </c>
      <c r="E26" s="35">
        <v>45982</v>
      </c>
      <c r="F26" s="35">
        <v>45978</v>
      </c>
      <c r="G26" s="44" t="s">
        <v>925</v>
      </c>
      <c r="H26" s="34">
        <v>10573</v>
      </c>
      <c r="I26" s="44" t="s">
        <v>341</v>
      </c>
      <c r="J26" s="34">
        <v>10573</v>
      </c>
      <c r="K26" s="46">
        <v>26570</v>
      </c>
      <c r="L26" s="32" t="s">
        <v>897</v>
      </c>
    </row>
    <row r="27" spans="1:12" ht="16.5" thickBot="1" x14ac:dyDescent="0.3">
      <c r="A27" s="43">
        <v>46</v>
      </c>
      <c r="B27" s="44" t="s">
        <v>365</v>
      </c>
      <c r="C27" s="44" t="s">
        <v>366</v>
      </c>
      <c r="D27" s="33">
        <v>33067211</v>
      </c>
      <c r="E27" s="35">
        <v>45982</v>
      </c>
      <c r="F27" s="35">
        <v>45978</v>
      </c>
      <c r="G27" s="44" t="s">
        <v>926</v>
      </c>
      <c r="H27" s="34">
        <v>10419</v>
      </c>
      <c r="I27" s="44" t="s">
        <v>189</v>
      </c>
      <c r="J27" s="34">
        <v>10419</v>
      </c>
      <c r="K27" s="46">
        <v>26441</v>
      </c>
      <c r="L27" s="32" t="s">
        <v>897</v>
      </c>
    </row>
    <row r="28" spans="1:12" ht="16.5" thickBot="1" x14ac:dyDescent="0.3">
      <c r="A28" s="43">
        <v>47</v>
      </c>
      <c r="B28" s="44" t="s">
        <v>365</v>
      </c>
      <c r="C28" s="44" t="s">
        <v>366</v>
      </c>
      <c r="D28" s="33">
        <v>33067212</v>
      </c>
      <c r="E28" s="35">
        <v>45982</v>
      </c>
      <c r="F28" s="35">
        <v>45978</v>
      </c>
      <c r="G28" s="44" t="s">
        <v>927</v>
      </c>
      <c r="H28" s="34">
        <v>10636</v>
      </c>
      <c r="I28" s="44" t="s">
        <v>422</v>
      </c>
      <c r="J28" s="34">
        <v>10636</v>
      </c>
      <c r="K28" s="46">
        <v>39662</v>
      </c>
      <c r="L28" s="32" t="s">
        <v>897</v>
      </c>
    </row>
    <row r="29" spans="1:12" ht="16.5" thickBot="1" x14ac:dyDescent="0.3">
      <c r="A29" s="43">
        <v>48</v>
      </c>
      <c r="B29" s="44" t="s">
        <v>365</v>
      </c>
      <c r="C29" s="44" t="s">
        <v>366</v>
      </c>
      <c r="D29" s="33">
        <v>33067213</v>
      </c>
      <c r="E29" s="35">
        <v>45982</v>
      </c>
      <c r="F29" s="35">
        <v>45978</v>
      </c>
      <c r="G29" s="44" t="s">
        <v>928</v>
      </c>
      <c r="H29" s="34">
        <v>10030</v>
      </c>
      <c r="I29" s="44" t="s">
        <v>43</v>
      </c>
      <c r="J29" s="34">
        <v>10030</v>
      </c>
      <c r="K29" s="46">
        <v>9651</v>
      </c>
      <c r="L29" s="32" t="s">
        <v>898</v>
      </c>
    </row>
    <row r="30" spans="1:12" ht="16.5" thickBot="1" x14ac:dyDescent="0.3">
      <c r="A30" s="43">
        <v>49</v>
      </c>
      <c r="B30" s="44" t="s">
        <v>365</v>
      </c>
      <c r="C30" s="44" t="s">
        <v>366</v>
      </c>
      <c r="D30" s="33">
        <v>33067214</v>
      </c>
      <c r="E30" s="35">
        <v>45982</v>
      </c>
      <c r="F30" s="35">
        <v>45978</v>
      </c>
      <c r="G30" s="44" t="s">
        <v>929</v>
      </c>
      <c r="H30" s="34">
        <v>10391</v>
      </c>
      <c r="I30" s="44" t="s">
        <v>243</v>
      </c>
      <c r="J30" s="34">
        <v>10391</v>
      </c>
      <c r="K30" s="46">
        <v>4776</v>
      </c>
      <c r="L30" s="32" t="s">
        <v>898</v>
      </c>
    </row>
    <row r="31" spans="1:12" ht="16.5" thickBot="1" x14ac:dyDescent="0.3">
      <c r="A31" s="43">
        <v>50</v>
      </c>
      <c r="B31" s="44" t="s">
        <v>365</v>
      </c>
      <c r="C31" s="44" t="s">
        <v>366</v>
      </c>
      <c r="D31" s="33">
        <v>33067215</v>
      </c>
      <c r="E31" s="35">
        <v>45982</v>
      </c>
      <c r="F31" s="35">
        <v>45978</v>
      </c>
      <c r="G31" s="44" t="s">
        <v>930</v>
      </c>
      <c r="H31" s="34">
        <v>10290</v>
      </c>
      <c r="I31" s="44" t="s">
        <v>854</v>
      </c>
      <c r="J31" s="34">
        <v>10290</v>
      </c>
      <c r="K31" s="46">
        <v>4155</v>
      </c>
      <c r="L31" s="32" t="s">
        <v>898</v>
      </c>
    </row>
    <row r="32" spans="1:12" ht="16.5" thickBot="1" x14ac:dyDescent="0.3">
      <c r="A32" s="43">
        <v>51</v>
      </c>
      <c r="B32" s="44" t="s">
        <v>365</v>
      </c>
      <c r="C32" s="44" t="s">
        <v>366</v>
      </c>
      <c r="D32" s="33">
        <v>33067217</v>
      </c>
      <c r="E32" s="35">
        <v>45982</v>
      </c>
      <c r="F32" s="35">
        <v>45978</v>
      </c>
      <c r="G32" s="44" t="s">
        <v>931</v>
      </c>
      <c r="H32" s="34">
        <v>10032</v>
      </c>
      <c r="I32" s="44" t="s">
        <v>46</v>
      </c>
      <c r="J32" s="34">
        <v>10032</v>
      </c>
      <c r="K32" s="46">
        <v>3828</v>
      </c>
      <c r="L32" s="32" t="s">
        <v>898</v>
      </c>
    </row>
    <row r="33" spans="1:12" ht="16.5" thickBot="1" x14ac:dyDescent="0.3">
      <c r="A33" s="43">
        <v>52</v>
      </c>
      <c r="B33" s="44" t="s">
        <v>365</v>
      </c>
      <c r="C33" s="44" t="s">
        <v>366</v>
      </c>
      <c r="D33" s="33">
        <v>33067218</v>
      </c>
      <c r="E33" s="35">
        <v>45982</v>
      </c>
      <c r="F33" s="35">
        <v>45978</v>
      </c>
      <c r="G33" s="44" t="s">
        <v>932</v>
      </c>
      <c r="H33" s="34">
        <v>10063</v>
      </c>
      <c r="I33" s="44" t="s">
        <v>193</v>
      </c>
      <c r="J33" s="34">
        <v>10063</v>
      </c>
      <c r="K33" s="46">
        <v>3730</v>
      </c>
      <c r="L33" s="32" t="s">
        <v>898</v>
      </c>
    </row>
    <row r="34" spans="1:12" ht="16.5" thickBot="1" x14ac:dyDescent="0.3">
      <c r="A34" s="43">
        <v>53</v>
      </c>
      <c r="B34" s="44" t="s">
        <v>365</v>
      </c>
      <c r="C34" s="44" t="s">
        <v>366</v>
      </c>
      <c r="D34" s="33">
        <v>33001424</v>
      </c>
      <c r="E34" s="35">
        <v>45982</v>
      </c>
      <c r="F34" s="35">
        <v>45950</v>
      </c>
      <c r="G34" s="44" t="s">
        <v>933</v>
      </c>
      <c r="H34" s="34">
        <v>10034</v>
      </c>
      <c r="I34" s="44" t="s">
        <v>733</v>
      </c>
      <c r="J34" s="34">
        <v>10034</v>
      </c>
      <c r="K34" s="46">
        <v>750</v>
      </c>
      <c r="L34" s="32" t="s">
        <v>899</v>
      </c>
    </row>
    <row r="35" spans="1:12" ht="16.5" thickBot="1" x14ac:dyDescent="0.3">
      <c r="A35" s="43">
        <v>54</v>
      </c>
      <c r="B35" s="44" t="s">
        <v>365</v>
      </c>
      <c r="C35" s="44" t="s">
        <v>366</v>
      </c>
      <c r="D35" s="33">
        <v>33001362</v>
      </c>
      <c r="E35" s="35">
        <v>45982</v>
      </c>
      <c r="F35" s="35">
        <v>45939</v>
      </c>
      <c r="G35" s="44" t="s">
        <v>934</v>
      </c>
      <c r="H35" s="34">
        <v>10034</v>
      </c>
      <c r="I35" s="44" t="s">
        <v>733</v>
      </c>
      <c r="J35" s="34">
        <v>10034</v>
      </c>
      <c r="K35" s="46">
        <v>750</v>
      </c>
      <c r="L35" s="32" t="s">
        <v>900</v>
      </c>
    </row>
    <row r="36" spans="1:12" ht="16.5" thickBot="1" x14ac:dyDescent="0.3">
      <c r="A36" s="43">
        <v>55</v>
      </c>
      <c r="B36" s="44" t="s">
        <v>365</v>
      </c>
      <c r="C36" s="44" t="s">
        <v>366</v>
      </c>
      <c r="D36" s="33">
        <v>33001465</v>
      </c>
      <c r="E36" s="35">
        <v>45982</v>
      </c>
      <c r="F36" s="35">
        <v>45954</v>
      </c>
      <c r="G36" s="44" t="s">
        <v>935</v>
      </c>
      <c r="H36" s="34">
        <v>10034</v>
      </c>
      <c r="I36" s="44" t="s">
        <v>733</v>
      </c>
      <c r="J36" s="34">
        <v>10034</v>
      </c>
      <c r="K36" s="46">
        <v>3000</v>
      </c>
      <c r="L36" s="32" t="s">
        <v>901</v>
      </c>
    </row>
    <row r="37" spans="1:12" ht="16.5" thickBot="1" x14ac:dyDescent="0.3">
      <c r="A37" s="43">
        <v>56</v>
      </c>
      <c r="B37" s="44" t="s">
        <v>365</v>
      </c>
      <c r="C37" s="44" t="s">
        <v>366</v>
      </c>
      <c r="D37" s="33">
        <v>33001360</v>
      </c>
      <c r="E37" s="35">
        <v>45982</v>
      </c>
      <c r="F37" s="35">
        <v>45939</v>
      </c>
      <c r="G37" s="44" t="s">
        <v>936</v>
      </c>
      <c r="H37" s="34">
        <v>10602</v>
      </c>
      <c r="I37" s="44" t="s">
        <v>731</v>
      </c>
      <c r="J37" s="34">
        <v>10602</v>
      </c>
      <c r="K37" s="46">
        <v>1750</v>
      </c>
      <c r="L37" s="32" t="s">
        <v>902</v>
      </c>
    </row>
    <row r="38" spans="1:12" ht="16.5" thickBot="1" x14ac:dyDescent="0.3">
      <c r="A38" s="43">
        <v>57</v>
      </c>
      <c r="B38" s="44" t="s">
        <v>365</v>
      </c>
      <c r="C38" s="44" t="s">
        <v>366</v>
      </c>
      <c r="D38" s="33">
        <v>33001361</v>
      </c>
      <c r="E38" s="35">
        <v>45982</v>
      </c>
      <c r="F38" s="35">
        <v>45939</v>
      </c>
      <c r="G38" s="44" t="s">
        <v>937</v>
      </c>
      <c r="H38" s="34">
        <v>10021</v>
      </c>
      <c r="I38" s="44" t="s">
        <v>29</v>
      </c>
      <c r="J38" s="34">
        <v>10021</v>
      </c>
      <c r="K38" s="46">
        <v>1250</v>
      </c>
      <c r="L38" s="32" t="s">
        <v>903</v>
      </c>
    </row>
    <row r="39" spans="1:12" ht="16.5" thickBot="1" x14ac:dyDescent="0.3">
      <c r="A39" s="43">
        <v>58</v>
      </c>
      <c r="B39" s="44" t="s">
        <v>365</v>
      </c>
      <c r="C39" s="44" t="s">
        <v>366</v>
      </c>
      <c r="D39" s="33">
        <v>33001363</v>
      </c>
      <c r="E39" s="35">
        <v>45982</v>
      </c>
      <c r="F39" s="35">
        <v>45939</v>
      </c>
      <c r="G39" s="44" t="s">
        <v>938</v>
      </c>
      <c r="H39" s="34">
        <v>10571</v>
      </c>
      <c r="I39" s="44" t="s">
        <v>732</v>
      </c>
      <c r="J39" s="34">
        <v>10571</v>
      </c>
      <c r="K39" s="46">
        <v>1250</v>
      </c>
      <c r="L39" s="32" t="s">
        <v>904</v>
      </c>
    </row>
    <row r="40" spans="1:12" ht="16.5" thickBot="1" x14ac:dyDescent="0.3">
      <c r="A40" s="43">
        <v>59</v>
      </c>
      <c r="B40" s="44" t="s">
        <v>365</v>
      </c>
      <c r="C40" s="44" t="s">
        <v>366</v>
      </c>
      <c r="D40" s="33">
        <v>33001420</v>
      </c>
      <c r="E40" s="35">
        <v>45982</v>
      </c>
      <c r="F40" s="35">
        <v>45950</v>
      </c>
      <c r="G40" s="44" t="s">
        <v>939</v>
      </c>
      <c r="H40" s="34">
        <v>10569</v>
      </c>
      <c r="I40" s="44" t="s">
        <v>339</v>
      </c>
      <c r="J40" s="34">
        <v>10569</v>
      </c>
      <c r="K40" s="46">
        <v>1250</v>
      </c>
      <c r="L40" s="32" t="s">
        <v>905</v>
      </c>
    </row>
    <row r="41" spans="1:12" ht="16.5" thickBot="1" x14ac:dyDescent="0.3">
      <c r="A41" s="43">
        <v>60</v>
      </c>
      <c r="B41" s="44" t="s">
        <v>365</v>
      </c>
      <c r="C41" s="44" t="s">
        <v>366</v>
      </c>
      <c r="D41" s="33">
        <v>33001421</v>
      </c>
      <c r="E41" s="35">
        <v>45982</v>
      </c>
      <c r="F41" s="35">
        <v>45950</v>
      </c>
      <c r="G41" s="44" t="s">
        <v>940</v>
      </c>
      <c r="H41" s="34">
        <v>10163</v>
      </c>
      <c r="I41" s="44" t="s">
        <v>108</v>
      </c>
      <c r="J41" s="34">
        <v>10163</v>
      </c>
      <c r="K41" s="46">
        <v>2100</v>
      </c>
      <c r="L41" s="32" t="s">
        <v>906</v>
      </c>
    </row>
    <row r="42" spans="1:12" ht="16.5" thickBot="1" x14ac:dyDescent="0.3">
      <c r="A42" s="43">
        <v>61</v>
      </c>
      <c r="B42" s="44" t="s">
        <v>365</v>
      </c>
      <c r="C42" s="44" t="s">
        <v>366</v>
      </c>
      <c r="D42" s="33">
        <v>33001422</v>
      </c>
      <c r="E42" s="35">
        <v>45982</v>
      </c>
      <c r="F42" s="35">
        <v>45950</v>
      </c>
      <c r="G42" s="44" t="s">
        <v>941</v>
      </c>
      <c r="H42" s="34">
        <v>10407</v>
      </c>
      <c r="I42" s="44" t="s">
        <v>122</v>
      </c>
      <c r="J42" s="34">
        <v>10407</v>
      </c>
      <c r="K42" s="46">
        <v>1250</v>
      </c>
      <c r="L42" s="32" t="s">
        <v>907</v>
      </c>
    </row>
    <row r="43" spans="1:12" ht="16.5" thickBot="1" x14ac:dyDescent="0.3">
      <c r="A43" s="43">
        <v>62</v>
      </c>
      <c r="B43" s="44" t="s">
        <v>365</v>
      </c>
      <c r="C43" s="44" t="s">
        <v>366</v>
      </c>
      <c r="D43" s="33">
        <v>33001423</v>
      </c>
      <c r="E43" s="35">
        <v>45982</v>
      </c>
      <c r="F43" s="35">
        <v>45950</v>
      </c>
      <c r="G43" s="44" t="s">
        <v>942</v>
      </c>
      <c r="H43" s="34">
        <v>10021</v>
      </c>
      <c r="I43" s="44" t="s">
        <v>29</v>
      </c>
      <c r="J43" s="34">
        <v>10021</v>
      </c>
      <c r="K43" s="46">
        <v>1250</v>
      </c>
      <c r="L43" s="32" t="s">
        <v>908</v>
      </c>
    </row>
    <row r="44" spans="1:12" ht="16.5" thickBot="1" x14ac:dyDescent="0.3">
      <c r="A44" s="43">
        <v>63</v>
      </c>
      <c r="B44" s="44" t="s">
        <v>365</v>
      </c>
      <c r="C44" s="44" t="s">
        <v>366</v>
      </c>
      <c r="D44" s="33">
        <v>33001425</v>
      </c>
      <c r="E44" s="35">
        <v>45982</v>
      </c>
      <c r="F44" s="35">
        <v>45950</v>
      </c>
      <c r="G44" s="44" t="s">
        <v>943</v>
      </c>
      <c r="H44" s="34">
        <v>10602</v>
      </c>
      <c r="I44" s="44" t="s">
        <v>654</v>
      </c>
      <c r="J44" s="34">
        <v>10602</v>
      </c>
      <c r="K44" s="46">
        <v>1750</v>
      </c>
      <c r="L44" s="32" t="s">
        <v>909</v>
      </c>
    </row>
    <row r="45" spans="1:12" ht="16.5" thickBot="1" x14ac:dyDescent="0.3">
      <c r="A45" s="43">
        <v>64</v>
      </c>
      <c r="B45" s="44" t="s">
        <v>365</v>
      </c>
      <c r="C45" s="44" t="s">
        <v>366</v>
      </c>
      <c r="D45" s="33">
        <v>33001461</v>
      </c>
      <c r="E45" s="35">
        <v>45982</v>
      </c>
      <c r="F45" s="35">
        <v>45954</v>
      </c>
      <c r="G45" s="44" t="s">
        <v>944</v>
      </c>
      <c r="H45" s="34">
        <v>10163</v>
      </c>
      <c r="I45" s="44" t="s">
        <v>108</v>
      </c>
      <c r="J45" s="34">
        <v>10163</v>
      </c>
      <c r="K45" s="46">
        <v>1250</v>
      </c>
      <c r="L45" s="32" t="s">
        <v>910</v>
      </c>
    </row>
    <row r="46" spans="1:12" ht="16.5" thickBot="1" x14ac:dyDescent="0.3">
      <c r="A46" s="43">
        <v>65</v>
      </c>
      <c r="B46" s="44" t="s">
        <v>365</v>
      </c>
      <c r="C46" s="44" t="s">
        <v>366</v>
      </c>
      <c r="D46" s="33">
        <v>33001462</v>
      </c>
      <c r="E46" s="35">
        <v>45982</v>
      </c>
      <c r="F46" s="35">
        <v>45954</v>
      </c>
      <c r="G46" s="44" t="s">
        <v>945</v>
      </c>
      <c r="H46" s="34">
        <v>10407</v>
      </c>
      <c r="I46" s="44" t="s">
        <v>730</v>
      </c>
      <c r="J46" s="34">
        <v>10407</v>
      </c>
      <c r="K46" s="46">
        <v>1250</v>
      </c>
      <c r="L46" s="32">
        <v>503010</v>
      </c>
    </row>
    <row r="47" spans="1:12" ht="16.5" thickBot="1" x14ac:dyDescent="0.3">
      <c r="A47" s="43">
        <v>66</v>
      </c>
      <c r="B47" s="44" t="s">
        <v>365</v>
      </c>
      <c r="C47" s="44" t="s">
        <v>366</v>
      </c>
      <c r="D47" s="33">
        <v>33001463</v>
      </c>
      <c r="E47" s="35">
        <v>45982</v>
      </c>
      <c r="F47" s="35">
        <v>45954</v>
      </c>
      <c r="G47" s="44" t="s">
        <v>946</v>
      </c>
      <c r="H47" s="34">
        <v>10365</v>
      </c>
      <c r="I47" s="44" t="s">
        <v>352</v>
      </c>
      <c r="J47" s="34">
        <v>10365</v>
      </c>
      <c r="K47" s="46">
        <v>3750</v>
      </c>
      <c r="L47" s="32">
        <v>93445606</v>
      </c>
    </row>
    <row r="48" spans="1:12" ht="16.5" thickBot="1" x14ac:dyDescent="0.3">
      <c r="A48" s="43">
        <v>67</v>
      </c>
      <c r="B48" s="44" t="s">
        <v>365</v>
      </c>
      <c r="C48" s="44" t="s">
        <v>366</v>
      </c>
      <c r="D48" s="33">
        <v>33001464</v>
      </c>
      <c r="E48" s="35">
        <v>45982</v>
      </c>
      <c r="F48" s="35">
        <v>45954</v>
      </c>
      <c r="G48" s="44" t="s">
        <v>947</v>
      </c>
      <c r="H48" s="34">
        <v>10498</v>
      </c>
      <c r="I48" s="44" t="s">
        <v>477</v>
      </c>
      <c r="J48" s="34">
        <v>10498</v>
      </c>
      <c r="K48" s="46">
        <v>2250</v>
      </c>
      <c r="L48" s="32" t="s">
        <v>911</v>
      </c>
    </row>
    <row r="49" spans="1:12" ht="16.5" thickBot="1" x14ac:dyDescent="0.3">
      <c r="A49" s="43">
        <v>68</v>
      </c>
      <c r="B49" s="44" t="s">
        <v>365</v>
      </c>
      <c r="C49" s="44" t="s">
        <v>366</v>
      </c>
      <c r="D49" s="33">
        <v>33067140</v>
      </c>
      <c r="E49" s="35">
        <v>45982</v>
      </c>
      <c r="F49" s="35">
        <v>45969</v>
      </c>
      <c r="G49" s="44" t="s">
        <v>948</v>
      </c>
      <c r="H49" s="34">
        <v>10364</v>
      </c>
      <c r="I49" s="44" t="s">
        <v>884</v>
      </c>
      <c r="J49" s="34">
        <v>10364</v>
      </c>
      <c r="K49" s="46">
        <v>5000</v>
      </c>
      <c r="L49" s="32" t="s">
        <v>912</v>
      </c>
    </row>
    <row r="50" spans="1:12" ht="16.5" thickBot="1" x14ac:dyDescent="0.3">
      <c r="A50" s="43">
        <v>69</v>
      </c>
      <c r="B50" s="44" t="s">
        <v>365</v>
      </c>
      <c r="C50" s="44" t="s">
        <v>366</v>
      </c>
      <c r="D50" s="33">
        <v>33067141</v>
      </c>
      <c r="E50" s="35">
        <v>45982</v>
      </c>
      <c r="F50" s="35">
        <v>45969</v>
      </c>
      <c r="G50" s="44" t="s">
        <v>949</v>
      </c>
      <c r="H50" s="34">
        <v>10554</v>
      </c>
      <c r="I50" s="44" t="s">
        <v>885</v>
      </c>
      <c r="J50" s="34">
        <v>10554</v>
      </c>
      <c r="K50" s="46">
        <v>5000</v>
      </c>
      <c r="L50" s="32" t="s">
        <v>912</v>
      </c>
    </row>
    <row r="51" spans="1:12" ht="16.5" thickBot="1" x14ac:dyDescent="0.3">
      <c r="A51" s="43">
        <v>70</v>
      </c>
      <c r="B51" s="44" t="s">
        <v>365</v>
      </c>
      <c r="C51" s="44" t="s">
        <v>366</v>
      </c>
      <c r="D51" s="33">
        <v>33067142</v>
      </c>
      <c r="E51" s="35">
        <v>45982</v>
      </c>
      <c r="F51" s="35">
        <v>45969</v>
      </c>
      <c r="G51" s="44" t="s">
        <v>950</v>
      </c>
      <c r="H51" s="34">
        <v>10430</v>
      </c>
      <c r="I51" s="44" t="s">
        <v>886</v>
      </c>
      <c r="J51" s="34">
        <v>10430</v>
      </c>
      <c r="K51" s="46">
        <v>4000</v>
      </c>
      <c r="L51" s="32" t="s">
        <v>912</v>
      </c>
    </row>
    <row r="52" spans="1:12" ht="16.5" thickBot="1" x14ac:dyDescent="0.3">
      <c r="A52" s="43">
        <v>71</v>
      </c>
      <c r="B52" s="44" t="s">
        <v>365</v>
      </c>
      <c r="C52" s="44" t="s">
        <v>366</v>
      </c>
      <c r="D52" s="33">
        <v>33067143</v>
      </c>
      <c r="E52" s="35">
        <v>45982</v>
      </c>
      <c r="F52" s="35">
        <v>45969</v>
      </c>
      <c r="G52" s="44" t="s">
        <v>951</v>
      </c>
      <c r="H52" s="34">
        <v>10511</v>
      </c>
      <c r="I52" s="44" t="s">
        <v>887</v>
      </c>
      <c r="J52" s="34">
        <v>10511</v>
      </c>
      <c r="K52" s="46">
        <v>3000</v>
      </c>
      <c r="L52" s="32" t="s">
        <v>912</v>
      </c>
    </row>
    <row r="53" spans="1:12" ht="16.5" thickBot="1" x14ac:dyDescent="0.3">
      <c r="A53" s="43">
        <v>72</v>
      </c>
      <c r="B53" s="44" t="s">
        <v>365</v>
      </c>
      <c r="C53" s="44" t="s">
        <v>366</v>
      </c>
      <c r="D53" s="33">
        <v>33067144</v>
      </c>
      <c r="E53" s="35">
        <v>45982</v>
      </c>
      <c r="F53" s="35">
        <v>45969</v>
      </c>
      <c r="G53" s="44" t="s">
        <v>952</v>
      </c>
      <c r="H53" s="34">
        <v>10400</v>
      </c>
      <c r="I53" s="44" t="s">
        <v>134</v>
      </c>
      <c r="J53" s="34">
        <v>10400</v>
      </c>
      <c r="K53" s="46">
        <v>2000</v>
      </c>
      <c r="L53" s="32" t="s">
        <v>912</v>
      </c>
    </row>
    <row r="54" spans="1:12" ht="16.5" thickBot="1" x14ac:dyDescent="0.3">
      <c r="A54" s="43">
        <v>73</v>
      </c>
      <c r="B54" s="44" t="s">
        <v>365</v>
      </c>
      <c r="C54" s="44" t="s">
        <v>366</v>
      </c>
      <c r="D54" s="33">
        <v>33067145</v>
      </c>
      <c r="E54" s="35">
        <v>45982</v>
      </c>
      <c r="F54" s="35">
        <v>45969</v>
      </c>
      <c r="G54" s="44" t="s">
        <v>953</v>
      </c>
      <c r="H54" s="34">
        <v>10489</v>
      </c>
      <c r="I54" s="44" t="s">
        <v>36</v>
      </c>
      <c r="J54" s="34">
        <v>10489</v>
      </c>
      <c r="K54" s="46">
        <v>1000</v>
      </c>
      <c r="L54" s="32" t="s">
        <v>912</v>
      </c>
    </row>
    <row r="55" spans="1:12" ht="16.5" thickBot="1" x14ac:dyDescent="0.3">
      <c r="A55" s="43">
        <v>74</v>
      </c>
      <c r="B55" s="44" t="s">
        <v>365</v>
      </c>
      <c r="C55" s="44" t="s">
        <v>366</v>
      </c>
      <c r="D55" s="33">
        <v>33067185</v>
      </c>
      <c r="E55" s="35">
        <v>45982</v>
      </c>
      <c r="F55" s="35">
        <v>45975</v>
      </c>
      <c r="G55" s="44" t="s">
        <v>954</v>
      </c>
      <c r="H55" s="34">
        <v>10569</v>
      </c>
      <c r="I55" s="44" t="s">
        <v>339</v>
      </c>
      <c r="J55" s="34">
        <v>10569</v>
      </c>
      <c r="K55" s="46">
        <v>51637</v>
      </c>
      <c r="L55" s="32" t="s">
        <v>896</v>
      </c>
    </row>
    <row r="56" spans="1:12" ht="16.5" thickBot="1" x14ac:dyDescent="0.3">
      <c r="A56" s="43">
        <v>75</v>
      </c>
      <c r="B56" s="44" t="s">
        <v>365</v>
      </c>
      <c r="C56" s="44" t="s">
        <v>366</v>
      </c>
      <c r="D56" s="33">
        <v>33067186</v>
      </c>
      <c r="E56" s="35">
        <v>45982</v>
      </c>
      <c r="F56" s="35">
        <v>45975</v>
      </c>
      <c r="G56" s="44" t="s">
        <v>955</v>
      </c>
      <c r="H56" s="34">
        <v>10163</v>
      </c>
      <c r="I56" s="44" t="s">
        <v>108</v>
      </c>
      <c r="J56" s="34">
        <v>10163</v>
      </c>
      <c r="K56" s="46">
        <v>53923</v>
      </c>
      <c r="L56" s="32" t="s">
        <v>896</v>
      </c>
    </row>
    <row r="57" spans="1:12" ht="16.5" thickBot="1" x14ac:dyDescent="0.3">
      <c r="A57" s="43">
        <v>76</v>
      </c>
      <c r="B57" s="44" t="s">
        <v>365</v>
      </c>
      <c r="C57" s="44" t="s">
        <v>366</v>
      </c>
      <c r="D57" s="33">
        <v>33067187</v>
      </c>
      <c r="E57" s="35">
        <v>45982</v>
      </c>
      <c r="F57" s="35">
        <v>45975</v>
      </c>
      <c r="G57" s="44" t="s">
        <v>956</v>
      </c>
      <c r="H57" s="34">
        <v>10602</v>
      </c>
      <c r="I57" s="44" t="s">
        <v>654</v>
      </c>
      <c r="J57" s="34">
        <v>10602</v>
      </c>
      <c r="K57" s="46">
        <v>26249</v>
      </c>
      <c r="L57" s="32" t="s">
        <v>896</v>
      </c>
    </row>
    <row r="58" spans="1:12" ht="16.5" thickBot="1" x14ac:dyDescent="0.3">
      <c r="A58" s="43">
        <v>77</v>
      </c>
      <c r="B58" s="44" t="s">
        <v>365</v>
      </c>
      <c r="C58" s="44" t="s">
        <v>366</v>
      </c>
      <c r="D58" s="33">
        <v>33067188</v>
      </c>
      <c r="E58" s="35">
        <v>45982</v>
      </c>
      <c r="F58" s="35">
        <v>45975</v>
      </c>
      <c r="G58" s="44" t="s">
        <v>957</v>
      </c>
      <c r="H58" s="34">
        <v>10655</v>
      </c>
      <c r="I58" s="44" t="s">
        <v>888</v>
      </c>
      <c r="J58" s="34">
        <v>10655</v>
      </c>
      <c r="K58" s="46">
        <v>53023</v>
      </c>
      <c r="L58" s="32" t="s">
        <v>896</v>
      </c>
    </row>
    <row r="59" spans="1:12" ht="16.5" thickBot="1" x14ac:dyDescent="0.3">
      <c r="A59" s="43">
        <v>78</v>
      </c>
      <c r="B59" s="44" t="s">
        <v>365</v>
      </c>
      <c r="C59" s="44" t="s">
        <v>366</v>
      </c>
      <c r="D59" s="33">
        <v>33067189</v>
      </c>
      <c r="E59" s="35">
        <v>45982</v>
      </c>
      <c r="F59" s="35">
        <v>45975</v>
      </c>
      <c r="G59" s="44" t="s">
        <v>958</v>
      </c>
      <c r="H59" s="34">
        <v>10567</v>
      </c>
      <c r="I59" s="44" t="s">
        <v>336</v>
      </c>
      <c r="J59" s="34">
        <v>10567</v>
      </c>
      <c r="K59" s="46">
        <v>25142</v>
      </c>
      <c r="L59" s="32" t="s">
        <v>896</v>
      </c>
    </row>
    <row r="60" spans="1:12" ht="16.5" thickBot="1" x14ac:dyDescent="0.3">
      <c r="A60" s="43">
        <v>79</v>
      </c>
      <c r="B60" s="44" t="s">
        <v>365</v>
      </c>
      <c r="C60" s="44" t="s">
        <v>366</v>
      </c>
      <c r="D60" s="33">
        <v>33067190</v>
      </c>
      <c r="E60" s="35">
        <v>45982</v>
      </c>
      <c r="F60" s="35">
        <v>45975</v>
      </c>
      <c r="G60" s="44" t="s">
        <v>959</v>
      </c>
      <c r="H60" s="34">
        <v>10498</v>
      </c>
      <c r="I60" s="44" t="s">
        <v>889</v>
      </c>
      <c r="J60" s="34">
        <v>10498</v>
      </c>
      <c r="K60" s="46">
        <v>25340</v>
      </c>
      <c r="L60" s="32" t="s">
        <v>896</v>
      </c>
    </row>
    <row r="61" spans="1:12" ht="16.5" thickBot="1" x14ac:dyDescent="0.3">
      <c r="A61" s="43">
        <v>80</v>
      </c>
      <c r="B61" s="44" t="s">
        <v>365</v>
      </c>
      <c r="C61" s="44" t="s">
        <v>366</v>
      </c>
      <c r="D61" s="33">
        <v>33067191</v>
      </c>
      <c r="E61" s="35">
        <v>45982</v>
      </c>
      <c r="F61" s="35">
        <v>45975</v>
      </c>
      <c r="G61" s="44" t="s">
        <v>960</v>
      </c>
      <c r="H61" s="34">
        <v>10571</v>
      </c>
      <c r="I61" s="44" t="s">
        <v>732</v>
      </c>
      <c r="J61" s="34">
        <v>10571</v>
      </c>
      <c r="K61" s="46">
        <v>27545</v>
      </c>
      <c r="L61" s="32" t="s">
        <v>896</v>
      </c>
    </row>
    <row r="62" spans="1:12" ht="16.5" thickBot="1" x14ac:dyDescent="0.3">
      <c r="A62" s="43">
        <v>81</v>
      </c>
      <c r="B62" s="44" t="s">
        <v>365</v>
      </c>
      <c r="C62" s="44" t="s">
        <v>366</v>
      </c>
      <c r="D62" s="33">
        <v>33067192</v>
      </c>
      <c r="E62" s="35">
        <v>45982</v>
      </c>
      <c r="F62" s="35">
        <v>45975</v>
      </c>
      <c r="G62" s="44" t="s">
        <v>961</v>
      </c>
      <c r="H62" s="34">
        <v>10365</v>
      </c>
      <c r="I62" s="44" t="s">
        <v>352</v>
      </c>
      <c r="J62" s="34">
        <v>10365</v>
      </c>
      <c r="K62" s="46">
        <v>26929</v>
      </c>
      <c r="L62" s="32" t="s">
        <v>896</v>
      </c>
    </row>
    <row r="63" spans="1:12" ht="16.5" thickBot="1" x14ac:dyDescent="0.3">
      <c r="A63" s="43">
        <v>82</v>
      </c>
      <c r="B63" s="44" t="s">
        <v>365</v>
      </c>
      <c r="C63" s="44" t="s">
        <v>366</v>
      </c>
      <c r="D63" s="33">
        <v>33067193</v>
      </c>
      <c r="E63" s="35">
        <v>45982</v>
      </c>
      <c r="F63" s="35">
        <v>45975</v>
      </c>
      <c r="G63" s="44" t="s">
        <v>962</v>
      </c>
      <c r="H63" s="34">
        <v>10021</v>
      </c>
      <c r="I63" s="34" t="s">
        <v>890</v>
      </c>
      <c r="J63" s="34">
        <v>10021</v>
      </c>
      <c r="K63" s="46">
        <v>84331</v>
      </c>
      <c r="L63" s="32" t="s">
        <v>896</v>
      </c>
    </row>
    <row r="64" spans="1:12" ht="16.5" thickBot="1" x14ac:dyDescent="0.3">
      <c r="A64" s="43"/>
      <c r="B64" s="44"/>
      <c r="C64" s="44"/>
      <c r="D64" s="33">
        <v>33067194</v>
      </c>
      <c r="E64" s="35">
        <v>45982</v>
      </c>
      <c r="F64" s="35">
        <v>45975</v>
      </c>
      <c r="G64" s="44" t="s">
        <v>963</v>
      </c>
      <c r="H64" s="34">
        <v>10465</v>
      </c>
      <c r="I64" s="44" t="s">
        <v>891</v>
      </c>
      <c r="J64" s="34">
        <v>10465</v>
      </c>
      <c r="K64" s="46">
        <v>131815</v>
      </c>
      <c r="L64" s="32" t="s">
        <v>896</v>
      </c>
    </row>
    <row r="65" spans="1:12" ht="16.5" thickBot="1" x14ac:dyDescent="0.3">
      <c r="A65" s="43"/>
      <c r="B65" s="44"/>
      <c r="C65" s="44"/>
      <c r="D65" s="33">
        <v>33067195</v>
      </c>
      <c r="E65" s="35">
        <v>45982</v>
      </c>
      <c r="F65" s="35">
        <v>45975</v>
      </c>
      <c r="G65" s="44" t="s">
        <v>964</v>
      </c>
      <c r="H65" s="34">
        <v>10431</v>
      </c>
      <c r="I65" s="44" t="s">
        <v>112</v>
      </c>
      <c r="J65" s="34">
        <v>10431</v>
      </c>
      <c r="K65" s="46">
        <v>25344</v>
      </c>
      <c r="L65" s="32" t="s">
        <v>896</v>
      </c>
    </row>
    <row r="66" spans="1:12" ht="16.5" thickBot="1" x14ac:dyDescent="0.3">
      <c r="A66" s="43"/>
      <c r="B66" s="44"/>
      <c r="C66" s="44"/>
      <c r="D66" s="33">
        <v>33067196</v>
      </c>
      <c r="E66" s="35">
        <v>45982</v>
      </c>
      <c r="F66" s="35">
        <v>45975</v>
      </c>
      <c r="G66" s="44" t="s">
        <v>965</v>
      </c>
      <c r="H66" s="34">
        <v>10326</v>
      </c>
      <c r="I66" s="44" t="s">
        <v>126</v>
      </c>
      <c r="J66" s="34">
        <v>10326</v>
      </c>
      <c r="K66" s="46">
        <v>53986</v>
      </c>
      <c r="L66" s="32" t="s">
        <v>896</v>
      </c>
    </row>
    <row r="67" spans="1:12" ht="16.5" thickBot="1" x14ac:dyDescent="0.3">
      <c r="A67" s="43"/>
      <c r="B67" s="44"/>
      <c r="C67" s="44"/>
      <c r="D67" s="33">
        <v>33067197</v>
      </c>
      <c r="E67" s="35">
        <v>45982</v>
      </c>
      <c r="F67" s="35">
        <v>45975</v>
      </c>
      <c r="G67" s="44" t="s">
        <v>966</v>
      </c>
      <c r="H67" s="34">
        <v>10407</v>
      </c>
      <c r="I67" s="44" t="s">
        <v>122</v>
      </c>
      <c r="J67" s="34">
        <v>10407</v>
      </c>
      <c r="K67" s="46">
        <v>139135</v>
      </c>
      <c r="L67" s="32" t="s">
        <v>896</v>
      </c>
    </row>
    <row r="68" spans="1:12" ht="16.5" thickBot="1" x14ac:dyDescent="0.3">
      <c r="A68" s="43"/>
      <c r="B68" s="44"/>
      <c r="C68" s="44"/>
      <c r="D68" s="33">
        <v>33067203</v>
      </c>
      <c r="E68" s="35">
        <v>45982</v>
      </c>
      <c r="F68" s="35">
        <v>45975</v>
      </c>
      <c r="G68" s="44" t="s">
        <v>967</v>
      </c>
      <c r="H68" s="34">
        <v>10015</v>
      </c>
      <c r="I68" s="44" t="s">
        <v>20</v>
      </c>
      <c r="J68" s="34">
        <v>10015</v>
      </c>
      <c r="K68" s="46">
        <v>127835</v>
      </c>
      <c r="L68" s="32" t="s">
        <v>896</v>
      </c>
    </row>
    <row r="69" spans="1:12" ht="16.5" thickBot="1" x14ac:dyDescent="0.3">
      <c r="A69" s="43"/>
      <c r="B69" s="44"/>
      <c r="C69" s="44"/>
      <c r="D69" s="33">
        <v>33067216</v>
      </c>
      <c r="E69" s="35">
        <v>45982</v>
      </c>
      <c r="F69" s="35">
        <v>45978</v>
      </c>
      <c r="G69" s="44" t="s">
        <v>968</v>
      </c>
      <c r="H69" s="34">
        <v>10019</v>
      </c>
      <c r="I69" s="44" t="s">
        <v>25</v>
      </c>
      <c r="J69" s="34">
        <v>10019</v>
      </c>
      <c r="K69" s="46">
        <v>3860</v>
      </c>
      <c r="L69" s="32" t="s">
        <v>898</v>
      </c>
    </row>
    <row r="70" spans="1:12" ht="16.5" thickBot="1" x14ac:dyDescent="0.3">
      <c r="A70" s="43"/>
      <c r="B70" s="44"/>
      <c r="C70" s="44"/>
      <c r="D70" s="33">
        <v>33067244</v>
      </c>
      <c r="E70" s="35">
        <v>45982</v>
      </c>
      <c r="F70" s="35">
        <v>45979</v>
      </c>
      <c r="G70" s="44" t="s">
        <v>969</v>
      </c>
      <c r="H70" s="34">
        <v>10019</v>
      </c>
      <c r="I70" s="44" t="s">
        <v>892</v>
      </c>
      <c r="J70" s="34">
        <v>10019</v>
      </c>
      <c r="K70" s="46">
        <v>154850</v>
      </c>
      <c r="L70" s="32" t="s">
        <v>913</v>
      </c>
    </row>
    <row r="71" spans="1:12" ht="16.5" thickBot="1" x14ac:dyDescent="0.3">
      <c r="A71" s="43"/>
      <c r="B71" s="44"/>
      <c r="C71" s="44"/>
      <c r="D71" s="33">
        <v>33067245</v>
      </c>
      <c r="E71" s="35">
        <v>45982</v>
      </c>
      <c r="F71" s="35">
        <v>45979</v>
      </c>
      <c r="G71" s="44" t="s">
        <v>970</v>
      </c>
      <c r="H71" s="34">
        <v>10018</v>
      </c>
      <c r="I71" s="44" t="s">
        <v>24</v>
      </c>
      <c r="J71" s="34">
        <v>10018</v>
      </c>
      <c r="K71" s="46">
        <v>81350</v>
      </c>
      <c r="L71" s="32" t="s">
        <v>913</v>
      </c>
    </row>
    <row r="72" spans="1:12" ht="16.5" thickBot="1" x14ac:dyDescent="0.3">
      <c r="A72" s="43"/>
      <c r="B72" s="44"/>
      <c r="C72" s="44"/>
      <c r="D72" s="33">
        <v>33067246</v>
      </c>
      <c r="E72" s="35">
        <v>45982</v>
      </c>
      <c r="F72" s="35">
        <v>45979</v>
      </c>
      <c r="G72" s="44" t="s">
        <v>971</v>
      </c>
      <c r="H72" s="34">
        <v>10015</v>
      </c>
      <c r="I72" s="44" t="s">
        <v>893</v>
      </c>
      <c r="J72" s="34">
        <v>10015</v>
      </c>
      <c r="K72" s="46">
        <v>74400</v>
      </c>
      <c r="L72" s="32" t="s">
        <v>913</v>
      </c>
    </row>
    <row r="73" spans="1:12" ht="16.5" thickBot="1" x14ac:dyDescent="0.3">
      <c r="A73" s="43"/>
      <c r="B73" s="44"/>
      <c r="C73" s="44"/>
      <c r="D73" s="33"/>
      <c r="E73" s="35"/>
      <c r="F73" s="35"/>
      <c r="G73" s="44"/>
      <c r="H73" s="34"/>
      <c r="I73" s="44"/>
      <c r="J73" s="34"/>
      <c r="K73" s="46"/>
      <c r="L73" s="32"/>
    </row>
    <row r="74" spans="1:12" ht="16.5" thickBot="1" x14ac:dyDescent="0.3">
      <c r="A74" s="43"/>
      <c r="B74" s="44"/>
      <c r="C74" s="44"/>
      <c r="D74" s="33"/>
      <c r="E74" s="35"/>
      <c r="F74" s="35"/>
      <c r="G74" s="44"/>
      <c r="H74" s="34"/>
      <c r="I74" s="44"/>
      <c r="J74" s="34"/>
      <c r="K74" s="46"/>
      <c r="L74" s="32"/>
    </row>
    <row r="75" spans="1:12" ht="16.5" thickBot="1" x14ac:dyDescent="0.3">
      <c r="A75" s="43"/>
      <c r="B75" s="44"/>
      <c r="C75" s="44"/>
      <c r="D75" s="33"/>
      <c r="E75" s="35"/>
      <c r="F75" s="35"/>
      <c r="G75" s="44"/>
      <c r="H75" s="34"/>
      <c r="I75" s="44"/>
      <c r="J75" s="34"/>
      <c r="K75" s="46"/>
      <c r="L75" s="32"/>
    </row>
    <row r="76" spans="1:12" ht="16.5" thickBot="1" x14ac:dyDescent="0.3">
      <c r="A76" s="43"/>
      <c r="B76" s="44"/>
      <c r="C76" s="44"/>
      <c r="D76" s="33"/>
      <c r="E76" s="35"/>
      <c r="F76" s="35"/>
      <c r="G76" s="44"/>
      <c r="H76" s="34"/>
      <c r="I76" s="44"/>
      <c r="J76" s="34"/>
      <c r="K76" s="46"/>
      <c r="L76" s="32"/>
    </row>
    <row r="77" spans="1:12" ht="16.5" thickBot="1" x14ac:dyDescent="0.3">
      <c r="A77" s="43"/>
      <c r="B77" s="44"/>
      <c r="C77" s="44"/>
      <c r="D77" s="33"/>
      <c r="E77" s="35"/>
      <c r="F77" s="35"/>
      <c r="G77" s="44"/>
      <c r="H77" s="34"/>
      <c r="I77" s="44"/>
      <c r="J77" s="34"/>
      <c r="K77" s="46"/>
      <c r="L77" s="32"/>
    </row>
    <row r="78" spans="1:12" ht="16.5" thickBot="1" x14ac:dyDescent="0.3">
      <c r="A78" s="43"/>
      <c r="B78" s="44"/>
      <c r="C78" s="44"/>
      <c r="D78" s="33"/>
      <c r="E78" s="35"/>
      <c r="F78" s="35"/>
      <c r="G78" s="44"/>
      <c r="H78" s="34"/>
      <c r="I78" s="44"/>
      <c r="J78" s="34"/>
      <c r="K78" s="46"/>
      <c r="L78" s="32"/>
    </row>
    <row r="79" spans="1:12" ht="16.5" thickBot="1" x14ac:dyDescent="0.3">
      <c r="A79" s="43"/>
      <c r="B79" s="44"/>
      <c r="C79" s="44"/>
      <c r="D79" s="33"/>
      <c r="E79" s="35"/>
      <c r="F79" s="35"/>
      <c r="G79" s="44"/>
      <c r="H79" s="34"/>
      <c r="I79" s="44"/>
      <c r="J79" s="34"/>
      <c r="K79" s="46"/>
      <c r="L79" s="32"/>
    </row>
    <row r="80" spans="1:12" ht="16.5" thickBot="1" x14ac:dyDescent="0.3">
      <c r="A80" s="43"/>
      <c r="B80" s="44"/>
      <c r="C80" s="44"/>
      <c r="D80" s="33"/>
      <c r="E80" s="35"/>
      <c r="F80" s="35"/>
      <c r="G80" s="44"/>
      <c r="H80" s="34"/>
      <c r="I80" s="44"/>
      <c r="J80" s="34"/>
      <c r="K80" s="46"/>
      <c r="L80" s="32"/>
    </row>
    <row r="81" spans="1:12" ht="16.5" thickBot="1" x14ac:dyDescent="0.3">
      <c r="A81" s="43"/>
      <c r="B81" s="44"/>
      <c r="C81" s="44"/>
      <c r="D81" s="33"/>
      <c r="E81" s="35"/>
      <c r="F81" s="35"/>
      <c r="G81" s="44"/>
      <c r="H81" s="34"/>
      <c r="I81" s="44"/>
      <c r="J81" s="34"/>
      <c r="K81" s="46"/>
      <c r="L81" s="32"/>
    </row>
    <row r="82" spans="1:12" ht="16.5" thickBot="1" x14ac:dyDescent="0.3">
      <c r="A82" s="43"/>
      <c r="B82" s="44"/>
      <c r="C82" s="44"/>
      <c r="D82" s="33"/>
      <c r="E82" s="35"/>
      <c r="F82" s="35"/>
      <c r="G82" s="44"/>
      <c r="H82" s="34"/>
      <c r="I82" s="34"/>
      <c r="J82" s="34"/>
      <c r="K82" s="46"/>
      <c r="L82" s="32"/>
    </row>
    <row r="83" spans="1:12" ht="16.5" thickBot="1" x14ac:dyDescent="0.3">
      <c r="A83" s="43"/>
      <c r="B83" s="44"/>
      <c r="C83" s="44"/>
      <c r="D83" s="33"/>
      <c r="E83" s="35"/>
      <c r="F83" s="35"/>
      <c r="G83" s="44"/>
      <c r="H83" s="34"/>
      <c r="I83" s="44"/>
      <c r="J83" s="34"/>
      <c r="K83" s="46"/>
      <c r="L83" s="32"/>
    </row>
    <row r="84" spans="1:12" ht="16.5" thickBot="1" x14ac:dyDescent="0.3">
      <c r="A84" s="43"/>
      <c r="B84" s="44"/>
      <c r="C84" s="44"/>
      <c r="D84" s="33"/>
      <c r="E84" s="35"/>
      <c r="F84" s="35"/>
      <c r="G84" s="44"/>
      <c r="H84" s="34"/>
      <c r="I84" s="34"/>
      <c r="J84" s="34"/>
      <c r="K84" s="46"/>
      <c r="L84" s="32"/>
    </row>
    <row r="85" spans="1:12" ht="16.5" thickBot="1" x14ac:dyDescent="0.3">
      <c r="A85" s="43"/>
      <c r="B85" s="44"/>
      <c r="C85" s="44"/>
      <c r="D85" s="33"/>
      <c r="E85" s="35"/>
      <c r="F85" s="35"/>
      <c r="G85" s="34"/>
      <c r="H85" s="34"/>
      <c r="I85" s="34"/>
      <c r="J85" s="34"/>
      <c r="K85" s="46"/>
      <c r="L85" s="32"/>
    </row>
    <row r="86" spans="1:12" ht="16.5" thickBot="1" x14ac:dyDescent="0.3">
      <c r="A86" s="43"/>
      <c r="B86" s="44"/>
      <c r="C86" s="44"/>
      <c r="D86" s="33"/>
      <c r="E86" s="35"/>
      <c r="F86" s="35"/>
      <c r="G86" s="34"/>
      <c r="H86" s="34"/>
      <c r="I86" s="34"/>
      <c r="J86" s="34"/>
      <c r="K86" s="46"/>
      <c r="L86" s="32"/>
    </row>
    <row r="87" spans="1:12" ht="16.5" thickBot="1" x14ac:dyDescent="0.3">
      <c r="A87" s="43"/>
      <c r="B87" s="44"/>
      <c r="C87" s="44"/>
      <c r="D87" s="33"/>
      <c r="E87" s="35"/>
      <c r="F87" s="35"/>
      <c r="G87" s="34"/>
      <c r="H87" s="34"/>
      <c r="I87" s="34"/>
      <c r="J87" s="34"/>
      <c r="K87" s="46"/>
      <c r="L87" s="32"/>
    </row>
    <row r="88" spans="1:12" ht="16.5" thickBot="1" x14ac:dyDescent="0.3">
      <c r="A88" s="43"/>
      <c r="B88" s="44"/>
      <c r="C88" s="44"/>
      <c r="D88" s="33"/>
      <c r="E88" s="35"/>
      <c r="F88" s="35"/>
      <c r="G88" s="34"/>
      <c r="H88" s="34"/>
      <c r="I88" s="34"/>
      <c r="J88" s="34"/>
      <c r="K88" s="46"/>
      <c r="L88" s="32"/>
    </row>
    <row r="89" spans="1:12" ht="16.5" thickBot="1" x14ac:dyDescent="0.3">
      <c r="A89" s="43"/>
      <c r="B89" s="44"/>
      <c r="C89" s="44"/>
      <c r="D89" s="33"/>
      <c r="E89" s="35"/>
      <c r="F89" s="35"/>
      <c r="G89" s="34"/>
      <c r="H89" s="34"/>
      <c r="I89" s="34"/>
      <c r="J89" s="34"/>
      <c r="K89" s="46"/>
      <c r="L89" s="32"/>
    </row>
    <row r="90" spans="1:12" ht="16.5" thickBot="1" x14ac:dyDescent="0.3">
      <c r="A90" s="43"/>
      <c r="B90" s="44"/>
      <c r="C90" s="44"/>
      <c r="D90" s="33"/>
      <c r="E90" s="35"/>
      <c r="F90" s="35"/>
      <c r="G90" s="34"/>
      <c r="H90" s="34"/>
      <c r="I90" s="34"/>
      <c r="J90" s="34"/>
      <c r="K90" s="46"/>
      <c r="L90" s="32"/>
    </row>
    <row r="91" spans="1:12" ht="16.5" thickBot="1" x14ac:dyDescent="0.3">
      <c r="A91" s="43"/>
      <c r="B91" s="44"/>
      <c r="C91" s="44"/>
      <c r="D91" s="33"/>
      <c r="E91" s="35"/>
      <c r="F91" s="35"/>
      <c r="G91" s="34"/>
      <c r="H91" s="34"/>
      <c r="I91" s="34"/>
      <c r="J91" s="34"/>
      <c r="K91" s="46"/>
      <c r="L91" s="32"/>
    </row>
    <row r="92" spans="1:12" ht="16.5" thickBot="1" x14ac:dyDescent="0.3">
      <c r="A92" s="43"/>
      <c r="B92" s="44"/>
      <c r="C92" s="44"/>
      <c r="D92" s="33"/>
      <c r="E92" s="35"/>
      <c r="F92" s="35"/>
      <c r="G92" s="44"/>
      <c r="H92" s="34"/>
      <c r="I92" s="44"/>
      <c r="J92" s="34"/>
      <c r="K92" s="46"/>
      <c r="L92" s="32"/>
    </row>
    <row r="93" spans="1:12" ht="16.5" thickBot="1" x14ac:dyDescent="0.3">
      <c r="A93" s="43"/>
      <c r="B93" s="44"/>
      <c r="C93" s="44"/>
      <c r="D93" s="33"/>
      <c r="E93" s="35"/>
      <c r="F93" s="35"/>
      <c r="G93" s="34"/>
      <c r="H93" s="34"/>
      <c r="I93" s="34"/>
      <c r="J93" s="34"/>
      <c r="K93" s="46"/>
      <c r="L93" s="32"/>
    </row>
    <row r="94" spans="1:12" ht="16.5" thickBot="1" x14ac:dyDescent="0.3">
      <c r="A94" s="43"/>
      <c r="B94" s="44"/>
      <c r="C94" s="44"/>
      <c r="D94" s="33"/>
      <c r="E94" s="35"/>
      <c r="F94" s="35"/>
      <c r="G94" s="44"/>
      <c r="H94" s="34"/>
      <c r="I94" s="44"/>
      <c r="J94" s="34"/>
      <c r="K94" s="46"/>
      <c r="L94" s="32"/>
    </row>
    <row r="95" spans="1:12" ht="16.5" thickBot="1" x14ac:dyDescent="0.3">
      <c r="A95" s="43"/>
      <c r="B95" s="44"/>
      <c r="C95" s="44"/>
      <c r="D95" s="33"/>
      <c r="E95" s="35"/>
      <c r="F95" s="35"/>
      <c r="G95" s="44"/>
      <c r="H95" s="34"/>
      <c r="I95" s="44"/>
      <c r="J95" s="34"/>
      <c r="K95" s="46"/>
      <c r="L95" s="32"/>
    </row>
    <row r="96" spans="1:12" ht="16.5" thickBot="1" x14ac:dyDescent="0.3">
      <c r="A96" s="43"/>
      <c r="B96" s="44"/>
      <c r="C96" s="44"/>
      <c r="D96" s="33"/>
      <c r="E96" s="35"/>
      <c r="F96" s="35"/>
      <c r="G96" s="44"/>
      <c r="H96" s="34"/>
      <c r="I96" s="44"/>
      <c r="J96" s="34"/>
      <c r="K96" s="46"/>
      <c r="L96" s="32"/>
    </row>
    <row r="97" spans="1:12" ht="16.5" thickBot="1" x14ac:dyDescent="0.3">
      <c r="A97" s="43"/>
      <c r="B97" s="44"/>
      <c r="C97" s="44"/>
      <c r="D97" s="33"/>
      <c r="E97" s="35"/>
      <c r="F97" s="33"/>
      <c r="G97" s="44"/>
      <c r="H97" s="34"/>
      <c r="I97" s="44"/>
      <c r="J97" s="34"/>
      <c r="K97" s="46"/>
      <c r="L97" s="32"/>
    </row>
    <row r="98" spans="1:12" ht="16.5" thickBot="1" x14ac:dyDescent="0.3">
      <c r="A98" s="43"/>
      <c r="B98" s="44"/>
      <c r="C98" s="44"/>
      <c r="D98" s="33"/>
      <c r="E98" s="35"/>
      <c r="F98" s="35"/>
      <c r="G98" s="34"/>
      <c r="H98" s="34"/>
      <c r="I98" s="44"/>
      <c r="J98" s="34"/>
      <c r="K98" s="46"/>
      <c r="L98" s="32"/>
    </row>
    <row r="99" spans="1:12" ht="16.5" thickBot="1" x14ac:dyDescent="0.3">
      <c r="A99" s="43"/>
      <c r="B99" s="44"/>
      <c r="C99" s="44"/>
      <c r="D99" s="33"/>
      <c r="E99" s="35"/>
      <c r="F99" s="35"/>
      <c r="G99" s="34"/>
      <c r="H99" s="34"/>
      <c r="I99" s="44"/>
      <c r="J99" s="34"/>
      <c r="K99" s="46"/>
      <c r="L99" s="32"/>
    </row>
    <row r="100" spans="1:12" ht="16.5" thickBot="1" x14ac:dyDescent="0.3">
      <c r="A100" s="43"/>
      <c r="B100" s="44"/>
      <c r="C100" s="44"/>
      <c r="D100" s="33"/>
      <c r="E100" s="35"/>
      <c r="F100" s="35"/>
      <c r="G100" s="34"/>
      <c r="H100" s="34"/>
      <c r="I100" s="44"/>
      <c r="J100" s="34"/>
      <c r="K100" s="46"/>
      <c r="L100" s="32"/>
    </row>
    <row r="101" spans="1:12" ht="16.5" thickBot="1" x14ac:dyDescent="0.3">
      <c r="A101" s="43"/>
      <c r="B101" s="44"/>
      <c r="C101" s="44"/>
      <c r="D101" s="33"/>
      <c r="E101" s="35"/>
      <c r="F101" s="35"/>
      <c r="G101" s="34"/>
      <c r="H101" s="34"/>
      <c r="I101" s="44"/>
      <c r="J101" s="34"/>
      <c r="K101" s="46"/>
      <c r="L101" s="32"/>
    </row>
    <row r="102" spans="1:12" ht="16.5" thickBot="1" x14ac:dyDescent="0.3">
      <c r="A102" s="43"/>
      <c r="B102" s="44"/>
      <c r="C102" s="44"/>
      <c r="D102" s="33"/>
      <c r="E102" s="35"/>
      <c r="F102" s="35"/>
      <c r="G102" s="34"/>
      <c r="H102" s="34"/>
      <c r="I102" s="44"/>
      <c r="J102" s="34"/>
      <c r="K102" s="46"/>
      <c r="L102" s="32"/>
    </row>
    <row r="103" spans="1:12" ht="16.5" thickBot="1" x14ac:dyDescent="0.3">
      <c r="A103" s="43"/>
      <c r="B103" s="44"/>
      <c r="C103" s="44"/>
      <c r="D103" s="33"/>
      <c r="E103" s="35"/>
      <c r="F103" s="35"/>
      <c r="G103" s="34"/>
      <c r="H103" s="34"/>
      <c r="I103" s="44"/>
      <c r="J103" s="34"/>
      <c r="K103" s="46"/>
      <c r="L103" s="32"/>
    </row>
    <row r="104" spans="1:12" ht="16.5" thickBot="1" x14ac:dyDescent="0.3">
      <c r="A104" s="43"/>
      <c r="B104" s="44"/>
      <c r="C104" s="44"/>
      <c r="D104" s="33"/>
      <c r="E104" s="35"/>
      <c r="F104" s="35"/>
      <c r="G104" s="34"/>
      <c r="H104" s="34"/>
      <c r="I104" s="44"/>
      <c r="J104" s="34"/>
      <c r="K104" s="46"/>
      <c r="L104" s="32"/>
    </row>
    <row r="105" spans="1:12" ht="16.5" thickBot="1" x14ac:dyDescent="0.3">
      <c r="A105" s="43"/>
      <c r="B105" s="44"/>
      <c r="C105" s="44"/>
      <c r="D105" s="33"/>
      <c r="E105" s="35"/>
      <c r="F105" s="33"/>
      <c r="G105" s="34"/>
      <c r="H105" s="34"/>
      <c r="I105" s="44"/>
      <c r="J105" s="34"/>
      <c r="K105" s="46"/>
      <c r="L105" s="32"/>
    </row>
    <row r="106" spans="1:12" ht="16.5" thickBot="1" x14ac:dyDescent="0.3">
      <c r="A106" s="43"/>
      <c r="B106" s="44"/>
      <c r="C106" s="44"/>
      <c r="D106" s="33"/>
      <c r="E106" s="35"/>
      <c r="F106" s="33"/>
      <c r="G106" s="34"/>
      <c r="H106" s="34"/>
      <c r="I106" s="44"/>
      <c r="J106" s="34"/>
      <c r="K106" s="46"/>
      <c r="L106" s="32"/>
    </row>
    <row r="107" spans="1:12" ht="16.5" thickBot="1" x14ac:dyDescent="0.3">
      <c r="A107" s="43"/>
      <c r="B107" s="44"/>
      <c r="C107" s="44"/>
      <c r="D107" s="33"/>
      <c r="E107" s="35"/>
      <c r="F107" s="33"/>
      <c r="G107" s="34"/>
      <c r="H107" s="34"/>
      <c r="I107" s="44"/>
      <c r="J107" s="34"/>
      <c r="K107" s="46"/>
      <c r="L107" s="32"/>
    </row>
  </sheetData>
  <autoFilter ref="A1:L72" xr:uid="{00000000-0009-0000-0000-000008000000}"/>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7"/>
  <sheetViews>
    <sheetView topLeftCell="H25" workbookViewId="0">
      <selection activeCell="K41" sqref="K41"/>
    </sheetView>
  </sheetViews>
  <sheetFormatPr defaultColWidth="9.140625" defaultRowHeight="15.75" x14ac:dyDescent="0.25"/>
  <cols>
    <col min="1" max="1" width="5.85546875" style="42" bestFit="1" customWidth="1"/>
    <col min="2" max="2" width="39.28515625" style="42" bestFit="1" customWidth="1"/>
    <col min="3" max="3" width="6.28515625" style="42" bestFit="1" customWidth="1"/>
    <col min="4" max="4" width="13.140625" style="42" bestFit="1" customWidth="1"/>
    <col min="5" max="5" width="22.7109375" style="42" bestFit="1" customWidth="1"/>
    <col min="6" max="6" width="22.7109375" style="42" customWidth="1"/>
    <col min="7" max="7" width="135.28515625" style="42" bestFit="1" customWidth="1"/>
    <col min="8" max="8" width="10.140625" style="42" customWidth="1"/>
    <col min="9" max="9" width="76.140625" style="42" customWidth="1"/>
    <col min="10" max="10" width="12.85546875" style="49" customWidth="1"/>
    <col min="11" max="11" width="73.7109375" style="50" customWidth="1"/>
    <col min="12" max="16384" width="9.140625" style="13"/>
  </cols>
  <sheetData>
    <row r="1" spans="1:11" ht="16.5" thickBot="1" x14ac:dyDescent="0.3">
      <c r="A1" s="27" t="s">
        <v>356</v>
      </c>
      <c r="B1" s="28" t="s">
        <v>357</v>
      </c>
      <c r="C1" s="28" t="s">
        <v>358</v>
      </c>
      <c r="D1" s="28" t="s">
        <v>359</v>
      </c>
      <c r="E1" s="28" t="s">
        <v>360</v>
      </c>
      <c r="F1" s="28" t="s">
        <v>361</v>
      </c>
      <c r="G1" s="28" t="s">
        <v>362</v>
      </c>
      <c r="H1" s="28" t="s">
        <v>349</v>
      </c>
      <c r="I1" s="28" t="s">
        <v>350</v>
      </c>
      <c r="J1" s="28" t="s">
        <v>1077</v>
      </c>
      <c r="K1" s="29" t="s">
        <v>364</v>
      </c>
    </row>
    <row r="2" spans="1:11" ht="16.5" thickBot="1" x14ac:dyDescent="0.3">
      <c r="A2" s="43">
        <v>1</v>
      </c>
      <c r="B2" s="44" t="s">
        <v>365</v>
      </c>
      <c r="C2" s="44" t="s">
        <v>366</v>
      </c>
      <c r="D2" s="94">
        <v>33067267</v>
      </c>
      <c r="E2" s="35">
        <v>46014</v>
      </c>
      <c r="F2" s="35">
        <v>46014</v>
      </c>
      <c r="G2" s="44" t="s">
        <v>985</v>
      </c>
      <c r="H2" s="34">
        <v>10030</v>
      </c>
      <c r="I2" s="44" t="s">
        <v>43</v>
      </c>
      <c r="J2" s="46">
        <v>50000</v>
      </c>
      <c r="K2" s="32" t="s">
        <v>1044</v>
      </c>
    </row>
    <row r="3" spans="1:11" ht="16.5" thickBot="1" x14ac:dyDescent="0.3">
      <c r="A3" s="43">
        <v>2</v>
      </c>
      <c r="B3" s="44" t="s">
        <v>365</v>
      </c>
      <c r="C3" s="44" t="s">
        <v>366</v>
      </c>
      <c r="D3" s="94">
        <v>220954</v>
      </c>
      <c r="E3" s="35">
        <v>46014</v>
      </c>
      <c r="F3" s="35">
        <v>46014</v>
      </c>
      <c r="G3" s="44" t="s">
        <v>986</v>
      </c>
      <c r="H3" s="34">
        <v>10527</v>
      </c>
      <c r="I3" s="44" t="s">
        <v>1078</v>
      </c>
      <c r="J3" s="46">
        <v>26513</v>
      </c>
      <c r="K3" s="32" t="s">
        <v>1045</v>
      </c>
    </row>
    <row r="4" spans="1:11" ht="16.5" thickBot="1" x14ac:dyDescent="0.3">
      <c r="A4" s="43">
        <v>3</v>
      </c>
      <c r="B4" s="44" t="s">
        <v>365</v>
      </c>
      <c r="C4" s="44" t="s">
        <v>366</v>
      </c>
      <c r="D4" s="94">
        <v>220955</v>
      </c>
      <c r="E4" s="35">
        <v>46014</v>
      </c>
      <c r="F4" s="35">
        <v>46014</v>
      </c>
      <c r="G4" s="44" t="s">
        <v>987</v>
      </c>
      <c r="H4" s="34">
        <v>10568</v>
      </c>
      <c r="I4" s="44" t="s">
        <v>338</v>
      </c>
      <c r="J4" s="46">
        <v>12150</v>
      </c>
      <c r="K4" s="32" t="s">
        <v>1045</v>
      </c>
    </row>
    <row r="5" spans="1:11" ht="16.5" thickBot="1" x14ac:dyDescent="0.3">
      <c r="A5" s="43">
        <v>4</v>
      </c>
      <c r="B5" s="44" t="s">
        <v>365</v>
      </c>
      <c r="C5" s="44" t="s">
        <v>366</v>
      </c>
      <c r="D5" s="94">
        <v>220956</v>
      </c>
      <c r="E5" s="35">
        <v>46014</v>
      </c>
      <c r="F5" s="35">
        <v>46014</v>
      </c>
      <c r="G5" s="44" t="s">
        <v>988</v>
      </c>
      <c r="H5" s="34">
        <v>10663</v>
      </c>
      <c r="I5" s="44" t="s">
        <v>775</v>
      </c>
      <c r="J5" s="46">
        <v>8600</v>
      </c>
      <c r="K5" s="32" t="s">
        <v>1045</v>
      </c>
    </row>
    <row r="6" spans="1:11" ht="16.5" thickBot="1" x14ac:dyDescent="0.3">
      <c r="A6" s="43">
        <v>5</v>
      </c>
      <c r="B6" s="44" t="s">
        <v>365</v>
      </c>
      <c r="C6" s="44" t="s">
        <v>366</v>
      </c>
      <c r="D6" s="94">
        <v>220957</v>
      </c>
      <c r="E6" s="35">
        <v>46014</v>
      </c>
      <c r="F6" s="35">
        <v>46014</v>
      </c>
      <c r="G6" s="44" t="s">
        <v>989</v>
      </c>
      <c r="H6" s="34">
        <v>10432</v>
      </c>
      <c r="I6" s="44" t="s">
        <v>656</v>
      </c>
      <c r="J6" s="46">
        <v>6020</v>
      </c>
      <c r="K6" s="32" t="s">
        <v>1045</v>
      </c>
    </row>
    <row r="7" spans="1:11" ht="16.5" thickBot="1" x14ac:dyDescent="0.3">
      <c r="A7" s="43">
        <v>6</v>
      </c>
      <c r="B7" s="44" t="s">
        <v>365</v>
      </c>
      <c r="C7" s="44" t="s">
        <v>366</v>
      </c>
      <c r="D7" s="94">
        <v>33274599</v>
      </c>
      <c r="E7" s="35">
        <v>46014</v>
      </c>
      <c r="F7" s="35">
        <v>46014</v>
      </c>
      <c r="G7" s="44" t="s">
        <v>990</v>
      </c>
      <c r="H7" s="34">
        <v>10587</v>
      </c>
      <c r="I7" s="44" t="s">
        <v>368</v>
      </c>
      <c r="J7" s="46">
        <v>55650</v>
      </c>
      <c r="K7" s="32" t="s">
        <v>1046</v>
      </c>
    </row>
    <row r="8" spans="1:11" ht="16.5" thickBot="1" x14ac:dyDescent="0.3">
      <c r="A8" s="43">
        <v>7</v>
      </c>
      <c r="B8" s="44" t="s">
        <v>365</v>
      </c>
      <c r="C8" s="44" t="s">
        <v>366</v>
      </c>
      <c r="D8" s="94">
        <v>33274600</v>
      </c>
      <c r="E8" s="35">
        <v>46014</v>
      </c>
      <c r="F8" s="35">
        <v>46014</v>
      </c>
      <c r="G8" s="44" t="s">
        <v>991</v>
      </c>
      <c r="H8" s="34">
        <v>10597</v>
      </c>
      <c r="I8" s="44" t="s">
        <v>373</v>
      </c>
      <c r="J8" s="46">
        <v>23945</v>
      </c>
      <c r="K8" s="32" t="s">
        <v>1046</v>
      </c>
    </row>
    <row r="9" spans="1:11" ht="16.5" thickBot="1" x14ac:dyDescent="0.3">
      <c r="A9" s="43">
        <v>8</v>
      </c>
      <c r="B9" s="44" t="s">
        <v>365</v>
      </c>
      <c r="C9" s="44" t="s">
        <v>366</v>
      </c>
      <c r="D9" s="94">
        <v>33274601</v>
      </c>
      <c r="E9" s="35">
        <v>46014</v>
      </c>
      <c r="F9" s="35">
        <v>46014</v>
      </c>
      <c r="G9" s="44" t="s">
        <v>992</v>
      </c>
      <c r="H9" s="34">
        <v>10605</v>
      </c>
      <c r="I9" s="44" t="s">
        <v>382</v>
      </c>
      <c r="J9" s="46">
        <v>41700</v>
      </c>
      <c r="K9" s="32" t="s">
        <v>1046</v>
      </c>
    </row>
    <row r="10" spans="1:11" ht="16.5" thickBot="1" x14ac:dyDescent="0.3">
      <c r="A10" s="43">
        <v>9</v>
      </c>
      <c r="B10" s="44" t="s">
        <v>365</v>
      </c>
      <c r="C10" s="44" t="s">
        <v>366</v>
      </c>
      <c r="D10" s="94">
        <v>33274602</v>
      </c>
      <c r="E10" s="35">
        <v>46014</v>
      </c>
      <c r="F10" s="35">
        <v>46014</v>
      </c>
      <c r="G10" s="44" t="s">
        <v>993</v>
      </c>
      <c r="H10" s="34">
        <v>10505</v>
      </c>
      <c r="I10" s="44" t="s">
        <v>187</v>
      </c>
      <c r="J10" s="46">
        <v>76450</v>
      </c>
      <c r="K10" s="32" t="s">
        <v>1046</v>
      </c>
    </row>
    <row r="11" spans="1:11" ht="16.5" thickBot="1" x14ac:dyDescent="0.3">
      <c r="A11" s="43">
        <v>10</v>
      </c>
      <c r="B11" s="44" t="s">
        <v>365</v>
      </c>
      <c r="C11" s="44" t="s">
        <v>366</v>
      </c>
      <c r="D11" s="94">
        <v>33274603</v>
      </c>
      <c r="E11" s="35">
        <v>46014</v>
      </c>
      <c r="F11" s="35">
        <v>46014</v>
      </c>
      <c r="G11" s="44" t="s">
        <v>994</v>
      </c>
      <c r="H11" s="34">
        <v>10419</v>
      </c>
      <c r="I11" s="44" t="s">
        <v>189</v>
      </c>
      <c r="J11" s="46">
        <v>169000</v>
      </c>
      <c r="K11" s="32" t="s">
        <v>1046</v>
      </c>
    </row>
    <row r="12" spans="1:11" ht="16.5" thickBot="1" x14ac:dyDescent="0.3">
      <c r="A12" s="43">
        <v>11</v>
      </c>
      <c r="B12" s="44" t="s">
        <v>365</v>
      </c>
      <c r="C12" s="44" t="s">
        <v>366</v>
      </c>
      <c r="D12" s="94">
        <v>33274604</v>
      </c>
      <c r="E12" s="35">
        <v>46014</v>
      </c>
      <c r="F12" s="35">
        <v>46014</v>
      </c>
      <c r="G12" s="44" t="s">
        <v>995</v>
      </c>
      <c r="H12" s="34">
        <v>10679</v>
      </c>
      <c r="I12" s="44" t="s">
        <v>858</v>
      </c>
      <c r="J12" s="46">
        <v>11148</v>
      </c>
      <c r="K12" s="32" t="s">
        <v>1046</v>
      </c>
    </row>
    <row r="13" spans="1:11" ht="16.5" thickBot="1" x14ac:dyDescent="0.3">
      <c r="A13" s="43">
        <v>18</v>
      </c>
      <c r="B13" s="44" t="s">
        <v>365</v>
      </c>
      <c r="C13" s="44" t="s">
        <v>366</v>
      </c>
      <c r="D13" s="94">
        <v>33274605</v>
      </c>
      <c r="E13" s="35">
        <v>46014</v>
      </c>
      <c r="F13" s="35">
        <v>46014</v>
      </c>
      <c r="G13" s="44" t="s">
        <v>996</v>
      </c>
      <c r="H13" s="34">
        <v>10573</v>
      </c>
      <c r="I13" s="44" t="s">
        <v>341</v>
      </c>
      <c r="J13" s="46">
        <v>41900</v>
      </c>
      <c r="K13" s="32" t="s">
        <v>1046</v>
      </c>
    </row>
    <row r="14" spans="1:11" ht="16.5" thickBot="1" x14ac:dyDescent="0.3">
      <c r="A14" s="43">
        <v>19</v>
      </c>
      <c r="B14" s="44" t="s">
        <v>365</v>
      </c>
      <c r="C14" s="44" t="s">
        <v>366</v>
      </c>
      <c r="D14" s="94">
        <v>33274606</v>
      </c>
      <c r="E14" s="35">
        <v>46014</v>
      </c>
      <c r="F14" s="35">
        <v>46014</v>
      </c>
      <c r="G14" s="44" t="s">
        <v>997</v>
      </c>
      <c r="H14" s="34">
        <v>10419</v>
      </c>
      <c r="I14" s="44" t="s">
        <v>189</v>
      </c>
      <c r="J14" s="46">
        <v>41979</v>
      </c>
      <c r="K14" s="32" t="s">
        <v>1046</v>
      </c>
    </row>
    <row r="15" spans="1:11" ht="16.5" thickBot="1" x14ac:dyDescent="0.3">
      <c r="A15" s="43">
        <v>33</v>
      </c>
      <c r="B15" s="44" t="s">
        <v>365</v>
      </c>
      <c r="C15" s="44" t="s">
        <v>366</v>
      </c>
      <c r="D15" s="94">
        <v>33274607</v>
      </c>
      <c r="E15" s="35">
        <v>46014</v>
      </c>
      <c r="F15" s="35">
        <v>46014</v>
      </c>
      <c r="G15" s="44" t="s">
        <v>998</v>
      </c>
      <c r="H15" s="34">
        <v>10636</v>
      </c>
      <c r="I15" s="44" t="s">
        <v>422</v>
      </c>
      <c r="J15" s="46">
        <v>62969</v>
      </c>
      <c r="K15" s="32" t="s">
        <v>1046</v>
      </c>
    </row>
    <row r="16" spans="1:11" ht="16.5" thickBot="1" x14ac:dyDescent="0.3">
      <c r="A16" s="43">
        <v>34</v>
      </c>
      <c r="B16" s="44" t="s">
        <v>365</v>
      </c>
      <c r="C16" s="44" t="s">
        <v>366</v>
      </c>
      <c r="D16" s="94">
        <v>33274698</v>
      </c>
      <c r="E16" s="35">
        <v>46014</v>
      </c>
      <c r="F16" s="35">
        <v>46014</v>
      </c>
      <c r="G16" s="44" t="s">
        <v>999</v>
      </c>
      <c r="H16" s="34">
        <v>10020</v>
      </c>
      <c r="I16" s="44" t="s">
        <v>27</v>
      </c>
      <c r="J16" s="46">
        <v>5000</v>
      </c>
      <c r="K16" s="32" t="s">
        <v>1047</v>
      </c>
    </row>
    <row r="17" spans="1:11" ht="16.5" thickBot="1" x14ac:dyDescent="0.3">
      <c r="A17" s="43">
        <v>35</v>
      </c>
      <c r="B17" s="44" t="s">
        <v>365</v>
      </c>
      <c r="C17" s="44" t="s">
        <v>366</v>
      </c>
      <c r="D17" s="94">
        <v>33274699</v>
      </c>
      <c r="E17" s="35">
        <v>46014</v>
      </c>
      <c r="F17" s="35">
        <v>46014</v>
      </c>
      <c r="G17" s="44" t="s">
        <v>1000</v>
      </c>
      <c r="H17" s="34">
        <v>10554</v>
      </c>
      <c r="I17" s="44" t="s">
        <v>885</v>
      </c>
      <c r="J17" s="46">
        <v>5000</v>
      </c>
      <c r="K17" s="32" t="s">
        <v>1047</v>
      </c>
    </row>
    <row r="18" spans="1:11" ht="16.5" thickBot="1" x14ac:dyDescent="0.3">
      <c r="A18" s="43">
        <v>36</v>
      </c>
      <c r="B18" s="44" t="s">
        <v>365</v>
      </c>
      <c r="C18" s="44" t="s">
        <v>366</v>
      </c>
      <c r="D18" s="94">
        <v>33274700</v>
      </c>
      <c r="E18" s="35">
        <v>46014</v>
      </c>
      <c r="F18" s="35">
        <v>46014</v>
      </c>
      <c r="G18" s="44" t="s">
        <v>1001</v>
      </c>
      <c r="H18" s="34">
        <v>10533</v>
      </c>
      <c r="I18" s="44" t="s">
        <v>314</v>
      </c>
      <c r="J18" s="46">
        <v>4000</v>
      </c>
      <c r="K18" s="32" t="s">
        <v>1047</v>
      </c>
    </row>
    <row r="19" spans="1:11" ht="16.5" thickBot="1" x14ac:dyDescent="0.3">
      <c r="A19" s="43">
        <v>37</v>
      </c>
      <c r="B19" s="44" t="s">
        <v>365</v>
      </c>
      <c r="C19" s="44" t="s">
        <v>366</v>
      </c>
      <c r="D19" s="94">
        <v>33274701</v>
      </c>
      <c r="E19" s="35">
        <v>46014</v>
      </c>
      <c r="F19" s="35">
        <v>46014</v>
      </c>
      <c r="G19" s="44" t="s">
        <v>1002</v>
      </c>
      <c r="H19" s="34">
        <v>10437</v>
      </c>
      <c r="I19" s="44" t="s">
        <v>37</v>
      </c>
      <c r="J19" s="46">
        <v>3000</v>
      </c>
      <c r="K19" s="32" t="s">
        <v>1047</v>
      </c>
    </row>
    <row r="20" spans="1:11" ht="16.5" thickBot="1" x14ac:dyDescent="0.3">
      <c r="A20" s="43">
        <v>38</v>
      </c>
      <c r="B20" s="44" t="s">
        <v>365</v>
      </c>
      <c r="C20" s="44" t="s">
        <v>366</v>
      </c>
      <c r="D20" s="94">
        <v>33274702</v>
      </c>
      <c r="E20" s="35">
        <v>46014</v>
      </c>
      <c r="F20" s="35">
        <v>46014</v>
      </c>
      <c r="G20" s="44" t="s">
        <v>1003</v>
      </c>
      <c r="H20" s="34">
        <v>10460</v>
      </c>
      <c r="I20" s="44" t="s">
        <v>137</v>
      </c>
      <c r="J20" s="46">
        <v>2000</v>
      </c>
      <c r="K20" s="32" t="s">
        <v>1047</v>
      </c>
    </row>
    <row r="21" spans="1:11" ht="16.5" thickBot="1" x14ac:dyDescent="0.3">
      <c r="A21" s="43">
        <v>39</v>
      </c>
      <c r="B21" s="44" t="s">
        <v>365</v>
      </c>
      <c r="C21" s="44" t="s">
        <v>366</v>
      </c>
      <c r="D21" s="94">
        <v>33274703</v>
      </c>
      <c r="E21" s="35">
        <v>46014</v>
      </c>
      <c r="F21" s="35">
        <v>46014</v>
      </c>
      <c r="G21" s="44" t="s">
        <v>1004</v>
      </c>
      <c r="H21" s="34">
        <v>10239</v>
      </c>
      <c r="I21" s="44" t="s">
        <v>1079</v>
      </c>
      <c r="J21" s="46">
        <v>1000</v>
      </c>
      <c r="K21" s="32" t="s">
        <v>1047</v>
      </c>
    </row>
    <row r="22" spans="1:11" ht="16.5" thickBot="1" x14ac:dyDescent="0.3">
      <c r="A22" s="43">
        <v>40</v>
      </c>
      <c r="B22" s="44" t="s">
        <v>365</v>
      </c>
      <c r="C22" s="44" t="s">
        <v>366</v>
      </c>
      <c r="D22" s="94">
        <v>33274588</v>
      </c>
      <c r="E22" s="35">
        <v>46014</v>
      </c>
      <c r="F22" s="35">
        <v>46014</v>
      </c>
      <c r="G22" s="44" t="s">
        <v>1005</v>
      </c>
      <c r="H22" s="34">
        <v>10101</v>
      </c>
      <c r="I22" s="44" t="s">
        <v>239</v>
      </c>
      <c r="J22" s="46">
        <v>56213</v>
      </c>
      <c r="K22" s="32" t="s">
        <v>1048</v>
      </c>
    </row>
    <row r="23" spans="1:11" ht="16.5" thickBot="1" x14ac:dyDescent="0.3">
      <c r="A23" s="43">
        <v>41</v>
      </c>
      <c r="B23" s="44" t="s">
        <v>365</v>
      </c>
      <c r="C23" s="44" t="s">
        <v>366</v>
      </c>
      <c r="D23" s="94">
        <v>33274589</v>
      </c>
      <c r="E23" s="35">
        <v>46014</v>
      </c>
      <c r="F23" s="35">
        <v>46014</v>
      </c>
      <c r="G23" s="44" t="s">
        <v>1006</v>
      </c>
      <c r="H23" s="34">
        <v>10030</v>
      </c>
      <c r="I23" s="44" t="s">
        <v>43</v>
      </c>
      <c r="J23" s="46">
        <v>137513</v>
      </c>
      <c r="K23" s="32" t="s">
        <v>1048</v>
      </c>
    </row>
    <row r="24" spans="1:11" ht="16.5" thickBot="1" x14ac:dyDescent="0.3">
      <c r="A24" s="43">
        <v>43</v>
      </c>
      <c r="B24" s="44" t="s">
        <v>365</v>
      </c>
      <c r="C24" s="44" t="s">
        <v>366</v>
      </c>
      <c r="D24" s="94">
        <v>33274590</v>
      </c>
      <c r="E24" s="35">
        <v>46014</v>
      </c>
      <c r="F24" s="35">
        <v>46014</v>
      </c>
      <c r="G24" s="44" t="s">
        <v>1007</v>
      </c>
      <c r="H24" s="34">
        <v>10063</v>
      </c>
      <c r="I24" s="44" t="s">
        <v>193</v>
      </c>
      <c r="J24" s="46">
        <v>31360</v>
      </c>
      <c r="K24" s="32" t="s">
        <v>1048</v>
      </c>
    </row>
    <row r="25" spans="1:11" ht="16.5" thickBot="1" x14ac:dyDescent="0.3">
      <c r="A25" s="43">
        <v>44</v>
      </c>
      <c r="B25" s="44" t="s">
        <v>365</v>
      </c>
      <c r="C25" s="44" t="s">
        <v>366</v>
      </c>
      <c r="D25" s="94">
        <v>33274591</v>
      </c>
      <c r="E25" s="35">
        <v>46014</v>
      </c>
      <c r="F25" s="35">
        <v>46014</v>
      </c>
      <c r="G25" s="44" t="s">
        <v>1008</v>
      </c>
      <c r="H25" s="34">
        <v>10290</v>
      </c>
      <c r="I25" s="44" t="s">
        <v>151</v>
      </c>
      <c r="J25" s="46">
        <v>73850</v>
      </c>
      <c r="K25" s="32" t="s">
        <v>1048</v>
      </c>
    </row>
    <row r="26" spans="1:11" ht="16.5" thickBot="1" x14ac:dyDescent="0.3">
      <c r="A26" s="43">
        <v>45</v>
      </c>
      <c r="B26" s="44" t="s">
        <v>365</v>
      </c>
      <c r="C26" s="44" t="s">
        <v>366</v>
      </c>
      <c r="D26" s="94">
        <v>33274592</v>
      </c>
      <c r="E26" s="35">
        <v>46014</v>
      </c>
      <c r="F26" s="35">
        <v>46014</v>
      </c>
      <c r="G26" s="44" t="s">
        <v>1009</v>
      </c>
      <c r="H26" s="34">
        <v>10391</v>
      </c>
      <c r="I26" s="44" t="s">
        <v>243</v>
      </c>
      <c r="J26" s="46">
        <v>68875</v>
      </c>
      <c r="K26" s="32" t="s">
        <v>1048</v>
      </c>
    </row>
    <row r="27" spans="1:11" ht="16.5" thickBot="1" x14ac:dyDescent="0.3">
      <c r="A27" s="43">
        <v>46</v>
      </c>
      <c r="B27" s="44" t="s">
        <v>365</v>
      </c>
      <c r="C27" s="44" t="s">
        <v>366</v>
      </c>
      <c r="D27" s="94">
        <v>33274593</v>
      </c>
      <c r="E27" s="35">
        <v>46014</v>
      </c>
      <c r="F27" s="35">
        <v>46014</v>
      </c>
      <c r="G27" s="44" t="s">
        <v>1010</v>
      </c>
      <c r="H27" s="34">
        <v>10592</v>
      </c>
      <c r="I27" s="44" t="s">
        <v>377</v>
      </c>
      <c r="J27" s="46">
        <v>3820</v>
      </c>
      <c r="K27" s="32" t="s">
        <v>1048</v>
      </c>
    </row>
    <row r="28" spans="1:11" ht="16.5" thickBot="1" x14ac:dyDescent="0.3">
      <c r="A28" s="43">
        <v>47</v>
      </c>
      <c r="B28" s="44" t="s">
        <v>365</v>
      </c>
      <c r="C28" s="44" t="s">
        <v>366</v>
      </c>
      <c r="D28" s="94">
        <v>33274594</v>
      </c>
      <c r="E28" s="35">
        <v>46014</v>
      </c>
      <c r="F28" s="35">
        <v>46014</v>
      </c>
      <c r="G28" s="44" t="s">
        <v>1011</v>
      </c>
      <c r="H28" s="34">
        <v>10568</v>
      </c>
      <c r="I28" s="44" t="s">
        <v>338</v>
      </c>
      <c r="J28" s="46">
        <v>13275</v>
      </c>
      <c r="K28" s="32" t="s">
        <v>1048</v>
      </c>
    </row>
    <row r="29" spans="1:11" ht="16.5" thickBot="1" x14ac:dyDescent="0.3">
      <c r="A29" s="43">
        <v>48</v>
      </c>
      <c r="B29" s="44" t="s">
        <v>365</v>
      </c>
      <c r="C29" s="44" t="s">
        <v>366</v>
      </c>
      <c r="D29" s="94">
        <v>33274595</v>
      </c>
      <c r="E29" s="35">
        <v>46014</v>
      </c>
      <c r="F29" s="35">
        <v>46014</v>
      </c>
      <c r="G29" s="44" t="s">
        <v>1012</v>
      </c>
      <c r="H29" s="34">
        <v>10432</v>
      </c>
      <c r="I29" s="44" t="s">
        <v>656</v>
      </c>
      <c r="J29" s="46">
        <v>6020</v>
      </c>
      <c r="K29" s="32" t="s">
        <v>1048</v>
      </c>
    </row>
    <row r="30" spans="1:11" ht="16.5" thickBot="1" x14ac:dyDescent="0.3">
      <c r="A30" s="43">
        <v>49</v>
      </c>
      <c r="B30" s="44" t="s">
        <v>365</v>
      </c>
      <c r="C30" s="44" t="s">
        <v>366</v>
      </c>
      <c r="D30" s="94">
        <v>33274596</v>
      </c>
      <c r="E30" s="35">
        <v>46014</v>
      </c>
      <c r="F30" s="35">
        <v>46014</v>
      </c>
      <c r="G30" s="44" t="s">
        <v>1013</v>
      </c>
      <c r="H30" s="34">
        <v>10019</v>
      </c>
      <c r="I30" s="44" t="s">
        <v>25</v>
      </c>
      <c r="J30" s="46">
        <v>100153</v>
      </c>
      <c r="K30" s="32" t="s">
        <v>1049</v>
      </c>
    </row>
    <row r="31" spans="1:11" ht="16.5" thickBot="1" x14ac:dyDescent="0.3">
      <c r="A31" s="43">
        <v>50</v>
      </c>
      <c r="B31" s="44" t="s">
        <v>365</v>
      </c>
      <c r="C31" s="44" t="s">
        <v>366</v>
      </c>
      <c r="D31" s="94">
        <v>33274597</v>
      </c>
      <c r="E31" s="35">
        <v>46014</v>
      </c>
      <c r="F31" s="35">
        <v>46014</v>
      </c>
      <c r="G31" s="44" t="s">
        <v>1014</v>
      </c>
      <c r="H31" s="34">
        <v>10018</v>
      </c>
      <c r="I31" s="44" t="s">
        <v>24</v>
      </c>
      <c r="J31" s="46">
        <v>66130</v>
      </c>
      <c r="K31" s="32" t="s">
        <v>1049</v>
      </c>
    </row>
    <row r="32" spans="1:11" ht="16.5" thickBot="1" x14ac:dyDescent="0.3">
      <c r="A32" s="43">
        <v>51</v>
      </c>
      <c r="B32" s="44" t="s">
        <v>365</v>
      </c>
      <c r="C32" s="44" t="s">
        <v>366</v>
      </c>
      <c r="D32" s="94">
        <v>33274598</v>
      </c>
      <c r="E32" s="35">
        <v>46014</v>
      </c>
      <c r="F32" s="35">
        <v>46014</v>
      </c>
      <c r="G32" s="44" t="s">
        <v>1015</v>
      </c>
      <c r="H32" s="34">
        <v>10015</v>
      </c>
      <c r="I32" s="44" t="s">
        <v>20</v>
      </c>
      <c r="J32" s="46">
        <v>53261</v>
      </c>
      <c r="K32" s="32" t="s">
        <v>1049</v>
      </c>
    </row>
    <row r="33" spans="1:11" ht="16.5" thickBot="1" x14ac:dyDescent="0.3">
      <c r="A33" s="43">
        <v>52</v>
      </c>
      <c r="B33" s="44" t="s">
        <v>365</v>
      </c>
      <c r="C33" s="44" t="s">
        <v>366</v>
      </c>
      <c r="D33" s="94">
        <v>33274636</v>
      </c>
      <c r="E33" s="35">
        <v>46014</v>
      </c>
      <c r="F33" s="35">
        <v>46014</v>
      </c>
      <c r="G33" s="44" t="s">
        <v>1016</v>
      </c>
      <c r="H33" s="34">
        <v>10391</v>
      </c>
      <c r="I33" s="44" t="s">
        <v>243</v>
      </c>
      <c r="J33" s="46">
        <v>5506</v>
      </c>
      <c r="K33" s="32" t="s">
        <v>1050</v>
      </c>
    </row>
    <row r="34" spans="1:11" ht="16.5" thickBot="1" x14ac:dyDescent="0.3">
      <c r="A34" s="43">
        <v>53</v>
      </c>
      <c r="B34" s="44" t="s">
        <v>365</v>
      </c>
      <c r="C34" s="44" t="s">
        <v>366</v>
      </c>
      <c r="D34" s="94">
        <v>33274637</v>
      </c>
      <c r="E34" s="35">
        <v>46014</v>
      </c>
      <c r="F34" s="35">
        <v>46014</v>
      </c>
      <c r="G34" s="44" t="s">
        <v>1017</v>
      </c>
      <c r="H34" s="34">
        <v>10030</v>
      </c>
      <c r="I34" s="44" t="s">
        <v>43</v>
      </c>
      <c r="J34" s="46">
        <v>5197</v>
      </c>
      <c r="K34" s="32" t="s">
        <v>1050</v>
      </c>
    </row>
    <row r="35" spans="1:11" ht="16.5" thickBot="1" x14ac:dyDescent="0.3">
      <c r="A35" s="43">
        <v>54</v>
      </c>
      <c r="B35" s="44" t="s">
        <v>365</v>
      </c>
      <c r="C35" s="44" t="s">
        <v>366</v>
      </c>
      <c r="D35" s="94">
        <v>33274638</v>
      </c>
      <c r="E35" s="35">
        <v>46014</v>
      </c>
      <c r="F35" s="35">
        <v>46014</v>
      </c>
      <c r="G35" s="44" t="s">
        <v>1018</v>
      </c>
      <c r="H35" s="34">
        <v>10063</v>
      </c>
      <c r="I35" s="44" t="s">
        <v>193</v>
      </c>
      <c r="J35" s="46">
        <v>3792</v>
      </c>
      <c r="K35" s="32" t="s">
        <v>1050</v>
      </c>
    </row>
    <row r="36" spans="1:11" ht="16.5" thickBot="1" x14ac:dyDescent="0.3">
      <c r="A36" s="43">
        <v>55</v>
      </c>
      <c r="B36" s="44" t="s">
        <v>365</v>
      </c>
      <c r="C36" s="44" t="s">
        <v>366</v>
      </c>
      <c r="D36" s="94">
        <v>33274639</v>
      </c>
      <c r="E36" s="35">
        <v>46014</v>
      </c>
      <c r="F36" s="35">
        <v>46014</v>
      </c>
      <c r="G36" s="44" t="s">
        <v>1019</v>
      </c>
      <c r="H36" s="34">
        <v>10032</v>
      </c>
      <c r="I36" s="44" t="s">
        <v>46</v>
      </c>
      <c r="J36" s="46">
        <v>3652</v>
      </c>
      <c r="K36" s="32" t="s">
        <v>1050</v>
      </c>
    </row>
    <row r="37" spans="1:11" ht="16.5" thickBot="1" x14ac:dyDescent="0.3">
      <c r="A37" s="43">
        <v>56</v>
      </c>
      <c r="B37" s="44" t="s">
        <v>365</v>
      </c>
      <c r="C37" s="44" t="s">
        <v>366</v>
      </c>
      <c r="D37" s="94">
        <v>33274640</v>
      </c>
      <c r="E37" s="35">
        <v>46014</v>
      </c>
      <c r="F37" s="35">
        <v>46014</v>
      </c>
      <c r="G37" s="44" t="s">
        <v>1020</v>
      </c>
      <c r="H37" s="34">
        <v>10419</v>
      </c>
      <c r="I37" s="44" t="s">
        <v>189</v>
      </c>
      <c r="J37" s="46">
        <v>3034</v>
      </c>
      <c r="K37" s="32" t="s">
        <v>1050</v>
      </c>
    </row>
    <row r="38" spans="1:11" ht="16.5" thickBot="1" x14ac:dyDescent="0.3">
      <c r="A38" s="43">
        <v>57</v>
      </c>
      <c r="B38" s="44" t="s">
        <v>365</v>
      </c>
      <c r="C38" s="44" t="s">
        <v>366</v>
      </c>
      <c r="D38" s="94">
        <v>33274641</v>
      </c>
      <c r="E38" s="35">
        <v>46014</v>
      </c>
      <c r="F38" s="35">
        <v>46014</v>
      </c>
      <c r="G38" s="44" t="s">
        <v>1021</v>
      </c>
      <c r="H38" s="34">
        <v>10290</v>
      </c>
      <c r="I38" s="44" t="s">
        <v>151</v>
      </c>
      <c r="J38" s="46">
        <v>3006</v>
      </c>
      <c r="K38" s="32" t="s">
        <v>1050</v>
      </c>
    </row>
    <row r="39" spans="1:11" ht="16.5" thickBot="1" x14ac:dyDescent="0.3">
      <c r="A39" s="43">
        <v>58</v>
      </c>
      <c r="B39" s="44" t="s">
        <v>365</v>
      </c>
      <c r="C39" s="44" t="s">
        <v>366</v>
      </c>
      <c r="D39" s="94">
        <v>33274642</v>
      </c>
      <c r="E39" s="35">
        <v>46014</v>
      </c>
      <c r="F39" s="35">
        <v>46014</v>
      </c>
      <c r="G39" s="44" t="s">
        <v>1022</v>
      </c>
      <c r="H39" s="34">
        <v>10527</v>
      </c>
      <c r="I39" s="44" t="s">
        <v>224</v>
      </c>
      <c r="J39" s="46">
        <v>2949</v>
      </c>
      <c r="K39" s="32" t="s">
        <v>1050</v>
      </c>
    </row>
    <row r="40" spans="1:11" ht="16.5" thickBot="1" x14ac:dyDescent="0.3">
      <c r="A40" s="43">
        <v>59</v>
      </c>
      <c r="B40" s="44" t="s">
        <v>365</v>
      </c>
      <c r="C40" s="44" t="s">
        <v>366</v>
      </c>
      <c r="D40" s="94">
        <v>33274643</v>
      </c>
      <c r="E40" s="35">
        <v>46014</v>
      </c>
      <c r="F40" s="35">
        <v>46014</v>
      </c>
      <c r="G40" s="44" t="s">
        <v>1023</v>
      </c>
      <c r="H40" s="34">
        <v>10019</v>
      </c>
      <c r="I40" s="44" t="s">
        <v>25</v>
      </c>
      <c r="J40" s="46">
        <v>2865</v>
      </c>
      <c r="K40" s="32" t="s">
        <v>1050</v>
      </c>
    </row>
    <row r="41" spans="1:11" ht="16.5" thickBot="1" x14ac:dyDescent="0.3">
      <c r="A41" s="43">
        <v>60</v>
      </c>
      <c r="B41" s="44" t="s">
        <v>365</v>
      </c>
      <c r="C41" s="44" t="s">
        <v>366</v>
      </c>
      <c r="D41" s="94">
        <v>33274608</v>
      </c>
      <c r="E41" s="35">
        <v>46014</v>
      </c>
      <c r="F41" s="35">
        <v>46014</v>
      </c>
      <c r="G41" s="44" t="s">
        <v>1024</v>
      </c>
      <c r="H41" s="34">
        <v>10569</v>
      </c>
      <c r="I41" s="44" t="s">
        <v>339</v>
      </c>
      <c r="J41" s="46">
        <v>50661</v>
      </c>
      <c r="K41" s="32" t="s">
        <v>1051</v>
      </c>
    </row>
    <row r="42" spans="1:11" ht="16.5" thickBot="1" x14ac:dyDescent="0.3">
      <c r="A42" s="43">
        <v>61</v>
      </c>
      <c r="B42" s="44" t="s">
        <v>365</v>
      </c>
      <c r="C42" s="44" t="s">
        <v>366</v>
      </c>
      <c r="D42" s="94">
        <v>33274609</v>
      </c>
      <c r="E42" s="35">
        <v>46014</v>
      </c>
      <c r="F42" s="35">
        <v>46014</v>
      </c>
      <c r="G42" s="44" t="s">
        <v>1025</v>
      </c>
      <c r="H42" s="34">
        <v>10163</v>
      </c>
      <c r="I42" s="44" t="s">
        <v>108</v>
      </c>
      <c r="J42" s="46">
        <v>25740</v>
      </c>
      <c r="K42" s="32" t="s">
        <v>1051</v>
      </c>
    </row>
    <row r="43" spans="1:11" ht="16.5" thickBot="1" x14ac:dyDescent="0.3">
      <c r="A43" s="43">
        <v>62</v>
      </c>
      <c r="B43" s="44" t="s">
        <v>365</v>
      </c>
      <c r="C43" s="44" t="s">
        <v>366</v>
      </c>
      <c r="D43" s="94">
        <v>33274610</v>
      </c>
      <c r="E43" s="35">
        <v>46014</v>
      </c>
      <c r="F43" s="35">
        <v>46014</v>
      </c>
      <c r="G43" s="44" t="s">
        <v>1026</v>
      </c>
      <c r="H43" s="34">
        <v>10602</v>
      </c>
      <c r="I43" s="44" t="s">
        <v>654</v>
      </c>
      <c r="J43" s="46">
        <v>25326</v>
      </c>
      <c r="K43" s="32" t="s">
        <v>1051</v>
      </c>
    </row>
    <row r="44" spans="1:11" ht="16.5" thickBot="1" x14ac:dyDescent="0.3">
      <c r="A44" s="43">
        <v>63</v>
      </c>
      <c r="B44" s="44" t="s">
        <v>365</v>
      </c>
      <c r="C44" s="44" t="s">
        <v>366</v>
      </c>
      <c r="D44" s="94">
        <v>33274611</v>
      </c>
      <c r="E44" s="35">
        <v>46014</v>
      </c>
      <c r="F44" s="35">
        <v>46014</v>
      </c>
      <c r="G44" s="44" t="s">
        <v>1027</v>
      </c>
      <c r="H44" s="34">
        <v>10655</v>
      </c>
      <c r="I44" s="44" t="s">
        <v>566</v>
      </c>
      <c r="J44" s="46">
        <v>25447</v>
      </c>
      <c r="K44" s="32" t="s">
        <v>1051</v>
      </c>
    </row>
    <row r="45" spans="1:11" ht="16.5" thickBot="1" x14ac:dyDescent="0.3">
      <c r="A45" s="43">
        <v>64</v>
      </c>
      <c r="B45" s="44" t="s">
        <v>365</v>
      </c>
      <c r="C45" s="44" t="s">
        <v>366</v>
      </c>
      <c r="D45" s="94">
        <v>33274612</v>
      </c>
      <c r="E45" s="35">
        <v>46014</v>
      </c>
      <c r="F45" s="35">
        <v>46014</v>
      </c>
      <c r="G45" s="44" t="s">
        <v>1028</v>
      </c>
      <c r="H45" s="34">
        <v>10567</v>
      </c>
      <c r="I45" s="44" t="s">
        <v>336</v>
      </c>
      <c r="J45" s="46">
        <v>26421</v>
      </c>
      <c r="K45" s="32" t="s">
        <v>1051</v>
      </c>
    </row>
    <row r="46" spans="1:11" ht="16.5" thickBot="1" x14ac:dyDescent="0.3">
      <c r="A46" s="43">
        <v>65</v>
      </c>
      <c r="B46" s="44" t="s">
        <v>365</v>
      </c>
      <c r="C46" s="44" t="s">
        <v>366</v>
      </c>
      <c r="D46" s="94">
        <v>33274613</v>
      </c>
      <c r="E46" s="35">
        <v>46014</v>
      </c>
      <c r="F46" s="35">
        <v>46014</v>
      </c>
      <c r="G46" s="44" t="s">
        <v>1029</v>
      </c>
      <c r="H46" s="34">
        <v>10498</v>
      </c>
      <c r="I46" s="44" t="s">
        <v>477</v>
      </c>
      <c r="J46" s="46">
        <v>24885</v>
      </c>
      <c r="K46" s="32" t="s">
        <v>1051</v>
      </c>
    </row>
    <row r="47" spans="1:11" ht="16.5" thickBot="1" x14ac:dyDescent="0.3">
      <c r="A47" s="43">
        <v>66</v>
      </c>
      <c r="B47" s="44" t="s">
        <v>365</v>
      </c>
      <c r="C47" s="44" t="s">
        <v>366</v>
      </c>
      <c r="D47" s="94">
        <v>33274614</v>
      </c>
      <c r="E47" s="35">
        <v>46014</v>
      </c>
      <c r="F47" s="35">
        <v>46014</v>
      </c>
      <c r="G47" s="44" t="s">
        <v>1030</v>
      </c>
      <c r="H47" s="34">
        <v>10571</v>
      </c>
      <c r="I47" s="44" t="s">
        <v>732</v>
      </c>
      <c r="J47" s="46">
        <v>25909</v>
      </c>
      <c r="K47" s="32" t="s">
        <v>1051</v>
      </c>
    </row>
    <row r="48" spans="1:11" ht="16.5" thickBot="1" x14ac:dyDescent="0.3">
      <c r="A48" s="43">
        <v>67</v>
      </c>
      <c r="B48" s="44" t="s">
        <v>365</v>
      </c>
      <c r="C48" s="44" t="s">
        <v>366</v>
      </c>
      <c r="D48" s="94">
        <v>33274615</v>
      </c>
      <c r="E48" s="35">
        <v>46014</v>
      </c>
      <c r="F48" s="35">
        <v>46014</v>
      </c>
      <c r="G48" s="44" t="s">
        <v>1031</v>
      </c>
      <c r="H48" s="34">
        <v>10365</v>
      </c>
      <c r="I48" s="44" t="s">
        <v>352</v>
      </c>
      <c r="J48" s="46">
        <v>25090</v>
      </c>
      <c r="K48" s="32" t="s">
        <v>1051</v>
      </c>
    </row>
    <row r="49" spans="1:11" ht="16.5" thickBot="1" x14ac:dyDescent="0.3">
      <c r="A49" s="43">
        <v>68</v>
      </c>
      <c r="B49" s="44" t="s">
        <v>365</v>
      </c>
      <c r="C49" s="44" t="s">
        <v>366</v>
      </c>
      <c r="D49" s="94">
        <v>33274616</v>
      </c>
      <c r="E49" s="35">
        <v>46014</v>
      </c>
      <c r="F49" s="35">
        <v>46014</v>
      </c>
      <c r="G49" s="44" t="s">
        <v>1032</v>
      </c>
      <c r="H49" s="34">
        <v>10021</v>
      </c>
      <c r="I49" s="44" t="s">
        <v>29</v>
      </c>
      <c r="J49" s="46">
        <v>52662</v>
      </c>
      <c r="K49" s="32" t="s">
        <v>1051</v>
      </c>
    </row>
    <row r="50" spans="1:11" ht="16.5" thickBot="1" x14ac:dyDescent="0.3">
      <c r="A50" s="43">
        <v>69</v>
      </c>
      <c r="B50" s="44" t="s">
        <v>365</v>
      </c>
      <c r="C50" s="44" t="s">
        <v>366</v>
      </c>
      <c r="D50" s="94">
        <v>33274617</v>
      </c>
      <c r="E50" s="35">
        <v>46014</v>
      </c>
      <c r="F50" s="35">
        <v>46014</v>
      </c>
      <c r="G50" s="44" t="s">
        <v>1033</v>
      </c>
      <c r="H50" s="34">
        <v>10465</v>
      </c>
      <c r="I50" s="44" t="s">
        <v>136</v>
      </c>
      <c r="J50" s="46">
        <v>52714</v>
      </c>
      <c r="K50" s="32" t="s">
        <v>1051</v>
      </c>
    </row>
    <row r="51" spans="1:11" ht="16.5" thickBot="1" x14ac:dyDescent="0.3">
      <c r="A51" s="43">
        <v>70</v>
      </c>
      <c r="B51" s="44" t="s">
        <v>365</v>
      </c>
      <c r="C51" s="44" t="s">
        <v>366</v>
      </c>
      <c r="D51" s="94">
        <v>33274618</v>
      </c>
      <c r="E51" s="35">
        <v>46014</v>
      </c>
      <c r="F51" s="35">
        <v>46014</v>
      </c>
      <c r="G51" s="44" t="s">
        <v>1034</v>
      </c>
      <c r="H51" s="34">
        <v>10431</v>
      </c>
      <c r="I51" s="44" t="s">
        <v>112</v>
      </c>
      <c r="J51" s="46">
        <v>25294</v>
      </c>
      <c r="K51" s="32" t="s">
        <v>1051</v>
      </c>
    </row>
    <row r="52" spans="1:11" ht="16.5" thickBot="1" x14ac:dyDescent="0.3">
      <c r="A52" s="43">
        <v>71</v>
      </c>
      <c r="B52" s="44" t="s">
        <v>365</v>
      </c>
      <c r="C52" s="44" t="s">
        <v>366</v>
      </c>
      <c r="D52" s="94">
        <v>33274619</v>
      </c>
      <c r="E52" s="35">
        <v>46014</v>
      </c>
      <c r="F52" s="35">
        <v>46014</v>
      </c>
      <c r="G52" s="44" t="s">
        <v>1035</v>
      </c>
      <c r="H52" s="34">
        <v>10326</v>
      </c>
      <c r="I52" s="44" t="s">
        <v>1080</v>
      </c>
      <c r="J52" s="46">
        <v>51329</v>
      </c>
      <c r="K52" s="32" t="s">
        <v>1051</v>
      </c>
    </row>
    <row r="53" spans="1:11" ht="16.5" thickBot="1" x14ac:dyDescent="0.3">
      <c r="A53" s="43">
        <v>72</v>
      </c>
      <c r="B53" s="44" t="s">
        <v>365</v>
      </c>
      <c r="C53" s="44" t="s">
        <v>366</v>
      </c>
      <c r="D53" s="94">
        <v>33274620</v>
      </c>
      <c r="E53" s="35">
        <v>46014</v>
      </c>
      <c r="F53" s="35">
        <v>46014</v>
      </c>
      <c r="G53" s="44" t="s">
        <v>1036</v>
      </c>
      <c r="H53" s="34">
        <v>10407</v>
      </c>
      <c r="I53" s="44" t="s">
        <v>730</v>
      </c>
      <c r="J53" s="46">
        <v>133485</v>
      </c>
      <c r="K53" s="32" t="s">
        <v>1051</v>
      </c>
    </row>
    <row r="54" spans="1:11" ht="16.5" thickBot="1" x14ac:dyDescent="0.3">
      <c r="A54" s="43">
        <v>73</v>
      </c>
      <c r="B54" s="44" t="s">
        <v>365</v>
      </c>
      <c r="C54" s="44" t="s">
        <v>366</v>
      </c>
      <c r="D54" s="94">
        <v>33274621</v>
      </c>
      <c r="E54" s="35">
        <v>46014</v>
      </c>
      <c r="F54" s="35">
        <v>46014</v>
      </c>
      <c r="G54" s="44" t="s">
        <v>1037</v>
      </c>
      <c r="H54" s="34">
        <v>10606</v>
      </c>
      <c r="I54" s="44" t="s">
        <v>1081</v>
      </c>
      <c r="J54" s="46">
        <v>57977</v>
      </c>
      <c r="K54" s="32" t="s">
        <v>1051</v>
      </c>
    </row>
    <row r="55" spans="1:11" ht="16.5" thickBot="1" x14ac:dyDescent="0.3">
      <c r="A55" s="43">
        <v>74</v>
      </c>
      <c r="B55" s="44" t="s">
        <v>365</v>
      </c>
      <c r="C55" s="44" t="s">
        <v>366</v>
      </c>
      <c r="D55" s="94">
        <v>33274622</v>
      </c>
      <c r="E55" s="35">
        <v>46014</v>
      </c>
      <c r="F55" s="35">
        <v>46014</v>
      </c>
      <c r="G55" s="44" t="s">
        <v>1038</v>
      </c>
      <c r="H55" s="34">
        <v>10590</v>
      </c>
      <c r="I55" s="44" t="s">
        <v>372</v>
      </c>
      <c r="J55" s="46">
        <v>26704</v>
      </c>
      <c r="K55" s="32" t="s">
        <v>1051</v>
      </c>
    </row>
    <row r="56" spans="1:11" ht="16.5" thickBot="1" x14ac:dyDescent="0.3">
      <c r="A56" s="43">
        <v>75</v>
      </c>
      <c r="B56" s="44" t="s">
        <v>365</v>
      </c>
      <c r="C56" s="44" t="s">
        <v>366</v>
      </c>
      <c r="D56" s="94">
        <v>33274623</v>
      </c>
      <c r="E56" s="35">
        <v>46014</v>
      </c>
      <c r="F56" s="35">
        <v>46014</v>
      </c>
      <c r="G56" s="44" t="s">
        <v>1039</v>
      </c>
      <c r="H56" s="34">
        <v>10562</v>
      </c>
      <c r="I56" s="44" t="s">
        <v>394</v>
      </c>
      <c r="J56" s="46">
        <v>28668</v>
      </c>
      <c r="K56" s="32" t="s">
        <v>1051</v>
      </c>
    </row>
    <row r="57" spans="1:11" ht="16.5" thickBot="1" x14ac:dyDescent="0.3">
      <c r="A57" s="43">
        <v>76</v>
      </c>
      <c r="B57" s="44" t="s">
        <v>365</v>
      </c>
      <c r="C57" s="44" t="s">
        <v>366</v>
      </c>
      <c r="D57" s="94">
        <v>33274624</v>
      </c>
      <c r="E57" s="35">
        <v>46014</v>
      </c>
      <c r="F57" s="35">
        <v>46014</v>
      </c>
      <c r="G57" s="44" t="s">
        <v>1040</v>
      </c>
      <c r="H57" s="34">
        <v>10651</v>
      </c>
      <c r="I57" s="44" t="s">
        <v>562</v>
      </c>
      <c r="J57" s="46">
        <v>26989</v>
      </c>
      <c r="K57" s="32" t="s">
        <v>1051</v>
      </c>
    </row>
    <row r="58" spans="1:11" ht="16.5" thickBot="1" x14ac:dyDescent="0.3">
      <c r="A58" s="43">
        <v>77</v>
      </c>
      <c r="B58" s="44" t="s">
        <v>365</v>
      </c>
      <c r="C58" s="44" t="s">
        <v>366</v>
      </c>
      <c r="D58" s="94">
        <v>33274625</v>
      </c>
      <c r="E58" s="35">
        <v>46014</v>
      </c>
      <c r="F58" s="35">
        <v>46014</v>
      </c>
      <c r="G58" s="44" t="s">
        <v>1041</v>
      </c>
      <c r="H58" s="34">
        <v>10650</v>
      </c>
      <c r="I58" s="44" t="s">
        <v>561</v>
      </c>
      <c r="J58" s="46">
        <v>26035</v>
      </c>
      <c r="K58" s="32" t="s">
        <v>1051</v>
      </c>
    </row>
    <row r="59" spans="1:11" ht="16.5" thickBot="1" x14ac:dyDescent="0.3">
      <c r="A59" s="43">
        <v>78</v>
      </c>
      <c r="B59" s="44" t="s">
        <v>365</v>
      </c>
      <c r="C59" s="44" t="s">
        <v>366</v>
      </c>
      <c r="D59" s="94">
        <v>33274626</v>
      </c>
      <c r="E59" s="35">
        <v>46014</v>
      </c>
      <c r="F59" s="35">
        <v>46014</v>
      </c>
      <c r="G59" s="44" t="s">
        <v>1042</v>
      </c>
      <c r="H59" s="34">
        <v>10015</v>
      </c>
      <c r="I59" s="44" t="s">
        <v>20</v>
      </c>
      <c r="J59" s="46">
        <v>96170</v>
      </c>
      <c r="K59" s="32" t="s">
        <v>1051</v>
      </c>
    </row>
    <row r="60" spans="1:11" ht="16.5" thickBot="1" x14ac:dyDescent="0.3">
      <c r="A60" s="43">
        <v>79</v>
      </c>
      <c r="B60" s="44" t="s">
        <v>365</v>
      </c>
      <c r="C60" s="44" t="s">
        <v>366</v>
      </c>
      <c r="D60" s="94">
        <v>33274627</v>
      </c>
      <c r="E60" s="35">
        <v>46014</v>
      </c>
      <c r="F60" s="35">
        <v>46014</v>
      </c>
      <c r="G60" s="44" t="s">
        <v>1043</v>
      </c>
      <c r="H60" s="34">
        <v>10010</v>
      </c>
      <c r="I60" s="44" t="s">
        <v>15</v>
      </c>
      <c r="J60" s="46">
        <v>18486</v>
      </c>
      <c r="K60" s="32" t="s">
        <v>1051</v>
      </c>
    </row>
    <row r="61" spans="1:11" ht="16.5" thickBot="1" x14ac:dyDescent="0.3">
      <c r="A61" s="43">
        <v>80</v>
      </c>
      <c r="B61" s="44" t="s">
        <v>365</v>
      </c>
      <c r="C61" s="44" t="s">
        <v>366</v>
      </c>
      <c r="D61" s="33">
        <v>33067219</v>
      </c>
      <c r="E61" s="35">
        <v>46014</v>
      </c>
      <c r="F61" s="35">
        <v>45917</v>
      </c>
      <c r="G61" s="44" t="s">
        <v>1052</v>
      </c>
      <c r="H61" s="34">
        <v>10163</v>
      </c>
      <c r="I61" s="44" t="s">
        <v>108</v>
      </c>
      <c r="J61" s="46">
        <v>5750</v>
      </c>
      <c r="K61" s="32" t="s">
        <v>1063</v>
      </c>
    </row>
    <row r="62" spans="1:11" ht="16.5" thickBot="1" x14ac:dyDescent="0.3">
      <c r="A62" s="43">
        <v>81</v>
      </c>
      <c r="B62" s="44" t="s">
        <v>365</v>
      </c>
      <c r="C62" s="44" t="s">
        <v>366</v>
      </c>
      <c r="D62" s="33">
        <v>33067220</v>
      </c>
      <c r="E62" s="35">
        <v>46014</v>
      </c>
      <c r="F62" s="35">
        <v>45917</v>
      </c>
      <c r="G62" s="44" t="s">
        <v>1053</v>
      </c>
      <c r="H62" s="34">
        <v>10403</v>
      </c>
      <c r="I62" s="44" t="s">
        <v>1082</v>
      </c>
      <c r="J62" s="46">
        <v>250</v>
      </c>
      <c r="K62" s="32" t="s">
        <v>1064</v>
      </c>
    </row>
    <row r="63" spans="1:11" ht="16.5" thickBot="1" x14ac:dyDescent="0.3">
      <c r="A63" s="43">
        <v>82</v>
      </c>
      <c r="B63" s="44" t="s">
        <v>365</v>
      </c>
      <c r="C63" s="44" t="s">
        <v>366</v>
      </c>
      <c r="D63" s="33">
        <v>33067221</v>
      </c>
      <c r="E63" s="35">
        <v>46014</v>
      </c>
      <c r="F63" s="35">
        <v>45917</v>
      </c>
      <c r="G63" s="44" t="s">
        <v>1054</v>
      </c>
      <c r="H63" s="34">
        <v>10365</v>
      </c>
      <c r="I63" s="44" t="s">
        <v>352</v>
      </c>
      <c r="J63" s="46">
        <v>750</v>
      </c>
      <c r="K63" s="32" t="s">
        <v>1065</v>
      </c>
    </row>
    <row r="64" spans="1:11" ht="16.5" thickBot="1" x14ac:dyDescent="0.3">
      <c r="A64" s="43">
        <v>83</v>
      </c>
      <c r="B64" s="44" t="s">
        <v>365</v>
      </c>
      <c r="C64" s="44" t="s">
        <v>366</v>
      </c>
      <c r="D64" s="33">
        <v>33067223</v>
      </c>
      <c r="E64" s="35">
        <v>46014</v>
      </c>
      <c r="F64" s="35">
        <v>45917</v>
      </c>
      <c r="G64" s="44" t="s">
        <v>1055</v>
      </c>
      <c r="H64" s="34">
        <v>10034</v>
      </c>
      <c r="I64" s="44" t="s">
        <v>733</v>
      </c>
      <c r="J64" s="46">
        <v>250</v>
      </c>
      <c r="K64" s="32" t="s">
        <v>1066</v>
      </c>
    </row>
    <row r="65" spans="1:11" ht="16.5" thickBot="1" x14ac:dyDescent="0.3">
      <c r="A65" s="43">
        <v>84</v>
      </c>
      <c r="B65" s="44" t="s">
        <v>365</v>
      </c>
      <c r="C65" s="44" t="s">
        <v>366</v>
      </c>
      <c r="D65" s="33">
        <v>33067224</v>
      </c>
      <c r="E65" s="35">
        <v>46014</v>
      </c>
      <c r="F65" s="35">
        <v>45917</v>
      </c>
      <c r="G65" s="44" t="s">
        <v>1056</v>
      </c>
      <c r="H65" s="34">
        <v>10602</v>
      </c>
      <c r="I65" s="44" t="s">
        <v>654</v>
      </c>
      <c r="J65" s="46">
        <v>750</v>
      </c>
      <c r="K65" s="32" t="s">
        <v>1067</v>
      </c>
    </row>
    <row r="66" spans="1:11" ht="16.5" thickBot="1" x14ac:dyDescent="0.3">
      <c r="A66" s="43">
        <v>85</v>
      </c>
      <c r="B66" s="44" t="s">
        <v>365</v>
      </c>
      <c r="C66" s="44" t="s">
        <v>366</v>
      </c>
      <c r="D66" s="33">
        <v>33067222</v>
      </c>
      <c r="E66" s="35">
        <v>46014</v>
      </c>
      <c r="F66" s="35">
        <v>45917</v>
      </c>
      <c r="G66" s="44" t="s">
        <v>1057</v>
      </c>
      <c r="H66" s="34">
        <v>10407</v>
      </c>
      <c r="I66" s="44" t="s">
        <v>730</v>
      </c>
      <c r="J66" s="46">
        <v>3750</v>
      </c>
      <c r="K66" s="32" t="s">
        <v>1068</v>
      </c>
    </row>
    <row r="67" spans="1:11" ht="16.5" thickBot="1" x14ac:dyDescent="0.3">
      <c r="A67" s="43">
        <v>86</v>
      </c>
      <c r="B67" s="44" t="s">
        <v>365</v>
      </c>
      <c r="C67" s="44" t="s">
        <v>366</v>
      </c>
      <c r="D67" s="33">
        <v>33067166</v>
      </c>
      <c r="E67" s="35">
        <v>46014</v>
      </c>
      <c r="F67" s="35">
        <v>45911</v>
      </c>
      <c r="G67" s="44" t="s">
        <v>1058</v>
      </c>
      <c r="H67" s="34">
        <v>10527</v>
      </c>
      <c r="I67" s="44" t="s">
        <v>1078</v>
      </c>
      <c r="J67" s="46">
        <v>1250</v>
      </c>
      <c r="K67" s="32" t="s">
        <v>1069</v>
      </c>
    </row>
    <row r="68" spans="1:11" ht="16.5" thickBot="1" x14ac:dyDescent="0.3">
      <c r="A68" s="43">
        <v>87</v>
      </c>
      <c r="B68" s="44" t="s">
        <v>365</v>
      </c>
      <c r="C68" s="44" t="s">
        <v>366</v>
      </c>
      <c r="D68" s="33">
        <v>33067165</v>
      </c>
      <c r="E68" s="35">
        <v>46014</v>
      </c>
      <c r="F68" s="35">
        <v>45911</v>
      </c>
      <c r="G68" s="44" t="s">
        <v>1054</v>
      </c>
      <c r="H68" s="34">
        <v>10365</v>
      </c>
      <c r="I68" s="44" t="s">
        <v>352</v>
      </c>
      <c r="J68" s="46">
        <v>1750</v>
      </c>
      <c r="K68" s="32" t="s">
        <v>1070</v>
      </c>
    </row>
    <row r="69" spans="1:11" ht="16.5" thickBot="1" x14ac:dyDescent="0.3">
      <c r="A69" s="43">
        <v>88</v>
      </c>
      <c r="B69" s="44" t="s">
        <v>365</v>
      </c>
      <c r="C69" s="44" t="s">
        <v>366</v>
      </c>
      <c r="D69" s="33">
        <v>33067164</v>
      </c>
      <c r="E69" s="35">
        <v>46014</v>
      </c>
      <c r="F69" s="35">
        <v>45911</v>
      </c>
      <c r="G69" s="44" t="s">
        <v>1059</v>
      </c>
      <c r="H69" s="34">
        <v>10571</v>
      </c>
      <c r="I69" s="44" t="s">
        <v>732</v>
      </c>
      <c r="J69" s="46">
        <v>2750</v>
      </c>
      <c r="K69" s="32" t="s">
        <v>1071</v>
      </c>
    </row>
    <row r="70" spans="1:11" ht="16.5" thickBot="1" x14ac:dyDescent="0.3">
      <c r="A70" s="43">
        <v>89</v>
      </c>
      <c r="B70" s="44" t="s">
        <v>365</v>
      </c>
      <c r="C70" s="44" t="s">
        <v>366</v>
      </c>
      <c r="D70" s="33">
        <v>33067163</v>
      </c>
      <c r="E70" s="35">
        <v>46014</v>
      </c>
      <c r="F70" s="35">
        <v>45911</v>
      </c>
      <c r="G70" s="44" t="s">
        <v>1060</v>
      </c>
      <c r="H70" s="34">
        <v>10465</v>
      </c>
      <c r="I70" s="44" t="s">
        <v>136</v>
      </c>
      <c r="J70" s="46">
        <v>4000</v>
      </c>
      <c r="K70" s="32" t="s">
        <v>1072</v>
      </c>
    </row>
    <row r="71" spans="1:11" ht="16.5" thickBot="1" x14ac:dyDescent="0.3">
      <c r="A71" s="43">
        <v>90</v>
      </c>
      <c r="B71" s="44" t="s">
        <v>365</v>
      </c>
      <c r="C71" s="44" t="s">
        <v>366</v>
      </c>
      <c r="D71" s="33">
        <v>33067162</v>
      </c>
      <c r="E71" s="35">
        <v>46014</v>
      </c>
      <c r="F71" s="35">
        <v>45911</v>
      </c>
      <c r="G71" s="44" t="s">
        <v>1061</v>
      </c>
      <c r="H71" s="34">
        <v>10602</v>
      </c>
      <c r="I71" s="44" t="s">
        <v>654</v>
      </c>
      <c r="J71" s="46">
        <v>1250</v>
      </c>
      <c r="K71" s="32" t="s">
        <v>1073</v>
      </c>
    </row>
    <row r="72" spans="1:11" ht="16.5" thickBot="1" x14ac:dyDescent="0.3">
      <c r="A72" s="43">
        <v>91</v>
      </c>
      <c r="B72" s="44" t="s">
        <v>365</v>
      </c>
      <c r="C72" s="44" t="s">
        <v>366</v>
      </c>
      <c r="D72" s="33">
        <v>33067161</v>
      </c>
      <c r="E72" s="35">
        <v>46014</v>
      </c>
      <c r="F72" s="35">
        <v>45911</v>
      </c>
      <c r="G72" s="44" t="s">
        <v>1062</v>
      </c>
      <c r="H72" s="34">
        <v>10569</v>
      </c>
      <c r="I72" s="44" t="s">
        <v>339</v>
      </c>
      <c r="J72" s="46">
        <v>1500</v>
      </c>
      <c r="K72" s="32" t="s">
        <v>1074</v>
      </c>
    </row>
    <row r="73" spans="1:11" ht="16.5" thickBot="1" x14ac:dyDescent="0.3">
      <c r="A73" s="43">
        <v>92</v>
      </c>
      <c r="B73" s="44" t="s">
        <v>365</v>
      </c>
      <c r="C73" s="44" t="s">
        <v>366</v>
      </c>
      <c r="D73" s="33">
        <v>33067160</v>
      </c>
      <c r="E73" s="35">
        <v>46014</v>
      </c>
      <c r="F73" s="35">
        <v>45911</v>
      </c>
      <c r="G73" s="44" t="s">
        <v>1055</v>
      </c>
      <c r="H73" s="34">
        <v>10034</v>
      </c>
      <c r="I73" s="44" t="s">
        <v>733</v>
      </c>
      <c r="J73" s="46">
        <v>2000</v>
      </c>
      <c r="K73" s="32" t="s">
        <v>1075</v>
      </c>
    </row>
    <row r="74" spans="1:11" ht="16.5" thickBot="1" x14ac:dyDescent="0.3">
      <c r="A74" s="43">
        <v>93</v>
      </c>
      <c r="B74" s="44" t="s">
        <v>365</v>
      </c>
      <c r="C74" s="44" t="s">
        <v>366</v>
      </c>
      <c r="D74" s="33">
        <v>33067167</v>
      </c>
      <c r="E74" s="35">
        <v>46014</v>
      </c>
      <c r="F74" s="35">
        <v>45911</v>
      </c>
      <c r="G74" s="44" t="s">
        <v>1057</v>
      </c>
      <c r="H74" s="34">
        <v>10407</v>
      </c>
      <c r="I74" s="44" t="s">
        <v>730</v>
      </c>
      <c r="J74" s="46">
        <v>6500</v>
      </c>
      <c r="K74" s="32" t="s">
        <v>1076</v>
      </c>
    </row>
    <row r="75" spans="1:11" ht="16.5" thickBot="1" x14ac:dyDescent="0.3">
      <c r="A75" s="43">
        <v>94</v>
      </c>
      <c r="B75" s="44" t="s">
        <v>365</v>
      </c>
      <c r="C75" s="44" t="s">
        <v>366</v>
      </c>
      <c r="D75" s="33">
        <v>33274686</v>
      </c>
      <c r="E75" s="35">
        <v>46007</v>
      </c>
      <c r="F75" s="35">
        <v>45994</v>
      </c>
      <c r="G75" s="44" t="s">
        <v>1085</v>
      </c>
      <c r="H75" s="34">
        <v>10366</v>
      </c>
      <c r="I75" s="44" t="s">
        <v>1083</v>
      </c>
      <c r="J75" s="46">
        <v>15000</v>
      </c>
      <c r="K75" s="32"/>
    </row>
    <row r="76" spans="1:11" ht="16.5" thickBot="1" x14ac:dyDescent="0.3">
      <c r="A76" s="43">
        <v>95</v>
      </c>
      <c r="B76" s="44" t="s">
        <v>365</v>
      </c>
      <c r="C76" s="44" t="s">
        <v>366</v>
      </c>
      <c r="D76" s="33">
        <v>33274687</v>
      </c>
      <c r="E76" s="35">
        <v>46007</v>
      </c>
      <c r="F76" s="35">
        <v>45994</v>
      </c>
      <c r="G76" s="44" t="s">
        <v>1086</v>
      </c>
      <c r="H76" s="34">
        <v>10631</v>
      </c>
      <c r="I76" s="44" t="s">
        <v>421</v>
      </c>
      <c r="J76" s="46">
        <v>10000</v>
      </c>
      <c r="K76" s="32"/>
    </row>
    <row r="77" spans="1:11" ht="16.5" thickBot="1" x14ac:dyDescent="0.3">
      <c r="A77" s="43">
        <v>96</v>
      </c>
      <c r="B77" s="44" t="s">
        <v>365</v>
      </c>
      <c r="C77" s="44" t="s">
        <v>366</v>
      </c>
      <c r="D77" s="33">
        <v>33274688</v>
      </c>
      <c r="E77" s="35">
        <v>46007</v>
      </c>
      <c r="F77" s="35">
        <v>45994</v>
      </c>
      <c r="G77" s="44" t="s">
        <v>1087</v>
      </c>
      <c r="H77" s="34">
        <v>10434</v>
      </c>
      <c r="I77" s="44" t="s">
        <v>1084</v>
      </c>
      <c r="J77" s="46">
        <v>5000</v>
      </c>
      <c r="K77" s="32"/>
    </row>
    <row r="78" spans="1:11" ht="16.5" thickBot="1" x14ac:dyDescent="0.3">
      <c r="A78" s="43">
        <v>97</v>
      </c>
      <c r="B78" s="44" t="s">
        <v>365</v>
      </c>
      <c r="C78" s="44" t="s">
        <v>366</v>
      </c>
      <c r="D78" s="33">
        <v>33067082</v>
      </c>
      <c r="E78" s="35">
        <v>45965</v>
      </c>
      <c r="F78" s="35">
        <v>45965</v>
      </c>
      <c r="G78" s="44" t="s">
        <v>1088</v>
      </c>
      <c r="H78" s="34">
        <v>10047</v>
      </c>
      <c r="I78" s="44" t="s">
        <v>72</v>
      </c>
      <c r="J78" s="46">
        <v>15000</v>
      </c>
      <c r="K78" s="32"/>
    </row>
    <row r="79" spans="1:11" ht="16.5" thickBot="1" x14ac:dyDescent="0.3">
      <c r="A79" s="43">
        <v>98</v>
      </c>
      <c r="B79" s="44" t="s">
        <v>365</v>
      </c>
      <c r="C79" s="44" t="s">
        <v>366</v>
      </c>
      <c r="D79" s="33">
        <v>33067083</v>
      </c>
      <c r="E79" s="35">
        <v>45965</v>
      </c>
      <c r="F79" s="35">
        <v>45965</v>
      </c>
      <c r="G79" s="44" t="s">
        <v>1089</v>
      </c>
      <c r="H79" s="34">
        <v>10366</v>
      </c>
      <c r="I79" s="44" t="s">
        <v>1083</v>
      </c>
      <c r="J79" s="46">
        <v>10000</v>
      </c>
      <c r="K79" s="32"/>
    </row>
    <row r="80" spans="1:11" ht="16.5" thickBot="1" x14ac:dyDescent="0.3">
      <c r="A80" s="43">
        <v>99</v>
      </c>
      <c r="B80" s="44" t="s">
        <v>365</v>
      </c>
      <c r="C80" s="44" t="s">
        <v>366</v>
      </c>
      <c r="D80" s="33">
        <v>33067084</v>
      </c>
      <c r="E80" s="35">
        <v>45965</v>
      </c>
      <c r="F80" s="35">
        <v>45965</v>
      </c>
      <c r="G80" s="44" t="s">
        <v>1090</v>
      </c>
      <c r="H80" s="34">
        <v>10631</v>
      </c>
      <c r="I80" s="44" t="s">
        <v>421</v>
      </c>
      <c r="J80" s="46">
        <v>5000</v>
      </c>
      <c r="K80" s="32"/>
    </row>
    <row r="81" spans="1:11" ht="16.5" thickBot="1" x14ac:dyDescent="0.3">
      <c r="A81" s="43"/>
      <c r="B81" s="44"/>
      <c r="C81" s="44"/>
      <c r="D81" s="33"/>
      <c r="E81" s="35"/>
      <c r="F81" s="35"/>
      <c r="G81" s="44"/>
      <c r="H81" s="34"/>
      <c r="I81" s="44"/>
      <c r="J81" s="46"/>
      <c r="K81" s="32"/>
    </row>
    <row r="82" spans="1:11" ht="16.5" thickBot="1" x14ac:dyDescent="0.3">
      <c r="A82" s="43"/>
      <c r="B82" s="44"/>
      <c r="C82" s="44"/>
      <c r="D82" s="33"/>
      <c r="E82" s="35"/>
      <c r="F82" s="35"/>
      <c r="G82" s="44"/>
      <c r="H82" s="34"/>
      <c r="I82" s="34"/>
      <c r="J82" s="46"/>
      <c r="K82" s="32"/>
    </row>
    <row r="83" spans="1:11" ht="16.5" thickBot="1" x14ac:dyDescent="0.3">
      <c r="A83" s="43"/>
      <c r="B83" s="44"/>
      <c r="C83" s="44"/>
      <c r="D83" s="33"/>
      <c r="E83" s="35"/>
      <c r="F83" s="35"/>
      <c r="G83" s="44"/>
      <c r="H83" s="34"/>
      <c r="I83" s="44"/>
      <c r="J83" s="46"/>
      <c r="K83" s="32"/>
    </row>
    <row r="84" spans="1:11" ht="16.5" thickBot="1" x14ac:dyDescent="0.3">
      <c r="A84" s="43"/>
      <c r="B84" s="44"/>
      <c r="C84" s="44"/>
      <c r="D84" s="33"/>
      <c r="E84" s="35"/>
      <c r="F84" s="35"/>
      <c r="G84" s="44"/>
      <c r="H84" s="34"/>
      <c r="I84" s="34"/>
      <c r="J84" s="46"/>
      <c r="K84" s="32"/>
    </row>
    <row r="85" spans="1:11" ht="16.5" thickBot="1" x14ac:dyDescent="0.3">
      <c r="A85" s="43"/>
      <c r="B85" s="44"/>
      <c r="C85" s="44"/>
      <c r="D85" s="33"/>
      <c r="E85" s="35"/>
      <c r="F85" s="35"/>
      <c r="G85" s="34"/>
      <c r="H85" s="34"/>
      <c r="I85" s="34"/>
      <c r="J85" s="46"/>
      <c r="K85" s="32"/>
    </row>
    <row r="86" spans="1:11" ht="16.5" thickBot="1" x14ac:dyDescent="0.3">
      <c r="A86" s="43"/>
      <c r="B86" s="44"/>
      <c r="C86" s="44"/>
      <c r="D86" s="33"/>
      <c r="E86" s="35"/>
      <c r="F86" s="35"/>
      <c r="G86" s="34"/>
      <c r="H86" s="34"/>
      <c r="I86" s="34"/>
      <c r="J86" s="46"/>
      <c r="K86" s="32"/>
    </row>
    <row r="87" spans="1:11" ht="16.5" thickBot="1" x14ac:dyDescent="0.3">
      <c r="A87" s="43"/>
      <c r="B87" s="44"/>
      <c r="C87" s="44"/>
      <c r="D87" s="33"/>
      <c r="E87" s="35"/>
      <c r="F87" s="35"/>
      <c r="G87" s="34"/>
      <c r="H87" s="34"/>
      <c r="I87" s="34"/>
      <c r="J87" s="46"/>
      <c r="K87" s="32"/>
    </row>
    <row r="88" spans="1:11" ht="16.5" thickBot="1" x14ac:dyDescent="0.3">
      <c r="A88" s="43"/>
      <c r="B88" s="44"/>
      <c r="C88" s="44"/>
      <c r="D88" s="33"/>
      <c r="E88" s="35"/>
      <c r="F88" s="35"/>
      <c r="G88" s="34"/>
      <c r="H88" s="34"/>
      <c r="I88" s="34"/>
      <c r="J88" s="46"/>
      <c r="K88" s="32"/>
    </row>
    <row r="89" spans="1:11" ht="16.5" thickBot="1" x14ac:dyDescent="0.3">
      <c r="A89" s="43"/>
      <c r="B89" s="44"/>
      <c r="C89" s="44"/>
      <c r="D89" s="33"/>
      <c r="E89" s="35"/>
      <c r="F89" s="35"/>
      <c r="G89" s="34"/>
      <c r="H89" s="34"/>
      <c r="I89" s="34"/>
      <c r="J89" s="46"/>
      <c r="K89" s="32"/>
    </row>
    <row r="90" spans="1:11" ht="16.5" thickBot="1" x14ac:dyDescent="0.3">
      <c r="A90" s="43"/>
      <c r="B90" s="44"/>
      <c r="C90" s="44"/>
      <c r="D90" s="33"/>
      <c r="E90" s="35"/>
      <c r="F90" s="35"/>
      <c r="G90" s="34"/>
      <c r="H90" s="34"/>
      <c r="I90" s="34"/>
      <c r="J90" s="46"/>
      <c r="K90" s="32"/>
    </row>
    <row r="91" spans="1:11" ht="16.5" thickBot="1" x14ac:dyDescent="0.3">
      <c r="A91" s="43"/>
      <c r="B91" s="44"/>
      <c r="C91" s="44"/>
      <c r="D91" s="33"/>
      <c r="E91" s="35"/>
      <c r="F91" s="35"/>
      <c r="G91" s="34"/>
      <c r="H91" s="34"/>
      <c r="I91" s="34"/>
      <c r="J91" s="46"/>
      <c r="K91" s="32"/>
    </row>
    <row r="92" spans="1:11" ht="16.5" thickBot="1" x14ac:dyDescent="0.3">
      <c r="A92" s="43"/>
      <c r="B92" s="44"/>
      <c r="C92" s="44"/>
      <c r="D92" s="33"/>
      <c r="E92" s="35"/>
      <c r="F92" s="35"/>
      <c r="G92" s="44"/>
      <c r="H92" s="34"/>
      <c r="I92" s="44"/>
      <c r="J92" s="46"/>
      <c r="K92" s="32"/>
    </row>
    <row r="93" spans="1:11" ht="16.5" thickBot="1" x14ac:dyDescent="0.3">
      <c r="A93" s="43"/>
      <c r="B93" s="44"/>
      <c r="C93" s="44"/>
      <c r="D93" s="33"/>
      <c r="E93" s="35"/>
      <c r="F93" s="35"/>
      <c r="G93" s="34"/>
      <c r="H93" s="34"/>
      <c r="I93" s="34"/>
      <c r="J93" s="46"/>
      <c r="K93" s="32"/>
    </row>
    <row r="94" spans="1:11" ht="16.5" thickBot="1" x14ac:dyDescent="0.3">
      <c r="A94" s="43"/>
      <c r="B94" s="44"/>
      <c r="C94" s="44"/>
      <c r="D94" s="33"/>
      <c r="E94" s="35"/>
      <c r="F94" s="35"/>
      <c r="G94" s="44"/>
      <c r="H94" s="34"/>
      <c r="I94" s="44"/>
      <c r="J94" s="46"/>
      <c r="K94" s="32"/>
    </row>
    <row r="95" spans="1:11" ht="16.5" thickBot="1" x14ac:dyDescent="0.3">
      <c r="A95" s="43"/>
      <c r="B95" s="44"/>
      <c r="C95" s="44"/>
      <c r="D95" s="33"/>
      <c r="E95" s="35"/>
      <c r="F95" s="35"/>
      <c r="G95" s="44"/>
      <c r="H95" s="34"/>
      <c r="I95" s="44"/>
      <c r="J95" s="46"/>
      <c r="K95" s="32"/>
    </row>
    <row r="96" spans="1:11" ht="16.5" thickBot="1" x14ac:dyDescent="0.3">
      <c r="A96" s="43"/>
      <c r="B96" s="44"/>
      <c r="C96" s="44"/>
      <c r="D96" s="33"/>
      <c r="E96" s="35"/>
      <c r="F96" s="35"/>
      <c r="G96" s="44"/>
      <c r="H96" s="34"/>
      <c r="I96" s="44"/>
      <c r="J96" s="46"/>
      <c r="K96" s="32"/>
    </row>
    <row r="97" spans="1:11" ht="16.5" thickBot="1" x14ac:dyDescent="0.3">
      <c r="A97" s="43"/>
      <c r="B97" s="44"/>
      <c r="C97" s="44"/>
      <c r="D97" s="33"/>
      <c r="E97" s="35"/>
      <c r="F97" s="33"/>
      <c r="G97" s="44"/>
      <c r="H97" s="34"/>
      <c r="I97" s="44"/>
      <c r="J97" s="46"/>
      <c r="K97" s="32"/>
    </row>
    <row r="98" spans="1:11" ht="16.5" thickBot="1" x14ac:dyDescent="0.3">
      <c r="A98" s="43"/>
      <c r="B98" s="44"/>
      <c r="C98" s="44"/>
      <c r="D98" s="33"/>
      <c r="E98" s="35"/>
      <c r="F98" s="35"/>
      <c r="G98" s="34"/>
      <c r="H98" s="34"/>
      <c r="I98" s="44"/>
      <c r="J98" s="46"/>
      <c r="K98" s="32"/>
    </row>
    <row r="99" spans="1:11" ht="16.5" thickBot="1" x14ac:dyDescent="0.3">
      <c r="A99" s="43"/>
      <c r="B99" s="44"/>
      <c r="C99" s="44"/>
      <c r="D99" s="33"/>
      <c r="E99" s="35"/>
      <c r="F99" s="35"/>
      <c r="G99" s="34"/>
      <c r="H99" s="34"/>
      <c r="I99" s="44"/>
      <c r="J99" s="46"/>
      <c r="K99" s="32"/>
    </row>
    <row r="100" spans="1:11" ht="16.5" thickBot="1" x14ac:dyDescent="0.3">
      <c r="A100" s="43"/>
      <c r="B100" s="44"/>
      <c r="C100" s="44"/>
      <c r="D100" s="33"/>
      <c r="E100" s="35"/>
      <c r="F100" s="35"/>
      <c r="G100" s="34"/>
      <c r="H100" s="34"/>
      <c r="I100" s="44"/>
      <c r="J100" s="46"/>
      <c r="K100" s="32"/>
    </row>
    <row r="101" spans="1:11" ht="16.5" thickBot="1" x14ac:dyDescent="0.3">
      <c r="A101" s="43"/>
      <c r="B101" s="44"/>
      <c r="C101" s="44"/>
      <c r="D101" s="33"/>
      <c r="E101" s="35"/>
      <c r="F101" s="35"/>
      <c r="G101" s="34"/>
      <c r="H101" s="34"/>
      <c r="I101" s="44"/>
      <c r="J101" s="46"/>
      <c r="K101" s="32"/>
    </row>
    <row r="102" spans="1:11" ht="16.5" thickBot="1" x14ac:dyDescent="0.3">
      <c r="A102" s="43"/>
      <c r="B102" s="44"/>
      <c r="C102" s="44"/>
      <c r="D102" s="33"/>
      <c r="E102" s="35"/>
      <c r="F102" s="35"/>
      <c r="G102" s="34"/>
      <c r="H102" s="34"/>
      <c r="I102" s="44"/>
      <c r="J102" s="46"/>
      <c r="K102" s="32"/>
    </row>
    <row r="103" spans="1:11" ht="16.5" thickBot="1" x14ac:dyDescent="0.3">
      <c r="A103" s="43"/>
      <c r="B103" s="44"/>
      <c r="C103" s="44"/>
      <c r="D103" s="33"/>
      <c r="E103" s="35"/>
      <c r="F103" s="35"/>
      <c r="G103" s="34"/>
      <c r="H103" s="34"/>
      <c r="I103" s="44"/>
      <c r="J103" s="46"/>
      <c r="K103" s="32"/>
    </row>
    <row r="104" spans="1:11" ht="16.5" thickBot="1" x14ac:dyDescent="0.3">
      <c r="A104" s="43"/>
      <c r="B104" s="44"/>
      <c r="C104" s="44"/>
      <c r="D104" s="33"/>
      <c r="E104" s="35"/>
      <c r="F104" s="35"/>
      <c r="G104" s="34"/>
      <c r="H104" s="34"/>
      <c r="I104" s="44"/>
      <c r="J104" s="46"/>
      <c r="K104" s="32"/>
    </row>
    <row r="105" spans="1:11" ht="16.5" thickBot="1" x14ac:dyDescent="0.3">
      <c r="A105" s="43"/>
      <c r="B105" s="44"/>
      <c r="C105" s="44"/>
      <c r="D105" s="33"/>
      <c r="E105" s="35"/>
      <c r="F105" s="33"/>
      <c r="G105" s="34"/>
      <c r="H105" s="34"/>
      <c r="I105" s="44"/>
      <c r="J105" s="46"/>
      <c r="K105" s="32"/>
    </row>
    <row r="106" spans="1:11" ht="16.5" thickBot="1" x14ac:dyDescent="0.3">
      <c r="A106" s="43"/>
      <c r="B106" s="44"/>
      <c r="C106" s="44"/>
      <c r="D106" s="33"/>
      <c r="E106" s="35"/>
      <c r="F106" s="33"/>
      <c r="G106" s="34"/>
      <c r="H106" s="34"/>
      <c r="I106" s="44"/>
      <c r="J106" s="46"/>
      <c r="K106" s="32"/>
    </row>
    <row r="107" spans="1:11" ht="16.5" thickBot="1" x14ac:dyDescent="0.3">
      <c r="A107" s="43"/>
      <c r="B107" s="44"/>
      <c r="C107" s="44"/>
      <c r="D107" s="33"/>
      <c r="E107" s="35"/>
      <c r="F107" s="33"/>
      <c r="G107" s="34"/>
      <c r="H107" s="34"/>
      <c r="I107" s="44"/>
      <c r="J107" s="46"/>
      <c r="K107" s="32"/>
    </row>
  </sheetData>
  <autoFilter ref="A1:K74" xr:uid="{00000000-0009-0000-0000-000009000000}"/>
  <pageMargins left="0.7" right="0.7" top="0.75" bottom="0.75" header="0.3" footer="0.3"/>
  <pageSetup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92"/>
  <sheetViews>
    <sheetView topLeftCell="F49" workbookViewId="0">
      <selection activeCell="H52" sqref="H52"/>
    </sheetView>
  </sheetViews>
  <sheetFormatPr defaultColWidth="9.140625" defaultRowHeight="15.75" x14ac:dyDescent="0.25"/>
  <cols>
    <col min="1" max="1" width="5.85546875" style="42" bestFit="1" customWidth="1"/>
    <col min="2" max="2" width="39.28515625" style="42" bestFit="1" customWidth="1"/>
    <col min="3" max="3" width="6.28515625" style="42" bestFit="1" customWidth="1"/>
    <col min="4" max="4" width="13.140625" style="42" bestFit="1" customWidth="1"/>
    <col min="5" max="5" width="22.7109375" style="42" bestFit="1" customWidth="1"/>
    <col min="6" max="6" width="22.7109375" style="42" customWidth="1"/>
    <col min="7" max="7" width="135.28515625" style="42" bestFit="1" customWidth="1"/>
    <col min="8" max="8" width="10.140625" style="42" customWidth="1"/>
    <col min="9" max="9" width="76.140625" style="42" customWidth="1"/>
    <col min="10" max="10" width="12.85546875" style="49" customWidth="1"/>
    <col min="11" max="11" width="73.7109375" style="50" customWidth="1"/>
    <col min="12" max="16384" width="9.140625" style="13"/>
  </cols>
  <sheetData>
    <row r="1" spans="1:11" ht="16.5" thickBot="1" x14ac:dyDescent="0.3">
      <c r="A1" s="27" t="s">
        <v>356</v>
      </c>
      <c r="B1" s="28" t="s">
        <v>357</v>
      </c>
      <c r="C1" s="28" t="s">
        <v>358</v>
      </c>
      <c r="D1" s="28" t="s">
        <v>359</v>
      </c>
      <c r="E1" s="28" t="s">
        <v>360</v>
      </c>
      <c r="F1" s="28" t="s">
        <v>361</v>
      </c>
      <c r="G1" s="28" t="s">
        <v>362</v>
      </c>
      <c r="H1" s="28" t="s">
        <v>349</v>
      </c>
      <c r="I1" s="28" t="s">
        <v>350</v>
      </c>
      <c r="J1" s="28" t="s">
        <v>1077</v>
      </c>
      <c r="K1" s="29" t="s">
        <v>364</v>
      </c>
    </row>
    <row r="2" spans="1:11" ht="16.5" thickBot="1" x14ac:dyDescent="0.3">
      <c r="A2" s="43">
        <v>1</v>
      </c>
      <c r="B2" s="44" t="s">
        <v>365</v>
      </c>
      <c r="C2" s="44" t="s">
        <v>366</v>
      </c>
      <c r="D2" s="94">
        <v>33274727</v>
      </c>
      <c r="E2" s="35">
        <v>46044</v>
      </c>
      <c r="F2" s="35">
        <v>45999</v>
      </c>
      <c r="G2" s="44" t="s">
        <v>1113</v>
      </c>
      <c r="H2" s="34">
        <v>10021</v>
      </c>
      <c r="I2" s="44" t="s">
        <v>29</v>
      </c>
      <c r="J2" s="46">
        <v>2250</v>
      </c>
      <c r="K2" s="32">
        <v>953528</v>
      </c>
    </row>
    <row r="3" spans="1:11" ht="16.5" thickBot="1" x14ac:dyDescent="0.3">
      <c r="A3" s="43">
        <v>2</v>
      </c>
      <c r="B3" s="44" t="s">
        <v>365</v>
      </c>
      <c r="C3" s="44" t="s">
        <v>366</v>
      </c>
      <c r="D3" s="94">
        <v>33274730</v>
      </c>
      <c r="E3" s="35">
        <v>46044</v>
      </c>
      <c r="F3" s="35">
        <v>45999</v>
      </c>
      <c r="G3" s="44" t="s">
        <v>1114</v>
      </c>
      <c r="H3" s="34">
        <v>10431</v>
      </c>
      <c r="I3" s="44" t="s">
        <v>112</v>
      </c>
      <c r="J3" s="46">
        <v>750</v>
      </c>
      <c r="K3" s="32" t="s">
        <v>1162</v>
      </c>
    </row>
    <row r="4" spans="1:11" ht="16.5" thickBot="1" x14ac:dyDescent="0.3">
      <c r="A4" s="43">
        <v>3</v>
      </c>
      <c r="B4" s="44" t="s">
        <v>365</v>
      </c>
      <c r="C4" s="44" t="s">
        <v>366</v>
      </c>
      <c r="D4" s="94">
        <v>33356102</v>
      </c>
      <c r="E4" s="35">
        <v>46044</v>
      </c>
      <c r="F4" s="35">
        <v>46015</v>
      </c>
      <c r="G4" s="44" t="s">
        <v>1115</v>
      </c>
      <c r="H4" s="34">
        <v>10432</v>
      </c>
      <c r="I4" s="44" t="s">
        <v>656</v>
      </c>
      <c r="J4" s="46">
        <v>1120</v>
      </c>
      <c r="K4" s="32"/>
    </row>
    <row r="5" spans="1:11" ht="16.5" thickBot="1" x14ac:dyDescent="0.3">
      <c r="A5" s="43">
        <v>4</v>
      </c>
      <c r="B5" s="44" t="s">
        <v>365</v>
      </c>
      <c r="C5" s="44" t="s">
        <v>366</v>
      </c>
      <c r="D5" s="94">
        <v>33356112</v>
      </c>
      <c r="E5" s="35">
        <v>46044</v>
      </c>
      <c r="F5" s="35">
        <v>46015</v>
      </c>
      <c r="G5" s="44" t="s">
        <v>1116</v>
      </c>
      <c r="H5" s="34">
        <v>10021</v>
      </c>
      <c r="I5" s="44" t="s">
        <v>29</v>
      </c>
      <c r="J5" s="46">
        <v>1250</v>
      </c>
      <c r="K5" s="32" t="s">
        <v>1163</v>
      </c>
    </row>
    <row r="6" spans="1:11" ht="16.5" thickBot="1" x14ac:dyDescent="0.3">
      <c r="A6" s="43">
        <v>5</v>
      </c>
      <c r="B6" s="44" t="s">
        <v>365</v>
      </c>
      <c r="C6" s="44" t="s">
        <v>366</v>
      </c>
      <c r="D6" s="94">
        <v>33356113</v>
      </c>
      <c r="E6" s="35">
        <v>46044</v>
      </c>
      <c r="F6" s="35">
        <v>46015</v>
      </c>
      <c r="G6" s="44" t="s">
        <v>1117</v>
      </c>
      <c r="H6" s="34">
        <v>10431</v>
      </c>
      <c r="I6" s="44" t="s">
        <v>112</v>
      </c>
      <c r="J6" s="46">
        <v>2500</v>
      </c>
      <c r="K6" s="32" t="s">
        <v>1164</v>
      </c>
    </row>
    <row r="7" spans="1:11" ht="16.5" thickBot="1" x14ac:dyDescent="0.3">
      <c r="A7" s="43">
        <v>6</v>
      </c>
      <c r="B7" s="44" t="s">
        <v>365</v>
      </c>
      <c r="C7" s="44" t="s">
        <v>366</v>
      </c>
      <c r="D7" s="94">
        <v>33356149</v>
      </c>
      <c r="E7" s="35">
        <v>46044</v>
      </c>
      <c r="F7" s="35">
        <v>46028</v>
      </c>
      <c r="G7" s="44" t="s">
        <v>1118</v>
      </c>
      <c r="H7" s="34">
        <v>10023</v>
      </c>
      <c r="I7" s="44" t="s">
        <v>31</v>
      </c>
      <c r="J7" s="46">
        <v>5000</v>
      </c>
      <c r="K7" s="32"/>
    </row>
    <row r="8" spans="1:11" ht="16.5" thickBot="1" x14ac:dyDescent="0.3">
      <c r="A8" s="43">
        <v>7</v>
      </c>
      <c r="B8" s="44" t="s">
        <v>365</v>
      </c>
      <c r="C8" s="44" t="s">
        <v>366</v>
      </c>
      <c r="D8" s="94">
        <v>33356150</v>
      </c>
      <c r="E8" s="35">
        <v>46044</v>
      </c>
      <c r="F8" s="35">
        <v>46028</v>
      </c>
      <c r="G8" s="44" t="s">
        <v>1119</v>
      </c>
      <c r="H8" s="34">
        <v>10135</v>
      </c>
      <c r="I8" s="44" t="s">
        <v>135</v>
      </c>
      <c r="J8" s="46">
        <v>5000</v>
      </c>
      <c r="K8" s="32"/>
    </row>
    <row r="9" spans="1:11" ht="16.5" thickBot="1" x14ac:dyDescent="0.3">
      <c r="A9" s="43">
        <v>8</v>
      </c>
      <c r="B9" s="44" t="s">
        <v>365</v>
      </c>
      <c r="C9" s="44" t="s">
        <v>366</v>
      </c>
      <c r="D9" s="94">
        <v>33356151</v>
      </c>
      <c r="E9" s="35">
        <v>46044</v>
      </c>
      <c r="F9" s="35">
        <v>46028</v>
      </c>
      <c r="G9" s="44" t="s">
        <v>1120</v>
      </c>
      <c r="H9" s="34">
        <v>10626</v>
      </c>
      <c r="I9" s="44" t="s">
        <v>238</v>
      </c>
      <c r="J9" s="46">
        <v>4000</v>
      </c>
      <c r="K9" s="32"/>
    </row>
    <row r="10" spans="1:11" ht="16.5" thickBot="1" x14ac:dyDescent="0.3">
      <c r="A10" s="43">
        <v>9</v>
      </c>
      <c r="B10" s="44" t="s">
        <v>365</v>
      </c>
      <c r="C10" s="44" t="s">
        <v>366</v>
      </c>
      <c r="D10" s="94">
        <v>33356152</v>
      </c>
      <c r="E10" s="35">
        <v>46044</v>
      </c>
      <c r="F10" s="35">
        <v>46028</v>
      </c>
      <c r="G10" s="44" t="s">
        <v>1121</v>
      </c>
      <c r="H10" s="34">
        <v>10437</v>
      </c>
      <c r="I10" s="44" t="s">
        <v>37</v>
      </c>
      <c r="J10" s="46">
        <v>3000</v>
      </c>
      <c r="K10" s="32"/>
    </row>
    <row r="11" spans="1:11" ht="16.5" thickBot="1" x14ac:dyDescent="0.3">
      <c r="A11" s="43">
        <v>10</v>
      </c>
      <c r="B11" s="44" t="s">
        <v>365</v>
      </c>
      <c r="C11" s="44" t="s">
        <v>366</v>
      </c>
      <c r="D11" s="94">
        <v>33356153</v>
      </c>
      <c r="E11" s="35">
        <v>46044</v>
      </c>
      <c r="F11" s="35">
        <v>46028</v>
      </c>
      <c r="G11" s="44" t="s">
        <v>1122</v>
      </c>
      <c r="H11" s="34">
        <v>10430</v>
      </c>
      <c r="I11" s="44" t="s">
        <v>111</v>
      </c>
      <c r="J11" s="46">
        <v>2000</v>
      </c>
      <c r="K11" s="32"/>
    </row>
    <row r="12" spans="1:11" ht="16.5" thickBot="1" x14ac:dyDescent="0.3">
      <c r="A12" s="43">
        <v>11</v>
      </c>
      <c r="B12" s="44" t="s">
        <v>365</v>
      </c>
      <c r="C12" s="44" t="s">
        <v>366</v>
      </c>
      <c r="D12" s="94">
        <v>33356154</v>
      </c>
      <c r="E12" s="35">
        <v>46044</v>
      </c>
      <c r="F12" s="35">
        <v>46028</v>
      </c>
      <c r="G12" s="44" t="s">
        <v>1123</v>
      </c>
      <c r="H12" s="34">
        <v>10512</v>
      </c>
      <c r="I12" s="44" t="s">
        <v>35</v>
      </c>
      <c r="J12" s="46">
        <v>1000</v>
      </c>
      <c r="K12" s="32"/>
    </row>
    <row r="13" spans="1:11" ht="16.5" thickBot="1" x14ac:dyDescent="0.3">
      <c r="A13" s="43">
        <v>18</v>
      </c>
      <c r="B13" s="44" t="s">
        <v>365</v>
      </c>
      <c r="C13" s="44" t="s">
        <v>366</v>
      </c>
      <c r="D13" s="94">
        <v>33356183</v>
      </c>
      <c r="E13" s="35">
        <v>46044</v>
      </c>
      <c r="F13" s="35">
        <v>45672</v>
      </c>
      <c r="G13" s="44" t="s">
        <v>1124</v>
      </c>
      <c r="H13" s="34">
        <v>10587</v>
      </c>
      <c r="I13" s="44" t="s">
        <v>368</v>
      </c>
      <c r="J13" s="46">
        <v>74277</v>
      </c>
      <c r="K13" s="32"/>
    </row>
    <row r="14" spans="1:11" ht="16.5" thickBot="1" x14ac:dyDescent="0.3">
      <c r="A14" s="43">
        <v>19</v>
      </c>
      <c r="B14" s="44" t="s">
        <v>365</v>
      </c>
      <c r="C14" s="44" t="s">
        <v>366</v>
      </c>
      <c r="D14" s="94">
        <v>33356184</v>
      </c>
      <c r="E14" s="35">
        <v>46044</v>
      </c>
      <c r="F14" s="35">
        <v>45672</v>
      </c>
      <c r="G14" s="44" t="s">
        <v>1125</v>
      </c>
      <c r="H14" s="34">
        <v>10597</v>
      </c>
      <c r="I14" s="44" t="s">
        <v>373</v>
      </c>
      <c r="J14" s="46">
        <v>24325</v>
      </c>
      <c r="K14" s="32"/>
    </row>
    <row r="15" spans="1:11" ht="16.5" thickBot="1" x14ac:dyDescent="0.3">
      <c r="A15" s="43">
        <v>33</v>
      </c>
      <c r="B15" s="44" t="s">
        <v>365</v>
      </c>
      <c r="C15" s="44" t="s">
        <v>366</v>
      </c>
      <c r="D15" s="94">
        <v>33356185</v>
      </c>
      <c r="E15" s="35">
        <v>46044</v>
      </c>
      <c r="F15" s="35">
        <v>45672</v>
      </c>
      <c r="G15" s="44" t="s">
        <v>1126</v>
      </c>
      <c r="H15" s="34">
        <v>10605</v>
      </c>
      <c r="I15" s="44" t="s">
        <v>382</v>
      </c>
      <c r="J15" s="46">
        <v>30200</v>
      </c>
      <c r="K15" s="32"/>
    </row>
    <row r="16" spans="1:11" ht="16.5" thickBot="1" x14ac:dyDescent="0.3">
      <c r="A16" s="43">
        <v>34</v>
      </c>
      <c r="B16" s="44" t="s">
        <v>365</v>
      </c>
      <c r="C16" s="44" t="s">
        <v>366</v>
      </c>
      <c r="D16" s="94">
        <v>33356186</v>
      </c>
      <c r="E16" s="35">
        <v>46044</v>
      </c>
      <c r="F16" s="35">
        <v>45672</v>
      </c>
      <c r="G16" s="44" t="s">
        <v>1127</v>
      </c>
      <c r="H16" s="34">
        <v>10505</v>
      </c>
      <c r="I16" s="44" t="s">
        <v>187</v>
      </c>
      <c r="J16" s="46">
        <v>69525</v>
      </c>
      <c r="K16" s="32"/>
    </row>
    <row r="17" spans="1:11" ht="16.5" thickBot="1" x14ac:dyDescent="0.3">
      <c r="A17" s="43">
        <v>35</v>
      </c>
      <c r="B17" s="44" t="s">
        <v>365</v>
      </c>
      <c r="C17" s="44" t="s">
        <v>366</v>
      </c>
      <c r="D17" s="94">
        <v>33356187</v>
      </c>
      <c r="E17" s="35">
        <v>46044</v>
      </c>
      <c r="F17" s="35">
        <v>45672</v>
      </c>
      <c r="G17" s="44" t="s">
        <v>1128</v>
      </c>
      <c r="H17" s="34">
        <v>10419</v>
      </c>
      <c r="I17" s="44" t="s">
        <v>189</v>
      </c>
      <c r="J17" s="46">
        <v>89213</v>
      </c>
      <c r="K17" s="32"/>
    </row>
    <row r="18" spans="1:11" ht="16.5" thickBot="1" x14ac:dyDescent="0.3">
      <c r="A18" s="43">
        <v>36</v>
      </c>
      <c r="B18" s="44" t="s">
        <v>365</v>
      </c>
      <c r="C18" s="44" t="s">
        <v>366</v>
      </c>
      <c r="D18" s="94">
        <v>33356188</v>
      </c>
      <c r="E18" s="35">
        <v>46044</v>
      </c>
      <c r="F18" s="35">
        <v>45672</v>
      </c>
      <c r="G18" s="44" t="s">
        <v>1129</v>
      </c>
      <c r="H18" s="34">
        <v>10573</v>
      </c>
      <c r="I18" s="44" t="s">
        <v>341</v>
      </c>
      <c r="J18" s="46">
        <v>23255</v>
      </c>
      <c r="K18" s="32"/>
    </row>
    <row r="19" spans="1:11" ht="16.5" thickBot="1" x14ac:dyDescent="0.3">
      <c r="A19" s="43">
        <v>37</v>
      </c>
      <c r="B19" s="44" t="s">
        <v>365</v>
      </c>
      <c r="C19" s="44" t="s">
        <v>366</v>
      </c>
      <c r="D19" s="94">
        <v>33356189</v>
      </c>
      <c r="E19" s="35">
        <v>46044</v>
      </c>
      <c r="F19" s="35">
        <v>45672</v>
      </c>
      <c r="G19" s="44" t="s">
        <v>1130</v>
      </c>
      <c r="H19" s="34">
        <v>10419</v>
      </c>
      <c r="I19" s="44" t="s">
        <v>189</v>
      </c>
      <c r="J19" s="46">
        <v>31079</v>
      </c>
      <c r="K19" s="32"/>
    </row>
    <row r="20" spans="1:11" ht="16.5" thickBot="1" x14ac:dyDescent="0.3">
      <c r="A20" s="43">
        <v>38</v>
      </c>
      <c r="B20" s="44" t="s">
        <v>365</v>
      </c>
      <c r="C20" s="44" t="s">
        <v>366</v>
      </c>
      <c r="D20" s="94">
        <v>33356190</v>
      </c>
      <c r="E20" s="35">
        <v>46044</v>
      </c>
      <c r="F20" s="35">
        <v>45672</v>
      </c>
      <c r="G20" s="44" t="s">
        <v>1131</v>
      </c>
      <c r="H20" s="34">
        <v>10636</v>
      </c>
      <c r="I20" s="44" t="s">
        <v>422</v>
      </c>
      <c r="J20" s="46">
        <v>46619</v>
      </c>
      <c r="K20" s="32"/>
    </row>
    <row r="21" spans="1:11" ht="16.5" thickBot="1" x14ac:dyDescent="0.3">
      <c r="A21" s="43">
        <v>39</v>
      </c>
      <c r="B21" s="44" t="s">
        <v>365</v>
      </c>
      <c r="C21" s="44" t="s">
        <v>366</v>
      </c>
      <c r="D21" s="94">
        <v>33356191</v>
      </c>
      <c r="E21" s="35">
        <v>46044</v>
      </c>
      <c r="F21" s="35">
        <v>45672</v>
      </c>
      <c r="G21" s="44" t="s">
        <v>1132</v>
      </c>
      <c r="H21" s="34">
        <v>10569</v>
      </c>
      <c r="I21" s="44" t="s">
        <v>339</v>
      </c>
      <c r="J21" s="46">
        <v>24630</v>
      </c>
      <c r="K21" s="32"/>
    </row>
    <row r="22" spans="1:11" ht="16.5" thickBot="1" x14ac:dyDescent="0.3">
      <c r="A22" s="43">
        <v>40</v>
      </c>
      <c r="B22" s="44" t="s">
        <v>365</v>
      </c>
      <c r="C22" s="44" t="s">
        <v>366</v>
      </c>
      <c r="D22" s="94">
        <v>33356192</v>
      </c>
      <c r="E22" s="35">
        <v>46044</v>
      </c>
      <c r="F22" s="35">
        <v>45672</v>
      </c>
      <c r="G22" s="44" t="s">
        <v>1133</v>
      </c>
      <c r="H22" s="34">
        <v>10163</v>
      </c>
      <c r="I22" s="44" t="s">
        <v>108</v>
      </c>
      <c r="J22" s="46">
        <v>28442</v>
      </c>
      <c r="K22" s="32"/>
    </row>
    <row r="23" spans="1:11" ht="16.5" thickBot="1" x14ac:dyDescent="0.3">
      <c r="A23" s="43">
        <v>41</v>
      </c>
      <c r="B23" s="44" t="s">
        <v>365</v>
      </c>
      <c r="C23" s="44" t="s">
        <v>366</v>
      </c>
      <c r="D23" s="94">
        <v>33356193</v>
      </c>
      <c r="E23" s="35">
        <v>46044</v>
      </c>
      <c r="F23" s="35">
        <v>45672</v>
      </c>
      <c r="G23" s="44" t="s">
        <v>1134</v>
      </c>
      <c r="H23" s="34">
        <v>10602</v>
      </c>
      <c r="I23" s="34" t="s">
        <v>654</v>
      </c>
      <c r="J23" s="46">
        <v>24904</v>
      </c>
      <c r="K23" s="32"/>
    </row>
    <row r="24" spans="1:11" ht="16.5" thickBot="1" x14ac:dyDescent="0.3">
      <c r="A24" s="43">
        <v>43</v>
      </c>
      <c r="B24" s="44" t="s">
        <v>365</v>
      </c>
      <c r="C24" s="44" t="s">
        <v>366</v>
      </c>
      <c r="D24" s="94">
        <v>33356194</v>
      </c>
      <c r="E24" s="35">
        <v>46044</v>
      </c>
      <c r="F24" s="35">
        <v>45672</v>
      </c>
      <c r="G24" s="44" t="s">
        <v>1135</v>
      </c>
      <c r="H24" s="34">
        <v>10655</v>
      </c>
      <c r="I24" s="44" t="s">
        <v>566</v>
      </c>
      <c r="J24" s="46">
        <v>26923</v>
      </c>
      <c r="K24" s="32"/>
    </row>
    <row r="25" spans="1:11" ht="16.5" thickBot="1" x14ac:dyDescent="0.3">
      <c r="A25" s="43">
        <v>44</v>
      </c>
      <c r="B25" s="44" t="s">
        <v>365</v>
      </c>
      <c r="C25" s="44" t="s">
        <v>366</v>
      </c>
      <c r="D25" s="94">
        <v>33356195</v>
      </c>
      <c r="E25" s="35">
        <v>46044</v>
      </c>
      <c r="F25" s="35">
        <v>45672</v>
      </c>
      <c r="G25" s="44" t="s">
        <v>1136</v>
      </c>
      <c r="H25" s="34">
        <v>10567</v>
      </c>
      <c r="I25" s="44" t="s">
        <v>336</v>
      </c>
      <c r="J25" s="46">
        <v>27209</v>
      </c>
      <c r="K25" s="32"/>
    </row>
    <row r="26" spans="1:11" ht="16.5" thickBot="1" x14ac:dyDescent="0.3">
      <c r="A26" s="43">
        <v>45</v>
      </c>
      <c r="B26" s="44" t="s">
        <v>365</v>
      </c>
      <c r="C26" s="44" t="s">
        <v>366</v>
      </c>
      <c r="D26" s="94">
        <v>33356196</v>
      </c>
      <c r="E26" s="35">
        <v>46044</v>
      </c>
      <c r="F26" s="35">
        <v>45672</v>
      </c>
      <c r="G26" s="44" t="s">
        <v>1137</v>
      </c>
      <c r="H26" s="34">
        <v>10498</v>
      </c>
      <c r="I26" s="44" t="s">
        <v>477</v>
      </c>
      <c r="J26" s="46">
        <v>25202</v>
      </c>
      <c r="K26" s="32"/>
    </row>
    <row r="27" spans="1:11" ht="16.5" thickBot="1" x14ac:dyDescent="0.3">
      <c r="A27" s="43">
        <v>46</v>
      </c>
      <c r="B27" s="44" t="s">
        <v>365</v>
      </c>
      <c r="C27" s="44" t="s">
        <v>366</v>
      </c>
      <c r="D27" s="94">
        <v>33356197</v>
      </c>
      <c r="E27" s="35">
        <v>46044</v>
      </c>
      <c r="F27" s="35">
        <v>45672</v>
      </c>
      <c r="G27" s="44" t="s">
        <v>1138</v>
      </c>
      <c r="H27" s="34">
        <v>10571</v>
      </c>
      <c r="I27" s="44" t="s">
        <v>732</v>
      </c>
      <c r="J27" s="46">
        <v>51943</v>
      </c>
      <c r="K27" s="32"/>
    </row>
    <row r="28" spans="1:11" ht="16.5" thickBot="1" x14ac:dyDescent="0.3">
      <c r="A28" s="43">
        <v>47</v>
      </c>
      <c r="B28" s="44" t="s">
        <v>365</v>
      </c>
      <c r="C28" s="44" t="s">
        <v>366</v>
      </c>
      <c r="D28" s="94">
        <v>33356198</v>
      </c>
      <c r="E28" s="35">
        <v>46044</v>
      </c>
      <c r="F28" s="35">
        <v>45672</v>
      </c>
      <c r="G28" s="44" t="s">
        <v>1139</v>
      </c>
      <c r="H28" s="34">
        <v>10365</v>
      </c>
      <c r="I28" s="44" t="s">
        <v>1166</v>
      </c>
      <c r="J28" s="46">
        <v>25252</v>
      </c>
      <c r="K28" s="32"/>
    </row>
    <row r="29" spans="1:11" ht="16.5" thickBot="1" x14ac:dyDescent="0.3">
      <c r="A29" s="43">
        <v>48</v>
      </c>
      <c r="B29" s="44" t="s">
        <v>365</v>
      </c>
      <c r="C29" s="44" t="s">
        <v>366</v>
      </c>
      <c r="D29" s="94">
        <v>33356199</v>
      </c>
      <c r="E29" s="35">
        <v>46044</v>
      </c>
      <c r="F29" s="35">
        <v>45672</v>
      </c>
      <c r="G29" s="44" t="s">
        <v>1140</v>
      </c>
      <c r="H29" s="34">
        <v>10021</v>
      </c>
      <c r="I29" s="44" t="s">
        <v>29</v>
      </c>
      <c r="J29" s="46">
        <v>61115</v>
      </c>
      <c r="K29" s="32"/>
    </row>
    <row r="30" spans="1:11" ht="16.5" thickBot="1" x14ac:dyDescent="0.3">
      <c r="A30" s="43">
        <v>49</v>
      </c>
      <c r="B30" s="44" t="s">
        <v>365</v>
      </c>
      <c r="C30" s="44" t="s">
        <v>366</v>
      </c>
      <c r="D30" s="94">
        <v>33356200</v>
      </c>
      <c r="E30" s="35">
        <v>46044</v>
      </c>
      <c r="F30" s="35">
        <v>45672</v>
      </c>
      <c r="G30" s="44" t="s">
        <v>1141</v>
      </c>
      <c r="H30" s="34">
        <v>10465</v>
      </c>
      <c r="I30" s="44" t="s">
        <v>136</v>
      </c>
      <c r="J30" s="46">
        <v>50100</v>
      </c>
      <c r="K30" s="32"/>
    </row>
    <row r="31" spans="1:11" ht="16.5" thickBot="1" x14ac:dyDescent="0.3">
      <c r="A31" s="43">
        <v>50</v>
      </c>
      <c r="B31" s="44" t="s">
        <v>365</v>
      </c>
      <c r="C31" s="44" t="s">
        <v>366</v>
      </c>
      <c r="D31" s="94">
        <v>33356201</v>
      </c>
      <c r="E31" s="35">
        <v>46044</v>
      </c>
      <c r="F31" s="35">
        <v>45672</v>
      </c>
      <c r="G31" s="44" t="s">
        <v>1142</v>
      </c>
      <c r="H31" s="34">
        <v>10431</v>
      </c>
      <c r="I31" s="44" t="s">
        <v>112</v>
      </c>
      <c r="J31" s="46">
        <v>27159</v>
      </c>
      <c r="K31" s="32"/>
    </row>
    <row r="32" spans="1:11" ht="16.5" thickBot="1" x14ac:dyDescent="0.3">
      <c r="A32" s="43">
        <v>51</v>
      </c>
      <c r="B32" s="44" t="s">
        <v>365</v>
      </c>
      <c r="C32" s="44" t="s">
        <v>366</v>
      </c>
      <c r="D32" s="94">
        <v>33356202</v>
      </c>
      <c r="E32" s="35">
        <v>46044</v>
      </c>
      <c r="F32" s="35">
        <v>45672</v>
      </c>
      <c r="G32" s="44" t="s">
        <v>1143</v>
      </c>
      <c r="H32" s="34">
        <v>10326</v>
      </c>
      <c r="I32" s="44" t="s">
        <v>853</v>
      </c>
      <c r="J32" s="46">
        <v>57554</v>
      </c>
      <c r="K32" s="32"/>
    </row>
    <row r="33" spans="1:11" ht="16.5" thickBot="1" x14ac:dyDescent="0.3">
      <c r="A33" s="43">
        <v>52</v>
      </c>
      <c r="B33" s="44" t="s">
        <v>365</v>
      </c>
      <c r="C33" s="44" t="s">
        <v>366</v>
      </c>
      <c r="D33" s="94">
        <v>33356203</v>
      </c>
      <c r="E33" s="35">
        <v>46044</v>
      </c>
      <c r="F33" s="35">
        <v>45672</v>
      </c>
      <c r="G33" s="44" t="s">
        <v>1144</v>
      </c>
      <c r="H33" s="34">
        <v>10692</v>
      </c>
      <c r="I33" s="44" t="s">
        <v>1165</v>
      </c>
      <c r="J33" s="46">
        <v>57189</v>
      </c>
      <c r="K33" s="32"/>
    </row>
    <row r="34" spans="1:11" ht="16.5" thickBot="1" x14ac:dyDescent="0.3">
      <c r="A34" s="43">
        <v>53</v>
      </c>
      <c r="B34" s="44" t="s">
        <v>365</v>
      </c>
      <c r="C34" s="44" t="s">
        <v>366</v>
      </c>
      <c r="D34" s="94">
        <v>33356204</v>
      </c>
      <c r="E34" s="35">
        <v>46044</v>
      </c>
      <c r="F34" s="35">
        <v>45672</v>
      </c>
      <c r="G34" s="44" t="s">
        <v>1145</v>
      </c>
      <c r="H34" s="34">
        <v>10407</v>
      </c>
      <c r="I34" s="44" t="s">
        <v>122</v>
      </c>
      <c r="J34" s="46">
        <v>61995</v>
      </c>
      <c r="K34" s="32"/>
    </row>
    <row r="35" spans="1:11" ht="16.5" thickBot="1" x14ac:dyDescent="0.3">
      <c r="A35" s="43">
        <v>54</v>
      </c>
      <c r="B35" s="44" t="s">
        <v>365</v>
      </c>
      <c r="C35" s="44" t="s">
        <v>366</v>
      </c>
      <c r="D35" s="94">
        <v>33356205</v>
      </c>
      <c r="E35" s="35">
        <v>46044</v>
      </c>
      <c r="F35" s="35">
        <v>45672</v>
      </c>
      <c r="G35" s="44" t="s">
        <v>1146</v>
      </c>
      <c r="H35" s="34">
        <v>10606</v>
      </c>
      <c r="I35" s="44" t="s">
        <v>383</v>
      </c>
      <c r="J35" s="46">
        <v>90276</v>
      </c>
      <c r="K35" s="32"/>
    </row>
    <row r="36" spans="1:11" ht="16.5" thickBot="1" x14ac:dyDescent="0.3">
      <c r="A36" s="43">
        <v>55</v>
      </c>
      <c r="B36" s="44" t="s">
        <v>365</v>
      </c>
      <c r="C36" s="44" t="s">
        <v>366</v>
      </c>
      <c r="D36" s="94">
        <v>33356206</v>
      </c>
      <c r="E36" s="35">
        <v>46044</v>
      </c>
      <c r="F36" s="35">
        <v>45672</v>
      </c>
      <c r="G36" s="44" t="s">
        <v>1147</v>
      </c>
      <c r="H36" s="34">
        <v>10678</v>
      </c>
      <c r="I36" s="44" t="s">
        <v>857</v>
      </c>
      <c r="J36" s="46">
        <v>27773</v>
      </c>
      <c r="K36" s="32"/>
    </row>
    <row r="37" spans="1:11" ht="16.5" thickBot="1" x14ac:dyDescent="0.3">
      <c r="A37" s="43">
        <v>56</v>
      </c>
      <c r="B37" s="44" t="s">
        <v>365</v>
      </c>
      <c r="C37" s="44" t="s">
        <v>366</v>
      </c>
      <c r="D37" s="94">
        <v>33356207</v>
      </c>
      <c r="E37" s="35">
        <v>46044</v>
      </c>
      <c r="F37" s="35">
        <v>45672</v>
      </c>
      <c r="G37" s="44" t="s">
        <v>1148</v>
      </c>
      <c r="H37" s="34">
        <v>10684</v>
      </c>
      <c r="I37" s="44" t="s">
        <v>972</v>
      </c>
      <c r="J37" s="46">
        <v>29394</v>
      </c>
      <c r="K37" s="32"/>
    </row>
    <row r="38" spans="1:11" ht="16.5" thickBot="1" x14ac:dyDescent="0.3">
      <c r="A38" s="43">
        <v>57</v>
      </c>
      <c r="B38" s="44" t="s">
        <v>365</v>
      </c>
      <c r="C38" s="44" t="s">
        <v>366</v>
      </c>
      <c r="D38" s="94">
        <v>33356208</v>
      </c>
      <c r="E38" s="35">
        <v>46044</v>
      </c>
      <c r="F38" s="35">
        <v>45672</v>
      </c>
      <c r="G38" s="44" t="s">
        <v>1149</v>
      </c>
      <c r="H38" s="34">
        <v>10562</v>
      </c>
      <c r="I38" s="44" t="s">
        <v>394</v>
      </c>
      <c r="J38" s="46">
        <v>30357</v>
      </c>
      <c r="K38" s="32"/>
    </row>
    <row r="39" spans="1:11" ht="16.5" thickBot="1" x14ac:dyDescent="0.3">
      <c r="A39" s="43">
        <v>58</v>
      </c>
      <c r="B39" s="44" t="s">
        <v>365</v>
      </c>
      <c r="C39" s="44" t="s">
        <v>366</v>
      </c>
      <c r="D39" s="94">
        <v>33356209</v>
      </c>
      <c r="E39" s="35">
        <v>46044</v>
      </c>
      <c r="F39" s="35">
        <v>45672</v>
      </c>
      <c r="G39" s="44" t="s">
        <v>1150</v>
      </c>
      <c r="H39" s="34">
        <v>10199</v>
      </c>
      <c r="I39" s="44" t="s">
        <v>328</v>
      </c>
      <c r="J39" s="46">
        <v>25685</v>
      </c>
      <c r="K39" s="32"/>
    </row>
    <row r="40" spans="1:11" ht="16.5" thickBot="1" x14ac:dyDescent="0.3">
      <c r="A40" s="43">
        <v>59</v>
      </c>
      <c r="B40" s="44" t="s">
        <v>365</v>
      </c>
      <c r="C40" s="44" t="s">
        <v>366</v>
      </c>
      <c r="D40" s="94">
        <v>33356210</v>
      </c>
      <c r="E40" s="35">
        <v>46044</v>
      </c>
      <c r="F40" s="35">
        <v>45672</v>
      </c>
      <c r="G40" s="44" t="s">
        <v>1151</v>
      </c>
      <c r="H40" s="34">
        <v>10651</v>
      </c>
      <c r="I40" s="44" t="s">
        <v>562</v>
      </c>
      <c r="J40" s="46">
        <v>26407</v>
      </c>
      <c r="K40" s="32"/>
    </row>
    <row r="41" spans="1:11" ht="16.5" thickBot="1" x14ac:dyDescent="0.3">
      <c r="A41" s="43">
        <v>60</v>
      </c>
      <c r="B41" s="44" t="s">
        <v>365</v>
      </c>
      <c r="C41" s="44" t="s">
        <v>366</v>
      </c>
      <c r="D41" s="94">
        <v>33356211</v>
      </c>
      <c r="E41" s="35">
        <v>46044</v>
      </c>
      <c r="F41" s="35">
        <v>45672</v>
      </c>
      <c r="G41" s="44" t="s">
        <v>1152</v>
      </c>
      <c r="H41" s="34">
        <v>10015</v>
      </c>
      <c r="I41" s="44" t="s">
        <v>20</v>
      </c>
      <c r="J41" s="46">
        <v>96992</v>
      </c>
      <c r="K41" s="32"/>
    </row>
    <row r="42" spans="1:11" ht="16.5" thickBot="1" x14ac:dyDescent="0.3">
      <c r="A42" s="43">
        <v>61</v>
      </c>
      <c r="B42" s="44" t="s">
        <v>365</v>
      </c>
      <c r="C42" s="44" t="s">
        <v>366</v>
      </c>
      <c r="D42" s="94">
        <v>33356212</v>
      </c>
      <c r="E42" s="35">
        <v>46044</v>
      </c>
      <c r="F42" s="35">
        <v>45672</v>
      </c>
      <c r="G42" s="44" t="s">
        <v>1153</v>
      </c>
      <c r="H42" s="34">
        <v>10010</v>
      </c>
      <c r="I42" s="44" t="s">
        <v>15</v>
      </c>
      <c r="J42" s="46">
        <v>25544</v>
      </c>
      <c r="K42" s="32"/>
    </row>
    <row r="43" spans="1:11" ht="16.5" thickBot="1" x14ac:dyDescent="0.3">
      <c r="A43" s="43">
        <v>62</v>
      </c>
      <c r="B43" s="44" t="s">
        <v>365</v>
      </c>
      <c r="C43" s="44" t="s">
        <v>366</v>
      </c>
      <c r="D43" s="94">
        <v>33356242</v>
      </c>
      <c r="E43" s="35">
        <v>46044</v>
      </c>
      <c r="F43" s="35">
        <v>46041</v>
      </c>
      <c r="G43" s="44" t="s">
        <v>1154</v>
      </c>
      <c r="H43" s="34">
        <v>10032</v>
      </c>
      <c r="I43" s="44" t="s">
        <v>46</v>
      </c>
      <c r="J43" s="46">
        <v>5637</v>
      </c>
      <c r="K43" s="32"/>
    </row>
    <row r="44" spans="1:11" ht="16.5" thickBot="1" x14ac:dyDescent="0.3">
      <c r="A44" s="43">
        <v>63</v>
      </c>
      <c r="B44" s="44" t="s">
        <v>365</v>
      </c>
      <c r="C44" s="44" t="s">
        <v>366</v>
      </c>
      <c r="D44" s="94">
        <v>33356243</v>
      </c>
      <c r="E44" s="35">
        <v>46044</v>
      </c>
      <c r="F44" s="35">
        <v>46041</v>
      </c>
      <c r="G44" s="44" t="s">
        <v>1155</v>
      </c>
      <c r="H44" s="34">
        <v>10030</v>
      </c>
      <c r="I44" s="44" t="s">
        <v>43</v>
      </c>
      <c r="J44" s="46">
        <v>5613</v>
      </c>
      <c r="K44" s="32"/>
    </row>
    <row r="45" spans="1:11" ht="16.5" thickBot="1" x14ac:dyDescent="0.3">
      <c r="A45" s="43">
        <v>64</v>
      </c>
      <c r="B45" s="44" t="s">
        <v>365</v>
      </c>
      <c r="C45" s="44" t="s">
        <v>366</v>
      </c>
      <c r="D45" s="94">
        <v>33356244</v>
      </c>
      <c r="E45" s="35">
        <v>46044</v>
      </c>
      <c r="F45" s="35">
        <v>46041</v>
      </c>
      <c r="G45" s="44" t="s">
        <v>1156</v>
      </c>
      <c r="H45" s="34">
        <v>10019</v>
      </c>
      <c r="I45" s="44" t="s">
        <v>25</v>
      </c>
      <c r="J45" s="46">
        <v>3750</v>
      </c>
      <c r="K45" s="32"/>
    </row>
    <row r="46" spans="1:11" ht="16.5" thickBot="1" x14ac:dyDescent="0.3">
      <c r="A46" s="43">
        <v>65</v>
      </c>
      <c r="B46" s="44" t="s">
        <v>365</v>
      </c>
      <c r="C46" s="44" t="s">
        <v>366</v>
      </c>
      <c r="D46" s="33">
        <v>33356245</v>
      </c>
      <c r="E46" s="35">
        <v>46044</v>
      </c>
      <c r="F46" s="35">
        <v>46041</v>
      </c>
      <c r="G46" s="44" t="s">
        <v>1157</v>
      </c>
      <c r="H46" s="34">
        <v>10558</v>
      </c>
      <c r="I46" s="44" t="s">
        <v>734</v>
      </c>
      <c r="J46" s="46">
        <v>3344</v>
      </c>
      <c r="K46" s="32"/>
    </row>
    <row r="47" spans="1:11" ht="16.5" thickBot="1" x14ac:dyDescent="0.3">
      <c r="A47" s="43">
        <v>66</v>
      </c>
      <c r="B47" s="44" t="s">
        <v>365</v>
      </c>
      <c r="C47" s="44" t="s">
        <v>366</v>
      </c>
      <c r="D47" s="33">
        <v>33356246</v>
      </c>
      <c r="E47" s="35">
        <v>46044</v>
      </c>
      <c r="F47" s="35">
        <v>46041</v>
      </c>
      <c r="G47" s="44" t="s">
        <v>1158</v>
      </c>
      <c r="H47" s="34">
        <v>10031</v>
      </c>
      <c r="I47" s="44" t="s">
        <v>45</v>
      </c>
      <c r="J47" s="46">
        <v>3248</v>
      </c>
      <c r="K47" s="32"/>
    </row>
    <row r="48" spans="1:11" ht="16.5" thickBot="1" x14ac:dyDescent="0.3">
      <c r="A48" s="43">
        <v>67</v>
      </c>
      <c r="B48" s="44" t="s">
        <v>365</v>
      </c>
      <c r="C48" s="44" t="s">
        <v>366</v>
      </c>
      <c r="D48" s="33">
        <v>33356247</v>
      </c>
      <c r="E48" s="35">
        <v>46044</v>
      </c>
      <c r="F48" s="35">
        <v>46041</v>
      </c>
      <c r="G48" s="44" t="s">
        <v>1159</v>
      </c>
      <c r="H48" s="34">
        <v>10391</v>
      </c>
      <c r="I48" s="44" t="s">
        <v>243</v>
      </c>
      <c r="J48" s="46">
        <v>3153</v>
      </c>
      <c r="K48" s="32"/>
    </row>
    <row r="49" spans="1:11" ht="16.5" thickBot="1" x14ac:dyDescent="0.3">
      <c r="A49" s="43">
        <v>68</v>
      </c>
      <c r="B49" s="44" t="s">
        <v>365</v>
      </c>
      <c r="C49" s="44" t="s">
        <v>366</v>
      </c>
      <c r="D49" s="33">
        <v>33356248</v>
      </c>
      <c r="E49" s="35">
        <v>46044</v>
      </c>
      <c r="F49" s="35">
        <v>46041</v>
      </c>
      <c r="G49" s="44" t="s">
        <v>1160</v>
      </c>
      <c r="H49" s="34">
        <v>10063</v>
      </c>
      <c r="I49" s="44" t="s">
        <v>193</v>
      </c>
      <c r="J49" s="46">
        <v>2747</v>
      </c>
      <c r="K49" s="32"/>
    </row>
    <row r="50" spans="1:11" ht="16.5" thickBot="1" x14ac:dyDescent="0.3">
      <c r="A50" s="43">
        <v>69</v>
      </c>
      <c r="B50" s="44" t="s">
        <v>365</v>
      </c>
      <c r="C50" s="44" t="s">
        <v>366</v>
      </c>
      <c r="D50" s="33">
        <v>33356249</v>
      </c>
      <c r="E50" s="35">
        <v>46044</v>
      </c>
      <c r="F50" s="35">
        <v>46041</v>
      </c>
      <c r="G50" s="44" t="s">
        <v>1161</v>
      </c>
      <c r="H50" s="34">
        <v>10290</v>
      </c>
      <c r="I50" s="44" t="s">
        <v>151</v>
      </c>
      <c r="J50" s="46">
        <v>2508</v>
      </c>
      <c r="K50" s="32"/>
    </row>
    <row r="51" spans="1:11" ht="16.5" thickBot="1" x14ac:dyDescent="0.3">
      <c r="A51" s="43">
        <v>70</v>
      </c>
      <c r="B51" s="44" t="s">
        <v>365</v>
      </c>
      <c r="C51" s="44" t="s">
        <v>366</v>
      </c>
      <c r="D51" s="33">
        <v>33356137</v>
      </c>
      <c r="E51" s="35">
        <v>45672</v>
      </c>
      <c r="F51" s="35">
        <v>45659</v>
      </c>
      <c r="G51" s="44" t="s">
        <v>1167</v>
      </c>
      <c r="H51" s="34">
        <v>10645</v>
      </c>
      <c r="I51" s="44" t="s">
        <v>1170</v>
      </c>
      <c r="J51" s="46">
        <v>15000</v>
      </c>
      <c r="K51" s="32"/>
    </row>
    <row r="52" spans="1:11" ht="16.5" thickBot="1" x14ac:dyDescent="0.3">
      <c r="A52" s="43">
        <v>71</v>
      </c>
      <c r="B52" s="44" t="s">
        <v>365</v>
      </c>
      <c r="C52" s="44" t="s">
        <v>366</v>
      </c>
      <c r="D52" s="33">
        <v>33356138</v>
      </c>
      <c r="E52" s="35">
        <v>45672</v>
      </c>
      <c r="F52" s="35">
        <v>45659</v>
      </c>
      <c r="G52" s="44" t="s">
        <v>1168</v>
      </c>
      <c r="H52" s="34">
        <v>10631</v>
      </c>
      <c r="I52" s="44" t="s">
        <v>1171</v>
      </c>
      <c r="J52" s="46">
        <v>10000</v>
      </c>
      <c r="K52" s="32"/>
    </row>
    <row r="53" spans="1:11" ht="16.5" thickBot="1" x14ac:dyDescent="0.3">
      <c r="A53" s="43">
        <v>72</v>
      </c>
      <c r="B53" s="44" t="s">
        <v>365</v>
      </c>
      <c r="C53" s="44" t="s">
        <v>366</v>
      </c>
      <c r="D53" s="33">
        <v>33356139</v>
      </c>
      <c r="E53" s="35">
        <v>45672</v>
      </c>
      <c r="F53" s="35">
        <v>45659</v>
      </c>
      <c r="G53" s="44" t="s">
        <v>1169</v>
      </c>
      <c r="H53" s="34">
        <v>10366</v>
      </c>
      <c r="I53" s="44" t="s">
        <v>1083</v>
      </c>
      <c r="J53" s="46">
        <v>5000</v>
      </c>
      <c r="K53" s="32"/>
    </row>
    <row r="54" spans="1:11" ht="16.5" thickBot="1" x14ac:dyDescent="0.3">
      <c r="A54" s="43">
        <v>73</v>
      </c>
      <c r="B54" s="44" t="s">
        <v>365</v>
      </c>
      <c r="C54" s="44" t="s">
        <v>366</v>
      </c>
      <c r="D54" s="33" t="s">
        <v>1186</v>
      </c>
      <c r="E54" s="35">
        <v>45679</v>
      </c>
      <c r="F54" s="35">
        <v>46044</v>
      </c>
      <c r="G54" s="44" t="s">
        <v>1185</v>
      </c>
      <c r="H54" s="34">
        <v>10391</v>
      </c>
      <c r="I54" s="44" t="s">
        <v>243</v>
      </c>
      <c r="J54" s="46">
        <v>195075</v>
      </c>
      <c r="K54" s="32"/>
    </row>
    <row r="55" spans="1:11" ht="16.5" thickBot="1" x14ac:dyDescent="0.3">
      <c r="A55" s="43">
        <v>74</v>
      </c>
      <c r="B55" s="44" t="s">
        <v>365</v>
      </c>
      <c r="C55" s="44" t="s">
        <v>366</v>
      </c>
      <c r="D55" s="33" t="s">
        <v>1186</v>
      </c>
      <c r="E55" s="35">
        <v>45679</v>
      </c>
      <c r="F55" s="35">
        <v>46409</v>
      </c>
      <c r="G55" s="44" t="s">
        <v>1185</v>
      </c>
      <c r="H55" s="34">
        <v>10290</v>
      </c>
      <c r="I55" s="44" t="s">
        <v>151</v>
      </c>
      <c r="J55" s="46">
        <v>157025</v>
      </c>
      <c r="K55" s="32"/>
    </row>
    <row r="56" spans="1:11" ht="16.5" thickBot="1" x14ac:dyDescent="0.3">
      <c r="A56" s="43">
        <v>75</v>
      </c>
      <c r="B56" s="44" t="s">
        <v>365</v>
      </c>
      <c r="C56" s="44" t="s">
        <v>366</v>
      </c>
      <c r="D56" s="33">
        <v>33356285</v>
      </c>
      <c r="E56" s="35">
        <v>46048</v>
      </c>
      <c r="F56" s="35">
        <v>46048</v>
      </c>
      <c r="G56" s="44" t="s">
        <v>1192</v>
      </c>
      <c r="H56" s="34">
        <v>10015</v>
      </c>
      <c r="I56" s="44" t="s">
        <v>20</v>
      </c>
      <c r="J56" s="46">
        <v>53142</v>
      </c>
      <c r="K56" s="32"/>
    </row>
    <row r="57" spans="1:11" ht="16.5" thickBot="1" x14ac:dyDescent="0.3">
      <c r="A57" s="43">
        <v>76</v>
      </c>
      <c r="B57" s="44" t="s">
        <v>365</v>
      </c>
      <c r="C57" s="44" t="s">
        <v>366</v>
      </c>
      <c r="D57" s="33">
        <v>33356284</v>
      </c>
      <c r="E57" s="35">
        <v>46048</v>
      </c>
      <c r="F57" s="35">
        <v>46048</v>
      </c>
      <c r="G57" s="44" t="s">
        <v>1192</v>
      </c>
      <c r="H57" s="34">
        <v>10018</v>
      </c>
      <c r="I57" s="44" t="s">
        <v>24</v>
      </c>
      <c r="J57" s="46">
        <v>73504</v>
      </c>
      <c r="K57" s="32"/>
    </row>
    <row r="58" spans="1:11" ht="16.5" thickBot="1" x14ac:dyDescent="0.3">
      <c r="A58" s="43">
        <v>77</v>
      </c>
      <c r="B58" s="44" t="s">
        <v>365</v>
      </c>
      <c r="C58" s="44" t="s">
        <v>366</v>
      </c>
      <c r="D58" s="33">
        <v>33356283</v>
      </c>
      <c r="E58" s="35">
        <v>46048</v>
      </c>
      <c r="F58" s="35">
        <v>46048</v>
      </c>
      <c r="G58" s="44" t="s">
        <v>1192</v>
      </c>
      <c r="H58" s="34">
        <v>10019</v>
      </c>
      <c r="I58" s="44" t="s">
        <v>25</v>
      </c>
      <c r="J58" s="46">
        <v>98886</v>
      </c>
      <c r="K58" s="32"/>
    </row>
    <row r="59" spans="1:11" ht="16.5" thickBot="1" x14ac:dyDescent="0.3">
      <c r="A59" s="43">
        <v>78</v>
      </c>
      <c r="B59" s="44" t="s">
        <v>365</v>
      </c>
      <c r="C59" s="44" t="s">
        <v>366</v>
      </c>
      <c r="D59" s="33"/>
      <c r="E59" s="35"/>
      <c r="F59" s="35"/>
      <c r="G59" s="44"/>
      <c r="H59" s="34"/>
      <c r="I59" s="44"/>
      <c r="J59" s="46"/>
      <c r="K59" s="32"/>
    </row>
    <row r="60" spans="1:11" ht="16.5" thickBot="1" x14ac:dyDescent="0.3">
      <c r="A60" s="43">
        <v>79</v>
      </c>
      <c r="B60" s="44" t="s">
        <v>365</v>
      </c>
      <c r="C60" s="44" t="s">
        <v>366</v>
      </c>
      <c r="D60" s="33"/>
      <c r="E60" s="35"/>
      <c r="F60" s="35"/>
      <c r="G60" s="44"/>
      <c r="H60" s="34"/>
      <c r="I60" s="44"/>
      <c r="J60" s="46"/>
      <c r="K60" s="32"/>
    </row>
    <row r="61" spans="1:11" ht="16.5" thickBot="1" x14ac:dyDescent="0.3">
      <c r="A61" s="43">
        <v>80</v>
      </c>
      <c r="B61" s="44" t="s">
        <v>365</v>
      </c>
      <c r="C61" s="44" t="s">
        <v>366</v>
      </c>
      <c r="D61" s="33"/>
      <c r="E61" s="35"/>
      <c r="F61" s="35"/>
      <c r="G61" s="44"/>
      <c r="H61" s="34"/>
      <c r="I61" s="44"/>
      <c r="J61" s="46"/>
      <c r="K61" s="32"/>
    </row>
    <row r="62" spans="1:11" ht="16.5" thickBot="1" x14ac:dyDescent="0.3">
      <c r="A62" s="43">
        <v>81</v>
      </c>
      <c r="B62" s="44" t="s">
        <v>365</v>
      </c>
      <c r="C62" s="44" t="s">
        <v>366</v>
      </c>
      <c r="D62" s="33"/>
      <c r="E62" s="35"/>
      <c r="F62" s="35"/>
      <c r="G62" s="44"/>
      <c r="H62" s="34"/>
      <c r="I62" s="44"/>
      <c r="J62" s="46"/>
      <c r="K62" s="32"/>
    </row>
    <row r="63" spans="1:11" ht="16.5" thickBot="1" x14ac:dyDescent="0.3">
      <c r="A63" s="43">
        <v>82</v>
      </c>
      <c r="B63" s="44" t="s">
        <v>365</v>
      </c>
      <c r="C63" s="44" t="s">
        <v>366</v>
      </c>
      <c r="D63" s="33"/>
      <c r="E63" s="35"/>
      <c r="F63" s="35"/>
      <c r="G63" s="44"/>
      <c r="H63" s="34"/>
      <c r="I63" s="44"/>
      <c r="J63" s="46"/>
      <c r="K63" s="32"/>
    </row>
    <row r="64" spans="1:11" ht="16.5" thickBot="1" x14ac:dyDescent="0.3">
      <c r="A64" s="43">
        <v>83</v>
      </c>
      <c r="B64" s="44" t="s">
        <v>365</v>
      </c>
      <c r="C64" s="44" t="s">
        <v>366</v>
      </c>
      <c r="D64" s="33"/>
      <c r="E64" s="35"/>
      <c r="F64" s="35"/>
      <c r="G64" s="44"/>
      <c r="H64" s="34"/>
      <c r="I64" s="44"/>
      <c r="J64" s="46"/>
      <c r="K64" s="32"/>
    </row>
    <row r="65" spans="1:11" ht="16.5" thickBot="1" x14ac:dyDescent="0.3">
      <c r="A65" s="43">
        <v>84</v>
      </c>
      <c r="B65" s="44" t="s">
        <v>365</v>
      </c>
      <c r="C65" s="44" t="s">
        <v>366</v>
      </c>
      <c r="D65" s="33"/>
      <c r="E65" s="35"/>
      <c r="F65" s="35"/>
      <c r="G65" s="44"/>
      <c r="H65" s="34"/>
      <c r="I65" s="44"/>
      <c r="J65" s="46"/>
      <c r="K65" s="32"/>
    </row>
    <row r="66" spans="1:11" ht="16.5" thickBot="1" x14ac:dyDescent="0.3">
      <c r="A66" s="43"/>
      <c r="B66" s="44"/>
      <c r="C66" s="44"/>
      <c r="D66" s="33"/>
      <c r="E66" s="35"/>
      <c r="F66" s="35"/>
      <c r="G66" s="44"/>
      <c r="H66" s="34"/>
      <c r="I66" s="44"/>
      <c r="J66" s="46"/>
      <c r="K66" s="32"/>
    </row>
    <row r="67" spans="1:11" ht="16.5" thickBot="1" x14ac:dyDescent="0.3">
      <c r="A67" s="43"/>
      <c r="B67" s="44"/>
      <c r="C67" s="44"/>
      <c r="D67" s="33"/>
      <c r="E67" s="35"/>
      <c r="F67" s="35"/>
      <c r="G67" s="44"/>
      <c r="H67" s="34"/>
      <c r="I67" s="34"/>
      <c r="J67" s="46"/>
      <c r="K67" s="32"/>
    </row>
    <row r="68" spans="1:11" ht="16.5" thickBot="1" x14ac:dyDescent="0.3">
      <c r="A68" s="43"/>
      <c r="B68" s="44"/>
      <c r="C68" s="44"/>
      <c r="D68" s="33"/>
      <c r="E68" s="35"/>
      <c r="F68" s="35"/>
      <c r="G68" s="44"/>
      <c r="H68" s="34"/>
      <c r="I68" s="44"/>
      <c r="J68" s="46"/>
      <c r="K68" s="32"/>
    </row>
    <row r="69" spans="1:11" ht="16.5" thickBot="1" x14ac:dyDescent="0.3">
      <c r="A69" s="43"/>
      <c r="B69" s="44"/>
      <c r="C69" s="44"/>
      <c r="D69" s="33"/>
      <c r="E69" s="35"/>
      <c r="F69" s="35"/>
      <c r="G69" s="44"/>
      <c r="H69" s="34"/>
      <c r="I69" s="34"/>
      <c r="J69" s="46"/>
      <c r="K69" s="32"/>
    </row>
    <row r="70" spans="1:11" ht="16.5" thickBot="1" x14ac:dyDescent="0.3">
      <c r="A70" s="43"/>
      <c r="B70" s="44"/>
      <c r="C70" s="44"/>
      <c r="D70" s="33"/>
      <c r="E70" s="35"/>
      <c r="F70" s="35"/>
      <c r="G70" s="34"/>
      <c r="H70" s="34"/>
      <c r="I70" s="34"/>
      <c r="J70" s="46"/>
      <c r="K70" s="32"/>
    </row>
    <row r="71" spans="1:11" ht="16.5" thickBot="1" x14ac:dyDescent="0.3">
      <c r="A71" s="43"/>
      <c r="B71" s="44"/>
      <c r="C71" s="44"/>
      <c r="D71" s="33"/>
      <c r="E71" s="35"/>
      <c r="F71" s="35"/>
      <c r="G71" s="34"/>
      <c r="H71" s="34"/>
      <c r="I71" s="34"/>
      <c r="J71" s="46"/>
      <c r="K71" s="32"/>
    </row>
    <row r="72" spans="1:11" ht="16.5" thickBot="1" x14ac:dyDescent="0.3">
      <c r="A72" s="43"/>
      <c r="B72" s="44"/>
      <c r="C72" s="44"/>
      <c r="D72" s="33"/>
      <c r="E72" s="35"/>
      <c r="F72" s="35"/>
      <c r="G72" s="34"/>
      <c r="H72" s="34"/>
      <c r="I72" s="34"/>
      <c r="J72" s="46"/>
      <c r="K72" s="32"/>
    </row>
    <row r="73" spans="1:11" ht="16.5" thickBot="1" x14ac:dyDescent="0.3">
      <c r="A73" s="43"/>
      <c r="B73" s="44"/>
      <c r="C73" s="44"/>
      <c r="D73" s="33"/>
      <c r="E73" s="35"/>
      <c r="F73" s="35"/>
      <c r="G73" s="34"/>
      <c r="H73" s="34"/>
      <c r="I73" s="34"/>
      <c r="J73" s="46"/>
      <c r="K73" s="32"/>
    </row>
    <row r="74" spans="1:11" ht="16.5" thickBot="1" x14ac:dyDescent="0.3">
      <c r="A74" s="43"/>
      <c r="B74" s="44"/>
      <c r="C74" s="44"/>
      <c r="D74" s="33"/>
      <c r="E74" s="35"/>
      <c r="F74" s="35"/>
      <c r="G74" s="34"/>
      <c r="H74" s="34"/>
      <c r="I74" s="34"/>
      <c r="J74" s="46"/>
      <c r="K74" s="32"/>
    </row>
    <row r="75" spans="1:11" ht="16.5" thickBot="1" x14ac:dyDescent="0.3">
      <c r="A75" s="43"/>
      <c r="B75" s="44"/>
      <c r="C75" s="44"/>
      <c r="D75" s="33"/>
      <c r="E75" s="35"/>
      <c r="F75" s="35"/>
      <c r="G75" s="34"/>
      <c r="H75" s="34"/>
      <c r="I75" s="34"/>
      <c r="J75" s="46"/>
      <c r="K75" s="32"/>
    </row>
    <row r="76" spans="1:11" ht="16.5" thickBot="1" x14ac:dyDescent="0.3">
      <c r="A76" s="43"/>
      <c r="B76" s="44"/>
      <c r="C76" s="44"/>
      <c r="D76" s="33"/>
      <c r="E76" s="35"/>
      <c r="F76" s="35"/>
      <c r="G76" s="34"/>
      <c r="H76" s="34"/>
      <c r="I76" s="34"/>
      <c r="J76" s="46"/>
      <c r="K76" s="32"/>
    </row>
    <row r="77" spans="1:11" ht="16.5" thickBot="1" x14ac:dyDescent="0.3">
      <c r="A77" s="43"/>
      <c r="B77" s="44"/>
      <c r="C77" s="44"/>
      <c r="D77" s="33"/>
      <c r="E77" s="35"/>
      <c r="F77" s="35"/>
      <c r="G77" s="44"/>
      <c r="H77" s="34"/>
      <c r="I77" s="44"/>
      <c r="J77" s="46"/>
      <c r="K77" s="32"/>
    </row>
    <row r="78" spans="1:11" ht="16.5" thickBot="1" x14ac:dyDescent="0.3">
      <c r="A78" s="43"/>
      <c r="B78" s="44"/>
      <c r="C78" s="44"/>
      <c r="D78" s="33"/>
      <c r="E78" s="35"/>
      <c r="F78" s="35"/>
      <c r="G78" s="34"/>
      <c r="H78" s="34"/>
      <c r="I78" s="34"/>
      <c r="J78" s="46"/>
      <c r="K78" s="32"/>
    </row>
    <row r="79" spans="1:11" ht="16.5" thickBot="1" x14ac:dyDescent="0.3">
      <c r="A79" s="43"/>
      <c r="B79" s="44"/>
      <c r="C79" s="44"/>
      <c r="D79" s="33"/>
      <c r="E79" s="35"/>
      <c r="F79" s="35"/>
      <c r="G79" s="44"/>
      <c r="H79" s="34"/>
      <c r="I79" s="44"/>
      <c r="J79" s="46"/>
      <c r="K79" s="32"/>
    </row>
    <row r="80" spans="1:11" ht="16.5" thickBot="1" x14ac:dyDescent="0.3">
      <c r="A80" s="43"/>
      <c r="B80" s="44"/>
      <c r="C80" s="44"/>
      <c r="D80" s="33"/>
      <c r="E80" s="35"/>
      <c r="F80" s="35"/>
      <c r="G80" s="44"/>
      <c r="H80" s="34"/>
      <c r="I80" s="44"/>
      <c r="J80" s="46"/>
      <c r="K80" s="32"/>
    </row>
    <row r="81" spans="1:11" ht="16.5" thickBot="1" x14ac:dyDescent="0.3">
      <c r="A81" s="43"/>
      <c r="B81" s="44"/>
      <c r="C81" s="44"/>
      <c r="D81" s="33"/>
      <c r="E81" s="35"/>
      <c r="F81" s="35"/>
      <c r="G81" s="44"/>
      <c r="H81" s="34"/>
      <c r="I81" s="44"/>
      <c r="J81" s="46"/>
      <c r="K81" s="32"/>
    </row>
    <row r="82" spans="1:11" ht="16.5" thickBot="1" x14ac:dyDescent="0.3">
      <c r="A82" s="43"/>
      <c r="B82" s="44"/>
      <c r="C82" s="44"/>
      <c r="D82" s="33"/>
      <c r="E82" s="35"/>
      <c r="F82" s="33"/>
      <c r="G82" s="44"/>
      <c r="H82" s="34"/>
      <c r="I82" s="44"/>
      <c r="J82" s="46"/>
      <c r="K82" s="32"/>
    </row>
    <row r="83" spans="1:11" ht="16.5" thickBot="1" x14ac:dyDescent="0.3">
      <c r="A83" s="43"/>
      <c r="B83" s="44"/>
      <c r="C83" s="44"/>
      <c r="D83" s="33"/>
      <c r="E83" s="35"/>
      <c r="F83" s="35"/>
      <c r="G83" s="34"/>
      <c r="H83" s="34"/>
      <c r="I83" s="44"/>
      <c r="J83" s="46"/>
      <c r="K83" s="32"/>
    </row>
    <row r="84" spans="1:11" ht="16.5" thickBot="1" x14ac:dyDescent="0.3">
      <c r="A84" s="43"/>
      <c r="B84" s="44"/>
      <c r="C84" s="44"/>
      <c r="D84" s="33"/>
      <c r="E84" s="35"/>
      <c r="F84" s="35"/>
      <c r="G84" s="34"/>
      <c r="H84" s="34"/>
      <c r="I84" s="44"/>
      <c r="J84" s="46"/>
      <c r="K84" s="32"/>
    </row>
    <row r="85" spans="1:11" ht="16.5" thickBot="1" x14ac:dyDescent="0.3">
      <c r="A85" s="43"/>
      <c r="B85" s="44"/>
      <c r="C85" s="44"/>
      <c r="D85" s="33"/>
      <c r="E85" s="35"/>
      <c r="F85" s="35"/>
      <c r="G85" s="34"/>
      <c r="H85" s="34"/>
      <c r="I85" s="44"/>
      <c r="J85" s="46"/>
      <c r="K85" s="32"/>
    </row>
    <row r="86" spans="1:11" ht="16.5" thickBot="1" x14ac:dyDescent="0.3">
      <c r="A86" s="43"/>
      <c r="B86" s="44"/>
      <c r="C86" s="44"/>
      <c r="D86" s="33"/>
      <c r="E86" s="35"/>
      <c r="F86" s="35"/>
      <c r="G86" s="34"/>
      <c r="H86" s="34"/>
      <c r="I86" s="44"/>
      <c r="J86" s="46"/>
      <c r="K86" s="32"/>
    </row>
    <row r="87" spans="1:11" ht="16.5" thickBot="1" x14ac:dyDescent="0.3">
      <c r="A87" s="43"/>
      <c r="B87" s="44"/>
      <c r="C87" s="44"/>
      <c r="D87" s="33"/>
      <c r="E87" s="35"/>
      <c r="F87" s="35"/>
      <c r="G87" s="34"/>
      <c r="H87" s="34"/>
      <c r="I87" s="44"/>
      <c r="J87" s="46"/>
      <c r="K87" s="32"/>
    </row>
    <row r="88" spans="1:11" ht="16.5" thickBot="1" x14ac:dyDescent="0.3">
      <c r="A88" s="43"/>
      <c r="B88" s="44"/>
      <c r="C88" s="44"/>
      <c r="D88" s="33"/>
      <c r="E88" s="35"/>
      <c r="F88" s="35"/>
      <c r="G88" s="34"/>
      <c r="H88" s="34"/>
      <c r="I88" s="44"/>
      <c r="J88" s="46"/>
      <c r="K88" s="32"/>
    </row>
    <row r="89" spans="1:11" ht="16.5" thickBot="1" x14ac:dyDescent="0.3">
      <c r="A89" s="43"/>
      <c r="B89" s="44"/>
      <c r="C89" s="44"/>
      <c r="D89" s="33"/>
      <c r="E89" s="35"/>
      <c r="F89" s="35"/>
      <c r="G89" s="34"/>
      <c r="H89" s="34"/>
      <c r="I89" s="44"/>
      <c r="J89" s="46"/>
      <c r="K89" s="32"/>
    </row>
    <row r="90" spans="1:11" ht="16.5" thickBot="1" x14ac:dyDescent="0.3">
      <c r="A90" s="43"/>
      <c r="B90" s="44"/>
      <c r="C90" s="44"/>
      <c r="D90" s="33"/>
      <c r="E90" s="35"/>
      <c r="F90" s="33"/>
      <c r="G90" s="34"/>
      <c r="H90" s="34"/>
      <c r="I90" s="44"/>
      <c r="J90" s="46"/>
      <c r="K90" s="32"/>
    </row>
    <row r="91" spans="1:11" ht="16.5" thickBot="1" x14ac:dyDescent="0.3">
      <c r="A91" s="43"/>
      <c r="B91" s="44"/>
      <c r="C91" s="44"/>
      <c r="D91" s="33"/>
      <c r="E91" s="35"/>
      <c r="F91" s="33"/>
      <c r="G91" s="34"/>
      <c r="H91" s="34"/>
      <c r="I91" s="44"/>
      <c r="J91" s="46"/>
      <c r="K91" s="32"/>
    </row>
    <row r="92" spans="1:11" ht="16.5" thickBot="1" x14ac:dyDescent="0.3">
      <c r="A92" s="43"/>
      <c r="B92" s="44"/>
      <c r="C92" s="44"/>
      <c r="D92" s="33"/>
      <c r="E92" s="35"/>
      <c r="F92" s="33"/>
      <c r="G92" s="34"/>
      <c r="H92" s="34"/>
      <c r="I92" s="44"/>
      <c r="J92" s="46"/>
      <c r="K92" s="32"/>
    </row>
  </sheetData>
  <autoFilter ref="A1:K65" xr:uid="{00000000-0009-0000-0000-00000A000000}"/>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75"/>
  <sheetViews>
    <sheetView tabSelected="1" topLeftCell="A40" workbookViewId="0">
      <selection activeCell="A61" sqref="A61"/>
    </sheetView>
  </sheetViews>
  <sheetFormatPr defaultRowHeight="15" x14ac:dyDescent="0.25"/>
  <cols>
    <col min="1" max="1" width="5.85546875" bestFit="1" customWidth="1"/>
    <col min="2" max="2" width="39.28515625" bestFit="1" customWidth="1"/>
    <col min="3" max="3" width="6.28515625" bestFit="1" customWidth="1"/>
    <col min="4" max="4" width="13.140625" bestFit="1" customWidth="1"/>
    <col min="5" max="5" width="18.140625" bestFit="1" customWidth="1"/>
    <col min="6" max="6" width="14.5703125" bestFit="1" customWidth="1"/>
    <col min="7" max="7" width="91.42578125" bestFit="1" customWidth="1"/>
    <col min="8" max="8" width="10.140625" bestFit="1" customWidth="1"/>
    <col min="9" max="9" width="34" customWidth="1"/>
    <col min="10" max="10" width="10.140625" bestFit="1" customWidth="1"/>
    <col min="11" max="11" width="37.85546875" customWidth="1"/>
  </cols>
  <sheetData>
    <row r="1" spans="1:11" ht="16.5" thickBot="1" x14ac:dyDescent="0.3">
      <c r="A1" s="27" t="s">
        <v>356</v>
      </c>
      <c r="B1" s="28" t="s">
        <v>357</v>
      </c>
      <c r="C1" s="28" t="s">
        <v>358</v>
      </c>
      <c r="D1" s="28" t="s">
        <v>359</v>
      </c>
      <c r="E1" s="28" t="s">
        <v>360</v>
      </c>
      <c r="F1" s="28" t="s">
        <v>361</v>
      </c>
      <c r="G1" s="28" t="s">
        <v>362</v>
      </c>
      <c r="H1" s="28" t="s">
        <v>349</v>
      </c>
      <c r="I1" s="28" t="s">
        <v>350</v>
      </c>
      <c r="J1" s="28" t="s">
        <v>1077</v>
      </c>
      <c r="K1" s="29" t="s">
        <v>364</v>
      </c>
    </row>
    <row r="2" spans="1:11" ht="16.5" thickBot="1" x14ac:dyDescent="0.3">
      <c r="A2" s="43">
        <v>1</v>
      </c>
      <c r="B2" s="44" t="s">
        <v>365</v>
      </c>
      <c r="C2" s="44" t="s">
        <v>366</v>
      </c>
      <c r="D2" s="94">
        <v>33274731</v>
      </c>
      <c r="E2" s="35">
        <v>46076</v>
      </c>
      <c r="F2" s="35">
        <v>45999</v>
      </c>
      <c r="G2" s="44" t="s">
        <v>1193</v>
      </c>
      <c r="H2" s="34">
        <v>10010</v>
      </c>
      <c r="I2" s="44" t="s">
        <v>1249</v>
      </c>
      <c r="J2" s="46">
        <v>1250</v>
      </c>
      <c r="K2" s="32" t="s">
        <v>1297</v>
      </c>
    </row>
    <row r="3" spans="1:11" ht="16.5" thickBot="1" x14ac:dyDescent="0.3">
      <c r="A3" s="43">
        <v>2</v>
      </c>
      <c r="B3" s="44" t="s">
        <v>365</v>
      </c>
      <c r="C3" s="44" t="s">
        <v>366</v>
      </c>
      <c r="D3" s="94">
        <v>33274724</v>
      </c>
      <c r="E3" s="35">
        <v>46076</v>
      </c>
      <c r="F3" s="35">
        <v>45999</v>
      </c>
      <c r="G3" s="44" t="s">
        <v>1194</v>
      </c>
      <c r="H3" s="34">
        <v>10655</v>
      </c>
      <c r="I3" s="44" t="s">
        <v>1250</v>
      </c>
      <c r="J3" s="46">
        <v>1000</v>
      </c>
      <c r="K3" s="32" t="s">
        <v>1298</v>
      </c>
    </row>
    <row r="4" spans="1:11" ht="16.5" thickBot="1" x14ac:dyDescent="0.3">
      <c r="A4" s="43">
        <v>3</v>
      </c>
      <c r="B4" s="44" t="s">
        <v>365</v>
      </c>
      <c r="C4" s="44" t="s">
        <v>366</v>
      </c>
      <c r="D4" s="94">
        <v>33274725</v>
      </c>
      <c r="E4" s="35">
        <v>46076</v>
      </c>
      <c r="F4" s="35">
        <v>45999</v>
      </c>
      <c r="G4" s="44" t="s">
        <v>1195</v>
      </c>
      <c r="H4" s="34">
        <v>10034</v>
      </c>
      <c r="I4" s="44" t="s">
        <v>1251</v>
      </c>
      <c r="J4" s="46">
        <v>1750</v>
      </c>
      <c r="K4" s="32" t="s">
        <v>1299</v>
      </c>
    </row>
    <row r="5" spans="1:11" ht="16.5" thickBot="1" x14ac:dyDescent="0.3">
      <c r="A5" s="43">
        <v>4</v>
      </c>
      <c r="B5" s="44" t="s">
        <v>365</v>
      </c>
      <c r="C5" s="44" t="s">
        <v>366</v>
      </c>
      <c r="D5" s="94">
        <v>33274726</v>
      </c>
      <c r="E5" s="35">
        <v>46076</v>
      </c>
      <c r="F5" s="35">
        <v>45999</v>
      </c>
      <c r="G5" s="44" t="s">
        <v>1196</v>
      </c>
      <c r="H5" s="34">
        <v>10571</v>
      </c>
      <c r="I5" s="44" t="s">
        <v>1252</v>
      </c>
      <c r="J5" s="46">
        <v>4750</v>
      </c>
      <c r="K5" s="32" t="s">
        <v>1300</v>
      </c>
    </row>
    <row r="6" spans="1:11" ht="16.5" thickBot="1" x14ac:dyDescent="0.3">
      <c r="A6" s="43">
        <v>5</v>
      </c>
      <c r="B6" s="44" t="s">
        <v>365</v>
      </c>
      <c r="C6" s="44" t="s">
        <v>366</v>
      </c>
      <c r="D6" s="94">
        <v>33274728</v>
      </c>
      <c r="E6" s="35">
        <v>46076</v>
      </c>
      <c r="F6" s="35">
        <v>45999</v>
      </c>
      <c r="G6" s="44" t="s">
        <v>1197</v>
      </c>
      <c r="H6" s="34">
        <v>10663</v>
      </c>
      <c r="I6" s="44" t="s">
        <v>1253</v>
      </c>
      <c r="J6" s="46">
        <v>6750</v>
      </c>
      <c r="K6" s="32" t="s">
        <v>1301</v>
      </c>
    </row>
    <row r="7" spans="1:11" ht="16.5" thickBot="1" x14ac:dyDescent="0.3">
      <c r="A7" s="43">
        <v>6</v>
      </c>
      <c r="B7" s="44" t="s">
        <v>365</v>
      </c>
      <c r="C7" s="44" t="s">
        <v>366</v>
      </c>
      <c r="D7" s="94">
        <v>33274729</v>
      </c>
      <c r="E7" s="35">
        <v>46076</v>
      </c>
      <c r="F7" s="35">
        <v>45999</v>
      </c>
      <c r="G7" s="44" t="s">
        <v>1198</v>
      </c>
      <c r="H7" s="34">
        <v>10169</v>
      </c>
      <c r="I7" s="44" t="s">
        <v>1254</v>
      </c>
      <c r="J7" s="46">
        <v>1250</v>
      </c>
      <c r="K7" s="32" t="s">
        <v>1302</v>
      </c>
    </row>
    <row r="8" spans="1:11" ht="16.5" thickBot="1" x14ac:dyDescent="0.3">
      <c r="A8" s="43">
        <v>7</v>
      </c>
      <c r="B8" s="44" t="s">
        <v>365</v>
      </c>
      <c r="C8" s="44" t="s">
        <v>366</v>
      </c>
      <c r="D8" s="94">
        <v>33274732</v>
      </c>
      <c r="E8" s="35">
        <v>46076</v>
      </c>
      <c r="F8" s="35">
        <v>45999</v>
      </c>
      <c r="G8" s="44" t="s">
        <v>1199</v>
      </c>
      <c r="H8" s="34">
        <v>10163</v>
      </c>
      <c r="I8" s="44" t="s">
        <v>1255</v>
      </c>
      <c r="J8" s="46">
        <v>1500</v>
      </c>
      <c r="K8" s="32" t="s">
        <v>1303</v>
      </c>
    </row>
    <row r="9" spans="1:11" ht="16.5" thickBot="1" x14ac:dyDescent="0.3">
      <c r="A9" s="43">
        <v>8</v>
      </c>
      <c r="B9" s="44" t="s">
        <v>365</v>
      </c>
      <c r="C9" s="44" t="s">
        <v>366</v>
      </c>
      <c r="D9" s="94">
        <v>33356164</v>
      </c>
      <c r="E9" s="35">
        <v>46076</v>
      </c>
      <c r="F9" s="35">
        <v>45669</v>
      </c>
      <c r="G9" s="44" t="s">
        <v>1195</v>
      </c>
      <c r="H9" s="34">
        <v>10034</v>
      </c>
      <c r="I9" s="44" t="s">
        <v>1251</v>
      </c>
      <c r="J9" s="46">
        <v>1250</v>
      </c>
      <c r="K9" s="32" t="s">
        <v>1304</v>
      </c>
    </row>
    <row r="10" spans="1:11" ht="16.5" thickBot="1" x14ac:dyDescent="0.3">
      <c r="A10" s="43">
        <v>9</v>
      </c>
      <c r="B10" s="44" t="s">
        <v>365</v>
      </c>
      <c r="C10" s="44" t="s">
        <v>366</v>
      </c>
      <c r="D10" s="94">
        <v>33356388</v>
      </c>
      <c r="E10" s="35">
        <v>46076</v>
      </c>
      <c r="F10" s="35">
        <v>46065</v>
      </c>
      <c r="G10" s="44" t="s">
        <v>1200</v>
      </c>
      <c r="H10" s="34">
        <v>10364</v>
      </c>
      <c r="I10" s="44" t="s">
        <v>1256</v>
      </c>
      <c r="J10" s="46">
        <v>5000</v>
      </c>
      <c r="K10" s="32" t="s">
        <v>23</v>
      </c>
    </row>
    <row r="11" spans="1:11" ht="16.5" thickBot="1" x14ac:dyDescent="0.3">
      <c r="A11" s="43">
        <v>10</v>
      </c>
      <c r="B11" s="44" t="s">
        <v>365</v>
      </c>
      <c r="C11" s="44" t="s">
        <v>366</v>
      </c>
      <c r="D11" s="94">
        <v>33356389</v>
      </c>
      <c r="E11" s="35">
        <v>46076</v>
      </c>
      <c r="F11" s="35">
        <v>46065</v>
      </c>
      <c r="G11" s="44" t="s">
        <v>1201</v>
      </c>
      <c r="H11" s="34">
        <v>10192</v>
      </c>
      <c r="I11" s="44" t="s">
        <v>1257</v>
      </c>
      <c r="J11" s="46">
        <v>5000</v>
      </c>
      <c r="K11" s="32" t="s">
        <v>23</v>
      </c>
    </row>
    <row r="12" spans="1:11" ht="16.5" thickBot="1" x14ac:dyDescent="0.3">
      <c r="A12" s="43">
        <v>11</v>
      </c>
      <c r="B12" s="44" t="s">
        <v>365</v>
      </c>
      <c r="C12" s="44" t="s">
        <v>366</v>
      </c>
      <c r="D12" s="94">
        <v>33356390</v>
      </c>
      <c r="E12" s="35">
        <v>46076</v>
      </c>
      <c r="F12" s="35">
        <v>46065</v>
      </c>
      <c r="G12" s="44" t="s">
        <v>1202</v>
      </c>
      <c r="H12" s="34">
        <v>10699</v>
      </c>
      <c r="I12" s="44" t="s">
        <v>1258</v>
      </c>
      <c r="J12" s="46">
        <v>4000</v>
      </c>
      <c r="K12" s="32" t="s">
        <v>23</v>
      </c>
    </row>
    <row r="13" spans="1:11" ht="16.5" thickBot="1" x14ac:dyDescent="0.3">
      <c r="A13" s="43">
        <v>12</v>
      </c>
      <c r="B13" s="44" t="s">
        <v>365</v>
      </c>
      <c r="C13" s="44" t="s">
        <v>366</v>
      </c>
      <c r="D13" s="94">
        <v>33356391</v>
      </c>
      <c r="E13" s="35">
        <v>46076</v>
      </c>
      <c r="F13" s="35">
        <v>46065</v>
      </c>
      <c r="G13" s="44" t="s">
        <v>1203</v>
      </c>
      <c r="H13" s="34">
        <v>10626</v>
      </c>
      <c r="I13" s="44" t="s">
        <v>1259</v>
      </c>
      <c r="J13" s="46">
        <v>3000</v>
      </c>
      <c r="K13" s="32" t="s">
        <v>23</v>
      </c>
    </row>
    <row r="14" spans="1:11" ht="16.5" thickBot="1" x14ac:dyDescent="0.3">
      <c r="A14" s="43">
        <v>13</v>
      </c>
      <c r="B14" s="44" t="s">
        <v>365</v>
      </c>
      <c r="C14" s="44" t="s">
        <v>366</v>
      </c>
      <c r="D14" s="94">
        <v>33356392</v>
      </c>
      <c r="E14" s="35">
        <v>46076</v>
      </c>
      <c r="F14" s="35">
        <v>46065</v>
      </c>
      <c r="G14" s="44" t="s">
        <v>1204</v>
      </c>
      <c r="H14" s="34">
        <v>10653</v>
      </c>
      <c r="I14" s="44" t="s">
        <v>1260</v>
      </c>
      <c r="J14" s="46">
        <v>2000</v>
      </c>
      <c r="K14" s="32" t="s">
        <v>23</v>
      </c>
    </row>
    <row r="15" spans="1:11" ht="16.5" thickBot="1" x14ac:dyDescent="0.3">
      <c r="A15" s="43">
        <v>14</v>
      </c>
      <c r="B15" s="44" t="s">
        <v>365</v>
      </c>
      <c r="C15" s="44" t="s">
        <v>366</v>
      </c>
      <c r="D15" s="94">
        <v>33356393</v>
      </c>
      <c r="E15" s="35">
        <v>46076</v>
      </c>
      <c r="F15" s="35">
        <v>46065</v>
      </c>
      <c r="G15" s="44" t="s">
        <v>1205</v>
      </c>
      <c r="H15" s="34">
        <v>10654</v>
      </c>
      <c r="I15" s="44" t="s">
        <v>1261</v>
      </c>
      <c r="J15" s="46">
        <v>1000</v>
      </c>
      <c r="K15" s="32" t="s">
        <v>23</v>
      </c>
    </row>
    <row r="16" spans="1:11" ht="16.5" thickBot="1" x14ac:dyDescent="0.3">
      <c r="A16" s="43">
        <v>32</v>
      </c>
      <c r="B16" s="44" t="s">
        <v>365</v>
      </c>
      <c r="C16" s="44" t="s">
        <v>366</v>
      </c>
      <c r="D16" s="94">
        <v>33434472</v>
      </c>
      <c r="E16" s="35">
        <v>46076</v>
      </c>
      <c r="F16" s="35">
        <v>46071</v>
      </c>
      <c r="G16" s="44" t="s">
        <v>1206</v>
      </c>
      <c r="H16" s="34">
        <v>10034</v>
      </c>
      <c r="I16" s="44" t="s">
        <v>1251</v>
      </c>
      <c r="J16" s="46">
        <v>1204</v>
      </c>
      <c r="K16" s="32" t="s">
        <v>1050</v>
      </c>
    </row>
    <row r="17" spans="1:11" ht="16.5" thickBot="1" x14ac:dyDescent="0.3">
      <c r="A17" s="43">
        <v>33</v>
      </c>
      <c r="B17" s="44" t="s">
        <v>365</v>
      </c>
      <c r="C17" s="44" t="s">
        <v>366</v>
      </c>
      <c r="D17" s="94">
        <v>33434473</v>
      </c>
      <c r="E17" s="35">
        <v>46076</v>
      </c>
      <c r="F17" s="35">
        <v>46071</v>
      </c>
      <c r="G17" s="44" t="s">
        <v>1207</v>
      </c>
      <c r="H17" s="34">
        <v>10527</v>
      </c>
      <c r="I17" s="44" t="s">
        <v>1262</v>
      </c>
      <c r="J17" s="46">
        <v>1239</v>
      </c>
      <c r="K17" s="32" t="s">
        <v>1050</v>
      </c>
    </row>
    <row r="18" spans="1:11" ht="16.5" thickBot="1" x14ac:dyDescent="0.3">
      <c r="A18" s="43">
        <v>34</v>
      </c>
      <c r="B18" s="44" t="s">
        <v>365</v>
      </c>
      <c r="C18" s="44" t="s">
        <v>366</v>
      </c>
      <c r="D18" s="94">
        <v>33434474</v>
      </c>
      <c r="E18" s="35">
        <v>46076</v>
      </c>
      <c r="F18" s="35">
        <v>46071</v>
      </c>
      <c r="G18" s="44" t="s">
        <v>1208</v>
      </c>
      <c r="H18" s="34">
        <v>10019</v>
      </c>
      <c r="I18" s="44" t="s">
        <v>1263</v>
      </c>
      <c r="J18" s="46">
        <v>1286</v>
      </c>
      <c r="K18" s="32" t="s">
        <v>1050</v>
      </c>
    </row>
    <row r="19" spans="1:11" ht="16.5" thickBot="1" x14ac:dyDescent="0.3">
      <c r="A19" s="43">
        <v>35</v>
      </c>
      <c r="B19" s="44" t="s">
        <v>365</v>
      </c>
      <c r="C19" s="44" t="s">
        <v>366</v>
      </c>
      <c r="D19" s="94">
        <v>33434475</v>
      </c>
      <c r="E19" s="35">
        <v>46076</v>
      </c>
      <c r="F19" s="35">
        <v>46071</v>
      </c>
      <c r="G19" s="44" t="s">
        <v>1209</v>
      </c>
      <c r="H19" s="34">
        <v>10419</v>
      </c>
      <c r="I19" s="44" t="s">
        <v>1264</v>
      </c>
      <c r="J19" s="46">
        <v>1286</v>
      </c>
      <c r="K19" s="32" t="s">
        <v>1050</v>
      </c>
    </row>
    <row r="20" spans="1:11" ht="16.5" thickBot="1" x14ac:dyDescent="0.3">
      <c r="A20" s="43">
        <v>36</v>
      </c>
      <c r="B20" s="44" t="s">
        <v>365</v>
      </c>
      <c r="C20" s="44" t="s">
        <v>366</v>
      </c>
      <c r="D20" s="94">
        <v>33434476</v>
      </c>
      <c r="E20" s="35">
        <v>46076</v>
      </c>
      <c r="F20" s="35">
        <v>46071</v>
      </c>
      <c r="G20" s="44" t="s">
        <v>1210</v>
      </c>
      <c r="H20" s="34">
        <v>10031</v>
      </c>
      <c r="I20" s="44" t="s">
        <v>1265</v>
      </c>
      <c r="J20" s="46">
        <v>1416</v>
      </c>
      <c r="K20" s="32" t="s">
        <v>1050</v>
      </c>
    </row>
    <row r="21" spans="1:11" ht="16.5" thickBot="1" x14ac:dyDescent="0.3">
      <c r="A21" s="43">
        <v>37</v>
      </c>
      <c r="B21" s="44" t="s">
        <v>365</v>
      </c>
      <c r="C21" s="44" t="s">
        <v>366</v>
      </c>
      <c r="D21" s="94">
        <v>33434477</v>
      </c>
      <c r="E21" s="35">
        <v>46076</v>
      </c>
      <c r="F21" s="35">
        <v>46071</v>
      </c>
      <c r="G21" s="44" t="s">
        <v>1211</v>
      </c>
      <c r="H21" s="34">
        <v>10063</v>
      </c>
      <c r="I21" s="44" t="s">
        <v>1266</v>
      </c>
      <c r="J21" s="46">
        <v>1900</v>
      </c>
      <c r="K21" s="32" t="s">
        <v>1050</v>
      </c>
    </row>
    <row r="22" spans="1:11" ht="16.5" thickBot="1" x14ac:dyDescent="0.3">
      <c r="A22" s="43">
        <v>38</v>
      </c>
      <c r="B22" s="44" t="s">
        <v>365</v>
      </c>
      <c r="C22" s="44" t="s">
        <v>366</v>
      </c>
      <c r="D22" s="94">
        <v>33434478</v>
      </c>
      <c r="E22" s="35">
        <v>46076</v>
      </c>
      <c r="F22" s="35">
        <v>46071</v>
      </c>
      <c r="G22" s="44" t="s">
        <v>1212</v>
      </c>
      <c r="H22" s="34">
        <v>10290</v>
      </c>
      <c r="I22" s="44" t="s">
        <v>1267</v>
      </c>
      <c r="J22" s="46">
        <v>1900</v>
      </c>
      <c r="K22" s="32" t="s">
        <v>1050</v>
      </c>
    </row>
    <row r="23" spans="1:11" ht="16.5" thickBot="1" x14ac:dyDescent="0.3">
      <c r="A23" s="43">
        <v>39</v>
      </c>
      <c r="B23" s="44" t="s">
        <v>365</v>
      </c>
      <c r="C23" s="44" t="s">
        <v>366</v>
      </c>
      <c r="D23" s="94">
        <v>33434479</v>
      </c>
      <c r="E23" s="35">
        <v>46076</v>
      </c>
      <c r="F23" s="35">
        <v>46071</v>
      </c>
      <c r="G23" s="44" t="s">
        <v>1213</v>
      </c>
      <c r="H23" s="34">
        <v>10032</v>
      </c>
      <c r="I23" s="44" t="s">
        <v>1268</v>
      </c>
      <c r="J23" s="46">
        <v>2219</v>
      </c>
      <c r="K23" s="32" t="s">
        <v>1050</v>
      </c>
    </row>
    <row r="24" spans="1:11" ht="16.5" thickBot="1" x14ac:dyDescent="0.3">
      <c r="A24" s="43">
        <v>40</v>
      </c>
      <c r="B24" s="44" t="s">
        <v>365</v>
      </c>
      <c r="C24" s="44" t="s">
        <v>366</v>
      </c>
      <c r="D24" s="94">
        <v>33434480</v>
      </c>
      <c r="E24" s="35">
        <v>46076</v>
      </c>
      <c r="F24" s="35">
        <v>46071</v>
      </c>
      <c r="G24" s="44" t="s">
        <v>1214</v>
      </c>
      <c r="H24" s="34">
        <v>10391</v>
      </c>
      <c r="I24" s="44" t="s">
        <v>1269</v>
      </c>
      <c r="J24" s="46">
        <v>2679</v>
      </c>
      <c r="K24" s="32" t="s">
        <v>1050</v>
      </c>
    </row>
    <row r="25" spans="1:11" ht="16.5" thickBot="1" x14ac:dyDescent="0.3">
      <c r="A25" s="43">
        <v>41</v>
      </c>
      <c r="B25" s="44" t="s">
        <v>365</v>
      </c>
      <c r="C25" s="44" t="s">
        <v>366</v>
      </c>
      <c r="D25" s="94">
        <v>33434481</v>
      </c>
      <c r="E25" s="35">
        <v>46076</v>
      </c>
      <c r="F25" s="35">
        <v>46071</v>
      </c>
      <c r="G25" s="44" t="s">
        <v>1215</v>
      </c>
      <c r="H25" s="34">
        <v>10030</v>
      </c>
      <c r="I25" s="44" t="s">
        <v>1270</v>
      </c>
      <c r="J25" s="46">
        <v>3375</v>
      </c>
      <c r="K25" s="32" t="s">
        <v>1050</v>
      </c>
    </row>
    <row r="26" spans="1:11" ht="16.5" thickBot="1" x14ac:dyDescent="0.3">
      <c r="A26" s="43">
        <v>42</v>
      </c>
      <c r="B26" s="44" t="s">
        <v>365</v>
      </c>
      <c r="C26" s="44" t="s">
        <v>366</v>
      </c>
      <c r="D26" s="94">
        <v>33434484</v>
      </c>
      <c r="E26" s="35">
        <v>46076</v>
      </c>
      <c r="F26" s="35">
        <v>46072</v>
      </c>
      <c r="G26" s="44" t="s">
        <v>1216</v>
      </c>
      <c r="H26" s="34">
        <v>10704</v>
      </c>
      <c r="I26" s="44" t="s">
        <v>1271</v>
      </c>
      <c r="J26" s="46">
        <v>51634</v>
      </c>
      <c r="K26" s="32" t="s">
        <v>1051</v>
      </c>
    </row>
    <row r="27" spans="1:11" ht="16.5" thickBot="1" x14ac:dyDescent="0.3">
      <c r="A27" s="43">
        <v>43</v>
      </c>
      <c r="B27" s="44" t="s">
        <v>365</v>
      </c>
      <c r="C27" s="44" t="s">
        <v>366</v>
      </c>
      <c r="D27" s="94">
        <v>33434485</v>
      </c>
      <c r="E27" s="35">
        <v>46076</v>
      </c>
      <c r="F27" s="35">
        <v>46072</v>
      </c>
      <c r="G27" s="44" t="s">
        <v>1217</v>
      </c>
      <c r="H27" s="34">
        <v>10163</v>
      </c>
      <c r="I27" s="44" t="s">
        <v>1255</v>
      </c>
      <c r="J27" s="46">
        <v>26291</v>
      </c>
      <c r="K27" s="32" t="s">
        <v>1051</v>
      </c>
    </row>
    <row r="28" spans="1:11" ht="16.5" thickBot="1" x14ac:dyDescent="0.3">
      <c r="A28" s="43">
        <v>44</v>
      </c>
      <c r="B28" s="44" t="s">
        <v>365</v>
      </c>
      <c r="C28" s="44" t="s">
        <v>366</v>
      </c>
      <c r="D28" s="33">
        <v>33434486</v>
      </c>
      <c r="E28" s="35">
        <v>46076</v>
      </c>
      <c r="F28" s="35">
        <v>46072</v>
      </c>
      <c r="G28" s="44" t="s">
        <v>1218</v>
      </c>
      <c r="H28" s="34">
        <v>10602</v>
      </c>
      <c r="I28" s="44" t="s">
        <v>1272</v>
      </c>
      <c r="J28" s="46">
        <v>24845</v>
      </c>
      <c r="K28" s="32" t="s">
        <v>1051</v>
      </c>
    </row>
    <row r="29" spans="1:11" ht="16.5" thickBot="1" x14ac:dyDescent="0.3">
      <c r="A29" s="43">
        <v>45</v>
      </c>
      <c r="B29" s="44" t="s">
        <v>365</v>
      </c>
      <c r="C29" s="44" t="s">
        <v>366</v>
      </c>
      <c r="D29" s="33">
        <v>33434487</v>
      </c>
      <c r="E29" s="35">
        <v>46076</v>
      </c>
      <c r="F29" s="35">
        <v>46072</v>
      </c>
      <c r="G29" s="44" t="s">
        <v>1219</v>
      </c>
      <c r="H29" s="34">
        <v>10655</v>
      </c>
      <c r="I29" s="44" t="s">
        <v>1273</v>
      </c>
      <c r="J29" s="46">
        <v>24566</v>
      </c>
      <c r="K29" s="32" t="s">
        <v>1051</v>
      </c>
    </row>
    <row r="30" spans="1:11" ht="16.5" thickBot="1" x14ac:dyDescent="0.3">
      <c r="A30" s="43">
        <v>46</v>
      </c>
      <c r="B30" s="44" t="s">
        <v>365</v>
      </c>
      <c r="C30" s="44" t="s">
        <v>366</v>
      </c>
      <c r="D30" s="33">
        <v>33434488</v>
      </c>
      <c r="E30" s="35">
        <v>46076</v>
      </c>
      <c r="F30" s="35">
        <v>46072</v>
      </c>
      <c r="G30" s="44" t="s">
        <v>1220</v>
      </c>
      <c r="H30" s="34">
        <v>10567</v>
      </c>
      <c r="I30" s="44" t="s">
        <v>1274</v>
      </c>
      <c r="J30" s="46">
        <v>26841</v>
      </c>
      <c r="K30" s="32" t="s">
        <v>1051</v>
      </c>
    </row>
    <row r="31" spans="1:11" ht="16.5" thickBot="1" x14ac:dyDescent="0.3">
      <c r="A31" s="43">
        <v>47</v>
      </c>
      <c r="B31" s="44" t="s">
        <v>365</v>
      </c>
      <c r="C31" s="44" t="s">
        <v>366</v>
      </c>
      <c r="D31" s="33">
        <v>33434489</v>
      </c>
      <c r="E31" s="35">
        <v>46076</v>
      </c>
      <c r="F31" s="35">
        <v>46072</v>
      </c>
      <c r="G31" s="44" t="s">
        <v>1221</v>
      </c>
      <c r="H31" s="34">
        <v>10498</v>
      </c>
      <c r="I31" s="44" t="s">
        <v>1275</v>
      </c>
      <c r="J31" s="46">
        <v>26049</v>
      </c>
      <c r="K31" s="32" t="s">
        <v>1051</v>
      </c>
    </row>
    <row r="32" spans="1:11" ht="16.5" thickBot="1" x14ac:dyDescent="0.3">
      <c r="A32" s="43">
        <v>48</v>
      </c>
      <c r="B32" s="44" t="s">
        <v>365</v>
      </c>
      <c r="C32" s="44" t="s">
        <v>366</v>
      </c>
      <c r="D32" s="33">
        <v>33434490</v>
      </c>
      <c r="E32" s="35">
        <v>46076</v>
      </c>
      <c r="F32" s="35">
        <v>46072</v>
      </c>
      <c r="G32" s="44" t="s">
        <v>1222</v>
      </c>
      <c r="H32" s="34">
        <v>10571</v>
      </c>
      <c r="I32" s="44" t="s">
        <v>1252</v>
      </c>
      <c r="J32" s="46">
        <v>25750</v>
      </c>
      <c r="K32" s="32" t="s">
        <v>1051</v>
      </c>
    </row>
    <row r="33" spans="1:11" ht="16.5" thickBot="1" x14ac:dyDescent="0.3">
      <c r="A33" s="43">
        <v>49</v>
      </c>
      <c r="B33" s="44" t="s">
        <v>365</v>
      </c>
      <c r="C33" s="44" t="s">
        <v>366</v>
      </c>
      <c r="D33" s="33">
        <v>33434491</v>
      </c>
      <c r="E33" s="35">
        <v>46076</v>
      </c>
      <c r="F33" s="35">
        <v>46072</v>
      </c>
      <c r="G33" s="44" t="s">
        <v>1223</v>
      </c>
      <c r="H33" s="34">
        <v>10365</v>
      </c>
      <c r="I33" s="44" t="s">
        <v>1276</v>
      </c>
      <c r="J33" s="46">
        <v>26329</v>
      </c>
      <c r="K33" s="32" t="s">
        <v>1051</v>
      </c>
    </row>
    <row r="34" spans="1:11" ht="16.5" thickBot="1" x14ac:dyDescent="0.3">
      <c r="A34" s="43">
        <v>50</v>
      </c>
      <c r="B34" s="44" t="s">
        <v>365</v>
      </c>
      <c r="C34" s="44" t="s">
        <v>366</v>
      </c>
      <c r="D34" s="33">
        <v>33434492</v>
      </c>
      <c r="E34" s="35">
        <v>46076</v>
      </c>
      <c r="F34" s="35">
        <v>46072</v>
      </c>
      <c r="G34" s="44" t="s">
        <v>1224</v>
      </c>
      <c r="H34" s="34">
        <v>10021</v>
      </c>
      <c r="I34" s="44" t="s">
        <v>1277</v>
      </c>
      <c r="J34" s="46">
        <v>87421</v>
      </c>
      <c r="K34" s="32" t="s">
        <v>1051</v>
      </c>
    </row>
    <row r="35" spans="1:11" ht="16.5" thickBot="1" x14ac:dyDescent="0.3">
      <c r="A35" s="43">
        <v>51</v>
      </c>
      <c r="B35" s="44" t="s">
        <v>365</v>
      </c>
      <c r="C35" s="44" t="s">
        <v>366</v>
      </c>
      <c r="D35" s="33">
        <v>33434493</v>
      </c>
      <c r="E35" s="35">
        <v>46076</v>
      </c>
      <c r="F35" s="35">
        <v>46072</v>
      </c>
      <c r="G35" s="44" t="s">
        <v>1225</v>
      </c>
      <c r="H35" s="34">
        <v>10465</v>
      </c>
      <c r="I35" s="44" t="s">
        <v>1278</v>
      </c>
      <c r="J35" s="46">
        <v>25796</v>
      </c>
      <c r="K35" s="32" t="s">
        <v>1051</v>
      </c>
    </row>
    <row r="36" spans="1:11" ht="16.5" thickBot="1" x14ac:dyDescent="0.3">
      <c r="A36" s="43">
        <v>52</v>
      </c>
      <c r="B36" s="44" t="s">
        <v>365</v>
      </c>
      <c r="C36" s="44" t="s">
        <v>366</v>
      </c>
      <c r="D36" s="33">
        <v>33434494</v>
      </c>
      <c r="E36" s="35">
        <v>46076</v>
      </c>
      <c r="F36" s="35">
        <v>46072</v>
      </c>
      <c r="G36" s="44" t="s">
        <v>1226</v>
      </c>
      <c r="H36" s="34">
        <v>10431</v>
      </c>
      <c r="I36" s="44" t="s">
        <v>1279</v>
      </c>
      <c r="J36" s="46">
        <v>52065</v>
      </c>
      <c r="K36" s="32" t="s">
        <v>1051</v>
      </c>
    </row>
    <row r="37" spans="1:11" ht="16.5" thickBot="1" x14ac:dyDescent="0.3">
      <c r="A37" s="43">
        <v>53</v>
      </c>
      <c r="B37" s="44" t="s">
        <v>365</v>
      </c>
      <c r="C37" s="44" t="s">
        <v>366</v>
      </c>
      <c r="D37" s="33">
        <v>33434495</v>
      </c>
      <c r="E37" s="35">
        <v>46076</v>
      </c>
      <c r="F37" s="35">
        <v>46072</v>
      </c>
      <c r="G37" s="44" t="s">
        <v>1227</v>
      </c>
      <c r="H37" s="34">
        <v>10326</v>
      </c>
      <c r="I37" s="44" t="s">
        <v>1280</v>
      </c>
      <c r="J37" s="46">
        <v>25571</v>
      </c>
      <c r="K37" s="32" t="s">
        <v>1051</v>
      </c>
    </row>
    <row r="38" spans="1:11" ht="16.5" thickBot="1" x14ac:dyDescent="0.3">
      <c r="A38" s="43">
        <v>54</v>
      </c>
      <c r="B38" s="44" t="s">
        <v>365</v>
      </c>
      <c r="C38" s="44" t="s">
        <v>366</v>
      </c>
      <c r="D38" s="33">
        <v>33434496</v>
      </c>
      <c r="E38" s="35">
        <v>46076</v>
      </c>
      <c r="F38" s="35">
        <v>46072</v>
      </c>
      <c r="G38" s="44" t="s">
        <v>1228</v>
      </c>
      <c r="H38" s="34">
        <v>10692</v>
      </c>
      <c r="I38" s="44" t="s">
        <v>1281</v>
      </c>
      <c r="J38" s="46">
        <v>131254</v>
      </c>
      <c r="K38" s="32" t="s">
        <v>1051</v>
      </c>
    </row>
    <row r="39" spans="1:11" ht="16.5" thickBot="1" x14ac:dyDescent="0.3">
      <c r="A39" s="43">
        <v>55</v>
      </c>
      <c r="B39" s="44" t="s">
        <v>365</v>
      </c>
      <c r="C39" s="44" t="s">
        <v>366</v>
      </c>
      <c r="D39" s="33">
        <v>33434497</v>
      </c>
      <c r="E39" s="35">
        <v>46076</v>
      </c>
      <c r="F39" s="35">
        <v>46072</v>
      </c>
      <c r="G39" s="44" t="s">
        <v>1229</v>
      </c>
      <c r="H39" s="34">
        <v>10407</v>
      </c>
      <c r="I39" s="44" t="s">
        <v>1282</v>
      </c>
      <c r="J39" s="46">
        <v>91976</v>
      </c>
      <c r="K39" s="32" t="s">
        <v>1051</v>
      </c>
    </row>
    <row r="40" spans="1:11" ht="16.5" thickBot="1" x14ac:dyDescent="0.3">
      <c r="A40" s="43">
        <v>56</v>
      </c>
      <c r="B40" s="44" t="s">
        <v>365</v>
      </c>
      <c r="C40" s="44" t="s">
        <v>366</v>
      </c>
      <c r="D40" s="33">
        <v>33434498</v>
      </c>
      <c r="E40" s="35">
        <v>46076</v>
      </c>
      <c r="F40" s="35">
        <v>46072</v>
      </c>
      <c r="G40" s="44" t="s">
        <v>1230</v>
      </c>
      <c r="H40" s="34">
        <v>10606</v>
      </c>
      <c r="I40" s="44" t="s">
        <v>1283</v>
      </c>
      <c r="J40" s="46">
        <v>58291</v>
      </c>
      <c r="K40" s="32" t="s">
        <v>1051</v>
      </c>
    </row>
    <row r="41" spans="1:11" ht="16.5" thickBot="1" x14ac:dyDescent="0.3">
      <c r="A41" s="43">
        <v>57</v>
      </c>
      <c r="B41" s="44" t="s">
        <v>365</v>
      </c>
      <c r="C41" s="44" t="s">
        <v>366</v>
      </c>
      <c r="D41" s="33">
        <v>33434499</v>
      </c>
      <c r="E41" s="35">
        <v>46076</v>
      </c>
      <c r="F41" s="35">
        <v>46072</v>
      </c>
      <c r="G41" s="44" t="s">
        <v>1231</v>
      </c>
      <c r="H41" s="34">
        <v>10678</v>
      </c>
      <c r="I41" s="44" t="s">
        <v>1284</v>
      </c>
      <c r="J41" s="46">
        <v>89991</v>
      </c>
      <c r="K41" s="32" t="s">
        <v>1051</v>
      </c>
    </row>
    <row r="42" spans="1:11" ht="16.5" thickBot="1" x14ac:dyDescent="0.3">
      <c r="A42" s="43">
        <v>58</v>
      </c>
      <c r="B42" s="44" t="s">
        <v>365</v>
      </c>
      <c r="C42" s="44" t="s">
        <v>366</v>
      </c>
      <c r="D42" s="33">
        <v>33434500</v>
      </c>
      <c r="E42" s="35">
        <v>46076</v>
      </c>
      <c r="F42" s="35">
        <v>46072</v>
      </c>
      <c r="G42" s="44" t="s">
        <v>1232</v>
      </c>
      <c r="H42" s="34">
        <v>10590</v>
      </c>
      <c r="I42" s="44" t="s">
        <v>1285</v>
      </c>
      <c r="J42" s="46">
        <v>24785</v>
      </c>
      <c r="K42" s="32" t="s">
        <v>1051</v>
      </c>
    </row>
    <row r="43" spans="1:11" ht="16.5" thickBot="1" x14ac:dyDescent="0.3">
      <c r="A43" s="43">
        <v>59</v>
      </c>
      <c r="B43" s="44" t="s">
        <v>365</v>
      </c>
      <c r="C43" s="44" t="s">
        <v>366</v>
      </c>
      <c r="D43" s="33">
        <v>33434501</v>
      </c>
      <c r="E43" s="35">
        <v>46076</v>
      </c>
      <c r="F43" s="35">
        <v>46072</v>
      </c>
      <c r="G43" s="44" t="s">
        <v>1233</v>
      </c>
      <c r="H43" s="34">
        <v>10684</v>
      </c>
      <c r="I43" s="44" t="s">
        <v>1286</v>
      </c>
      <c r="J43" s="46">
        <v>57163</v>
      </c>
      <c r="K43" s="32" t="s">
        <v>1051</v>
      </c>
    </row>
    <row r="44" spans="1:11" ht="16.5" thickBot="1" x14ac:dyDescent="0.3">
      <c r="A44" s="43">
        <v>60</v>
      </c>
      <c r="B44" s="44" t="s">
        <v>365</v>
      </c>
      <c r="C44" s="44" t="s">
        <v>366</v>
      </c>
      <c r="D44" s="33">
        <v>33434502</v>
      </c>
      <c r="E44" s="35">
        <v>46076</v>
      </c>
      <c r="F44" s="35">
        <v>46072</v>
      </c>
      <c r="G44" s="44" t="s">
        <v>1234</v>
      </c>
      <c r="H44" s="34">
        <v>10562</v>
      </c>
      <c r="I44" s="44" t="s">
        <v>1287</v>
      </c>
      <c r="J44" s="46">
        <v>27814</v>
      </c>
      <c r="K44" s="32" t="s">
        <v>1051</v>
      </c>
    </row>
    <row r="45" spans="1:11" ht="16.5" thickBot="1" x14ac:dyDescent="0.3">
      <c r="A45" s="43">
        <v>61</v>
      </c>
      <c r="B45" s="44" t="s">
        <v>365</v>
      </c>
      <c r="C45" s="44" t="s">
        <v>366</v>
      </c>
      <c r="D45" s="33">
        <v>33434503</v>
      </c>
      <c r="E45" s="35">
        <v>46076</v>
      </c>
      <c r="F45" s="35">
        <v>46072</v>
      </c>
      <c r="G45" s="44" t="s">
        <v>1235</v>
      </c>
      <c r="H45" s="34">
        <v>10199</v>
      </c>
      <c r="I45" s="44" t="s">
        <v>1288</v>
      </c>
      <c r="J45" s="46">
        <v>29278</v>
      </c>
      <c r="K45" s="32" t="s">
        <v>1051</v>
      </c>
    </row>
    <row r="46" spans="1:11" ht="16.5" thickBot="1" x14ac:dyDescent="0.3">
      <c r="A46" s="43">
        <v>62</v>
      </c>
      <c r="B46" s="44" t="s">
        <v>365</v>
      </c>
      <c r="C46" s="44" t="s">
        <v>366</v>
      </c>
      <c r="D46" s="33">
        <v>33434504</v>
      </c>
      <c r="E46" s="35">
        <v>46076</v>
      </c>
      <c r="F46" s="35">
        <v>46072</v>
      </c>
      <c r="G46" s="44" t="s">
        <v>1236</v>
      </c>
      <c r="H46" s="34">
        <v>10650</v>
      </c>
      <c r="I46" s="44" t="s">
        <v>1289</v>
      </c>
      <c r="J46" s="46">
        <v>23113</v>
      </c>
      <c r="K46" s="32" t="s">
        <v>1051</v>
      </c>
    </row>
    <row r="47" spans="1:11" ht="16.5" thickBot="1" x14ac:dyDescent="0.3">
      <c r="A47" s="43">
        <v>63</v>
      </c>
      <c r="B47" s="44" t="s">
        <v>365</v>
      </c>
      <c r="C47" s="44" t="s">
        <v>366</v>
      </c>
      <c r="D47" s="33">
        <v>33434505</v>
      </c>
      <c r="E47" s="35">
        <v>46076</v>
      </c>
      <c r="F47" s="35">
        <v>46072</v>
      </c>
      <c r="G47" s="44" t="s">
        <v>1237</v>
      </c>
      <c r="H47" s="34">
        <v>10015</v>
      </c>
      <c r="I47" s="44" t="s">
        <v>1290</v>
      </c>
      <c r="J47" s="46">
        <v>114069</v>
      </c>
      <c r="K47" s="32" t="s">
        <v>1051</v>
      </c>
    </row>
    <row r="48" spans="1:11" ht="16.5" thickBot="1" x14ac:dyDescent="0.3">
      <c r="A48" s="43">
        <v>64</v>
      </c>
      <c r="B48" s="44" t="s">
        <v>365</v>
      </c>
      <c r="C48" s="44" t="s">
        <v>366</v>
      </c>
      <c r="D48" s="33">
        <v>33434506</v>
      </c>
      <c r="E48" s="35">
        <v>46076</v>
      </c>
      <c r="F48" s="35">
        <v>46072</v>
      </c>
      <c r="G48" s="44" t="s">
        <v>1238</v>
      </c>
      <c r="H48" s="34">
        <v>10010</v>
      </c>
      <c r="I48" s="44" t="s">
        <v>1249</v>
      </c>
      <c r="J48" s="46">
        <v>34493</v>
      </c>
      <c r="K48" s="32" t="s">
        <v>1051</v>
      </c>
    </row>
    <row r="49" spans="1:11" ht="16.5" thickBot="1" x14ac:dyDescent="0.3">
      <c r="A49" s="43">
        <v>65</v>
      </c>
      <c r="B49" s="44" t="s">
        <v>365</v>
      </c>
      <c r="C49" s="44" t="s">
        <v>366</v>
      </c>
      <c r="D49" s="33">
        <v>33434508</v>
      </c>
      <c r="E49" s="35">
        <v>46076</v>
      </c>
      <c r="F49" s="35">
        <v>46072</v>
      </c>
      <c r="G49" s="44" t="s">
        <v>1239</v>
      </c>
      <c r="H49" s="34">
        <v>10587</v>
      </c>
      <c r="I49" s="44" t="s">
        <v>1291</v>
      </c>
      <c r="J49" s="46">
        <v>125700</v>
      </c>
      <c r="K49" s="32" t="s">
        <v>1046</v>
      </c>
    </row>
    <row r="50" spans="1:11" ht="16.5" thickBot="1" x14ac:dyDescent="0.3">
      <c r="A50" s="43">
        <v>66</v>
      </c>
      <c r="B50" s="44" t="s">
        <v>365</v>
      </c>
      <c r="C50" s="44" t="s">
        <v>366</v>
      </c>
      <c r="D50" s="33">
        <v>33434509</v>
      </c>
      <c r="E50" s="35">
        <v>46076</v>
      </c>
      <c r="F50" s="35">
        <v>46072</v>
      </c>
      <c r="G50" s="44" t="s">
        <v>1240</v>
      </c>
      <c r="H50" s="34">
        <v>10597</v>
      </c>
      <c r="I50" s="44" t="s">
        <v>1292</v>
      </c>
      <c r="J50" s="46">
        <v>17780</v>
      </c>
      <c r="K50" s="32" t="s">
        <v>1046</v>
      </c>
    </row>
    <row r="51" spans="1:11" ht="16.5" thickBot="1" x14ac:dyDescent="0.3">
      <c r="A51" s="43">
        <v>67</v>
      </c>
      <c r="B51" s="44" t="s">
        <v>365</v>
      </c>
      <c r="C51" s="44" t="s">
        <v>366</v>
      </c>
      <c r="D51" s="33">
        <v>33434510</v>
      </c>
      <c r="E51" s="35">
        <v>46076</v>
      </c>
      <c r="F51" s="35">
        <v>46072</v>
      </c>
      <c r="G51" s="44" t="s">
        <v>1241</v>
      </c>
      <c r="H51" s="34">
        <v>10605</v>
      </c>
      <c r="I51" s="44" t="s">
        <v>1293</v>
      </c>
      <c r="J51" s="46">
        <v>36900</v>
      </c>
      <c r="K51" s="32" t="s">
        <v>1046</v>
      </c>
    </row>
    <row r="52" spans="1:11" ht="16.5" thickBot="1" x14ac:dyDescent="0.3">
      <c r="A52" s="43">
        <v>68</v>
      </c>
      <c r="B52" s="44" t="s">
        <v>365</v>
      </c>
      <c r="C52" s="44" t="s">
        <v>366</v>
      </c>
      <c r="D52" s="33">
        <v>33434511</v>
      </c>
      <c r="E52" s="35">
        <v>46076</v>
      </c>
      <c r="F52" s="35">
        <v>46072</v>
      </c>
      <c r="G52" s="44" t="s">
        <v>1242</v>
      </c>
      <c r="H52" s="34">
        <v>10505</v>
      </c>
      <c r="I52" s="44" t="s">
        <v>1294</v>
      </c>
      <c r="J52" s="46">
        <v>77700</v>
      </c>
      <c r="K52" s="32" t="s">
        <v>1046</v>
      </c>
    </row>
    <row r="53" spans="1:11" ht="16.5" thickBot="1" x14ac:dyDescent="0.3">
      <c r="A53" s="43">
        <v>69</v>
      </c>
      <c r="B53" s="44" t="s">
        <v>365</v>
      </c>
      <c r="C53" s="44" t="s">
        <v>366</v>
      </c>
      <c r="D53" s="33">
        <v>33434512</v>
      </c>
      <c r="E53" s="35">
        <v>46076</v>
      </c>
      <c r="F53" s="35">
        <v>46072</v>
      </c>
      <c r="G53" s="44" t="s">
        <v>1243</v>
      </c>
      <c r="H53" s="34">
        <v>10419</v>
      </c>
      <c r="I53" s="44" t="s">
        <v>1264</v>
      </c>
      <c r="J53" s="46">
        <v>116750</v>
      </c>
      <c r="K53" s="32" t="s">
        <v>1046</v>
      </c>
    </row>
    <row r="54" spans="1:11" ht="16.5" thickBot="1" x14ac:dyDescent="0.3">
      <c r="A54" s="43">
        <v>70</v>
      </c>
      <c r="B54" s="44" t="s">
        <v>365</v>
      </c>
      <c r="C54" s="44" t="s">
        <v>366</v>
      </c>
      <c r="D54" s="33">
        <v>33434513</v>
      </c>
      <c r="E54" s="35">
        <v>46076</v>
      </c>
      <c r="F54" s="35">
        <v>46072</v>
      </c>
      <c r="G54" s="44" t="s">
        <v>1244</v>
      </c>
      <c r="H54" s="34">
        <v>10573</v>
      </c>
      <c r="I54" s="44" t="s">
        <v>1295</v>
      </c>
      <c r="J54" s="46">
        <v>29700</v>
      </c>
      <c r="K54" s="32" t="s">
        <v>1046</v>
      </c>
    </row>
    <row r="55" spans="1:11" ht="16.5" thickBot="1" x14ac:dyDescent="0.3">
      <c r="A55" s="43">
        <v>71</v>
      </c>
      <c r="B55" s="44" t="s">
        <v>365</v>
      </c>
      <c r="C55" s="44" t="s">
        <v>366</v>
      </c>
      <c r="D55" s="33">
        <v>33434514</v>
      </c>
      <c r="E55" s="35">
        <v>46076</v>
      </c>
      <c r="F55" s="35">
        <v>46072</v>
      </c>
      <c r="G55" s="44" t="s">
        <v>1245</v>
      </c>
      <c r="H55" s="34">
        <v>10419</v>
      </c>
      <c r="I55" s="44" t="s">
        <v>1264</v>
      </c>
      <c r="J55" s="46">
        <v>40453</v>
      </c>
      <c r="K55" s="32" t="s">
        <v>1046</v>
      </c>
    </row>
    <row r="56" spans="1:11" ht="16.5" thickBot="1" x14ac:dyDescent="0.3">
      <c r="A56" s="43">
        <v>72</v>
      </c>
      <c r="B56" s="44" t="s">
        <v>365</v>
      </c>
      <c r="C56" s="44" t="s">
        <v>366</v>
      </c>
      <c r="D56" s="33">
        <v>33434515</v>
      </c>
      <c r="E56" s="35">
        <v>46076</v>
      </c>
      <c r="F56" s="35">
        <v>46072</v>
      </c>
      <c r="G56" s="44" t="s">
        <v>1246</v>
      </c>
      <c r="H56" s="34">
        <v>10636</v>
      </c>
      <c r="I56" s="44" t="s">
        <v>1296</v>
      </c>
      <c r="J56" s="46">
        <v>60680</v>
      </c>
      <c r="K56" s="32" t="s">
        <v>1046</v>
      </c>
    </row>
    <row r="57" spans="1:11" ht="16.5" thickBot="1" x14ac:dyDescent="0.3">
      <c r="A57" s="43">
        <v>73</v>
      </c>
      <c r="B57" s="44" t="s">
        <v>365</v>
      </c>
      <c r="C57" s="44" t="s">
        <v>366</v>
      </c>
      <c r="D57" s="33">
        <v>33434517</v>
      </c>
      <c r="E57" s="35">
        <v>46076</v>
      </c>
      <c r="F57" s="35">
        <v>46072</v>
      </c>
      <c r="G57" s="44" t="s">
        <v>1247</v>
      </c>
      <c r="H57" s="34">
        <v>10587</v>
      </c>
      <c r="I57" s="44" t="s">
        <v>1291</v>
      </c>
      <c r="J57" s="46">
        <v>14700</v>
      </c>
      <c r="K57" s="32" t="s">
        <v>1046</v>
      </c>
    </row>
    <row r="58" spans="1:11" ht="16.5" thickBot="1" x14ac:dyDescent="0.3">
      <c r="A58" s="43">
        <v>74</v>
      </c>
      <c r="B58" s="44" t="s">
        <v>365</v>
      </c>
      <c r="C58" s="44" t="s">
        <v>366</v>
      </c>
      <c r="D58" s="33">
        <v>33434518</v>
      </c>
      <c r="E58" s="35">
        <v>46076</v>
      </c>
      <c r="F58" s="35">
        <v>46072</v>
      </c>
      <c r="G58" s="44" t="s">
        <v>1248</v>
      </c>
      <c r="H58" s="34">
        <v>10505</v>
      </c>
      <c r="I58" s="44" t="s">
        <v>1294</v>
      </c>
      <c r="J58" s="46">
        <v>8450</v>
      </c>
      <c r="K58" s="32" t="s">
        <v>1046</v>
      </c>
    </row>
    <row r="59" spans="1:11" ht="16.5" thickBot="1" x14ac:dyDescent="0.3">
      <c r="A59" s="43">
        <v>75</v>
      </c>
      <c r="B59" s="44" t="s">
        <v>365</v>
      </c>
      <c r="C59" s="44" t="s">
        <v>366</v>
      </c>
      <c r="D59" s="33">
        <v>33356383</v>
      </c>
      <c r="E59" s="35">
        <v>46067</v>
      </c>
      <c r="F59" s="35">
        <v>46065</v>
      </c>
      <c r="G59" s="34" t="s">
        <v>1305</v>
      </c>
      <c r="H59" s="34">
        <v>10645</v>
      </c>
      <c r="I59" s="34" t="s">
        <v>1170</v>
      </c>
      <c r="J59" s="46">
        <v>15000</v>
      </c>
      <c r="K59" s="32" t="s">
        <v>284</v>
      </c>
    </row>
    <row r="60" spans="1:11" ht="16.5" thickBot="1" x14ac:dyDescent="0.3">
      <c r="A60" s="43">
        <v>76</v>
      </c>
      <c r="B60" s="44" t="s">
        <v>365</v>
      </c>
      <c r="C60" s="44" t="s">
        <v>366</v>
      </c>
      <c r="D60" s="33">
        <v>33356384</v>
      </c>
      <c r="E60" s="35">
        <v>46067</v>
      </c>
      <c r="F60" s="35">
        <v>46065</v>
      </c>
      <c r="G60" s="34" t="s">
        <v>1307</v>
      </c>
      <c r="H60" s="34">
        <v>10366</v>
      </c>
      <c r="I60" s="34" t="s">
        <v>1083</v>
      </c>
      <c r="J60" s="46">
        <v>10000</v>
      </c>
      <c r="K60" s="32" t="s">
        <v>284</v>
      </c>
    </row>
    <row r="61" spans="1:11" ht="16.5" thickBot="1" x14ac:dyDescent="0.3">
      <c r="A61" s="43">
        <v>77</v>
      </c>
      <c r="B61" s="44" t="s">
        <v>365</v>
      </c>
      <c r="C61" s="44" t="s">
        <v>366</v>
      </c>
      <c r="D61" s="33">
        <v>33356385</v>
      </c>
      <c r="E61" s="35">
        <v>46067</v>
      </c>
      <c r="F61" s="35">
        <v>46065</v>
      </c>
      <c r="G61" s="34" t="s">
        <v>1306</v>
      </c>
      <c r="H61" s="34">
        <v>10631</v>
      </c>
      <c r="I61" s="34" t="s">
        <v>421</v>
      </c>
      <c r="J61" s="46">
        <v>5000</v>
      </c>
      <c r="K61" s="32" t="s">
        <v>284</v>
      </c>
    </row>
    <row r="62" spans="1:11" ht="16.5" thickBot="1" x14ac:dyDescent="0.3">
      <c r="A62" s="43">
        <v>78</v>
      </c>
      <c r="B62" s="44" t="s">
        <v>365</v>
      </c>
      <c r="C62" s="44" t="s">
        <v>366</v>
      </c>
      <c r="D62" s="33">
        <v>33356282</v>
      </c>
      <c r="E62" s="35">
        <v>46046</v>
      </c>
      <c r="F62" s="35">
        <v>46054</v>
      </c>
      <c r="G62" s="44" t="s">
        <v>1324</v>
      </c>
      <c r="H62" s="34">
        <v>10698</v>
      </c>
      <c r="I62" s="44" t="s">
        <v>1093</v>
      </c>
      <c r="J62" s="46">
        <v>20000</v>
      </c>
      <c r="K62" s="32" t="s">
        <v>284</v>
      </c>
    </row>
    <row r="63" spans="1:11" ht="16.5" thickBot="1" x14ac:dyDescent="0.3">
      <c r="A63" s="43">
        <v>79</v>
      </c>
      <c r="B63" s="44"/>
      <c r="C63" s="44"/>
      <c r="D63" s="33"/>
      <c r="E63" s="35"/>
      <c r="F63" s="35"/>
      <c r="G63" s="44"/>
      <c r="H63" s="34"/>
      <c r="I63" s="44"/>
      <c r="J63" s="46"/>
      <c r="K63" s="32"/>
    </row>
    <row r="64" spans="1:11" ht="16.5" thickBot="1" x14ac:dyDescent="0.3">
      <c r="A64" s="43">
        <v>80</v>
      </c>
      <c r="B64" s="44"/>
      <c r="C64" s="44"/>
      <c r="D64" s="33"/>
      <c r="E64" s="35"/>
      <c r="F64" s="35"/>
      <c r="G64" s="44"/>
      <c r="H64" s="34"/>
      <c r="I64" s="44"/>
      <c r="J64" s="46"/>
      <c r="K64" s="32"/>
    </row>
    <row r="65" spans="1:11" ht="16.5" thickBot="1" x14ac:dyDescent="0.3">
      <c r="A65" s="43">
        <v>81</v>
      </c>
      <c r="B65" s="44"/>
      <c r="C65" s="44"/>
      <c r="D65" s="33"/>
      <c r="E65" s="35"/>
      <c r="F65" s="33"/>
      <c r="G65" s="44"/>
      <c r="H65" s="34"/>
      <c r="I65" s="44"/>
      <c r="J65" s="46"/>
      <c r="K65" s="32"/>
    </row>
    <row r="66" spans="1:11" ht="16.5" thickBot="1" x14ac:dyDescent="0.3">
      <c r="A66" s="43">
        <v>82</v>
      </c>
      <c r="B66" s="44"/>
      <c r="C66" s="44"/>
      <c r="D66" s="33"/>
      <c r="E66" s="35"/>
      <c r="F66" s="35"/>
      <c r="G66" s="34"/>
      <c r="H66" s="34"/>
      <c r="I66" s="44"/>
      <c r="J66" s="46"/>
      <c r="K66" s="32"/>
    </row>
    <row r="67" spans="1:11" ht="16.5" thickBot="1" x14ac:dyDescent="0.3">
      <c r="A67" s="43">
        <v>83</v>
      </c>
      <c r="B67" s="44"/>
      <c r="C67" s="44"/>
      <c r="D67" s="33"/>
      <c r="E67" s="35"/>
      <c r="F67" s="35"/>
      <c r="G67" s="34"/>
      <c r="H67" s="34"/>
      <c r="I67" s="44"/>
      <c r="J67" s="46"/>
      <c r="K67" s="32"/>
    </row>
    <row r="68" spans="1:11" ht="16.5" thickBot="1" x14ac:dyDescent="0.3">
      <c r="A68" s="43">
        <v>84</v>
      </c>
      <c r="B68" s="44"/>
      <c r="C68" s="44"/>
      <c r="D68" s="33"/>
      <c r="E68" s="35"/>
      <c r="F68" s="35"/>
      <c r="G68" s="34"/>
      <c r="H68" s="34"/>
      <c r="I68" s="44"/>
      <c r="J68" s="46"/>
      <c r="K68" s="32"/>
    </row>
    <row r="69" spans="1:11" ht="16.5" thickBot="1" x14ac:dyDescent="0.3">
      <c r="A69" s="43">
        <v>85</v>
      </c>
      <c r="B69" s="44"/>
      <c r="C69" s="44"/>
      <c r="D69" s="33"/>
      <c r="E69" s="35"/>
      <c r="F69" s="35"/>
      <c r="G69" s="34"/>
      <c r="H69" s="34"/>
      <c r="I69" s="44"/>
      <c r="J69" s="46"/>
      <c r="K69" s="32"/>
    </row>
    <row r="70" spans="1:11" ht="16.5" thickBot="1" x14ac:dyDescent="0.3">
      <c r="A70" s="43">
        <v>86</v>
      </c>
      <c r="B70" s="44"/>
      <c r="C70" s="44"/>
      <c r="D70" s="33"/>
      <c r="E70" s="35"/>
      <c r="F70" s="35"/>
      <c r="G70" s="34"/>
      <c r="H70" s="34"/>
      <c r="I70" s="44"/>
      <c r="J70" s="46"/>
      <c r="K70" s="32"/>
    </row>
    <row r="71" spans="1:11" ht="16.5" thickBot="1" x14ac:dyDescent="0.3">
      <c r="A71" s="43">
        <v>87</v>
      </c>
      <c r="B71" s="44"/>
      <c r="C71" s="44"/>
      <c r="D71" s="33"/>
      <c r="E71" s="35"/>
      <c r="F71" s="35"/>
      <c r="G71" s="34"/>
      <c r="H71" s="34"/>
      <c r="I71" s="44"/>
      <c r="J71" s="46"/>
      <c r="K71" s="32"/>
    </row>
    <row r="72" spans="1:11" ht="16.5" thickBot="1" x14ac:dyDescent="0.3">
      <c r="A72" s="43">
        <v>88</v>
      </c>
      <c r="B72" s="44"/>
      <c r="C72" s="44"/>
      <c r="D72" s="33"/>
      <c r="E72" s="35"/>
      <c r="F72" s="35"/>
      <c r="G72" s="34"/>
      <c r="H72" s="34"/>
      <c r="I72" s="44"/>
      <c r="J72" s="46"/>
      <c r="K72" s="32"/>
    </row>
    <row r="73" spans="1:11" ht="16.5" thickBot="1" x14ac:dyDescent="0.3">
      <c r="A73" s="43">
        <v>89</v>
      </c>
      <c r="B73" s="44"/>
      <c r="C73" s="44"/>
      <c r="D73" s="33"/>
      <c r="E73" s="35"/>
      <c r="F73" s="33"/>
      <c r="G73" s="34"/>
      <c r="H73" s="34"/>
      <c r="I73" s="44"/>
      <c r="J73" s="46"/>
      <c r="K73" s="32"/>
    </row>
    <row r="74" spans="1:11" ht="16.5" thickBot="1" x14ac:dyDescent="0.3">
      <c r="A74" s="43">
        <v>90</v>
      </c>
      <c r="B74" s="44"/>
      <c r="C74" s="44"/>
      <c r="D74" s="33"/>
      <c r="E74" s="35"/>
      <c r="F74" s="33"/>
      <c r="G74" s="34"/>
      <c r="H74" s="34"/>
      <c r="I74" s="44"/>
      <c r="J74" s="46"/>
      <c r="K74" s="32"/>
    </row>
    <row r="75" spans="1:11" ht="16.5" thickBot="1" x14ac:dyDescent="0.3">
      <c r="A75" s="43">
        <v>91</v>
      </c>
      <c r="B75" s="44"/>
      <c r="C75" s="44"/>
      <c r="D75" s="33"/>
      <c r="E75" s="35"/>
      <c r="F75" s="33"/>
      <c r="G75" s="34"/>
      <c r="H75" s="34"/>
      <c r="I75" s="44"/>
      <c r="J75" s="46"/>
      <c r="K75" s="32"/>
    </row>
  </sheetData>
  <autoFilter ref="H1:H75"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94"/>
  <sheetViews>
    <sheetView topLeftCell="B76" zoomScaleNormal="100" workbookViewId="0">
      <selection activeCell="K94" sqref="K94"/>
    </sheetView>
  </sheetViews>
  <sheetFormatPr defaultRowHeight="15" x14ac:dyDescent="0.25"/>
  <cols>
    <col min="1" max="1" width="9.5703125" style="75" customWidth="1"/>
    <col min="2" max="2" width="7.7109375" style="76" bestFit="1" customWidth="1"/>
    <col min="3" max="3" width="29.7109375" style="77" bestFit="1" customWidth="1"/>
    <col min="4" max="11" width="11.7109375" style="77" bestFit="1" customWidth="1"/>
  </cols>
  <sheetData>
    <row r="1" spans="1:14" ht="15.75" thickBot="1" x14ac:dyDescent="0.3">
      <c r="A1" s="81" t="s">
        <v>356</v>
      </c>
      <c r="B1" s="82" t="s">
        <v>321</v>
      </c>
      <c r="C1" s="83" t="s">
        <v>1</v>
      </c>
      <c r="D1" s="84">
        <v>45839</v>
      </c>
      <c r="E1" s="84">
        <v>45870</v>
      </c>
      <c r="F1" s="84">
        <v>45901</v>
      </c>
      <c r="G1" s="84">
        <v>45931</v>
      </c>
      <c r="H1" s="84">
        <v>45962</v>
      </c>
      <c r="I1" s="84">
        <v>45992</v>
      </c>
      <c r="J1" s="84">
        <v>46023</v>
      </c>
      <c r="K1" s="84">
        <v>46054</v>
      </c>
    </row>
    <row r="2" spans="1:14" x14ac:dyDescent="0.25">
      <c r="A2" s="78">
        <v>1</v>
      </c>
      <c r="B2" s="72">
        <v>10010</v>
      </c>
      <c r="C2" s="79" t="s">
        <v>15</v>
      </c>
      <c r="D2" s="80">
        <v>19310</v>
      </c>
      <c r="E2" s="80">
        <v>44796</v>
      </c>
      <c r="F2" s="80">
        <v>21587</v>
      </c>
      <c r="G2" s="80">
        <v>21284</v>
      </c>
      <c r="H2" s="80">
        <v>25915</v>
      </c>
      <c r="I2" s="80">
        <v>18486</v>
      </c>
      <c r="J2" s="80">
        <v>25544</v>
      </c>
      <c r="K2" s="80">
        <v>35743</v>
      </c>
      <c r="M2" s="13"/>
      <c r="N2" s="13"/>
    </row>
    <row r="3" spans="1:14" x14ac:dyDescent="0.25">
      <c r="A3" s="72">
        <v>2</v>
      </c>
      <c r="B3" s="72">
        <v>10015</v>
      </c>
      <c r="C3" s="73" t="s">
        <v>20</v>
      </c>
      <c r="D3" s="74">
        <v>118022</v>
      </c>
      <c r="E3" s="80">
        <v>197878</v>
      </c>
      <c r="F3" s="80">
        <v>138381</v>
      </c>
      <c r="G3" s="80">
        <v>171051</v>
      </c>
      <c r="H3" s="80">
        <v>202235</v>
      </c>
      <c r="I3" s="80">
        <v>149431</v>
      </c>
      <c r="J3" s="80">
        <v>150134</v>
      </c>
      <c r="K3" s="80">
        <v>114069</v>
      </c>
      <c r="M3" s="13"/>
      <c r="N3" s="13"/>
    </row>
    <row r="4" spans="1:14" x14ac:dyDescent="0.25">
      <c r="A4" s="72">
        <v>3</v>
      </c>
      <c r="B4" s="72">
        <v>10018</v>
      </c>
      <c r="C4" s="73" t="s">
        <v>24</v>
      </c>
      <c r="D4" s="74">
        <v>61300</v>
      </c>
      <c r="E4" s="80">
        <v>130390</v>
      </c>
      <c r="F4" s="80">
        <v>41650</v>
      </c>
      <c r="G4" s="80">
        <v>48050</v>
      </c>
      <c r="H4" s="80">
        <v>81350</v>
      </c>
      <c r="I4" s="80">
        <v>66130</v>
      </c>
      <c r="J4" s="80">
        <v>73504</v>
      </c>
      <c r="K4" s="80">
        <v>0</v>
      </c>
      <c r="M4" s="13"/>
      <c r="N4" s="13"/>
    </row>
    <row r="5" spans="1:14" x14ac:dyDescent="0.25">
      <c r="A5" s="72">
        <v>4</v>
      </c>
      <c r="B5" s="72">
        <v>10019</v>
      </c>
      <c r="C5" s="73" t="s">
        <v>25</v>
      </c>
      <c r="D5" s="74">
        <v>91891</v>
      </c>
      <c r="E5" s="80">
        <v>180152</v>
      </c>
      <c r="F5" s="80">
        <v>86376</v>
      </c>
      <c r="G5" s="80">
        <v>90051</v>
      </c>
      <c r="H5" s="80">
        <v>158710</v>
      </c>
      <c r="I5" s="80">
        <v>103018</v>
      </c>
      <c r="J5" s="80">
        <v>102636</v>
      </c>
      <c r="K5" s="80">
        <v>1286</v>
      </c>
      <c r="M5" s="13"/>
      <c r="N5" s="13"/>
    </row>
    <row r="6" spans="1:14" x14ac:dyDescent="0.25">
      <c r="A6" s="72">
        <v>5</v>
      </c>
      <c r="B6" s="72">
        <v>10021</v>
      </c>
      <c r="C6" s="73" t="s">
        <v>29</v>
      </c>
      <c r="D6" s="74">
        <v>57009</v>
      </c>
      <c r="E6" s="80">
        <v>95593</v>
      </c>
      <c r="F6" s="80">
        <v>129584</v>
      </c>
      <c r="G6" s="80">
        <v>139645</v>
      </c>
      <c r="H6" s="80">
        <v>86831</v>
      </c>
      <c r="I6" s="80">
        <v>52662</v>
      </c>
      <c r="J6" s="80">
        <v>64615</v>
      </c>
      <c r="K6" s="80">
        <v>87421</v>
      </c>
      <c r="M6" s="13"/>
      <c r="N6" s="13"/>
    </row>
    <row r="7" spans="1:14" x14ac:dyDescent="0.25">
      <c r="A7" s="72">
        <v>6</v>
      </c>
      <c r="B7" s="72">
        <v>10030</v>
      </c>
      <c r="C7" s="73" t="s">
        <v>43</v>
      </c>
      <c r="D7" s="74">
        <v>8884</v>
      </c>
      <c r="E7" s="80">
        <v>96506</v>
      </c>
      <c r="F7" s="80">
        <v>237930</v>
      </c>
      <c r="G7" s="80">
        <v>9736</v>
      </c>
      <c r="H7" s="80">
        <v>199126</v>
      </c>
      <c r="I7" s="80">
        <v>192710</v>
      </c>
      <c r="J7" s="80">
        <v>5613</v>
      </c>
      <c r="K7" s="80">
        <v>3375</v>
      </c>
      <c r="M7" s="13"/>
      <c r="N7" s="13"/>
    </row>
    <row r="8" spans="1:14" x14ac:dyDescent="0.25">
      <c r="A8" s="72">
        <v>7</v>
      </c>
      <c r="B8" s="72">
        <v>10034</v>
      </c>
      <c r="C8" s="73" t="s">
        <v>351</v>
      </c>
      <c r="D8" s="74">
        <v>5000</v>
      </c>
      <c r="E8" s="80">
        <v>14685</v>
      </c>
      <c r="F8" s="80">
        <v>11410</v>
      </c>
      <c r="G8" s="80">
        <v>750</v>
      </c>
      <c r="H8" s="80">
        <v>15350</v>
      </c>
      <c r="I8" s="80">
        <v>2250</v>
      </c>
      <c r="J8" s="80">
        <v>0</v>
      </c>
      <c r="K8" s="80">
        <v>4204</v>
      </c>
      <c r="M8" s="13"/>
      <c r="N8" s="13"/>
    </row>
    <row r="9" spans="1:14" x14ac:dyDescent="0.25">
      <c r="A9" s="72">
        <v>8</v>
      </c>
      <c r="B9" s="72">
        <v>10063</v>
      </c>
      <c r="C9" s="73" t="s">
        <v>193</v>
      </c>
      <c r="D9" s="74">
        <v>4810</v>
      </c>
      <c r="E9" s="80">
        <v>150795</v>
      </c>
      <c r="F9" s="80">
        <v>130194</v>
      </c>
      <c r="G9" s="80">
        <v>3301</v>
      </c>
      <c r="H9" s="80">
        <v>44330</v>
      </c>
      <c r="I9" s="80">
        <v>35152</v>
      </c>
      <c r="J9" s="80">
        <v>2747</v>
      </c>
      <c r="K9" s="80">
        <v>1900</v>
      </c>
      <c r="M9" s="13"/>
      <c r="N9" s="13"/>
    </row>
    <row r="10" spans="1:14" x14ac:dyDescent="0.25">
      <c r="A10" s="72">
        <v>9</v>
      </c>
      <c r="B10" s="72">
        <v>10135</v>
      </c>
      <c r="C10" s="73" t="s">
        <v>135</v>
      </c>
      <c r="D10" s="74">
        <v>3000</v>
      </c>
      <c r="E10" s="80">
        <v>4000</v>
      </c>
      <c r="F10" s="80">
        <v>0</v>
      </c>
      <c r="G10" s="80">
        <v>3000</v>
      </c>
      <c r="H10" s="80">
        <v>0</v>
      </c>
      <c r="I10" s="80">
        <v>0</v>
      </c>
      <c r="J10" s="80">
        <v>5000</v>
      </c>
      <c r="K10" s="80">
        <v>0</v>
      </c>
      <c r="M10" s="13"/>
      <c r="N10" s="13"/>
    </row>
    <row r="11" spans="1:14" x14ac:dyDescent="0.25">
      <c r="A11" s="72">
        <v>10</v>
      </c>
      <c r="B11" s="72">
        <v>10163</v>
      </c>
      <c r="C11" s="73" t="s">
        <v>108</v>
      </c>
      <c r="D11" s="74">
        <v>34251</v>
      </c>
      <c r="E11" s="80">
        <v>32851</v>
      </c>
      <c r="F11" s="80">
        <v>28574</v>
      </c>
      <c r="G11" s="80">
        <v>90883</v>
      </c>
      <c r="H11" s="80">
        <v>57273</v>
      </c>
      <c r="I11" s="80">
        <v>31490</v>
      </c>
      <c r="J11" s="80">
        <v>28442</v>
      </c>
      <c r="K11" s="80">
        <v>27791</v>
      </c>
      <c r="M11" s="13"/>
      <c r="N11" s="13"/>
    </row>
    <row r="12" spans="1:14" x14ac:dyDescent="0.25">
      <c r="A12" s="72">
        <v>11</v>
      </c>
      <c r="B12" s="72">
        <v>10199</v>
      </c>
      <c r="C12" s="73" t="s">
        <v>328</v>
      </c>
      <c r="D12" s="74">
        <v>24000</v>
      </c>
      <c r="E12" s="80">
        <f>26663+750</f>
        <v>27413</v>
      </c>
      <c r="F12" s="80">
        <v>26464</v>
      </c>
      <c r="G12" s="80">
        <v>26743</v>
      </c>
      <c r="H12" s="80">
        <v>28209</v>
      </c>
      <c r="I12" s="80">
        <v>0</v>
      </c>
      <c r="J12" s="80">
        <v>25685</v>
      </c>
      <c r="K12" s="80">
        <v>29278</v>
      </c>
      <c r="M12" s="13"/>
      <c r="N12" s="13"/>
    </row>
    <row r="13" spans="1:14" x14ac:dyDescent="0.25">
      <c r="A13" s="72">
        <v>12</v>
      </c>
      <c r="B13" s="72">
        <v>10239</v>
      </c>
      <c r="C13" s="73" t="s">
        <v>22</v>
      </c>
      <c r="D13" s="74">
        <v>2000</v>
      </c>
      <c r="E13" s="80">
        <v>0</v>
      </c>
      <c r="F13" s="80">
        <v>1000</v>
      </c>
      <c r="G13" s="80">
        <v>5000</v>
      </c>
      <c r="H13" s="80">
        <v>0</v>
      </c>
      <c r="I13" s="80">
        <v>1000</v>
      </c>
      <c r="J13" s="80">
        <v>0</v>
      </c>
      <c r="K13" s="80">
        <v>0</v>
      </c>
      <c r="M13" s="13"/>
      <c r="N13" s="13"/>
    </row>
    <row r="14" spans="1:14" x14ac:dyDescent="0.25">
      <c r="A14" s="72">
        <v>13</v>
      </c>
      <c r="B14" s="72">
        <v>10274</v>
      </c>
      <c r="C14" s="73" t="s">
        <v>238</v>
      </c>
      <c r="D14" s="74">
        <v>2000</v>
      </c>
      <c r="E14" s="80">
        <v>0</v>
      </c>
      <c r="F14" s="80">
        <v>0</v>
      </c>
      <c r="G14" s="80">
        <v>0</v>
      </c>
      <c r="H14" s="80">
        <v>0</v>
      </c>
      <c r="I14" s="80">
        <v>0</v>
      </c>
      <c r="J14" s="80">
        <v>0</v>
      </c>
      <c r="K14" s="80">
        <v>0</v>
      </c>
      <c r="M14" s="13"/>
      <c r="N14" s="13"/>
    </row>
    <row r="15" spans="1:14" x14ac:dyDescent="0.25">
      <c r="A15" s="72">
        <v>14</v>
      </c>
      <c r="B15" s="72">
        <v>10290</v>
      </c>
      <c r="C15" s="73" t="s">
        <v>151</v>
      </c>
      <c r="D15" s="74">
        <v>5063</v>
      </c>
      <c r="E15" s="80">
        <v>86250</v>
      </c>
      <c r="F15" s="80">
        <v>139843</v>
      </c>
      <c r="G15" s="80">
        <v>3272</v>
      </c>
      <c r="H15" s="80">
        <v>4155</v>
      </c>
      <c r="I15" s="80">
        <v>76856</v>
      </c>
      <c r="J15" s="80">
        <v>159533</v>
      </c>
      <c r="K15" s="80">
        <v>1900</v>
      </c>
      <c r="M15" s="13"/>
      <c r="N15" s="13"/>
    </row>
    <row r="16" spans="1:14" x14ac:dyDescent="0.25">
      <c r="A16" s="72">
        <v>15</v>
      </c>
      <c r="B16" s="72">
        <v>10294</v>
      </c>
      <c r="C16" s="73" t="s">
        <v>395</v>
      </c>
      <c r="D16" s="74">
        <v>1250</v>
      </c>
      <c r="E16" s="80">
        <v>0</v>
      </c>
      <c r="F16" s="80">
        <v>0</v>
      </c>
      <c r="G16" s="80">
        <v>0</v>
      </c>
      <c r="H16" s="80">
        <v>0</v>
      </c>
      <c r="I16" s="80">
        <v>0</v>
      </c>
      <c r="J16" s="80">
        <v>0</v>
      </c>
      <c r="K16" s="80">
        <v>0</v>
      </c>
      <c r="M16" s="13"/>
      <c r="N16" s="13"/>
    </row>
    <row r="17" spans="1:14" x14ac:dyDescent="0.25">
      <c r="A17" s="72">
        <v>16</v>
      </c>
      <c r="B17" s="72">
        <v>10326</v>
      </c>
      <c r="C17" s="73" t="s">
        <v>126</v>
      </c>
      <c r="D17" s="74">
        <v>50131</v>
      </c>
      <c r="E17" s="80">
        <v>52396</v>
      </c>
      <c r="F17" s="80">
        <v>87905</v>
      </c>
      <c r="G17" s="80">
        <v>95747</v>
      </c>
      <c r="H17" s="80">
        <v>53986</v>
      </c>
      <c r="I17" s="80">
        <v>51329</v>
      </c>
      <c r="J17" s="80">
        <v>57554</v>
      </c>
      <c r="K17" s="80">
        <v>25571</v>
      </c>
      <c r="M17" s="13"/>
      <c r="N17" s="13"/>
    </row>
    <row r="18" spans="1:14" x14ac:dyDescent="0.25">
      <c r="A18" s="72">
        <v>17</v>
      </c>
      <c r="B18" s="72">
        <v>10328</v>
      </c>
      <c r="C18" s="73" t="s">
        <v>127</v>
      </c>
      <c r="D18" s="74">
        <v>5000</v>
      </c>
      <c r="E18" s="80">
        <v>0</v>
      </c>
      <c r="F18" s="80">
        <v>0</v>
      </c>
      <c r="G18" s="80">
        <v>5000</v>
      </c>
      <c r="H18" s="80">
        <v>0</v>
      </c>
      <c r="I18" s="80">
        <v>0</v>
      </c>
      <c r="J18" s="80">
        <v>0</v>
      </c>
      <c r="K18" s="80">
        <v>0</v>
      </c>
      <c r="M18" s="13"/>
      <c r="N18" s="13"/>
    </row>
    <row r="19" spans="1:14" x14ac:dyDescent="0.25">
      <c r="A19" s="72">
        <v>18</v>
      </c>
      <c r="B19" s="72">
        <v>10365</v>
      </c>
      <c r="C19" s="73" t="s">
        <v>352</v>
      </c>
      <c r="D19" s="74">
        <v>22640</v>
      </c>
      <c r="E19" s="80">
        <v>64288</v>
      </c>
      <c r="F19" s="80">
        <v>26947</v>
      </c>
      <c r="G19" s="80">
        <v>28184</v>
      </c>
      <c r="H19" s="80">
        <v>30679</v>
      </c>
      <c r="I19" s="80">
        <v>27590</v>
      </c>
      <c r="J19" s="80">
        <v>25252</v>
      </c>
      <c r="K19" s="80">
        <v>26329</v>
      </c>
      <c r="M19" s="13"/>
      <c r="N19" s="13"/>
    </row>
    <row r="20" spans="1:14" x14ac:dyDescent="0.25">
      <c r="A20" s="72">
        <v>19</v>
      </c>
      <c r="B20" s="72">
        <v>10391</v>
      </c>
      <c r="C20" s="73" t="s">
        <v>243</v>
      </c>
      <c r="D20" s="74">
        <v>7342</v>
      </c>
      <c r="E20" s="80">
        <v>63800</v>
      </c>
      <c r="F20" s="80">
        <v>297899</v>
      </c>
      <c r="G20" s="80">
        <v>3185</v>
      </c>
      <c r="H20" s="80">
        <v>228576</v>
      </c>
      <c r="I20" s="80">
        <v>74381</v>
      </c>
      <c r="J20" s="80">
        <v>198228</v>
      </c>
      <c r="K20" s="80">
        <v>2679</v>
      </c>
      <c r="M20" s="13"/>
      <c r="N20" s="13"/>
    </row>
    <row r="21" spans="1:14" x14ac:dyDescent="0.25">
      <c r="A21" s="72">
        <v>20</v>
      </c>
      <c r="B21" s="72">
        <v>10407</v>
      </c>
      <c r="C21" s="73" t="s">
        <v>122</v>
      </c>
      <c r="D21" s="74">
        <v>91898</v>
      </c>
      <c r="E21" s="80">
        <v>97062</v>
      </c>
      <c r="F21" s="80">
        <v>98609</v>
      </c>
      <c r="G21" s="80">
        <v>133864</v>
      </c>
      <c r="H21" s="80">
        <v>141635</v>
      </c>
      <c r="I21" s="80">
        <v>143735</v>
      </c>
      <c r="J21" s="80">
        <v>61995</v>
      </c>
      <c r="K21" s="80">
        <v>91976</v>
      </c>
      <c r="M21" s="13"/>
      <c r="N21" s="13"/>
    </row>
    <row r="22" spans="1:14" x14ac:dyDescent="0.25">
      <c r="A22" s="72">
        <v>21</v>
      </c>
      <c r="B22" s="72">
        <v>10419</v>
      </c>
      <c r="C22" s="73" t="s">
        <v>189</v>
      </c>
      <c r="D22" s="74">
        <v>64492</v>
      </c>
      <c r="E22" s="80">
        <v>102597</v>
      </c>
      <c r="F22" s="80">
        <v>105335</v>
      </c>
      <c r="G22" s="80">
        <v>96811</v>
      </c>
      <c r="H22" s="80">
        <v>98191</v>
      </c>
      <c r="I22" s="80">
        <v>214013</v>
      </c>
      <c r="J22" s="80">
        <v>120292</v>
      </c>
      <c r="K22" s="80">
        <v>158489</v>
      </c>
      <c r="M22" s="13"/>
      <c r="N22" s="13"/>
    </row>
    <row r="23" spans="1:14" x14ac:dyDescent="0.25">
      <c r="A23" s="72">
        <v>22</v>
      </c>
      <c r="B23" s="72">
        <v>10430</v>
      </c>
      <c r="C23" s="73" t="s">
        <v>111</v>
      </c>
      <c r="D23" s="74">
        <v>1000</v>
      </c>
      <c r="E23" s="80">
        <v>0</v>
      </c>
      <c r="F23" s="80">
        <v>0</v>
      </c>
      <c r="G23" s="80">
        <v>0</v>
      </c>
      <c r="H23" s="80">
        <v>4000</v>
      </c>
      <c r="I23" s="80">
        <v>0</v>
      </c>
      <c r="J23" s="80">
        <v>2000</v>
      </c>
      <c r="K23" s="80">
        <v>0</v>
      </c>
      <c r="M23" s="13"/>
      <c r="N23" s="13"/>
    </row>
    <row r="24" spans="1:14" x14ac:dyDescent="0.25">
      <c r="A24" s="72">
        <v>23</v>
      </c>
      <c r="B24" s="72">
        <v>10431</v>
      </c>
      <c r="C24" s="73" t="s">
        <v>112</v>
      </c>
      <c r="D24" s="74">
        <v>26622</v>
      </c>
      <c r="E24" s="80">
        <v>25732</v>
      </c>
      <c r="F24" s="80">
        <v>29735</v>
      </c>
      <c r="G24" s="80">
        <v>0</v>
      </c>
      <c r="H24" s="80">
        <v>25344</v>
      </c>
      <c r="I24" s="80">
        <v>25294</v>
      </c>
      <c r="J24" s="80">
        <v>30409</v>
      </c>
      <c r="K24" s="80">
        <v>52065</v>
      </c>
      <c r="M24" s="13"/>
      <c r="N24" s="13"/>
    </row>
    <row r="25" spans="1:14" x14ac:dyDescent="0.25">
      <c r="A25" s="72">
        <v>24</v>
      </c>
      <c r="B25" s="72">
        <v>10498</v>
      </c>
      <c r="C25" s="73" t="s">
        <v>477</v>
      </c>
      <c r="D25" s="74">
        <v>23512</v>
      </c>
      <c r="E25" s="80">
        <v>29223</v>
      </c>
      <c r="F25" s="80">
        <v>23783</v>
      </c>
      <c r="G25" s="80">
        <v>57050</v>
      </c>
      <c r="H25" s="80">
        <v>27590</v>
      </c>
      <c r="I25" s="80">
        <v>24885</v>
      </c>
      <c r="J25" s="80">
        <v>25202</v>
      </c>
      <c r="K25" s="80">
        <v>26049</v>
      </c>
      <c r="M25" s="13"/>
      <c r="N25" s="13"/>
    </row>
    <row r="26" spans="1:14" x14ac:dyDescent="0.25">
      <c r="A26" s="72">
        <v>25</v>
      </c>
      <c r="B26" s="72">
        <v>10505</v>
      </c>
      <c r="C26" s="73" t="s">
        <v>187</v>
      </c>
      <c r="D26" s="74">
        <v>24166</v>
      </c>
      <c r="E26" s="80">
        <v>30166</v>
      </c>
      <c r="F26" s="80">
        <v>34166</v>
      </c>
      <c r="G26" s="80">
        <v>43999</v>
      </c>
      <c r="H26" s="80">
        <v>48275</v>
      </c>
      <c r="I26" s="80">
        <v>76450</v>
      </c>
      <c r="J26" s="80">
        <v>69525</v>
      </c>
      <c r="K26" s="80">
        <v>86150</v>
      </c>
      <c r="M26" s="13"/>
      <c r="N26" s="13"/>
    </row>
    <row r="27" spans="1:14" x14ac:dyDescent="0.25">
      <c r="A27" s="72">
        <v>26</v>
      </c>
      <c r="B27" s="72">
        <v>10533</v>
      </c>
      <c r="C27" s="73" t="s">
        <v>314</v>
      </c>
      <c r="D27" s="74">
        <v>4000</v>
      </c>
      <c r="E27" s="80">
        <v>0</v>
      </c>
      <c r="F27" s="80">
        <v>0</v>
      </c>
      <c r="G27" s="80">
        <v>4000</v>
      </c>
      <c r="H27" s="80">
        <v>0</v>
      </c>
      <c r="I27" s="80">
        <v>4000</v>
      </c>
      <c r="J27" s="80">
        <v>0</v>
      </c>
      <c r="K27" s="80">
        <v>0</v>
      </c>
      <c r="M27" s="13"/>
      <c r="N27" s="13"/>
    </row>
    <row r="28" spans="1:14" x14ac:dyDescent="0.25">
      <c r="A28" s="72">
        <v>27</v>
      </c>
      <c r="B28" s="72">
        <v>10554</v>
      </c>
      <c r="C28" s="73" t="s">
        <v>327</v>
      </c>
      <c r="D28" s="74">
        <v>5000</v>
      </c>
      <c r="E28" s="80">
        <v>2000</v>
      </c>
      <c r="F28" s="80">
        <v>5000</v>
      </c>
      <c r="G28" s="80">
        <v>0</v>
      </c>
      <c r="H28" s="80">
        <v>5000</v>
      </c>
      <c r="I28" s="80">
        <v>5000</v>
      </c>
      <c r="J28" s="80">
        <v>0</v>
      </c>
      <c r="K28" s="80">
        <v>0</v>
      </c>
      <c r="M28" s="13"/>
      <c r="N28" s="13"/>
    </row>
    <row r="29" spans="1:14" x14ac:dyDescent="0.25">
      <c r="A29" s="72">
        <v>28</v>
      </c>
      <c r="B29" s="72">
        <v>10562</v>
      </c>
      <c r="C29" s="73" t="s">
        <v>394</v>
      </c>
      <c r="D29" s="74">
        <v>25947</v>
      </c>
      <c r="E29" s="80">
        <v>24221</v>
      </c>
      <c r="F29" s="80">
        <v>54688</v>
      </c>
      <c r="G29" s="80">
        <v>57023</v>
      </c>
      <c r="H29" s="80">
        <v>55587</v>
      </c>
      <c r="I29" s="80">
        <v>28668</v>
      </c>
      <c r="J29" s="80">
        <v>30357</v>
      </c>
      <c r="K29" s="80">
        <v>27814</v>
      </c>
      <c r="M29" s="13"/>
      <c r="N29" s="13"/>
    </row>
    <row r="30" spans="1:14" x14ac:dyDescent="0.25">
      <c r="A30" s="72">
        <v>29</v>
      </c>
      <c r="B30" s="72">
        <v>10567</v>
      </c>
      <c r="C30" s="73" t="s">
        <v>336</v>
      </c>
      <c r="D30" s="74">
        <v>23428</v>
      </c>
      <c r="E30" s="80">
        <v>25482</v>
      </c>
      <c r="F30" s="80">
        <v>25210</v>
      </c>
      <c r="G30" s="80">
        <v>26417</v>
      </c>
      <c r="H30" s="80">
        <v>25142</v>
      </c>
      <c r="I30" s="80">
        <v>26421</v>
      </c>
      <c r="J30" s="80">
        <v>27209</v>
      </c>
      <c r="K30" s="80">
        <v>26841</v>
      </c>
      <c r="M30" s="13"/>
      <c r="N30" s="13"/>
    </row>
    <row r="31" spans="1:14" x14ac:dyDescent="0.25">
      <c r="A31" s="72">
        <v>30</v>
      </c>
      <c r="B31" s="72">
        <v>10569</v>
      </c>
      <c r="C31" s="73" t="s">
        <v>339</v>
      </c>
      <c r="D31" s="74">
        <v>27090</v>
      </c>
      <c r="E31" s="80">
        <v>25104</v>
      </c>
      <c r="F31" s="80">
        <v>25934</v>
      </c>
      <c r="G31" s="80">
        <v>52878</v>
      </c>
      <c r="H31" s="80">
        <v>52887</v>
      </c>
      <c r="I31" s="80">
        <v>52161</v>
      </c>
      <c r="J31" s="80">
        <v>24630</v>
      </c>
      <c r="K31" s="80">
        <v>0</v>
      </c>
      <c r="M31" s="13"/>
      <c r="N31" s="13"/>
    </row>
    <row r="32" spans="1:14" x14ac:dyDescent="0.25">
      <c r="A32" s="72">
        <v>31</v>
      </c>
      <c r="B32" s="72">
        <v>10571</v>
      </c>
      <c r="C32" s="73" t="s">
        <v>353</v>
      </c>
      <c r="D32" s="74">
        <v>26243</v>
      </c>
      <c r="E32" s="80">
        <v>31424</v>
      </c>
      <c r="F32" s="80">
        <v>56293</v>
      </c>
      <c r="G32" s="80">
        <v>32448</v>
      </c>
      <c r="H32" s="80">
        <v>28795</v>
      </c>
      <c r="I32" s="80">
        <v>28659</v>
      </c>
      <c r="J32" s="80">
        <v>51943</v>
      </c>
      <c r="K32" s="80">
        <v>30500</v>
      </c>
      <c r="M32" s="13"/>
      <c r="N32" s="13"/>
    </row>
    <row r="33" spans="1:14" x14ac:dyDescent="0.25">
      <c r="A33" s="72">
        <v>32</v>
      </c>
      <c r="B33" s="72">
        <v>10573</v>
      </c>
      <c r="C33" s="73" t="s">
        <v>341</v>
      </c>
      <c r="D33" s="74">
        <v>26332</v>
      </c>
      <c r="E33" s="80">
        <v>27332</v>
      </c>
      <c r="F33" s="80">
        <v>22000</v>
      </c>
      <c r="G33" s="80">
        <v>27165</v>
      </c>
      <c r="H33" s="80">
        <v>26570</v>
      </c>
      <c r="I33" s="80">
        <v>41900</v>
      </c>
      <c r="J33" s="80">
        <v>23255</v>
      </c>
      <c r="K33" s="80">
        <v>29700</v>
      </c>
      <c r="M33" s="13"/>
      <c r="N33" s="13"/>
    </row>
    <row r="34" spans="1:14" x14ac:dyDescent="0.25">
      <c r="A34" s="72">
        <v>33</v>
      </c>
      <c r="B34" s="72">
        <v>10587</v>
      </c>
      <c r="C34" s="73" t="s">
        <v>368</v>
      </c>
      <c r="D34" s="74">
        <v>21167</v>
      </c>
      <c r="E34" s="80">
        <v>44665</v>
      </c>
      <c r="F34" s="80">
        <v>38499</v>
      </c>
      <c r="G34" s="80">
        <v>47499</v>
      </c>
      <c r="H34" s="80">
        <v>65000</v>
      </c>
      <c r="I34" s="80">
        <v>55650</v>
      </c>
      <c r="J34" s="80">
        <v>74277</v>
      </c>
      <c r="K34" s="80">
        <v>140400</v>
      </c>
      <c r="M34" s="13"/>
      <c r="N34" s="13"/>
    </row>
    <row r="35" spans="1:14" x14ac:dyDescent="0.25">
      <c r="A35" s="72">
        <v>34</v>
      </c>
      <c r="B35" s="72">
        <v>10597</v>
      </c>
      <c r="C35" s="73" t="s">
        <v>373</v>
      </c>
      <c r="D35" s="74">
        <v>22500</v>
      </c>
      <c r="E35" s="80">
        <v>28999</v>
      </c>
      <c r="F35" s="80">
        <v>14700</v>
      </c>
      <c r="G35" s="80">
        <v>30166</v>
      </c>
      <c r="H35" s="80">
        <v>23775</v>
      </c>
      <c r="I35" s="80">
        <v>23945</v>
      </c>
      <c r="J35" s="80">
        <v>24325</v>
      </c>
      <c r="K35" s="80">
        <v>17780</v>
      </c>
      <c r="M35" s="13"/>
      <c r="N35" s="13"/>
    </row>
    <row r="36" spans="1:14" x14ac:dyDescent="0.25">
      <c r="A36" s="72">
        <v>35</v>
      </c>
      <c r="B36" s="72">
        <v>10598</v>
      </c>
      <c r="C36" s="73" t="s">
        <v>374</v>
      </c>
      <c r="D36" s="74">
        <v>27216</v>
      </c>
      <c r="E36" s="80">
        <v>0</v>
      </c>
      <c r="F36" s="80">
        <v>26375</v>
      </c>
      <c r="G36" s="80">
        <v>27093</v>
      </c>
      <c r="H36" s="80">
        <v>0</v>
      </c>
      <c r="I36" s="80">
        <v>0</v>
      </c>
      <c r="J36" s="80">
        <v>0</v>
      </c>
      <c r="K36" s="80">
        <v>0</v>
      </c>
      <c r="M36" s="13"/>
      <c r="N36" s="13"/>
    </row>
    <row r="37" spans="1:14" x14ac:dyDescent="0.25">
      <c r="A37" s="72">
        <v>36</v>
      </c>
      <c r="B37" s="72">
        <v>10602</v>
      </c>
      <c r="C37" s="73" t="s">
        <v>533</v>
      </c>
      <c r="D37" s="74">
        <v>52028</v>
      </c>
      <c r="E37" s="80">
        <f>63958+21985</f>
        <v>85943</v>
      </c>
      <c r="F37" s="80">
        <v>57258</v>
      </c>
      <c r="G37" s="80">
        <v>35416</v>
      </c>
      <c r="H37" s="80">
        <v>29749</v>
      </c>
      <c r="I37" s="80">
        <v>27326</v>
      </c>
      <c r="J37" s="80">
        <v>24904</v>
      </c>
      <c r="K37" s="80">
        <v>24845</v>
      </c>
      <c r="M37" s="13"/>
      <c r="N37" s="13"/>
    </row>
    <row r="38" spans="1:14" x14ac:dyDescent="0.25">
      <c r="A38" s="72">
        <v>37</v>
      </c>
      <c r="B38" s="72">
        <v>10605</v>
      </c>
      <c r="C38" s="73" t="s">
        <v>382</v>
      </c>
      <c r="D38" s="74">
        <v>11783</v>
      </c>
      <c r="E38" s="80">
        <v>23666</v>
      </c>
      <c r="F38" s="80">
        <v>26499</v>
      </c>
      <c r="G38" s="80">
        <v>32832</v>
      </c>
      <c r="H38" s="80">
        <v>29040</v>
      </c>
      <c r="I38" s="80">
        <v>41700</v>
      </c>
      <c r="J38" s="80">
        <v>30200</v>
      </c>
      <c r="K38" s="80">
        <v>36900</v>
      </c>
      <c r="M38" s="13"/>
      <c r="N38" s="13"/>
    </row>
    <row r="39" spans="1:14" x14ac:dyDescent="0.25">
      <c r="A39" s="72">
        <v>38</v>
      </c>
      <c r="B39" s="72">
        <v>10606</v>
      </c>
      <c r="C39" s="73" t="s">
        <v>383</v>
      </c>
      <c r="D39" s="74">
        <v>96625</v>
      </c>
      <c r="E39" s="80">
        <v>132378</v>
      </c>
      <c r="F39" s="80">
        <v>59314</v>
      </c>
      <c r="G39" s="80">
        <v>26548</v>
      </c>
      <c r="H39" s="80">
        <v>95866</v>
      </c>
      <c r="I39" s="80">
        <v>57977</v>
      </c>
      <c r="J39" s="80">
        <v>90276</v>
      </c>
      <c r="K39" s="80">
        <v>58291</v>
      </c>
      <c r="M39" s="13"/>
      <c r="N39" s="13"/>
    </row>
    <row r="40" spans="1:14" x14ac:dyDescent="0.25">
      <c r="A40" s="72">
        <v>39</v>
      </c>
      <c r="B40" s="72">
        <v>10636</v>
      </c>
      <c r="C40" s="73" t="s">
        <v>169</v>
      </c>
      <c r="D40" s="74">
        <v>23242</v>
      </c>
      <c r="E40" s="80">
        <v>35104</v>
      </c>
      <c r="F40" s="80">
        <v>32430</v>
      </c>
      <c r="G40" s="80">
        <v>37973</v>
      </c>
      <c r="H40" s="80">
        <v>39662</v>
      </c>
      <c r="I40" s="80">
        <v>62969</v>
      </c>
      <c r="J40" s="80">
        <v>46619</v>
      </c>
      <c r="K40" s="80">
        <v>60680</v>
      </c>
      <c r="M40" s="13"/>
      <c r="N40" s="13"/>
    </row>
    <row r="41" spans="1:14" s="13" customFormat="1" x14ac:dyDescent="0.25">
      <c r="A41" s="72">
        <v>40</v>
      </c>
      <c r="B41" s="72">
        <v>10020</v>
      </c>
      <c r="C41" s="73" t="s">
        <v>651</v>
      </c>
      <c r="D41" s="74">
        <v>0</v>
      </c>
      <c r="E41" s="80">
        <v>5000</v>
      </c>
      <c r="F41" s="80">
        <v>5000</v>
      </c>
      <c r="G41" s="80">
        <v>0</v>
      </c>
      <c r="H41" s="80">
        <v>0</v>
      </c>
      <c r="I41" s="80">
        <v>5000</v>
      </c>
      <c r="J41" s="80">
        <v>0</v>
      </c>
      <c r="K41" s="80">
        <v>0</v>
      </c>
    </row>
    <row r="42" spans="1:14" s="13" customFormat="1" x14ac:dyDescent="0.25">
      <c r="A42" s="72">
        <v>41</v>
      </c>
      <c r="B42" s="72">
        <v>10028</v>
      </c>
      <c r="C42" s="73" t="s">
        <v>42</v>
      </c>
      <c r="D42" s="74">
        <v>0</v>
      </c>
      <c r="E42" s="80">
        <v>118716</v>
      </c>
      <c r="F42" s="80">
        <v>93128</v>
      </c>
      <c r="G42" s="80">
        <v>0</v>
      </c>
      <c r="H42" s="80">
        <v>89067</v>
      </c>
      <c r="I42" s="80">
        <v>0</v>
      </c>
      <c r="J42" s="80">
        <v>0</v>
      </c>
      <c r="K42" s="80">
        <v>0</v>
      </c>
    </row>
    <row r="43" spans="1:14" s="13" customFormat="1" x14ac:dyDescent="0.25">
      <c r="A43" s="72">
        <v>42</v>
      </c>
      <c r="B43" s="72">
        <v>10032</v>
      </c>
      <c r="C43" s="73" t="s">
        <v>46</v>
      </c>
      <c r="D43" s="74">
        <v>0</v>
      </c>
      <c r="E43" s="80">
        <v>10075</v>
      </c>
      <c r="F43" s="80">
        <v>8375</v>
      </c>
      <c r="G43" s="80">
        <v>4315</v>
      </c>
      <c r="H43" s="80">
        <v>3828</v>
      </c>
      <c r="I43" s="80">
        <v>3652</v>
      </c>
      <c r="J43" s="80">
        <v>5637</v>
      </c>
      <c r="K43" s="80">
        <v>2219</v>
      </c>
    </row>
    <row r="44" spans="1:14" s="13" customFormat="1" x14ac:dyDescent="0.25">
      <c r="A44" s="72">
        <v>43</v>
      </c>
      <c r="B44" s="72">
        <v>10101</v>
      </c>
      <c r="C44" s="73" t="s">
        <v>239</v>
      </c>
      <c r="D44" s="74">
        <v>0</v>
      </c>
      <c r="E44" s="80">
        <v>98719</v>
      </c>
      <c r="F44" s="80">
        <v>78933</v>
      </c>
      <c r="G44" s="80">
        <v>0</v>
      </c>
      <c r="H44" s="80">
        <v>72442</v>
      </c>
      <c r="I44" s="80">
        <v>56213</v>
      </c>
      <c r="J44" s="80">
        <v>0</v>
      </c>
      <c r="K44" s="80">
        <v>0</v>
      </c>
    </row>
    <row r="45" spans="1:14" s="13" customFormat="1" x14ac:dyDescent="0.25">
      <c r="A45" s="72">
        <v>44</v>
      </c>
      <c r="B45" s="72">
        <v>10119</v>
      </c>
      <c r="C45" s="73" t="s">
        <v>264</v>
      </c>
      <c r="D45" s="74">
        <v>0</v>
      </c>
      <c r="E45" s="80">
        <v>2750</v>
      </c>
      <c r="F45" s="80">
        <v>0</v>
      </c>
      <c r="G45" s="80">
        <v>0</v>
      </c>
      <c r="H45" s="80">
        <v>0</v>
      </c>
      <c r="I45" s="80">
        <v>0</v>
      </c>
      <c r="J45" s="80">
        <v>0</v>
      </c>
      <c r="K45" s="80">
        <v>0</v>
      </c>
    </row>
    <row r="46" spans="1:14" s="13" customFormat="1" x14ac:dyDescent="0.25">
      <c r="A46" s="72">
        <v>45</v>
      </c>
      <c r="B46" s="72">
        <v>10131</v>
      </c>
      <c r="C46" s="73" t="s">
        <v>90</v>
      </c>
      <c r="D46" s="74">
        <v>0</v>
      </c>
      <c r="E46" s="80">
        <v>143450</v>
      </c>
      <c r="F46" s="80">
        <v>99091</v>
      </c>
      <c r="G46" s="80">
        <v>0</v>
      </c>
      <c r="H46" s="80">
        <v>116759</v>
      </c>
      <c r="I46" s="80">
        <v>0</v>
      </c>
      <c r="J46" s="80">
        <v>0</v>
      </c>
      <c r="K46" s="80">
        <v>0</v>
      </c>
    </row>
    <row r="47" spans="1:14" s="13" customFormat="1" x14ac:dyDescent="0.25">
      <c r="A47" s="72">
        <v>46</v>
      </c>
      <c r="B47" s="72">
        <v>10432</v>
      </c>
      <c r="C47" s="73" t="s">
        <v>656</v>
      </c>
      <c r="D47" s="74">
        <v>0</v>
      </c>
      <c r="E47" s="80">
        <v>41775</v>
      </c>
      <c r="F47" s="80">
        <v>16000</v>
      </c>
      <c r="G47" s="80">
        <v>0</v>
      </c>
      <c r="H47" s="80">
        <v>9450</v>
      </c>
      <c r="I47" s="80">
        <v>12040</v>
      </c>
      <c r="J47" s="80">
        <v>1120</v>
      </c>
      <c r="K47" s="80">
        <v>0</v>
      </c>
    </row>
    <row r="48" spans="1:14" s="13" customFormat="1" x14ac:dyDescent="0.25">
      <c r="A48" s="72">
        <v>47</v>
      </c>
      <c r="B48" s="72">
        <v>10437</v>
      </c>
      <c r="C48" s="73" t="s">
        <v>37</v>
      </c>
      <c r="D48" s="74">
        <v>0</v>
      </c>
      <c r="E48" s="80">
        <v>1000</v>
      </c>
      <c r="F48" s="80">
        <v>3000</v>
      </c>
      <c r="G48" s="80">
        <v>0</v>
      </c>
      <c r="H48" s="80">
        <v>0</v>
      </c>
      <c r="I48" s="80">
        <v>3000</v>
      </c>
      <c r="J48" s="80">
        <v>3000</v>
      </c>
      <c r="K48" s="80">
        <v>0</v>
      </c>
    </row>
    <row r="49" spans="1:11" s="13" customFormat="1" x14ac:dyDescent="0.25">
      <c r="A49" s="72">
        <v>48</v>
      </c>
      <c r="B49" s="72">
        <v>10469</v>
      </c>
      <c r="C49" s="73" t="s">
        <v>130</v>
      </c>
      <c r="D49" s="74">
        <v>0</v>
      </c>
      <c r="E49" s="80">
        <v>46312</v>
      </c>
      <c r="F49" s="80">
        <v>0</v>
      </c>
      <c r="G49" s="80">
        <v>0</v>
      </c>
      <c r="H49" s="80">
        <v>0</v>
      </c>
      <c r="I49" s="80">
        <v>0</v>
      </c>
      <c r="J49" s="80">
        <v>0</v>
      </c>
      <c r="K49" s="80">
        <v>0</v>
      </c>
    </row>
    <row r="50" spans="1:11" s="13" customFormat="1" x14ac:dyDescent="0.25">
      <c r="A50" s="72">
        <v>49</v>
      </c>
      <c r="B50" s="72">
        <v>10470</v>
      </c>
      <c r="C50" s="73" t="s">
        <v>653</v>
      </c>
      <c r="D50" s="74">
        <v>0</v>
      </c>
      <c r="E50" s="80">
        <v>1750</v>
      </c>
      <c r="F50" s="80">
        <v>0</v>
      </c>
      <c r="G50" s="80">
        <v>0</v>
      </c>
      <c r="H50" s="80">
        <v>250</v>
      </c>
      <c r="I50" s="80">
        <v>0</v>
      </c>
      <c r="J50" s="80">
        <v>0</v>
      </c>
      <c r="K50" s="80">
        <v>0</v>
      </c>
    </row>
    <row r="51" spans="1:11" s="13" customFormat="1" x14ac:dyDescent="0.25">
      <c r="A51" s="72">
        <v>50</v>
      </c>
      <c r="B51" s="72">
        <v>10486</v>
      </c>
      <c r="C51" s="73" t="s">
        <v>103</v>
      </c>
      <c r="D51" s="74">
        <v>0</v>
      </c>
      <c r="E51" s="80">
        <v>1250</v>
      </c>
      <c r="F51" s="80">
        <v>0</v>
      </c>
      <c r="G51" s="80">
        <v>0</v>
      </c>
      <c r="H51" s="80">
        <v>0</v>
      </c>
      <c r="I51" s="80">
        <v>0</v>
      </c>
      <c r="J51" s="80">
        <v>0</v>
      </c>
      <c r="K51" s="80">
        <v>0</v>
      </c>
    </row>
    <row r="52" spans="1:11" s="13" customFormat="1" x14ac:dyDescent="0.25">
      <c r="A52" s="72">
        <v>51</v>
      </c>
      <c r="B52" s="72">
        <v>10494</v>
      </c>
      <c r="C52" s="73" t="s">
        <v>314</v>
      </c>
      <c r="D52" s="74">
        <v>0</v>
      </c>
      <c r="E52" s="80">
        <v>3000</v>
      </c>
      <c r="F52" s="80">
        <v>4000</v>
      </c>
      <c r="G52" s="80">
        <v>0</v>
      </c>
      <c r="H52" s="80">
        <v>0</v>
      </c>
      <c r="I52" s="80">
        <v>0</v>
      </c>
      <c r="J52" s="80">
        <v>0</v>
      </c>
      <c r="K52" s="80">
        <v>0</v>
      </c>
    </row>
    <row r="53" spans="1:11" s="13" customFormat="1" x14ac:dyDescent="0.25">
      <c r="A53" s="72">
        <v>52</v>
      </c>
      <c r="B53" s="72">
        <v>10512</v>
      </c>
      <c r="C53" s="73" t="s">
        <v>35</v>
      </c>
      <c r="D53" s="74">
        <v>0</v>
      </c>
      <c r="E53" s="80">
        <v>5000</v>
      </c>
      <c r="F53" s="80">
        <v>0</v>
      </c>
      <c r="G53" s="80">
        <v>0</v>
      </c>
      <c r="H53" s="80">
        <v>0</v>
      </c>
      <c r="I53" s="80">
        <v>0</v>
      </c>
      <c r="J53" s="80">
        <v>1000</v>
      </c>
      <c r="K53" s="80">
        <v>0</v>
      </c>
    </row>
    <row r="54" spans="1:11" s="13" customFormat="1" x14ac:dyDescent="0.25">
      <c r="A54" s="72">
        <v>53</v>
      </c>
      <c r="B54" s="72">
        <v>10527</v>
      </c>
      <c r="C54" s="73" t="s">
        <v>224</v>
      </c>
      <c r="D54" s="74">
        <v>0</v>
      </c>
      <c r="E54" s="80">
        <v>75850</v>
      </c>
      <c r="F54" s="80">
        <v>10075</v>
      </c>
      <c r="G54" s="80">
        <v>2925</v>
      </c>
      <c r="H54" s="80">
        <v>10675</v>
      </c>
      <c r="I54" s="80">
        <v>30712</v>
      </c>
      <c r="J54" s="80">
        <v>0</v>
      </c>
      <c r="K54" s="80">
        <v>1239</v>
      </c>
    </row>
    <row r="55" spans="1:11" s="13" customFormat="1" x14ac:dyDescent="0.25">
      <c r="A55" s="72">
        <v>54</v>
      </c>
      <c r="B55" s="72">
        <v>10568</v>
      </c>
      <c r="C55" s="73" t="s">
        <v>338</v>
      </c>
      <c r="D55" s="74">
        <v>0</v>
      </c>
      <c r="E55" s="80">
        <v>22440</v>
      </c>
      <c r="F55" s="80">
        <v>0</v>
      </c>
      <c r="G55" s="80">
        <v>0</v>
      </c>
      <c r="H55" s="80">
        <v>0</v>
      </c>
      <c r="I55" s="80">
        <v>25425</v>
      </c>
      <c r="J55" s="80">
        <v>0</v>
      </c>
      <c r="K55" s="80">
        <v>0</v>
      </c>
    </row>
    <row r="56" spans="1:11" s="13" customFormat="1" x14ac:dyDescent="0.25">
      <c r="A56" s="72">
        <v>55</v>
      </c>
      <c r="B56" s="72">
        <v>10590</v>
      </c>
      <c r="C56" s="73" t="s">
        <v>372</v>
      </c>
      <c r="D56" s="74">
        <v>0</v>
      </c>
      <c r="E56" s="80">
        <v>24270</v>
      </c>
      <c r="F56" s="80">
        <v>27441</v>
      </c>
      <c r="G56" s="80">
        <v>25606</v>
      </c>
      <c r="H56" s="80">
        <v>26000</v>
      </c>
      <c r="I56" s="80">
        <v>26704</v>
      </c>
      <c r="J56" s="80">
        <v>0</v>
      </c>
      <c r="K56" s="80">
        <v>24785</v>
      </c>
    </row>
    <row r="57" spans="1:11" s="13" customFormat="1" x14ac:dyDescent="0.25">
      <c r="A57" s="72">
        <v>56</v>
      </c>
      <c r="B57" s="72">
        <v>10592</v>
      </c>
      <c r="C57" s="73" t="s">
        <v>377</v>
      </c>
      <c r="D57" s="74">
        <v>0</v>
      </c>
      <c r="E57" s="80">
        <v>33250</v>
      </c>
      <c r="F57" s="80">
        <v>12150</v>
      </c>
      <c r="G57" s="80">
        <v>0</v>
      </c>
      <c r="H57" s="80">
        <v>0</v>
      </c>
      <c r="I57" s="80">
        <v>3820</v>
      </c>
      <c r="J57" s="80">
        <v>0</v>
      </c>
      <c r="K57" s="80">
        <v>0</v>
      </c>
    </row>
    <row r="58" spans="1:11" s="13" customFormat="1" x14ac:dyDescent="0.25">
      <c r="A58" s="72">
        <v>57</v>
      </c>
      <c r="B58" s="72">
        <v>10601</v>
      </c>
      <c r="C58" s="73" t="s">
        <v>223</v>
      </c>
      <c r="D58" s="74">
        <v>0</v>
      </c>
      <c r="E58" s="80">
        <v>28945</v>
      </c>
      <c r="F58" s="80">
        <v>19890</v>
      </c>
      <c r="G58" s="80">
        <v>0</v>
      </c>
      <c r="H58" s="80">
        <v>0</v>
      </c>
      <c r="I58" s="80">
        <v>0</v>
      </c>
      <c r="J58" s="80">
        <v>0</v>
      </c>
      <c r="K58" s="80">
        <v>0</v>
      </c>
    </row>
    <row r="59" spans="1:11" s="13" customFormat="1" x14ac:dyDescent="0.25">
      <c r="A59" s="72">
        <v>58</v>
      </c>
      <c r="B59" s="72">
        <v>10644</v>
      </c>
      <c r="C59" s="73" t="s">
        <v>652</v>
      </c>
      <c r="D59" s="74">
        <v>0</v>
      </c>
      <c r="E59" s="80">
        <v>1750</v>
      </c>
      <c r="F59" s="80">
        <v>0</v>
      </c>
      <c r="G59" s="80">
        <v>0</v>
      </c>
      <c r="H59" s="80">
        <v>0</v>
      </c>
      <c r="I59" s="80">
        <v>0</v>
      </c>
      <c r="J59" s="80">
        <v>0</v>
      </c>
      <c r="K59" s="80">
        <v>0</v>
      </c>
    </row>
    <row r="60" spans="1:11" s="13" customFormat="1" x14ac:dyDescent="0.25">
      <c r="A60" s="72">
        <v>59</v>
      </c>
      <c r="B60" s="72">
        <v>20010</v>
      </c>
      <c r="C60" s="73" t="str">
        <f>VLOOKUP(B60,'Comission Sep 2025'!H2:I82,2,FALSE)</f>
        <v>Zubair Shahzad</v>
      </c>
      <c r="D60" s="74">
        <v>0</v>
      </c>
      <c r="E60" s="80">
        <v>0</v>
      </c>
      <c r="F60" s="80">
        <v>5500</v>
      </c>
      <c r="G60" s="80">
        <v>0</v>
      </c>
      <c r="H60" s="80">
        <v>0</v>
      </c>
      <c r="I60" s="80">
        <v>0</v>
      </c>
      <c r="J60" s="80">
        <v>0</v>
      </c>
      <c r="K60" s="80">
        <v>0</v>
      </c>
    </row>
    <row r="61" spans="1:11" s="13" customFormat="1" x14ac:dyDescent="0.25">
      <c r="A61" s="72">
        <v>60</v>
      </c>
      <c r="B61" s="72">
        <v>10558</v>
      </c>
      <c r="C61" s="73" t="str">
        <f>VLOOKUP(B61,'Comission Sep 2025'!H3:I83,2,FALSE)</f>
        <v>Jehanzeb Khan</v>
      </c>
      <c r="D61" s="74">
        <v>0</v>
      </c>
      <c r="E61" s="80">
        <v>0</v>
      </c>
      <c r="F61" s="80">
        <v>29740</v>
      </c>
      <c r="G61" s="80">
        <v>3214</v>
      </c>
      <c r="H61" s="80">
        <v>17000</v>
      </c>
      <c r="I61" s="80">
        <v>0</v>
      </c>
      <c r="J61" s="80">
        <v>3344</v>
      </c>
      <c r="K61" s="80">
        <v>0</v>
      </c>
    </row>
    <row r="62" spans="1:11" s="13" customFormat="1" x14ac:dyDescent="0.25">
      <c r="A62" s="72">
        <v>61</v>
      </c>
      <c r="B62" s="72">
        <v>10460</v>
      </c>
      <c r="C62" s="73" t="str">
        <f>VLOOKUP(B62,'Comission Sep 2025'!H4:I84,2,FALSE)</f>
        <v>Muhammad Nafay</v>
      </c>
      <c r="D62" s="74">
        <v>0</v>
      </c>
      <c r="E62" s="80">
        <v>0</v>
      </c>
      <c r="F62" s="80">
        <v>2000</v>
      </c>
      <c r="G62" s="80">
        <v>0</v>
      </c>
      <c r="H62" s="80">
        <v>0</v>
      </c>
      <c r="I62" s="80">
        <v>2000</v>
      </c>
      <c r="J62" s="80">
        <v>0</v>
      </c>
      <c r="K62" s="80">
        <v>0</v>
      </c>
    </row>
    <row r="63" spans="1:11" s="13" customFormat="1" x14ac:dyDescent="0.25">
      <c r="A63" s="72">
        <v>62</v>
      </c>
      <c r="B63" s="72">
        <v>10043</v>
      </c>
      <c r="C63" s="73" t="str">
        <f>VLOOKUP(B63,'Comission Sep 2025'!H5:I85,2,FALSE)</f>
        <v>Muhammad Asad khan</v>
      </c>
      <c r="D63" s="74">
        <v>0</v>
      </c>
      <c r="E63" s="80">
        <v>0</v>
      </c>
      <c r="F63" s="80">
        <v>2750</v>
      </c>
      <c r="G63" s="80">
        <v>0</v>
      </c>
      <c r="H63" s="80">
        <v>0</v>
      </c>
      <c r="I63" s="80">
        <v>0</v>
      </c>
      <c r="J63" s="80">
        <v>0</v>
      </c>
      <c r="K63" s="80">
        <v>0</v>
      </c>
    </row>
    <row r="64" spans="1:11" s="13" customFormat="1" x14ac:dyDescent="0.25">
      <c r="A64" s="72">
        <v>63</v>
      </c>
      <c r="B64" s="72">
        <v>10031</v>
      </c>
      <c r="C64" s="73" t="str">
        <f>VLOOKUP(B64,'Comission Sep 2025'!H6:I86,2,FALSE)</f>
        <v>Hassan Mustafa</v>
      </c>
      <c r="D64" s="74">
        <v>0</v>
      </c>
      <c r="E64" s="80">
        <v>0</v>
      </c>
      <c r="F64" s="80">
        <v>30525</v>
      </c>
      <c r="G64" s="80">
        <v>0</v>
      </c>
      <c r="H64" s="80">
        <v>12400</v>
      </c>
      <c r="I64" s="80">
        <v>0</v>
      </c>
      <c r="J64" s="80">
        <v>3248</v>
      </c>
      <c r="K64" s="80">
        <v>1416</v>
      </c>
    </row>
    <row r="65" spans="1:11" s="13" customFormat="1" x14ac:dyDescent="0.25">
      <c r="A65" s="72">
        <v>64</v>
      </c>
      <c r="B65" s="72">
        <v>10465</v>
      </c>
      <c r="C65" s="73" t="s">
        <v>136</v>
      </c>
      <c r="D65" s="74">
        <v>0</v>
      </c>
      <c r="E65" s="80">
        <v>0</v>
      </c>
      <c r="F65" s="80">
        <v>0</v>
      </c>
      <c r="G65" s="80">
        <v>28356</v>
      </c>
      <c r="H65" s="80">
        <v>131815</v>
      </c>
      <c r="I65" s="80">
        <v>56714</v>
      </c>
      <c r="J65" s="80">
        <v>50100</v>
      </c>
      <c r="K65" s="80">
        <v>25796</v>
      </c>
    </row>
    <row r="66" spans="1:11" s="13" customFormat="1" x14ac:dyDescent="0.25">
      <c r="A66" s="72">
        <v>65</v>
      </c>
      <c r="B66" s="72">
        <v>10553</v>
      </c>
      <c r="C66" s="73" t="s">
        <v>851</v>
      </c>
      <c r="D66" s="74">
        <v>0</v>
      </c>
      <c r="E66" s="80">
        <v>0</v>
      </c>
      <c r="F66" s="80">
        <v>0</v>
      </c>
      <c r="G66" s="80">
        <v>2000</v>
      </c>
      <c r="H66" s="80">
        <v>0</v>
      </c>
      <c r="I66" s="80">
        <v>0</v>
      </c>
      <c r="J66" s="80">
        <v>0</v>
      </c>
      <c r="K66" s="80">
        <v>0</v>
      </c>
    </row>
    <row r="67" spans="1:11" s="13" customFormat="1" x14ac:dyDescent="0.25">
      <c r="A67" s="72">
        <v>66</v>
      </c>
      <c r="B67" s="72">
        <v>10627</v>
      </c>
      <c r="C67" s="73" t="s">
        <v>852</v>
      </c>
      <c r="D67" s="74">
        <v>0</v>
      </c>
      <c r="E67" s="80">
        <v>0</v>
      </c>
      <c r="F67" s="80">
        <v>0</v>
      </c>
      <c r="G67" s="80">
        <v>1000</v>
      </c>
      <c r="H67" s="80">
        <v>0</v>
      </c>
      <c r="I67" s="80">
        <v>0</v>
      </c>
      <c r="J67" s="80">
        <v>0</v>
      </c>
      <c r="K67" s="80">
        <v>0</v>
      </c>
    </row>
    <row r="68" spans="1:11" s="13" customFormat="1" x14ac:dyDescent="0.25">
      <c r="A68" s="72">
        <v>67</v>
      </c>
      <c r="B68" s="72">
        <v>10651</v>
      </c>
      <c r="C68" s="73" t="s">
        <v>562</v>
      </c>
      <c r="D68" s="74">
        <v>0</v>
      </c>
      <c r="E68" s="80">
        <v>0</v>
      </c>
      <c r="F68" s="80">
        <v>0</v>
      </c>
      <c r="G68" s="80">
        <v>28544</v>
      </c>
      <c r="H68" s="80">
        <v>0</v>
      </c>
      <c r="I68" s="80">
        <v>26989</v>
      </c>
      <c r="J68" s="80">
        <v>26407</v>
      </c>
      <c r="K68" s="80">
        <v>0</v>
      </c>
    </row>
    <row r="69" spans="1:11" s="13" customFormat="1" x14ac:dyDescent="0.25">
      <c r="A69" s="72">
        <v>68</v>
      </c>
      <c r="B69" s="72">
        <v>10655</v>
      </c>
      <c r="C69" s="73" t="s">
        <v>566</v>
      </c>
      <c r="D69" s="74">
        <v>0</v>
      </c>
      <c r="E69" s="80">
        <v>0</v>
      </c>
      <c r="F69" s="80">
        <v>0</v>
      </c>
      <c r="G69" s="80">
        <v>31583</v>
      </c>
      <c r="H69" s="80">
        <v>53023</v>
      </c>
      <c r="I69" s="80">
        <v>25447</v>
      </c>
      <c r="J69" s="80">
        <v>26923</v>
      </c>
      <c r="K69" s="80">
        <v>25566</v>
      </c>
    </row>
    <row r="70" spans="1:11" s="13" customFormat="1" x14ac:dyDescent="0.25">
      <c r="A70" s="72">
        <v>69</v>
      </c>
      <c r="B70" s="72">
        <v>10364</v>
      </c>
      <c r="C70" s="73" t="s">
        <v>884</v>
      </c>
      <c r="D70" s="74">
        <v>0</v>
      </c>
      <c r="E70" s="80">
        <v>0</v>
      </c>
      <c r="F70" s="80">
        <v>0</v>
      </c>
      <c r="G70" s="80">
        <v>0</v>
      </c>
      <c r="H70" s="80">
        <v>5000</v>
      </c>
      <c r="I70" s="80">
        <v>0</v>
      </c>
      <c r="J70" s="80">
        <v>0</v>
      </c>
      <c r="K70" s="80">
        <v>5000</v>
      </c>
    </row>
    <row r="71" spans="1:11" s="13" customFormat="1" x14ac:dyDescent="0.25">
      <c r="A71" s="72">
        <v>70</v>
      </c>
      <c r="B71" s="72">
        <v>10400</v>
      </c>
      <c r="C71" s="73" t="s">
        <v>134</v>
      </c>
      <c r="D71" s="74">
        <v>0</v>
      </c>
      <c r="E71" s="80">
        <v>0</v>
      </c>
      <c r="F71" s="80">
        <v>0</v>
      </c>
      <c r="G71" s="80">
        <v>0</v>
      </c>
      <c r="H71" s="80">
        <v>2000</v>
      </c>
      <c r="I71" s="80">
        <v>0</v>
      </c>
      <c r="J71" s="80">
        <v>0</v>
      </c>
      <c r="K71" s="80">
        <v>0</v>
      </c>
    </row>
    <row r="72" spans="1:11" s="13" customFormat="1" x14ac:dyDescent="0.25">
      <c r="A72" s="72">
        <v>71</v>
      </c>
      <c r="B72" s="72">
        <v>10406</v>
      </c>
      <c r="C72" s="73" t="s">
        <v>216</v>
      </c>
      <c r="D72" s="74">
        <v>0</v>
      </c>
      <c r="E72" s="80">
        <v>0</v>
      </c>
      <c r="F72" s="80">
        <v>0</v>
      </c>
      <c r="G72" s="80">
        <v>0</v>
      </c>
      <c r="H72" s="80">
        <v>1250</v>
      </c>
      <c r="I72" s="80">
        <v>0</v>
      </c>
      <c r="J72" s="80">
        <v>0</v>
      </c>
      <c r="K72" s="80">
        <v>0</v>
      </c>
    </row>
    <row r="73" spans="1:11" s="13" customFormat="1" x14ac:dyDescent="0.25">
      <c r="A73" s="72">
        <v>72</v>
      </c>
      <c r="B73" s="72">
        <v>10489</v>
      </c>
      <c r="C73" s="73" t="s">
        <v>36</v>
      </c>
      <c r="D73" s="74">
        <v>0</v>
      </c>
      <c r="E73" s="80">
        <v>0</v>
      </c>
      <c r="F73" s="80">
        <v>0</v>
      </c>
      <c r="G73" s="80">
        <v>0</v>
      </c>
      <c r="H73" s="80">
        <v>1000</v>
      </c>
      <c r="I73" s="80">
        <v>0</v>
      </c>
      <c r="J73" s="80">
        <v>0</v>
      </c>
      <c r="K73" s="80">
        <v>0</v>
      </c>
    </row>
    <row r="74" spans="1:11" s="13" customFormat="1" x14ac:dyDescent="0.25">
      <c r="A74" s="72">
        <v>73</v>
      </c>
      <c r="B74" s="72">
        <v>10511</v>
      </c>
      <c r="C74" s="73" t="s">
        <v>887</v>
      </c>
      <c r="D74" s="74">
        <v>0</v>
      </c>
      <c r="E74" s="80">
        <v>0</v>
      </c>
      <c r="F74" s="80">
        <v>0</v>
      </c>
      <c r="G74" s="80">
        <v>0</v>
      </c>
      <c r="H74" s="80">
        <v>3000</v>
      </c>
      <c r="I74" s="80">
        <v>0</v>
      </c>
      <c r="J74" s="80">
        <v>0</v>
      </c>
      <c r="K74" s="80">
        <v>0</v>
      </c>
    </row>
    <row r="75" spans="1:11" s="13" customFormat="1" x14ac:dyDescent="0.25">
      <c r="A75" s="72">
        <v>74</v>
      </c>
      <c r="B75" s="72">
        <v>10650</v>
      </c>
      <c r="C75" s="73" t="s">
        <v>883</v>
      </c>
      <c r="D75" s="74">
        <v>0</v>
      </c>
      <c r="E75" s="80">
        <v>0</v>
      </c>
      <c r="F75" s="80">
        <v>0</v>
      </c>
      <c r="G75" s="80">
        <v>0</v>
      </c>
      <c r="H75" s="80">
        <v>27571</v>
      </c>
      <c r="I75" s="80">
        <v>26035</v>
      </c>
      <c r="J75" s="80">
        <v>0</v>
      </c>
      <c r="K75" s="80">
        <v>23113</v>
      </c>
    </row>
    <row r="76" spans="1:11" s="13" customFormat="1" x14ac:dyDescent="0.25">
      <c r="A76" s="72">
        <v>75</v>
      </c>
      <c r="B76" s="72">
        <v>10047</v>
      </c>
      <c r="C76" s="73" t="s">
        <v>72</v>
      </c>
      <c r="D76" s="74"/>
      <c r="E76" s="80"/>
      <c r="F76" s="80"/>
      <c r="G76" s="80"/>
      <c r="H76" s="80"/>
      <c r="I76" s="80">
        <v>15000</v>
      </c>
      <c r="J76" s="80">
        <v>0</v>
      </c>
      <c r="K76" s="80">
        <v>0</v>
      </c>
    </row>
    <row r="77" spans="1:11" s="13" customFormat="1" x14ac:dyDescent="0.25">
      <c r="A77" s="72">
        <v>76</v>
      </c>
      <c r="B77" s="72">
        <v>10366</v>
      </c>
      <c r="C77" s="73" t="s">
        <v>1083</v>
      </c>
      <c r="D77" s="74"/>
      <c r="E77" s="80"/>
      <c r="F77" s="80"/>
      <c r="G77" s="80"/>
      <c r="H77" s="80"/>
      <c r="I77" s="80">
        <v>25000</v>
      </c>
      <c r="J77" s="80">
        <v>5000</v>
      </c>
      <c r="K77" s="80">
        <v>10000</v>
      </c>
    </row>
    <row r="78" spans="1:11" s="13" customFormat="1" x14ac:dyDescent="0.25">
      <c r="A78" s="72">
        <v>77</v>
      </c>
      <c r="B78" s="72">
        <v>10403</v>
      </c>
      <c r="C78" s="73" t="s">
        <v>1082</v>
      </c>
      <c r="D78" s="74"/>
      <c r="E78" s="80"/>
      <c r="F78" s="80"/>
      <c r="G78" s="80"/>
      <c r="H78" s="80"/>
      <c r="I78" s="80">
        <v>250</v>
      </c>
      <c r="J78" s="80">
        <v>0</v>
      </c>
      <c r="K78" s="80">
        <v>0</v>
      </c>
    </row>
    <row r="79" spans="1:11" s="13" customFormat="1" x14ac:dyDescent="0.25">
      <c r="A79" s="72">
        <v>78</v>
      </c>
      <c r="B79" s="72">
        <v>10434</v>
      </c>
      <c r="C79" s="73" t="s">
        <v>1084</v>
      </c>
      <c r="D79" s="74"/>
      <c r="E79" s="80"/>
      <c r="F79" s="80"/>
      <c r="G79" s="80"/>
      <c r="H79" s="80"/>
      <c r="I79" s="80">
        <v>5000</v>
      </c>
      <c r="J79" s="80">
        <v>0</v>
      </c>
      <c r="K79" s="80">
        <v>0</v>
      </c>
    </row>
    <row r="80" spans="1:11" s="13" customFormat="1" x14ac:dyDescent="0.25">
      <c r="A80" s="72">
        <v>79</v>
      </c>
      <c r="B80" s="72">
        <v>10631</v>
      </c>
      <c r="C80" s="73" t="s">
        <v>421</v>
      </c>
      <c r="D80" s="74"/>
      <c r="E80" s="80"/>
      <c r="F80" s="80"/>
      <c r="G80" s="80"/>
      <c r="H80" s="80"/>
      <c r="I80" s="80">
        <v>15000</v>
      </c>
      <c r="J80" s="80">
        <v>10000</v>
      </c>
      <c r="K80" s="80">
        <v>5000</v>
      </c>
    </row>
    <row r="81" spans="1:11" s="13" customFormat="1" x14ac:dyDescent="0.25">
      <c r="A81" s="72">
        <v>80</v>
      </c>
      <c r="B81" s="72">
        <v>10663</v>
      </c>
      <c r="C81" s="73" t="s">
        <v>775</v>
      </c>
      <c r="D81" s="74"/>
      <c r="E81" s="80"/>
      <c r="F81" s="80"/>
      <c r="G81" s="80"/>
      <c r="H81" s="80"/>
      <c r="I81" s="80">
        <v>8600</v>
      </c>
      <c r="J81" s="80">
        <v>0</v>
      </c>
      <c r="K81" s="80">
        <v>6750</v>
      </c>
    </row>
    <row r="82" spans="1:11" s="13" customFormat="1" x14ac:dyDescent="0.25">
      <c r="A82" s="72">
        <v>81</v>
      </c>
      <c r="B82" s="72">
        <v>10679</v>
      </c>
      <c r="C82" s="73" t="s">
        <v>858</v>
      </c>
      <c r="D82" s="74"/>
      <c r="E82" s="80"/>
      <c r="F82" s="80"/>
      <c r="G82" s="80"/>
      <c r="H82" s="80"/>
      <c r="I82" s="80">
        <v>11148</v>
      </c>
      <c r="J82" s="80">
        <v>0</v>
      </c>
      <c r="K82" s="80">
        <v>0</v>
      </c>
    </row>
    <row r="83" spans="1:11" s="13" customFormat="1" x14ac:dyDescent="0.25">
      <c r="A83" s="72">
        <v>82</v>
      </c>
      <c r="B83" s="72">
        <v>10678</v>
      </c>
      <c r="C83" s="73" t="s">
        <v>857</v>
      </c>
      <c r="D83" s="74"/>
      <c r="E83" s="80"/>
      <c r="F83" s="80"/>
      <c r="G83" s="80"/>
      <c r="H83" s="80"/>
      <c r="I83" s="80"/>
      <c r="J83" s="80">
        <v>27773</v>
      </c>
      <c r="K83" s="80">
        <v>89991</v>
      </c>
    </row>
    <row r="84" spans="1:11" s="13" customFormat="1" x14ac:dyDescent="0.25">
      <c r="A84" s="72">
        <v>83</v>
      </c>
      <c r="B84" s="72">
        <v>10684</v>
      </c>
      <c r="C84" s="73" t="s">
        <v>972</v>
      </c>
      <c r="D84" s="74"/>
      <c r="E84" s="80"/>
      <c r="F84" s="80"/>
      <c r="G84" s="80"/>
      <c r="H84" s="80"/>
      <c r="I84" s="80"/>
      <c r="J84" s="80">
        <v>29394</v>
      </c>
      <c r="K84" s="80">
        <v>57163</v>
      </c>
    </row>
    <row r="85" spans="1:11" s="13" customFormat="1" x14ac:dyDescent="0.25">
      <c r="A85" s="72">
        <v>84</v>
      </c>
      <c r="B85" s="72">
        <v>10626</v>
      </c>
      <c r="C85" s="73" t="s">
        <v>238</v>
      </c>
      <c r="D85" s="74"/>
      <c r="E85" s="80"/>
      <c r="F85" s="80"/>
      <c r="G85" s="80"/>
      <c r="H85" s="80"/>
      <c r="I85" s="80"/>
      <c r="J85" s="80">
        <v>4000</v>
      </c>
      <c r="K85" s="80">
        <v>3000</v>
      </c>
    </row>
    <row r="86" spans="1:11" s="13" customFormat="1" x14ac:dyDescent="0.25">
      <c r="A86" s="72">
        <v>85</v>
      </c>
      <c r="B86" s="72">
        <v>10692</v>
      </c>
      <c r="C86" s="73" t="s">
        <v>1165</v>
      </c>
      <c r="D86" s="74"/>
      <c r="E86" s="80"/>
      <c r="F86" s="80"/>
      <c r="G86" s="80"/>
      <c r="H86" s="80"/>
      <c r="I86" s="80"/>
      <c r="J86" s="80">
        <v>57189</v>
      </c>
      <c r="K86" s="80">
        <v>131254</v>
      </c>
    </row>
    <row r="87" spans="1:11" s="13" customFormat="1" x14ac:dyDescent="0.25">
      <c r="A87" s="72">
        <v>86</v>
      </c>
      <c r="B87" s="72">
        <v>10023</v>
      </c>
      <c r="C87" s="73" t="s">
        <v>31</v>
      </c>
      <c r="D87" s="74"/>
      <c r="E87" s="80"/>
      <c r="F87" s="80"/>
      <c r="G87" s="80"/>
      <c r="H87" s="80"/>
      <c r="I87" s="80"/>
      <c r="J87" s="80">
        <v>5000</v>
      </c>
      <c r="K87" s="80">
        <v>0</v>
      </c>
    </row>
    <row r="88" spans="1:11" s="13" customFormat="1" x14ac:dyDescent="0.25">
      <c r="A88" s="72">
        <v>87</v>
      </c>
      <c r="B88" s="72">
        <v>10645</v>
      </c>
      <c r="C88" s="73" t="s">
        <v>1170</v>
      </c>
      <c r="D88" s="74"/>
      <c r="E88" s="80"/>
      <c r="F88" s="80"/>
      <c r="G88" s="80"/>
      <c r="H88" s="80"/>
      <c r="I88" s="80"/>
      <c r="J88" s="80">
        <v>15000</v>
      </c>
      <c r="K88" s="80">
        <v>15000</v>
      </c>
    </row>
    <row r="89" spans="1:11" s="13" customFormat="1" x14ac:dyDescent="0.25">
      <c r="A89" s="72"/>
      <c r="B89" s="72">
        <v>10169</v>
      </c>
      <c r="C89" s="73" t="s">
        <v>1254</v>
      </c>
      <c r="D89" s="74"/>
      <c r="E89" s="80"/>
      <c r="F89" s="80"/>
      <c r="G89" s="80"/>
      <c r="H89" s="80"/>
      <c r="I89" s="80"/>
      <c r="J89" s="80"/>
      <c r="K89" s="80">
        <v>1250</v>
      </c>
    </row>
    <row r="90" spans="1:11" s="13" customFormat="1" x14ac:dyDescent="0.25">
      <c r="A90" s="72"/>
      <c r="B90" s="72">
        <v>10192</v>
      </c>
      <c r="C90" s="73" t="s">
        <v>1257</v>
      </c>
      <c r="D90" s="74"/>
      <c r="E90" s="80"/>
      <c r="F90" s="80"/>
      <c r="G90" s="80"/>
      <c r="H90" s="80"/>
      <c r="I90" s="80"/>
      <c r="J90" s="80"/>
      <c r="K90" s="80">
        <v>5000</v>
      </c>
    </row>
    <row r="91" spans="1:11" s="13" customFormat="1" x14ac:dyDescent="0.25">
      <c r="A91" s="72"/>
      <c r="B91" s="72">
        <v>10699</v>
      </c>
      <c r="C91" s="73" t="s">
        <v>1258</v>
      </c>
      <c r="D91" s="74"/>
      <c r="E91" s="80"/>
      <c r="F91" s="80"/>
      <c r="G91" s="80"/>
      <c r="H91" s="80"/>
      <c r="I91" s="80"/>
      <c r="J91" s="80"/>
      <c r="K91" s="80">
        <v>4000</v>
      </c>
    </row>
    <row r="92" spans="1:11" s="13" customFormat="1" x14ac:dyDescent="0.25">
      <c r="A92" s="72"/>
      <c r="B92" s="72">
        <v>10653</v>
      </c>
      <c r="C92" s="73" t="s">
        <v>1260</v>
      </c>
      <c r="D92" s="74"/>
      <c r="E92" s="80"/>
      <c r="F92" s="80"/>
      <c r="G92" s="80"/>
      <c r="H92" s="80"/>
      <c r="I92" s="80"/>
      <c r="J92" s="80"/>
      <c r="K92" s="80">
        <v>2000</v>
      </c>
    </row>
    <row r="93" spans="1:11" s="13" customFormat="1" x14ac:dyDescent="0.25">
      <c r="A93" s="72"/>
      <c r="B93" s="72">
        <v>10654</v>
      </c>
      <c r="C93" s="73" t="s">
        <v>1261</v>
      </c>
      <c r="D93" s="74"/>
      <c r="E93" s="80"/>
      <c r="F93" s="80"/>
      <c r="G93" s="80"/>
      <c r="H93" s="80"/>
      <c r="I93" s="80"/>
      <c r="J93" s="80"/>
      <c r="K93" s="80">
        <v>1000</v>
      </c>
    </row>
    <row r="94" spans="1:11" s="13" customFormat="1" x14ac:dyDescent="0.25">
      <c r="A94" s="72"/>
      <c r="B94" s="72">
        <v>10704</v>
      </c>
      <c r="C94" s="73" t="s">
        <v>1271</v>
      </c>
      <c r="D94" s="74"/>
      <c r="E94" s="80"/>
      <c r="F94" s="80"/>
      <c r="G94" s="80"/>
      <c r="H94" s="80"/>
      <c r="I94" s="80"/>
      <c r="J94" s="80"/>
      <c r="K94" s="80">
        <v>51634</v>
      </c>
    </row>
  </sheetData>
  <conditionalFormatting sqref="B1:B59 B95:B1048576">
    <cfRule type="duplicateValues" dxfId="49" priority="106"/>
  </conditionalFormatting>
  <conditionalFormatting sqref="B1:B64 B95:B1048576">
    <cfRule type="duplicateValues" dxfId="48" priority="597"/>
  </conditionalFormatting>
  <conditionalFormatting sqref="B1:B69 B95:B1048576">
    <cfRule type="duplicateValues" dxfId="47" priority="599"/>
  </conditionalFormatting>
  <conditionalFormatting sqref="B1:B75 B95:B1048576">
    <cfRule type="duplicateValues" dxfId="46" priority="81"/>
  </conditionalFormatting>
  <conditionalFormatting sqref="B1:B82 B95:B1048576">
    <cfRule type="duplicateValues" dxfId="45" priority="601"/>
  </conditionalFormatting>
  <conditionalFormatting sqref="B1:B87 B95:B1048576">
    <cfRule type="duplicateValues" dxfId="44" priority="607"/>
  </conditionalFormatting>
  <conditionalFormatting sqref="B2:B69">
    <cfRule type="duplicateValues" dxfId="43" priority="598"/>
  </conditionalFormatting>
  <conditionalFormatting sqref="B2:B75">
    <cfRule type="duplicateValues" dxfId="42" priority="600"/>
  </conditionalFormatting>
  <conditionalFormatting sqref="B41:B59">
    <cfRule type="duplicateValues" dxfId="41" priority="595"/>
  </conditionalFormatting>
  <conditionalFormatting sqref="B60:B64">
    <cfRule type="duplicateValues" dxfId="40" priority="104"/>
    <cfRule type="duplicateValues" dxfId="39" priority="105"/>
  </conditionalFormatting>
  <conditionalFormatting sqref="B65:B69">
    <cfRule type="duplicateValues" dxfId="38" priority="99"/>
    <cfRule type="duplicateValues" dxfId="37" priority="100"/>
    <cfRule type="duplicateValues" dxfId="36" priority="101"/>
  </conditionalFormatting>
  <conditionalFormatting sqref="B70:B75">
    <cfRule type="duplicateValues" dxfId="35" priority="82"/>
    <cfRule type="duplicateValues" dxfId="34" priority="83"/>
    <cfRule type="duplicateValues" dxfId="33" priority="84"/>
    <cfRule type="duplicateValues" dxfId="32" priority="85"/>
    <cfRule type="duplicateValues" dxfId="31" priority="86"/>
  </conditionalFormatting>
  <conditionalFormatting sqref="B76:B82">
    <cfRule type="duplicateValues" dxfId="30" priority="56"/>
    <cfRule type="duplicateValues" dxfId="29" priority="57"/>
    <cfRule type="duplicateValues" dxfId="28" priority="58"/>
    <cfRule type="duplicateValues" dxfId="27" priority="59"/>
    <cfRule type="duplicateValues" dxfId="26" priority="60"/>
    <cfRule type="duplicateValues" dxfId="25" priority="61"/>
    <cfRule type="duplicateValues" dxfId="24" priority="62"/>
  </conditionalFormatting>
  <conditionalFormatting sqref="B83:B87">
    <cfRule type="duplicateValues" dxfId="23" priority="18"/>
    <cfRule type="duplicateValues" dxfId="22" priority="19"/>
    <cfRule type="duplicateValues" dxfId="21" priority="20"/>
    <cfRule type="duplicateValues" dxfId="20" priority="21"/>
    <cfRule type="duplicateValues" dxfId="19" priority="22"/>
    <cfRule type="duplicateValues" dxfId="18" priority="23"/>
    <cfRule type="duplicateValues" dxfId="17" priority="24"/>
    <cfRule type="duplicateValues" dxfId="16" priority="605"/>
    <cfRule type="duplicateValues" dxfId="15" priority="606"/>
  </conditionalFormatting>
  <conditionalFormatting sqref="B95:B1048576 B1:B40">
    <cfRule type="duplicateValues" dxfId="14" priority="593"/>
  </conditionalFormatting>
  <conditionalFormatting sqref="B88:B94">
    <cfRule type="duplicateValues" dxfId="13" priority="13"/>
  </conditionalFormatting>
  <conditionalFormatting sqref="B88:B94">
    <cfRule type="duplicateValues" dxfId="12" priority="4"/>
    <cfRule type="duplicateValues" dxfId="11" priority="5"/>
    <cfRule type="duplicateValues" dxfId="10" priority="6"/>
    <cfRule type="duplicateValues" dxfId="9" priority="7"/>
    <cfRule type="duplicateValues" dxfId="8" priority="8"/>
    <cfRule type="duplicateValues" dxfId="7" priority="9"/>
    <cfRule type="duplicateValues" dxfId="6" priority="10"/>
    <cfRule type="duplicateValues" dxfId="5" priority="11"/>
    <cfRule type="duplicateValues" dxfId="4" priority="12"/>
  </conditionalFormatting>
  <conditionalFormatting sqref="B1:B87 B95:B1048576">
    <cfRule type="duplicateValues" dxfId="3" priority="608"/>
  </conditionalFormatting>
  <conditionalFormatting sqref="B88:B94">
    <cfRule type="duplicateValues" dxfId="2" priority="610"/>
  </conditionalFormatting>
  <conditionalFormatting sqref="B1:B1048576">
    <cfRule type="duplicateValues" dxfId="1" priority="611"/>
  </conditionalFormatting>
  <conditionalFormatting sqref="B1:B1048576 M1:M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Tax 25-26</vt:lpstr>
      <vt:lpstr>Paid Tax</vt:lpstr>
      <vt:lpstr>Commision </vt:lpstr>
      <vt:lpstr>Incentives</vt:lpstr>
      <vt:lpstr>Comission Jul 25</vt:lpstr>
      <vt:lpstr>Comission Aug 2025</vt:lpstr>
      <vt:lpstr>Comission Sep 2025</vt:lpstr>
      <vt:lpstr>Comission Oct 2025</vt:lpstr>
      <vt:lpstr>Comission Nov 2025</vt:lpstr>
      <vt:lpstr>Comission Dec 2025</vt:lpstr>
      <vt:lpstr>Commission Jan 2026</vt:lpstr>
      <vt:lpstr>Comission Feb 2026</vt:lpstr>
      <vt:lpstr>Com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Daiya Sagar/HR/KHI</dc:creator>
  <cp:lastModifiedBy>Muhammad Anas Ahmed/HR/KHI</cp:lastModifiedBy>
  <dcterms:created xsi:type="dcterms:W3CDTF">2024-07-12T07:21:48Z</dcterms:created>
  <dcterms:modified xsi:type="dcterms:W3CDTF">2026-02-24T08:58:24Z</dcterms:modified>
</cp:coreProperties>
</file>